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yDrive\Work\In_Development\"/>
    </mc:Choice>
  </mc:AlternateContent>
  <xr:revisionPtr revIDLastSave="758390" documentId="114_{1C343C16-8EA1-436B-9AC3-457546D8BE82}" xr6:coauthVersionLast="45" xr6:coauthVersionMax="45" xr10:uidLastSave="{1FD4571B-2556-458B-AEBC-0A0EE48E2EC7}"/>
  <bookViews>
    <workbookView xWindow="28680" yWindow="-120" windowWidth="25440" windowHeight="15990" xr2:uid="{95B8903A-7944-4A5B-B8CD-C02474F51CAC}"/>
  </bookViews>
  <sheets>
    <sheet name="circle_section" sheetId="1" r:id="rId1"/>
    <sheet name="Mx_vs_My" sheetId="4" r:id="rId2"/>
    <sheet name="P_M_Curve_Load_Side" sheetId="2" r:id="rId3"/>
    <sheet name="P_M_Curve_Full" sheetId="5" r:id="rId4"/>
    <sheet name="P_M_Curve (Whitney vs PCA)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77" i="1" l="1"/>
  <c r="AY77" i="1"/>
  <c r="E32" i="1" l="1"/>
  <c r="E33" i="1" s="1"/>
  <c r="Q130" i="1" l="1"/>
  <c r="BP105" i="1" l="1"/>
  <c r="BS104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W2" i="1"/>
  <c r="BS2" i="1"/>
  <c r="BC3" i="1" l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BC2" i="1"/>
  <c r="AY2" i="1"/>
  <c r="I33" i="1"/>
  <c r="O30" i="1"/>
  <c r="D47" i="1" l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F38" i="1"/>
  <c r="D38" i="1" s="1"/>
  <c r="F39" i="1"/>
  <c r="D39" i="1" s="1"/>
  <c r="F40" i="1"/>
  <c r="D40" i="1" s="1"/>
  <c r="F41" i="1"/>
  <c r="E41" i="1" s="1"/>
  <c r="F42" i="1"/>
  <c r="D42" i="1" s="1"/>
  <c r="F43" i="1"/>
  <c r="D43" i="1" s="1"/>
  <c r="F44" i="1"/>
  <c r="D44" i="1" s="1"/>
  <c r="F45" i="1"/>
  <c r="E45" i="1" s="1"/>
  <c r="F46" i="1"/>
  <c r="D46" i="1" s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37" i="1"/>
  <c r="D37" i="1" s="1"/>
  <c r="D45" i="1" l="1"/>
  <c r="D41" i="1"/>
  <c r="E44" i="1"/>
  <c r="E40" i="1"/>
  <c r="E43" i="1"/>
  <c r="E39" i="1"/>
  <c r="E42" i="1"/>
  <c r="E38" i="1"/>
  <c r="E37" i="1"/>
  <c r="BF105" i="1"/>
  <c r="BI104" i="1"/>
  <c r="AY104" i="1" l="1"/>
  <c r="AV105" i="1"/>
  <c r="BI105" i="1" l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M2" i="1"/>
  <c r="BI2" i="1"/>
  <c r="B7" i="1"/>
  <c r="AY105" i="1" l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AA37" i="1"/>
  <c r="Z37" i="1"/>
  <c r="F10" i="1" l="1"/>
  <c r="F15" i="1" l="1"/>
  <c r="F14" i="1"/>
  <c r="G15" i="1"/>
  <c r="G14" i="1"/>
  <c r="E34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L38" i="1" s="1"/>
  <c r="I39" i="1"/>
  <c r="J39" i="1"/>
  <c r="K39" i="1" s="1"/>
  <c r="L39" i="1" s="1"/>
  <c r="I40" i="1"/>
  <c r="J40" i="1"/>
  <c r="K40" i="1" s="1"/>
  <c r="L40" i="1" s="1"/>
  <c r="I41" i="1"/>
  <c r="J41" i="1"/>
  <c r="K41" i="1" s="1"/>
  <c r="L41" i="1" s="1"/>
  <c r="I42" i="1"/>
  <c r="J42" i="1"/>
  <c r="K42" i="1" s="1"/>
  <c r="L42" i="1" s="1"/>
  <c r="I43" i="1"/>
  <c r="J43" i="1"/>
  <c r="K43" i="1" s="1"/>
  <c r="L43" i="1" s="1"/>
  <c r="I44" i="1"/>
  <c r="J44" i="1"/>
  <c r="K44" i="1" s="1"/>
  <c r="L44" i="1" s="1"/>
  <c r="I45" i="1"/>
  <c r="J45" i="1"/>
  <c r="K45" i="1" s="1"/>
  <c r="L45" i="1" s="1"/>
  <c r="I46" i="1"/>
  <c r="J46" i="1"/>
  <c r="K46" i="1" s="1"/>
  <c r="L46" i="1" s="1"/>
  <c r="I47" i="1"/>
  <c r="J47" i="1"/>
  <c r="K47" i="1" s="1"/>
  <c r="L47" i="1" s="1"/>
  <c r="I48" i="1"/>
  <c r="J48" i="1"/>
  <c r="K48" i="1" s="1"/>
  <c r="L48" i="1" s="1"/>
  <c r="I49" i="1"/>
  <c r="J49" i="1"/>
  <c r="K49" i="1" s="1"/>
  <c r="L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O31" i="1" l="1"/>
  <c r="O32" i="1" s="1"/>
  <c r="N31" i="1"/>
  <c r="N32" i="1" s="1"/>
  <c r="K37" i="1"/>
  <c r="L37" i="1" s="1"/>
  <c r="H18" i="1"/>
  <c r="G17" i="1"/>
  <c r="H17" i="1"/>
  <c r="G18" i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9" i="1"/>
  <c r="J16" i="1" s="1"/>
  <c r="B127" i="1"/>
  <c r="B128" i="1" s="1"/>
  <c r="C19" i="1" s="1"/>
  <c r="B8" i="1"/>
  <c r="B12" i="1" s="1"/>
  <c r="L16" i="1" l="1"/>
  <c r="K16" i="1"/>
  <c r="B173" i="1"/>
  <c r="F142" i="1"/>
  <c r="F140" i="1"/>
  <c r="F141" i="1"/>
  <c r="M62" i="1"/>
  <c r="N62" i="1" s="1"/>
  <c r="M98" i="1"/>
  <c r="N98" i="1" s="1"/>
  <c r="M73" i="1"/>
  <c r="N73" i="1" s="1"/>
  <c r="M61" i="1"/>
  <c r="N61" i="1" s="1"/>
  <c r="M75" i="1"/>
  <c r="N75" i="1" s="1"/>
  <c r="M88" i="1"/>
  <c r="N88" i="1" s="1"/>
  <c r="M103" i="1"/>
  <c r="N103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M48" i="1" s="1"/>
  <c r="N48" i="1" s="1"/>
  <c r="B206" i="1"/>
  <c r="B182" i="1"/>
  <c r="B221" i="1"/>
  <c r="B134" i="1"/>
  <c r="B135" i="1" s="1"/>
  <c r="N135" i="1" s="1"/>
  <c r="B130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M49" i="1" s="1"/>
  <c r="N49" i="1" s="1"/>
  <c r="B209" i="1"/>
  <c r="B158" i="1"/>
  <c r="M44" i="1" s="1"/>
  <c r="B155" i="1"/>
  <c r="M41" i="1" s="1"/>
  <c r="N41" i="1" s="1"/>
  <c r="B177" i="1"/>
  <c r="B204" i="1"/>
  <c r="B216" i="1"/>
  <c r="B192" i="1"/>
  <c r="B160" i="1"/>
  <c r="M46" i="1" s="1"/>
  <c r="N46" i="1" s="1"/>
  <c r="B171" i="1"/>
  <c r="B217" i="1"/>
  <c r="B202" i="1"/>
  <c r="B219" i="1"/>
  <c r="B174" i="1"/>
  <c r="B159" i="1"/>
  <c r="M45" i="1" s="1"/>
  <c r="N45" i="1" s="1"/>
  <c r="B214" i="1"/>
  <c r="B184" i="1"/>
  <c r="B195" i="1"/>
  <c r="B178" i="1"/>
  <c r="B197" i="1"/>
  <c r="B161" i="1"/>
  <c r="M47" i="1" s="1"/>
  <c r="N47" i="1" s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F144" i="1" l="1"/>
  <c r="F143" i="1"/>
  <c r="J135" i="1"/>
  <c r="K135" i="1" s="1"/>
  <c r="F12" i="1"/>
  <c r="F13" i="1"/>
  <c r="Q141" i="1"/>
  <c r="P140" i="1"/>
  <c r="N44" i="1"/>
  <c r="P44" i="1" s="1"/>
  <c r="J140" i="1"/>
  <c r="K141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45" i="1" l="1"/>
  <c r="B146" i="1" s="1"/>
  <c r="D146" i="1" s="1"/>
  <c r="P141" i="1" s="1"/>
  <c r="B16" i="1"/>
  <c r="B17" i="1" s="1"/>
  <c r="Y44" i="1"/>
  <c r="V44" i="1"/>
  <c r="O44" i="1"/>
  <c r="O109" i="1" s="1"/>
  <c r="O149" i="1" s="1"/>
  <c r="X44" i="1"/>
  <c r="N109" i="1"/>
  <c r="L149" i="1" s="1"/>
  <c r="U44" i="1"/>
  <c r="E18" i="1"/>
  <c r="E17" i="1"/>
  <c r="F18" i="1"/>
  <c r="F17" i="1"/>
  <c r="D26" i="1"/>
  <c r="B27" i="1" s="1"/>
  <c r="P109" i="1"/>
  <c r="R149" i="1" s="1"/>
  <c r="D27" i="1"/>
  <c r="B28" i="1" s="1"/>
  <c r="G28" i="1" s="1"/>
  <c r="D145" i="1" l="1"/>
  <c r="Q140" i="1" s="1"/>
  <c r="R140" i="1" s="1"/>
  <c r="L19" i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L24" i="1"/>
  <c r="L25" i="1" s="1"/>
  <c r="F27" i="1"/>
  <c r="F28" i="1"/>
  <c r="G27" i="1"/>
  <c r="J145" i="1" l="1"/>
  <c r="L145" i="1" s="1"/>
  <c r="N140" i="1"/>
  <c r="O140" i="1" s="1"/>
  <c r="O142" i="1" s="1"/>
  <c r="P145" i="1"/>
  <c r="R145" i="1" s="1"/>
  <c r="K140" i="1"/>
  <c r="L140" i="1" s="1"/>
  <c r="L142" i="1" s="1"/>
  <c r="M145" i="1"/>
  <c r="O145" i="1" s="1"/>
  <c r="H28" i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L151" i="1" l="1"/>
  <c r="L153" i="1" s="1"/>
  <c r="J3" i="1" s="1"/>
  <c r="V147" i="1"/>
  <c r="R153" i="1"/>
  <c r="O153" i="1"/>
  <c r="L31" i="1"/>
  <c r="B113" i="1"/>
  <c r="B117" i="1" s="1"/>
  <c r="L30" i="1"/>
  <c r="J5" i="1" l="1"/>
  <c r="B116" i="1"/>
  <c r="J4" i="1" s="1"/>
  <c r="L4" i="1" l="1"/>
  <c r="L3" i="1" l="1"/>
  <c r="Z38" i="1"/>
  <c r="AA38" i="1" l="1"/>
  <c r="L5" i="1"/>
  <c r="J7" i="1"/>
  <c r="J6" i="1"/>
  <c r="J14" i="1" l="1"/>
  <c r="L6" i="1"/>
</calcChain>
</file>

<file path=xl/sharedStrings.xml><?xml version="1.0" encoding="utf-8"?>
<sst xmlns="http://schemas.openxmlformats.org/spreadsheetml/2006/main" count="226" uniqueCount="152">
  <si>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</si>
  <si>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</si>
  <si>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</si>
  <si>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</si>
  <si>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</si>
  <si>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</si>
  <si>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</si>
  <si>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</si>
  <si>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</si>
  <si>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</si>
  <si>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</si>
  <si>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</si>
  <si>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</si>
  <si>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</si>
  <si>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</si>
  <si>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</si>
  <si>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</si>
  <si>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</si>
  <si>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</si>
  <si>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</si>
  <si>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</si>
  <si>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</si>
  <si>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</si>
  <si>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</si>
  <si>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</si>
  <si>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</si>
  <si>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</si>
  <si>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</si>
  <si>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</si>
  <si>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</si>
  <si>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</si>
  <si>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</si>
  <si>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</si>
  <si>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</si>
  <si>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</si>
  <si>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</si>
  <si>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</si>
  <si>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</si>
  <si>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</si>
  <si>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</si>
  <si>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</si>
  <si>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</si>
  <si>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</si>
  <si>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</si>
  <si>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</si>
  <si>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</si>
  <si>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</si>
  <si>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</si>
  <si>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</si>
  <si>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</si>
  <si>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</si>
  <si>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</si>
  <si>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</si>
  <si>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</si>
  <si>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</si>
  <si>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</si>
  <si>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</si>
  <si>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</si>
  <si>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</si>
  <si>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</si>
  <si>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</si>
  <si>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</si>
  <si>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</si>
  <si>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</si>
  <si>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</si>
  <si>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</si>
  <si>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</si>
  <si>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</si>
  <si>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</si>
  <si>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</si>
  <si>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</si>
  <si>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</si>
  <si>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</si>
  <si>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</si>
  <si>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</si>
  <si>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</si>
  <si>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</si>
  <si>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</si>
  <si>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</si>
  <si>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</si>
  <si>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</si>
  <si>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</si>
  <si>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</si>
  <si>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</si>
  <si>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</si>
  <si>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</si>
  <si>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</si>
  <si>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</si>
  <si>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</si>
  <si>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</si>
  <si>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</si>
  <si>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</si>
  <si>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</si>
  <si>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</si>
  <si>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</si>
  <si>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</si>
  <si>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</si>
  <si>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</si>
  <si>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</si>
  <si>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</si>
  <si>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</si>
  <si>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</si>
  <si>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</si>
  <si>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</si>
  <si>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</si>
  <si>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</si>
  <si>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</si>
  <si>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</si>
  <si>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</si>
  <si>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</si>
  <si>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</si>
  <si>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</si>
  <si>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</si>
  <si>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</si>
  <si>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</si>
  <si>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</si>
  <si>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</si>
  <si>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</si>
  <si>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</si>
  <si>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</si>
  <si>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</si>
  <si>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</si>
  <si>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</si>
  <si>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</si>
  <si>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</si>
  <si>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</si>
  <si>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</si>
  <si>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</si>
  <si>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</si>
  <si>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</si>
  <si>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</si>
  <si>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</si>
  <si>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</si>
  <si>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</si>
  <si>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</si>
  <si>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</si>
  <si>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</si>
  <si>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</si>
  <si>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</si>
  <si>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</si>
  <si>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</si>
  <si>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</si>
  <si>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Density</t>
  </si>
  <si>
    <t>PvM Run Time:</t>
  </si>
  <si>
    <t>Solver Run Time:</t>
  </si>
  <si>
    <t>First Bar @ Angle:</t>
  </si>
  <si>
    <t>cover to main bar:</t>
  </si>
  <si>
    <t>Mu/phiMn</t>
  </si>
  <si>
    <t>|Mu|</t>
  </si>
  <si>
    <t>|phi Mn|</t>
  </si>
  <si>
    <t>PCA_Parabolic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</si>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</sst>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  <xf numFmtId="167" fontId="0" fillId="0" borderId="0" xfId="0" applyNumberFormat="1"/>
    <xf numFmtId="0" fontId="0" fillId="0" borderId="13" xfId="0" applyFill="1" applyBorder="1" applyAlignment="1">
      <alignment horizontal="right"/>
    </xf>
    <xf numFmtId="169" fontId="0" fillId="2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4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3"/>
          <c:order val="1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11.843078478904385</c:v>
                </c:pt>
                <c:pt idx="1">
                  <c:v>-11.843078478904385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1.9342937063723848</c:v>
                </c:pt>
                <c:pt idx="1">
                  <c:v>1.9342937063723848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2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3.9474349650979086</c:v>
                </c:pt>
                <c:pt idx="1">
                  <c:v>3.9474349650979086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2"/>
          <c:order val="3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-9.0479212307996608</c:v>
                </c:pt>
                <c:pt idx="3">
                  <c:v>-7.9566083972695294</c:v>
                </c:pt>
                <c:pt idx="4">
                  <c:v>-3.1423100668045798</c:v>
                </c:pt>
                <c:pt idx="5">
                  <c:v>3.1423100668045838</c:v>
                </c:pt>
                <c:pt idx="6">
                  <c:v>7.9566083972695276</c:v>
                </c:pt>
                <c:pt idx="7">
                  <c:v>9.0479212307996626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1.5953926323149219</c:v>
                </c:pt>
                <c:pt idx="3">
                  <c:v>-4.5937500000000009</c:v>
                </c:pt>
                <c:pt idx="4">
                  <c:v>-8.6334259534705335</c:v>
                </c:pt>
                <c:pt idx="5">
                  <c:v>-8.6334259534705335</c:v>
                </c:pt>
                <c:pt idx="6">
                  <c:v>-4.5937500000000044</c:v>
                </c:pt>
                <c:pt idx="7">
                  <c:v>1.5953926323149186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5.6280257147364732E-16</c:v>
                </c:pt>
                <c:pt idx="1">
                  <c:v>-5.9056111639950801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5.9056111639950828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9.1875</c:v>
                </c:pt>
                <c:pt idx="1">
                  <c:v>7.0380333211556101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7.0380333211556083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357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339.75239876425223</c:v>
                </c:pt>
                <c:pt idx="1">
                  <c:v>341.48311599071019</c:v>
                </c:pt>
                <c:pt idx="2">
                  <c:v>339.62348705554427</c:v>
                </c:pt>
                <c:pt idx="3">
                  <c:v>334.52543775608666</c:v>
                </c:pt>
                <c:pt idx="4">
                  <c:v>325.27191241706026</c:v>
                </c:pt>
                <c:pt idx="5">
                  <c:v>313.57253622149324</c:v>
                </c:pt>
                <c:pt idx="6">
                  <c:v>298.40470840905579</c:v>
                </c:pt>
                <c:pt idx="7">
                  <c:v>280.40700522816456</c:v>
                </c:pt>
                <c:pt idx="8">
                  <c:v>260.26543710969861</c:v>
                </c:pt>
                <c:pt idx="9">
                  <c:v>242.77548161910951</c:v>
                </c:pt>
                <c:pt idx="10">
                  <c:v>221.92866161412405</c:v>
                </c:pt>
                <c:pt idx="11">
                  <c:v>198.95016912849437</c:v>
                </c:pt>
                <c:pt idx="12">
                  <c:v>173.07356960248362</c:v>
                </c:pt>
                <c:pt idx="13">
                  <c:v>145.89556001831207</c:v>
                </c:pt>
                <c:pt idx="14">
                  <c:v>117.55905029904805</c:v>
                </c:pt>
                <c:pt idx="15">
                  <c:v>88.125340342629201</c:v>
                </c:pt>
                <c:pt idx="16">
                  <c:v>58.997384903380791</c:v>
                </c:pt>
                <c:pt idx="17">
                  <c:v>30.470501248994815</c:v>
                </c:pt>
                <c:pt idx="18">
                  <c:v>0.39094894111942169</c:v>
                </c:pt>
                <c:pt idx="19">
                  <c:v>-29.716094719158463</c:v>
                </c:pt>
                <c:pt idx="20">
                  <c:v>-60.107819927563519</c:v>
                </c:pt>
                <c:pt idx="21">
                  <c:v>-90.047570165974363</c:v>
                </c:pt>
                <c:pt idx="22">
                  <c:v>-118.29379396919518</c:v>
                </c:pt>
                <c:pt idx="23">
                  <c:v>-145.3911506932846</c:v>
                </c:pt>
                <c:pt idx="24">
                  <c:v>-169.87619938212586</c:v>
                </c:pt>
                <c:pt idx="25">
                  <c:v>-196.09196529742465</c:v>
                </c:pt>
                <c:pt idx="26">
                  <c:v>-221.32969308634844</c:v>
                </c:pt>
                <c:pt idx="27">
                  <c:v>-244.47786759011152</c:v>
                </c:pt>
                <c:pt idx="28">
                  <c:v>-265.16409248949941</c:v>
                </c:pt>
                <c:pt idx="29">
                  <c:v>-283.85644150233389</c:v>
                </c:pt>
                <c:pt idx="30">
                  <c:v>-298.79565735017485</c:v>
                </c:pt>
                <c:pt idx="31">
                  <c:v>-310.87750647715876</c:v>
                </c:pt>
                <c:pt idx="32">
                  <c:v>-319.26282201307913</c:v>
                </c:pt>
                <c:pt idx="33">
                  <c:v>-330.90082196173842</c:v>
                </c:pt>
                <c:pt idx="34">
                  <c:v>-339.48771191317184</c:v>
                </c:pt>
                <c:pt idx="35">
                  <c:v>-344.84572914680598</c:v>
                </c:pt>
                <c:pt idx="36">
                  <c:v>-346.14713920497138</c:v>
                </c:pt>
                <c:pt idx="37">
                  <c:v>-344.84572914680638</c:v>
                </c:pt>
                <c:pt idx="38">
                  <c:v>-339.48771191317218</c:v>
                </c:pt>
                <c:pt idx="39">
                  <c:v>-330.9008219617387</c:v>
                </c:pt>
                <c:pt idx="40">
                  <c:v>-319.26282201307964</c:v>
                </c:pt>
                <c:pt idx="41">
                  <c:v>-310.87750647715933</c:v>
                </c:pt>
                <c:pt idx="42">
                  <c:v>-298.79565735017542</c:v>
                </c:pt>
                <c:pt idx="43">
                  <c:v>-283.8564415023348</c:v>
                </c:pt>
                <c:pt idx="44">
                  <c:v>-265.16409248950049</c:v>
                </c:pt>
                <c:pt idx="45">
                  <c:v>-244.47786759011274</c:v>
                </c:pt>
                <c:pt idx="46">
                  <c:v>-221.32969308634964</c:v>
                </c:pt>
                <c:pt idx="47">
                  <c:v>-196.09196529742596</c:v>
                </c:pt>
                <c:pt idx="48">
                  <c:v>-169.87619938212703</c:v>
                </c:pt>
                <c:pt idx="49">
                  <c:v>-145.39115069328602</c:v>
                </c:pt>
                <c:pt idx="50">
                  <c:v>-118.29379396919663</c:v>
                </c:pt>
                <c:pt idx="51">
                  <c:v>-90.047570165975927</c:v>
                </c:pt>
                <c:pt idx="52">
                  <c:v>-60.10781992756575</c:v>
                </c:pt>
                <c:pt idx="53">
                  <c:v>-29.716094719160061</c:v>
                </c:pt>
                <c:pt idx="54">
                  <c:v>0.39094894111792444</c:v>
                </c:pt>
                <c:pt idx="55">
                  <c:v>30.470501248993212</c:v>
                </c:pt>
                <c:pt idx="56">
                  <c:v>58.997384903379455</c:v>
                </c:pt>
                <c:pt idx="57">
                  <c:v>88.125340342627723</c:v>
                </c:pt>
                <c:pt idx="58">
                  <c:v>117.55905029904656</c:v>
                </c:pt>
                <c:pt idx="59">
                  <c:v>145.8955600183105</c:v>
                </c:pt>
                <c:pt idx="60">
                  <c:v>173.07356960248441</c:v>
                </c:pt>
                <c:pt idx="61">
                  <c:v>198.95016912849306</c:v>
                </c:pt>
                <c:pt idx="62">
                  <c:v>221.92866161412292</c:v>
                </c:pt>
                <c:pt idx="63">
                  <c:v>242.77548161910823</c:v>
                </c:pt>
                <c:pt idx="64">
                  <c:v>260.26543710969793</c:v>
                </c:pt>
                <c:pt idx="65">
                  <c:v>280.40700522816331</c:v>
                </c:pt>
                <c:pt idx="66">
                  <c:v>298.40470840905488</c:v>
                </c:pt>
                <c:pt idx="67">
                  <c:v>313.57253622149216</c:v>
                </c:pt>
                <c:pt idx="68">
                  <c:v>325.27191241705964</c:v>
                </c:pt>
                <c:pt idx="69">
                  <c:v>334.52543775608609</c:v>
                </c:pt>
                <c:pt idx="70">
                  <c:v>339.62348705554433</c:v>
                </c:pt>
                <c:pt idx="71">
                  <c:v>341.48311599070996</c:v>
                </c:pt>
                <c:pt idx="72">
                  <c:v>339.7523987642524</c:v>
                </c:pt>
                <c:pt idx="73">
                  <c:v>339.75239876425235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-2.6496200511706305E-14</c:v>
                </c:pt>
                <c:pt idx="1">
                  <c:v>29.272128959833449</c:v>
                </c:pt>
                <c:pt idx="2">
                  <c:v>59.487804091483554</c:v>
                </c:pt>
                <c:pt idx="3">
                  <c:v>89.160373788859488</c:v>
                </c:pt>
                <c:pt idx="4">
                  <c:v>118.38929416265307</c:v>
                </c:pt>
                <c:pt idx="5">
                  <c:v>146.72799762721121</c:v>
                </c:pt>
                <c:pt idx="6">
                  <c:v>172.73546768020921</c:v>
                </c:pt>
                <c:pt idx="7">
                  <c:v>197.07736414803725</c:v>
                </c:pt>
                <c:pt idx="8">
                  <c:v>218.38863228694163</c:v>
                </c:pt>
                <c:pt idx="9">
                  <c:v>241.92486760392239</c:v>
                </c:pt>
                <c:pt idx="10">
                  <c:v>263.87607119547209</c:v>
                </c:pt>
                <c:pt idx="11">
                  <c:v>283.32961540194492</c:v>
                </c:pt>
                <c:pt idx="12">
                  <c:v>299.77221599880994</c:v>
                </c:pt>
                <c:pt idx="13">
                  <c:v>313.96070825345907</c:v>
                </c:pt>
                <c:pt idx="14">
                  <c:v>324.1338943834478</c:v>
                </c:pt>
                <c:pt idx="15">
                  <c:v>331.21216830011207</c:v>
                </c:pt>
                <c:pt idx="16">
                  <c:v>334.590796407531</c:v>
                </c:pt>
                <c:pt idx="17">
                  <c:v>341.37827200072485</c:v>
                </c:pt>
                <c:pt idx="18">
                  <c:v>344.79379193123475</c:v>
                </c:pt>
                <c:pt idx="19">
                  <c:v>344.92578111053484</c:v>
                </c:pt>
                <c:pt idx="20">
                  <c:v>340.88838637204776</c:v>
                </c:pt>
                <c:pt idx="21">
                  <c:v>334.287714203311</c:v>
                </c:pt>
                <c:pt idx="22">
                  <c:v>323.86646955769874</c:v>
                </c:pt>
                <c:pt idx="23">
                  <c:v>310.36911789133973</c:v>
                </c:pt>
                <c:pt idx="24">
                  <c:v>294.23420832654335</c:v>
                </c:pt>
                <c:pt idx="25">
                  <c:v>281.09698893150653</c:v>
                </c:pt>
                <c:pt idx="26">
                  <c:v>264.37866546621524</c:v>
                </c:pt>
                <c:pt idx="27">
                  <c:v>245.12734041445168</c:v>
                </c:pt>
                <c:pt idx="28">
                  <c:v>222.49909220939782</c:v>
                </c:pt>
                <c:pt idx="29">
                  <c:v>198.19778348332378</c:v>
                </c:pt>
                <c:pt idx="30">
                  <c:v>172.05832425102616</c:v>
                </c:pt>
                <c:pt idx="31">
                  <c:v>144.30090785268828</c:v>
                </c:pt>
                <c:pt idx="32">
                  <c:v>116.20216412058993</c:v>
                </c:pt>
                <c:pt idx="33">
                  <c:v>89.287300696190272</c:v>
                </c:pt>
                <c:pt idx="34">
                  <c:v>60.257823187976513</c:v>
                </c:pt>
                <c:pt idx="35">
                  <c:v>30.631092851514936</c:v>
                </c:pt>
                <c:pt idx="36">
                  <c:v>8.2562495598797732E-13</c:v>
                </c:pt>
                <c:pt idx="37">
                  <c:v>-30.631092851513273</c:v>
                </c:pt>
                <c:pt idx="38">
                  <c:v>-60.257823187974907</c:v>
                </c:pt>
                <c:pt idx="39">
                  <c:v>-89.287300696188595</c:v>
                </c:pt>
                <c:pt idx="40">
                  <c:v>-116.20216412058855</c:v>
                </c:pt>
                <c:pt idx="41">
                  <c:v>-144.30090785268675</c:v>
                </c:pt>
                <c:pt idx="42">
                  <c:v>-172.05832425102469</c:v>
                </c:pt>
                <c:pt idx="43">
                  <c:v>-198.1977834833225</c:v>
                </c:pt>
                <c:pt idx="44">
                  <c:v>-222.49909220939659</c:v>
                </c:pt>
                <c:pt idx="45">
                  <c:v>-245.1273404144504</c:v>
                </c:pt>
                <c:pt idx="46">
                  <c:v>-264.37866546621439</c:v>
                </c:pt>
                <c:pt idx="47">
                  <c:v>-281.09698893150556</c:v>
                </c:pt>
                <c:pt idx="48">
                  <c:v>-294.23420832654284</c:v>
                </c:pt>
                <c:pt idx="49">
                  <c:v>-310.36911789133933</c:v>
                </c:pt>
                <c:pt idx="50">
                  <c:v>-323.86646955769839</c:v>
                </c:pt>
                <c:pt idx="51">
                  <c:v>-334.28771420331043</c:v>
                </c:pt>
                <c:pt idx="52">
                  <c:v>-340.88838637205174</c:v>
                </c:pt>
                <c:pt idx="53">
                  <c:v>-344.92578111053467</c:v>
                </c:pt>
                <c:pt idx="54">
                  <c:v>-344.79379193123503</c:v>
                </c:pt>
                <c:pt idx="55">
                  <c:v>-341.37827200072491</c:v>
                </c:pt>
                <c:pt idx="56">
                  <c:v>-334.59079640753146</c:v>
                </c:pt>
                <c:pt idx="57">
                  <c:v>-331.21216830011224</c:v>
                </c:pt>
                <c:pt idx="58">
                  <c:v>-324.13389438344819</c:v>
                </c:pt>
                <c:pt idx="59">
                  <c:v>-313.96070825345947</c:v>
                </c:pt>
                <c:pt idx="60">
                  <c:v>-299.77221599881449</c:v>
                </c:pt>
                <c:pt idx="61">
                  <c:v>-283.32961540194583</c:v>
                </c:pt>
                <c:pt idx="62">
                  <c:v>-263.87607119547323</c:v>
                </c:pt>
                <c:pt idx="63">
                  <c:v>-241.92486760392353</c:v>
                </c:pt>
                <c:pt idx="64">
                  <c:v>-218.38863228694308</c:v>
                </c:pt>
                <c:pt idx="65">
                  <c:v>-197.07736414803858</c:v>
                </c:pt>
                <c:pt idx="66">
                  <c:v>-172.7354676802108</c:v>
                </c:pt>
                <c:pt idx="67">
                  <c:v>-146.7279976272128</c:v>
                </c:pt>
                <c:pt idx="68">
                  <c:v>-118.38929416265476</c:v>
                </c:pt>
                <c:pt idx="69">
                  <c:v>-89.160373788861307</c:v>
                </c:pt>
                <c:pt idx="70">
                  <c:v>-59.487804091485501</c:v>
                </c:pt>
                <c:pt idx="71">
                  <c:v>-29.27212895983547</c:v>
                </c:pt>
                <c:pt idx="72">
                  <c:v>-1.8178581422218424E-12</c:v>
                </c:pt>
                <c:pt idx="73">
                  <c:v>-1.0091355895397508E-13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455.55323826967452</c:v>
                </c:pt>
                <c:pt idx="1">
                  <c:v>451.79101144564771</c:v>
                </c:pt>
                <c:pt idx="2">
                  <c:v>444.03806041391255</c:v>
                </c:pt>
                <c:pt idx="3">
                  <c:v>434.08347107256537</c:v>
                </c:pt>
                <c:pt idx="4">
                  <c:v>421.68149384718225</c:v>
                </c:pt>
                <c:pt idx="5">
                  <c:v>406.89478166171801</c:v>
                </c:pt>
                <c:pt idx="6">
                  <c:v>390.14689204538394</c:v>
                </c:pt>
                <c:pt idx="7">
                  <c:v>370.98573421686785</c:v>
                </c:pt>
                <c:pt idx="8">
                  <c:v>348.97402672133995</c:v>
                </c:pt>
                <c:pt idx="9">
                  <c:v>321.19825332121428</c:v>
                </c:pt>
                <c:pt idx="10">
                  <c:v>290.1588853814298</c:v>
                </c:pt>
                <c:pt idx="11">
                  <c:v>258.15968006815484</c:v>
                </c:pt>
                <c:pt idx="12">
                  <c:v>224.37203640830475</c:v>
                </c:pt>
                <c:pt idx="13">
                  <c:v>189.31550177957251</c:v>
                </c:pt>
                <c:pt idx="14">
                  <c:v>153.70165688909978</c:v>
                </c:pt>
                <c:pt idx="15">
                  <c:v>116.59210890084388</c:v>
                </c:pt>
                <c:pt idx="16">
                  <c:v>79.105989655798098</c:v>
                </c:pt>
                <c:pt idx="17">
                  <c:v>40.313262746828578</c:v>
                </c:pt>
                <c:pt idx="18">
                  <c:v>0.5111431221691386</c:v>
                </c:pt>
                <c:pt idx="19">
                  <c:v>-38.559894365398627</c:v>
                </c:pt>
                <c:pt idx="20">
                  <c:v>-77.923590483440151</c:v>
                </c:pt>
                <c:pt idx="21">
                  <c:v>-116.84660539267266</c:v>
                </c:pt>
                <c:pt idx="22">
                  <c:v>-154.66229172923428</c:v>
                </c:pt>
                <c:pt idx="23">
                  <c:v>-192.35625994683889</c:v>
                </c:pt>
                <c:pt idx="24">
                  <c:v>-227.77661913483692</c:v>
                </c:pt>
                <c:pt idx="25">
                  <c:v>-259.43475149880743</c:v>
                </c:pt>
                <c:pt idx="26">
                  <c:v>-289.37576868467744</c:v>
                </c:pt>
                <c:pt idx="27">
                  <c:v>-317.23686567989171</c:v>
                </c:pt>
                <c:pt idx="28">
                  <c:v>-343.75790336371114</c:v>
                </c:pt>
                <c:pt idx="29">
                  <c:v>-368.33488729631819</c:v>
                </c:pt>
                <c:pt idx="30">
                  <c:v>-390.65803516755227</c:v>
                </c:pt>
                <c:pt idx="31">
                  <c:v>-411.29899696369563</c:v>
                </c:pt>
                <c:pt idx="32">
                  <c:v>-428.08001637713755</c:v>
                </c:pt>
                <c:pt idx="33">
                  <c:v>-437.79036222205769</c:v>
                </c:pt>
                <c:pt idx="34">
                  <c:v>-443.86054227052927</c:v>
                </c:pt>
                <c:pt idx="35">
                  <c:v>-447.47518184772667</c:v>
                </c:pt>
                <c:pt idx="36">
                  <c:v>-448.74407281656983</c:v>
                </c:pt>
                <c:pt idx="37">
                  <c:v>-447.47518184772724</c:v>
                </c:pt>
                <c:pt idx="38">
                  <c:v>-443.86054227052938</c:v>
                </c:pt>
                <c:pt idx="39">
                  <c:v>-437.79036222205815</c:v>
                </c:pt>
                <c:pt idx="40">
                  <c:v>-428.08001637713818</c:v>
                </c:pt>
                <c:pt idx="41">
                  <c:v>-411.29899696369665</c:v>
                </c:pt>
                <c:pt idx="42">
                  <c:v>-390.65803516755341</c:v>
                </c:pt>
                <c:pt idx="43">
                  <c:v>-368.33488729631944</c:v>
                </c:pt>
                <c:pt idx="44">
                  <c:v>-343.7579033637125</c:v>
                </c:pt>
                <c:pt idx="45">
                  <c:v>-317.2368656798933</c:v>
                </c:pt>
                <c:pt idx="46">
                  <c:v>-289.3757686846788</c:v>
                </c:pt>
                <c:pt idx="47">
                  <c:v>-259.43475149880913</c:v>
                </c:pt>
                <c:pt idx="48">
                  <c:v>-227.77661913483834</c:v>
                </c:pt>
                <c:pt idx="49">
                  <c:v>-192.35625994684099</c:v>
                </c:pt>
                <c:pt idx="50">
                  <c:v>-154.66229172923616</c:v>
                </c:pt>
                <c:pt idx="51">
                  <c:v>-116.84660539267469</c:v>
                </c:pt>
                <c:pt idx="52">
                  <c:v>-77.923590483435234</c:v>
                </c:pt>
                <c:pt idx="53">
                  <c:v>-38.559894365400702</c:v>
                </c:pt>
                <c:pt idx="54">
                  <c:v>0.51114312216718083</c:v>
                </c:pt>
                <c:pt idx="55">
                  <c:v>40.313262746826418</c:v>
                </c:pt>
                <c:pt idx="56">
                  <c:v>79.105989655796265</c:v>
                </c:pt>
                <c:pt idx="57">
                  <c:v>116.59210890084196</c:v>
                </c:pt>
                <c:pt idx="58">
                  <c:v>153.70165688909788</c:v>
                </c:pt>
                <c:pt idx="59">
                  <c:v>189.31550177957055</c:v>
                </c:pt>
                <c:pt idx="60">
                  <c:v>224.37203640828332</c:v>
                </c:pt>
                <c:pt idx="61">
                  <c:v>258.15968006815314</c:v>
                </c:pt>
                <c:pt idx="62">
                  <c:v>290.15888538142792</c:v>
                </c:pt>
                <c:pt idx="63">
                  <c:v>321.19825332121223</c:v>
                </c:pt>
                <c:pt idx="64">
                  <c:v>348.97402672133882</c:v>
                </c:pt>
                <c:pt idx="65">
                  <c:v>370.98573421686643</c:v>
                </c:pt>
                <c:pt idx="66">
                  <c:v>390.14689204538291</c:v>
                </c:pt>
                <c:pt idx="67">
                  <c:v>406.89478166171671</c:v>
                </c:pt>
                <c:pt idx="68">
                  <c:v>421.68149384718129</c:v>
                </c:pt>
                <c:pt idx="69">
                  <c:v>434.08347107256463</c:v>
                </c:pt>
                <c:pt idx="70">
                  <c:v>444.03806041391209</c:v>
                </c:pt>
                <c:pt idx="71">
                  <c:v>451.79101144564686</c:v>
                </c:pt>
                <c:pt idx="72">
                  <c:v>455.55323826967452</c:v>
                </c:pt>
                <c:pt idx="73">
                  <c:v>455.55323826967464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-3.5527136788005009E-14</c:v>
                </c:pt>
                <c:pt idx="1">
                  <c:v>38.727785154362842</c:v>
                </c:pt>
                <c:pt idx="2">
                  <c:v>77.776862183695528</c:v>
                </c:pt>
                <c:pt idx="3">
                  <c:v>115.69537071980501</c:v>
                </c:pt>
                <c:pt idx="4">
                  <c:v>153.47951210128107</c:v>
                </c:pt>
                <c:pt idx="5">
                  <c:v>190.39568094067343</c:v>
                </c:pt>
                <c:pt idx="6">
                  <c:v>225.84163038425541</c:v>
                </c:pt>
                <c:pt idx="7">
                  <c:v>260.73845971320634</c:v>
                </c:pt>
                <c:pt idx="8">
                  <c:v>292.82397711232659</c:v>
                </c:pt>
                <c:pt idx="9">
                  <c:v>320.07286893681709</c:v>
                </c:pt>
                <c:pt idx="10">
                  <c:v>345.00269654235666</c:v>
                </c:pt>
                <c:pt idx="11">
                  <c:v>367.6512726096671</c:v>
                </c:pt>
                <c:pt idx="12">
                  <c:v>388.62376685687769</c:v>
                </c:pt>
                <c:pt idx="13">
                  <c:v>407.39847747671871</c:v>
                </c:pt>
                <c:pt idx="14">
                  <c:v>423.78631414527359</c:v>
                </c:pt>
                <c:pt idx="15">
                  <c:v>438.20228149576957</c:v>
                </c:pt>
                <c:pt idx="16">
                  <c:v>448.63236095779325</c:v>
                </c:pt>
                <c:pt idx="17">
                  <c:v>451.65230013003247</c:v>
                </c:pt>
                <c:pt idx="18">
                  <c:v>450.79793491097507</c:v>
                </c:pt>
                <c:pt idx="19">
                  <c:v>447.57905805670714</c:v>
                </c:pt>
                <c:pt idx="20">
                  <c:v>441.92664202807191</c:v>
                </c:pt>
                <c:pt idx="21">
                  <c:v>433.77499867167194</c:v>
                </c:pt>
                <c:pt idx="22">
                  <c:v>423.43667165746552</c:v>
                </c:pt>
                <c:pt idx="23">
                  <c:v>410.62638569057799</c:v>
                </c:pt>
                <c:pt idx="24">
                  <c:v>394.5206771178037</c:v>
                </c:pt>
                <c:pt idx="25">
                  <c:v>371.89860053621578</c:v>
                </c:pt>
                <c:pt idx="26">
                  <c:v>345.65980947377017</c:v>
                </c:pt>
                <c:pt idx="27">
                  <c:v>318.07962795186711</c:v>
                </c:pt>
                <c:pt idx="28">
                  <c:v>288.44712992676597</c:v>
                </c:pt>
                <c:pt idx="29">
                  <c:v>257.18337711603385</c:v>
                </c:pt>
                <c:pt idx="30">
                  <c:v>224.95630452672023</c:v>
                </c:pt>
                <c:pt idx="31">
                  <c:v>190.9138404168269</c:v>
                </c:pt>
                <c:pt idx="32">
                  <c:v>155.80838384546738</c:v>
                </c:pt>
                <c:pt idx="33">
                  <c:v>118.12941255895321</c:v>
                </c:pt>
                <c:pt idx="34">
                  <c:v>78.783617602918028</c:v>
                </c:pt>
                <c:pt idx="35">
                  <c:v>39.747204867052652</c:v>
                </c:pt>
                <c:pt idx="36">
                  <c:v>1.0703376206430455E-12</c:v>
                </c:pt>
                <c:pt idx="37">
                  <c:v>-39.747204867050499</c:v>
                </c:pt>
                <c:pt idx="38">
                  <c:v>-78.783617602915868</c:v>
                </c:pt>
                <c:pt idx="39">
                  <c:v>-118.12941255895102</c:v>
                </c:pt>
                <c:pt idx="40">
                  <c:v>-155.8083838454655</c:v>
                </c:pt>
                <c:pt idx="41">
                  <c:v>-190.913840416825</c:v>
                </c:pt>
                <c:pt idx="42">
                  <c:v>-224.95630452671853</c:v>
                </c:pt>
                <c:pt idx="43">
                  <c:v>-257.1833771160322</c:v>
                </c:pt>
                <c:pt idx="44">
                  <c:v>-288.44712992676438</c:v>
                </c:pt>
                <c:pt idx="45">
                  <c:v>-318.07962795186546</c:v>
                </c:pt>
                <c:pt idx="46">
                  <c:v>-345.6598094737688</c:v>
                </c:pt>
                <c:pt idx="47">
                  <c:v>-371.89860053621447</c:v>
                </c:pt>
                <c:pt idx="48">
                  <c:v>-394.52067711780279</c:v>
                </c:pt>
                <c:pt idx="49">
                  <c:v>-410.62638569057799</c:v>
                </c:pt>
                <c:pt idx="50">
                  <c:v>-423.43667165746507</c:v>
                </c:pt>
                <c:pt idx="51">
                  <c:v>-433.77499867167126</c:v>
                </c:pt>
                <c:pt idx="52">
                  <c:v>-441.92664202803275</c:v>
                </c:pt>
                <c:pt idx="53">
                  <c:v>-447.57905805670691</c:v>
                </c:pt>
                <c:pt idx="54">
                  <c:v>-450.79793491097524</c:v>
                </c:pt>
                <c:pt idx="55">
                  <c:v>-451.65230013003207</c:v>
                </c:pt>
                <c:pt idx="56">
                  <c:v>-448.63236095779365</c:v>
                </c:pt>
                <c:pt idx="57">
                  <c:v>-438.20228149576991</c:v>
                </c:pt>
                <c:pt idx="58">
                  <c:v>-423.78631414527422</c:v>
                </c:pt>
                <c:pt idx="59">
                  <c:v>-407.39847747671945</c:v>
                </c:pt>
                <c:pt idx="60">
                  <c:v>-388.62376685684461</c:v>
                </c:pt>
                <c:pt idx="61">
                  <c:v>-367.65127260966824</c:v>
                </c:pt>
                <c:pt idx="62">
                  <c:v>-345.00269654235768</c:v>
                </c:pt>
                <c:pt idx="63">
                  <c:v>-320.07286893681828</c:v>
                </c:pt>
                <c:pt idx="64">
                  <c:v>-292.82397711232829</c:v>
                </c:pt>
                <c:pt idx="65">
                  <c:v>-260.73845971320827</c:v>
                </c:pt>
                <c:pt idx="66">
                  <c:v>-225.84163038425757</c:v>
                </c:pt>
                <c:pt idx="67">
                  <c:v>-190.39568094067553</c:v>
                </c:pt>
                <c:pt idx="68">
                  <c:v>-153.47951210128323</c:v>
                </c:pt>
                <c:pt idx="69">
                  <c:v>-115.69537071980739</c:v>
                </c:pt>
                <c:pt idx="70">
                  <c:v>-77.776862183697986</c:v>
                </c:pt>
                <c:pt idx="71">
                  <c:v>-38.727785154365471</c:v>
                </c:pt>
                <c:pt idx="72">
                  <c:v>-2.4374549419404658E-12</c:v>
                </c:pt>
                <c:pt idx="73">
                  <c:v>-1.3530882705761206E-13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339.75239876425223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-2.6496200511706305E-14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339.75239876425223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-2.6496200511706305E-14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357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96130619354791"/>
          <c:y val="8.8939232913153282E-2"/>
          <c:w val="0.75684441134620783"/>
          <c:h val="0.84272719894062587"/>
        </c:manualLayout>
      </c:layout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339.75239876425223</c:v>
                </c:pt>
                <c:pt idx="1">
                  <c:v>341.48311599071019</c:v>
                </c:pt>
                <c:pt idx="2">
                  <c:v>339.62348705554427</c:v>
                </c:pt>
                <c:pt idx="3">
                  <c:v>334.52543775608666</c:v>
                </c:pt>
                <c:pt idx="4">
                  <c:v>325.27191241706026</c:v>
                </c:pt>
                <c:pt idx="5">
                  <c:v>313.57253622149324</c:v>
                </c:pt>
                <c:pt idx="6">
                  <c:v>298.40470840905579</c:v>
                </c:pt>
                <c:pt idx="7">
                  <c:v>280.40700522816456</c:v>
                </c:pt>
                <c:pt idx="8">
                  <c:v>260.26543710969861</c:v>
                </c:pt>
                <c:pt idx="9">
                  <c:v>242.77548161910951</c:v>
                </c:pt>
                <c:pt idx="10">
                  <c:v>221.92866161412405</c:v>
                </c:pt>
                <c:pt idx="11">
                  <c:v>198.95016912849437</c:v>
                </c:pt>
                <c:pt idx="12">
                  <c:v>173.07356960248362</c:v>
                </c:pt>
                <c:pt idx="13">
                  <c:v>145.89556001831207</c:v>
                </c:pt>
                <c:pt idx="14">
                  <c:v>117.55905029904805</c:v>
                </c:pt>
                <c:pt idx="15">
                  <c:v>88.125340342629201</c:v>
                </c:pt>
                <c:pt idx="16">
                  <c:v>58.997384903380791</c:v>
                </c:pt>
                <c:pt idx="17">
                  <c:v>30.470501248994815</c:v>
                </c:pt>
                <c:pt idx="18">
                  <c:v>0.39094894111942169</c:v>
                </c:pt>
                <c:pt idx="19">
                  <c:v>-29.716094719158463</c:v>
                </c:pt>
                <c:pt idx="20">
                  <c:v>-60.107819927563519</c:v>
                </c:pt>
                <c:pt idx="21">
                  <c:v>-90.047570165974363</c:v>
                </c:pt>
                <c:pt idx="22">
                  <c:v>-118.29379396919518</c:v>
                </c:pt>
                <c:pt idx="23">
                  <c:v>-145.3911506932846</c:v>
                </c:pt>
                <c:pt idx="24">
                  <c:v>-169.87619938212586</c:v>
                </c:pt>
                <c:pt idx="25">
                  <c:v>-196.09196529742465</c:v>
                </c:pt>
                <c:pt idx="26">
                  <c:v>-221.32969308634844</c:v>
                </c:pt>
                <c:pt idx="27">
                  <c:v>-244.47786759011152</c:v>
                </c:pt>
                <c:pt idx="28">
                  <c:v>-265.16409248949941</c:v>
                </c:pt>
                <c:pt idx="29">
                  <c:v>-283.85644150233389</c:v>
                </c:pt>
                <c:pt idx="30">
                  <c:v>-298.79565735017485</c:v>
                </c:pt>
                <c:pt idx="31">
                  <c:v>-310.87750647715876</c:v>
                </c:pt>
                <c:pt idx="32">
                  <c:v>-319.26282201307913</c:v>
                </c:pt>
                <c:pt idx="33">
                  <c:v>-330.90082196173842</c:v>
                </c:pt>
                <c:pt idx="34">
                  <c:v>-339.48771191317184</c:v>
                </c:pt>
                <c:pt idx="35">
                  <c:v>-344.84572914680598</c:v>
                </c:pt>
                <c:pt idx="36">
                  <c:v>-346.14713920497138</c:v>
                </c:pt>
                <c:pt idx="37">
                  <c:v>-344.84572914680638</c:v>
                </c:pt>
                <c:pt idx="38">
                  <c:v>-339.48771191317218</c:v>
                </c:pt>
                <c:pt idx="39">
                  <c:v>-330.9008219617387</c:v>
                </c:pt>
                <c:pt idx="40">
                  <c:v>-319.26282201307964</c:v>
                </c:pt>
                <c:pt idx="41">
                  <c:v>-310.87750647715933</c:v>
                </c:pt>
                <c:pt idx="42">
                  <c:v>-298.79565735017542</c:v>
                </c:pt>
                <c:pt idx="43">
                  <c:v>-283.8564415023348</c:v>
                </c:pt>
                <c:pt idx="44">
                  <c:v>-265.16409248950049</c:v>
                </c:pt>
                <c:pt idx="45">
                  <c:v>-244.47786759011274</c:v>
                </c:pt>
                <c:pt idx="46">
                  <c:v>-221.32969308634964</c:v>
                </c:pt>
                <c:pt idx="47">
                  <c:v>-196.09196529742596</c:v>
                </c:pt>
                <c:pt idx="48">
                  <c:v>-169.87619938212703</c:v>
                </c:pt>
                <c:pt idx="49">
                  <c:v>-145.39115069328602</c:v>
                </c:pt>
                <c:pt idx="50">
                  <c:v>-118.29379396919663</c:v>
                </c:pt>
                <c:pt idx="51">
                  <c:v>-90.047570165975927</c:v>
                </c:pt>
                <c:pt idx="52">
                  <c:v>-60.10781992756575</c:v>
                </c:pt>
                <c:pt idx="53">
                  <c:v>-29.716094719160061</c:v>
                </c:pt>
                <c:pt idx="54">
                  <c:v>0.39094894111792444</c:v>
                </c:pt>
                <c:pt idx="55">
                  <c:v>30.470501248993212</c:v>
                </c:pt>
                <c:pt idx="56">
                  <c:v>58.997384903379455</c:v>
                </c:pt>
                <c:pt idx="57">
                  <c:v>88.125340342627723</c:v>
                </c:pt>
                <c:pt idx="58">
                  <c:v>117.55905029904656</c:v>
                </c:pt>
                <c:pt idx="59">
                  <c:v>145.8955600183105</c:v>
                </c:pt>
                <c:pt idx="60">
                  <c:v>173.07356960248441</c:v>
                </c:pt>
                <c:pt idx="61">
                  <c:v>198.95016912849306</c:v>
                </c:pt>
                <c:pt idx="62">
                  <c:v>221.92866161412292</c:v>
                </c:pt>
                <c:pt idx="63">
                  <c:v>242.77548161910823</c:v>
                </c:pt>
                <c:pt idx="64">
                  <c:v>260.26543710969793</c:v>
                </c:pt>
                <c:pt idx="65">
                  <c:v>280.40700522816331</c:v>
                </c:pt>
                <c:pt idx="66">
                  <c:v>298.40470840905488</c:v>
                </c:pt>
                <c:pt idx="67">
                  <c:v>313.57253622149216</c:v>
                </c:pt>
                <c:pt idx="68">
                  <c:v>325.27191241705964</c:v>
                </c:pt>
                <c:pt idx="69">
                  <c:v>334.52543775608609</c:v>
                </c:pt>
                <c:pt idx="70">
                  <c:v>339.62348705554433</c:v>
                </c:pt>
                <c:pt idx="71">
                  <c:v>341.48311599070996</c:v>
                </c:pt>
                <c:pt idx="72">
                  <c:v>339.7523987642524</c:v>
                </c:pt>
                <c:pt idx="73">
                  <c:v>339.75239876425235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-2.6496200511706305E-14</c:v>
                </c:pt>
                <c:pt idx="1">
                  <c:v>29.272128959833449</c:v>
                </c:pt>
                <c:pt idx="2">
                  <c:v>59.487804091483554</c:v>
                </c:pt>
                <c:pt idx="3">
                  <c:v>89.160373788859488</c:v>
                </c:pt>
                <c:pt idx="4">
                  <c:v>118.38929416265307</c:v>
                </c:pt>
                <c:pt idx="5">
                  <c:v>146.72799762721121</c:v>
                </c:pt>
                <c:pt idx="6">
                  <c:v>172.73546768020921</c:v>
                </c:pt>
                <c:pt idx="7">
                  <c:v>197.07736414803725</c:v>
                </c:pt>
                <c:pt idx="8">
                  <c:v>218.38863228694163</c:v>
                </c:pt>
                <c:pt idx="9">
                  <c:v>241.92486760392239</c:v>
                </c:pt>
                <c:pt idx="10">
                  <c:v>263.87607119547209</c:v>
                </c:pt>
                <c:pt idx="11">
                  <c:v>283.32961540194492</c:v>
                </c:pt>
                <c:pt idx="12">
                  <c:v>299.77221599880994</c:v>
                </c:pt>
                <c:pt idx="13">
                  <c:v>313.96070825345907</c:v>
                </c:pt>
                <c:pt idx="14">
                  <c:v>324.1338943834478</c:v>
                </c:pt>
                <c:pt idx="15">
                  <c:v>331.21216830011207</c:v>
                </c:pt>
                <c:pt idx="16">
                  <c:v>334.590796407531</c:v>
                </c:pt>
                <c:pt idx="17">
                  <c:v>341.37827200072485</c:v>
                </c:pt>
                <c:pt idx="18">
                  <c:v>344.79379193123475</c:v>
                </c:pt>
                <c:pt idx="19">
                  <c:v>344.92578111053484</c:v>
                </c:pt>
                <c:pt idx="20">
                  <c:v>340.88838637204776</c:v>
                </c:pt>
                <c:pt idx="21">
                  <c:v>334.287714203311</c:v>
                </c:pt>
                <c:pt idx="22">
                  <c:v>323.86646955769874</c:v>
                </c:pt>
                <c:pt idx="23">
                  <c:v>310.36911789133973</c:v>
                </c:pt>
                <c:pt idx="24">
                  <c:v>294.23420832654335</c:v>
                </c:pt>
                <c:pt idx="25">
                  <c:v>281.09698893150653</c:v>
                </c:pt>
                <c:pt idx="26">
                  <c:v>264.37866546621524</c:v>
                </c:pt>
                <c:pt idx="27">
                  <c:v>245.12734041445168</c:v>
                </c:pt>
                <c:pt idx="28">
                  <c:v>222.49909220939782</c:v>
                </c:pt>
                <c:pt idx="29">
                  <c:v>198.19778348332378</c:v>
                </c:pt>
                <c:pt idx="30">
                  <c:v>172.05832425102616</c:v>
                </c:pt>
                <c:pt idx="31">
                  <c:v>144.30090785268828</c:v>
                </c:pt>
                <c:pt idx="32">
                  <c:v>116.20216412058993</c:v>
                </c:pt>
                <c:pt idx="33">
                  <c:v>89.287300696190272</c:v>
                </c:pt>
                <c:pt idx="34">
                  <c:v>60.257823187976513</c:v>
                </c:pt>
                <c:pt idx="35">
                  <c:v>30.631092851514936</c:v>
                </c:pt>
                <c:pt idx="36">
                  <c:v>8.2562495598797732E-13</c:v>
                </c:pt>
                <c:pt idx="37">
                  <c:v>-30.631092851513273</c:v>
                </c:pt>
                <c:pt idx="38">
                  <c:v>-60.257823187974907</c:v>
                </c:pt>
                <c:pt idx="39">
                  <c:v>-89.287300696188595</c:v>
                </c:pt>
                <c:pt idx="40">
                  <c:v>-116.20216412058855</c:v>
                </c:pt>
                <c:pt idx="41">
                  <c:v>-144.30090785268675</c:v>
                </c:pt>
                <c:pt idx="42">
                  <c:v>-172.05832425102469</c:v>
                </c:pt>
                <c:pt idx="43">
                  <c:v>-198.1977834833225</c:v>
                </c:pt>
                <c:pt idx="44">
                  <c:v>-222.49909220939659</c:v>
                </c:pt>
                <c:pt idx="45">
                  <c:v>-245.1273404144504</c:v>
                </c:pt>
                <c:pt idx="46">
                  <c:v>-264.37866546621439</c:v>
                </c:pt>
                <c:pt idx="47">
                  <c:v>-281.09698893150556</c:v>
                </c:pt>
                <c:pt idx="48">
                  <c:v>-294.23420832654284</c:v>
                </c:pt>
                <c:pt idx="49">
                  <c:v>-310.36911789133933</c:v>
                </c:pt>
                <c:pt idx="50">
                  <c:v>-323.86646955769839</c:v>
                </c:pt>
                <c:pt idx="51">
                  <c:v>-334.28771420331043</c:v>
                </c:pt>
                <c:pt idx="52">
                  <c:v>-340.88838637205174</c:v>
                </c:pt>
                <c:pt idx="53">
                  <c:v>-344.92578111053467</c:v>
                </c:pt>
                <c:pt idx="54">
                  <c:v>-344.79379193123503</c:v>
                </c:pt>
                <c:pt idx="55">
                  <c:v>-341.37827200072491</c:v>
                </c:pt>
                <c:pt idx="56">
                  <c:v>-334.59079640753146</c:v>
                </c:pt>
                <c:pt idx="57">
                  <c:v>-331.21216830011224</c:v>
                </c:pt>
                <c:pt idx="58">
                  <c:v>-324.13389438344819</c:v>
                </c:pt>
                <c:pt idx="59">
                  <c:v>-313.96070825345947</c:v>
                </c:pt>
                <c:pt idx="60">
                  <c:v>-299.77221599881449</c:v>
                </c:pt>
                <c:pt idx="61">
                  <c:v>-283.32961540194583</c:v>
                </c:pt>
                <c:pt idx="62">
                  <c:v>-263.87607119547323</c:v>
                </c:pt>
                <c:pt idx="63">
                  <c:v>-241.92486760392353</c:v>
                </c:pt>
                <c:pt idx="64">
                  <c:v>-218.38863228694308</c:v>
                </c:pt>
                <c:pt idx="65">
                  <c:v>-197.07736414803858</c:v>
                </c:pt>
                <c:pt idx="66">
                  <c:v>-172.7354676802108</c:v>
                </c:pt>
                <c:pt idx="67">
                  <c:v>-146.7279976272128</c:v>
                </c:pt>
                <c:pt idx="68">
                  <c:v>-118.38929416265476</c:v>
                </c:pt>
                <c:pt idx="69">
                  <c:v>-89.160373788861307</c:v>
                </c:pt>
                <c:pt idx="70">
                  <c:v>-59.487804091485501</c:v>
                </c:pt>
                <c:pt idx="71">
                  <c:v>-29.27212895983547</c:v>
                </c:pt>
                <c:pt idx="72">
                  <c:v>-1.8178581422218424E-12</c:v>
                </c:pt>
                <c:pt idx="73">
                  <c:v>-1.0091355895397508E-13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4EFF-9FED-91A8171ACB73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455.55323826967452</c:v>
                </c:pt>
                <c:pt idx="1">
                  <c:v>451.79101144564771</c:v>
                </c:pt>
                <c:pt idx="2">
                  <c:v>444.03806041391255</c:v>
                </c:pt>
                <c:pt idx="3">
                  <c:v>434.08347107256537</c:v>
                </c:pt>
                <c:pt idx="4">
                  <c:v>421.68149384718225</c:v>
                </c:pt>
                <c:pt idx="5">
                  <c:v>406.89478166171801</c:v>
                </c:pt>
                <c:pt idx="6">
                  <c:v>390.14689204538394</c:v>
                </c:pt>
                <c:pt idx="7">
                  <c:v>370.98573421686785</c:v>
                </c:pt>
                <c:pt idx="8">
                  <c:v>348.97402672133995</c:v>
                </c:pt>
                <c:pt idx="9">
                  <c:v>321.19825332121428</c:v>
                </c:pt>
                <c:pt idx="10">
                  <c:v>290.1588853814298</c:v>
                </c:pt>
                <c:pt idx="11">
                  <c:v>258.15968006815484</c:v>
                </c:pt>
                <c:pt idx="12">
                  <c:v>224.37203640830475</c:v>
                </c:pt>
                <c:pt idx="13">
                  <c:v>189.31550177957251</c:v>
                </c:pt>
                <c:pt idx="14">
                  <c:v>153.70165688909978</c:v>
                </c:pt>
                <c:pt idx="15">
                  <c:v>116.59210890084388</c:v>
                </c:pt>
                <c:pt idx="16">
                  <c:v>79.105989655798098</c:v>
                </c:pt>
                <c:pt idx="17">
                  <c:v>40.313262746828578</c:v>
                </c:pt>
                <c:pt idx="18">
                  <c:v>0.5111431221691386</c:v>
                </c:pt>
                <c:pt idx="19">
                  <c:v>-38.559894365398627</c:v>
                </c:pt>
                <c:pt idx="20">
                  <c:v>-77.923590483440151</c:v>
                </c:pt>
                <c:pt idx="21">
                  <c:v>-116.84660539267266</c:v>
                </c:pt>
                <c:pt idx="22">
                  <c:v>-154.66229172923428</c:v>
                </c:pt>
                <c:pt idx="23">
                  <c:v>-192.35625994683889</c:v>
                </c:pt>
                <c:pt idx="24">
                  <c:v>-227.77661913483692</c:v>
                </c:pt>
                <c:pt idx="25">
                  <c:v>-259.43475149880743</c:v>
                </c:pt>
                <c:pt idx="26">
                  <c:v>-289.37576868467744</c:v>
                </c:pt>
                <c:pt idx="27">
                  <c:v>-317.23686567989171</c:v>
                </c:pt>
                <c:pt idx="28">
                  <c:v>-343.75790336371114</c:v>
                </c:pt>
                <c:pt idx="29">
                  <c:v>-368.33488729631819</c:v>
                </c:pt>
                <c:pt idx="30">
                  <c:v>-390.65803516755227</c:v>
                </c:pt>
                <c:pt idx="31">
                  <c:v>-411.29899696369563</c:v>
                </c:pt>
                <c:pt idx="32">
                  <c:v>-428.08001637713755</c:v>
                </c:pt>
                <c:pt idx="33">
                  <c:v>-437.79036222205769</c:v>
                </c:pt>
                <c:pt idx="34">
                  <c:v>-443.86054227052927</c:v>
                </c:pt>
                <c:pt idx="35">
                  <c:v>-447.47518184772667</c:v>
                </c:pt>
                <c:pt idx="36">
                  <c:v>-448.74407281656983</c:v>
                </c:pt>
                <c:pt idx="37">
                  <c:v>-447.47518184772724</c:v>
                </c:pt>
                <c:pt idx="38">
                  <c:v>-443.86054227052938</c:v>
                </c:pt>
                <c:pt idx="39">
                  <c:v>-437.79036222205815</c:v>
                </c:pt>
                <c:pt idx="40">
                  <c:v>-428.08001637713818</c:v>
                </c:pt>
                <c:pt idx="41">
                  <c:v>-411.29899696369665</c:v>
                </c:pt>
                <c:pt idx="42">
                  <c:v>-390.65803516755341</c:v>
                </c:pt>
                <c:pt idx="43">
                  <c:v>-368.33488729631944</c:v>
                </c:pt>
                <c:pt idx="44">
                  <c:v>-343.7579033637125</c:v>
                </c:pt>
                <c:pt idx="45">
                  <c:v>-317.2368656798933</c:v>
                </c:pt>
                <c:pt idx="46">
                  <c:v>-289.3757686846788</c:v>
                </c:pt>
                <c:pt idx="47">
                  <c:v>-259.43475149880913</c:v>
                </c:pt>
                <c:pt idx="48">
                  <c:v>-227.77661913483834</c:v>
                </c:pt>
                <c:pt idx="49">
                  <c:v>-192.35625994684099</c:v>
                </c:pt>
                <c:pt idx="50">
                  <c:v>-154.66229172923616</c:v>
                </c:pt>
                <c:pt idx="51">
                  <c:v>-116.84660539267469</c:v>
                </c:pt>
                <c:pt idx="52">
                  <c:v>-77.923590483435234</c:v>
                </c:pt>
                <c:pt idx="53">
                  <c:v>-38.559894365400702</c:v>
                </c:pt>
                <c:pt idx="54">
                  <c:v>0.51114312216718083</c:v>
                </c:pt>
                <c:pt idx="55">
                  <c:v>40.313262746826418</c:v>
                </c:pt>
                <c:pt idx="56">
                  <c:v>79.105989655796265</c:v>
                </c:pt>
                <c:pt idx="57">
                  <c:v>116.59210890084196</c:v>
                </c:pt>
                <c:pt idx="58">
                  <c:v>153.70165688909788</c:v>
                </c:pt>
                <c:pt idx="59">
                  <c:v>189.31550177957055</c:v>
                </c:pt>
                <c:pt idx="60">
                  <c:v>224.37203640828332</c:v>
                </c:pt>
                <c:pt idx="61">
                  <c:v>258.15968006815314</c:v>
                </c:pt>
                <c:pt idx="62">
                  <c:v>290.15888538142792</c:v>
                </c:pt>
                <c:pt idx="63">
                  <c:v>321.19825332121223</c:v>
                </c:pt>
                <c:pt idx="64">
                  <c:v>348.97402672133882</c:v>
                </c:pt>
                <c:pt idx="65">
                  <c:v>370.98573421686643</c:v>
                </c:pt>
                <c:pt idx="66">
                  <c:v>390.14689204538291</c:v>
                </c:pt>
                <c:pt idx="67">
                  <c:v>406.89478166171671</c:v>
                </c:pt>
                <c:pt idx="68">
                  <c:v>421.68149384718129</c:v>
                </c:pt>
                <c:pt idx="69">
                  <c:v>434.08347107256463</c:v>
                </c:pt>
                <c:pt idx="70">
                  <c:v>444.03806041391209</c:v>
                </c:pt>
                <c:pt idx="71">
                  <c:v>451.79101144564686</c:v>
                </c:pt>
                <c:pt idx="72">
                  <c:v>455.55323826967452</c:v>
                </c:pt>
                <c:pt idx="73">
                  <c:v>455.55323826967464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-3.5527136788005009E-14</c:v>
                </c:pt>
                <c:pt idx="1">
                  <c:v>38.727785154362842</c:v>
                </c:pt>
                <c:pt idx="2">
                  <c:v>77.776862183695528</c:v>
                </c:pt>
                <c:pt idx="3">
                  <c:v>115.69537071980501</c:v>
                </c:pt>
                <c:pt idx="4">
                  <c:v>153.47951210128107</c:v>
                </c:pt>
                <c:pt idx="5">
                  <c:v>190.39568094067343</c:v>
                </c:pt>
                <c:pt idx="6">
                  <c:v>225.84163038425541</c:v>
                </c:pt>
                <c:pt idx="7">
                  <c:v>260.73845971320634</c:v>
                </c:pt>
                <c:pt idx="8">
                  <c:v>292.82397711232659</c:v>
                </c:pt>
                <c:pt idx="9">
                  <c:v>320.07286893681709</c:v>
                </c:pt>
                <c:pt idx="10">
                  <c:v>345.00269654235666</c:v>
                </c:pt>
                <c:pt idx="11">
                  <c:v>367.6512726096671</c:v>
                </c:pt>
                <c:pt idx="12">
                  <c:v>388.62376685687769</c:v>
                </c:pt>
                <c:pt idx="13">
                  <c:v>407.39847747671871</c:v>
                </c:pt>
                <c:pt idx="14">
                  <c:v>423.78631414527359</c:v>
                </c:pt>
                <c:pt idx="15">
                  <c:v>438.20228149576957</c:v>
                </c:pt>
                <c:pt idx="16">
                  <c:v>448.63236095779325</c:v>
                </c:pt>
                <c:pt idx="17">
                  <c:v>451.65230013003247</c:v>
                </c:pt>
                <c:pt idx="18">
                  <c:v>450.79793491097507</c:v>
                </c:pt>
                <c:pt idx="19">
                  <c:v>447.57905805670714</c:v>
                </c:pt>
                <c:pt idx="20">
                  <c:v>441.92664202807191</c:v>
                </c:pt>
                <c:pt idx="21">
                  <c:v>433.77499867167194</c:v>
                </c:pt>
                <c:pt idx="22">
                  <c:v>423.43667165746552</c:v>
                </c:pt>
                <c:pt idx="23">
                  <c:v>410.62638569057799</c:v>
                </c:pt>
                <c:pt idx="24">
                  <c:v>394.5206771178037</c:v>
                </c:pt>
                <c:pt idx="25">
                  <c:v>371.89860053621578</c:v>
                </c:pt>
                <c:pt idx="26">
                  <c:v>345.65980947377017</c:v>
                </c:pt>
                <c:pt idx="27">
                  <c:v>318.07962795186711</c:v>
                </c:pt>
                <c:pt idx="28">
                  <c:v>288.44712992676597</c:v>
                </c:pt>
                <c:pt idx="29">
                  <c:v>257.18337711603385</c:v>
                </c:pt>
                <c:pt idx="30">
                  <c:v>224.95630452672023</c:v>
                </c:pt>
                <c:pt idx="31">
                  <c:v>190.9138404168269</c:v>
                </c:pt>
                <c:pt idx="32">
                  <c:v>155.80838384546738</c:v>
                </c:pt>
                <c:pt idx="33">
                  <c:v>118.12941255895321</c:v>
                </c:pt>
                <c:pt idx="34">
                  <c:v>78.783617602918028</c:v>
                </c:pt>
                <c:pt idx="35">
                  <c:v>39.747204867052652</c:v>
                </c:pt>
                <c:pt idx="36">
                  <c:v>1.0703376206430455E-12</c:v>
                </c:pt>
                <c:pt idx="37">
                  <c:v>-39.747204867050499</c:v>
                </c:pt>
                <c:pt idx="38">
                  <c:v>-78.783617602915868</c:v>
                </c:pt>
                <c:pt idx="39">
                  <c:v>-118.12941255895102</c:v>
                </c:pt>
                <c:pt idx="40">
                  <c:v>-155.8083838454655</c:v>
                </c:pt>
                <c:pt idx="41">
                  <c:v>-190.913840416825</c:v>
                </c:pt>
                <c:pt idx="42">
                  <c:v>-224.95630452671853</c:v>
                </c:pt>
                <c:pt idx="43">
                  <c:v>-257.1833771160322</c:v>
                </c:pt>
                <c:pt idx="44">
                  <c:v>-288.44712992676438</c:v>
                </c:pt>
                <c:pt idx="45">
                  <c:v>-318.07962795186546</c:v>
                </c:pt>
                <c:pt idx="46">
                  <c:v>-345.6598094737688</c:v>
                </c:pt>
                <c:pt idx="47">
                  <c:v>-371.89860053621447</c:v>
                </c:pt>
                <c:pt idx="48">
                  <c:v>-394.52067711780279</c:v>
                </c:pt>
                <c:pt idx="49">
                  <c:v>-410.62638569057799</c:v>
                </c:pt>
                <c:pt idx="50">
                  <c:v>-423.43667165746507</c:v>
                </c:pt>
                <c:pt idx="51">
                  <c:v>-433.77499867167126</c:v>
                </c:pt>
                <c:pt idx="52">
                  <c:v>-441.92664202803275</c:v>
                </c:pt>
                <c:pt idx="53">
                  <c:v>-447.57905805670691</c:v>
                </c:pt>
                <c:pt idx="54">
                  <c:v>-450.79793491097524</c:v>
                </c:pt>
                <c:pt idx="55">
                  <c:v>-451.65230013003207</c:v>
                </c:pt>
                <c:pt idx="56">
                  <c:v>-448.63236095779365</c:v>
                </c:pt>
                <c:pt idx="57">
                  <c:v>-438.20228149576991</c:v>
                </c:pt>
                <c:pt idx="58">
                  <c:v>-423.78631414527422</c:v>
                </c:pt>
                <c:pt idx="59">
                  <c:v>-407.39847747671945</c:v>
                </c:pt>
                <c:pt idx="60">
                  <c:v>-388.62376685684461</c:v>
                </c:pt>
                <c:pt idx="61">
                  <c:v>-367.65127260966824</c:v>
                </c:pt>
                <c:pt idx="62">
                  <c:v>-345.00269654235768</c:v>
                </c:pt>
                <c:pt idx="63">
                  <c:v>-320.07286893681828</c:v>
                </c:pt>
                <c:pt idx="64">
                  <c:v>-292.82397711232829</c:v>
                </c:pt>
                <c:pt idx="65">
                  <c:v>-260.73845971320827</c:v>
                </c:pt>
                <c:pt idx="66">
                  <c:v>-225.84163038425757</c:v>
                </c:pt>
                <c:pt idx="67">
                  <c:v>-190.39568094067553</c:v>
                </c:pt>
                <c:pt idx="68">
                  <c:v>-153.47951210128323</c:v>
                </c:pt>
                <c:pt idx="69">
                  <c:v>-115.69537071980739</c:v>
                </c:pt>
                <c:pt idx="70">
                  <c:v>-77.776862183697986</c:v>
                </c:pt>
                <c:pt idx="71">
                  <c:v>-38.727785154365471</c:v>
                </c:pt>
                <c:pt idx="72">
                  <c:v>-2.4374549419404658E-12</c:v>
                </c:pt>
                <c:pt idx="73">
                  <c:v>-1.3530882705761206E-13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6-4EFF-9FED-91A8171ACB73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96-4EFF-9FED-91A8171ACB73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339.75239876425223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-2.6496200511706305E-14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96-4EFF-9FED-91A8171ACB73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</c:v>
                </c:pt>
                <c:pt idx="2">
                  <c:v>339.75239876425223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-2.6496200511706305E-14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96-4EFF-9FED-91A8171A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5.3593205549981278E-4</c:v>
                </c:pt>
                <c:pt idx="1">
                  <c:v>17.476516893808665</c:v>
                </c:pt>
                <c:pt idx="2">
                  <c:v>59.325785813135283</c:v>
                </c:pt>
                <c:pt idx="3">
                  <c:v>115.89181405779698</c:v>
                </c:pt>
                <c:pt idx="4">
                  <c:v>180.5165385248367</c:v>
                </c:pt>
                <c:pt idx="5">
                  <c:v>234.44727254775148</c:v>
                </c:pt>
                <c:pt idx="6">
                  <c:v>280.55908966767993</c:v>
                </c:pt>
                <c:pt idx="7">
                  <c:v>324.49725980095837</c:v>
                </c:pt>
                <c:pt idx="8">
                  <c:v>341.50015707115961</c:v>
                </c:pt>
                <c:pt idx="9">
                  <c:v>342.18014000799354</c:v>
                </c:pt>
                <c:pt idx="10">
                  <c:v>336.43231450139564</c:v>
                </c:pt>
                <c:pt idx="11">
                  <c:v>327.97730189950335</c:v>
                </c:pt>
                <c:pt idx="12">
                  <c:v>319.6234149326682</c:v>
                </c:pt>
                <c:pt idx="13">
                  <c:v>318.40515571445968</c:v>
                </c:pt>
                <c:pt idx="14">
                  <c:v>314.80443634029928</c:v>
                </c:pt>
                <c:pt idx="15">
                  <c:v>308.42560303974653</c:v>
                </c:pt>
                <c:pt idx="16">
                  <c:v>298.58000690628035</c:v>
                </c:pt>
                <c:pt idx="17">
                  <c:v>285.80472328164365</c:v>
                </c:pt>
                <c:pt idx="18">
                  <c:v>270.38758493400292</c:v>
                </c:pt>
                <c:pt idx="19">
                  <c:v>252.54727056810611</c:v>
                </c:pt>
                <c:pt idx="20">
                  <c:v>233.27709814309262</c:v>
                </c:pt>
                <c:pt idx="21">
                  <c:v>211.86236625853505</c:v>
                </c:pt>
                <c:pt idx="22">
                  <c:v>189.57226171114505</c:v>
                </c:pt>
                <c:pt idx="23">
                  <c:v>167.63448053045758</c:v>
                </c:pt>
                <c:pt idx="24">
                  <c:v>148.13377828676599</c:v>
                </c:pt>
                <c:pt idx="25">
                  <c:v>132.45713611720336</c:v>
                </c:pt>
                <c:pt idx="26">
                  <c:v>117.84817093820986</c:v>
                </c:pt>
                <c:pt idx="27">
                  <c:v>105.06260645556429</c:v>
                </c:pt>
                <c:pt idx="28">
                  <c:v>93.831409973212331</c:v>
                </c:pt>
                <c:pt idx="29">
                  <c:v>83.932240311473947</c:v>
                </c:pt>
                <c:pt idx="30">
                  <c:v>75.180116489300687</c:v>
                </c:pt>
                <c:pt idx="31">
                  <c:v>67.42018322957793</c:v>
                </c:pt>
                <c:pt idx="32">
                  <c:v>60.514174413792034</c:v>
                </c:pt>
                <c:pt idx="33">
                  <c:v>54.282843135836252</c:v>
                </c:pt>
                <c:pt idx="34">
                  <c:v>48.71386690130965</c:v>
                </c:pt>
                <c:pt idx="35">
                  <c:v>43.726529532539168</c:v>
                </c:pt>
                <c:pt idx="36">
                  <c:v>39.251521614057012</c:v>
                </c:pt>
                <c:pt idx="37">
                  <c:v>35.22906113389233</c:v>
                </c:pt>
                <c:pt idx="38">
                  <c:v>31.607378595872721</c:v>
                </c:pt>
                <c:pt idx="39">
                  <c:v>28.341474662096921</c:v>
                </c:pt>
                <c:pt idx="40">
                  <c:v>25.392095897422326</c:v>
                </c:pt>
                <c:pt idx="41">
                  <c:v>22.724886091035668</c:v>
                </c:pt>
                <c:pt idx="42">
                  <c:v>20.309679714312576</c:v>
                </c:pt>
                <c:pt idx="43">
                  <c:v>18.119911055807144</c:v>
                </c:pt>
                <c:pt idx="44">
                  <c:v>16.132117975878959</c:v>
                </c:pt>
                <c:pt idx="45">
                  <c:v>14.325523429283836</c:v>
                </c:pt>
                <c:pt idx="46">
                  <c:v>12.681681198584144</c:v>
                </c:pt>
                <c:pt idx="47">
                  <c:v>11.184174876761112</c:v>
                </c:pt>
                <c:pt idx="48">
                  <c:v>9.8183611935211488</c:v>
                </c:pt>
                <c:pt idx="49">
                  <c:v>8.5711504170839259</c:v>
                </c:pt>
                <c:pt idx="50">
                  <c:v>7.4308178736150632</c:v>
                </c:pt>
                <c:pt idx="51">
                  <c:v>6.403907679115318</c:v>
                </c:pt>
                <c:pt idx="52">
                  <c:v>5.6015385640765638</c:v>
                </c:pt>
                <c:pt idx="53">
                  <c:v>4.8718206463824405</c:v>
                </c:pt>
                <c:pt idx="54">
                  <c:v>4.207445457714881</c:v>
                </c:pt>
                <c:pt idx="55">
                  <c:v>3.601759023134353</c:v>
                </c:pt>
                <c:pt idx="56">
                  <c:v>3.0487522182657645</c:v>
                </c:pt>
                <c:pt idx="57">
                  <c:v>2.5429925471310666</c:v>
                </c:pt>
                <c:pt idx="58">
                  <c:v>2.0795644176482386</c:v>
                </c:pt>
                <c:pt idx="59">
                  <c:v>1.6540167601498583</c:v>
                </c:pt>
                <c:pt idx="60">
                  <c:v>1.262317011458912</c:v>
                </c:pt>
                <c:pt idx="61">
                  <c:v>0.9008106357348411</c:v>
                </c:pt>
                <c:pt idx="62">
                  <c:v>0.54280523364798638</c:v>
                </c:pt>
                <c:pt idx="63">
                  <c:v>0.33322325153474752</c:v>
                </c:pt>
                <c:pt idx="64">
                  <c:v>0.13590487557432723</c:v>
                </c:pt>
                <c:pt idx="65">
                  <c:v>9.5537468362618644E-2</c:v>
                </c:pt>
                <c:pt idx="66">
                  <c:v>6.4851730036409025E-2</c:v>
                </c:pt>
                <c:pt idx="67">
                  <c:v>4.2164703492360213E-2</c:v>
                </c:pt>
                <c:pt idx="68">
                  <c:v>2.595346656579272E-2</c:v>
                </c:pt>
                <c:pt idx="69">
                  <c:v>1.4867960224568171E-2</c:v>
                </c:pt>
                <c:pt idx="70">
                  <c:v>7.7202880737596777E-3</c:v>
                </c:pt>
                <c:pt idx="71">
                  <c:v>3.4762172455708143E-3</c:v>
                </c:pt>
                <c:pt idx="72">
                  <c:v>1.24915761819845E-3</c:v>
                </c:pt>
                <c:pt idx="73">
                  <c:v>2.9732189231451115E-4</c:v>
                </c:pt>
                <c:pt idx="74">
                  <c:v>2.5863063954816804E-5</c:v>
                </c:pt>
                <c:pt idx="75">
                  <c:v>2.6486718826285044E-14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-224.03517613155748</c:v>
                </c:pt>
                <c:pt idx="3">
                  <c:v>-150.56896414532798</c:v>
                </c:pt>
                <c:pt idx="4">
                  <c:v>-56.472037698983137</c:v>
                </c:pt>
                <c:pt idx="5">
                  <c:v>25.29407011405284</c:v>
                </c:pt>
                <c:pt idx="6">
                  <c:v>103.50105677518957</c:v>
                </c:pt>
                <c:pt idx="7">
                  <c:v>199.93461328218572</c:v>
                </c:pt>
                <c:pt idx="8">
                  <c:v>273.7436585182478</c:v>
                </c:pt>
                <c:pt idx="9">
                  <c:v>327.05814004495312</c:v>
                </c:pt>
                <c:pt idx="10">
                  <c:v>380.27197872520208</c:v>
                </c:pt>
                <c:pt idx="11">
                  <c:v>429.73599311672439</c:v>
                </c:pt>
                <c:pt idx="12">
                  <c:v>482.01773785033367</c:v>
                </c:pt>
                <c:pt idx="13">
                  <c:v>554.21759766873129</c:v>
                </c:pt>
                <c:pt idx="14">
                  <c:v>625.10324896726354</c:v>
                </c:pt>
                <c:pt idx="15">
                  <c:v>693.52177467438889</c:v>
                </c:pt>
                <c:pt idx="16">
                  <c:v>758.59756311466629</c:v>
                </c:pt>
                <c:pt idx="17">
                  <c:v>821.2512701334183</c:v>
                </c:pt>
                <c:pt idx="18">
                  <c:v>881.7116521901545</c:v>
                </c:pt>
                <c:pt idx="19">
                  <c:v>939.82401313074865</c:v>
                </c:pt>
                <c:pt idx="20">
                  <c:v>993.64861790482348</c:v>
                </c:pt>
                <c:pt idx="21">
                  <c:v>1046.0074695998489</c:v>
                </c:pt>
                <c:pt idx="22">
                  <c:v>1094.9743282704428</c:v>
                </c:pt>
                <c:pt idx="23">
                  <c:v>1139.6352402528664</c:v>
                </c:pt>
                <c:pt idx="24">
                  <c:v>1178.405358000304</c:v>
                </c:pt>
                <c:pt idx="25">
                  <c:v>1210.0070335946373</c:v>
                </c:pt>
                <c:pt idx="26">
                  <c:v>1238.6041170846463</c:v>
                </c:pt>
                <c:pt idx="27">
                  <c:v>1263.4123582898378</c:v>
                </c:pt>
                <c:pt idx="28">
                  <c:v>1285.0202105710785</c:v>
                </c:pt>
                <c:pt idx="29">
                  <c:v>1303.9107330062163</c:v>
                </c:pt>
                <c:pt idx="30">
                  <c:v>1320.4830521171748</c:v>
                </c:pt>
                <c:pt idx="31">
                  <c:v>1335.0689401613974</c:v>
                </c:pt>
                <c:pt idx="32">
                  <c:v>1347.8864729471088</c:v>
                </c:pt>
                <c:pt idx="33">
                  <c:v>1358.6507107190505</c:v>
                </c:pt>
                <c:pt idx="34">
                  <c:v>1368.1721807936642</c:v>
                </c:pt>
                <c:pt idx="35">
                  <c:v>1376.6146285840982</c:v>
                </c:pt>
                <c:pt idx="36">
                  <c:v>1384.117569713598</c:v>
                </c:pt>
                <c:pt idx="37">
                  <c:v>1390.8002309644567</c:v>
                </c:pt>
                <c:pt idx="38">
                  <c:v>1396.7648827846408</c:v>
                </c:pt>
                <c:pt idx="39">
                  <c:v>1402.0995597452293</c:v>
                </c:pt>
                <c:pt idx="40">
                  <c:v>1406.8802930012737</c:v>
                </c:pt>
                <c:pt idx="41">
                  <c:v>1411.1729513779881</c:v>
                </c:pt>
                <c:pt idx="42">
                  <c:v>1415.0347668260536</c:v>
                </c:pt>
                <c:pt idx="43">
                  <c:v>1418.5156039871986</c:v>
                </c:pt>
                <c:pt idx="44">
                  <c:v>1421.6590212637425</c:v>
                </c:pt>
                <c:pt idx="45">
                  <c:v>1424.5031611981899</c:v>
                </c:pt>
                <c:pt idx="46">
                  <c:v>1427.0815004795377</c:v>
                </c:pt>
                <c:pt idx="47">
                  <c:v>1429.4234840089766</c:v>
                </c:pt>
                <c:pt idx="48">
                  <c:v>1431.5550628097026</c:v>
                </c:pt>
                <c:pt idx="49">
                  <c:v>1433.4991518747972</c:v>
                </c:pt>
                <c:pt idx="50">
                  <c:v>1435.2760211018763</c:v>
                </c:pt>
                <c:pt idx="51">
                  <c:v>1436.8590495330204</c:v>
                </c:pt>
                <c:pt idx="52">
                  <c:v>1437.9491949800101</c:v>
                </c:pt>
                <c:pt idx="53">
                  <c:v>1438.9351422208322</c:v>
                </c:pt>
                <c:pt idx="54">
                  <c:v>1439.8285168151062</c:v>
                </c:pt>
                <c:pt idx="55">
                  <c:v>1440.6398032127763</c:v>
                </c:pt>
                <c:pt idx="56">
                  <c:v>1441.378321772353</c:v>
                </c:pt>
                <c:pt idx="57">
                  <c:v>1442.052364136475</c:v>
                </c:pt>
                <c:pt idx="58">
                  <c:v>1442.6693111022396</c:v>
                </c:pt>
                <c:pt idx="59">
                  <c:v>1443.235735454273</c:v>
                </c:pt>
                <c:pt idx="60">
                  <c:v>1443.7574918449136</c:v>
                </c:pt>
                <c:pt idx="61">
                  <c:v>1444.2397954860182</c:v>
                </c:pt>
                <c:pt idx="62">
                  <c:v>1444.7394620273274</c:v>
                </c:pt>
                <c:pt idx="63">
                  <c:v>1445.0050082192149</c:v>
                </c:pt>
                <c:pt idx="64">
                  <c:v>1445.2575846546533</c:v>
                </c:pt>
                <c:pt idx="65">
                  <c:v>1445.303286308967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5.9548006166645863E-4</c:v>
                </c:pt>
                <c:pt idx="1">
                  <c:v>19.41835210423185</c:v>
                </c:pt>
                <c:pt idx="2">
                  <c:v>65.917539792372537</c:v>
                </c:pt>
                <c:pt idx="3">
                  <c:v>128.76868228644108</c:v>
                </c:pt>
                <c:pt idx="4">
                  <c:v>200.573931694263</c:v>
                </c:pt>
                <c:pt idx="5">
                  <c:v>260.49696949750165</c:v>
                </c:pt>
                <c:pt idx="6">
                  <c:v>311.73232185297769</c:v>
                </c:pt>
                <c:pt idx="7">
                  <c:v>360.55251088995374</c:v>
                </c:pt>
                <c:pt idx="8">
                  <c:v>403.19119688691131</c:v>
                </c:pt>
                <c:pt idx="9">
                  <c:v>439.35947909582222</c:v>
                </c:pt>
                <c:pt idx="10">
                  <c:v>464.51048006892489</c:v>
                </c:pt>
                <c:pt idx="11">
                  <c:v>482.57091184356221</c:v>
                </c:pt>
                <c:pt idx="12">
                  <c:v>491.72833066564334</c:v>
                </c:pt>
                <c:pt idx="13">
                  <c:v>489.85408571455332</c:v>
                </c:pt>
                <c:pt idx="14">
                  <c:v>484.31451744661427</c:v>
                </c:pt>
                <c:pt idx="15">
                  <c:v>474.50092775345621</c:v>
                </c:pt>
                <c:pt idx="16">
                  <c:v>459.3538567788928</c:v>
                </c:pt>
                <c:pt idx="17">
                  <c:v>439.69957427945172</c:v>
                </c:pt>
                <c:pt idx="18">
                  <c:v>415.98089989846602</c:v>
                </c:pt>
                <c:pt idx="19">
                  <c:v>388.53426241247092</c:v>
                </c:pt>
                <c:pt idx="20">
                  <c:v>358.88784329706556</c:v>
                </c:pt>
                <c:pt idx="21">
                  <c:v>325.94210193620773</c:v>
                </c:pt>
                <c:pt idx="22">
                  <c:v>291.64963340176161</c:v>
                </c:pt>
                <c:pt idx="23">
                  <c:v>257.89920081608858</c:v>
                </c:pt>
                <c:pt idx="24">
                  <c:v>227.89812044117843</c:v>
                </c:pt>
                <c:pt idx="25">
                  <c:v>203.7802094110821</c:v>
                </c:pt>
                <c:pt idx="26">
                  <c:v>181.30487836647671</c:v>
                </c:pt>
                <c:pt idx="27">
                  <c:v>161.6347791624066</c:v>
                </c:pt>
                <c:pt idx="28">
                  <c:v>144.35601534340358</c:v>
                </c:pt>
                <c:pt idx="29">
                  <c:v>129.12652355611377</c:v>
                </c:pt>
                <c:pt idx="30">
                  <c:v>115.6617176758472</c:v>
                </c:pt>
                <c:pt idx="31">
                  <c:v>103.72335881473528</c:v>
                </c:pt>
                <c:pt idx="32">
                  <c:v>93.098729867372356</c:v>
                </c:pt>
                <c:pt idx="33">
                  <c:v>83.512066362824996</c:v>
                </c:pt>
                <c:pt idx="34">
                  <c:v>74.944410617399456</c:v>
                </c:pt>
                <c:pt idx="35">
                  <c:v>67.271583896214096</c:v>
                </c:pt>
                <c:pt idx="36">
                  <c:v>60.38695632931848</c:v>
                </c:pt>
                <c:pt idx="37">
                  <c:v>54.198555590603583</c:v>
                </c:pt>
                <c:pt idx="38">
                  <c:v>48.626736301342646</c:v>
                </c:pt>
                <c:pt idx="39">
                  <c:v>43.602268710918338</c:v>
                </c:pt>
                <c:pt idx="40">
                  <c:v>39.064762919111267</c:v>
                </c:pt>
                <c:pt idx="41">
                  <c:v>34.961363216977951</c:v>
                </c:pt>
                <c:pt idx="42">
                  <c:v>31.245661098942424</c:v>
                </c:pt>
                <c:pt idx="43">
                  <c:v>27.876786239703296</c:v>
                </c:pt>
                <c:pt idx="44">
                  <c:v>24.818643039813782</c:v>
                </c:pt>
                <c:pt idx="45">
                  <c:v>22.039266814282822</c:v>
                </c:pt>
                <c:pt idx="46">
                  <c:v>19.51027876705253</c:v>
                </c:pt>
                <c:pt idx="47">
                  <c:v>17.206422887324788</c:v>
                </c:pt>
                <c:pt idx="48">
                  <c:v>15.105171066955613</c:v>
                </c:pt>
                <c:pt idx="49">
                  <c:v>13.186385257052192</c:v>
                </c:pt>
                <c:pt idx="50">
                  <c:v>11.432027497869328</c:v>
                </c:pt>
                <c:pt idx="51">
                  <c:v>9.8521656601774126</c:v>
                </c:pt>
                <c:pt idx="52">
                  <c:v>8.6177516370408664</c:v>
                </c:pt>
                <c:pt idx="53">
                  <c:v>7.4951086867422161</c:v>
                </c:pt>
                <c:pt idx="54">
                  <c:v>6.4729930118690477</c:v>
                </c:pt>
                <c:pt idx="55">
                  <c:v>5.5411677278990048</c:v>
                </c:pt>
                <c:pt idx="56">
                  <c:v>4.6903880281011761</c:v>
                </c:pt>
                <c:pt idx="57">
                  <c:v>3.9122962263554868</c:v>
                </c:pt>
                <c:pt idx="58">
                  <c:v>3.1993298733049822</c:v>
                </c:pt>
                <c:pt idx="59">
                  <c:v>2.5446411694613205</c:v>
                </c:pt>
                <c:pt idx="60">
                  <c:v>1.9420261714752491</c:v>
                </c:pt>
                <c:pt idx="61">
                  <c:v>1.3858625165151401</c:v>
                </c:pt>
                <c:pt idx="62">
                  <c:v>0.83508497484305599</c:v>
                </c:pt>
                <c:pt idx="63">
                  <c:v>0.51265115620730384</c:v>
                </c:pt>
                <c:pt idx="64">
                  <c:v>0.20908442396050342</c:v>
                </c:pt>
                <c:pt idx="65">
                  <c:v>0.14698072055787484</c:v>
                </c:pt>
                <c:pt idx="66">
                  <c:v>9.9771892363706191E-2</c:v>
                </c:pt>
                <c:pt idx="67">
                  <c:v>6.4868774603631094E-2</c:v>
                </c:pt>
                <c:pt idx="68">
                  <c:v>3.9928410101219565E-2</c:v>
                </c:pt>
                <c:pt idx="69">
                  <c:v>2.2873784960874107E-2</c:v>
                </c:pt>
                <c:pt idx="70">
                  <c:v>1.1877366267322581E-2</c:v>
                </c:pt>
                <c:pt idx="71">
                  <c:v>5.3480265316474063E-3</c:v>
                </c:pt>
                <c:pt idx="72">
                  <c:v>1.9217809510745385E-3</c:v>
                </c:pt>
                <c:pt idx="73">
                  <c:v>4.5741829586847866E-4</c:v>
                </c:pt>
                <c:pt idx="74">
                  <c:v>3.9789329161256623E-5</c:v>
                </c:pt>
                <c:pt idx="75">
                  <c:v>4.0748798194284682E-14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-248.9279734795083</c:v>
                </c:pt>
                <c:pt idx="3">
                  <c:v>-167.29884905036442</c:v>
                </c:pt>
                <c:pt idx="4">
                  <c:v>-62.746708554425709</c:v>
                </c:pt>
                <c:pt idx="5">
                  <c:v>28.104522348947597</c:v>
                </c:pt>
                <c:pt idx="6">
                  <c:v>115.00117419465508</c:v>
                </c:pt>
                <c:pt idx="7">
                  <c:v>222.1495703135397</c:v>
                </c:pt>
                <c:pt idx="8">
                  <c:v>323.19467804864246</c:v>
                </c:pt>
                <c:pt idx="9">
                  <c:v>419.94282321832657</c:v>
                </c:pt>
                <c:pt idx="10">
                  <c:v>525.03969381238153</c:v>
                </c:pt>
                <c:pt idx="11">
                  <c:v>632.29403025542274</c:v>
                </c:pt>
                <c:pt idx="12">
                  <c:v>741.56575053897484</c:v>
                </c:pt>
                <c:pt idx="13">
                  <c:v>852.64245795189424</c:v>
                </c:pt>
                <c:pt idx="14">
                  <c:v>961.69730610348233</c:v>
                </c:pt>
                <c:pt idx="15">
                  <c:v>1066.9565764221368</c:v>
                </c:pt>
                <c:pt idx="16">
                  <c:v>1167.0731740225635</c:v>
                </c:pt>
                <c:pt idx="17">
                  <c:v>1263.4634925129512</c:v>
                </c:pt>
                <c:pt idx="18">
                  <c:v>1356.4794649079299</c:v>
                </c:pt>
                <c:pt idx="19">
                  <c:v>1445.8830971242287</c:v>
                </c:pt>
                <c:pt idx="20">
                  <c:v>1528.690181392036</c:v>
                </c:pt>
                <c:pt idx="21">
                  <c:v>1609.2422609228445</c:v>
                </c:pt>
                <c:pt idx="22">
                  <c:v>1684.5758896468351</c:v>
                </c:pt>
                <c:pt idx="23">
                  <c:v>1753.2849850044099</c:v>
                </c:pt>
                <c:pt idx="24">
                  <c:v>1812.9313200004676</c:v>
                </c:pt>
                <c:pt idx="25">
                  <c:v>1861.549282453288</c:v>
                </c:pt>
                <c:pt idx="26">
                  <c:v>1905.5447955148404</c:v>
                </c:pt>
                <c:pt idx="27">
                  <c:v>1943.7113204459042</c:v>
                </c:pt>
                <c:pt idx="28">
                  <c:v>1976.9541701093515</c:v>
                </c:pt>
                <c:pt idx="29">
                  <c:v>2006.0165123172558</c:v>
                </c:pt>
                <c:pt idx="30">
                  <c:v>2031.5123878725765</c:v>
                </c:pt>
                <c:pt idx="31">
                  <c:v>2053.952215632919</c:v>
                </c:pt>
                <c:pt idx="32">
                  <c:v>2073.6714968417059</c:v>
                </c:pt>
                <c:pt idx="33">
                  <c:v>2090.2318626446931</c:v>
                </c:pt>
                <c:pt idx="34">
                  <c:v>2104.8802781440986</c:v>
                </c:pt>
                <c:pt idx="35">
                  <c:v>2117.868659360151</c:v>
                </c:pt>
                <c:pt idx="36">
                  <c:v>2129.4116457132277</c:v>
                </c:pt>
                <c:pt idx="37">
                  <c:v>2139.692663022241</c:v>
                </c:pt>
                <c:pt idx="38">
                  <c:v>2148.8690504379088</c:v>
                </c:pt>
                <c:pt idx="39">
                  <c:v>2157.0762457618912</c:v>
                </c:pt>
                <c:pt idx="40">
                  <c:v>2164.4312200019594</c:v>
                </c:pt>
                <c:pt idx="41">
                  <c:v>2171.0353098122891</c:v>
                </c:pt>
                <c:pt idx="42">
                  <c:v>2176.9765643477745</c:v>
                </c:pt>
                <c:pt idx="43">
                  <c:v>2182.3316984418439</c:v>
                </c:pt>
                <c:pt idx="44">
                  <c:v>2187.1677250211424</c:v>
                </c:pt>
                <c:pt idx="45">
                  <c:v>2191.543324920292</c:v>
                </c:pt>
                <c:pt idx="46">
                  <c:v>2195.51000073775</c:v>
                </c:pt>
                <c:pt idx="47">
                  <c:v>2199.1130523215024</c:v>
                </c:pt>
                <c:pt idx="48">
                  <c:v>2202.3924043226193</c:v>
                </c:pt>
                <c:pt idx="49">
                  <c:v>2205.3833105766112</c:v>
                </c:pt>
                <c:pt idx="50">
                  <c:v>2208.116955541348</c:v>
                </c:pt>
                <c:pt idx="51">
                  <c:v>2210.5523838969543</c:v>
                </c:pt>
                <c:pt idx="52">
                  <c:v>2212.229530738477</c:v>
                </c:pt>
                <c:pt idx="53">
                  <c:v>2213.7463726474339</c:v>
                </c:pt>
                <c:pt idx="54">
                  <c:v>2215.1207951001634</c:v>
                </c:pt>
                <c:pt idx="55">
                  <c:v>2216.3689280196559</c:v>
                </c:pt>
                <c:pt idx="56">
                  <c:v>2217.5051104190047</c:v>
                </c:pt>
                <c:pt idx="57">
                  <c:v>2218.5420986714998</c:v>
                </c:pt>
                <c:pt idx="58">
                  <c:v>2219.4912478495994</c:v>
                </c:pt>
                <c:pt idx="59">
                  <c:v>2220.3626699296506</c:v>
                </c:pt>
                <c:pt idx="60">
                  <c:v>2221.1653720690979</c:v>
                </c:pt>
                <c:pt idx="61">
                  <c:v>2221.9073776707974</c:v>
                </c:pt>
                <c:pt idx="62">
                  <c:v>2222.6760954266574</c:v>
                </c:pt>
                <c:pt idx="63">
                  <c:v>2223.0846280295614</c:v>
                </c:pt>
                <c:pt idx="64">
                  <c:v>2223.4732071610051</c:v>
                </c:pt>
                <c:pt idx="65">
                  <c:v>2223.5435173984106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339.75239876425223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356.9999999999734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159.26138739528514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  <c:minorUnit val="10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5.3593205549981278E-4</c:v>
                </c:pt>
                <c:pt idx="1">
                  <c:v>17.476516893808665</c:v>
                </c:pt>
                <c:pt idx="2">
                  <c:v>59.325785813135283</c:v>
                </c:pt>
                <c:pt idx="3">
                  <c:v>115.89181405779698</c:v>
                </c:pt>
                <c:pt idx="4">
                  <c:v>180.5165385248367</c:v>
                </c:pt>
                <c:pt idx="5">
                  <c:v>234.44727254775148</c:v>
                </c:pt>
                <c:pt idx="6">
                  <c:v>280.55908966767993</c:v>
                </c:pt>
                <c:pt idx="7">
                  <c:v>324.49725980095837</c:v>
                </c:pt>
                <c:pt idx="8">
                  <c:v>341.50015707115961</c:v>
                </c:pt>
                <c:pt idx="9">
                  <c:v>342.18014000799354</c:v>
                </c:pt>
                <c:pt idx="10">
                  <c:v>336.43231450139564</c:v>
                </c:pt>
                <c:pt idx="11">
                  <c:v>327.97730189950335</c:v>
                </c:pt>
                <c:pt idx="12">
                  <c:v>319.6234149326682</c:v>
                </c:pt>
                <c:pt idx="13">
                  <c:v>318.40515571445968</c:v>
                </c:pt>
                <c:pt idx="14">
                  <c:v>314.80443634029928</c:v>
                </c:pt>
                <c:pt idx="15">
                  <c:v>308.42560303974653</c:v>
                </c:pt>
                <c:pt idx="16">
                  <c:v>298.58000690628035</c:v>
                </c:pt>
                <c:pt idx="17">
                  <c:v>285.80472328164365</c:v>
                </c:pt>
                <c:pt idx="18">
                  <c:v>270.38758493400292</c:v>
                </c:pt>
                <c:pt idx="19">
                  <c:v>252.54727056810611</c:v>
                </c:pt>
                <c:pt idx="20">
                  <c:v>233.27709814309262</c:v>
                </c:pt>
                <c:pt idx="21">
                  <c:v>211.86236625853505</c:v>
                </c:pt>
                <c:pt idx="22">
                  <c:v>189.57226171114505</c:v>
                </c:pt>
                <c:pt idx="23">
                  <c:v>167.63448053045758</c:v>
                </c:pt>
                <c:pt idx="24">
                  <c:v>148.13377828676599</c:v>
                </c:pt>
                <c:pt idx="25">
                  <c:v>132.45713611720336</c:v>
                </c:pt>
                <c:pt idx="26">
                  <c:v>117.84817093820986</c:v>
                </c:pt>
                <c:pt idx="27">
                  <c:v>105.06260645556429</c:v>
                </c:pt>
                <c:pt idx="28">
                  <c:v>93.831409973212331</c:v>
                </c:pt>
                <c:pt idx="29">
                  <c:v>83.932240311473947</c:v>
                </c:pt>
                <c:pt idx="30">
                  <c:v>75.180116489300687</c:v>
                </c:pt>
                <c:pt idx="31">
                  <c:v>67.42018322957793</c:v>
                </c:pt>
                <c:pt idx="32">
                  <c:v>60.514174413792034</c:v>
                </c:pt>
                <c:pt idx="33">
                  <c:v>54.282843135836252</c:v>
                </c:pt>
                <c:pt idx="34">
                  <c:v>48.71386690130965</c:v>
                </c:pt>
                <c:pt idx="35">
                  <c:v>43.726529532539168</c:v>
                </c:pt>
                <c:pt idx="36">
                  <c:v>39.251521614057012</c:v>
                </c:pt>
                <c:pt idx="37">
                  <c:v>35.22906113389233</c:v>
                </c:pt>
                <c:pt idx="38">
                  <c:v>31.607378595872721</c:v>
                </c:pt>
                <c:pt idx="39">
                  <c:v>28.341474662096921</c:v>
                </c:pt>
                <c:pt idx="40">
                  <c:v>25.392095897422326</c:v>
                </c:pt>
                <c:pt idx="41">
                  <c:v>22.724886091035668</c:v>
                </c:pt>
                <c:pt idx="42">
                  <c:v>20.309679714312576</c:v>
                </c:pt>
                <c:pt idx="43">
                  <c:v>18.119911055807144</c:v>
                </c:pt>
                <c:pt idx="44">
                  <c:v>16.132117975878959</c:v>
                </c:pt>
                <c:pt idx="45">
                  <c:v>14.325523429283836</c:v>
                </c:pt>
                <c:pt idx="46">
                  <c:v>12.681681198584144</c:v>
                </c:pt>
                <c:pt idx="47">
                  <c:v>11.184174876761112</c:v>
                </c:pt>
                <c:pt idx="48">
                  <c:v>9.8183611935211488</c:v>
                </c:pt>
                <c:pt idx="49">
                  <c:v>8.5711504170839259</c:v>
                </c:pt>
                <c:pt idx="50">
                  <c:v>7.4308178736150632</c:v>
                </c:pt>
                <c:pt idx="51">
                  <c:v>6.403907679115318</c:v>
                </c:pt>
                <c:pt idx="52">
                  <c:v>5.6015385640765638</c:v>
                </c:pt>
                <c:pt idx="53">
                  <c:v>4.8718206463824405</c:v>
                </c:pt>
                <c:pt idx="54">
                  <c:v>4.207445457714881</c:v>
                </c:pt>
                <c:pt idx="55">
                  <c:v>3.601759023134353</c:v>
                </c:pt>
                <c:pt idx="56">
                  <c:v>3.0487522182657645</c:v>
                </c:pt>
                <c:pt idx="57">
                  <c:v>2.5429925471310666</c:v>
                </c:pt>
                <c:pt idx="58">
                  <c:v>2.0795644176482386</c:v>
                </c:pt>
                <c:pt idx="59">
                  <c:v>1.6540167601498583</c:v>
                </c:pt>
                <c:pt idx="60">
                  <c:v>1.262317011458912</c:v>
                </c:pt>
                <c:pt idx="61">
                  <c:v>0.9008106357348411</c:v>
                </c:pt>
                <c:pt idx="62">
                  <c:v>0.54280523364798638</c:v>
                </c:pt>
                <c:pt idx="63">
                  <c:v>0.33322325153474752</c:v>
                </c:pt>
                <c:pt idx="64">
                  <c:v>0.13590487557432723</c:v>
                </c:pt>
                <c:pt idx="65">
                  <c:v>9.5537468362618644E-2</c:v>
                </c:pt>
                <c:pt idx="66">
                  <c:v>6.4851730036409025E-2</c:v>
                </c:pt>
                <c:pt idx="67">
                  <c:v>4.2164703492360213E-2</c:v>
                </c:pt>
                <c:pt idx="68">
                  <c:v>2.595346656579272E-2</c:v>
                </c:pt>
                <c:pt idx="69">
                  <c:v>1.4867960224568171E-2</c:v>
                </c:pt>
                <c:pt idx="70">
                  <c:v>7.7202880737596777E-3</c:v>
                </c:pt>
                <c:pt idx="71">
                  <c:v>3.4762172455708143E-3</c:v>
                </c:pt>
                <c:pt idx="72">
                  <c:v>1.24915761819845E-3</c:v>
                </c:pt>
                <c:pt idx="73">
                  <c:v>2.9732189231451115E-4</c:v>
                </c:pt>
                <c:pt idx="74">
                  <c:v>2.5863063954816804E-5</c:v>
                </c:pt>
                <c:pt idx="75">
                  <c:v>2.6486718826285044E-14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-224.03517613155748</c:v>
                </c:pt>
                <c:pt idx="3">
                  <c:v>-150.56896414532798</c:v>
                </c:pt>
                <c:pt idx="4">
                  <c:v>-56.472037698983137</c:v>
                </c:pt>
                <c:pt idx="5">
                  <c:v>25.29407011405284</c:v>
                </c:pt>
                <c:pt idx="6">
                  <c:v>103.50105677518957</c:v>
                </c:pt>
                <c:pt idx="7">
                  <c:v>199.93461328218572</c:v>
                </c:pt>
                <c:pt idx="8">
                  <c:v>273.7436585182478</c:v>
                </c:pt>
                <c:pt idx="9">
                  <c:v>327.05814004495312</c:v>
                </c:pt>
                <c:pt idx="10">
                  <c:v>380.27197872520208</c:v>
                </c:pt>
                <c:pt idx="11">
                  <c:v>429.73599311672439</c:v>
                </c:pt>
                <c:pt idx="12">
                  <c:v>482.01773785033367</c:v>
                </c:pt>
                <c:pt idx="13">
                  <c:v>554.21759766873129</c:v>
                </c:pt>
                <c:pt idx="14">
                  <c:v>625.10324896726354</c:v>
                </c:pt>
                <c:pt idx="15">
                  <c:v>693.52177467438889</c:v>
                </c:pt>
                <c:pt idx="16">
                  <c:v>758.59756311466629</c:v>
                </c:pt>
                <c:pt idx="17">
                  <c:v>821.2512701334183</c:v>
                </c:pt>
                <c:pt idx="18">
                  <c:v>881.7116521901545</c:v>
                </c:pt>
                <c:pt idx="19">
                  <c:v>939.82401313074865</c:v>
                </c:pt>
                <c:pt idx="20">
                  <c:v>993.64861790482348</c:v>
                </c:pt>
                <c:pt idx="21">
                  <c:v>1046.0074695998489</c:v>
                </c:pt>
                <c:pt idx="22">
                  <c:v>1094.9743282704428</c:v>
                </c:pt>
                <c:pt idx="23">
                  <c:v>1139.6352402528664</c:v>
                </c:pt>
                <c:pt idx="24">
                  <c:v>1178.405358000304</c:v>
                </c:pt>
                <c:pt idx="25">
                  <c:v>1210.0070335946373</c:v>
                </c:pt>
                <c:pt idx="26">
                  <c:v>1238.6041170846463</c:v>
                </c:pt>
                <c:pt idx="27">
                  <c:v>1263.4123582898378</c:v>
                </c:pt>
                <c:pt idx="28">
                  <c:v>1285.0202105710785</c:v>
                </c:pt>
                <c:pt idx="29">
                  <c:v>1303.9107330062163</c:v>
                </c:pt>
                <c:pt idx="30">
                  <c:v>1320.4830521171748</c:v>
                </c:pt>
                <c:pt idx="31">
                  <c:v>1335.0689401613974</c:v>
                </c:pt>
                <c:pt idx="32">
                  <c:v>1347.8864729471088</c:v>
                </c:pt>
                <c:pt idx="33">
                  <c:v>1358.6507107190505</c:v>
                </c:pt>
                <c:pt idx="34">
                  <c:v>1368.1721807936642</c:v>
                </c:pt>
                <c:pt idx="35">
                  <c:v>1376.6146285840982</c:v>
                </c:pt>
                <c:pt idx="36">
                  <c:v>1384.117569713598</c:v>
                </c:pt>
                <c:pt idx="37">
                  <c:v>1390.8002309644567</c:v>
                </c:pt>
                <c:pt idx="38">
                  <c:v>1396.7648827846408</c:v>
                </c:pt>
                <c:pt idx="39">
                  <c:v>1402.0995597452293</c:v>
                </c:pt>
                <c:pt idx="40">
                  <c:v>1406.8802930012737</c:v>
                </c:pt>
                <c:pt idx="41">
                  <c:v>1411.1729513779881</c:v>
                </c:pt>
                <c:pt idx="42">
                  <c:v>1415.0347668260536</c:v>
                </c:pt>
                <c:pt idx="43">
                  <c:v>1418.5156039871986</c:v>
                </c:pt>
                <c:pt idx="44">
                  <c:v>1421.6590212637425</c:v>
                </c:pt>
                <c:pt idx="45">
                  <c:v>1424.5031611981899</c:v>
                </c:pt>
                <c:pt idx="46">
                  <c:v>1427.0815004795377</c:v>
                </c:pt>
                <c:pt idx="47">
                  <c:v>1429.4234840089766</c:v>
                </c:pt>
                <c:pt idx="48">
                  <c:v>1431.5550628097026</c:v>
                </c:pt>
                <c:pt idx="49">
                  <c:v>1433.4991518747972</c:v>
                </c:pt>
                <c:pt idx="50">
                  <c:v>1435.2760211018763</c:v>
                </c:pt>
                <c:pt idx="51">
                  <c:v>1436.8590495330204</c:v>
                </c:pt>
                <c:pt idx="52">
                  <c:v>1437.9491949800101</c:v>
                </c:pt>
                <c:pt idx="53">
                  <c:v>1438.9351422208322</c:v>
                </c:pt>
                <c:pt idx="54">
                  <c:v>1439.8285168151062</c:v>
                </c:pt>
                <c:pt idx="55">
                  <c:v>1440.6398032127763</c:v>
                </c:pt>
                <c:pt idx="56">
                  <c:v>1441.378321772353</c:v>
                </c:pt>
                <c:pt idx="57">
                  <c:v>1442.052364136475</c:v>
                </c:pt>
                <c:pt idx="58">
                  <c:v>1442.6693111022396</c:v>
                </c:pt>
                <c:pt idx="59">
                  <c:v>1443.235735454273</c:v>
                </c:pt>
                <c:pt idx="60">
                  <c:v>1443.7574918449136</c:v>
                </c:pt>
                <c:pt idx="61">
                  <c:v>1444.2397954860182</c:v>
                </c:pt>
                <c:pt idx="62">
                  <c:v>1444.7394620273274</c:v>
                </c:pt>
                <c:pt idx="63">
                  <c:v>1445.0050082192149</c:v>
                </c:pt>
                <c:pt idx="64">
                  <c:v>1445.2575846546533</c:v>
                </c:pt>
                <c:pt idx="65">
                  <c:v>1445.303286308967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7-415E-A4F7-AB0F6397766B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5.9548006166645863E-4</c:v>
                </c:pt>
                <c:pt idx="1">
                  <c:v>19.41835210423185</c:v>
                </c:pt>
                <c:pt idx="2">
                  <c:v>65.917539792372537</c:v>
                </c:pt>
                <c:pt idx="3">
                  <c:v>128.76868228644108</c:v>
                </c:pt>
                <c:pt idx="4">
                  <c:v>200.573931694263</c:v>
                </c:pt>
                <c:pt idx="5">
                  <c:v>260.49696949750165</c:v>
                </c:pt>
                <c:pt idx="6">
                  <c:v>311.73232185297769</c:v>
                </c:pt>
                <c:pt idx="7">
                  <c:v>360.55251088995374</c:v>
                </c:pt>
                <c:pt idx="8">
                  <c:v>403.19119688691131</c:v>
                </c:pt>
                <c:pt idx="9">
                  <c:v>439.35947909582222</c:v>
                </c:pt>
                <c:pt idx="10">
                  <c:v>464.51048006892489</c:v>
                </c:pt>
                <c:pt idx="11">
                  <c:v>482.57091184356221</c:v>
                </c:pt>
                <c:pt idx="12">
                  <c:v>491.72833066564334</c:v>
                </c:pt>
                <c:pt idx="13">
                  <c:v>489.85408571455332</c:v>
                </c:pt>
                <c:pt idx="14">
                  <c:v>484.31451744661427</c:v>
                </c:pt>
                <c:pt idx="15">
                  <c:v>474.50092775345621</c:v>
                </c:pt>
                <c:pt idx="16">
                  <c:v>459.3538567788928</c:v>
                </c:pt>
                <c:pt idx="17">
                  <c:v>439.69957427945172</c:v>
                </c:pt>
                <c:pt idx="18">
                  <c:v>415.98089989846602</c:v>
                </c:pt>
                <c:pt idx="19">
                  <c:v>388.53426241247092</c:v>
                </c:pt>
                <c:pt idx="20">
                  <c:v>358.88784329706556</c:v>
                </c:pt>
                <c:pt idx="21">
                  <c:v>325.94210193620773</c:v>
                </c:pt>
                <c:pt idx="22">
                  <c:v>291.64963340176161</c:v>
                </c:pt>
                <c:pt idx="23">
                  <c:v>257.89920081608858</c:v>
                </c:pt>
                <c:pt idx="24">
                  <c:v>227.89812044117843</c:v>
                </c:pt>
                <c:pt idx="25">
                  <c:v>203.7802094110821</c:v>
                </c:pt>
                <c:pt idx="26">
                  <c:v>181.30487836647671</c:v>
                </c:pt>
                <c:pt idx="27">
                  <c:v>161.6347791624066</c:v>
                </c:pt>
                <c:pt idx="28">
                  <c:v>144.35601534340358</c:v>
                </c:pt>
                <c:pt idx="29">
                  <c:v>129.12652355611377</c:v>
                </c:pt>
                <c:pt idx="30">
                  <c:v>115.6617176758472</c:v>
                </c:pt>
                <c:pt idx="31">
                  <c:v>103.72335881473528</c:v>
                </c:pt>
                <c:pt idx="32">
                  <c:v>93.098729867372356</c:v>
                </c:pt>
                <c:pt idx="33">
                  <c:v>83.512066362824996</c:v>
                </c:pt>
                <c:pt idx="34">
                  <c:v>74.944410617399456</c:v>
                </c:pt>
                <c:pt idx="35">
                  <c:v>67.271583896214096</c:v>
                </c:pt>
                <c:pt idx="36">
                  <c:v>60.38695632931848</c:v>
                </c:pt>
                <c:pt idx="37">
                  <c:v>54.198555590603583</c:v>
                </c:pt>
                <c:pt idx="38">
                  <c:v>48.626736301342646</c:v>
                </c:pt>
                <c:pt idx="39">
                  <c:v>43.602268710918338</c:v>
                </c:pt>
                <c:pt idx="40">
                  <c:v>39.064762919111267</c:v>
                </c:pt>
                <c:pt idx="41">
                  <c:v>34.961363216977951</c:v>
                </c:pt>
                <c:pt idx="42">
                  <c:v>31.245661098942424</c:v>
                </c:pt>
                <c:pt idx="43">
                  <c:v>27.876786239703296</c:v>
                </c:pt>
                <c:pt idx="44">
                  <c:v>24.818643039813782</c:v>
                </c:pt>
                <c:pt idx="45">
                  <c:v>22.039266814282822</c:v>
                </c:pt>
                <c:pt idx="46">
                  <c:v>19.51027876705253</c:v>
                </c:pt>
                <c:pt idx="47">
                  <c:v>17.206422887324788</c:v>
                </c:pt>
                <c:pt idx="48">
                  <c:v>15.105171066955613</c:v>
                </c:pt>
                <c:pt idx="49">
                  <c:v>13.186385257052192</c:v>
                </c:pt>
                <c:pt idx="50">
                  <c:v>11.432027497869328</c:v>
                </c:pt>
                <c:pt idx="51">
                  <c:v>9.8521656601774126</c:v>
                </c:pt>
                <c:pt idx="52">
                  <c:v>8.6177516370408664</c:v>
                </c:pt>
                <c:pt idx="53">
                  <c:v>7.4951086867422161</c:v>
                </c:pt>
                <c:pt idx="54">
                  <c:v>6.4729930118690477</c:v>
                </c:pt>
                <c:pt idx="55">
                  <c:v>5.5411677278990048</c:v>
                </c:pt>
                <c:pt idx="56">
                  <c:v>4.6903880281011761</c:v>
                </c:pt>
                <c:pt idx="57">
                  <c:v>3.9122962263554868</c:v>
                </c:pt>
                <c:pt idx="58">
                  <c:v>3.1993298733049822</c:v>
                </c:pt>
                <c:pt idx="59">
                  <c:v>2.5446411694613205</c:v>
                </c:pt>
                <c:pt idx="60">
                  <c:v>1.9420261714752491</c:v>
                </c:pt>
                <c:pt idx="61">
                  <c:v>1.3858625165151401</c:v>
                </c:pt>
                <c:pt idx="62">
                  <c:v>0.83508497484305599</c:v>
                </c:pt>
                <c:pt idx="63">
                  <c:v>0.51265115620730384</c:v>
                </c:pt>
                <c:pt idx="64">
                  <c:v>0.20908442396050342</c:v>
                </c:pt>
                <c:pt idx="65">
                  <c:v>0.14698072055787484</c:v>
                </c:pt>
                <c:pt idx="66">
                  <c:v>9.9771892363706191E-2</c:v>
                </c:pt>
                <c:pt idx="67">
                  <c:v>6.4868774603631094E-2</c:v>
                </c:pt>
                <c:pt idx="68">
                  <c:v>3.9928410101219565E-2</c:v>
                </c:pt>
                <c:pt idx="69">
                  <c:v>2.2873784960874107E-2</c:v>
                </c:pt>
                <c:pt idx="70">
                  <c:v>1.1877366267322581E-2</c:v>
                </c:pt>
                <c:pt idx="71">
                  <c:v>5.3480265316474063E-3</c:v>
                </c:pt>
                <c:pt idx="72">
                  <c:v>1.9217809510745385E-3</c:v>
                </c:pt>
                <c:pt idx="73">
                  <c:v>4.5741829586847866E-4</c:v>
                </c:pt>
                <c:pt idx="74">
                  <c:v>3.9789329161256623E-5</c:v>
                </c:pt>
                <c:pt idx="75">
                  <c:v>4.0748798194284682E-14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-248.9279734795083</c:v>
                </c:pt>
                <c:pt idx="3">
                  <c:v>-167.29884905036442</c:v>
                </c:pt>
                <c:pt idx="4">
                  <c:v>-62.746708554425709</c:v>
                </c:pt>
                <c:pt idx="5">
                  <c:v>28.104522348947597</c:v>
                </c:pt>
                <c:pt idx="6">
                  <c:v>115.00117419465508</c:v>
                </c:pt>
                <c:pt idx="7">
                  <c:v>222.1495703135397</c:v>
                </c:pt>
                <c:pt idx="8">
                  <c:v>323.19467804864246</c:v>
                </c:pt>
                <c:pt idx="9">
                  <c:v>419.94282321832657</c:v>
                </c:pt>
                <c:pt idx="10">
                  <c:v>525.03969381238153</c:v>
                </c:pt>
                <c:pt idx="11">
                  <c:v>632.29403025542274</c:v>
                </c:pt>
                <c:pt idx="12">
                  <c:v>741.56575053897484</c:v>
                </c:pt>
                <c:pt idx="13">
                  <c:v>852.64245795189424</c:v>
                </c:pt>
                <c:pt idx="14">
                  <c:v>961.69730610348233</c:v>
                </c:pt>
                <c:pt idx="15">
                  <c:v>1066.9565764221368</c:v>
                </c:pt>
                <c:pt idx="16">
                  <c:v>1167.0731740225635</c:v>
                </c:pt>
                <c:pt idx="17">
                  <c:v>1263.4634925129512</c:v>
                </c:pt>
                <c:pt idx="18">
                  <c:v>1356.4794649079299</c:v>
                </c:pt>
                <c:pt idx="19">
                  <c:v>1445.8830971242287</c:v>
                </c:pt>
                <c:pt idx="20">
                  <c:v>1528.690181392036</c:v>
                </c:pt>
                <c:pt idx="21">
                  <c:v>1609.2422609228445</c:v>
                </c:pt>
                <c:pt idx="22">
                  <c:v>1684.5758896468351</c:v>
                </c:pt>
                <c:pt idx="23">
                  <c:v>1753.2849850044099</c:v>
                </c:pt>
                <c:pt idx="24">
                  <c:v>1812.9313200004676</c:v>
                </c:pt>
                <c:pt idx="25">
                  <c:v>1861.549282453288</c:v>
                </c:pt>
                <c:pt idx="26">
                  <c:v>1905.5447955148404</c:v>
                </c:pt>
                <c:pt idx="27">
                  <c:v>1943.7113204459042</c:v>
                </c:pt>
                <c:pt idx="28">
                  <c:v>1976.9541701093515</c:v>
                </c:pt>
                <c:pt idx="29">
                  <c:v>2006.0165123172558</c:v>
                </c:pt>
                <c:pt idx="30">
                  <c:v>2031.5123878725765</c:v>
                </c:pt>
                <c:pt idx="31">
                  <c:v>2053.952215632919</c:v>
                </c:pt>
                <c:pt idx="32">
                  <c:v>2073.6714968417059</c:v>
                </c:pt>
                <c:pt idx="33">
                  <c:v>2090.2318626446931</c:v>
                </c:pt>
                <c:pt idx="34">
                  <c:v>2104.8802781440986</c:v>
                </c:pt>
                <c:pt idx="35">
                  <c:v>2117.868659360151</c:v>
                </c:pt>
                <c:pt idx="36">
                  <c:v>2129.4116457132277</c:v>
                </c:pt>
                <c:pt idx="37">
                  <c:v>2139.692663022241</c:v>
                </c:pt>
                <c:pt idx="38">
                  <c:v>2148.8690504379088</c:v>
                </c:pt>
                <c:pt idx="39">
                  <c:v>2157.0762457618912</c:v>
                </c:pt>
                <c:pt idx="40">
                  <c:v>2164.4312200019594</c:v>
                </c:pt>
                <c:pt idx="41">
                  <c:v>2171.0353098122891</c:v>
                </c:pt>
                <c:pt idx="42">
                  <c:v>2176.9765643477745</c:v>
                </c:pt>
                <c:pt idx="43">
                  <c:v>2182.3316984418439</c:v>
                </c:pt>
                <c:pt idx="44">
                  <c:v>2187.1677250211424</c:v>
                </c:pt>
                <c:pt idx="45">
                  <c:v>2191.543324920292</c:v>
                </c:pt>
                <c:pt idx="46">
                  <c:v>2195.51000073775</c:v>
                </c:pt>
                <c:pt idx="47">
                  <c:v>2199.1130523215024</c:v>
                </c:pt>
                <c:pt idx="48">
                  <c:v>2202.3924043226193</c:v>
                </c:pt>
                <c:pt idx="49">
                  <c:v>2205.3833105766112</c:v>
                </c:pt>
                <c:pt idx="50">
                  <c:v>2208.116955541348</c:v>
                </c:pt>
                <c:pt idx="51">
                  <c:v>2210.5523838969543</c:v>
                </c:pt>
                <c:pt idx="52">
                  <c:v>2212.229530738477</c:v>
                </c:pt>
                <c:pt idx="53">
                  <c:v>2213.7463726474339</c:v>
                </c:pt>
                <c:pt idx="54">
                  <c:v>2215.1207951001634</c:v>
                </c:pt>
                <c:pt idx="55">
                  <c:v>2216.3689280196559</c:v>
                </c:pt>
                <c:pt idx="56">
                  <c:v>2217.5051104190047</c:v>
                </c:pt>
                <c:pt idx="57">
                  <c:v>2218.5420986714998</c:v>
                </c:pt>
                <c:pt idx="58">
                  <c:v>2219.4912478495994</c:v>
                </c:pt>
                <c:pt idx="59">
                  <c:v>2220.3626699296506</c:v>
                </c:pt>
                <c:pt idx="60">
                  <c:v>2221.1653720690979</c:v>
                </c:pt>
                <c:pt idx="61">
                  <c:v>2221.9073776707974</c:v>
                </c:pt>
                <c:pt idx="62">
                  <c:v>2222.6760954266574</c:v>
                </c:pt>
                <c:pt idx="63">
                  <c:v>2223.0846280295614</c:v>
                </c:pt>
                <c:pt idx="64">
                  <c:v>2223.4732071610051</c:v>
                </c:pt>
                <c:pt idx="65">
                  <c:v>2223.5435173984106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47-415E-A4F7-AB0F6397766B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47-415E-A4F7-AB0F6397766B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339.75239876425223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356.9999999999734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47-415E-A4F7-AB0F6397766B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159.26138739528514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47-415E-A4F7-AB0F6397766B}"/>
            </c:ext>
          </c:extLst>
        </c:ser>
        <c:ser>
          <c:idx val="5"/>
          <c:order val="5"/>
          <c:tx>
            <c:v>P_M_180</c:v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circle_section!$BS$2:$BS$77</c:f>
              <c:numCache>
                <c:formatCode>General</c:formatCode>
                <c:ptCount val="76"/>
                <c:pt idx="0">
                  <c:v>-3.511039155182515E-4</c:v>
                </c:pt>
                <c:pt idx="1">
                  <c:v>-7.3762360702830501</c:v>
                </c:pt>
                <c:pt idx="2">
                  <c:v>-19.694123642821953</c:v>
                </c:pt>
                <c:pt idx="3">
                  <c:v>-44.631220533074845</c:v>
                </c:pt>
                <c:pt idx="4">
                  <c:v>-75.704768127213114</c:v>
                </c:pt>
                <c:pt idx="5">
                  <c:v>-100.54277128388318</c:v>
                </c:pt>
                <c:pt idx="6">
                  <c:v>-121.21892679115109</c:v>
                </c:pt>
                <c:pt idx="7">
                  <c:v>-141.84130128096191</c:v>
                </c:pt>
                <c:pt idx="8">
                  <c:v>-148.1833253624882</c:v>
                </c:pt>
                <c:pt idx="9">
                  <c:v>-149.27078198740239</c:v>
                </c:pt>
                <c:pt idx="10">
                  <c:v>-147.55222019583917</c:v>
                </c:pt>
                <c:pt idx="11">
                  <c:v>-142.80249207030852</c:v>
                </c:pt>
                <c:pt idx="12">
                  <c:v>-139.74041344926513</c:v>
                </c:pt>
                <c:pt idx="13">
                  <c:v>-138.97356071702919</c:v>
                </c:pt>
                <c:pt idx="14">
                  <c:v>-137.32787720622511</c:v>
                </c:pt>
                <c:pt idx="15">
                  <c:v>-133.88074700026274</c:v>
                </c:pt>
                <c:pt idx="16">
                  <c:v>-129.31704870423951</c:v>
                </c:pt>
                <c:pt idx="17">
                  <c:v>-123.63312204020968</c:v>
                </c:pt>
                <c:pt idx="18">
                  <c:v>-116.86817850950237</c:v>
                </c:pt>
                <c:pt idx="19">
                  <c:v>-109.10907444352934</c:v>
                </c:pt>
                <c:pt idx="20">
                  <c:v>-100.49571343609605</c:v>
                </c:pt>
                <c:pt idx="21">
                  <c:v>-91.807932931320437</c:v>
                </c:pt>
                <c:pt idx="22">
                  <c:v>-82.271550660720777</c:v>
                </c:pt>
                <c:pt idx="23">
                  <c:v>-72.89327199234252</c:v>
                </c:pt>
                <c:pt idx="24">
                  <c:v>-64.551657611822719</c:v>
                </c:pt>
                <c:pt idx="25">
                  <c:v>-57.776289073722261</c:v>
                </c:pt>
                <c:pt idx="26">
                  <c:v>-51.50156053930953</c:v>
                </c:pt>
                <c:pt idx="27">
                  <c:v>-46.003782327981462</c:v>
                </c:pt>
                <c:pt idx="28">
                  <c:v>-41.16868960707675</c:v>
                </c:pt>
                <c:pt idx="29">
                  <c:v>-36.901813372758461</c:v>
                </c:pt>
                <c:pt idx="30">
                  <c:v>-33.124528779588566</c:v>
                </c:pt>
                <c:pt idx="31">
                  <c:v>-29.770990731045245</c:v>
                </c:pt>
                <c:pt idx="32">
                  <c:v>-26.723245337194665</c:v>
                </c:pt>
                <c:pt idx="33">
                  <c:v>-23.987879202156162</c:v>
                </c:pt>
                <c:pt idx="34">
                  <c:v>-21.537926422340433</c:v>
                </c:pt>
                <c:pt idx="35">
                  <c:v>-19.338853571401717</c:v>
                </c:pt>
                <c:pt idx="36">
                  <c:v>-17.360982242804031</c:v>
                </c:pt>
                <c:pt idx="37">
                  <c:v>-15.578698698782715</c:v>
                </c:pt>
                <c:pt idx="38">
                  <c:v>-13.969809089302032</c:v>
                </c:pt>
                <c:pt idx="39">
                  <c:v>-12.51501047866129</c:v>
                </c:pt>
                <c:pt idx="40">
                  <c:v>-11.197454578974362</c:v>
                </c:pt>
                <c:pt idx="41">
                  <c:v>-10.002386137173048</c:v>
                </c:pt>
                <c:pt idx="42">
                  <c:v>-8.9168417750717985</c:v>
                </c:pt>
                <c:pt idx="43">
                  <c:v>-7.9293980438428413</c:v>
                </c:pt>
                <c:pt idx="44">
                  <c:v>-7.029959746315499</c:v>
                </c:pt>
                <c:pt idx="45">
                  <c:v>-6.2095813655509939</c:v>
                </c:pt>
                <c:pt idx="46">
                  <c:v>-5.4603158367286033</c:v>
                </c:pt>
                <c:pt idx="47">
                  <c:v>-4.7750860014820224</c:v>
                </c:pt>
                <c:pt idx="48">
                  <c:v>-4.1475749570746618</c:v>
                </c:pt>
                <c:pt idx="49">
                  <c:v>-3.5721322083469391</c:v>
                </c:pt>
                <c:pt idx="50">
                  <c:v>-3.0436930871503103</c:v>
                </c:pt>
                <c:pt idx="51">
                  <c:v>-2.5577093518354146</c:v>
                </c:pt>
                <c:pt idx="52">
                  <c:v>-2.1100892412483074</c:v>
                </c:pt>
                <c:pt idx="53">
                  <c:v>-1.7509355558031361</c:v>
                </c:pt>
                <c:pt idx="54">
                  <c:v>-1.4937341382607301</c:v>
                </c:pt>
                <c:pt idx="55">
                  <c:v>-1.2604630076024932</c:v>
                </c:pt>
                <c:pt idx="56">
                  <c:v>-1.0486524247885558</c:v>
                </c:pt>
                <c:pt idx="57">
                  <c:v>-0.85604915506629087</c:v>
                </c:pt>
                <c:pt idx="58">
                  <c:v>-0.68061547808110712</c:v>
                </c:pt>
                <c:pt idx="59">
                  <c:v>-0.52050729698405451</c:v>
                </c:pt>
                <c:pt idx="60">
                  <c:v>-0.37405491312477496</c:v>
                </c:pt>
                <c:pt idx="61">
                  <c:v>-0.23974611887239003</c:v>
                </c:pt>
                <c:pt idx="62">
                  <c:v>-0.11621131377414533</c:v>
                </c:pt>
                <c:pt idx="63">
                  <c:v>-7.9282785796058852E-2</c:v>
                </c:pt>
                <c:pt idx="64">
                  <c:v>-5.7344794868819986E-2</c:v>
                </c:pt>
                <c:pt idx="65">
                  <c:v>-4.0304240577306416E-2</c:v>
                </c:pt>
                <c:pt idx="66">
                  <c:v>-2.7358899290808598E-2</c:v>
                </c:pt>
                <c:pt idx="67">
                  <c:v>-1.7787960016949926E-2</c:v>
                </c:pt>
                <c:pt idx="68">
                  <c:v>-1.0948950841178718E-2</c:v>
                </c:pt>
                <c:pt idx="69">
                  <c:v>-6.2723250796349762E-3</c:v>
                </c:pt>
                <c:pt idx="70">
                  <c:v>-3.2569471319615099E-3</c:v>
                </c:pt>
                <c:pt idx="71">
                  <c:v>-1.4665070213562537E-3</c:v>
                </c:pt>
                <c:pt idx="72">
                  <c:v>-5.2698045762907106E-4</c:v>
                </c:pt>
                <c:pt idx="73">
                  <c:v>-1.2543079903908376E-4</c:v>
                </c:pt>
                <c:pt idx="74">
                  <c:v>-1.0910817830113238E-5</c:v>
                </c:pt>
              </c:numCache>
            </c:numRef>
          </c:xVal>
          <c:yVal>
            <c:numRef>
              <c:f>circle_section!$BP$2:$BP$77</c:f>
              <c:numCache>
                <c:formatCode>General</c:formatCode>
                <c:ptCount val="76"/>
                <c:pt idx="0">
                  <c:v>-226.79952639036048</c:v>
                </c:pt>
                <c:pt idx="1">
                  <c:v>-216.52404425093695</c:v>
                </c:pt>
                <c:pt idx="2">
                  <c:v>-198.08460900981606</c:v>
                </c:pt>
                <c:pt idx="3">
                  <c:v>-151.9935331295201</c:v>
                </c:pt>
                <c:pt idx="4">
                  <c:v>-90.796929343010348</c:v>
                </c:pt>
                <c:pt idx="5">
                  <c:v>-40.19084618640688</c:v>
                </c:pt>
                <c:pt idx="6">
                  <c:v>10.452767137800539</c:v>
                </c:pt>
                <c:pt idx="7">
                  <c:v>75.795124689786022</c:v>
                </c:pt>
                <c:pt idx="8">
                  <c:v>125.61771759138591</c:v>
                </c:pt>
                <c:pt idx="9">
                  <c:v>163.24831398641777</c:v>
                </c:pt>
                <c:pt idx="10">
                  <c:v>198.63620427154547</c:v>
                </c:pt>
                <c:pt idx="11">
                  <c:v>235.38803125960476</c:v>
                </c:pt>
                <c:pt idx="12">
                  <c:v>275.45968789764032</c:v>
                </c:pt>
                <c:pt idx="13">
                  <c:v>320.27995276802807</c:v>
                </c:pt>
                <c:pt idx="14">
                  <c:v>364.44094875075234</c:v>
                </c:pt>
                <c:pt idx="15">
                  <c:v>405.26022647642299</c:v>
                </c:pt>
                <c:pt idx="16">
                  <c:v>444.48639983613072</c:v>
                </c:pt>
                <c:pt idx="17">
                  <c:v>482.20048078911702</c:v>
                </c:pt>
                <c:pt idx="18">
                  <c:v>518.41216027802909</c:v>
                </c:pt>
                <c:pt idx="19">
                  <c:v>553.07593379499679</c:v>
                </c:pt>
                <c:pt idx="20">
                  <c:v>586.09141268154053</c:v>
                </c:pt>
                <c:pt idx="21">
                  <c:v>615.5084940372476</c:v>
                </c:pt>
                <c:pt idx="22">
                  <c:v>644.41646079295106</c:v>
                </c:pt>
                <c:pt idx="23">
                  <c:v>670.79272606190409</c:v>
                </c:pt>
                <c:pt idx="24">
                  <c:v>693.75848257501548</c:v>
                </c:pt>
                <c:pt idx="25">
                  <c:v>712.66666580206572</c:v>
                </c:pt>
                <c:pt idx="26">
                  <c:v>729.76406357733617</c:v>
                </c:pt>
                <c:pt idx="27">
                  <c:v>744.65921739763712</c:v>
                </c:pt>
                <c:pt idx="28">
                  <c:v>757.69033545690604</c:v>
                </c:pt>
                <c:pt idx="29">
                  <c:v>769.13540250095321</c:v>
                </c:pt>
                <c:pt idx="30">
                  <c:v>779.22439976983787</c:v>
                </c:pt>
                <c:pt idx="31">
                  <c:v>788.14875107430032</c:v>
                </c:pt>
                <c:pt idx="32">
                  <c:v>795.52404138417637</c:v>
                </c:pt>
                <c:pt idx="33">
                  <c:v>801.95188108025695</c:v>
                </c:pt>
                <c:pt idx="34">
                  <c:v>807.65971748539403</c:v>
                </c:pt>
                <c:pt idx="35">
                  <c:v>812.74144670150156</c:v>
                </c:pt>
                <c:pt idx="36">
                  <c:v>817.27706460697163</c:v>
                </c:pt>
                <c:pt idx="37">
                  <c:v>821.33499872537891</c:v>
                </c:pt>
                <c:pt idx="38">
                  <c:v>824.9740022064525</c:v>
                </c:pt>
                <c:pt idx="39">
                  <c:v>828.24470069819597</c:v>
                </c:pt>
                <c:pt idx="40">
                  <c:v>831.19086235766838</c:v>
                </c:pt>
                <c:pt idx="41">
                  <c:v>833.85044573214418</c:v>
                </c:pt>
                <c:pt idx="42">
                  <c:v>836.25646842970434</c:v>
                </c:pt>
                <c:pt idx="43">
                  <c:v>838.43773044170621</c:v>
                </c:pt>
                <c:pt idx="44">
                  <c:v>840.4194189896017</c:v>
                </c:pt>
                <c:pt idx="45">
                  <c:v>842.22361633949583</c:v>
                </c:pt>
                <c:pt idx="46">
                  <c:v>843.86972778564495</c:v>
                </c:pt>
                <c:pt idx="47">
                  <c:v>845.37484367033107</c:v>
                </c:pt>
                <c:pt idx="48">
                  <c:v>846.75404667331452</c:v>
                </c:pt>
                <c:pt idx="49">
                  <c:v>848.02067351174549</c:v>
                </c:pt>
                <c:pt idx="50">
                  <c:v>849.18653852121383</c:v>
                </c:pt>
                <c:pt idx="51">
                  <c:v>850.2621252489962</c:v>
                </c:pt>
                <c:pt idx="52">
                  <c:v>851.25675111122735</c:v>
                </c:pt>
                <c:pt idx="53">
                  <c:v>852.01139298937562</c:v>
                </c:pt>
                <c:pt idx="54">
                  <c:v>852.48114301756129</c:v>
                </c:pt>
                <c:pt idx="55">
                  <c:v>852.9059332590233</c:v>
                </c:pt>
                <c:pt idx="56">
                  <c:v>853.29087327970876</c:v>
                </c:pt>
                <c:pt idx="57">
                  <c:v>853.64057251002475</c:v>
                </c:pt>
                <c:pt idx="58">
                  <c:v>853.95913164198782</c:v>
                </c:pt>
                <c:pt idx="59">
                  <c:v>854.25020017943166</c:v>
                </c:pt>
                <c:pt idx="60">
                  <c:v>854.51702673033435</c:v>
                </c:pt>
                <c:pt idx="61">
                  <c:v>854.76250303068571</c:v>
                </c:pt>
                <c:pt idx="62">
                  <c:v>854.98920253899155</c:v>
                </c:pt>
                <c:pt idx="63">
                  <c:v>855.0499405844896</c:v>
                </c:pt>
                <c:pt idx="64">
                  <c:v>855.08346642234983</c:v>
                </c:pt>
                <c:pt idx="65">
                  <c:v>855.10919324223414</c:v>
                </c:pt>
                <c:pt idx="66">
                  <c:v>855.12850182166949</c:v>
                </c:pt>
                <c:pt idx="67">
                  <c:v>855.14260635996175</c:v>
                </c:pt>
                <c:pt idx="68">
                  <c:v>855.15256498127542</c:v>
                </c:pt>
                <c:pt idx="69">
                  <c:v>855.15929438059823</c:v>
                </c:pt>
                <c:pt idx="70">
                  <c:v>855.16358244992307</c:v>
                </c:pt>
                <c:pt idx="71">
                  <c:v>855.16609896737509</c:v>
                </c:pt>
                <c:pt idx="72">
                  <c:v>855.16740430682387</c:v>
                </c:pt>
                <c:pt idx="73">
                  <c:v>855.16795588591378</c:v>
                </c:pt>
                <c:pt idx="74">
                  <c:v>855.16811147076498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47-415E-A4F7-AB0F6397766B}"/>
            </c:ext>
          </c:extLst>
        </c:ser>
        <c:ser>
          <c:idx val="6"/>
          <c:order val="6"/>
          <c:tx>
            <c:v>P_M_Nominal_180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circle_section!$BW$2:$BW$77</c:f>
              <c:numCache>
                <c:formatCode>General</c:formatCode>
                <c:ptCount val="76"/>
                <c:pt idx="0">
                  <c:v>-3.9011546168694612E-4</c:v>
                </c:pt>
                <c:pt idx="1">
                  <c:v>-8.1958178558700556</c:v>
                </c:pt>
                <c:pt idx="2">
                  <c:v>-21.882359603135502</c:v>
                </c:pt>
                <c:pt idx="3">
                  <c:v>-49.590245036749828</c:v>
                </c:pt>
                <c:pt idx="4">
                  <c:v>-84.116409030236795</c:v>
                </c:pt>
                <c:pt idx="5">
                  <c:v>-111.71419031542575</c:v>
                </c:pt>
                <c:pt idx="6">
                  <c:v>-134.68769643461232</c:v>
                </c:pt>
                <c:pt idx="7">
                  <c:v>-157.60144586773546</c:v>
                </c:pt>
                <c:pt idx="8">
                  <c:v>-177.34436763684744</c:v>
                </c:pt>
                <c:pt idx="9">
                  <c:v>-194.19542644472978</c:v>
                </c:pt>
                <c:pt idx="10">
                  <c:v>-206.32733393681337</c:v>
                </c:pt>
                <c:pt idx="11">
                  <c:v>-212.71220403224063</c:v>
                </c:pt>
                <c:pt idx="12">
                  <c:v>-214.98525146040788</c:v>
                </c:pt>
                <c:pt idx="13">
                  <c:v>-213.80547802619876</c:v>
                </c:pt>
                <c:pt idx="14">
                  <c:v>-211.27365724034632</c:v>
                </c:pt>
                <c:pt idx="15">
                  <c:v>-205.97038000040422</c:v>
                </c:pt>
                <c:pt idx="16">
                  <c:v>-198.94930569883002</c:v>
                </c:pt>
                <c:pt idx="17">
                  <c:v>-190.20480313878411</c:v>
                </c:pt>
                <c:pt idx="18">
                  <c:v>-179.79719770692671</c:v>
                </c:pt>
                <c:pt idx="19">
                  <c:v>-167.86011452850667</c:v>
                </c:pt>
                <c:pt idx="20">
                  <c:v>-154.60878990168624</c:v>
                </c:pt>
                <c:pt idx="21">
                  <c:v>-141.24297374049297</c:v>
                </c:pt>
                <c:pt idx="22">
                  <c:v>-126.57161640110888</c:v>
                </c:pt>
                <c:pt idx="23">
                  <c:v>-112.14349537283464</c:v>
                </c:pt>
                <c:pt idx="24">
                  <c:v>-99.31024247972725</c:v>
                </c:pt>
                <c:pt idx="25">
                  <c:v>-88.886598574957318</c:v>
                </c:pt>
                <c:pt idx="26">
                  <c:v>-79.233170060476198</c:v>
                </c:pt>
                <c:pt idx="27">
                  <c:v>-70.775049735356092</c:v>
                </c:pt>
                <c:pt idx="28">
                  <c:v>-63.336445549348845</c:v>
                </c:pt>
                <c:pt idx="29">
                  <c:v>-56.772020573474556</c:v>
                </c:pt>
                <c:pt idx="30">
                  <c:v>-50.960813507059328</c:v>
                </c:pt>
                <c:pt idx="31">
                  <c:v>-45.801524201608068</c:v>
                </c:pt>
                <c:pt idx="32">
                  <c:v>-41.112685134145636</c:v>
                </c:pt>
                <c:pt idx="33">
                  <c:v>-36.904429541778711</c:v>
                </c:pt>
                <c:pt idx="34">
                  <c:v>-33.135271418985283</c:v>
                </c:pt>
                <c:pt idx="35">
                  <c:v>-29.752082417541104</c:v>
                </c:pt>
                <c:pt idx="36">
                  <c:v>-26.70920345046774</c:v>
                </c:pt>
                <c:pt idx="37">
                  <c:v>-23.967228767358023</c:v>
                </c:pt>
                <c:pt idx="38">
                  <c:v>-21.492013983541586</c:v>
                </c:pt>
                <c:pt idx="39">
                  <c:v>-19.253862274863522</c:v>
                </c:pt>
                <c:pt idx="40">
                  <c:v>-17.226853198422095</c:v>
                </c:pt>
                <c:pt idx="41">
                  <c:v>-15.388286364881612</c:v>
                </c:pt>
                <c:pt idx="42">
                  <c:v>-13.718218115495075</c:v>
                </c:pt>
                <c:pt idx="43">
                  <c:v>-12.199073913604371</c:v>
                </c:pt>
                <c:pt idx="44">
                  <c:v>-10.815322686639229</c:v>
                </c:pt>
                <c:pt idx="45">
                  <c:v>-9.5532021008476828</c:v>
                </c:pt>
                <c:pt idx="46">
                  <c:v>-8.4004859026593888</c:v>
                </c:pt>
                <c:pt idx="47">
                  <c:v>-7.3462861561261885</c:v>
                </c:pt>
                <c:pt idx="48">
                  <c:v>-6.380884549345633</c:v>
                </c:pt>
                <c:pt idx="49">
                  <c:v>-5.4955880128414449</c:v>
                </c:pt>
                <c:pt idx="50">
                  <c:v>-4.6826047494620155</c:v>
                </c:pt>
                <c:pt idx="51">
                  <c:v>-3.934937464362176</c:v>
                </c:pt>
                <c:pt idx="52">
                  <c:v>-3.2462911403820112</c:v>
                </c:pt>
                <c:pt idx="53">
                  <c:v>-2.6937470089279016</c:v>
                </c:pt>
                <c:pt idx="54">
                  <c:v>-2.2980525204011233</c:v>
                </c:pt>
                <c:pt idx="55">
                  <c:v>-1.9391738578499895</c:v>
                </c:pt>
                <c:pt idx="56">
                  <c:v>-1.6133114227516243</c:v>
                </c:pt>
                <c:pt idx="57">
                  <c:v>-1.3169987001019858</c:v>
                </c:pt>
                <c:pt idx="58">
                  <c:v>-1.0471007355093955</c:v>
                </c:pt>
                <c:pt idx="59">
                  <c:v>-0.80078045689854538</c:v>
                </c:pt>
                <c:pt idx="60">
                  <c:v>-0.57546909711503835</c:v>
                </c:pt>
                <c:pt idx="61">
                  <c:v>-0.36884018288060005</c:v>
                </c:pt>
                <c:pt idx="62">
                  <c:v>-0.1787866365756082</c:v>
                </c:pt>
                <c:pt idx="63">
                  <c:v>-0.12197351660932131</c:v>
                </c:pt>
                <c:pt idx="64">
                  <c:v>-8.8222761336646124E-2</c:v>
                </c:pt>
                <c:pt idx="65">
                  <c:v>-6.2006523965086789E-2</c:v>
                </c:pt>
                <c:pt idx="66">
                  <c:v>-4.2090614293551688E-2</c:v>
                </c:pt>
                <c:pt idx="67">
                  <c:v>-2.7366092333769115E-2</c:v>
                </c:pt>
                <c:pt idx="68">
                  <c:v>-1.6844539755659565E-2</c:v>
                </c:pt>
                <c:pt idx="69">
                  <c:v>-9.6497308917461166E-3</c:v>
                </c:pt>
                <c:pt idx="70">
                  <c:v>-5.0106878953253995E-3</c:v>
                </c:pt>
                <c:pt idx="71">
                  <c:v>-2.2561646482403904E-3</c:v>
                </c:pt>
                <c:pt idx="72">
                  <c:v>-8.1073916558318626E-4</c:v>
                </c:pt>
                <c:pt idx="73">
                  <c:v>-1.9297046006012885E-4</c:v>
                </c:pt>
                <c:pt idx="74">
                  <c:v>-1.6785873584789596E-5</c:v>
                </c:pt>
              </c:numCache>
            </c:numRef>
          </c:xVal>
          <c:yVal>
            <c:numRef>
              <c:f>circle_section!$BT$2:$BT$77</c:f>
              <c:numCache>
                <c:formatCode>General</c:formatCode>
                <c:ptCount val="76"/>
                <c:pt idx="0">
                  <c:v>-251.9994737670672</c:v>
                </c:pt>
                <c:pt idx="1">
                  <c:v>-240.58227138992993</c:v>
                </c:pt>
                <c:pt idx="2">
                  <c:v>-220.09401001090674</c:v>
                </c:pt>
                <c:pt idx="3">
                  <c:v>-168.88170347724454</c:v>
                </c:pt>
                <c:pt idx="4">
                  <c:v>-100.88547704778927</c:v>
                </c:pt>
                <c:pt idx="5">
                  <c:v>-44.656495762674311</c:v>
                </c:pt>
                <c:pt idx="6">
                  <c:v>11.614185708667264</c:v>
                </c:pt>
                <c:pt idx="7">
                  <c:v>84.21680521087336</c:v>
                </c:pt>
                <c:pt idx="8">
                  <c:v>150.33806695680937</c:v>
                </c:pt>
                <c:pt idx="9">
                  <c:v>212.37964676604307</c:v>
                </c:pt>
                <c:pt idx="10">
                  <c:v>277.75982222619206</c:v>
                </c:pt>
                <c:pt idx="11">
                  <c:v>350.62348146829726</c:v>
                </c:pt>
                <c:pt idx="12">
                  <c:v>423.78413522713896</c:v>
                </c:pt>
                <c:pt idx="13">
                  <c:v>492.73838887388933</c:v>
                </c:pt>
                <c:pt idx="14">
                  <c:v>560.6783826934651</c:v>
                </c:pt>
                <c:pt idx="15">
                  <c:v>623.47727150218918</c:v>
                </c:pt>
                <c:pt idx="16">
                  <c:v>683.82523051712417</c:v>
                </c:pt>
                <c:pt idx="17">
                  <c:v>741.84689352171847</c:v>
                </c:pt>
                <c:pt idx="18">
                  <c:v>797.55716965850627</c:v>
                </c:pt>
                <c:pt idx="19">
                  <c:v>850.88605199230267</c:v>
                </c:pt>
                <c:pt idx="20">
                  <c:v>901.67909643313919</c:v>
                </c:pt>
                <c:pt idx="21">
                  <c:v>946.93614467268856</c:v>
                </c:pt>
                <c:pt idx="22">
                  <c:v>991.40993968146313</c:v>
                </c:pt>
                <c:pt idx="23">
                  <c:v>1031.9888093260063</c:v>
                </c:pt>
                <c:pt idx="24">
                  <c:v>1067.3207424231007</c:v>
                </c:pt>
                <c:pt idx="25">
                  <c:v>1096.410255080101</c:v>
                </c:pt>
                <c:pt idx="26">
                  <c:v>1122.7139439651326</c:v>
                </c:pt>
                <c:pt idx="27">
                  <c:v>1145.629565227134</c:v>
                </c:pt>
                <c:pt idx="28">
                  <c:v>1165.6774391644708</c:v>
                </c:pt>
                <c:pt idx="29">
                  <c:v>1183.2852346168511</c:v>
                </c:pt>
                <c:pt idx="30">
                  <c:v>1198.8067688766737</c:v>
                </c:pt>
                <c:pt idx="31">
                  <c:v>1212.5365401143081</c:v>
                </c:pt>
                <c:pt idx="32">
                  <c:v>1223.8831405910405</c:v>
                </c:pt>
                <c:pt idx="33">
                  <c:v>1233.7721247388567</c:v>
                </c:pt>
                <c:pt idx="34">
                  <c:v>1242.5534115159908</c:v>
                </c:pt>
                <c:pt idx="35">
                  <c:v>1250.3714564638485</c:v>
                </c:pt>
                <c:pt idx="36">
                  <c:v>1257.3493301645717</c:v>
                </c:pt>
                <c:pt idx="37">
                  <c:v>1263.5923057313521</c:v>
                </c:pt>
                <c:pt idx="38">
                  <c:v>1269.1907726253114</c:v>
                </c:pt>
                <c:pt idx="39">
                  <c:v>1274.222616458763</c:v>
                </c:pt>
                <c:pt idx="40">
                  <c:v>1278.7551728579513</c:v>
                </c:pt>
                <c:pt idx="41">
                  <c:v>1282.846839587914</c:v>
                </c:pt>
                <c:pt idx="42">
                  <c:v>1286.5484129687759</c:v>
                </c:pt>
                <c:pt idx="43">
                  <c:v>1289.904200679548</c:v>
                </c:pt>
                <c:pt idx="44">
                  <c:v>1292.9529522916948</c:v>
                </c:pt>
                <c:pt idx="45">
                  <c:v>1295.7286405223012</c:v>
                </c:pt>
                <c:pt idx="46">
                  <c:v>1298.261119670223</c:v>
                </c:pt>
                <c:pt idx="47">
                  <c:v>1300.5766825697401</c:v>
                </c:pt>
                <c:pt idx="48">
                  <c:v>1302.6985333435607</c:v>
                </c:pt>
                <c:pt idx="49">
                  <c:v>1304.64719001807</c:v>
                </c:pt>
                <c:pt idx="50">
                  <c:v>1306.4408284941751</c:v>
                </c:pt>
                <c:pt idx="51">
                  <c:v>1308.095577306148</c:v>
                </c:pt>
                <c:pt idx="52">
                  <c:v>1309.6257709403496</c:v>
                </c:pt>
                <c:pt idx="53">
                  <c:v>1310.7867584451933</c:v>
                </c:pt>
                <c:pt idx="54">
                  <c:v>1311.5094507962481</c:v>
                </c:pt>
                <c:pt idx="55">
                  <c:v>1312.1629742446512</c:v>
                </c:pt>
                <c:pt idx="56">
                  <c:v>1312.7551896610903</c:v>
                </c:pt>
                <c:pt idx="57">
                  <c:v>1313.2931884769612</c:v>
                </c:pt>
                <c:pt idx="58">
                  <c:v>1313.7832794492119</c:v>
                </c:pt>
                <c:pt idx="59">
                  <c:v>1314.2310771991256</c:v>
                </c:pt>
                <c:pt idx="60">
                  <c:v>1314.6415795851296</c:v>
                </c:pt>
                <c:pt idx="61">
                  <c:v>1315.0192354318242</c:v>
                </c:pt>
                <c:pt idx="62">
                  <c:v>1315.3680039061408</c:v>
                </c:pt>
                <c:pt idx="63">
                  <c:v>1315.461447053061</c:v>
                </c:pt>
                <c:pt idx="64">
                  <c:v>1315.5130252651536</c:v>
                </c:pt>
                <c:pt idx="65">
                  <c:v>1315.5526049880525</c:v>
                </c:pt>
                <c:pt idx="66">
                  <c:v>1315.5823104948761</c:v>
                </c:pt>
                <c:pt idx="67">
                  <c:v>1315.6040097845564</c:v>
                </c:pt>
                <c:pt idx="68">
                  <c:v>1315.6193307404237</c:v>
                </c:pt>
                <c:pt idx="69">
                  <c:v>1315.6296836624588</c:v>
                </c:pt>
                <c:pt idx="70">
                  <c:v>1315.6362806921893</c:v>
                </c:pt>
                <c:pt idx="71">
                  <c:v>1315.6401522575002</c:v>
                </c:pt>
                <c:pt idx="72">
                  <c:v>1315.6421604720367</c:v>
                </c:pt>
                <c:pt idx="73">
                  <c:v>1315.6430090552519</c:v>
                </c:pt>
                <c:pt idx="74">
                  <c:v>1315.6432484165614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47-415E-A4F7-AB0F6397766B}"/>
            </c:ext>
          </c:extLst>
        </c:ser>
        <c:ser>
          <c:idx val="7"/>
          <c:order val="7"/>
          <c:tx>
            <c:v>min_e_line_180</c:v>
          </c:tx>
          <c:spPr>
            <a:ln w="952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circle_section!$BS$104:$BS$105</c:f>
              <c:numCache>
                <c:formatCode>General</c:formatCode>
                <c:ptCount val="2"/>
                <c:pt idx="0">
                  <c:v>-68.054012240436094</c:v>
                </c:pt>
                <c:pt idx="1">
                  <c:v>0</c:v>
                </c:pt>
              </c:numCache>
            </c:numRef>
          </c:xVal>
          <c:yVal>
            <c:numRef>
              <c:f>circle_section!$BP$104:$BP$105</c:f>
              <c:numCache>
                <c:formatCode>General</c:formatCode>
                <c:ptCount val="2"/>
                <c:pt idx="0">
                  <c:v>684.13450091910886</c:v>
                </c:pt>
                <c:pt idx="1">
                  <c:v>684.13450091910886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47-415E-A4F7-AB0F63977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  <c:minorUnit val="25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(PCA)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5.3593205549981278E-4</c:v>
                </c:pt>
                <c:pt idx="1">
                  <c:v>17.476516893808665</c:v>
                </c:pt>
                <c:pt idx="2">
                  <c:v>59.325785813135283</c:v>
                </c:pt>
                <c:pt idx="3">
                  <c:v>115.89181405779698</c:v>
                </c:pt>
                <c:pt idx="4">
                  <c:v>180.5165385248367</c:v>
                </c:pt>
                <c:pt idx="5">
                  <c:v>234.44727254775148</c:v>
                </c:pt>
                <c:pt idx="6">
                  <c:v>280.55908966767993</c:v>
                </c:pt>
                <c:pt idx="7">
                  <c:v>324.49725980095837</c:v>
                </c:pt>
                <c:pt idx="8">
                  <c:v>341.50015707115961</c:v>
                </c:pt>
                <c:pt idx="9">
                  <c:v>342.18014000799354</c:v>
                </c:pt>
                <c:pt idx="10">
                  <c:v>336.43231450139564</c:v>
                </c:pt>
                <c:pt idx="11">
                  <c:v>327.97730189950335</c:v>
                </c:pt>
                <c:pt idx="12">
                  <c:v>319.6234149326682</c:v>
                </c:pt>
                <c:pt idx="13">
                  <c:v>318.40515571445968</c:v>
                </c:pt>
                <c:pt idx="14">
                  <c:v>314.80443634029928</c:v>
                </c:pt>
                <c:pt idx="15">
                  <c:v>308.42560303974653</c:v>
                </c:pt>
                <c:pt idx="16">
                  <c:v>298.58000690628035</c:v>
                </c:pt>
                <c:pt idx="17">
                  <c:v>285.80472328164365</c:v>
                </c:pt>
                <c:pt idx="18">
                  <c:v>270.38758493400292</c:v>
                </c:pt>
                <c:pt idx="19">
                  <c:v>252.54727056810611</c:v>
                </c:pt>
                <c:pt idx="20">
                  <c:v>233.27709814309262</c:v>
                </c:pt>
                <c:pt idx="21">
                  <c:v>211.86236625853505</c:v>
                </c:pt>
                <c:pt idx="22">
                  <c:v>189.57226171114505</c:v>
                </c:pt>
                <c:pt idx="23">
                  <c:v>167.63448053045758</c:v>
                </c:pt>
                <c:pt idx="24">
                  <c:v>148.13377828676599</c:v>
                </c:pt>
                <c:pt idx="25">
                  <c:v>132.45713611720336</c:v>
                </c:pt>
                <c:pt idx="26">
                  <c:v>117.84817093820986</c:v>
                </c:pt>
                <c:pt idx="27">
                  <c:v>105.06260645556429</c:v>
                </c:pt>
                <c:pt idx="28">
                  <c:v>93.831409973212331</c:v>
                </c:pt>
                <c:pt idx="29">
                  <c:v>83.932240311473947</c:v>
                </c:pt>
                <c:pt idx="30">
                  <c:v>75.180116489300687</c:v>
                </c:pt>
                <c:pt idx="31">
                  <c:v>67.42018322957793</c:v>
                </c:pt>
                <c:pt idx="32">
                  <c:v>60.514174413792034</c:v>
                </c:pt>
                <c:pt idx="33">
                  <c:v>54.282843135836252</c:v>
                </c:pt>
                <c:pt idx="34">
                  <c:v>48.71386690130965</c:v>
                </c:pt>
                <c:pt idx="35">
                  <c:v>43.726529532539168</c:v>
                </c:pt>
                <c:pt idx="36">
                  <c:v>39.251521614057012</c:v>
                </c:pt>
                <c:pt idx="37">
                  <c:v>35.22906113389233</c:v>
                </c:pt>
                <c:pt idx="38">
                  <c:v>31.607378595872721</c:v>
                </c:pt>
                <c:pt idx="39">
                  <c:v>28.341474662096921</c:v>
                </c:pt>
                <c:pt idx="40">
                  <c:v>25.392095897422326</c:v>
                </c:pt>
                <c:pt idx="41">
                  <c:v>22.724886091035668</c:v>
                </c:pt>
                <c:pt idx="42">
                  <c:v>20.309679714312576</c:v>
                </c:pt>
                <c:pt idx="43">
                  <c:v>18.119911055807144</c:v>
                </c:pt>
                <c:pt idx="44">
                  <c:v>16.132117975878959</c:v>
                </c:pt>
                <c:pt idx="45">
                  <c:v>14.325523429283836</c:v>
                </c:pt>
                <c:pt idx="46">
                  <c:v>12.681681198584144</c:v>
                </c:pt>
                <c:pt idx="47">
                  <c:v>11.184174876761112</c:v>
                </c:pt>
                <c:pt idx="48">
                  <c:v>9.8183611935211488</c:v>
                </c:pt>
                <c:pt idx="49">
                  <c:v>8.5711504170839259</c:v>
                </c:pt>
                <c:pt idx="50">
                  <c:v>7.4308178736150632</c:v>
                </c:pt>
                <c:pt idx="51">
                  <c:v>6.403907679115318</c:v>
                </c:pt>
                <c:pt idx="52">
                  <c:v>5.6015385640765638</c:v>
                </c:pt>
                <c:pt idx="53">
                  <c:v>4.8718206463824405</c:v>
                </c:pt>
                <c:pt idx="54">
                  <c:v>4.207445457714881</c:v>
                </c:pt>
                <c:pt idx="55">
                  <c:v>3.601759023134353</c:v>
                </c:pt>
                <c:pt idx="56">
                  <c:v>3.0487522182657645</c:v>
                </c:pt>
                <c:pt idx="57">
                  <c:v>2.5429925471310666</c:v>
                </c:pt>
                <c:pt idx="58">
                  <c:v>2.0795644176482386</c:v>
                </c:pt>
                <c:pt idx="59">
                  <c:v>1.6540167601498583</c:v>
                </c:pt>
                <c:pt idx="60">
                  <c:v>1.262317011458912</c:v>
                </c:pt>
                <c:pt idx="61">
                  <c:v>0.9008106357348411</c:v>
                </c:pt>
                <c:pt idx="62">
                  <c:v>0.54280523364798638</c:v>
                </c:pt>
                <c:pt idx="63">
                  <c:v>0.33322325153474752</c:v>
                </c:pt>
                <c:pt idx="64">
                  <c:v>0.13590487557432723</c:v>
                </c:pt>
                <c:pt idx="65">
                  <c:v>9.5537468362618644E-2</c:v>
                </c:pt>
                <c:pt idx="66">
                  <c:v>6.4851730036409025E-2</c:v>
                </c:pt>
                <c:pt idx="67">
                  <c:v>4.2164703492360213E-2</c:v>
                </c:pt>
                <c:pt idx="68">
                  <c:v>2.595346656579272E-2</c:v>
                </c:pt>
                <c:pt idx="69">
                  <c:v>1.4867960224568171E-2</c:v>
                </c:pt>
                <c:pt idx="70">
                  <c:v>7.7202880737596777E-3</c:v>
                </c:pt>
                <c:pt idx="71">
                  <c:v>3.4762172455708143E-3</c:v>
                </c:pt>
                <c:pt idx="72">
                  <c:v>1.24915761819845E-3</c:v>
                </c:pt>
                <c:pt idx="73">
                  <c:v>2.9732189231451115E-4</c:v>
                </c:pt>
                <c:pt idx="74">
                  <c:v>2.5863063954816804E-5</c:v>
                </c:pt>
                <c:pt idx="75">
                  <c:v>2.6486718826285044E-14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-224.03517613155748</c:v>
                </c:pt>
                <c:pt idx="3">
                  <c:v>-150.56896414532798</c:v>
                </c:pt>
                <c:pt idx="4">
                  <c:v>-56.472037698983137</c:v>
                </c:pt>
                <c:pt idx="5">
                  <c:v>25.29407011405284</c:v>
                </c:pt>
                <c:pt idx="6">
                  <c:v>103.50105677518957</c:v>
                </c:pt>
                <c:pt idx="7">
                  <c:v>199.93461328218572</c:v>
                </c:pt>
                <c:pt idx="8">
                  <c:v>273.7436585182478</c:v>
                </c:pt>
                <c:pt idx="9">
                  <c:v>327.05814004495312</c:v>
                </c:pt>
                <c:pt idx="10">
                  <c:v>380.27197872520208</c:v>
                </c:pt>
                <c:pt idx="11">
                  <c:v>429.73599311672439</c:v>
                </c:pt>
                <c:pt idx="12">
                  <c:v>482.01773785033367</c:v>
                </c:pt>
                <c:pt idx="13">
                  <c:v>554.21759766873129</c:v>
                </c:pt>
                <c:pt idx="14">
                  <c:v>625.10324896726354</c:v>
                </c:pt>
                <c:pt idx="15">
                  <c:v>693.52177467438889</c:v>
                </c:pt>
                <c:pt idx="16">
                  <c:v>758.59756311466629</c:v>
                </c:pt>
                <c:pt idx="17">
                  <c:v>821.2512701334183</c:v>
                </c:pt>
                <c:pt idx="18">
                  <c:v>881.7116521901545</c:v>
                </c:pt>
                <c:pt idx="19">
                  <c:v>939.82401313074865</c:v>
                </c:pt>
                <c:pt idx="20">
                  <c:v>993.64861790482348</c:v>
                </c:pt>
                <c:pt idx="21">
                  <c:v>1046.0074695998489</c:v>
                </c:pt>
                <c:pt idx="22">
                  <c:v>1094.9743282704428</c:v>
                </c:pt>
                <c:pt idx="23">
                  <c:v>1139.6352402528664</c:v>
                </c:pt>
                <c:pt idx="24">
                  <c:v>1178.405358000304</c:v>
                </c:pt>
                <c:pt idx="25">
                  <c:v>1210.0070335946373</c:v>
                </c:pt>
                <c:pt idx="26">
                  <c:v>1238.6041170846463</c:v>
                </c:pt>
                <c:pt idx="27">
                  <c:v>1263.4123582898378</c:v>
                </c:pt>
                <c:pt idx="28">
                  <c:v>1285.0202105710785</c:v>
                </c:pt>
                <c:pt idx="29">
                  <c:v>1303.9107330062163</c:v>
                </c:pt>
                <c:pt idx="30">
                  <c:v>1320.4830521171748</c:v>
                </c:pt>
                <c:pt idx="31">
                  <c:v>1335.0689401613974</c:v>
                </c:pt>
                <c:pt idx="32">
                  <c:v>1347.8864729471088</c:v>
                </c:pt>
                <c:pt idx="33">
                  <c:v>1358.6507107190505</c:v>
                </c:pt>
                <c:pt idx="34">
                  <c:v>1368.1721807936642</c:v>
                </c:pt>
                <c:pt idx="35">
                  <c:v>1376.6146285840982</c:v>
                </c:pt>
                <c:pt idx="36">
                  <c:v>1384.117569713598</c:v>
                </c:pt>
                <c:pt idx="37">
                  <c:v>1390.8002309644567</c:v>
                </c:pt>
                <c:pt idx="38">
                  <c:v>1396.7648827846408</c:v>
                </c:pt>
                <c:pt idx="39">
                  <c:v>1402.0995597452293</c:v>
                </c:pt>
                <c:pt idx="40">
                  <c:v>1406.8802930012737</c:v>
                </c:pt>
                <c:pt idx="41">
                  <c:v>1411.1729513779881</c:v>
                </c:pt>
                <c:pt idx="42">
                  <c:v>1415.0347668260536</c:v>
                </c:pt>
                <c:pt idx="43">
                  <c:v>1418.5156039871986</c:v>
                </c:pt>
                <c:pt idx="44">
                  <c:v>1421.6590212637425</c:v>
                </c:pt>
                <c:pt idx="45">
                  <c:v>1424.5031611981899</c:v>
                </c:pt>
                <c:pt idx="46">
                  <c:v>1427.0815004795377</c:v>
                </c:pt>
                <c:pt idx="47">
                  <c:v>1429.4234840089766</c:v>
                </c:pt>
                <c:pt idx="48">
                  <c:v>1431.5550628097026</c:v>
                </c:pt>
                <c:pt idx="49">
                  <c:v>1433.4991518747972</c:v>
                </c:pt>
                <c:pt idx="50">
                  <c:v>1435.2760211018763</c:v>
                </c:pt>
                <c:pt idx="51">
                  <c:v>1436.8590495330204</c:v>
                </c:pt>
                <c:pt idx="52">
                  <c:v>1437.9491949800101</c:v>
                </c:pt>
                <c:pt idx="53">
                  <c:v>1438.9351422208322</c:v>
                </c:pt>
                <c:pt idx="54">
                  <c:v>1439.8285168151062</c:v>
                </c:pt>
                <c:pt idx="55">
                  <c:v>1440.6398032127763</c:v>
                </c:pt>
                <c:pt idx="56">
                  <c:v>1441.378321772353</c:v>
                </c:pt>
                <c:pt idx="57">
                  <c:v>1442.052364136475</c:v>
                </c:pt>
                <c:pt idx="58">
                  <c:v>1442.6693111022396</c:v>
                </c:pt>
                <c:pt idx="59">
                  <c:v>1443.235735454273</c:v>
                </c:pt>
                <c:pt idx="60">
                  <c:v>1443.7574918449136</c:v>
                </c:pt>
                <c:pt idx="61">
                  <c:v>1444.2397954860182</c:v>
                </c:pt>
                <c:pt idx="62">
                  <c:v>1444.7394620273274</c:v>
                </c:pt>
                <c:pt idx="63">
                  <c:v>1445.0050082192149</c:v>
                </c:pt>
                <c:pt idx="64">
                  <c:v>1445.2575846546533</c:v>
                </c:pt>
                <c:pt idx="65">
                  <c:v>1445.303286308967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(PCA)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5.9548006166645863E-4</c:v>
                </c:pt>
                <c:pt idx="1">
                  <c:v>19.41835210423185</c:v>
                </c:pt>
                <c:pt idx="2">
                  <c:v>65.917539792372537</c:v>
                </c:pt>
                <c:pt idx="3">
                  <c:v>128.76868228644108</c:v>
                </c:pt>
                <c:pt idx="4">
                  <c:v>200.573931694263</c:v>
                </c:pt>
                <c:pt idx="5">
                  <c:v>260.49696949750165</c:v>
                </c:pt>
                <c:pt idx="6">
                  <c:v>311.73232185297769</c:v>
                </c:pt>
                <c:pt idx="7">
                  <c:v>360.55251088995374</c:v>
                </c:pt>
                <c:pt idx="8">
                  <c:v>403.19119688691131</c:v>
                </c:pt>
                <c:pt idx="9">
                  <c:v>439.35947909582222</c:v>
                </c:pt>
                <c:pt idx="10">
                  <c:v>464.51048006892489</c:v>
                </c:pt>
                <c:pt idx="11">
                  <c:v>482.57091184356221</c:v>
                </c:pt>
                <c:pt idx="12">
                  <c:v>491.72833066564334</c:v>
                </c:pt>
                <c:pt idx="13">
                  <c:v>489.85408571455332</c:v>
                </c:pt>
                <c:pt idx="14">
                  <c:v>484.31451744661427</c:v>
                </c:pt>
                <c:pt idx="15">
                  <c:v>474.50092775345621</c:v>
                </c:pt>
                <c:pt idx="16">
                  <c:v>459.3538567788928</c:v>
                </c:pt>
                <c:pt idx="17">
                  <c:v>439.69957427945172</c:v>
                </c:pt>
                <c:pt idx="18">
                  <c:v>415.98089989846602</c:v>
                </c:pt>
                <c:pt idx="19">
                  <c:v>388.53426241247092</c:v>
                </c:pt>
                <c:pt idx="20">
                  <c:v>358.88784329706556</c:v>
                </c:pt>
                <c:pt idx="21">
                  <c:v>325.94210193620773</c:v>
                </c:pt>
                <c:pt idx="22">
                  <c:v>291.64963340176161</c:v>
                </c:pt>
                <c:pt idx="23">
                  <c:v>257.89920081608858</c:v>
                </c:pt>
                <c:pt idx="24">
                  <c:v>227.89812044117843</c:v>
                </c:pt>
                <c:pt idx="25">
                  <c:v>203.7802094110821</c:v>
                </c:pt>
                <c:pt idx="26">
                  <c:v>181.30487836647671</c:v>
                </c:pt>
                <c:pt idx="27">
                  <c:v>161.6347791624066</c:v>
                </c:pt>
                <c:pt idx="28">
                  <c:v>144.35601534340358</c:v>
                </c:pt>
                <c:pt idx="29">
                  <c:v>129.12652355611377</c:v>
                </c:pt>
                <c:pt idx="30">
                  <c:v>115.6617176758472</c:v>
                </c:pt>
                <c:pt idx="31">
                  <c:v>103.72335881473528</c:v>
                </c:pt>
                <c:pt idx="32">
                  <c:v>93.098729867372356</c:v>
                </c:pt>
                <c:pt idx="33">
                  <c:v>83.512066362824996</c:v>
                </c:pt>
                <c:pt idx="34">
                  <c:v>74.944410617399456</c:v>
                </c:pt>
                <c:pt idx="35">
                  <c:v>67.271583896214096</c:v>
                </c:pt>
                <c:pt idx="36">
                  <c:v>60.38695632931848</c:v>
                </c:pt>
                <c:pt idx="37">
                  <c:v>54.198555590603583</c:v>
                </c:pt>
                <c:pt idx="38">
                  <c:v>48.626736301342646</c:v>
                </c:pt>
                <c:pt idx="39">
                  <c:v>43.602268710918338</c:v>
                </c:pt>
                <c:pt idx="40">
                  <c:v>39.064762919111267</c:v>
                </c:pt>
                <c:pt idx="41">
                  <c:v>34.961363216977951</c:v>
                </c:pt>
                <c:pt idx="42">
                  <c:v>31.245661098942424</c:v>
                </c:pt>
                <c:pt idx="43">
                  <c:v>27.876786239703296</c:v>
                </c:pt>
                <c:pt idx="44">
                  <c:v>24.818643039813782</c:v>
                </c:pt>
                <c:pt idx="45">
                  <c:v>22.039266814282822</c:v>
                </c:pt>
                <c:pt idx="46">
                  <c:v>19.51027876705253</c:v>
                </c:pt>
                <c:pt idx="47">
                  <c:v>17.206422887324788</c:v>
                </c:pt>
                <c:pt idx="48">
                  <c:v>15.105171066955613</c:v>
                </c:pt>
                <c:pt idx="49">
                  <c:v>13.186385257052192</c:v>
                </c:pt>
                <c:pt idx="50">
                  <c:v>11.432027497869328</c:v>
                </c:pt>
                <c:pt idx="51">
                  <c:v>9.8521656601774126</c:v>
                </c:pt>
                <c:pt idx="52">
                  <c:v>8.6177516370408664</c:v>
                </c:pt>
                <c:pt idx="53">
                  <c:v>7.4951086867422161</c:v>
                </c:pt>
                <c:pt idx="54">
                  <c:v>6.4729930118690477</c:v>
                </c:pt>
                <c:pt idx="55">
                  <c:v>5.5411677278990048</c:v>
                </c:pt>
                <c:pt idx="56">
                  <c:v>4.6903880281011761</c:v>
                </c:pt>
                <c:pt idx="57">
                  <c:v>3.9122962263554868</c:v>
                </c:pt>
                <c:pt idx="58">
                  <c:v>3.1993298733049822</c:v>
                </c:pt>
                <c:pt idx="59">
                  <c:v>2.5446411694613205</c:v>
                </c:pt>
                <c:pt idx="60">
                  <c:v>1.9420261714752491</c:v>
                </c:pt>
                <c:pt idx="61">
                  <c:v>1.3858625165151401</c:v>
                </c:pt>
                <c:pt idx="62">
                  <c:v>0.83508497484305599</c:v>
                </c:pt>
                <c:pt idx="63">
                  <c:v>0.51265115620730384</c:v>
                </c:pt>
                <c:pt idx="64">
                  <c:v>0.20908442396050342</c:v>
                </c:pt>
                <c:pt idx="65">
                  <c:v>0.14698072055787484</c:v>
                </c:pt>
                <c:pt idx="66">
                  <c:v>9.9771892363706191E-2</c:v>
                </c:pt>
                <c:pt idx="67">
                  <c:v>6.4868774603631094E-2</c:v>
                </c:pt>
                <c:pt idx="68">
                  <c:v>3.9928410101219565E-2</c:v>
                </c:pt>
                <c:pt idx="69">
                  <c:v>2.2873784960874107E-2</c:v>
                </c:pt>
                <c:pt idx="70">
                  <c:v>1.1877366267322581E-2</c:v>
                </c:pt>
                <c:pt idx="71">
                  <c:v>5.3480265316474063E-3</c:v>
                </c:pt>
                <c:pt idx="72">
                  <c:v>1.9217809510745385E-3</c:v>
                </c:pt>
                <c:pt idx="73">
                  <c:v>4.5741829586847866E-4</c:v>
                </c:pt>
                <c:pt idx="74">
                  <c:v>3.9789329161256623E-5</c:v>
                </c:pt>
                <c:pt idx="75">
                  <c:v>4.0748798194284682E-14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-248.9279734795083</c:v>
                </c:pt>
                <c:pt idx="3">
                  <c:v>-167.29884905036442</c:v>
                </c:pt>
                <c:pt idx="4">
                  <c:v>-62.746708554425709</c:v>
                </c:pt>
                <c:pt idx="5">
                  <c:v>28.104522348947597</c:v>
                </c:pt>
                <c:pt idx="6">
                  <c:v>115.00117419465508</c:v>
                </c:pt>
                <c:pt idx="7">
                  <c:v>222.1495703135397</c:v>
                </c:pt>
                <c:pt idx="8">
                  <c:v>323.19467804864246</c:v>
                </c:pt>
                <c:pt idx="9">
                  <c:v>419.94282321832657</c:v>
                </c:pt>
                <c:pt idx="10">
                  <c:v>525.03969381238153</c:v>
                </c:pt>
                <c:pt idx="11">
                  <c:v>632.29403025542274</c:v>
                </c:pt>
                <c:pt idx="12">
                  <c:v>741.56575053897484</c:v>
                </c:pt>
                <c:pt idx="13">
                  <c:v>852.64245795189424</c:v>
                </c:pt>
                <c:pt idx="14">
                  <c:v>961.69730610348233</c:v>
                </c:pt>
                <c:pt idx="15">
                  <c:v>1066.9565764221368</c:v>
                </c:pt>
                <c:pt idx="16">
                  <c:v>1167.0731740225635</c:v>
                </c:pt>
                <c:pt idx="17">
                  <c:v>1263.4634925129512</c:v>
                </c:pt>
                <c:pt idx="18">
                  <c:v>1356.4794649079299</c:v>
                </c:pt>
                <c:pt idx="19">
                  <c:v>1445.8830971242287</c:v>
                </c:pt>
                <c:pt idx="20">
                  <c:v>1528.690181392036</c:v>
                </c:pt>
                <c:pt idx="21">
                  <c:v>1609.2422609228445</c:v>
                </c:pt>
                <c:pt idx="22">
                  <c:v>1684.5758896468351</c:v>
                </c:pt>
                <c:pt idx="23">
                  <c:v>1753.2849850044099</c:v>
                </c:pt>
                <c:pt idx="24">
                  <c:v>1812.9313200004676</c:v>
                </c:pt>
                <c:pt idx="25">
                  <c:v>1861.549282453288</c:v>
                </c:pt>
                <c:pt idx="26">
                  <c:v>1905.5447955148404</c:v>
                </c:pt>
                <c:pt idx="27">
                  <c:v>1943.7113204459042</c:v>
                </c:pt>
                <c:pt idx="28">
                  <c:v>1976.9541701093515</c:v>
                </c:pt>
                <c:pt idx="29">
                  <c:v>2006.0165123172558</c:v>
                </c:pt>
                <c:pt idx="30">
                  <c:v>2031.5123878725765</c:v>
                </c:pt>
                <c:pt idx="31">
                  <c:v>2053.952215632919</c:v>
                </c:pt>
                <c:pt idx="32">
                  <c:v>2073.6714968417059</c:v>
                </c:pt>
                <c:pt idx="33">
                  <c:v>2090.2318626446931</c:v>
                </c:pt>
                <c:pt idx="34">
                  <c:v>2104.8802781440986</c:v>
                </c:pt>
                <c:pt idx="35">
                  <c:v>2117.868659360151</c:v>
                </c:pt>
                <c:pt idx="36">
                  <c:v>2129.4116457132277</c:v>
                </c:pt>
                <c:pt idx="37">
                  <c:v>2139.692663022241</c:v>
                </c:pt>
                <c:pt idx="38">
                  <c:v>2148.8690504379088</c:v>
                </c:pt>
                <c:pt idx="39">
                  <c:v>2157.0762457618912</c:v>
                </c:pt>
                <c:pt idx="40">
                  <c:v>2164.4312200019594</c:v>
                </c:pt>
                <c:pt idx="41">
                  <c:v>2171.0353098122891</c:v>
                </c:pt>
                <c:pt idx="42">
                  <c:v>2176.9765643477745</c:v>
                </c:pt>
                <c:pt idx="43">
                  <c:v>2182.3316984418439</c:v>
                </c:pt>
                <c:pt idx="44">
                  <c:v>2187.1677250211424</c:v>
                </c:pt>
                <c:pt idx="45">
                  <c:v>2191.543324920292</c:v>
                </c:pt>
                <c:pt idx="46">
                  <c:v>2195.51000073775</c:v>
                </c:pt>
                <c:pt idx="47">
                  <c:v>2199.1130523215024</c:v>
                </c:pt>
                <c:pt idx="48">
                  <c:v>2202.3924043226193</c:v>
                </c:pt>
                <c:pt idx="49">
                  <c:v>2205.3833105766112</c:v>
                </c:pt>
                <c:pt idx="50">
                  <c:v>2208.116955541348</c:v>
                </c:pt>
                <c:pt idx="51">
                  <c:v>2210.5523838969543</c:v>
                </c:pt>
                <c:pt idx="52">
                  <c:v>2212.229530738477</c:v>
                </c:pt>
                <c:pt idx="53">
                  <c:v>2213.7463726474339</c:v>
                </c:pt>
                <c:pt idx="54">
                  <c:v>2215.1207951001634</c:v>
                </c:pt>
                <c:pt idx="55">
                  <c:v>2216.3689280196559</c:v>
                </c:pt>
                <c:pt idx="56">
                  <c:v>2217.5051104190047</c:v>
                </c:pt>
                <c:pt idx="57">
                  <c:v>2218.5420986714998</c:v>
                </c:pt>
                <c:pt idx="58">
                  <c:v>2219.4912478495994</c:v>
                </c:pt>
                <c:pt idx="59">
                  <c:v>2220.3626699296506</c:v>
                </c:pt>
                <c:pt idx="60">
                  <c:v>2221.1653720690979</c:v>
                </c:pt>
                <c:pt idx="61">
                  <c:v>2221.9073776707974</c:v>
                </c:pt>
                <c:pt idx="62">
                  <c:v>2222.6760954266574</c:v>
                </c:pt>
                <c:pt idx="63">
                  <c:v>2223.0846280295614</c:v>
                </c:pt>
                <c:pt idx="64">
                  <c:v>2223.4732071610051</c:v>
                </c:pt>
                <c:pt idx="65">
                  <c:v>2223.5435173984106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5"/>
          <c:order val="2"/>
          <c:tx>
            <c:v>P_M (Whitney)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3.6717552025020692E-4</c:v>
                </c:pt>
                <c:pt idx="1">
                  <c:v>5.527835178529136</c:v>
                </c:pt>
                <c:pt idx="2">
                  <c:v>14.950624613441683</c:v>
                </c:pt>
                <c:pt idx="3">
                  <c:v>30.931269932659948</c:v>
                </c:pt>
                <c:pt idx="4">
                  <c:v>52.320223083406177</c:v>
                </c:pt>
                <c:pt idx="5">
                  <c:v>72.01709736025245</c:v>
                </c:pt>
                <c:pt idx="6">
                  <c:v>95.634182494987257</c:v>
                </c:pt>
                <c:pt idx="7">
                  <c:v>116.82539402210939</c:v>
                </c:pt>
                <c:pt idx="8">
                  <c:v>135.43386809216997</c:v>
                </c:pt>
                <c:pt idx="9">
                  <c:v>148.5507129454509</c:v>
                </c:pt>
                <c:pt idx="10">
                  <c:v>150.63901161276127</c:v>
                </c:pt>
                <c:pt idx="11">
                  <c:v>149.26352508611799</c:v>
                </c:pt>
                <c:pt idx="12">
                  <c:v>148.63739146616473</c:v>
                </c:pt>
                <c:pt idx="13">
                  <c:v>147.45147844583454</c:v>
                </c:pt>
                <c:pt idx="14">
                  <c:v>145.10300779566592</c:v>
                </c:pt>
                <c:pt idx="15">
                  <c:v>145.56484450512255</c:v>
                </c:pt>
                <c:pt idx="16">
                  <c:v>145.25469198268533</c:v>
                </c:pt>
                <c:pt idx="17">
                  <c:v>144.25936075000493</c:v>
                </c:pt>
                <c:pt idx="18">
                  <c:v>142.50875304661059</c:v>
                </c:pt>
                <c:pt idx="19">
                  <c:v>139.95428387623858</c:v>
                </c:pt>
                <c:pt idx="20">
                  <c:v>136.565872161946</c:v>
                </c:pt>
                <c:pt idx="21">
                  <c:v>132.71027779854748</c:v>
                </c:pt>
                <c:pt idx="22">
                  <c:v>127.62839698430435</c:v>
                </c:pt>
                <c:pt idx="23">
                  <c:v>121.71667319005343</c:v>
                </c:pt>
                <c:pt idx="24">
                  <c:v>115.00545091471773</c:v>
                </c:pt>
                <c:pt idx="25">
                  <c:v>107.53955677731484</c:v>
                </c:pt>
                <c:pt idx="26">
                  <c:v>99.379002939289379</c:v>
                </c:pt>
                <c:pt idx="27">
                  <c:v>90.46482687438882</c:v>
                </c:pt>
                <c:pt idx="28">
                  <c:v>80.925797684066012</c:v>
                </c:pt>
                <c:pt idx="29">
                  <c:v>70.996090913778559</c:v>
                </c:pt>
                <c:pt idx="30">
                  <c:v>62.356361539855691</c:v>
                </c:pt>
                <c:pt idx="31">
                  <c:v>52.100494865626892</c:v>
                </c:pt>
                <c:pt idx="32">
                  <c:v>41.987538357236559</c:v>
                </c:pt>
                <c:pt idx="33">
                  <c:v>32.303069275954584</c:v>
                </c:pt>
                <c:pt idx="34">
                  <c:v>23.44432034668932</c:v>
                </c:pt>
                <c:pt idx="35">
                  <c:v>16.043255691714037</c:v>
                </c:pt>
                <c:pt idx="36">
                  <c:v>11.766214566923011</c:v>
                </c:pt>
                <c:pt idx="37">
                  <c:v>11.118505752580827</c:v>
                </c:pt>
                <c:pt idx="38">
                  <c:v>10.504885443191156</c:v>
                </c:pt>
                <c:pt idx="39">
                  <c:v>9.9227315534386342</c:v>
                </c:pt>
                <c:pt idx="40">
                  <c:v>9.3696841960709651</c:v>
                </c:pt>
                <c:pt idx="41">
                  <c:v>8.8436137077708157</c:v>
                </c:pt>
                <c:pt idx="42">
                  <c:v>8.342593242586636</c:v>
                </c:pt>
                <c:pt idx="43">
                  <c:v>7.8648751893939215</c:v>
                </c:pt>
                <c:pt idx="44">
                  <c:v>7.4088708050404337</c:v>
                </c:pt>
                <c:pt idx="45">
                  <c:v>6.9731325629757475</c:v>
                </c:pt>
                <c:pt idx="46">
                  <c:v>6.5563388041535093</c:v>
                </c:pt>
                <c:pt idx="47">
                  <c:v>6.1572803473263935</c:v>
                </c:pt>
                <c:pt idx="48">
                  <c:v>5.7748487729985296</c:v>
                </c:pt>
                <c:pt idx="49">
                  <c:v>5.4080261419491942</c:v>
                </c:pt>
                <c:pt idx="50">
                  <c:v>5.0558759474943411</c:v>
                </c:pt>
                <c:pt idx="51">
                  <c:v>4.7175351321545307</c:v>
                </c:pt>
                <c:pt idx="52">
                  <c:v>4.3922070254482959</c:v>
                </c:pt>
                <c:pt idx="53">
                  <c:v>4.0791550811565616</c:v>
                </c:pt>
                <c:pt idx="54">
                  <c:v>3.8046508522504001</c:v>
                </c:pt>
                <c:pt idx="55">
                  <c:v>3.557597515034594</c:v>
                </c:pt>
                <c:pt idx="56">
                  <c:v>3.3193672596700998</c:v>
                </c:pt>
                <c:pt idx="57">
                  <c:v>3.089495726438388</c:v>
                </c:pt>
                <c:pt idx="58">
                  <c:v>2.8675505795473262</c:v>
                </c:pt>
                <c:pt idx="59">
                  <c:v>2.6531287933125771</c:v>
                </c:pt>
                <c:pt idx="60">
                  <c:v>2.4458542097135969</c:v>
                </c:pt>
                <c:pt idx="61">
                  <c:v>2.245375336183808</c:v>
                </c:pt>
                <c:pt idx="62">
                  <c:v>2.0513633565122888</c:v>
                </c:pt>
                <c:pt idx="63">
                  <c:v>1.8635103311786325</c:v>
                </c:pt>
                <c:pt idx="64">
                  <c:v>1.681527566402232</c:v>
                </c:pt>
                <c:pt idx="65">
                  <c:v>1.5051441337370743</c:v>
                </c:pt>
                <c:pt idx="66">
                  <c:v>1.3341055242456734</c:v>
                </c:pt>
                <c:pt idx="67">
                  <c:v>1.1681724231917952</c:v>
                </c:pt>
                <c:pt idx="68">
                  <c:v>1.007119592846031</c:v>
                </c:pt>
                <c:pt idx="69">
                  <c:v>0.85073485243641966</c:v>
                </c:pt>
                <c:pt idx="70">
                  <c:v>0.69881814552994193</c:v>
                </c:pt>
                <c:pt idx="71">
                  <c:v>0.55118068622502825</c:v>
                </c:pt>
                <c:pt idx="72">
                  <c:v>0.4038063536809573</c:v>
                </c:pt>
                <c:pt idx="73">
                  <c:v>0.2680400878468685</c:v>
                </c:pt>
                <c:pt idx="74">
                  <c:v>0.13220900125037699</c:v>
                </c:pt>
                <c:pt idx="75">
                  <c:v>0.17047781794334857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-226.7995104065281</c:v>
                </c:pt>
                <c:pt idx="1">
                  <c:v>-219.17491781344248</c:v>
                </c:pt>
                <c:pt idx="2">
                  <c:v>-205.44294189835239</c:v>
                </c:pt>
                <c:pt idx="3">
                  <c:v>-178.84385576731131</c:v>
                </c:pt>
                <c:pt idx="4">
                  <c:v>-140.84031346844813</c:v>
                </c:pt>
                <c:pt idx="5">
                  <c:v>-102.99278945384485</c:v>
                </c:pt>
                <c:pt idx="6">
                  <c:v>-47.726136056556342</c:v>
                </c:pt>
                <c:pt idx="7">
                  <c:v>2.2026836533568686</c:v>
                </c:pt>
                <c:pt idx="8">
                  <c:v>47.768358684222548</c:v>
                </c:pt>
                <c:pt idx="9">
                  <c:v>88.680932457050645</c:v>
                </c:pt>
                <c:pt idx="10">
                  <c:v>122.38144975612656</c:v>
                </c:pt>
                <c:pt idx="11">
                  <c:v>156.66838045241232</c:v>
                </c:pt>
                <c:pt idx="12">
                  <c:v>188.63386987851769</c:v>
                </c:pt>
                <c:pt idx="13">
                  <c:v>216.0055140036645</c:v>
                </c:pt>
                <c:pt idx="14">
                  <c:v>242.25150010026519</c:v>
                </c:pt>
                <c:pt idx="15">
                  <c:v>282.57081893159716</c:v>
                </c:pt>
                <c:pt idx="16">
                  <c:v>320.82700525123903</c:v>
                </c:pt>
                <c:pt idx="17">
                  <c:v>357.63761238120748</c:v>
                </c:pt>
                <c:pt idx="18">
                  <c:v>393.19095604513888</c:v>
                </c:pt>
                <c:pt idx="19">
                  <c:v>427.61998541927659</c:v>
                </c:pt>
                <c:pt idx="20">
                  <c:v>461.01557144274517</c:v>
                </c:pt>
                <c:pt idx="21">
                  <c:v>490.12078961690821</c:v>
                </c:pt>
                <c:pt idx="22">
                  <c:v>521.59743634316442</c:v>
                </c:pt>
                <c:pt idx="23">
                  <c:v>552.14057060399</c:v>
                </c:pt>
                <c:pt idx="24">
                  <c:v>581.74158681070514</c:v>
                </c:pt>
                <c:pt idx="25">
                  <c:v>610.37513142470209</c:v>
                </c:pt>
                <c:pt idx="26">
                  <c:v>638.00003319629309</c:v>
                </c:pt>
                <c:pt idx="27">
                  <c:v>664.13806301580996</c:v>
                </c:pt>
                <c:pt idx="28">
                  <c:v>688.82077027652372</c:v>
                </c:pt>
                <c:pt idx="29">
                  <c:v>712.32177737009874</c:v>
                </c:pt>
                <c:pt idx="30">
                  <c:v>731.20462969674088</c:v>
                </c:pt>
                <c:pt idx="31">
                  <c:v>751.94802746712844</c:v>
                </c:pt>
                <c:pt idx="32">
                  <c:v>771.043095997195</c:v>
                </c:pt>
                <c:pt idx="33">
                  <c:v>788.22928043982938</c:v>
                </c:pt>
                <c:pt idx="34">
                  <c:v>803.12679022790007</c:v>
                </c:pt>
                <c:pt idx="35">
                  <c:v>815.08770442886669</c:v>
                </c:pt>
                <c:pt idx="36">
                  <c:v>822.17697283130201</c:v>
                </c:pt>
                <c:pt idx="37">
                  <c:v>824.20691638344965</c:v>
                </c:pt>
                <c:pt idx="38">
                  <c:v>826.13002529123492</c:v>
                </c:pt>
                <c:pt idx="39">
                  <c:v>827.95451726771194</c:v>
                </c:pt>
                <c:pt idx="40">
                  <c:v>829.68778828743871</c:v>
                </c:pt>
                <c:pt idx="41">
                  <c:v>831.33651279458411</c:v>
                </c:pt>
                <c:pt idx="42">
                  <c:v>832.90672959613812</c:v>
                </c:pt>
                <c:pt idx="43">
                  <c:v>834.40391577046546</c:v>
                </c:pt>
                <c:pt idx="44">
                  <c:v>835.83305049778812</c:v>
                </c:pt>
                <c:pt idx="45">
                  <c:v>837.19867038023744</c:v>
                </c:pt>
                <c:pt idx="46">
                  <c:v>838.50491754649818</c:v>
                </c:pt>
                <c:pt idx="47">
                  <c:v>839.75558161564311</c:v>
                </c:pt>
                <c:pt idx="48">
                  <c:v>840.95413641566245</c:v>
                </c:pt>
                <c:pt idx="49">
                  <c:v>842.1037722059931</c:v>
                </c:pt>
                <c:pt idx="50">
                  <c:v>843.20742403346924</c:v>
                </c:pt>
                <c:pt idx="51">
                  <c:v>844.26779675238163</c:v>
                </c:pt>
                <c:pt idx="52">
                  <c:v>845.28738715769566</c:v>
                </c:pt>
                <c:pt idx="53">
                  <c:v>846.26850361269987</c:v>
                </c:pt>
                <c:pt idx="54">
                  <c:v>846.97836835898249</c:v>
                </c:pt>
                <c:pt idx="55">
                  <c:v>847.51016669516582</c:v>
                </c:pt>
                <c:pt idx="56">
                  <c:v>848.02297277525804</c:v>
                </c:pt>
                <c:pt idx="57">
                  <c:v>848.51778616367915</c:v>
                </c:pt>
                <c:pt idx="58">
                  <c:v>848.99553749127006</c:v>
                </c:pt>
                <c:pt idx="59">
                  <c:v>849.45709429696285</c:v>
                </c:pt>
                <c:pt idx="60">
                  <c:v>849.90326628530045</c:v>
                </c:pt>
                <c:pt idx="61">
                  <c:v>850.33481006683564</c:v>
                </c:pt>
                <c:pt idx="62">
                  <c:v>850.75243343979514</c:v>
                </c:pt>
                <c:pt idx="63">
                  <c:v>851.15679926397399</c:v>
                </c:pt>
                <c:pt idx="64">
                  <c:v>851.54852897146463</c:v>
                </c:pt>
                <c:pt idx="65">
                  <c:v>851.9282057533236</c:v>
                </c:pt>
                <c:pt idx="66">
                  <c:v>852.29637745655043</c:v>
                </c:pt>
                <c:pt idx="67">
                  <c:v>852.65355922164065</c:v>
                </c:pt>
                <c:pt idx="68">
                  <c:v>853.00023588741931</c:v>
                </c:pt>
                <c:pt idx="69">
                  <c:v>853.33686418676348</c:v>
                </c:pt>
                <c:pt idx="70">
                  <c:v>853.66387475412421</c:v>
                </c:pt>
                <c:pt idx="71">
                  <c:v>853.98167396340216</c:v>
                </c:pt>
                <c:pt idx="72">
                  <c:v>854.38498655386854</c:v>
                </c:pt>
                <c:pt idx="73">
                  <c:v>854.59115247043371</c:v>
                </c:pt>
                <c:pt idx="74">
                  <c:v>854.88353769650678</c:v>
                </c:pt>
                <c:pt idx="75">
                  <c:v>854.83750250196567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3"/>
          <c:tx>
            <c:v>P_M_Nominal (Whitney)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4.079728002780077E-4</c:v>
                </c:pt>
                <c:pt idx="1">
                  <c:v>6.1420390872545951</c:v>
                </c:pt>
                <c:pt idx="2">
                  <c:v>16.611805126046313</c:v>
                </c:pt>
                <c:pt idx="3">
                  <c:v>34.368077702955496</c:v>
                </c:pt>
                <c:pt idx="4">
                  <c:v>58.133581203784637</c:v>
                </c:pt>
                <c:pt idx="5">
                  <c:v>80.018997066947165</c:v>
                </c:pt>
                <c:pt idx="6">
                  <c:v>106.26020277220806</c:v>
                </c:pt>
                <c:pt idx="7">
                  <c:v>129.80599335789933</c:v>
                </c:pt>
                <c:pt idx="8">
                  <c:v>150.48207565796665</c:v>
                </c:pt>
                <c:pt idx="9">
                  <c:v>168.84905133896422</c:v>
                </c:pt>
                <c:pt idx="10">
                  <c:v>184.79927655006853</c:v>
                </c:pt>
                <c:pt idx="11">
                  <c:v>195.81587728078648</c:v>
                </c:pt>
                <c:pt idx="12">
                  <c:v>206.96025608156555</c:v>
                </c:pt>
                <c:pt idx="13">
                  <c:v>216.5535989757559</c:v>
                </c:pt>
                <c:pt idx="14">
                  <c:v>223.2353966087168</c:v>
                </c:pt>
                <c:pt idx="15">
                  <c:v>223.94591462326545</c:v>
                </c:pt>
                <c:pt idx="16">
                  <c:v>223.46875689643898</c:v>
                </c:pt>
                <c:pt idx="17">
                  <c:v>221.93747807693066</c:v>
                </c:pt>
                <c:pt idx="18">
                  <c:v>219.24423545632399</c:v>
                </c:pt>
                <c:pt idx="19">
                  <c:v>215.31428288652089</c:v>
                </c:pt>
                <c:pt idx="20">
                  <c:v>210.10134178760924</c:v>
                </c:pt>
                <c:pt idx="21">
                  <c:v>204.16965815161151</c:v>
                </c:pt>
                <c:pt idx="22">
                  <c:v>196.35137997585284</c:v>
                </c:pt>
                <c:pt idx="23">
                  <c:v>187.25642029238989</c:v>
                </c:pt>
                <c:pt idx="24">
                  <c:v>176.93146294571957</c:v>
                </c:pt>
                <c:pt idx="25">
                  <c:v>165.44547196509976</c:v>
                </c:pt>
                <c:pt idx="26">
                  <c:v>152.89077375275289</c:v>
                </c:pt>
                <c:pt idx="27">
                  <c:v>139.17665672982895</c:v>
                </c:pt>
                <c:pt idx="28">
                  <c:v>124.50122720625539</c:v>
                </c:pt>
                <c:pt idx="29">
                  <c:v>109.22475525196701</c:v>
                </c:pt>
                <c:pt idx="30">
                  <c:v>95.932863907470292</c:v>
                </c:pt>
                <c:pt idx="31">
                  <c:v>80.154607485579831</c:v>
                </c:pt>
                <c:pt idx="32">
                  <c:v>64.596212857287014</c:v>
                </c:pt>
                <c:pt idx="33">
                  <c:v>49.697029655314743</c:v>
                </c:pt>
                <c:pt idx="34">
                  <c:v>36.068185148752796</c:v>
                </c:pt>
                <c:pt idx="35">
                  <c:v>24.68193183340621</c:v>
                </c:pt>
                <c:pt idx="36">
                  <c:v>18.101868564496939</c:v>
                </c:pt>
                <c:pt idx="37">
                  <c:v>17.105393465508964</c:v>
                </c:pt>
                <c:pt idx="38">
                  <c:v>16.161362220294087</c:v>
                </c:pt>
                <c:pt idx="39">
                  <c:v>15.265740851444052</c:v>
                </c:pt>
                <c:pt idx="40">
                  <c:v>14.4148987631861</c:v>
                </c:pt>
                <c:pt idx="41">
                  <c:v>13.60555955041664</c:v>
                </c:pt>
                <c:pt idx="42">
                  <c:v>12.834758834748671</c:v>
                </c:pt>
                <c:pt idx="43">
                  <c:v>12.099807983682956</c:v>
                </c:pt>
                <c:pt idx="44">
                  <c:v>11.398262776985282</c:v>
                </c:pt>
                <c:pt idx="45">
                  <c:v>10.727896250731918</c:v>
                </c:pt>
                <c:pt idx="46">
                  <c:v>10.086675083313091</c:v>
                </c:pt>
                <c:pt idx="47">
                  <c:v>9.4727389958867594</c:v>
                </c:pt>
                <c:pt idx="48">
                  <c:v>8.8843827276900456</c:v>
                </c:pt>
                <c:pt idx="49">
                  <c:v>8.3200402183833759</c:v>
                </c:pt>
                <c:pt idx="50">
                  <c:v>7.7782706884528325</c:v>
                </c:pt>
                <c:pt idx="51">
                  <c:v>7.2577463571608165</c:v>
                </c:pt>
                <c:pt idx="52">
                  <c:v>6.7572415776127626</c:v>
                </c:pt>
                <c:pt idx="53">
                  <c:v>6.2756232017793252</c:v>
                </c:pt>
                <c:pt idx="54">
                  <c:v>5.8533090034621535</c:v>
                </c:pt>
                <c:pt idx="55">
                  <c:v>5.4732269462070677</c:v>
                </c:pt>
                <c:pt idx="56">
                  <c:v>5.1067188610309229</c:v>
                </c:pt>
                <c:pt idx="57">
                  <c:v>4.7530703483667507</c:v>
                </c:pt>
                <c:pt idx="58">
                  <c:v>4.4116162762266553</c:v>
                </c:pt>
                <c:pt idx="59">
                  <c:v>4.081736605096272</c:v>
                </c:pt>
                <c:pt idx="60">
                  <c:v>3.7628526303286103</c:v>
                </c:pt>
                <c:pt idx="61">
                  <c:v>3.4544235941289352</c:v>
                </c:pt>
                <c:pt idx="62">
                  <c:v>3.1559436254035211</c:v>
                </c:pt>
                <c:pt idx="63">
                  <c:v>2.8669389710440498</c:v>
                </c:pt>
                <c:pt idx="64">
                  <c:v>2.5869654867726646</c:v>
                </c:pt>
                <c:pt idx="65">
                  <c:v>2.315606359595499</c:v>
                </c:pt>
                <c:pt idx="66">
                  <c:v>2.0524700373010361</c:v>
                </c:pt>
                <c:pt idx="67">
                  <c:v>1.7971883433719924</c:v>
                </c:pt>
                <c:pt idx="68">
                  <c:v>1.5494147582246631</c:v>
                </c:pt>
                <c:pt idx="69">
                  <c:v>1.3088228499021841</c:v>
                </c:pt>
                <c:pt idx="70">
                  <c:v>1.0751048392768336</c:v>
                </c:pt>
                <c:pt idx="71">
                  <c:v>0.84797028650004347</c:v>
                </c:pt>
                <c:pt idx="72">
                  <c:v>0.62124054412454965</c:v>
                </c:pt>
                <c:pt idx="73">
                  <c:v>0.41236936591825923</c:v>
                </c:pt>
                <c:pt idx="74">
                  <c:v>0.20339846346211843</c:v>
                </c:pt>
                <c:pt idx="75">
                  <c:v>0.26227356606669011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-251.99945600725343</c:v>
                </c:pt>
                <c:pt idx="1">
                  <c:v>-243.52768645938053</c:v>
                </c:pt>
                <c:pt idx="2">
                  <c:v>-228.26993544261376</c:v>
                </c:pt>
                <c:pt idx="3">
                  <c:v>-198.71539529701255</c:v>
                </c:pt>
                <c:pt idx="4">
                  <c:v>-156.48923718716458</c:v>
                </c:pt>
                <c:pt idx="5">
                  <c:v>-114.43643272649427</c:v>
                </c:pt>
                <c:pt idx="6">
                  <c:v>-53.02904006284038</c:v>
                </c:pt>
                <c:pt idx="7">
                  <c:v>2.4474262815076315</c:v>
                </c:pt>
                <c:pt idx="8">
                  <c:v>53.075954093580606</c:v>
                </c:pt>
                <c:pt idx="9">
                  <c:v>100.79851533749441</c:v>
                </c:pt>
                <c:pt idx="10">
                  <c:v>150.1337743520142</c:v>
                </c:pt>
                <c:pt idx="11">
                  <c:v>205.53016112107289</c:v>
                </c:pt>
                <c:pt idx="12">
                  <c:v>262.65069395140449</c:v>
                </c:pt>
                <c:pt idx="13">
                  <c:v>317.23501147046665</c:v>
                </c:pt>
                <c:pt idx="14">
                  <c:v>372.69461553886953</c:v>
                </c:pt>
                <c:pt idx="15">
                  <c:v>434.72433681784179</c:v>
                </c:pt>
                <c:pt idx="16">
                  <c:v>493.58000807882928</c:v>
                </c:pt>
                <c:pt idx="17">
                  <c:v>550.21171135570376</c:v>
                </c:pt>
                <c:pt idx="18">
                  <c:v>604.90916314636752</c:v>
                </c:pt>
                <c:pt idx="19">
                  <c:v>657.87690064504091</c:v>
                </c:pt>
                <c:pt idx="20">
                  <c:v>709.25472529653098</c:v>
                </c:pt>
                <c:pt idx="21">
                  <c:v>754.03198402601265</c:v>
                </c:pt>
                <c:pt idx="22">
                  <c:v>802.45759437409913</c:v>
                </c:pt>
                <c:pt idx="23">
                  <c:v>849.44703169844615</c:v>
                </c:pt>
                <c:pt idx="24">
                  <c:v>894.98705663185399</c:v>
                </c:pt>
                <c:pt idx="25">
                  <c:v>939.03866373031087</c:v>
                </c:pt>
                <c:pt idx="26">
                  <c:v>981.53851260968167</c:v>
                </c:pt>
                <c:pt idx="27">
                  <c:v>1021.7508661781692</c:v>
                </c:pt>
                <c:pt idx="28">
                  <c:v>1059.7242619638826</c:v>
                </c:pt>
                <c:pt idx="29">
                  <c:v>1095.8796574924595</c:v>
                </c:pt>
                <c:pt idx="30">
                  <c:v>1124.9301995334474</c:v>
                </c:pt>
                <c:pt idx="31">
                  <c:v>1156.8431191801976</c:v>
                </c:pt>
                <c:pt idx="32">
                  <c:v>1186.2201476879923</c:v>
                </c:pt>
                <c:pt idx="33">
                  <c:v>1212.6604314458914</c:v>
                </c:pt>
                <c:pt idx="34">
                  <c:v>1235.5796772736924</c:v>
                </c:pt>
                <c:pt idx="35">
                  <c:v>1253.9810837367179</c:v>
                </c:pt>
                <c:pt idx="36">
                  <c:v>1264.8876505096953</c:v>
                </c:pt>
                <c:pt idx="37">
                  <c:v>1268.0106405899226</c:v>
                </c:pt>
                <c:pt idx="38">
                  <c:v>1270.9692696788229</c:v>
                </c:pt>
                <c:pt idx="39">
                  <c:v>1273.7761804118645</c:v>
                </c:pt>
                <c:pt idx="40">
                  <c:v>1276.4427512114441</c:v>
                </c:pt>
                <c:pt idx="41">
                  <c:v>1278.9792504532063</c:v>
                </c:pt>
                <c:pt idx="42">
                  <c:v>1281.3949686094431</c:v>
                </c:pt>
                <c:pt idx="43">
                  <c:v>1283.6983319545623</c:v>
                </c:pt>
                <c:pt idx="44">
                  <c:v>1285.8970007658279</c:v>
                </c:pt>
                <c:pt idx="45">
                  <c:v>1287.9979544311345</c:v>
                </c:pt>
                <c:pt idx="46">
                  <c:v>1290.007565456151</c:v>
                </c:pt>
                <c:pt idx="47">
                  <c:v>1291.9316640240663</c:v>
                </c:pt>
                <c:pt idx="48">
                  <c:v>1293.7755944856344</c:v>
                </c:pt>
                <c:pt idx="49">
                  <c:v>1295.544264932297</c:v>
                </c:pt>
                <c:pt idx="50">
                  <c:v>1297.2421908207218</c:v>
                </c:pt>
                <c:pt idx="51">
                  <c:v>1298.8735334652024</c:v>
                </c:pt>
                <c:pt idx="52">
                  <c:v>1300.4421340887625</c:v>
                </c:pt>
                <c:pt idx="53">
                  <c:v>1301.9515440195382</c:v>
                </c:pt>
                <c:pt idx="54">
                  <c:v>1303.0436436292039</c:v>
                </c:pt>
                <c:pt idx="55">
                  <c:v>1303.8617949156396</c:v>
                </c:pt>
                <c:pt idx="56">
                  <c:v>1304.6507273465509</c:v>
                </c:pt>
                <c:pt idx="57">
                  <c:v>1305.4119787133525</c:v>
                </c:pt>
                <c:pt idx="58">
                  <c:v>1306.1469807558001</c:v>
                </c:pt>
                <c:pt idx="59">
                  <c:v>1306.8570681491735</c:v>
                </c:pt>
                <c:pt idx="60">
                  <c:v>1307.5434865927698</c:v>
                </c:pt>
                <c:pt idx="61">
                  <c:v>1308.2074001028241</c:v>
                </c:pt>
                <c:pt idx="62">
                  <c:v>1308.8498975996847</c:v>
                </c:pt>
                <c:pt idx="63">
                  <c:v>1309.4719988676522</c:v>
                </c:pt>
                <c:pt idx="64">
                  <c:v>1310.0746599560994</c:v>
                </c:pt>
                <c:pt idx="65">
                  <c:v>1310.6587780820362</c:v>
                </c:pt>
                <c:pt idx="66">
                  <c:v>1311.2251960870005</c:v>
                </c:pt>
                <c:pt idx="67">
                  <c:v>1311.7747064948317</c:v>
                </c:pt>
                <c:pt idx="68">
                  <c:v>1312.3080552114143</c:v>
                </c:pt>
                <c:pt idx="69">
                  <c:v>1312.825944902713</c:v>
                </c:pt>
                <c:pt idx="70">
                  <c:v>1313.329038083268</c:v>
                </c:pt>
                <c:pt idx="71">
                  <c:v>1313.8179599436955</c:v>
                </c:pt>
                <c:pt idx="72">
                  <c:v>1314.4384408521055</c:v>
                </c:pt>
                <c:pt idx="73">
                  <c:v>1314.7556191852825</c:v>
                </c:pt>
                <c:pt idx="74">
                  <c:v>1315.2054426100103</c:v>
                </c:pt>
                <c:pt idx="75">
                  <c:v>1315.1346192337933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4"/>
          <c:order val="4"/>
          <c:tx>
            <c:v>min_e_line (PCA)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159.26138739528514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7"/>
          <c:order val="5"/>
          <c:tx>
            <c:v>min_e_line (Whitney)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82.805579863173435</c:v>
                </c:pt>
                <c:pt idx="1">
                  <c:v>0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684.13450091910886</c:v>
                </c:pt>
                <c:pt idx="1">
                  <c:v>684.13450091910886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ser>
          <c:idx val="2"/>
          <c:order val="6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7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339.75239876425223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356.9999999999734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FD4D41-D9E6-4342-B858-3A96133753D0}">
  <sheetPr codeName="Chart3"/>
  <sheetViews>
    <sheetView zoomScale="12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5BB521-54CB-4F13-9A81-6C1017224D5E}">
  <sheetPr codeName="Chart4"/>
  <sheetViews>
    <sheetView zoomScale="12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28575</xdr:rowOff>
        </xdr:from>
        <xdr:to>
          <xdr:col>6</xdr:col>
          <xdr:colOff>390525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Brent's Method to solve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590550</xdr:colOff>
      <xdr:row>4</xdr:row>
      <xdr:rowOff>25400</xdr:rowOff>
    </xdr:from>
    <xdr:to>
      <xdr:col>31</xdr:col>
      <xdr:colOff>590550</xdr:colOff>
      <xdr:row>32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523875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95250</xdr:colOff>
          <xdr:row>4</xdr:row>
          <xdr:rowOff>190500</xdr:rowOff>
        </xdr:from>
        <xdr:to>
          <xdr:col>34</xdr:col>
          <xdr:colOff>504825</xdr:colOff>
          <xdr:row>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Full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CX362"/>
  <sheetViews>
    <sheetView tabSelected="1" zoomScale="75" zoomScaleNormal="75" workbookViewId="0">
      <selection activeCell="B11" sqref="B11"/>
    </sheetView>
  </sheetViews>
  <sheetFormatPr defaultColWidth="8.85546875"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3.85546875" customWidth="1"/>
    <col min="13" max="13" width="14.85546875" bestFit="1" customWidth="1"/>
    <col min="14" max="14" width="9" bestFit="1" customWidth="1"/>
    <col min="15" max="15" width="14.7109375" bestFit="1" customWidth="1"/>
    <col min="16" max="17" width="9" bestFit="1" customWidth="1"/>
    <col min="18" max="18" width="10.85546875" bestFit="1" customWidth="1"/>
    <col min="19" max="21" width="9" bestFit="1" customWidth="1"/>
    <col min="22" max="22" width="11.42578125" customWidth="1"/>
    <col min="23" max="24" width="9" bestFit="1" customWidth="1"/>
    <col min="25" max="25" width="13.85546875" bestFit="1" customWidth="1"/>
    <col min="26" max="26" width="11" bestFit="1" customWidth="1"/>
    <col min="27" max="27" width="9" bestFit="1" customWidth="1"/>
    <col min="28" max="28" width="10.85546875" bestFit="1" customWidth="1"/>
    <col min="29" max="30" width="9" bestFit="1" customWidth="1"/>
    <col min="31" max="31" width="10.710937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2" ht="15.75" thickBot="1" x14ac:dyDescent="0.3">
      <c r="A1" s="2" t="s">
        <v>141</v>
      </c>
      <c r="B1" s="5" t="s">
        <v>151</v>
      </c>
      <c r="E1" s="2" t="s">
        <v>69</v>
      </c>
      <c r="F1" s="34">
        <v>1E-10</v>
      </c>
      <c r="L1" s="1">
        <v>1</v>
      </c>
      <c r="Z1" s="2" t="s">
        <v>81</v>
      </c>
      <c r="AA1" s="1">
        <v>2.62</v>
      </c>
      <c r="AB1" t="s">
        <v>82</v>
      </c>
      <c r="AI1">
        <v>357</v>
      </c>
      <c r="AJ1" t="s">
        <v>80</v>
      </c>
      <c r="AK1" s="1" t="s">
        <v>56</v>
      </c>
      <c r="AL1" s="1" t="s">
        <v>57</v>
      </c>
      <c r="AM1" s="1" t="s">
        <v>78</v>
      </c>
      <c r="AN1" s="1" t="s">
        <v>79</v>
      </c>
      <c r="AR1" t="s">
        <v>13</v>
      </c>
      <c r="AS1" t="s">
        <v>14</v>
      </c>
      <c r="AU1">
        <v>28.9079611519604</v>
      </c>
      <c r="AV1" s="1" t="s">
        <v>21</v>
      </c>
      <c r="AW1" s="1" t="s">
        <v>56</v>
      </c>
      <c r="AX1" s="1" t="s">
        <v>57</v>
      </c>
      <c r="AY1" s="1" t="s">
        <v>135</v>
      </c>
      <c r="AZ1" s="1" t="s">
        <v>137</v>
      </c>
      <c r="BA1" s="1" t="s">
        <v>133</v>
      </c>
      <c r="BB1" s="1" t="s">
        <v>134</v>
      </c>
      <c r="BC1" s="1" t="s">
        <v>136</v>
      </c>
      <c r="BF1" s="1" t="s">
        <v>21</v>
      </c>
      <c r="BG1" s="1" t="s">
        <v>56</v>
      </c>
      <c r="BH1" s="1" t="s">
        <v>57</v>
      </c>
      <c r="BI1" s="1" t="s">
        <v>135</v>
      </c>
      <c r="BJ1" s="1" t="s">
        <v>137</v>
      </c>
      <c r="BK1" s="1" t="s">
        <v>133</v>
      </c>
      <c r="BL1" s="1" t="s">
        <v>134</v>
      </c>
      <c r="BM1" s="1" t="s">
        <v>136</v>
      </c>
      <c r="BP1" s="1" t="s">
        <v>21</v>
      </c>
      <c r="BQ1" s="1" t="s">
        <v>56</v>
      </c>
      <c r="BR1" s="1" t="s">
        <v>57</v>
      </c>
      <c r="BS1" s="1" t="s">
        <v>135</v>
      </c>
      <c r="BT1" s="1" t="s">
        <v>137</v>
      </c>
      <c r="BU1" s="1" t="s">
        <v>133</v>
      </c>
      <c r="BV1" s="1" t="s">
        <v>134</v>
      </c>
      <c r="BW1" s="1" t="s">
        <v>136</v>
      </c>
      <c r="BX1" s="1"/>
      <c r="BY1" s="1"/>
      <c r="BZ1" s="1"/>
      <c r="CA1" s="1"/>
      <c r="CB1" s="1"/>
      <c r="CE1" s="1"/>
      <c r="CI1" s="1"/>
    </row>
    <row r="2" spans="1:102" x14ac:dyDescent="0.25">
      <c r="A2" t="s">
        <v>127</v>
      </c>
      <c r="B2" s="5" t="s">
        <v>150</v>
      </c>
      <c r="E2" s="2" t="s">
        <v>70</v>
      </c>
      <c r="F2" s="8">
        <v>75</v>
      </c>
      <c r="G2">
        <v>157</v>
      </c>
      <c r="H2">
        <v>3</v>
      </c>
      <c r="I2" s="16" t="s">
        <v>61</v>
      </c>
      <c r="J2" s="17">
        <f ca="1">IF(L109&gt;=0,IF(B1="Spiral",0.75,0.65),IF(ABS(L109)&lt;0.002,IF(B1="Spiral",0.75,0.65),IF(ABS(L109)&gt;0.005,0.9,IF(B1="Spiral",0.75+((ABS(L109)-0.002)*(50)),0.65+((ABS(L109)-0.002)*(250/3))))))</f>
        <v>0.74580174219534034</v>
      </c>
      <c r="K2" s="18"/>
      <c r="L2" s="19" t="s">
        <v>62</v>
      </c>
      <c r="N2">
        <v>14.457046796694284</v>
      </c>
      <c r="Z2" t="s">
        <v>77</v>
      </c>
      <c r="AA2" s="5">
        <v>72</v>
      </c>
      <c r="AJ2">
        <v>0</v>
      </c>
      <c r="AK2">
        <v>339.75239876425223</v>
      </c>
      <c r="AL2">
        <v>-2.6496200511706305E-14</v>
      </c>
      <c r="AM2">
        <v>455.55323826967452</v>
      </c>
      <c r="AN2">
        <v>-3.5527136788005009E-14</v>
      </c>
      <c r="AQ2">
        <v>0</v>
      </c>
      <c r="AR2">
        <f>$B$3*COS(RADIANS(AQ2))</f>
        <v>12</v>
      </c>
      <c r="AS2">
        <f>$B$3*SIN(RADIANS(AQ2))</f>
        <v>0</v>
      </c>
      <c r="AV2">
        <v>-291.59961406592197</v>
      </c>
      <c r="AW2">
        <v>5.3593205549981278E-4</v>
      </c>
      <c r="AX2">
        <v>6.3951985180716876E-15</v>
      </c>
      <c r="AY2">
        <f t="shared" ref="AY2:AY65" si="0">SQRT(POWER(AW2,2)+POWER(AX2,2))</f>
        <v>5.3593205549981278E-4</v>
      </c>
      <c r="AZ2">
        <v>-323.99957118435776</v>
      </c>
      <c r="BA2">
        <v>5.9548006166645863E-4</v>
      </c>
      <c r="BB2">
        <v>7.1057761311907642E-15</v>
      </c>
      <c r="BC2">
        <f t="shared" ref="BC2:BC65" si="1">SQRT(POWER(BA2,2)+POWER(BB2,2))</f>
        <v>5.9548006166645863E-4</v>
      </c>
      <c r="BF2">
        <v>-226.7995104065281</v>
      </c>
      <c r="BG2">
        <v>3.6717552025020692E-4</v>
      </c>
      <c r="BH2">
        <v>-2.5045218848275849E-14</v>
      </c>
      <c r="BI2">
        <f>SQRT(POWER(BG2,2)+POWER(BH2,2))</f>
        <v>3.6717552025020692E-4</v>
      </c>
      <c r="BJ2">
        <v>-251.99945600725343</v>
      </c>
      <c r="BK2">
        <v>4.079728002780077E-4</v>
      </c>
      <c r="BL2">
        <v>-2.7828020942528722E-14</v>
      </c>
      <c r="BM2">
        <f>SQRT(POWER(BK2,2)+POWER(BL2,2))</f>
        <v>4.079728002780077E-4</v>
      </c>
      <c r="BP2">
        <v>-226.79952639036048</v>
      </c>
      <c r="BQ2">
        <v>-3.511039155182515E-4</v>
      </c>
      <c r="BR2">
        <v>-4.2633174767609447E-15</v>
      </c>
      <c r="BS2">
        <f>SQRT(POWER(BQ2,2)+POWER(BR2,2))*-1</f>
        <v>-3.511039155182515E-4</v>
      </c>
      <c r="BT2">
        <v>-251.9994737670672</v>
      </c>
      <c r="BU2">
        <v>-3.9011546168694612E-4</v>
      </c>
      <c r="BV2">
        <v>-4.737019418623272E-15</v>
      </c>
      <c r="BW2">
        <f>SQRT(POWER(BU2,2)+POWER(BV2,2))*-1</f>
        <v>-3.9011546168694612E-4</v>
      </c>
    </row>
    <row r="3" spans="1:102" x14ac:dyDescent="0.25">
      <c r="A3" s="2" t="s">
        <v>12</v>
      </c>
      <c r="B3" s="8">
        <v>12</v>
      </c>
      <c r="C3" t="s">
        <v>0</v>
      </c>
      <c r="E3" s="2" t="s">
        <v>85</v>
      </c>
      <c r="F3" s="8">
        <v>0</v>
      </c>
      <c r="I3" s="20" t="s">
        <v>63</v>
      </c>
      <c r="J3" s="7">
        <f ca="1">J2*IF(B2="Whitney",B112,L153)</f>
        <v>356.9999999999734</v>
      </c>
      <c r="K3" s="21" t="s">
        <v>22</v>
      </c>
      <c r="L3" s="22">
        <f ca="1">J3-J9</f>
        <v>-2.6602720026858151E-11</v>
      </c>
      <c r="N3">
        <v>15.035490134686977</v>
      </c>
      <c r="AJ3">
        <v>8.7266462599716474E-2</v>
      </c>
      <c r="AK3">
        <v>341.48311599071019</v>
      </c>
      <c r="AL3">
        <v>29.272128959833449</v>
      </c>
      <c r="AM3">
        <v>451.79101144564771</v>
      </c>
      <c r="AN3">
        <v>38.727785154362842</v>
      </c>
      <c r="AQ3">
        <v>1</v>
      </c>
      <c r="AR3">
        <f t="shared" ref="AR3:AR66" si="2">$B$3*COS(RADIANS(AQ3))</f>
        <v>11.998172341876696</v>
      </c>
      <c r="AS3">
        <f t="shared" ref="AS3:AS66" si="3">$B$3*SIN(RADIANS(AQ3))</f>
        <v>0.20942887724740214</v>
      </c>
      <c r="AV3">
        <v>-273.34013804648538</v>
      </c>
      <c r="AW3">
        <v>17.476516893808665</v>
      </c>
      <c r="AX3">
        <v>6.198768250095964E-16</v>
      </c>
      <c r="AY3">
        <f t="shared" si="0"/>
        <v>17.476516893808665</v>
      </c>
      <c r="AZ3">
        <v>-303.71126449609488</v>
      </c>
      <c r="BA3">
        <v>19.41835210423185</v>
      </c>
      <c r="BB3">
        <v>6.8875202778844041E-16</v>
      </c>
      <c r="BC3">
        <f t="shared" si="1"/>
        <v>19.41835210423185</v>
      </c>
      <c r="BF3">
        <v>-219.17491781344248</v>
      </c>
      <c r="BG3">
        <v>5.527835178529136</v>
      </c>
      <c r="BH3">
        <v>-5.0541459985462583E-10</v>
      </c>
      <c r="BI3">
        <f t="shared" ref="BI3:BI66" si="4">SQRT(POWER(BG3,2)+POWER(BH3,2))</f>
        <v>5.527835178529136</v>
      </c>
      <c r="BJ3">
        <v>-243.52768645938053</v>
      </c>
      <c r="BK3">
        <v>6.1420390872545951</v>
      </c>
      <c r="BL3">
        <v>-5.6157177761625089E-10</v>
      </c>
      <c r="BM3">
        <f t="shared" ref="BM3:BM66" si="5">SQRT(POWER(BK3,2)+POWER(BL3,2))</f>
        <v>6.1420390872545951</v>
      </c>
      <c r="BP3">
        <v>-216.52404425093695</v>
      </c>
      <c r="BQ3">
        <v>-7.3762360702830501</v>
      </c>
      <c r="BR3">
        <v>7.4716934805669104E-16</v>
      </c>
      <c r="BS3">
        <f t="shared" ref="BS3:BS66" si="6">SQRT(POWER(BQ3,2)+POWER(BR3,2))*-1</f>
        <v>-7.3762360702830501</v>
      </c>
      <c r="BT3">
        <v>-240.58227138992993</v>
      </c>
      <c r="BU3">
        <v>-8.1958178558700556</v>
      </c>
      <c r="BV3">
        <v>8.3018816450743448E-16</v>
      </c>
      <c r="BW3">
        <f t="shared" ref="BW3:BW66" si="7">SQRT(POWER(BU3,2)+POWER(BV3,2))*-1</f>
        <v>-8.1958178558700556</v>
      </c>
    </row>
    <row r="4" spans="1:102" x14ac:dyDescent="0.25">
      <c r="A4" s="2" t="s">
        <v>5</v>
      </c>
      <c r="B4" s="5" t="s">
        <v>142</v>
      </c>
      <c r="I4" s="20" t="s">
        <v>64</v>
      </c>
      <c r="J4" s="7">
        <f ca="1">J2*IF(B2="Whitney",(B116/12),(O153/12))</f>
        <v>339.75239876425223</v>
      </c>
      <c r="K4" s="21" t="s">
        <v>65</v>
      </c>
      <c r="L4" s="23" t="str">
        <f>IF(J10=0,J4,"")</f>
        <v/>
      </c>
      <c r="AF4" s="2" t="s">
        <v>143</v>
      </c>
      <c r="AG4" s="1">
        <v>8.44</v>
      </c>
      <c r="AH4" t="s">
        <v>82</v>
      </c>
      <c r="AJ4">
        <v>0.17453292519943295</v>
      </c>
      <c r="AK4">
        <v>339.62348705554427</v>
      </c>
      <c r="AL4">
        <v>59.487804091483554</v>
      </c>
      <c r="AM4">
        <v>444.03806041391255</v>
      </c>
      <c r="AN4">
        <v>77.776862183695528</v>
      </c>
      <c r="AQ4">
        <v>2</v>
      </c>
      <c r="AR4">
        <f t="shared" si="2"/>
        <v>11.992689924229149</v>
      </c>
      <c r="AS4">
        <f t="shared" si="3"/>
        <v>0.4187939604300116</v>
      </c>
      <c r="AV4">
        <v>-224.03517613155748</v>
      </c>
      <c r="AW4">
        <v>59.325785813135283</v>
      </c>
      <c r="AX4">
        <v>-1.9184653865522706E-14</v>
      </c>
      <c r="AY4">
        <f t="shared" si="0"/>
        <v>59.325785813135283</v>
      </c>
      <c r="AZ4">
        <v>-248.9279734795083</v>
      </c>
      <c r="BA4">
        <v>65.917539792372537</v>
      </c>
      <c r="BB4">
        <v>-2.1316282072803006E-14</v>
      </c>
      <c r="BC4">
        <f t="shared" si="1"/>
        <v>65.917539792372537</v>
      </c>
      <c r="BF4">
        <v>-205.44294189835239</v>
      </c>
      <c r="BG4">
        <v>14.950624613441683</v>
      </c>
      <c r="BH4">
        <v>-1.3669569122548283E-9</v>
      </c>
      <c r="BI4">
        <f t="shared" si="4"/>
        <v>14.950624613441683</v>
      </c>
      <c r="BJ4">
        <v>-228.26993544261376</v>
      </c>
      <c r="BK4">
        <v>16.611805126046313</v>
      </c>
      <c r="BL4">
        <v>-1.5188410136164759E-9</v>
      </c>
      <c r="BM4">
        <f t="shared" si="5"/>
        <v>16.611805126046313</v>
      </c>
      <c r="BP4">
        <v>-198.08460900981606</v>
      </c>
      <c r="BQ4">
        <v>-19.694123642821953</v>
      </c>
      <c r="BR4">
        <v>-2.0698688774913727E-15</v>
      </c>
      <c r="BS4">
        <f t="shared" si="6"/>
        <v>-19.694123642821953</v>
      </c>
      <c r="BT4">
        <v>-220.09401001090674</v>
      </c>
      <c r="BU4">
        <v>-21.882359603135502</v>
      </c>
      <c r="BV4">
        <v>-2.2998543083237472E-15</v>
      </c>
      <c r="BW4">
        <f t="shared" si="7"/>
        <v>-21.882359603135502</v>
      </c>
    </row>
    <row r="5" spans="1:102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-2.6496200511706305E-14</v>
      </c>
      <c r="K5" s="21" t="s">
        <v>65</v>
      </c>
      <c r="L5" s="23">
        <f ca="1">IF(J11=0,J5,"")</f>
        <v>-2.6496200511706305E-14</v>
      </c>
      <c r="AJ5">
        <v>0.26179938779914941</v>
      </c>
      <c r="AK5">
        <v>334.52543775608666</v>
      </c>
      <c r="AL5">
        <v>89.160373788859488</v>
      </c>
      <c r="AM5">
        <v>434.08347107256537</v>
      </c>
      <c r="AN5">
        <v>115.69537071980501</v>
      </c>
      <c r="AQ5">
        <v>3</v>
      </c>
      <c r="AR5">
        <f t="shared" si="2"/>
        <v>11.983554417054886</v>
      </c>
      <c r="AS5">
        <f t="shared" si="3"/>
        <v>0.62803147491532596</v>
      </c>
      <c r="AV5">
        <v>-150.56896414532798</v>
      </c>
      <c r="AW5">
        <v>115.89181405779698</v>
      </c>
      <c r="AX5">
        <v>-2.9842794901924209E-14</v>
      </c>
      <c r="AY5">
        <f t="shared" si="0"/>
        <v>115.89181405779698</v>
      </c>
      <c r="AZ5">
        <v>-167.29884905036442</v>
      </c>
      <c r="BA5">
        <v>128.76868228644108</v>
      </c>
      <c r="BB5">
        <v>-3.3158661002138011E-14</v>
      </c>
      <c r="BC5">
        <f t="shared" si="1"/>
        <v>128.76868228644108</v>
      </c>
      <c r="BF5">
        <v>-178.84385576731131</v>
      </c>
      <c r="BG5">
        <v>30.931269932659948</v>
      </c>
      <c r="BH5">
        <v>-3.2560870381912171E-9</v>
      </c>
      <c r="BI5">
        <f t="shared" si="4"/>
        <v>30.931269932659948</v>
      </c>
      <c r="BJ5">
        <v>-198.71539529701255</v>
      </c>
      <c r="BK5">
        <v>34.368077702955496</v>
      </c>
      <c r="BL5">
        <v>-3.6178744868791298E-9</v>
      </c>
      <c r="BM5">
        <f t="shared" si="5"/>
        <v>34.368077702955496</v>
      </c>
      <c r="BP5">
        <v>-151.9935331295201</v>
      </c>
      <c r="BQ5">
        <v>-44.631220533074845</v>
      </c>
      <c r="BR5">
        <v>-3.2312062140611299E-15</v>
      </c>
      <c r="BS5">
        <f t="shared" si="6"/>
        <v>-44.631220533074845</v>
      </c>
      <c r="BT5">
        <v>-168.88170347724454</v>
      </c>
      <c r="BU5">
        <v>-49.590245036749828</v>
      </c>
      <c r="BV5">
        <v>-3.5902291267345885E-15</v>
      </c>
      <c r="BW5">
        <f t="shared" si="7"/>
        <v>-49.590245036749828</v>
      </c>
    </row>
    <row r="6" spans="1:102" ht="15.75" thickBot="1" x14ac:dyDescent="0.3">
      <c r="A6" s="2" t="s">
        <v>139</v>
      </c>
      <c r="B6" s="8">
        <v>145</v>
      </c>
      <c r="C6" t="s">
        <v>140</v>
      </c>
      <c r="I6" s="24" t="s">
        <v>67</v>
      </c>
      <c r="J6" s="25">
        <f ca="1">IF(AND(J4=0,J5=0),0,MOD(ATAN2(J4,J5),2*PI()))</f>
        <v>0</v>
      </c>
      <c r="K6" s="26" t="s">
        <v>17</v>
      </c>
      <c r="L6" s="27">
        <f ca="1">IF((J12-J6)=0,0,ATAN2(COS(J12-J6),SIN(J12-J6)))</f>
        <v>0</v>
      </c>
      <c r="M6" s="48"/>
      <c r="AJ6">
        <v>0.3490658503988659</v>
      </c>
      <c r="AK6">
        <v>325.27191241706026</v>
      </c>
      <c r="AL6">
        <v>118.38929416265307</v>
      </c>
      <c r="AM6">
        <v>421.68149384718225</v>
      </c>
      <c r="AN6">
        <v>153.47951210128107</v>
      </c>
      <c r="AQ6">
        <v>4</v>
      </c>
      <c r="AR6">
        <f t="shared" si="2"/>
        <v>11.970768603117889</v>
      </c>
      <c r="AS6">
        <f t="shared" si="3"/>
        <v>0.83707768492950363</v>
      </c>
      <c r="AV6">
        <v>-56.472037698983137</v>
      </c>
      <c r="AW6">
        <v>180.5165385248367</v>
      </c>
      <c r="AX6">
        <v>1.0085074247110121E-13</v>
      </c>
      <c r="AY6">
        <f t="shared" si="0"/>
        <v>180.5165385248367</v>
      </c>
      <c r="AZ6">
        <v>-62.746708554425709</v>
      </c>
      <c r="BA6">
        <v>200.573931694263</v>
      </c>
      <c r="BB6">
        <v>1.1205638052344579E-13</v>
      </c>
      <c r="BC6">
        <f t="shared" si="1"/>
        <v>200.573931694263</v>
      </c>
      <c r="BF6">
        <v>-140.84031346844813</v>
      </c>
      <c r="BG6">
        <v>52.320223083406177</v>
      </c>
      <c r="BH6">
        <v>-6.0399906315320655E-9</v>
      </c>
      <c r="BI6">
        <f t="shared" si="4"/>
        <v>52.320223083406177</v>
      </c>
      <c r="BJ6">
        <v>-156.48923718716458</v>
      </c>
      <c r="BK6">
        <v>58.133581203784637</v>
      </c>
      <c r="BL6">
        <v>-6.711100701702295E-9</v>
      </c>
      <c r="BM6">
        <f t="shared" si="5"/>
        <v>58.133581203784637</v>
      </c>
      <c r="BP6">
        <v>-90.796929343010348</v>
      </c>
      <c r="BQ6">
        <v>-75.704768127213114</v>
      </c>
      <c r="BR6">
        <v>1.353821438458765E-14</v>
      </c>
      <c r="BS6">
        <f t="shared" si="6"/>
        <v>-75.704768127213114</v>
      </c>
      <c r="BT6">
        <v>-100.88547704778927</v>
      </c>
      <c r="BU6">
        <v>-84.116409030236795</v>
      </c>
      <c r="BV6">
        <v>1.504246042731961E-14</v>
      </c>
      <c r="BW6">
        <f t="shared" si="7"/>
        <v>-84.116409030236795</v>
      </c>
    </row>
    <row r="7" spans="1:102" ht="15.75" thickBot="1" x14ac:dyDescent="0.3">
      <c r="A7" s="2" t="s">
        <v>3</v>
      </c>
      <c r="B7" s="4">
        <f>IF(B4="Density",(POWER(B6,1.5)*33*SQRT(1000*B5))/1000,(57000*SQRT(1000*B5))/1000)</f>
        <v>4074.2806880478911</v>
      </c>
      <c r="C7" t="s">
        <v>2</v>
      </c>
      <c r="E7" t="s">
        <v>144</v>
      </c>
      <c r="F7" s="1">
        <v>0.2</v>
      </c>
      <c r="G7" t="s">
        <v>82</v>
      </c>
      <c r="I7" s="20" t="s">
        <v>149</v>
      </c>
      <c r="J7" s="7">
        <f ca="1">SQRT(POWER(J4,2)+POWER(J5,2))</f>
        <v>339.75239876425223</v>
      </c>
      <c r="K7" s="21" t="s">
        <v>65</v>
      </c>
      <c r="L7" s="28"/>
      <c r="AJ7">
        <v>0.43633231299858238</v>
      </c>
      <c r="AK7">
        <v>313.57253622149324</v>
      </c>
      <c r="AL7">
        <v>146.72799762721121</v>
      </c>
      <c r="AM7">
        <v>406.89478166171801</v>
      </c>
      <c r="AN7">
        <v>190.39568094067343</v>
      </c>
      <c r="AQ7">
        <v>5</v>
      </c>
      <c r="AR7">
        <f t="shared" si="2"/>
        <v>11.954336377100947</v>
      </c>
      <c r="AS7">
        <f t="shared" si="3"/>
        <v>1.0458689129718981</v>
      </c>
      <c r="AV7">
        <v>25.29407011405284</v>
      </c>
      <c r="AW7">
        <v>234.44727254775148</v>
      </c>
      <c r="AX7">
        <v>-1.1723955140041652E-14</v>
      </c>
      <c r="AY7">
        <f t="shared" si="0"/>
        <v>234.44727254775148</v>
      </c>
      <c r="AZ7">
        <v>28.104522348947597</v>
      </c>
      <c r="BA7">
        <v>260.49696949750165</v>
      </c>
      <c r="BB7">
        <v>-1.3026616822268503E-14</v>
      </c>
      <c r="BC7">
        <f t="shared" si="1"/>
        <v>260.49696949750165</v>
      </c>
      <c r="BF7">
        <v>-102.99278945384485</v>
      </c>
      <c r="BG7">
        <v>72.01709736025245</v>
      </c>
      <c r="BH7">
        <v>-3.1201975073393201E-9</v>
      </c>
      <c r="BI7">
        <f t="shared" si="4"/>
        <v>72.01709736025245</v>
      </c>
      <c r="BJ7">
        <v>-114.43643272649427</v>
      </c>
      <c r="BK7">
        <v>80.018997066947165</v>
      </c>
      <c r="BL7">
        <v>-3.466886119265911E-9</v>
      </c>
      <c r="BM7">
        <f t="shared" si="5"/>
        <v>80.018997066947165</v>
      </c>
      <c r="BP7">
        <v>-40.19084618640688</v>
      </c>
      <c r="BQ7">
        <v>-100.54277128388318</v>
      </c>
      <c r="BR7">
        <v>1.6581238503628626E-14</v>
      </c>
      <c r="BS7">
        <f t="shared" si="6"/>
        <v>-100.54277128388318</v>
      </c>
      <c r="BT7">
        <v>-44.656495762674311</v>
      </c>
      <c r="BU7">
        <v>-111.71419031542575</v>
      </c>
      <c r="BV7">
        <v>1.8423598337365139E-14</v>
      </c>
      <c r="BW7">
        <f t="shared" si="7"/>
        <v>-111.71419031542575</v>
      </c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</row>
    <row r="8" spans="1:102" x14ac:dyDescent="0.25">
      <c r="A8" s="2" t="s">
        <v>4</v>
      </c>
      <c r="B8" s="9">
        <f>IF(B5&lt;=4,0.85,IF(B5&lt;=8,0.85 - ((0.05*(B5-4))/1),0.65))</f>
        <v>0.79999999999999993</v>
      </c>
      <c r="I8" s="16" t="s">
        <v>68</v>
      </c>
      <c r="J8" s="29"/>
      <c r="K8" s="18"/>
      <c r="AJ8">
        <v>0.52359877559829882</v>
      </c>
      <c r="AK8">
        <v>298.40470840905579</v>
      </c>
      <c r="AL8">
        <v>172.73546768020921</v>
      </c>
      <c r="AM8">
        <v>390.14689204538394</v>
      </c>
      <c r="AN8">
        <v>225.84163038425541</v>
      </c>
      <c r="AQ8">
        <v>6</v>
      </c>
      <c r="AR8">
        <f t="shared" si="2"/>
        <v>11.934262744419279</v>
      </c>
      <c r="AS8">
        <f t="shared" si="3"/>
        <v>1.2543415592118417</v>
      </c>
      <c r="AV8">
        <v>103.50105677518957</v>
      </c>
      <c r="AW8">
        <v>280.55908966767993</v>
      </c>
      <c r="AX8">
        <v>-3.5410965211318873E-14</v>
      </c>
      <c r="AY8">
        <f t="shared" si="0"/>
        <v>280.55908966767993</v>
      </c>
      <c r="AZ8">
        <v>115.00117419465508</v>
      </c>
      <c r="BA8">
        <v>311.73232185297769</v>
      </c>
      <c r="BB8">
        <v>-3.9345516901465413E-14</v>
      </c>
      <c r="BC8">
        <f t="shared" si="1"/>
        <v>311.73232185297769</v>
      </c>
      <c r="BF8">
        <v>-47.726136056556342</v>
      </c>
      <c r="BG8">
        <v>95.634182494987257</v>
      </c>
      <c r="BH8">
        <v>-7.1497692784452387E-9</v>
      </c>
      <c r="BI8">
        <f t="shared" si="4"/>
        <v>95.634182494987257</v>
      </c>
      <c r="BJ8">
        <v>-53.02904006284038</v>
      </c>
      <c r="BK8">
        <v>106.26020277220806</v>
      </c>
      <c r="BL8">
        <v>-7.9441880871613763E-9</v>
      </c>
      <c r="BM8">
        <f t="shared" si="5"/>
        <v>106.26020277220806</v>
      </c>
      <c r="BP8">
        <v>10.452767137800539</v>
      </c>
      <c r="BQ8">
        <v>-121.21892679115109</v>
      </c>
      <c r="BR8">
        <v>-4.3335357791367177E-15</v>
      </c>
      <c r="BS8">
        <f t="shared" si="6"/>
        <v>-121.21892679115109</v>
      </c>
      <c r="BT8">
        <v>11.614185708667264</v>
      </c>
      <c r="BU8">
        <v>-134.68769643461232</v>
      </c>
      <c r="BV8">
        <v>-4.8150397545963528E-15</v>
      </c>
      <c r="BW8">
        <f t="shared" si="7"/>
        <v>-134.68769643461232</v>
      </c>
    </row>
    <row r="9" spans="1:102" x14ac:dyDescent="0.25">
      <c r="A9" s="2" t="s">
        <v>6</v>
      </c>
      <c r="B9" s="1">
        <f>0.85*B5</f>
        <v>4.25</v>
      </c>
      <c r="C9" t="s">
        <v>2</v>
      </c>
      <c r="D9">
        <v>8</v>
      </c>
      <c r="I9" s="20" t="s">
        <v>21</v>
      </c>
      <c r="J9" s="30">
        <v>357</v>
      </c>
      <c r="K9" s="21" t="s">
        <v>22</v>
      </c>
      <c r="L9" s="28" t="str">
        <f>"+ Compression"</f>
        <v>+ Compression</v>
      </c>
      <c r="AJ9">
        <v>0.6108652381980153</v>
      </c>
      <c r="AK9">
        <v>280.40700522816456</v>
      </c>
      <c r="AL9">
        <v>197.07736414803725</v>
      </c>
      <c r="AM9">
        <v>370.98573421686785</v>
      </c>
      <c r="AN9">
        <v>260.73845971320634</v>
      </c>
      <c r="AQ9">
        <v>7</v>
      </c>
      <c r="AR9">
        <f t="shared" si="2"/>
        <v>11.910553819695863</v>
      </c>
      <c r="AS9">
        <f t="shared" si="3"/>
        <v>1.4624321208617697</v>
      </c>
      <c r="AV9">
        <v>199.93461328218572</v>
      </c>
      <c r="AW9">
        <v>324.49725980095837</v>
      </c>
      <c r="AX9">
        <v>-2.7953295944980747E-8</v>
      </c>
      <c r="AY9">
        <f t="shared" si="0"/>
        <v>324.49725980095837</v>
      </c>
      <c r="AZ9">
        <v>222.1495703135397</v>
      </c>
      <c r="BA9">
        <v>360.55251088995374</v>
      </c>
      <c r="BB9">
        <v>-3.1059217716645275E-8</v>
      </c>
      <c r="BC9">
        <f t="shared" si="1"/>
        <v>360.55251088995374</v>
      </c>
      <c r="BF9">
        <v>2.2026836533568686</v>
      </c>
      <c r="BG9">
        <v>116.82539402210939</v>
      </c>
      <c r="BH9">
        <v>-1.1386724896311763E-15</v>
      </c>
      <c r="BI9">
        <f t="shared" si="4"/>
        <v>116.82539402210939</v>
      </c>
      <c r="BJ9">
        <v>2.4474262815076315</v>
      </c>
      <c r="BK9">
        <v>129.80599335789933</v>
      </c>
      <c r="BL9">
        <v>-1.2651916551457514E-15</v>
      </c>
      <c r="BM9">
        <f t="shared" si="5"/>
        <v>129.80599335789933</v>
      </c>
      <c r="BP9">
        <v>75.795124689786022</v>
      </c>
      <c r="BQ9">
        <v>-141.84130128096191</v>
      </c>
      <c r="BR9">
        <v>1.1785252003252529E-8</v>
      </c>
      <c r="BS9">
        <f t="shared" si="6"/>
        <v>-141.84130128096191</v>
      </c>
      <c r="BT9">
        <v>84.21680521087336</v>
      </c>
      <c r="BU9">
        <v>-157.60144586773546</v>
      </c>
      <c r="BV9">
        <v>1.3094724448058365E-8</v>
      </c>
      <c r="BW9">
        <f t="shared" si="7"/>
        <v>-157.60144586773546</v>
      </c>
    </row>
    <row r="10" spans="1:102" x14ac:dyDescent="0.25">
      <c r="A10" s="2" t="s">
        <v>7</v>
      </c>
      <c r="B10" s="6">
        <v>0</v>
      </c>
      <c r="C10" t="s">
        <v>8</v>
      </c>
      <c r="E10" t="s">
        <v>18</v>
      </c>
      <c r="F10" s="36">
        <f>B3-B11</f>
        <v>1.9342937063723848</v>
      </c>
      <c r="I10" s="20" t="s">
        <v>56</v>
      </c>
      <c r="J10" s="30">
        <v>10</v>
      </c>
      <c r="K10" s="21" t="s">
        <v>65</v>
      </c>
      <c r="L10" s="28" t="str">
        <f>"+ Puts Top of Section in Compression"</f>
        <v>+ Puts Top of Section in Compression</v>
      </c>
      <c r="AJ10">
        <v>0.69813170079773179</v>
      </c>
      <c r="AK10">
        <v>260.26543710969861</v>
      </c>
      <c r="AL10">
        <v>218.38863228694163</v>
      </c>
      <c r="AM10">
        <v>348.97402672133995</v>
      </c>
      <c r="AN10">
        <v>292.82397711232659</v>
      </c>
      <c r="AQ10">
        <v>8</v>
      </c>
      <c r="AR10">
        <f t="shared" si="2"/>
        <v>11.883216824898845</v>
      </c>
      <c r="AS10">
        <f t="shared" si="3"/>
        <v>1.6700772115207854</v>
      </c>
      <c r="AV10">
        <v>273.7436585182478</v>
      </c>
      <c r="AW10">
        <v>341.50015707115961</v>
      </c>
      <c r="AX10">
        <v>-1.7051702275923738E-14</v>
      </c>
      <c r="AY10">
        <f t="shared" si="0"/>
        <v>341.50015707115961</v>
      </c>
      <c r="AZ10">
        <v>323.19467804864246</v>
      </c>
      <c r="BA10">
        <v>403.19119688691131</v>
      </c>
      <c r="BB10">
        <v>-2.0132044179869506E-14</v>
      </c>
      <c r="BC10">
        <f t="shared" si="1"/>
        <v>403.19119688691131</v>
      </c>
      <c r="BF10">
        <v>47.768358684222548</v>
      </c>
      <c r="BG10">
        <v>135.43386809216997</v>
      </c>
      <c r="BH10">
        <v>-1.3262019969338563E-8</v>
      </c>
      <c r="BI10">
        <f t="shared" si="4"/>
        <v>135.43386809216997</v>
      </c>
      <c r="BJ10">
        <v>53.075954093580606</v>
      </c>
      <c r="BK10">
        <v>150.48207565796665</v>
      </c>
      <c r="BL10">
        <v>-1.4735577743709514E-8</v>
      </c>
      <c r="BM10">
        <f t="shared" si="5"/>
        <v>150.48207565796665</v>
      </c>
      <c r="BP10">
        <v>125.61771759138591</v>
      </c>
      <c r="BQ10">
        <v>-148.1833253624882</v>
      </c>
      <c r="BR10">
        <v>8.2595412097638197E-15</v>
      </c>
      <c r="BS10">
        <f t="shared" si="6"/>
        <v>-148.1833253624882</v>
      </c>
      <c r="BT10">
        <v>150.33806695680937</v>
      </c>
      <c r="BU10">
        <v>-177.34436763684744</v>
      </c>
      <c r="BV10">
        <v>9.8849388703679897E-15</v>
      </c>
      <c r="BW10">
        <f t="shared" si="7"/>
        <v>-177.34436763684744</v>
      </c>
    </row>
    <row r="11" spans="1:102" x14ac:dyDescent="0.25">
      <c r="A11" s="2" t="s">
        <v>9</v>
      </c>
      <c r="B11" s="50">
        <v>10.065706293627615</v>
      </c>
      <c r="C11" t="s">
        <v>0</v>
      </c>
      <c r="E11" t="s">
        <v>75</v>
      </c>
      <c r="F11" s="9">
        <f>B3-B12</f>
        <v>3.9474349650979086</v>
      </c>
      <c r="G11" s="1"/>
      <c r="I11" s="20" t="s">
        <v>57</v>
      </c>
      <c r="J11" s="30">
        <v>0</v>
      </c>
      <c r="K11" s="21" t="s">
        <v>65</v>
      </c>
      <c r="L11" s="28" t="str">
        <f>"+ Puts Left of Section in Compression"</f>
        <v>+ Puts Left of Section in Compression</v>
      </c>
      <c r="AJ11">
        <v>0.78539816339744828</v>
      </c>
      <c r="AK11">
        <v>242.77548161910951</v>
      </c>
      <c r="AL11">
        <v>241.92486760392239</v>
      </c>
      <c r="AM11">
        <v>321.19825332121428</v>
      </c>
      <c r="AN11">
        <v>320.07286893681709</v>
      </c>
      <c r="AQ11">
        <v>9</v>
      </c>
      <c r="AR11">
        <f t="shared" si="2"/>
        <v>11.852260087141653</v>
      </c>
      <c r="AS11">
        <f t="shared" si="3"/>
        <v>1.8772135804827705</v>
      </c>
      <c r="AV11">
        <v>327.05814004495312</v>
      </c>
      <c r="AW11">
        <v>342.18014000799354</v>
      </c>
      <c r="AX11">
        <v>-9.6022838930392811E-14</v>
      </c>
      <c r="AY11">
        <f t="shared" si="0"/>
        <v>342.18014000799354</v>
      </c>
      <c r="AZ11">
        <v>419.94282321832657</v>
      </c>
      <c r="BA11">
        <v>439.35947909582222</v>
      </c>
      <c r="BB11">
        <v>-1.2329337550909259E-13</v>
      </c>
      <c r="BC11">
        <f t="shared" si="1"/>
        <v>439.35947909582222</v>
      </c>
      <c r="BF11">
        <v>88.680932457050645</v>
      </c>
      <c r="BG11">
        <v>148.5507129454509</v>
      </c>
      <c r="BH11">
        <v>-1.5247563568299278E-8</v>
      </c>
      <c r="BI11">
        <f t="shared" si="4"/>
        <v>148.5507129454509</v>
      </c>
      <c r="BJ11">
        <v>100.79851533749441</v>
      </c>
      <c r="BK11">
        <v>168.84905133896422</v>
      </c>
      <c r="BL11">
        <v>-1.7331028526825562E-8</v>
      </c>
      <c r="BM11">
        <f t="shared" si="5"/>
        <v>168.84905133896422</v>
      </c>
      <c r="BP11">
        <v>163.24831398641777</v>
      </c>
      <c r="BQ11">
        <v>-149.27078198740239</v>
      </c>
      <c r="BR11">
        <v>1.1005650764672446E-14</v>
      </c>
      <c r="BS11">
        <f t="shared" si="6"/>
        <v>-149.27078198740239</v>
      </c>
      <c r="BT11">
        <v>212.37964676604307</v>
      </c>
      <c r="BU11">
        <v>-194.19542644472978</v>
      </c>
      <c r="BV11">
        <v>1.4317919522440122E-14</v>
      </c>
      <c r="BW11">
        <f t="shared" si="7"/>
        <v>-194.19542644472978</v>
      </c>
    </row>
    <row r="12" spans="1:102" ht="15.75" thickBot="1" x14ac:dyDescent="0.3">
      <c r="A12" s="2" t="s">
        <v>10</v>
      </c>
      <c r="B12" s="7">
        <f>B11*B8</f>
        <v>8.0525650349020914</v>
      </c>
      <c r="C12" t="s">
        <v>0</v>
      </c>
      <c r="E12" t="s">
        <v>19</v>
      </c>
      <c r="F12" s="9">
        <f>IF(B11&lt;0,0,IF(F11&lt;(-1*B3),0,SQRT(POWER(B3,2)-POWER(F11,2))))</f>
        <v>11.332155893576582</v>
      </c>
      <c r="G12" s="9">
        <f>F11</f>
        <v>3.9474349650979086</v>
      </c>
      <c r="I12" s="24" t="s">
        <v>67</v>
      </c>
      <c r="J12" s="25">
        <f>IF(AND(J10=0,J11=0),0,MOD(ATAN2(J10,J11),2*PI()))</f>
        <v>0</v>
      </c>
      <c r="K12" s="26" t="s">
        <v>17</v>
      </c>
      <c r="AJ12">
        <v>0.87266462599716477</v>
      </c>
      <c r="AK12">
        <v>221.92866161412405</v>
      </c>
      <c r="AL12">
        <v>263.87607119547209</v>
      </c>
      <c r="AM12">
        <v>290.1588853814298</v>
      </c>
      <c r="AN12">
        <v>345.00269654235666</v>
      </c>
      <c r="AQ12">
        <v>10</v>
      </c>
      <c r="AR12">
        <f t="shared" si="2"/>
        <v>11.817693036146496</v>
      </c>
      <c r="AS12">
        <f t="shared" si="3"/>
        <v>2.0837781320031641</v>
      </c>
      <c r="AV12">
        <v>380.27197872520208</v>
      </c>
      <c r="AW12">
        <v>336.43231450139564</v>
      </c>
      <c r="AX12">
        <v>-5.9761412593332062E-14</v>
      </c>
      <c r="AY12">
        <f t="shared" si="0"/>
        <v>336.43231450139564</v>
      </c>
      <c r="AZ12">
        <v>525.03969381238153</v>
      </c>
      <c r="BA12">
        <v>464.51048006892489</v>
      </c>
      <c r="BB12">
        <v>-8.2512295212981429E-14</v>
      </c>
      <c r="BC12">
        <f t="shared" si="1"/>
        <v>464.51048006892489</v>
      </c>
      <c r="BF12">
        <v>122.38144975612656</v>
      </c>
      <c r="BG12">
        <v>150.63901161276127</v>
      </c>
      <c r="BH12">
        <v>-1.2116698253906844E-8</v>
      </c>
      <c r="BI12">
        <f t="shared" si="4"/>
        <v>150.63901161276127</v>
      </c>
      <c r="BJ12">
        <v>150.1337743520142</v>
      </c>
      <c r="BK12">
        <v>184.79927655006853</v>
      </c>
      <c r="BL12">
        <v>-1.4864390356287858E-8</v>
      </c>
      <c r="BM12">
        <f t="shared" si="5"/>
        <v>184.79927655006853</v>
      </c>
      <c r="BP12">
        <v>198.63620427154547</v>
      </c>
      <c r="BQ12">
        <v>-147.55222019583917</v>
      </c>
      <c r="BR12">
        <v>1.1302202938331197E-14</v>
      </c>
      <c r="BS12">
        <f t="shared" si="6"/>
        <v>-147.55222019583917</v>
      </c>
      <c r="BT12">
        <v>277.75982222619206</v>
      </c>
      <c r="BU12">
        <v>-206.32733393681337</v>
      </c>
      <c r="BV12">
        <v>1.5804258294342176E-14</v>
      </c>
      <c r="BW12">
        <f t="shared" si="7"/>
        <v>-206.32733393681337</v>
      </c>
    </row>
    <row r="13" spans="1:102" ht="15.75" thickBot="1" x14ac:dyDescent="0.3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-11.332155893576582</v>
      </c>
      <c r="G13" s="9">
        <f>F11</f>
        <v>3.9474349650979086</v>
      </c>
      <c r="I13" s="31" t="s">
        <v>148</v>
      </c>
      <c r="J13" s="32">
        <f>SQRT(POWER(J10,2)+POWER(J11,2))</f>
        <v>10</v>
      </c>
      <c r="K13" s="33" t="s">
        <v>65</v>
      </c>
      <c r="L13">
        <f>DEGREES(J12)</f>
        <v>0</v>
      </c>
      <c r="AJ13">
        <v>0.95993108859688125</v>
      </c>
      <c r="AK13">
        <v>198.95016912849437</v>
      </c>
      <c r="AL13">
        <v>283.32961540194492</v>
      </c>
      <c r="AM13">
        <v>258.15968006815484</v>
      </c>
      <c r="AN13">
        <v>367.6512726096671</v>
      </c>
      <c r="AQ13">
        <v>11</v>
      </c>
      <c r="AR13">
        <f t="shared" si="2"/>
        <v>11.779526201371969</v>
      </c>
      <c r="AS13">
        <f t="shared" si="3"/>
        <v>2.2897079445185375</v>
      </c>
      <c r="AV13">
        <v>429.73599311672439</v>
      </c>
      <c r="AW13">
        <v>327.97730189950335</v>
      </c>
      <c r="AX13">
        <v>-2.253614526523101E-14</v>
      </c>
      <c r="AY13">
        <f t="shared" si="0"/>
        <v>327.97730189950335</v>
      </c>
      <c r="AZ13">
        <v>632.29403025542274</v>
      </c>
      <c r="BA13">
        <v>482.57091184356221</v>
      </c>
      <c r="BB13">
        <v>-3.3158661002138011E-14</v>
      </c>
      <c r="BC13">
        <f t="shared" si="1"/>
        <v>482.57091184356221</v>
      </c>
      <c r="BF13">
        <v>156.66838045241232</v>
      </c>
      <c r="BG13">
        <v>149.26352508611799</v>
      </c>
      <c r="BH13">
        <v>-1.2635765662627367E-8</v>
      </c>
      <c r="BI13">
        <f t="shared" si="4"/>
        <v>149.26352508611799</v>
      </c>
      <c r="BJ13">
        <v>205.53016112107289</v>
      </c>
      <c r="BK13">
        <v>195.81587728078648</v>
      </c>
      <c r="BL13">
        <v>-1.6576611981488924E-8</v>
      </c>
      <c r="BM13">
        <f t="shared" si="5"/>
        <v>195.81587728078648</v>
      </c>
      <c r="BP13">
        <v>235.38803125960476</v>
      </c>
      <c r="BQ13">
        <v>-142.80249207030852</v>
      </c>
      <c r="BR13">
        <v>1.193023043088609E-14</v>
      </c>
      <c r="BS13">
        <f t="shared" si="6"/>
        <v>-142.80249207030852</v>
      </c>
      <c r="BT13">
        <v>350.62348146829726</v>
      </c>
      <c r="BU13">
        <v>-212.71220403224063</v>
      </c>
      <c r="BV13">
        <v>1.7770737560496171E-14</v>
      </c>
      <c r="BW13">
        <f t="shared" si="7"/>
        <v>-212.71220403224063</v>
      </c>
    </row>
    <row r="14" spans="1:102" ht="15.75" thickBot="1" x14ac:dyDescent="0.3">
      <c r="F14" s="1">
        <f>IF(B11&lt;0,0,IF(F10&lt;(-1*B3),0,SQRT(POWER(B3,2)-POWER(F10,2))))</f>
        <v>11.843078478904385</v>
      </c>
      <c r="G14" s="36">
        <f>F10</f>
        <v>1.9342937063723848</v>
      </c>
      <c r="I14" s="49" t="s">
        <v>147</v>
      </c>
      <c r="J14" s="32">
        <f ca="1">J13/J7</f>
        <v>2.9433199107267556E-2</v>
      </c>
      <c r="K14" s="33"/>
      <c r="AJ14">
        <v>1.0471975511965976</v>
      </c>
      <c r="AK14">
        <v>173.07356960248362</v>
      </c>
      <c r="AL14">
        <v>299.77221599880994</v>
      </c>
      <c r="AM14">
        <v>224.37203640830475</v>
      </c>
      <c r="AN14">
        <v>388.62376685687769</v>
      </c>
      <c r="AQ14">
        <v>12</v>
      </c>
      <c r="AR14">
        <f t="shared" si="2"/>
        <v>11.737771208805668</v>
      </c>
      <c r="AS14">
        <f t="shared" si="3"/>
        <v>2.4949402898131119</v>
      </c>
      <c r="AV14">
        <v>482.01773785033367</v>
      </c>
      <c r="AW14">
        <v>319.6234149326682</v>
      </c>
      <c r="AX14">
        <v>-1.3855583347321955E-14</v>
      </c>
      <c r="AY14">
        <f t="shared" si="0"/>
        <v>319.6234149326682</v>
      </c>
      <c r="AZ14">
        <v>741.56575053897484</v>
      </c>
      <c r="BA14">
        <v>491.72833066564334</v>
      </c>
      <c r="BB14">
        <v>-2.1316282072803006E-14</v>
      </c>
      <c r="BC14">
        <f t="shared" si="1"/>
        <v>491.72833066564334</v>
      </c>
      <c r="BF14">
        <v>188.63386987851769</v>
      </c>
      <c r="BG14">
        <v>148.63739146616473</v>
      </c>
      <c r="BH14">
        <v>-1.3148632971399368E-8</v>
      </c>
      <c r="BI14">
        <f t="shared" si="4"/>
        <v>148.63739146616473</v>
      </c>
      <c r="BJ14">
        <v>262.65069395140449</v>
      </c>
      <c r="BK14">
        <v>206.96025608156555</v>
      </c>
      <c r="BL14">
        <v>-1.8307940014560759E-8</v>
      </c>
      <c r="BM14">
        <f t="shared" si="5"/>
        <v>206.96025608156555</v>
      </c>
      <c r="BP14">
        <v>275.45968789764032</v>
      </c>
      <c r="BQ14">
        <v>-139.74041344926513</v>
      </c>
      <c r="BR14">
        <v>1.0962238119311688E-14</v>
      </c>
      <c r="BS14">
        <f t="shared" si="6"/>
        <v>-139.74041344926513</v>
      </c>
      <c r="BT14">
        <v>423.78413522713896</v>
      </c>
      <c r="BU14">
        <v>-214.98525146040788</v>
      </c>
      <c r="BV14">
        <v>1.6864981722017981E-14</v>
      </c>
      <c r="BW14">
        <f t="shared" si="7"/>
        <v>-214.98525146040788</v>
      </c>
    </row>
    <row r="15" spans="1:102" x14ac:dyDescent="0.25">
      <c r="F15" s="1">
        <f>IF(B11&lt;0,0,IF(F10&lt;(-1*B3),0,-1*SQRT(POWER(B3,2)-POWER(F10,2))))</f>
        <v>-11.843078478904385</v>
      </c>
      <c r="G15" s="36">
        <f>F10</f>
        <v>1.9342937063723848</v>
      </c>
      <c r="J15" s="1" t="s">
        <v>34</v>
      </c>
      <c r="K15" t="s">
        <v>76</v>
      </c>
      <c r="AJ15">
        <v>1.134464013796314</v>
      </c>
      <c r="AK15">
        <v>145.89556001831207</v>
      </c>
      <c r="AL15">
        <v>313.96070825345907</v>
      </c>
      <c r="AM15">
        <v>189.31550177957251</v>
      </c>
      <c r="AN15">
        <v>407.39847747671871</v>
      </c>
      <c r="AQ15">
        <v>13</v>
      </c>
      <c r="AR15">
        <f t="shared" si="2"/>
        <v>11.692440777422823</v>
      </c>
      <c r="AS15">
        <f t="shared" si="3"/>
        <v>2.6994126521263802</v>
      </c>
      <c r="AV15">
        <v>554.21759766873129</v>
      </c>
      <c r="AW15">
        <v>318.40515571445968</v>
      </c>
      <c r="AX15">
        <v>-1.0776564825694854E-14</v>
      </c>
      <c r="AY15">
        <f t="shared" si="0"/>
        <v>318.40515571445968</v>
      </c>
      <c r="AZ15">
        <v>852.64245795189424</v>
      </c>
      <c r="BA15">
        <v>489.85408571455332</v>
      </c>
      <c r="BB15">
        <v>-1.6579330501069005E-14</v>
      </c>
      <c r="BC15">
        <f t="shared" si="1"/>
        <v>489.85408571455332</v>
      </c>
      <c r="BF15">
        <v>216.0055140036645</v>
      </c>
      <c r="BG15">
        <v>147.45147844583454</v>
      </c>
      <c r="BH15">
        <v>-1.3473598639676836E-8</v>
      </c>
      <c r="BI15">
        <f t="shared" si="4"/>
        <v>147.45147844583454</v>
      </c>
      <c r="BJ15">
        <v>317.23501147046665</v>
      </c>
      <c r="BK15">
        <v>216.5535989757559</v>
      </c>
      <c r="BL15">
        <v>-1.9787907909303797E-8</v>
      </c>
      <c r="BM15">
        <f t="shared" si="5"/>
        <v>216.5535989757559</v>
      </c>
      <c r="BP15">
        <v>320.27995276802807</v>
      </c>
      <c r="BQ15">
        <v>-138.97356071702919</v>
      </c>
      <c r="BR15">
        <v>1.1638041905714332E-14</v>
      </c>
      <c r="BS15">
        <f t="shared" si="6"/>
        <v>-138.97356071702919</v>
      </c>
      <c r="BT15">
        <v>492.73838887388933</v>
      </c>
      <c r="BU15">
        <v>-213.80547802619876</v>
      </c>
      <c r="BV15">
        <v>1.7904679854945126E-14</v>
      </c>
      <c r="BW15">
        <f t="shared" si="7"/>
        <v>-213.80547802619876</v>
      </c>
    </row>
    <row r="16" spans="1:102" x14ac:dyDescent="0.25">
      <c r="A16" s="2" t="s">
        <v>15</v>
      </c>
      <c r="B16">
        <f>IF(B11&lt;0,0,ATAN2(F12,G12))</f>
        <v>0.33519456597039471</v>
      </c>
      <c r="C16" t="s">
        <v>17</v>
      </c>
      <c r="E16" s="1" t="s">
        <v>46</v>
      </c>
      <c r="F16" s="1" t="s">
        <v>47</v>
      </c>
      <c r="I16" s="1" t="s">
        <v>73</v>
      </c>
      <c r="J16" s="4">
        <f ca="1">((((PI()*B3*B3)-C109)*B9)+(C35*C109))*IF(B1="Spiral",0.85,0.8)*IF(B1="Spiral",0.75,0.65)</f>
        <v>1156.326446078416</v>
      </c>
      <c r="K16" s="1">
        <f ca="1">J16/IF(B1="Spiral",0.75,0.65)</f>
        <v>1778.9637631975629</v>
      </c>
      <c r="L16">
        <f ca="1">J16/IF(B1="Spiral",0.85,0.8)</f>
        <v>1445.4080575980199</v>
      </c>
      <c r="AJ16">
        <v>1.2217304763960304</v>
      </c>
      <c r="AK16">
        <v>117.55905029904805</v>
      </c>
      <c r="AL16">
        <v>324.1338943834478</v>
      </c>
      <c r="AM16">
        <v>153.70165688909978</v>
      </c>
      <c r="AN16">
        <v>423.78631414527359</v>
      </c>
      <c r="AQ16">
        <v>14</v>
      </c>
      <c r="AR16">
        <f t="shared" si="2"/>
        <v>11.643548715311958</v>
      </c>
      <c r="AS16">
        <f t="shared" si="3"/>
        <v>2.9030627471960129</v>
      </c>
      <c r="AV16">
        <v>625.10324896726354</v>
      </c>
      <c r="AW16">
        <v>314.80443634029928</v>
      </c>
      <c r="AX16">
        <v>-1.8474111129762605E-14</v>
      </c>
      <c r="AY16">
        <f t="shared" si="0"/>
        <v>314.80443634029928</v>
      </c>
      <c r="AZ16">
        <v>961.69730610348233</v>
      </c>
      <c r="BA16">
        <v>484.31451744661427</v>
      </c>
      <c r="BB16">
        <v>-2.8421709430404007E-14</v>
      </c>
      <c r="BC16">
        <f t="shared" si="1"/>
        <v>484.31451744661427</v>
      </c>
      <c r="BF16">
        <v>242.25150010026519</v>
      </c>
      <c r="BG16">
        <v>145.10300779566592</v>
      </c>
      <c r="BH16">
        <v>-1.3091521546664577E-8</v>
      </c>
      <c r="BI16">
        <f t="shared" si="4"/>
        <v>145.10300779566592</v>
      </c>
      <c r="BJ16">
        <v>372.69461553886953</v>
      </c>
      <c r="BK16">
        <v>223.2353966087168</v>
      </c>
      <c r="BL16">
        <v>-2.0140802379483963E-8</v>
      </c>
      <c r="BM16">
        <f t="shared" si="5"/>
        <v>223.2353966087168</v>
      </c>
      <c r="BP16">
        <v>364.44094875075234</v>
      </c>
      <c r="BQ16">
        <v>-137.32787720622511</v>
      </c>
      <c r="BR16">
        <v>1.143642124466131E-14</v>
      </c>
      <c r="BS16">
        <f t="shared" si="6"/>
        <v>-137.32787720622511</v>
      </c>
      <c r="BT16">
        <v>560.6783826934651</v>
      </c>
      <c r="BU16">
        <v>-211.27365724034632</v>
      </c>
      <c r="BV16">
        <v>1.7594494222555861E-14</v>
      </c>
      <c r="BW16">
        <f t="shared" si="7"/>
        <v>-211.27365724034632</v>
      </c>
    </row>
    <row r="17" spans="1:75" x14ac:dyDescent="0.25">
      <c r="A17" s="2" t="s">
        <v>16</v>
      </c>
      <c r="B17">
        <f>IF(B11&lt;0,0,IF(B16&lt;0,(2*PI())+ATAN2(F13,G13),ATAN2(F13,G13)))</f>
        <v>2.8063980876193986</v>
      </c>
      <c r="C17" t="s">
        <v>17</v>
      </c>
      <c r="E17" s="7" t="e">
        <f>IF(B2="Whitney",F12*COS(-1*$B$10)+G12*SIN(-1*$B$10),NA())</f>
        <v>#N/A</v>
      </c>
      <c r="F17" s="7">
        <f>-1*F12*SIN(-1*$B$10)+G12*COS(-1*$B$10)</f>
        <v>3.9474349650979086</v>
      </c>
      <c r="G17" s="7">
        <f>F14*COS(-1*$B$10)+G14*SIN(-1*$B$10)</f>
        <v>11.843078478904385</v>
      </c>
      <c r="H17" s="7">
        <f>-1*F14*SIN(-1*$B$10)+G14*COS(-1*$B$10)</f>
        <v>1.9342937063723848</v>
      </c>
      <c r="I17" s="1" t="s">
        <v>74</v>
      </c>
      <c r="J17" s="4">
        <f ca="1">-1*C109*C35*0.9</f>
        <v>-291.59999999999997</v>
      </c>
      <c r="K17" s="1">
        <f ca="1">J17/0.9</f>
        <v>-323.99999999999994</v>
      </c>
      <c r="AJ17">
        <v>1.3089969389957468</v>
      </c>
      <c r="AK17">
        <v>88.125340342629201</v>
      </c>
      <c r="AL17">
        <v>331.21216830011207</v>
      </c>
      <c r="AM17">
        <v>116.59210890084388</v>
      </c>
      <c r="AN17">
        <v>438.20228149576957</v>
      </c>
      <c r="AQ17">
        <v>15</v>
      </c>
      <c r="AR17">
        <f t="shared" si="2"/>
        <v>11.59110991546882</v>
      </c>
      <c r="AS17">
        <f t="shared" si="3"/>
        <v>3.1058285412302489</v>
      </c>
      <c r="AV17">
        <v>693.52177467438889</v>
      </c>
      <c r="AW17">
        <v>308.42560303974653</v>
      </c>
      <c r="AX17">
        <v>-4.6185277824406514E-15</v>
      </c>
      <c r="AY17">
        <f t="shared" si="0"/>
        <v>308.42560303974653</v>
      </c>
      <c r="AZ17">
        <v>1066.9565764221368</v>
      </c>
      <c r="BA17">
        <v>474.50092775345621</v>
      </c>
      <c r="BB17">
        <v>-7.1054273576010019E-15</v>
      </c>
      <c r="BC17">
        <f t="shared" si="1"/>
        <v>474.50092775345621</v>
      </c>
      <c r="BF17">
        <v>282.57081893159716</v>
      </c>
      <c r="BG17">
        <v>145.56484450512255</v>
      </c>
      <c r="BH17">
        <v>-1.3116241701896223E-8</v>
      </c>
      <c r="BI17">
        <f t="shared" si="4"/>
        <v>145.56484450512255</v>
      </c>
      <c r="BJ17">
        <v>434.72433681784179</v>
      </c>
      <c r="BK17">
        <v>223.94591462326545</v>
      </c>
      <c r="BL17">
        <v>-2.0178833387532649E-8</v>
      </c>
      <c r="BM17">
        <f t="shared" si="5"/>
        <v>223.94591462326545</v>
      </c>
      <c r="BP17">
        <v>405.26022647642299</v>
      </c>
      <c r="BQ17">
        <v>-133.88074700026274</v>
      </c>
      <c r="BR17">
        <v>9.2821487016757052E-15</v>
      </c>
      <c r="BS17">
        <f t="shared" si="6"/>
        <v>-133.88074700026274</v>
      </c>
      <c r="BT17">
        <v>623.47727150218918</v>
      </c>
      <c r="BU17">
        <v>-205.97038000040422</v>
      </c>
      <c r="BV17">
        <v>1.4280228771808778E-14</v>
      </c>
      <c r="BW17">
        <f t="shared" si="7"/>
        <v>-205.97038000040422</v>
      </c>
    </row>
    <row r="18" spans="1:7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3.9474349650979086</v>
      </c>
      <c r="G18" s="7">
        <f>F15*COS(-1*$B$10)+G15*SIN(-1*$B$10)</f>
        <v>-11.843078478904385</v>
      </c>
      <c r="H18" s="7">
        <f>-1*F15*SIN(-1*$B$10)+G15*COS(-1*$B$10)</f>
        <v>1.9342937063723848</v>
      </c>
      <c r="AJ18">
        <v>1.3962634015954631</v>
      </c>
      <c r="AK18">
        <v>58.997384903380791</v>
      </c>
      <c r="AL18">
        <v>334.590796407531</v>
      </c>
      <c r="AM18">
        <v>79.105989655798098</v>
      </c>
      <c r="AN18">
        <v>448.63236095779325</v>
      </c>
      <c r="AQ18">
        <v>16</v>
      </c>
      <c r="AR18">
        <f t="shared" si="2"/>
        <v>11.535140351259827</v>
      </c>
      <c r="AS18">
        <f t="shared" si="3"/>
        <v>3.3076482698039902</v>
      </c>
      <c r="AV18">
        <v>758.59756311466629</v>
      </c>
      <c r="AW18">
        <v>298.58000690628035</v>
      </c>
      <c r="AX18">
        <v>-3.0790185216271009E-15</v>
      </c>
      <c r="AY18">
        <f t="shared" si="0"/>
        <v>298.58000690628035</v>
      </c>
      <c r="AZ18">
        <v>1167.0731740225635</v>
      </c>
      <c r="BA18">
        <v>459.3538567788928</v>
      </c>
      <c r="BB18">
        <v>-4.736951571734001E-15</v>
      </c>
      <c r="BC18">
        <f t="shared" si="1"/>
        <v>459.3538567788928</v>
      </c>
      <c r="BF18">
        <v>320.82700525123903</v>
      </c>
      <c r="BG18">
        <v>145.25469198268533</v>
      </c>
      <c r="BH18">
        <v>-1.3057961882402751E-8</v>
      </c>
      <c r="BI18">
        <f t="shared" si="4"/>
        <v>145.25469198268533</v>
      </c>
      <c r="BJ18">
        <v>493.58000807882928</v>
      </c>
      <c r="BK18">
        <v>223.46875689643898</v>
      </c>
      <c r="BL18">
        <v>-2.0089172126773463E-8</v>
      </c>
      <c r="BM18">
        <f t="shared" si="5"/>
        <v>223.46875689643898</v>
      </c>
      <c r="BP18">
        <v>444.48639983613072</v>
      </c>
      <c r="BQ18">
        <v>-129.31704870423951</v>
      </c>
      <c r="BR18">
        <v>1.2042594753700723E-14</v>
      </c>
      <c r="BS18">
        <f t="shared" si="6"/>
        <v>-129.31704870423951</v>
      </c>
      <c r="BT18">
        <v>683.82523051712417</v>
      </c>
      <c r="BU18">
        <v>-198.94930569883002</v>
      </c>
      <c r="BV18">
        <v>1.8527068851847266E-14</v>
      </c>
      <c r="BW18">
        <f t="shared" si="7"/>
        <v>-198.94930569883002</v>
      </c>
    </row>
    <row r="19" spans="1:75" x14ac:dyDescent="0.25">
      <c r="A19" t="s">
        <v>138</v>
      </c>
      <c r="C19" s="1">
        <f ca="1">IF(B2="Whitney",((B13*B3)-(B13*MIN(J37:J108)))/(B13-(C35/F35)),MAX(((B13*B3)-(B13*MIN(J37:J108)))/(B13-(C35/F35)),((B13*B3)-(B13*(-1*B3)))/(B13-B128)))</f>
        <v>78.79684512131567</v>
      </c>
      <c r="D19" t="s">
        <v>0</v>
      </c>
      <c r="L19">
        <f>IF(B16=0,(($B$3*$B$3*B16)/2),(($F$11*$F$11)/(2*TAN(B16)))+(($B$3*$B$3*B16)/2))</f>
        <v>46.500482951990691</v>
      </c>
      <c r="M19">
        <f>IF(B16=0,-1*POWER($B$3,3)*COS(B16)*(1/3),(POWER($F$11,3)/(3*TAN(B16)))-(POWER($B$3,3)*COS(B16)*(1/3)))</f>
        <v>-485.08334801739738</v>
      </c>
      <c r="N19">
        <f>IF(B16=0,POWER($B$3,3)*SIN(B16)*(1/3),(POWER($F$11,3)/(6*POWER(SIN(B16),2)))+(POWER($B$3,3)*SIN(B16)*(1/3)))</f>
        <v>284.21531748704945</v>
      </c>
      <c r="AJ19">
        <v>1.4835298641951795</v>
      </c>
      <c r="AK19">
        <v>30.470501248994815</v>
      </c>
      <c r="AL19">
        <v>341.37827200072485</v>
      </c>
      <c r="AM19">
        <v>40.313262746828578</v>
      </c>
      <c r="AN19">
        <v>451.65230013003247</v>
      </c>
      <c r="AQ19">
        <v>17</v>
      </c>
      <c r="AR19">
        <f t="shared" si="2"/>
        <v>11.475657071556425</v>
      </c>
      <c r="AS19">
        <f t="shared" si="3"/>
        <v>3.5084604566728412</v>
      </c>
      <c r="AV19">
        <v>821.2512701334183</v>
      </c>
      <c r="AW19">
        <v>285.80472328164365</v>
      </c>
      <c r="AX19">
        <v>-4.6185277824406514E-15</v>
      </c>
      <c r="AY19">
        <f t="shared" si="0"/>
        <v>285.80472328164365</v>
      </c>
      <c r="AZ19">
        <v>1263.4634925129512</v>
      </c>
      <c r="BA19">
        <v>439.69957427945172</v>
      </c>
      <c r="BB19">
        <v>-7.1054273576010019E-15</v>
      </c>
      <c r="BC19">
        <f t="shared" si="1"/>
        <v>439.69957427945172</v>
      </c>
      <c r="BF19">
        <v>357.63761238120748</v>
      </c>
      <c r="BG19">
        <v>144.25936075000493</v>
      </c>
      <c r="BH19">
        <v>-1.2940552308243767E-8</v>
      </c>
      <c r="BI19">
        <f t="shared" si="4"/>
        <v>144.25936075000493</v>
      </c>
      <c r="BJ19">
        <v>550.21171135570376</v>
      </c>
      <c r="BK19">
        <v>221.93747807693066</v>
      </c>
      <c r="BL19">
        <v>-1.990854201268272E-8</v>
      </c>
      <c r="BM19">
        <f t="shared" si="5"/>
        <v>221.93747807693066</v>
      </c>
      <c r="BP19">
        <v>482.20048078911702</v>
      </c>
      <c r="BQ19">
        <v>-123.63312204020968</v>
      </c>
      <c r="BR19">
        <v>9.1812944586566682E-15</v>
      </c>
      <c r="BS19">
        <f t="shared" si="6"/>
        <v>-123.63312204020968</v>
      </c>
      <c r="BT19">
        <v>741.84689352171847</v>
      </c>
      <c r="BU19">
        <v>-190.20480313878411</v>
      </c>
      <c r="BV19">
        <v>1.4125068397933336E-14</v>
      </c>
      <c r="BW19">
        <f t="shared" si="7"/>
        <v>-190.20480313878411</v>
      </c>
    </row>
    <row r="20" spans="1:75" x14ac:dyDescent="0.25">
      <c r="L20">
        <f>IF(B17=0,(($B$3*$B$3*B17)/2),(($F$11*$F$11)/(2*TAN(B17)))+(($B$3*$B$3*B17)/2))</f>
        <v>179.69418810647443</v>
      </c>
      <c r="M20">
        <f>IF(B17=0,-1*POWER($B$3,3)*COS(B17)*(1/3),(POWER($F$11,3)/(3*TAN(B17)))-(POWER($B$3,3)*COS(B17)*(1/3)))</f>
        <v>485.08334801739738</v>
      </c>
      <c r="N20">
        <f>IF(B17=0,POWER($B$3,3)*SIN(B17)*(1/3),(POWER($F$11,3)/(6*POWER(SIN(B17),2)))+(POWER($B$3,3)*SIN(B17)*(1/3)))</f>
        <v>284.21531748704939</v>
      </c>
      <c r="AJ20">
        <v>1.5707963267948959</v>
      </c>
      <c r="AK20">
        <v>0.39094894111942169</v>
      </c>
      <c r="AL20">
        <v>344.79379193123475</v>
      </c>
      <c r="AM20">
        <v>0.5111431221691386</v>
      </c>
      <c r="AN20">
        <v>450.79793491097507</v>
      </c>
      <c r="AQ20">
        <v>18</v>
      </c>
      <c r="AR20">
        <f t="shared" si="2"/>
        <v>11.412678195541842</v>
      </c>
      <c r="AS20">
        <f t="shared" si="3"/>
        <v>3.7082039324993685</v>
      </c>
      <c r="AV20">
        <v>881.7116521901545</v>
      </c>
      <c r="AW20">
        <v>270.38758493400292</v>
      </c>
      <c r="AX20">
        <v>-2.4899179319808589E-8</v>
      </c>
      <c r="AY20">
        <f t="shared" si="0"/>
        <v>270.38758493400292</v>
      </c>
      <c r="AZ20">
        <v>1356.4794649079299</v>
      </c>
      <c r="BA20">
        <v>415.98089989846602</v>
      </c>
      <c r="BB20">
        <v>-3.8306429722782445E-8</v>
      </c>
      <c r="BC20">
        <f t="shared" si="1"/>
        <v>415.98089989846602</v>
      </c>
      <c r="BF20">
        <v>393.19095604513888</v>
      </c>
      <c r="BG20">
        <v>142.50875304661059</v>
      </c>
      <c r="BH20">
        <v>-1.2757012136722644E-8</v>
      </c>
      <c r="BI20">
        <f t="shared" si="4"/>
        <v>142.50875304661059</v>
      </c>
      <c r="BJ20">
        <v>604.90916314636752</v>
      </c>
      <c r="BK20">
        <v>219.24423545632399</v>
      </c>
      <c r="BL20">
        <v>-1.9626172518034837E-8</v>
      </c>
      <c r="BM20">
        <f t="shared" si="5"/>
        <v>219.24423545632399</v>
      </c>
      <c r="BP20">
        <v>518.41216027802909</v>
      </c>
      <c r="BQ20">
        <v>-116.86817850950237</v>
      </c>
      <c r="BR20">
        <v>7.0054178440257975E-15</v>
      </c>
      <c r="BS20">
        <f t="shared" si="6"/>
        <v>-116.86817850950237</v>
      </c>
      <c r="BT20">
        <v>797.55716965850627</v>
      </c>
      <c r="BU20">
        <v>-179.79719770692671</v>
      </c>
      <c r="BV20">
        <v>1.0777565913885843E-14</v>
      </c>
      <c r="BW20">
        <f t="shared" si="7"/>
        <v>-179.79719770692671</v>
      </c>
    </row>
    <row r="21" spans="1:75" x14ac:dyDescent="0.25">
      <c r="L21">
        <f>L20-L19</f>
        <v>133.19370515448372</v>
      </c>
      <c r="M21">
        <f>M20-M19</f>
        <v>970.16669603479477</v>
      </c>
      <c r="N21">
        <f>N20-N19</f>
        <v>0</v>
      </c>
      <c r="AJ21">
        <v>1.6580627893946123</v>
      </c>
      <c r="AK21">
        <v>-29.716094719158463</v>
      </c>
      <c r="AL21">
        <v>344.92578111053484</v>
      </c>
      <c r="AM21">
        <v>-38.559894365398627</v>
      </c>
      <c r="AN21">
        <v>447.57905805670714</v>
      </c>
      <c r="AQ21">
        <v>19</v>
      </c>
      <c r="AR21">
        <f t="shared" si="2"/>
        <v>11.346222907191802</v>
      </c>
      <c r="AS21">
        <f t="shared" si="3"/>
        <v>3.9068178534858804</v>
      </c>
      <c r="AV21">
        <v>939.82401313074865</v>
      </c>
      <c r="AW21">
        <v>252.54727056810611</v>
      </c>
      <c r="AX21">
        <v>0</v>
      </c>
      <c r="AY21">
        <f t="shared" si="0"/>
        <v>252.54727056810611</v>
      </c>
      <c r="AZ21">
        <v>1445.8830971242287</v>
      </c>
      <c r="BA21">
        <v>388.53426241247092</v>
      </c>
      <c r="BB21">
        <v>0</v>
      </c>
      <c r="BC21">
        <f t="shared" si="1"/>
        <v>388.53426241247092</v>
      </c>
      <c r="BF21">
        <v>427.61998541927659</v>
      </c>
      <c r="BG21">
        <v>139.95428387623858</v>
      </c>
      <c r="BH21">
        <v>-2.4345045264813585E-15</v>
      </c>
      <c r="BI21">
        <f t="shared" si="4"/>
        <v>139.95428387623858</v>
      </c>
      <c r="BJ21">
        <v>657.87690064504091</v>
      </c>
      <c r="BK21">
        <v>215.31428288652089</v>
      </c>
      <c r="BL21">
        <v>-3.7453915792020897E-15</v>
      </c>
      <c r="BM21">
        <f t="shared" si="5"/>
        <v>215.31428288652089</v>
      </c>
      <c r="BP21">
        <v>553.07593379499679</v>
      </c>
      <c r="BQ21">
        <v>-109.10907444352934</v>
      </c>
      <c r="BR21">
        <v>5.6699350930322039E-15</v>
      </c>
      <c r="BS21">
        <f t="shared" si="6"/>
        <v>-109.10907444352934</v>
      </c>
      <c r="BT21">
        <v>850.88605199230267</v>
      </c>
      <c r="BU21">
        <v>-167.86011452850667</v>
      </c>
      <c r="BV21">
        <v>8.7229770662033909E-15</v>
      </c>
      <c r="BW21">
        <f t="shared" si="7"/>
        <v>-167.86011452850667</v>
      </c>
    </row>
    <row r="22" spans="1:75" x14ac:dyDescent="0.25">
      <c r="A22" s="35" t="s">
        <v>71</v>
      </c>
      <c r="L22">
        <f>L21*B9</f>
        <v>566.07324690655582</v>
      </c>
      <c r="M22">
        <f>M21*B9</f>
        <v>4123.2084581478775</v>
      </c>
      <c r="N22">
        <f>N21*B9</f>
        <v>0</v>
      </c>
      <c r="AJ22">
        <v>1.7453292519943286</v>
      </c>
      <c r="AK22">
        <v>-60.107819927563519</v>
      </c>
      <c r="AL22">
        <v>340.88838637204776</v>
      </c>
      <c r="AM22">
        <v>-77.923590483440151</v>
      </c>
      <c r="AN22">
        <v>441.92664202807191</v>
      </c>
      <c r="AQ22">
        <v>20</v>
      </c>
      <c r="AR22">
        <f t="shared" si="2"/>
        <v>11.276311449430901</v>
      </c>
      <c r="AS22">
        <f t="shared" si="3"/>
        <v>4.1042417199080248</v>
      </c>
      <c r="AV22">
        <v>993.64861790482348</v>
      </c>
      <c r="AW22">
        <v>233.27709814309262</v>
      </c>
      <c r="AX22">
        <v>-2.1456682497114395E-8</v>
      </c>
      <c r="AY22">
        <f t="shared" si="0"/>
        <v>233.27709814309262</v>
      </c>
      <c r="AZ22">
        <v>1528.690181392036</v>
      </c>
      <c r="BA22">
        <v>358.88784329706556</v>
      </c>
      <c r="BB22">
        <v>-3.3010280764791374E-8</v>
      </c>
      <c r="BC22">
        <f t="shared" si="1"/>
        <v>358.88784329706556</v>
      </c>
      <c r="BF22">
        <v>461.01557144274517</v>
      </c>
      <c r="BG22">
        <v>136.565872161946</v>
      </c>
      <c r="BH22">
        <v>-1.2173728220298511E-8</v>
      </c>
      <c r="BI22">
        <f t="shared" si="4"/>
        <v>136.565872161946</v>
      </c>
      <c r="BJ22">
        <v>709.25472529653098</v>
      </c>
      <c r="BK22">
        <v>210.10134178760924</v>
      </c>
      <c r="BL22">
        <v>-1.8728812646613092E-8</v>
      </c>
      <c r="BM22">
        <f t="shared" si="5"/>
        <v>210.10134178760924</v>
      </c>
      <c r="BP22">
        <v>586.09141268154053</v>
      </c>
      <c r="BQ22">
        <v>-100.49571343609605</v>
      </c>
      <c r="BR22">
        <v>6.5390570760664381E-15</v>
      </c>
      <c r="BS22">
        <f t="shared" si="6"/>
        <v>-100.49571343609605</v>
      </c>
      <c r="BT22">
        <v>901.67909643313919</v>
      </c>
      <c r="BU22">
        <v>-154.60878990168624</v>
      </c>
      <c r="BV22">
        <v>1.0060087809332982E-14</v>
      </c>
      <c r="BW22">
        <f t="shared" si="7"/>
        <v>-154.60878990168624</v>
      </c>
    </row>
    <row r="23" spans="1:7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1.832595714594045</v>
      </c>
      <c r="AK23">
        <v>-90.047570165974363</v>
      </c>
      <c r="AL23">
        <v>334.287714203311</v>
      </c>
      <c r="AM23">
        <v>-116.84660539267266</v>
      </c>
      <c r="AN23">
        <v>433.77499867167194</v>
      </c>
      <c r="AQ23">
        <v>21</v>
      </c>
      <c r="AR23">
        <f t="shared" si="2"/>
        <v>11.202965117966421</v>
      </c>
      <c r="AS23">
        <f t="shared" si="3"/>
        <v>4.3004153945436032</v>
      </c>
      <c r="AV23">
        <v>1046.0074695998489</v>
      </c>
      <c r="AW23">
        <v>211.86236625853505</v>
      </c>
      <c r="AX23">
        <v>-1.9378108229521336E-8</v>
      </c>
      <c r="AY23">
        <f t="shared" si="0"/>
        <v>211.86236625853505</v>
      </c>
      <c r="AZ23">
        <v>1609.2422609228445</v>
      </c>
      <c r="BA23">
        <v>325.94210193620773</v>
      </c>
      <c r="BB23">
        <v>-2.9812474199263596E-8</v>
      </c>
      <c r="BC23">
        <f t="shared" si="1"/>
        <v>325.94210193620773</v>
      </c>
      <c r="BF23">
        <v>490.12078961690821</v>
      </c>
      <c r="BG23">
        <v>132.71027779854748</v>
      </c>
      <c r="BH23">
        <v>-1.1838874065164886E-8</v>
      </c>
      <c r="BI23">
        <f t="shared" si="4"/>
        <v>132.71027779854748</v>
      </c>
      <c r="BJ23">
        <v>754.03198402601265</v>
      </c>
      <c r="BK23">
        <v>204.16965815161151</v>
      </c>
      <c r="BL23">
        <v>-1.8213652407945978E-8</v>
      </c>
      <c r="BM23">
        <f t="shared" si="5"/>
        <v>204.16965815161151</v>
      </c>
      <c r="BP23">
        <v>615.5084940372476</v>
      </c>
      <c r="BQ23">
        <v>-91.807932931320437</v>
      </c>
      <c r="BR23">
        <v>8.1688161962890437E-15</v>
      </c>
      <c r="BS23">
        <f t="shared" si="6"/>
        <v>-91.807932931320437</v>
      </c>
      <c r="BT23">
        <v>946.93614467268856</v>
      </c>
      <c r="BU23">
        <v>-141.24297374049297</v>
      </c>
      <c r="BV23">
        <v>1.2567409532752375E-14</v>
      </c>
      <c r="BW23">
        <f t="shared" si="7"/>
        <v>-141.24297374049297</v>
      </c>
    </row>
    <row r="24" spans="1:7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756.18827762459523</v>
      </c>
      <c r="I24" s="1">
        <f>IF(F11&lt;(-1*B3),0,(1/3)*B9*POWER(B3,3)*((COS(B16)-COS(B17))))</f>
        <v>4623.5196045792445</v>
      </c>
      <c r="J24" s="1">
        <f>IF(F11&lt;(-1*B3),0,(1/3)*B9*POWER(B3,3)*((SIN(B17)-SIN(B16))))</f>
        <v>-1.3589129821411914E-13</v>
      </c>
      <c r="L24">
        <f>(((POWER(B3,2)-POWER(F11,2))*TAN(B17))+((POWER(F11,2)-POWER(B3,2))*TAN(B16)))/(2*TAN(B16)*TAN(B17))</f>
        <v>368.65712973591633</v>
      </c>
      <c r="AJ24">
        <v>1.9198621771937614</v>
      </c>
      <c r="AK24">
        <v>-118.29379396919518</v>
      </c>
      <c r="AL24">
        <v>323.86646955769874</v>
      </c>
      <c r="AM24">
        <v>-154.66229172923428</v>
      </c>
      <c r="AN24">
        <v>423.43667165746552</v>
      </c>
      <c r="AQ24">
        <v>22</v>
      </c>
      <c r="AR24">
        <f t="shared" si="2"/>
        <v>11.126206254801449</v>
      </c>
      <c r="AS24">
        <f t="shared" si="3"/>
        <v>4.4952791209909444</v>
      </c>
      <c r="AV24">
        <v>1094.9743282704428</v>
      </c>
      <c r="AW24">
        <v>189.57226171114505</v>
      </c>
      <c r="AX24">
        <v>-1.7231715641021753E-8</v>
      </c>
      <c r="AY24">
        <f t="shared" si="0"/>
        <v>189.57226171114505</v>
      </c>
      <c r="AZ24">
        <v>1684.5758896468351</v>
      </c>
      <c r="BA24">
        <v>291.64963340176161</v>
      </c>
      <c r="BB24">
        <v>-2.6510331755418082E-8</v>
      </c>
      <c r="BC24">
        <f t="shared" si="1"/>
        <v>291.64963340176161</v>
      </c>
      <c r="BF24">
        <v>521.59743634316442</v>
      </c>
      <c r="BG24">
        <v>127.62839698430435</v>
      </c>
      <c r="BH24">
        <v>-1.1358668813974594E-8</v>
      </c>
      <c r="BI24">
        <f t="shared" si="4"/>
        <v>127.62839698430435</v>
      </c>
      <c r="BJ24">
        <v>802.45759437409913</v>
      </c>
      <c r="BK24">
        <v>196.35137997585284</v>
      </c>
      <c r="BL24">
        <v>-1.7474875098422452E-8</v>
      </c>
      <c r="BM24">
        <f t="shared" si="5"/>
        <v>196.35137997585284</v>
      </c>
      <c r="BP24">
        <v>644.41646079295106</v>
      </c>
      <c r="BQ24">
        <v>-82.271550660720777</v>
      </c>
      <c r="BR24">
        <v>1.2273080678139157E-15</v>
      </c>
      <c r="BS24">
        <f t="shared" si="6"/>
        <v>-82.271550660720777</v>
      </c>
      <c r="BT24">
        <v>991.40993968146313</v>
      </c>
      <c r="BU24">
        <v>-126.57161640110888</v>
      </c>
      <c r="BV24">
        <v>1.888166258175255E-15</v>
      </c>
      <c r="BW24">
        <f t="shared" si="7"/>
        <v>-126.57161640110888</v>
      </c>
    </row>
    <row r="25" spans="1:7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1566.7928013776443</v>
      </c>
      <c r="AJ25">
        <v>2.007128639793478</v>
      </c>
      <c r="AK25">
        <v>-145.3911506932846</v>
      </c>
      <c r="AL25">
        <v>310.36911789133973</v>
      </c>
      <c r="AM25">
        <v>-192.35625994683889</v>
      </c>
      <c r="AN25">
        <v>410.62638569057799</v>
      </c>
      <c r="AQ25">
        <v>23</v>
      </c>
      <c r="AR25">
        <f t="shared" si="2"/>
        <v>11.046058241429284</v>
      </c>
      <c r="AS25">
        <f t="shared" si="3"/>
        <v>4.688773541871285</v>
      </c>
      <c r="AV25">
        <v>1139.6352402528664</v>
      </c>
      <c r="AW25">
        <v>167.63448053045758</v>
      </c>
      <c r="AX25">
        <v>-1.5128010097954567E-8</v>
      </c>
      <c r="AY25">
        <f t="shared" si="0"/>
        <v>167.63448053045758</v>
      </c>
      <c r="AZ25">
        <v>1753.2849850044099</v>
      </c>
      <c r="BA25">
        <v>257.89920081608858</v>
      </c>
      <c r="BB25">
        <v>-2.3273861689160871E-8</v>
      </c>
      <c r="BC25">
        <f t="shared" si="1"/>
        <v>257.89920081608858</v>
      </c>
      <c r="BF25">
        <v>552.14057060399</v>
      </c>
      <c r="BG25">
        <v>121.71667319005343</v>
      </c>
      <c r="BH25">
        <v>-1.0803957799416636E-8</v>
      </c>
      <c r="BI25">
        <f t="shared" si="4"/>
        <v>121.71667319005343</v>
      </c>
      <c r="BJ25">
        <v>849.44703169844615</v>
      </c>
      <c r="BK25">
        <v>187.25642029238989</v>
      </c>
      <c r="BL25">
        <v>-1.6621473537564056E-8</v>
      </c>
      <c r="BM25">
        <f t="shared" si="5"/>
        <v>187.25642029238989</v>
      </c>
      <c r="BP25">
        <v>670.79272606190409</v>
      </c>
      <c r="BQ25">
        <v>-72.89327199234252</v>
      </c>
      <c r="BR25">
        <v>5.8514894338381215E-15</v>
      </c>
      <c r="BS25">
        <f t="shared" si="6"/>
        <v>-72.89327199234252</v>
      </c>
      <c r="BT25">
        <v>1031.9888093260063</v>
      </c>
      <c r="BU25">
        <v>-112.14349537283464</v>
      </c>
      <c r="BV25">
        <v>9.0022914366740334E-15</v>
      </c>
      <c r="BW25">
        <f t="shared" si="7"/>
        <v>-112.14349537283464</v>
      </c>
    </row>
    <row r="26" spans="1:75" x14ac:dyDescent="0.25">
      <c r="A26" s="1" t="s">
        <v>25</v>
      </c>
      <c r="B26" s="1">
        <v>0</v>
      </c>
      <c r="C26" s="1">
        <v>0</v>
      </c>
      <c r="D26" s="9">
        <f>F12</f>
        <v>11.332155893576582</v>
      </c>
      <c r="E26" s="9">
        <f>G12</f>
        <v>3.9474349650979086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95.057515359019632</v>
      </c>
      <c r="I26" s="7">
        <f>((1/12)*(E26-C26)*(F26*B26*((3*C26)+E26)+F26*D26*(C26+E26)+G26*B26*(C26+E26)+G26*D26*(C26+(3*E26))))</f>
        <v>250.15557321568372</v>
      </c>
      <c r="J26" s="7">
        <f t="shared" ref="J26" si="8">((-1/24)*(E26-C26)*(B26*B26*((3*F26)+G26)+2*B26*D26*(F26+G26)+D26*D26*(F26+(3*G26))))</f>
        <v>-359.06886096815361</v>
      </c>
      <c r="AJ26">
        <v>2.0943951023931944</v>
      </c>
      <c r="AK26">
        <v>-169.87619938212586</v>
      </c>
      <c r="AL26">
        <v>294.23420832654335</v>
      </c>
      <c r="AM26">
        <v>-227.77661913483692</v>
      </c>
      <c r="AN26">
        <v>394.5206771178037</v>
      </c>
      <c r="AQ26">
        <v>24</v>
      </c>
      <c r="AR26">
        <f t="shared" si="2"/>
        <v>10.962545491711211</v>
      </c>
      <c r="AS26">
        <f t="shared" si="3"/>
        <v>4.8808397169096027</v>
      </c>
      <c r="AV26">
        <v>1178.405358000304</v>
      </c>
      <c r="AW26">
        <v>148.13377828676599</v>
      </c>
      <c r="AX26">
        <v>-1.3256155546010786E-8</v>
      </c>
      <c r="AY26">
        <f t="shared" si="0"/>
        <v>148.13377828676599</v>
      </c>
      <c r="AZ26">
        <v>1812.9313200004676</v>
      </c>
      <c r="BA26">
        <v>227.89812044117843</v>
      </c>
      <c r="BB26">
        <v>-2.039408545540121E-8</v>
      </c>
      <c r="BC26">
        <f t="shared" si="1"/>
        <v>227.89812044117843</v>
      </c>
      <c r="BF26">
        <v>581.74158681070514</v>
      </c>
      <c r="BG26">
        <v>115.00545091471773</v>
      </c>
      <c r="BH26">
        <v>-1.0177325973747137E-8</v>
      </c>
      <c r="BI26">
        <f t="shared" si="4"/>
        <v>115.00545091471773</v>
      </c>
      <c r="BJ26">
        <v>894.98705663185399</v>
      </c>
      <c r="BK26">
        <v>176.93146294571957</v>
      </c>
      <c r="BL26">
        <v>-1.5657424574995596E-8</v>
      </c>
      <c r="BM26">
        <f t="shared" si="5"/>
        <v>176.93146294571957</v>
      </c>
      <c r="BP26">
        <v>693.75848257501548</v>
      </c>
      <c r="BQ26">
        <v>-64.551657611822719</v>
      </c>
      <c r="BR26">
        <v>4.8295178368643852E-15</v>
      </c>
      <c r="BS26">
        <f t="shared" si="6"/>
        <v>-64.551657611822719</v>
      </c>
      <c r="BT26">
        <v>1067.3207424231007</v>
      </c>
      <c r="BU26">
        <v>-99.31024247972725</v>
      </c>
      <c r="BV26">
        <v>7.4300274413298233E-15</v>
      </c>
      <c r="BW26">
        <f t="shared" si="7"/>
        <v>-99.31024247972725</v>
      </c>
    </row>
    <row r="27" spans="1:75" x14ac:dyDescent="0.25">
      <c r="A27" s="1" t="s">
        <v>27</v>
      </c>
      <c r="B27" s="9">
        <f>D26</f>
        <v>11.332155893576582</v>
      </c>
      <c r="C27" s="9">
        <f>E26</f>
        <v>3.9474349650979086</v>
      </c>
      <c r="D27" s="1">
        <f>F13</f>
        <v>-11.332155893576582</v>
      </c>
      <c r="E27" s="9">
        <f>G13</f>
        <v>3.9474349650979086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9">(1/6)*(E27-C27)*((F27*((2*B27)+D27))+(G27*(B27+(2*D27))))</f>
        <v>0</v>
      </c>
      <c r="I27" s="7">
        <f t="shared" ref="I27:I28" si="10">((1/12)*(E27-C27)*(F27*B27*((3*C27)+E27)+F27*D27*(C27+E27)+G27*B27*(C27+E27)+G27*D27*(C27+(3*E27))))</f>
        <v>0</v>
      </c>
      <c r="J27" s="7">
        <f t="shared" ref="J27:J28" si="11">((-1/24)*(E27-C27)*(B27*B27*((3*F27)+G27)+2*B27*D27*(F27+G27)+D27*D27*(F27+(3*G27))))</f>
        <v>0</v>
      </c>
      <c r="AJ27">
        <v>2.1816615649929108</v>
      </c>
      <c r="AK27">
        <v>-196.09196529742465</v>
      </c>
      <c r="AL27">
        <v>281.09698893150653</v>
      </c>
      <c r="AM27">
        <v>-259.43475149880743</v>
      </c>
      <c r="AN27">
        <v>371.89860053621578</v>
      </c>
      <c r="AQ27">
        <v>25</v>
      </c>
      <c r="AR27">
        <f t="shared" si="2"/>
        <v>10.875693444439799</v>
      </c>
      <c r="AS27">
        <f t="shared" si="3"/>
        <v>5.0714191408883931</v>
      </c>
      <c r="AV27">
        <v>1210.0070335946373</v>
      </c>
      <c r="AW27">
        <v>132.45713611720336</v>
      </c>
      <c r="AX27">
        <v>-3.0790185216271009E-15</v>
      </c>
      <c r="AY27">
        <f t="shared" si="0"/>
        <v>132.45713611720336</v>
      </c>
      <c r="AZ27">
        <v>1861.549282453288</v>
      </c>
      <c r="BA27">
        <v>203.7802094110821</v>
      </c>
      <c r="BB27">
        <v>-4.736951571734001E-15</v>
      </c>
      <c r="BC27">
        <f t="shared" si="1"/>
        <v>203.7802094110821</v>
      </c>
      <c r="BF27">
        <v>610.37513142470209</v>
      </c>
      <c r="BG27">
        <v>107.53955677731484</v>
      </c>
      <c r="BH27">
        <v>-9.4827349251039715E-9</v>
      </c>
      <c r="BI27">
        <f t="shared" si="4"/>
        <v>107.53955677731484</v>
      </c>
      <c r="BJ27">
        <v>939.03866373031087</v>
      </c>
      <c r="BK27">
        <v>165.44547196509976</v>
      </c>
      <c r="BL27">
        <v>-1.4588822961698416E-8</v>
      </c>
      <c r="BM27">
        <f t="shared" si="5"/>
        <v>165.44547196509976</v>
      </c>
      <c r="BP27">
        <v>712.66666580206572</v>
      </c>
      <c r="BQ27">
        <v>-57.776289073722261</v>
      </c>
      <c r="BR27">
        <v>2.4599253464618099E-15</v>
      </c>
      <c r="BS27">
        <f t="shared" si="6"/>
        <v>-57.776289073722261</v>
      </c>
      <c r="BT27">
        <v>1096.410255080101</v>
      </c>
      <c r="BU27">
        <v>-88.886598574957318</v>
      </c>
      <c r="BV27">
        <v>3.784500533018169E-15</v>
      </c>
      <c r="BW27">
        <f t="shared" si="7"/>
        <v>-88.886598574957318</v>
      </c>
    </row>
    <row r="28" spans="1:75" ht="15.75" thickBot="1" x14ac:dyDescent="0.3">
      <c r="A28" s="1" t="s">
        <v>26</v>
      </c>
      <c r="B28" s="1">
        <f>D27</f>
        <v>-11.332155893576582</v>
      </c>
      <c r="C28" s="9">
        <f>E27</f>
        <v>3.9474349650979086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9"/>
        <v>95.057515359019632</v>
      </c>
      <c r="I28" s="11">
        <f t="shared" si="10"/>
        <v>250.15557321568372</v>
      </c>
      <c r="J28" s="11">
        <f t="shared" si="11"/>
        <v>359.06886096815361</v>
      </c>
      <c r="AJ28">
        <v>2.2689280275926271</v>
      </c>
      <c r="AK28">
        <v>-221.32969308634844</v>
      </c>
      <c r="AL28">
        <v>264.37866546621524</v>
      </c>
      <c r="AM28">
        <v>-289.37576868467744</v>
      </c>
      <c r="AN28">
        <v>345.65980947377017</v>
      </c>
      <c r="AQ28">
        <v>26</v>
      </c>
      <c r="AR28">
        <f t="shared" si="2"/>
        <v>10.785528555590005</v>
      </c>
      <c r="AS28">
        <f t="shared" si="3"/>
        <v>5.2604537614689288</v>
      </c>
      <c r="AV28">
        <v>1238.6041170846463</v>
      </c>
      <c r="AW28">
        <v>117.84817093820986</v>
      </c>
      <c r="AX28">
        <v>0</v>
      </c>
      <c r="AY28">
        <f t="shared" si="0"/>
        <v>117.84817093820986</v>
      </c>
      <c r="AZ28">
        <v>1905.5447955148404</v>
      </c>
      <c r="BA28">
        <v>181.30487836647671</v>
      </c>
      <c r="BB28">
        <v>0</v>
      </c>
      <c r="BC28">
        <f t="shared" si="1"/>
        <v>181.30487836647671</v>
      </c>
      <c r="BF28">
        <v>638.00003319629309</v>
      </c>
      <c r="BG28">
        <v>99.379002939289379</v>
      </c>
      <c r="BH28">
        <v>-8.7255299944522971E-9</v>
      </c>
      <c r="BI28">
        <f t="shared" si="4"/>
        <v>99.379002939289379</v>
      </c>
      <c r="BJ28">
        <v>981.53851260968167</v>
      </c>
      <c r="BK28">
        <v>152.89077375275289</v>
      </c>
      <c r="BL28">
        <v>-1.342389229915738E-8</v>
      </c>
      <c r="BM28">
        <f t="shared" si="5"/>
        <v>152.89077375275289</v>
      </c>
      <c r="BP28">
        <v>729.76406357733617</v>
      </c>
      <c r="BQ28">
        <v>-51.50156053930953</v>
      </c>
      <c r="BR28">
        <v>3.2306872103846819E-15</v>
      </c>
      <c r="BS28">
        <f t="shared" si="6"/>
        <v>-51.50156053930953</v>
      </c>
      <c r="BT28">
        <v>1122.7139439651326</v>
      </c>
      <c r="BU28">
        <v>-79.233170060476198</v>
      </c>
      <c r="BV28">
        <v>4.9702880159764332E-15</v>
      </c>
      <c r="BW28">
        <f t="shared" si="7"/>
        <v>-79.233170060476198</v>
      </c>
    </row>
    <row r="29" spans="1:7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190.11503071803926</v>
      </c>
      <c r="I29" s="7">
        <f t="shared" ref="I29:J29" si="12">SUM(I26:I28)</f>
        <v>500.31114643136743</v>
      </c>
      <c r="J29" s="7">
        <f t="shared" si="12"/>
        <v>0</v>
      </c>
      <c r="AJ29">
        <v>2.3561944901923435</v>
      </c>
      <c r="AK29">
        <v>-244.47786759011152</v>
      </c>
      <c r="AL29">
        <v>245.12734041445168</v>
      </c>
      <c r="AM29">
        <v>-317.23686567989171</v>
      </c>
      <c r="AN29">
        <v>318.07962795186711</v>
      </c>
      <c r="AQ29">
        <v>27</v>
      </c>
      <c r="AR29">
        <f t="shared" si="2"/>
        <v>10.692078290260415</v>
      </c>
      <c r="AS29">
        <f t="shared" si="3"/>
        <v>5.447885996874561</v>
      </c>
      <c r="AV29">
        <v>1263.4123582898378</v>
      </c>
      <c r="AW29">
        <v>105.06260645556429</v>
      </c>
      <c r="AX29">
        <v>-2.3419712227752705E-14</v>
      </c>
      <c r="AY29">
        <f t="shared" si="0"/>
        <v>105.06260645556429</v>
      </c>
      <c r="AZ29">
        <v>1943.7113204459042</v>
      </c>
      <c r="BA29">
        <v>161.6347791624066</v>
      </c>
      <c r="BB29">
        <v>-3.6030326504234927E-14</v>
      </c>
      <c r="BC29">
        <f t="shared" si="1"/>
        <v>161.6347791624066</v>
      </c>
      <c r="BF29">
        <v>664.13806301580996</v>
      </c>
      <c r="BG29">
        <v>90.46482687438882</v>
      </c>
      <c r="BH29">
        <v>-8.603540348411534E-9</v>
      </c>
      <c r="BI29">
        <f t="shared" si="4"/>
        <v>90.46482687438882</v>
      </c>
      <c r="BJ29">
        <v>1021.7508661781692</v>
      </c>
      <c r="BK29">
        <v>139.17665672982895</v>
      </c>
      <c r="BL29">
        <v>-1.3236215920633128E-8</v>
      </c>
      <c r="BM29">
        <f t="shared" si="5"/>
        <v>139.17665672982895</v>
      </c>
      <c r="BP29">
        <v>744.65921739763712</v>
      </c>
      <c r="BQ29">
        <v>-46.003782327981462</v>
      </c>
      <c r="BR29">
        <v>3.9499616497545879E-9</v>
      </c>
      <c r="BS29">
        <f t="shared" si="6"/>
        <v>-46.003782327981462</v>
      </c>
      <c r="BT29">
        <v>1145.629565227134</v>
      </c>
      <c r="BU29">
        <v>-70.775049735356092</v>
      </c>
      <c r="BV29">
        <v>6.0768640765455197E-9</v>
      </c>
      <c r="BW29">
        <f t="shared" si="7"/>
        <v>-70.775049735356092</v>
      </c>
    </row>
    <row r="30" spans="1:75" x14ac:dyDescent="0.25">
      <c r="A30" s="1"/>
      <c r="B30" s="1"/>
      <c r="C30" s="1"/>
      <c r="D30" s="2" t="s">
        <v>145</v>
      </c>
      <c r="E30" s="8">
        <v>90</v>
      </c>
      <c r="F30" s="1" t="s">
        <v>45</v>
      </c>
      <c r="G30" s="1"/>
      <c r="H30" s="7"/>
      <c r="I30" s="1"/>
      <c r="J30" s="1"/>
      <c r="L30">
        <f>((I31*COS(-1*B10))+(J31*SIN(-1*B10)))</f>
        <v>4123.2084581478775</v>
      </c>
      <c r="N30">
        <v>-3.0000000000000001E-3</v>
      </c>
      <c r="O30">
        <f>0.002</f>
        <v>2E-3</v>
      </c>
      <c r="AJ30">
        <v>2.4434609527920599</v>
      </c>
      <c r="AK30">
        <v>-265.16409248949941</v>
      </c>
      <c r="AL30">
        <v>222.49909220939782</v>
      </c>
      <c r="AM30">
        <v>-343.75790336371114</v>
      </c>
      <c r="AN30">
        <v>288.44712992676597</v>
      </c>
      <c r="AQ30">
        <v>28</v>
      </c>
      <c r="AR30">
        <f t="shared" si="2"/>
        <v>10.595371114307124</v>
      </c>
      <c r="AS30">
        <f t="shared" si="3"/>
        <v>5.6336587534306899</v>
      </c>
      <c r="AV30">
        <v>1285.0202105710785</v>
      </c>
      <c r="AW30">
        <v>93.831409973212331</v>
      </c>
      <c r="AX30">
        <v>-8.1661513647836263E-9</v>
      </c>
      <c r="AY30">
        <f t="shared" si="0"/>
        <v>93.831409973212331</v>
      </c>
      <c r="AZ30">
        <v>1976.9541701093515</v>
      </c>
      <c r="BA30">
        <v>144.35601534340358</v>
      </c>
      <c r="BB30">
        <v>-1.2563309791974809E-8</v>
      </c>
      <c r="BC30">
        <f t="shared" si="1"/>
        <v>144.35601534340358</v>
      </c>
      <c r="BF30">
        <v>688.82077027652372</v>
      </c>
      <c r="BG30">
        <v>80.925797684066012</v>
      </c>
      <c r="BH30">
        <v>-7.674637909354562E-9</v>
      </c>
      <c r="BI30">
        <f t="shared" si="4"/>
        <v>80.925797684066012</v>
      </c>
      <c r="BJ30">
        <v>1059.7242619638826</v>
      </c>
      <c r="BK30">
        <v>124.50122720625539</v>
      </c>
      <c r="BL30">
        <v>-1.1807135245160865E-8</v>
      </c>
      <c r="BM30">
        <f t="shared" si="5"/>
        <v>124.50122720625539</v>
      </c>
      <c r="BP30">
        <v>757.69033545690604</v>
      </c>
      <c r="BQ30">
        <v>-41.16868960707675</v>
      </c>
      <c r="BR30">
        <v>-1.8840160273887124E-15</v>
      </c>
      <c r="BS30">
        <f t="shared" si="6"/>
        <v>-41.16868960707675</v>
      </c>
      <c r="BT30">
        <v>1165.6774391644708</v>
      </c>
      <c r="BU30">
        <v>-63.336445549348845</v>
      </c>
      <c r="BV30">
        <v>-2.8984861959826341E-15</v>
      </c>
      <c r="BW30">
        <f t="shared" si="7"/>
        <v>-63.336445549348845</v>
      </c>
    </row>
    <row r="31" spans="1:75" x14ac:dyDescent="0.25">
      <c r="A31" s="2" t="s">
        <v>83</v>
      </c>
      <c r="B31" s="5">
        <v>9</v>
      </c>
      <c r="C31" s="1"/>
      <c r="D31" s="2" t="s">
        <v>146</v>
      </c>
      <c r="E31" s="8">
        <v>2.375</v>
      </c>
      <c r="F31" s="1"/>
      <c r="G31" s="1" t="s">
        <v>72</v>
      </c>
      <c r="H31" s="7">
        <f>H24-H29</f>
        <v>566.07324690655594</v>
      </c>
      <c r="I31" s="7">
        <f>(I24-I29)</f>
        <v>4123.2084581478775</v>
      </c>
      <c r="J31" s="7">
        <f t="shared" ref="J31" si="13">J24-J29</f>
        <v>-1.3589129821411914E-13</v>
      </c>
      <c r="L31">
        <f>(-1*(I31)*SIN(-1*B10))+((J31)*COS(-1*B10))</f>
        <v>-1.3589129821411914E-13</v>
      </c>
      <c r="N31">
        <f ca="1">((B13*MIN(J37:J108))-(N30*B3))/(B13-N30)</f>
        <v>1.6832870232647337</v>
      </c>
      <c r="O31">
        <f ca="1">((B13*MAX(J37:J108))-(O30*B3))/(B13-O30)</f>
        <v>3.5624999999999996</v>
      </c>
      <c r="AJ31">
        <v>2.5307274153917763</v>
      </c>
      <c r="AK31">
        <v>-283.85644150233389</v>
      </c>
      <c r="AL31">
        <v>198.19778348332378</v>
      </c>
      <c r="AM31">
        <v>-368.33488729631819</v>
      </c>
      <c r="AN31">
        <v>257.18337711603385</v>
      </c>
      <c r="AQ31">
        <v>29</v>
      </c>
      <c r="AR31">
        <f t="shared" si="2"/>
        <v>10.495436485672748</v>
      </c>
      <c r="AS31">
        <f t="shared" si="3"/>
        <v>5.8177154429560449</v>
      </c>
      <c r="AV31">
        <v>1303.9107330062163</v>
      </c>
      <c r="AW31">
        <v>83.932240311473947</v>
      </c>
      <c r="AX31">
        <v>-7.2101148558472305E-9</v>
      </c>
      <c r="AY31">
        <f t="shared" si="0"/>
        <v>83.932240311473947</v>
      </c>
      <c r="AZ31">
        <v>2006.0165123172558</v>
      </c>
      <c r="BA31">
        <v>129.12652355611377</v>
      </c>
      <c r="BB31">
        <v>-1.1092484393611123E-8</v>
      </c>
      <c r="BC31">
        <f t="shared" si="1"/>
        <v>129.12652355611377</v>
      </c>
      <c r="BF31">
        <v>712.32177737009874</v>
      </c>
      <c r="BG31">
        <v>70.996090913778559</v>
      </c>
      <c r="BH31">
        <v>-6.7139364053170758E-9</v>
      </c>
      <c r="BI31">
        <f t="shared" si="4"/>
        <v>70.996090913778559</v>
      </c>
      <c r="BJ31">
        <v>1095.8796574924595</v>
      </c>
      <c r="BK31">
        <v>109.22475525196701</v>
      </c>
      <c r="BL31">
        <v>-1.032913293125704E-8</v>
      </c>
      <c r="BM31">
        <f t="shared" si="5"/>
        <v>109.22475525196701</v>
      </c>
      <c r="BP31">
        <v>769.13540250095321</v>
      </c>
      <c r="BQ31">
        <v>-36.901813372758461</v>
      </c>
      <c r="BR31">
        <v>-8.6726244915129824E-16</v>
      </c>
      <c r="BS31">
        <f t="shared" si="6"/>
        <v>-36.901813372758461</v>
      </c>
      <c r="BT31">
        <v>1183.2852346168511</v>
      </c>
      <c r="BU31">
        <v>-56.772020573474556</v>
      </c>
      <c r="BV31">
        <v>-1.334249921771228E-15</v>
      </c>
      <c r="BW31">
        <f t="shared" si="7"/>
        <v>-56.772020573474556</v>
      </c>
    </row>
    <row r="32" spans="1:75" x14ac:dyDescent="0.25">
      <c r="A32" s="2" t="s">
        <v>84</v>
      </c>
      <c r="B32" s="37">
        <f ca="1">C109/(PI()*B3*B3)</f>
        <v>1.193662073189215E-2</v>
      </c>
      <c r="D32" t="s">
        <v>45</v>
      </c>
      <c r="E32" s="14">
        <f>360/B31</f>
        <v>40</v>
      </c>
      <c r="N32">
        <f ca="1">B3-N31</f>
        <v>10.316712976735266</v>
      </c>
      <c r="O32">
        <f ca="1">B3-O31</f>
        <v>8.4375</v>
      </c>
      <c r="AJ32">
        <v>2.6179938779914926</v>
      </c>
      <c r="AK32">
        <v>-298.79565735017485</v>
      </c>
      <c r="AL32">
        <v>172.05832425102616</v>
      </c>
      <c r="AM32">
        <v>-390.65803516755227</v>
      </c>
      <c r="AN32">
        <v>224.95630452672023</v>
      </c>
      <c r="AQ32">
        <v>30</v>
      </c>
      <c r="AR32">
        <f t="shared" si="2"/>
        <v>10.392304845413264</v>
      </c>
      <c r="AS32">
        <f t="shared" si="3"/>
        <v>5.9999999999999991</v>
      </c>
      <c r="AV32">
        <v>1320.4830521171748</v>
      </c>
      <c r="AW32">
        <v>75.180116489300687</v>
      </c>
      <c r="AX32">
        <v>-6.3622641656580972E-9</v>
      </c>
      <c r="AY32">
        <f t="shared" si="0"/>
        <v>75.180116489300687</v>
      </c>
      <c r="AZ32">
        <v>2031.5123878725765</v>
      </c>
      <c r="BA32">
        <v>115.6617176758472</v>
      </c>
      <c r="BB32">
        <v>-9.788098716397072E-9</v>
      </c>
      <c r="BC32">
        <f t="shared" si="1"/>
        <v>115.6617176758472</v>
      </c>
      <c r="BF32">
        <v>731.20462969674088</v>
      </c>
      <c r="BG32">
        <v>62.356361539855691</v>
      </c>
      <c r="BH32">
        <v>-6.0154965627372363E-9</v>
      </c>
      <c r="BI32">
        <f t="shared" si="4"/>
        <v>62.356361539855691</v>
      </c>
      <c r="BJ32">
        <v>1124.9301995334474</v>
      </c>
      <c r="BK32">
        <v>95.932863907470292</v>
      </c>
      <c r="BL32">
        <v>-9.2546100965188242E-9</v>
      </c>
      <c r="BM32">
        <f t="shared" si="5"/>
        <v>95.932863907470292</v>
      </c>
      <c r="BP32">
        <v>779.22439976983787</v>
      </c>
      <c r="BQ32">
        <v>-33.124528779588566</v>
      </c>
      <c r="BR32">
        <v>2.5187372645753543E-15</v>
      </c>
      <c r="BS32">
        <f t="shared" si="6"/>
        <v>-33.124528779588566</v>
      </c>
      <c r="BT32">
        <v>1198.8067688766737</v>
      </c>
      <c r="BU32">
        <v>-50.960813507059328</v>
      </c>
      <c r="BV32">
        <v>3.8749804070390063E-15</v>
      </c>
      <c r="BW32">
        <f t="shared" si="7"/>
        <v>-50.960813507059328</v>
      </c>
    </row>
    <row r="33" spans="1:75" x14ac:dyDescent="0.25">
      <c r="D33" s="2" t="s">
        <v>13</v>
      </c>
      <c r="E33" s="14">
        <f>(B3-E31)*COS(RADIANS(E32))</f>
        <v>7.3731777650201638</v>
      </c>
      <c r="I33">
        <f>C35/F35</f>
        <v>2.0689655172413794E-3</v>
      </c>
      <c r="AJ33">
        <v>2.705260340591209</v>
      </c>
      <c r="AK33">
        <v>-310.87750647715876</v>
      </c>
      <c r="AL33">
        <v>144.30090785268828</v>
      </c>
      <c r="AM33">
        <v>-411.29899696369563</v>
      </c>
      <c r="AN33">
        <v>190.9138404168269</v>
      </c>
      <c r="AQ33">
        <v>31</v>
      </c>
      <c r="AR33">
        <f t="shared" si="2"/>
        <v>10.286007608425347</v>
      </c>
      <c r="AS33">
        <f t="shared" si="3"/>
        <v>6.1804568989206494</v>
      </c>
      <c r="AV33">
        <v>1335.0689401613974</v>
      </c>
      <c r="AW33">
        <v>67.42018322957793</v>
      </c>
      <c r="AX33">
        <v>-4.6150988856188273E-15</v>
      </c>
      <c r="AY33">
        <f t="shared" si="0"/>
        <v>67.42018322957793</v>
      </c>
      <c r="AZ33">
        <v>2053.952215632919</v>
      </c>
      <c r="BA33">
        <v>103.72335881473528</v>
      </c>
      <c r="BB33">
        <v>-7.1001521317212728E-15</v>
      </c>
      <c r="BC33">
        <f t="shared" si="1"/>
        <v>103.72335881473528</v>
      </c>
      <c r="BF33">
        <v>751.94802746712844</v>
      </c>
      <c r="BG33">
        <v>52.100494865626892</v>
      </c>
      <c r="BH33">
        <v>-1.5921292062515137E-15</v>
      </c>
      <c r="BI33">
        <f t="shared" si="4"/>
        <v>52.100494865626892</v>
      </c>
      <c r="BJ33">
        <v>1156.8431191801976</v>
      </c>
      <c r="BK33">
        <v>80.154607485579831</v>
      </c>
      <c r="BL33">
        <v>-2.4494295480792516E-15</v>
      </c>
      <c r="BM33">
        <f t="shared" si="5"/>
        <v>80.154607485579831</v>
      </c>
      <c r="BP33">
        <v>788.14875107430032</v>
      </c>
      <c r="BQ33">
        <v>-29.770990731045245</v>
      </c>
      <c r="BR33">
        <v>3.6473883295238931E-15</v>
      </c>
      <c r="BS33">
        <f t="shared" si="6"/>
        <v>-29.770990731045245</v>
      </c>
      <c r="BT33">
        <v>1212.5365401143081</v>
      </c>
      <c r="BU33">
        <v>-45.801524201608068</v>
      </c>
      <c r="BV33">
        <v>5.6113666608059888E-15</v>
      </c>
      <c r="BW33">
        <f t="shared" si="7"/>
        <v>-45.801524201608068</v>
      </c>
    </row>
    <row r="34" spans="1:75" x14ac:dyDescent="0.25">
      <c r="A34" t="s">
        <v>37</v>
      </c>
      <c r="D34" s="2" t="s">
        <v>14</v>
      </c>
      <c r="E34" s="14">
        <f>(B3-E31)*SIN(RADIANS(E32))</f>
        <v>6.1868307432329406</v>
      </c>
      <c r="Z34" t="str">
        <f>"Mx vs My @ Pu = " &amp;AI1&amp;" Kips"</f>
        <v>Mx vs My @ Pu = 357 Kips</v>
      </c>
      <c r="AJ34">
        <v>2.7925268031909254</v>
      </c>
      <c r="AK34">
        <v>-319.26282201307913</v>
      </c>
      <c r="AL34">
        <v>116.20216412058993</v>
      </c>
      <c r="AM34">
        <v>-428.08001637713755</v>
      </c>
      <c r="AN34">
        <v>155.80838384546738</v>
      </c>
      <c r="AQ34">
        <v>32</v>
      </c>
      <c r="AR34">
        <f t="shared" si="2"/>
        <v>10.176577153877112</v>
      </c>
      <c r="AS34">
        <f t="shared" si="3"/>
        <v>6.3590311707984588</v>
      </c>
      <c r="AV34">
        <v>1347.8864729471088</v>
      </c>
      <c r="AW34">
        <v>60.514174413792034</v>
      </c>
      <c r="AX34">
        <v>-6.1931196512921708E-9</v>
      </c>
      <c r="AY34">
        <f t="shared" si="0"/>
        <v>60.514174413792034</v>
      </c>
      <c r="AZ34">
        <v>2073.6714968417059</v>
      </c>
      <c r="BA34">
        <v>93.098729867372356</v>
      </c>
      <c r="BB34">
        <v>-9.5278763866033398E-9</v>
      </c>
      <c r="BC34">
        <f t="shared" si="1"/>
        <v>93.098729867372356</v>
      </c>
      <c r="BF34">
        <v>771.043095997195</v>
      </c>
      <c r="BG34">
        <v>41.987538357236559</v>
      </c>
      <c r="BH34">
        <v>-1.694872266294561E-15</v>
      </c>
      <c r="BI34">
        <f t="shared" si="4"/>
        <v>41.987538357236559</v>
      </c>
      <c r="BJ34">
        <v>1186.2201476879923</v>
      </c>
      <c r="BK34">
        <v>64.596212857287014</v>
      </c>
      <c r="BL34">
        <v>-2.6074957942993245E-15</v>
      </c>
      <c r="BM34">
        <f t="shared" si="5"/>
        <v>64.596212857287014</v>
      </c>
      <c r="BP34">
        <v>795.52404138417637</v>
      </c>
      <c r="BQ34">
        <v>-26.723245337194665</v>
      </c>
      <c r="BR34">
        <v>-5.7477887853307326E-16</v>
      </c>
      <c r="BS34">
        <f t="shared" si="6"/>
        <v>-26.723245337194665</v>
      </c>
      <c r="BT34">
        <v>1223.8831405910405</v>
      </c>
      <c r="BU34">
        <v>-41.112685134145636</v>
      </c>
      <c r="BV34">
        <v>-8.8427519774318957E-16</v>
      </c>
      <c r="BW34">
        <f t="shared" si="7"/>
        <v>-41.112685134145636</v>
      </c>
    </row>
    <row r="35" spans="1:7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118</v>
      </c>
      <c r="X35" t="s">
        <v>119</v>
      </c>
      <c r="AJ35">
        <v>2.8797932657906418</v>
      </c>
      <c r="AK35">
        <v>-330.90082196173842</v>
      </c>
      <c r="AL35">
        <v>89.287300696190272</v>
      </c>
      <c r="AM35">
        <v>-437.79036222205769</v>
      </c>
      <c r="AN35">
        <v>118.12941255895321</v>
      </c>
      <c r="AQ35">
        <v>33</v>
      </c>
      <c r="AR35">
        <f t="shared" si="2"/>
        <v>10.064046815345089</v>
      </c>
      <c r="AS35">
        <f t="shared" si="3"/>
        <v>6.5356684201803255</v>
      </c>
      <c r="AV35">
        <v>1358.6507107190505</v>
      </c>
      <c r="AW35">
        <v>54.282843135836252</v>
      </c>
      <c r="AX35">
        <v>-5.5391999939214013E-9</v>
      </c>
      <c r="AY35">
        <f t="shared" si="0"/>
        <v>54.282843135836252</v>
      </c>
      <c r="AZ35">
        <v>2090.2318626446931</v>
      </c>
      <c r="BA35">
        <v>83.512066362824996</v>
      </c>
      <c r="BB35">
        <v>-8.5218461444944628E-9</v>
      </c>
      <c r="BC35">
        <f t="shared" si="1"/>
        <v>83.512066362824996</v>
      </c>
      <c r="BF35">
        <v>788.22928043982938</v>
      </c>
      <c r="BG35">
        <v>32.303069275954584</v>
      </c>
      <c r="BH35">
        <v>-3.13770414101362E-9</v>
      </c>
      <c r="BI35">
        <f t="shared" si="4"/>
        <v>32.303069275954584</v>
      </c>
      <c r="BJ35">
        <v>1212.6604314458914</v>
      </c>
      <c r="BK35">
        <v>49.697029655314743</v>
      </c>
      <c r="BL35">
        <v>-4.8272371400209538E-9</v>
      </c>
      <c r="BM35">
        <f t="shared" si="5"/>
        <v>49.697029655314743</v>
      </c>
      <c r="BP35">
        <v>801.95188108025695</v>
      </c>
      <c r="BQ35">
        <v>-23.987879202156162</v>
      </c>
      <c r="BR35">
        <v>2.0261903037730281E-15</v>
      </c>
      <c r="BS35">
        <f t="shared" si="6"/>
        <v>-23.987879202156162</v>
      </c>
      <c r="BT35">
        <v>1233.7721247388567</v>
      </c>
      <c r="BU35">
        <v>-36.904429541778711</v>
      </c>
      <c r="BV35">
        <v>3.1172158519585047E-15</v>
      </c>
      <c r="BW35">
        <f t="shared" si="7"/>
        <v>-36.904429541778711</v>
      </c>
    </row>
    <row r="36" spans="1:7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2.9670597283903581</v>
      </c>
      <c r="AK36">
        <v>-339.48771191317184</v>
      </c>
      <c r="AL36">
        <v>60.257823187976513</v>
      </c>
      <c r="AM36">
        <v>-443.86054227052927</v>
      </c>
      <c r="AN36">
        <v>78.783617602918028</v>
      </c>
      <c r="AQ36">
        <v>34</v>
      </c>
      <c r="AR36">
        <f t="shared" si="2"/>
        <v>9.9484508706604995</v>
      </c>
      <c r="AS36">
        <f t="shared" si="3"/>
        <v>6.7103148416489624</v>
      </c>
      <c r="AV36">
        <v>1368.1721807936642</v>
      </c>
      <c r="AW36">
        <v>48.71386690130965</v>
      </c>
      <c r="AX36">
        <v>-4.9517773822557248E-9</v>
      </c>
      <c r="AY36">
        <f t="shared" si="0"/>
        <v>48.71386690130965</v>
      </c>
      <c r="AZ36">
        <v>2104.8802781440986</v>
      </c>
      <c r="BA36">
        <v>74.944410617399456</v>
      </c>
      <c r="BB36">
        <v>-7.6181190496241919E-9</v>
      </c>
      <c r="BC36">
        <f t="shared" si="1"/>
        <v>74.944410617399456</v>
      </c>
      <c r="BF36">
        <v>803.12679022790007</v>
      </c>
      <c r="BG36">
        <v>23.44432034668932</v>
      </c>
      <c r="BH36">
        <v>-2.2895006789965006E-9</v>
      </c>
      <c r="BI36">
        <f t="shared" si="4"/>
        <v>23.44432034668932</v>
      </c>
      <c r="BJ36">
        <v>1235.5796772736924</v>
      </c>
      <c r="BK36">
        <v>36.068185148752796</v>
      </c>
      <c r="BL36">
        <v>-3.5223087369176932E-9</v>
      </c>
      <c r="BM36">
        <f t="shared" si="5"/>
        <v>36.068185148752796</v>
      </c>
      <c r="BP36">
        <v>807.65971748539403</v>
      </c>
      <c r="BQ36">
        <v>-21.537926422340433</v>
      </c>
      <c r="BR36">
        <v>-3.7606402630361706E-16</v>
      </c>
      <c r="BS36">
        <f t="shared" si="6"/>
        <v>-21.537926422340433</v>
      </c>
      <c r="BT36">
        <v>1242.5534115159908</v>
      </c>
      <c r="BU36">
        <v>-33.135271418985283</v>
      </c>
      <c r="BV36">
        <v>-5.7856004046710315E-16</v>
      </c>
      <c r="BW36">
        <f t="shared" si="7"/>
        <v>-33.135271418985283</v>
      </c>
    </row>
    <row r="37" spans="1:75" x14ac:dyDescent="0.25">
      <c r="A37">
        <v>1</v>
      </c>
      <c r="B37" s="5">
        <v>7</v>
      </c>
      <c r="C37" s="1">
        <f t="shared" ref="C37:C68" ca="1" si="14">IF(A37&lt;=$B$31,OFFSET($Q$36,MATCH(B37,$Q$36:$Q$47,0)-1,2),0)</f>
        <v>0.6</v>
      </c>
      <c r="D37" s="46">
        <f ca="1">IF($E$32*(A37-1)&gt;=360,0,(($B$3-F37)*COS(RADIANS(($E$32*(A37-1))+$E$30))))</f>
        <v>5.6280257147364732E-16</v>
      </c>
      <c r="E37" s="46">
        <f ca="1">IF($E$32*(A37-1)&gt;=360,0,($B$3-F37)*SIN(RADIANS(($E$32*(A37-1))+$E$30)))</f>
        <v>9.1875</v>
      </c>
      <c r="F37" s="1">
        <f ca="1">$E$31+(OFFSET($Q$36,MATCH(B37,$Q$36:$Q$47,0)-1,1)/2)</f>
        <v>2.8125</v>
      </c>
      <c r="G37">
        <f ca="1">IF(C37=0,NA(),D37)</f>
        <v>5.6280257147364732E-16</v>
      </c>
      <c r="H37">
        <f ca="1">IF(C37=0,NA(),E37)</f>
        <v>9.1875</v>
      </c>
      <c r="I37" s="7">
        <f ca="1">D37*COS($B$10)+E37*SIN($B$10)</f>
        <v>5.6280257147364732E-16</v>
      </c>
      <c r="J37" s="7">
        <f ca="1">-1*D37*SIN($B$10)+E37*COS($B$10)</f>
        <v>9.1875</v>
      </c>
      <c r="K37">
        <f ca="1">IF(B37=0,0,$B$3-J37)</f>
        <v>2.8125</v>
      </c>
      <c r="L37" s="15">
        <f ca="1">IF($B$11&lt;=0,-1,IF(C37=0,0,(($B$11-K37)/$B$11)*$B$13)*IF($B$11&lt;0,-1,1))</f>
        <v>2.1617577789507327E-3</v>
      </c>
      <c r="M37" s="9">
        <f t="shared" ref="M37:M68" ca="1" si="15">IF(AND(L37&gt;0,K37&lt;=$B$12),MIN((L37*F$35),C$35)-IF($B$2="Whitney",$B$9,B151),MAX(L37*F$35,-1*C$35))</f>
        <v>55.75</v>
      </c>
      <c r="N37" s="7">
        <f ca="1">M37*C37</f>
        <v>33.449999999999996</v>
      </c>
      <c r="O37" s="7">
        <f ca="1">N37*J37</f>
        <v>307.32187499999998</v>
      </c>
      <c r="P37" s="7">
        <f ca="1">N37*I37</f>
        <v>1.88257460157935E-14</v>
      </c>
      <c r="Q37" s="1">
        <v>3</v>
      </c>
      <c r="R37" s="7">
        <v>0.375</v>
      </c>
      <c r="S37" s="7">
        <v>0.11</v>
      </c>
      <c r="U37" t="e">
        <f ca="1">IF(AND(N37&lt;0,C37&gt;0),D37,NA())</f>
        <v>#N/A</v>
      </c>
      <c r="V37" t="e">
        <f ca="1">IF(AND(N37&lt;0,C37&gt;0),E37,NA())</f>
        <v>#N/A</v>
      </c>
      <c r="X37">
        <f ca="1">IF(AND(N37&gt;=0,C37&gt;0),D37,NA())</f>
        <v>5.6280257147364732E-16</v>
      </c>
      <c r="Y37">
        <f ca="1">IF(AND(N37&gt;=0,C37&gt;0),E37,NA())</f>
        <v>9.1875</v>
      </c>
      <c r="Z37" s="10">
        <f>J10</f>
        <v>10</v>
      </c>
      <c r="AA37" s="10">
        <f>J11</f>
        <v>0</v>
      </c>
      <c r="AJ37">
        <v>3.0543261909900745</v>
      </c>
      <c r="AK37">
        <v>-344.84572914680598</v>
      </c>
      <c r="AL37">
        <v>30.631092851514936</v>
      </c>
      <c r="AM37">
        <v>-447.47518184772667</v>
      </c>
      <c r="AN37">
        <v>39.747204867052652</v>
      </c>
      <c r="AQ37">
        <v>35</v>
      </c>
      <c r="AR37">
        <f t="shared" si="2"/>
        <v>9.8298245314679011</v>
      </c>
      <c r="AS37">
        <f t="shared" si="3"/>
        <v>6.8829172362125526</v>
      </c>
      <c r="AV37">
        <v>1376.6146285840982</v>
      </c>
      <c r="AW37">
        <v>43.726529532539168</v>
      </c>
      <c r="AX37">
        <v>-4.4218460222902671E-9</v>
      </c>
      <c r="AY37">
        <f t="shared" si="0"/>
        <v>43.726529532539168</v>
      </c>
      <c r="AZ37">
        <v>2117.868659360151</v>
      </c>
      <c r="BA37">
        <v>67.271583896214096</v>
      </c>
      <c r="BB37">
        <v>-6.8028400342927187E-9</v>
      </c>
      <c r="BC37">
        <f t="shared" si="1"/>
        <v>67.271583896214096</v>
      </c>
      <c r="BF37">
        <v>815.08770442886669</v>
      </c>
      <c r="BG37">
        <v>16.043255691714037</v>
      </c>
      <c r="BH37">
        <v>1.5254505856250217E-14</v>
      </c>
      <c r="BI37">
        <f t="shared" si="4"/>
        <v>16.043255691714037</v>
      </c>
      <c r="BJ37">
        <v>1253.9810837367179</v>
      </c>
      <c r="BK37">
        <v>24.68193183340621</v>
      </c>
      <c r="BL37">
        <v>2.3468470548077255E-14</v>
      </c>
      <c r="BM37">
        <f t="shared" si="5"/>
        <v>24.68193183340621</v>
      </c>
      <c r="BP37">
        <v>812.74144670150156</v>
      </c>
      <c r="BQ37">
        <v>-19.338853571401717</v>
      </c>
      <c r="BR37">
        <v>-3.0189857555767407E-15</v>
      </c>
      <c r="BS37">
        <f t="shared" si="6"/>
        <v>-19.338853571401717</v>
      </c>
      <c r="BT37">
        <v>1250.3714564638485</v>
      </c>
      <c r="BU37">
        <v>-29.752082417541104</v>
      </c>
      <c r="BV37">
        <v>-4.6445934701180627E-15</v>
      </c>
      <c r="BW37">
        <f t="shared" si="7"/>
        <v>-29.752082417541104</v>
      </c>
    </row>
    <row r="38" spans="1:75" x14ac:dyDescent="0.25">
      <c r="A38">
        <v>2</v>
      </c>
      <c r="B38" s="5">
        <v>7</v>
      </c>
      <c r="C38" s="1">
        <f t="shared" ca="1" si="14"/>
        <v>0.6</v>
      </c>
      <c r="D38" s="46">
        <f t="shared" ref="D38:D101" ca="1" si="16">IF($E$32*(A38-1)&gt;=360,0,(($B$3-F38)*COS(RADIANS(($E$32*(A38-1))+$E$30))))</f>
        <v>-5.9056111639950801</v>
      </c>
      <c r="E38" s="46">
        <f t="shared" ref="E38:E101" ca="1" si="17">IF($E$32*(A38-1)&gt;=360,0,($B$3-F38)*SIN(RADIANS(($E$32*(A38-1))+$E$30)))</f>
        <v>7.0380333211556101</v>
      </c>
      <c r="F38" s="1">
        <f t="shared" ref="F38:F101" ca="1" si="18">$E$31+(OFFSET($Q$36,MATCH(B38,$Q$36:$Q$47,0)-1,1)/2)</f>
        <v>2.8125</v>
      </c>
      <c r="G38">
        <f t="shared" ref="G38:G101" ca="1" si="19">IF(C38=0,NA(),D38)</f>
        <v>-5.9056111639950801</v>
      </c>
      <c r="H38">
        <f t="shared" ref="H38:H101" ca="1" si="20">IF(C38=0,NA(),E38)</f>
        <v>7.0380333211556101</v>
      </c>
      <c r="I38" s="7">
        <f t="shared" ref="I38:I101" ca="1" si="21">D38*COS($B$10)+E38*SIN($B$10)</f>
        <v>-5.9056111639950801</v>
      </c>
      <c r="J38" s="7">
        <f t="shared" ref="J38:J101" ca="1" si="22">-1*D38*SIN($B$10)+E38*COS($B$10)</f>
        <v>7.0380333211556101</v>
      </c>
      <c r="K38">
        <f t="shared" ref="K38:K101" ca="1" si="23">IF(B38=0,0,$B$3-J38)</f>
        <v>4.9619666788443899</v>
      </c>
      <c r="L38" s="15">
        <f t="shared" ref="L38:L101" ca="1" si="24">IF($B$11&lt;=0,-1,IF(C38=0,0,(($B$11-K38)/$B$11)*$B$13)*IF($B$11&lt;0,-1,1))</f>
        <v>1.5211271219032969E-3</v>
      </c>
      <c r="M38" s="9">
        <f t="shared" ca="1" si="15"/>
        <v>40.174540153682038</v>
      </c>
      <c r="N38" s="7">
        <f t="shared" ref="N38:N101" ca="1" si="25">M38*C38</f>
        <v>24.104724092209221</v>
      </c>
      <c r="O38" s="7">
        <f t="shared" ref="O38:O101" ca="1" si="26">N38*J38</f>
        <v>169.6498513582309</v>
      </c>
      <c r="P38" s="7">
        <f t="shared" ref="P38:P101" ca="1" si="27">N38*I38</f>
        <v>-142.35312770397195</v>
      </c>
      <c r="Q38" s="1">
        <v>4</v>
      </c>
      <c r="R38" s="7">
        <v>0.5</v>
      </c>
      <c r="S38" s="7">
        <v>0.2</v>
      </c>
      <c r="U38" t="e">
        <f t="shared" ref="U38:U101" ca="1" si="28">IF(AND(N38&lt;0,C38&gt;0),D38,NA())</f>
        <v>#N/A</v>
      </c>
      <c r="V38" t="e">
        <f t="shared" ref="V38:V101" ca="1" si="29">IF(AND(N38&lt;0,C38&gt;0),E38,NA())</f>
        <v>#N/A</v>
      </c>
      <c r="X38">
        <f t="shared" ref="X38:X101" ca="1" si="30">IF(AND(N38&gt;=0,C38&gt;0),D38,NA())</f>
        <v>-5.9056111639950801</v>
      </c>
      <c r="Y38">
        <f t="shared" ref="Y38:Y101" ca="1" si="31">IF(AND(N38&gt;=0,C38&gt;0),E38,NA())</f>
        <v>7.0380333211556101</v>
      </c>
      <c r="Z38" s="10">
        <f ca="1">J4</f>
        <v>339.75239876425223</v>
      </c>
      <c r="AA38" s="10">
        <f ca="1">J5</f>
        <v>-2.6496200511706305E-14</v>
      </c>
      <c r="AJ38">
        <v>3.1415926535897909</v>
      </c>
      <c r="AK38">
        <v>-346.14713920497138</v>
      </c>
      <c r="AL38">
        <v>8.2562495598797732E-13</v>
      </c>
      <c r="AM38">
        <v>-448.74407281656983</v>
      </c>
      <c r="AN38">
        <v>1.0703376206430455E-12</v>
      </c>
      <c r="AQ38">
        <v>36</v>
      </c>
      <c r="AR38">
        <f t="shared" si="2"/>
        <v>9.7082039324993694</v>
      </c>
      <c r="AS38">
        <f t="shared" si="3"/>
        <v>7.0534230275096776</v>
      </c>
      <c r="AV38">
        <v>1384.117569713598</v>
      </c>
      <c r="AW38">
        <v>39.251521614057012</v>
      </c>
      <c r="AX38">
        <v>-3.9427078244528722E-9</v>
      </c>
      <c r="AY38">
        <f t="shared" si="0"/>
        <v>39.251521614057012</v>
      </c>
      <c r="AZ38">
        <v>2129.4116457132277</v>
      </c>
      <c r="BA38">
        <v>60.38695632931848</v>
      </c>
      <c r="BB38">
        <v>-6.0657043453121106E-9</v>
      </c>
      <c r="BC38">
        <f t="shared" si="1"/>
        <v>60.38695632931848</v>
      </c>
      <c r="BF38">
        <v>822.17697283130201</v>
      </c>
      <c r="BG38">
        <v>11.766214566923011</v>
      </c>
      <c r="BH38">
        <v>-1.1516677012043232E-9</v>
      </c>
      <c r="BI38">
        <f t="shared" si="4"/>
        <v>11.766214566923011</v>
      </c>
      <c r="BJ38">
        <v>1264.8876505096953</v>
      </c>
      <c r="BK38">
        <v>18.101868564496939</v>
      </c>
      <c r="BL38">
        <v>-1.7717964633912664E-9</v>
      </c>
      <c r="BM38">
        <f t="shared" si="5"/>
        <v>18.101868564496939</v>
      </c>
      <c r="BP38">
        <v>817.27706460697163</v>
      </c>
      <c r="BQ38">
        <v>-17.360982242804031</v>
      </c>
      <c r="BR38">
        <v>5.5652864411110743E-16</v>
      </c>
      <c r="BS38">
        <f t="shared" si="6"/>
        <v>-17.360982242804031</v>
      </c>
      <c r="BT38">
        <v>1257.3493301645717</v>
      </c>
      <c r="BU38">
        <v>-26.70920345046774</v>
      </c>
      <c r="BV38">
        <v>8.5619791401708835E-16</v>
      </c>
      <c r="BW38">
        <f t="shared" si="7"/>
        <v>-26.70920345046774</v>
      </c>
    </row>
    <row r="39" spans="1:75" x14ac:dyDescent="0.25">
      <c r="A39">
        <v>3</v>
      </c>
      <c r="B39" s="5">
        <v>7</v>
      </c>
      <c r="C39" s="1">
        <f t="shared" ca="1" si="14"/>
        <v>0.6</v>
      </c>
      <c r="D39" s="46">
        <f t="shared" ca="1" si="16"/>
        <v>-9.0479212307996608</v>
      </c>
      <c r="E39" s="46">
        <f t="shared" ca="1" si="17"/>
        <v>1.5953926323149219</v>
      </c>
      <c r="F39" s="1">
        <f t="shared" ca="1" si="18"/>
        <v>2.8125</v>
      </c>
      <c r="G39">
        <f t="shared" ca="1" si="19"/>
        <v>-9.0479212307996608</v>
      </c>
      <c r="H39">
        <f t="shared" ca="1" si="20"/>
        <v>1.5953926323149219</v>
      </c>
      <c r="I39" s="7">
        <f t="shared" ca="1" si="21"/>
        <v>-9.0479212307996608</v>
      </c>
      <c r="J39" s="7">
        <f t="shared" ca="1" si="22"/>
        <v>1.5953926323149219</v>
      </c>
      <c r="K39">
        <f t="shared" ca="1" si="23"/>
        <v>10.404607367685077</v>
      </c>
      <c r="L39" s="15">
        <f t="shared" ca="1" si="24"/>
        <v>-1.0100664498983447E-4</v>
      </c>
      <c r="M39" s="9">
        <f t="shared" ca="1" si="15"/>
        <v>-2.9291927047051995</v>
      </c>
      <c r="N39" s="7">
        <f t="shared" ca="1" si="25"/>
        <v>-1.7575156228231197</v>
      </c>
      <c r="O39" s="7">
        <f t="shared" ca="1" si="26"/>
        <v>-2.8039274758303763</v>
      </c>
      <c r="P39" s="7">
        <f t="shared" ca="1" si="27"/>
        <v>15.901862917203394</v>
      </c>
      <c r="Q39" s="1">
        <v>5</v>
      </c>
      <c r="R39" s="7">
        <v>0.625</v>
      </c>
      <c r="S39" s="7">
        <v>0.31</v>
      </c>
      <c r="U39">
        <f t="shared" ca="1" si="28"/>
        <v>-9.0479212307996608</v>
      </c>
      <c r="V39">
        <f t="shared" ca="1" si="29"/>
        <v>1.5953926323149219</v>
      </c>
      <c r="X39" t="e">
        <f t="shared" ca="1" si="30"/>
        <v>#N/A</v>
      </c>
      <c r="Y39" t="e">
        <f t="shared" ca="1" si="31"/>
        <v>#N/A</v>
      </c>
      <c r="AJ39">
        <v>3.2288591161895073</v>
      </c>
      <c r="AK39">
        <v>-344.84572914680638</v>
      </c>
      <c r="AL39">
        <v>-30.631092851513273</v>
      </c>
      <c r="AM39">
        <v>-447.47518184772724</v>
      </c>
      <c r="AN39">
        <v>-39.747204867050499</v>
      </c>
      <c r="AQ39">
        <v>37</v>
      </c>
      <c r="AR39">
        <f t="shared" si="2"/>
        <v>9.583626120567514</v>
      </c>
      <c r="AS39">
        <f t="shared" si="3"/>
        <v>7.2217802778245792</v>
      </c>
      <c r="AV39">
        <v>1390.8002309644567</v>
      </c>
      <c r="AW39">
        <v>35.22906113389233</v>
      </c>
      <c r="AX39">
        <v>-3.5086135911785827E-9</v>
      </c>
      <c r="AY39">
        <f t="shared" si="0"/>
        <v>35.22906113389233</v>
      </c>
      <c r="AZ39">
        <v>2139.692663022241</v>
      </c>
      <c r="BA39">
        <v>54.198555590603583</v>
      </c>
      <c r="BB39">
        <v>-5.3978670633516658E-9</v>
      </c>
      <c r="BC39">
        <f t="shared" si="1"/>
        <v>54.198555590603583</v>
      </c>
      <c r="BF39">
        <v>824.20691638344965</v>
      </c>
      <c r="BG39">
        <v>11.118505752580827</v>
      </c>
      <c r="BH39">
        <v>0</v>
      </c>
      <c r="BI39">
        <f t="shared" si="4"/>
        <v>11.118505752580827</v>
      </c>
      <c r="BJ39">
        <v>1268.0106405899226</v>
      </c>
      <c r="BK39">
        <v>17.105393465508964</v>
      </c>
      <c r="BL39">
        <v>0</v>
      </c>
      <c r="BM39">
        <f t="shared" si="5"/>
        <v>17.105393465508964</v>
      </c>
      <c r="BP39">
        <v>821.33499872537891</v>
      </c>
      <c r="BQ39">
        <v>-15.578698698782715</v>
      </c>
      <c r="BR39">
        <v>1.606968621160268E-9</v>
      </c>
      <c r="BS39">
        <f t="shared" si="6"/>
        <v>-15.578698698782715</v>
      </c>
      <c r="BT39">
        <v>1263.5923057313521</v>
      </c>
      <c r="BU39">
        <v>-23.967228767358023</v>
      </c>
      <c r="BV39">
        <v>2.4722594171696429E-9</v>
      </c>
      <c r="BW39">
        <f t="shared" si="7"/>
        <v>-23.967228767358023</v>
      </c>
    </row>
    <row r="40" spans="1:75" x14ac:dyDescent="0.25">
      <c r="A40">
        <v>4</v>
      </c>
      <c r="B40" s="5">
        <v>7</v>
      </c>
      <c r="C40" s="1">
        <f t="shared" ca="1" si="14"/>
        <v>0.6</v>
      </c>
      <c r="D40" s="46">
        <f t="shared" ca="1" si="16"/>
        <v>-7.9566083972695294</v>
      </c>
      <c r="E40" s="46">
        <f t="shared" ca="1" si="17"/>
        <v>-4.5937500000000009</v>
      </c>
      <c r="F40" s="1">
        <f t="shared" ca="1" si="18"/>
        <v>2.8125</v>
      </c>
      <c r="G40">
        <f t="shared" ca="1" si="19"/>
        <v>-7.9566083972695294</v>
      </c>
      <c r="H40">
        <f t="shared" ca="1" si="20"/>
        <v>-4.5937500000000009</v>
      </c>
      <c r="I40" s="7">
        <f t="shared" ca="1" si="21"/>
        <v>-7.9566083972695294</v>
      </c>
      <c r="J40" s="7">
        <f t="shared" ca="1" si="22"/>
        <v>-4.5937500000000009</v>
      </c>
      <c r="K40">
        <f t="shared" ca="1" si="23"/>
        <v>16.59375</v>
      </c>
      <c r="L40" s="15">
        <f t="shared" ca="1" si="24"/>
        <v>-1.9456291041906766E-3</v>
      </c>
      <c r="M40" s="9">
        <f t="shared" ca="1" si="15"/>
        <v>-56.423244021529619</v>
      </c>
      <c r="N40" s="7">
        <f t="shared" ca="1" si="25"/>
        <v>-33.853946412917772</v>
      </c>
      <c r="O40" s="7">
        <f t="shared" ca="1" si="26"/>
        <v>155.51656633434104</v>
      </c>
      <c r="P40" s="7">
        <f t="shared" ca="1" si="27"/>
        <v>269.36259430973422</v>
      </c>
      <c r="Q40" s="1">
        <v>6</v>
      </c>
      <c r="R40" s="7">
        <v>0.75</v>
      </c>
      <c r="S40" s="7">
        <v>0.44</v>
      </c>
      <c r="U40">
        <f t="shared" ca="1" si="28"/>
        <v>-7.9566083972695294</v>
      </c>
      <c r="V40">
        <f t="shared" ca="1" si="29"/>
        <v>-4.5937500000000009</v>
      </c>
      <c r="X40" t="e">
        <f t="shared" ca="1" si="30"/>
        <v>#N/A</v>
      </c>
      <c r="Y40" t="e">
        <f t="shared" ca="1" si="31"/>
        <v>#N/A</v>
      </c>
      <c r="AJ40">
        <v>3.3161255787892236</v>
      </c>
      <c r="AK40">
        <v>-339.48771191317218</v>
      </c>
      <c r="AL40">
        <v>-60.257823187974907</v>
      </c>
      <c r="AM40">
        <v>-443.86054227052938</v>
      </c>
      <c r="AN40">
        <v>-78.783617602915868</v>
      </c>
      <c r="AQ40">
        <v>38</v>
      </c>
      <c r="AR40">
        <f t="shared" si="2"/>
        <v>9.4561290432806633</v>
      </c>
      <c r="AS40">
        <f t="shared" si="3"/>
        <v>7.3879377039078999</v>
      </c>
      <c r="AV40">
        <v>1396.7648827846408</v>
      </c>
      <c r="AW40">
        <v>31.607378595872721</v>
      </c>
      <c r="AX40">
        <v>-4.0603917239109943E-15</v>
      </c>
      <c r="AY40">
        <f t="shared" si="0"/>
        <v>31.607378595872721</v>
      </c>
      <c r="AZ40">
        <v>2148.8690504379088</v>
      </c>
      <c r="BA40">
        <v>48.626736301342646</v>
      </c>
      <c r="BB40">
        <v>-6.2467564983246066E-15</v>
      </c>
      <c r="BC40">
        <f t="shared" si="1"/>
        <v>48.626736301342646</v>
      </c>
      <c r="BF40">
        <v>826.13002529123492</v>
      </c>
      <c r="BG40">
        <v>10.504885443191156</v>
      </c>
      <c r="BH40">
        <v>-9.7364486286934551E-10</v>
      </c>
      <c r="BI40">
        <f t="shared" si="4"/>
        <v>10.504885443191156</v>
      </c>
      <c r="BJ40">
        <v>1270.9692696788229</v>
      </c>
      <c r="BK40">
        <v>16.161362220294087</v>
      </c>
      <c r="BL40">
        <v>-1.4979151736451469E-9</v>
      </c>
      <c r="BM40">
        <f t="shared" si="5"/>
        <v>16.161362220294087</v>
      </c>
      <c r="BP40">
        <v>824.9740022064525</v>
      </c>
      <c r="BQ40">
        <v>-13.969809089302032</v>
      </c>
      <c r="BR40">
        <v>1.711509002112678E-15</v>
      </c>
      <c r="BS40">
        <f t="shared" si="6"/>
        <v>-13.969809089302032</v>
      </c>
      <c r="BT40">
        <v>1269.1907726253114</v>
      </c>
      <c r="BU40">
        <v>-21.492013983541586</v>
      </c>
      <c r="BV40">
        <v>2.6330907724810431E-15</v>
      </c>
      <c r="BW40">
        <f t="shared" si="7"/>
        <v>-21.492013983541586</v>
      </c>
    </row>
    <row r="41" spans="1:75" x14ac:dyDescent="0.25">
      <c r="A41">
        <v>5</v>
      </c>
      <c r="B41" s="5">
        <v>7</v>
      </c>
      <c r="C41" s="1">
        <f t="shared" ca="1" si="14"/>
        <v>0.6</v>
      </c>
      <c r="D41" s="46">
        <f t="shared" ca="1" si="16"/>
        <v>-3.1423100668045798</v>
      </c>
      <c r="E41" s="46">
        <f t="shared" ca="1" si="17"/>
        <v>-8.6334259534705335</v>
      </c>
      <c r="F41" s="1">
        <f t="shared" ca="1" si="18"/>
        <v>2.8125</v>
      </c>
      <c r="G41">
        <f t="shared" ca="1" si="19"/>
        <v>-3.1423100668045798</v>
      </c>
      <c r="H41">
        <f t="shared" ca="1" si="20"/>
        <v>-8.6334259534705335</v>
      </c>
      <c r="I41" s="7">
        <f t="shared" ca="1" si="21"/>
        <v>-3.1423100668045798</v>
      </c>
      <c r="J41" s="7">
        <f t="shared" ca="1" si="22"/>
        <v>-8.6334259534705335</v>
      </c>
      <c r="K41">
        <f t="shared" ca="1" si="23"/>
        <v>20.633425953470535</v>
      </c>
      <c r="L41" s="15">
        <f t="shared" ca="1" si="24"/>
        <v>-3.1496209063440841E-3</v>
      </c>
      <c r="M41" s="9">
        <f t="shared" ca="1" si="15"/>
        <v>-60</v>
      </c>
      <c r="N41" s="7">
        <f t="shared" ca="1" si="25"/>
        <v>-36</v>
      </c>
      <c r="O41" s="7">
        <f t="shared" ca="1" si="26"/>
        <v>310.80333432493921</v>
      </c>
      <c r="P41" s="7">
        <f t="shared" ca="1" si="27"/>
        <v>113.12316240496487</v>
      </c>
      <c r="Q41" s="1">
        <v>7</v>
      </c>
      <c r="R41" s="7">
        <v>0.875</v>
      </c>
      <c r="S41" s="7">
        <v>0.6</v>
      </c>
      <c r="U41">
        <f t="shared" ca="1" si="28"/>
        <v>-3.1423100668045798</v>
      </c>
      <c r="V41">
        <f t="shared" ca="1" si="29"/>
        <v>-8.6334259534705335</v>
      </c>
      <c r="X41" t="e">
        <f t="shared" ca="1" si="30"/>
        <v>#N/A</v>
      </c>
      <c r="Y41" t="e">
        <f t="shared" ca="1" si="31"/>
        <v>#N/A</v>
      </c>
      <c r="AJ41">
        <v>3.40339204138894</v>
      </c>
      <c r="AK41">
        <v>-330.9008219617387</v>
      </c>
      <c r="AL41">
        <v>-89.287300696188595</v>
      </c>
      <c r="AM41">
        <v>-437.79036222205815</v>
      </c>
      <c r="AN41">
        <v>-118.12941255895102</v>
      </c>
      <c r="AQ41">
        <v>39</v>
      </c>
      <c r="AR41">
        <f t="shared" si="2"/>
        <v>9.3257515374836508</v>
      </c>
      <c r="AS41">
        <f t="shared" si="3"/>
        <v>7.5518446925980491</v>
      </c>
      <c r="AV41">
        <v>1402.0995597452293</v>
      </c>
      <c r="AW41">
        <v>28.341474662096921</v>
      </c>
      <c r="AX41">
        <v>-2.7560729052760252E-9</v>
      </c>
      <c r="AY41">
        <f t="shared" si="0"/>
        <v>28.341474662096921</v>
      </c>
      <c r="AZ41">
        <v>2157.0762457618912</v>
      </c>
      <c r="BA41">
        <v>43.602268710918338</v>
      </c>
      <c r="BB41">
        <v>-4.2401121619631158E-9</v>
      </c>
      <c r="BC41">
        <f t="shared" si="1"/>
        <v>43.602268710918338</v>
      </c>
      <c r="BF41">
        <v>827.95451726771194</v>
      </c>
      <c r="BG41">
        <v>9.9227315534386342</v>
      </c>
      <c r="BH41">
        <v>0</v>
      </c>
      <c r="BI41">
        <f t="shared" si="4"/>
        <v>9.9227315534386342</v>
      </c>
      <c r="BJ41">
        <v>1273.7761804118645</v>
      </c>
      <c r="BK41">
        <v>15.265740851444052</v>
      </c>
      <c r="BL41">
        <v>0</v>
      </c>
      <c r="BM41">
        <f t="shared" si="5"/>
        <v>15.265740851444052</v>
      </c>
      <c r="BP41">
        <v>828.24470069819597</v>
      </c>
      <c r="BQ41">
        <v>-12.51501047866129</v>
      </c>
      <c r="BR41">
        <v>-3.9538417968238457E-15</v>
      </c>
      <c r="BS41">
        <f t="shared" si="6"/>
        <v>-12.51501047866129</v>
      </c>
      <c r="BT41">
        <v>1274.222616458763</v>
      </c>
      <c r="BU41">
        <v>-19.253862274863522</v>
      </c>
      <c r="BV41">
        <v>-6.0828335335751472E-15</v>
      </c>
      <c r="BW41">
        <f t="shared" si="7"/>
        <v>-19.253862274863522</v>
      </c>
    </row>
    <row r="42" spans="1:75" x14ac:dyDescent="0.25">
      <c r="A42">
        <v>6</v>
      </c>
      <c r="B42" s="5">
        <v>7</v>
      </c>
      <c r="C42" s="1">
        <f t="shared" ca="1" si="14"/>
        <v>0.6</v>
      </c>
      <c r="D42" s="46">
        <f t="shared" ca="1" si="16"/>
        <v>3.1423100668045838</v>
      </c>
      <c r="E42" s="46">
        <f t="shared" ca="1" si="17"/>
        <v>-8.6334259534705335</v>
      </c>
      <c r="F42" s="1">
        <f t="shared" ca="1" si="18"/>
        <v>2.8125</v>
      </c>
      <c r="G42">
        <f t="shared" ca="1" si="19"/>
        <v>3.1423100668045838</v>
      </c>
      <c r="H42">
        <f t="shared" ca="1" si="20"/>
        <v>-8.6334259534705335</v>
      </c>
      <c r="I42" s="7">
        <f t="shared" ca="1" si="21"/>
        <v>3.1423100668045838</v>
      </c>
      <c r="J42" s="7">
        <f t="shared" ca="1" si="22"/>
        <v>-8.6334259534705335</v>
      </c>
      <c r="K42">
        <f t="shared" ca="1" si="23"/>
        <v>20.633425953470535</v>
      </c>
      <c r="L42" s="15">
        <f t="shared" ca="1" si="24"/>
        <v>-3.1496209063440841E-3</v>
      </c>
      <c r="M42" s="9">
        <f t="shared" ca="1" si="15"/>
        <v>-60</v>
      </c>
      <c r="N42" s="7">
        <f t="shared" ca="1" si="25"/>
        <v>-36</v>
      </c>
      <c r="O42" s="7">
        <f t="shared" ca="1" si="26"/>
        <v>310.80333432493921</v>
      </c>
      <c r="P42" s="7">
        <f t="shared" ca="1" si="27"/>
        <v>-113.12316240496502</v>
      </c>
      <c r="Q42" s="1">
        <v>8</v>
      </c>
      <c r="R42" s="7">
        <v>1</v>
      </c>
      <c r="S42" s="7">
        <v>0.79</v>
      </c>
      <c r="U42">
        <f t="shared" ca="1" si="28"/>
        <v>3.1423100668045838</v>
      </c>
      <c r="V42">
        <f t="shared" ca="1" si="29"/>
        <v>-8.6334259534705335</v>
      </c>
      <c r="X42" t="e">
        <f t="shared" ca="1" si="30"/>
        <v>#N/A</v>
      </c>
      <c r="Y42" t="e">
        <f t="shared" ca="1" si="31"/>
        <v>#N/A</v>
      </c>
      <c r="AJ42">
        <v>3.4906585039886564</v>
      </c>
      <c r="AK42">
        <v>-319.26282201307964</v>
      </c>
      <c r="AL42">
        <v>-116.20216412058855</v>
      </c>
      <c r="AM42">
        <v>-428.08001637713818</v>
      </c>
      <c r="AN42">
        <v>-155.8083838454655</v>
      </c>
      <c r="AQ42">
        <v>40</v>
      </c>
      <c r="AR42">
        <f t="shared" si="2"/>
        <v>9.1925333174277366</v>
      </c>
      <c r="AS42">
        <f t="shared" si="3"/>
        <v>7.713451316238471</v>
      </c>
      <c r="AV42">
        <v>1406.8802930012737</v>
      </c>
      <c r="AW42">
        <v>25.392095897422326</v>
      </c>
      <c r="AX42">
        <v>-2.4294675397263129E-9</v>
      </c>
      <c r="AY42">
        <f t="shared" si="0"/>
        <v>25.392095897422326</v>
      </c>
      <c r="AZ42">
        <v>2164.4312200019594</v>
      </c>
      <c r="BA42">
        <v>39.064762919111267</v>
      </c>
      <c r="BB42">
        <v>-3.7376423688097119E-9</v>
      </c>
      <c r="BC42">
        <f t="shared" si="1"/>
        <v>39.064762919111267</v>
      </c>
      <c r="BF42">
        <v>829.68778828743871</v>
      </c>
      <c r="BG42">
        <v>9.3696841960709651</v>
      </c>
      <c r="BH42">
        <v>0</v>
      </c>
      <c r="BI42">
        <f t="shared" si="4"/>
        <v>9.3696841960709651</v>
      </c>
      <c r="BJ42">
        <v>1276.4427512114441</v>
      </c>
      <c r="BK42">
        <v>14.4148987631861</v>
      </c>
      <c r="BL42">
        <v>0</v>
      </c>
      <c r="BM42">
        <f t="shared" si="5"/>
        <v>14.4148987631861</v>
      </c>
      <c r="BP42">
        <v>831.19086235766838</v>
      </c>
      <c r="BQ42">
        <v>-11.197454578974362</v>
      </c>
      <c r="BR42">
        <v>1.1097093858750474E-9</v>
      </c>
      <c r="BS42">
        <f t="shared" si="6"/>
        <v>-11.197454578974362</v>
      </c>
      <c r="BT42">
        <v>1278.7551728579513</v>
      </c>
      <c r="BU42">
        <v>-17.226853198422095</v>
      </c>
      <c r="BV42">
        <v>1.7072452090385345E-9</v>
      </c>
      <c r="BW42">
        <f t="shared" si="7"/>
        <v>-17.226853198422095</v>
      </c>
    </row>
    <row r="43" spans="1:75" x14ac:dyDescent="0.25">
      <c r="A43">
        <v>7</v>
      </c>
      <c r="B43" s="5">
        <v>7</v>
      </c>
      <c r="C43" s="1">
        <f t="shared" ca="1" si="14"/>
        <v>0.6</v>
      </c>
      <c r="D43" s="46">
        <f t="shared" ca="1" si="16"/>
        <v>7.9566083972695276</v>
      </c>
      <c r="E43" s="46">
        <f t="shared" ca="1" si="17"/>
        <v>-4.5937500000000044</v>
      </c>
      <c r="F43" s="1">
        <f t="shared" ca="1" si="18"/>
        <v>2.8125</v>
      </c>
      <c r="G43">
        <f t="shared" ca="1" si="19"/>
        <v>7.9566083972695276</v>
      </c>
      <c r="H43">
        <f t="shared" ca="1" si="20"/>
        <v>-4.5937500000000044</v>
      </c>
      <c r="I43" s="7">
        <f t="shared" ca="1" si="21"/>
        <v>7.9566083972695276</v>
      </c>
      <c r="J43" s="7">
        <f t="shared" ca="1" si="22"/>
        <v>-4.5937500000000044</v>
      </c>
      <c r="K43">
        <f t="shared" ca="1" si="23"/>
        <v>16.593750000000004</v>
      </c>
      <c r="L43" s="15">
        <f t="shared" ca="1" si="24"/>
        <v>-1.9456291041906782E-3</v>
      </c>
      <c r="M43" s="9">
        <f t="shared" ca="1" si="15"/>
        <v>-56.423244021529669</v>
      </c>
      <c r="N43" s="7">
        <f t="shared" ca="1" si="25"/>
        <v>-33.8539464129178</v>
      </c>
      <c r="O43" s="7">
        <f t="shared" ca="1" si="26"/>
        <v>155.51656633434129</v>
      </c>
      <c r="P43" s="7">
        <f t="shared" ca="1" si="27"/>
        <v>-269.36259430973439</v>
      </c>
      <c r="Q43" s="1">
        <v>9</v>
      </c>
      <c r="R43" s="7">
        <v>1.1279999999999999</v>
      </c>
      <c r="S43" s="7">
        <v>1</v>
      </c>
      <c r="U43">
        <f t="shared" ca="1" si="28"/>
        <v>7.9566083972695276</v>
      </c>
      <c r="V43">
        <f t="shared" ca="1" si="29"/>
        <v>-4.5937500000000044</v>
      </c>
      <c r="X43" t="e">
        <f t="shared" ca="1" si="30"/>
        <v>#N/A</v>
      </c>
      <c r="Y43" t="e">
        <f t="shared" ca="1" si="31"/>
        <v>#N/A</v>
      </c>
      <c r="AJ43">
        <v>3.5779249665883728</v>
      </c>
      <c r="AK43">
        <v>-310.87750647715933</v>
      </c>
      <c r="AL43">
        <v>-144.30090785268675</v>
      </c>
      <c r="AM43">
        <v>-411.29899696369665</v>
      </c>
      <c r="AN43">
        <v>-190.913840416825</v>
      </c>
      <c r="AQ43">
        <v>41</v>
      </c>
      <c r="AR43">
        <f t="shared" si="2"/>
        <v>9.0565149626732637</v>
      </c>
      <c r="AS43">
        <f t="shared" si="3"/>
        <v>7.8727083478860873</v>
      </c>
      <c r="AV43">
        <v>1411.1729513779881</v>
      </c>
      <c r="AW43">
        <v>22.724886091035668</v>
      </c>
      <c r="AX43">
        <v>-2.1313402648868053E-9</v>
      </c>
      <c r="AY43">
        <f t="shared" si="0"/>
        <v>22.724886091035668</v>
      </c>
      <c r="AZ43">
        <v>2171.0353098122891</v>
      </c>
      <c r="BA43">
        <v>34.961363216977951</v>
      </c>
      <c r="BB43">
        <v>-3.2789850229027772E-9</v>
      </c>
      <c r="BC43">
        <f t="shared" si="1"/>
        <v>34.961363216977951</v>
      </c>
      <c r="BF43">
        <v>831.33651279458411</v>
      </c>
      <c r="BG43">
        <v>8.8436137077708157</v>
      </c>
      <c r="BH43">
        <v>-7.3917155759918496E-10</v>
      </c>
      <c r="BI43">
        <f t="shared" si="4"/>
        <v>8.8436137077708157</v>
      </c>
      <c r="BJ43">
        <v>1278.9792504532063</v>
      </c>
      <c r="BK43">
        <v>13.60555955041664</v>
      </c>
      <c r="BL43">
        <v>-1.1371870116910537E-9</v>
      </c>
      <c r="BM43">
        <f t="shared" si="5"/>
        <v>13.60555955041664</v>
      </c>
      <c r="BP43">
        <v>833.85044573214418</v>
      </c>
      <c r="BQ43">
        <v>-10.002386137173048</v>
      </c>
      <c r="BR43">
        <v>-3.140684686778545E-16</v>
      </c>
      <c r="BS43">
        <f t="shared" si="6"/>
        <v>-10.002386137173048</v>
      </c>
      <c r="BT43">
        <v>1282.846839587914</v>
      </c>
      <c r="BU43">
        <v>-15.388286364881612</v>
      </c>
      <c r="BV43">
        <v>-4.8318225950439151E-16</v>
      </c>
      <c r="BW43">
        <f t="shared" si="7"/>
        <v>-15.388286364881612</v>
      </c>
    </row>
    <row r="44" spans="1:75" x14ac:dyDescent="0.25">
      <c r="A44">
        <v>8</v>
      </c>
      <c r="B44" s="5">
        <v>7</v>
      </c>
      <c r="C44" s="1">
        <f t="shared" ca="1" si="14"/>
        <v>0.6</v>
      </c>
      <c r="D44" s="46">
        <f t="shared" ca="1" si="16"/>
        <v>9.0479212307996626</v>
      </c>
      <c r="E44" s="46">
        <f t="shared" ca="1" si="17"/>
        <v>1.5953926323149186</v>
      </c>
      <c r="F44" s="1">
        <f t="shared" ca="1" si="18"/>
        <v>2.8125</v>
      </c>
      <c r="G44">
        <f t="shared" ca="1" si="19"/>
        <v>9.0479212307996626</v>
      </c>
      <c r="H44">
        <f t="shared" ca="1" si="20"/>
        <v>1.5953926323149186</v>
      </c>
      <c r="I44" s="7">
        <f t="shared" ca="1" si="21"/>
        <v>9.0479212307996626</v>
      </c>
      <c r="J44" s="7">
        <f t="shared" ca="1" si="22"/>
        <v>1.5953926323149186</v>
      </c>
      <c r="K44">
        <f t="shared" ca="1" si="23"/>
        <v>10.404607367685081</v>
      </c>
      <c r="L44" s="15">
        <f t="shared" ca="1" si="24"/>
        <v>-1.0100664498983552E-4</v>
      </c>
      <c r="M44" s="9">
        <f t="shared" ca="1" si="15"/>
        <v>-2.9291927047052302</v>
      </c>
      <c r="N44" s="7">
        <f t="shared" ca="1" si="25"/>
        <v>-1.7575156228231381</v>
      </c>
      <c r="O44" s="7">
        <f t="shared" ca="1" si="26"/>
        <v>-2.8039274758303998</v>
      </c>
      <c r="P44" s="7">
        <f t="shared" ca="1" si="27"/>
        <v>-15.901862917203564</v>
      </c>
      <c r="Q44" s="1">
        <v>10</v>
      </c>
      <c r="R44" s="7">
        <v>1.27</v>
      </c>
      <c r="S44" s="7">
        <v>1.27</v>
      </c>
      <c r="U44">
        <f t="shared" ca="1" si="28"/>
        <v>9.0479212307996626</v>
      </c>
      <c r="V44">
        <f t="shared" ca="1" si="29"/>
        <v>1.5953926323149186</v>
      </c>
      <c r="X44" t="e">
        <f t="shared" ca="1" si="30"/>
        <v>#N/A</v>
      </c>
      <c r="Y44" t="e">
        <f t="shared" ca="1" si="31"/>
        <v>#N/A</v>
      </c>
      <c r="AJ44">
        <v>3.6651914291880892</v>
      </c>
      <c r="AK44">
        <v>-298.79565735017542</v>
      </c>
      <c r="AL44">
        <v>-172.05832425102469</v>
      </c>
      <c r="AM44">
        <v>-390.65803516755341</v>
      </c>
      <c r="AN44">
        <v>-224.95630452671853</v>
      </c>
      <c r="AQ44">
        <v>42</v>
      </c>
      <c r="AR44">
        <f t="shared" si="2"/>
        <v>8.9177379057287318</v>
      </c>
      <c r="AS44">
        <f t="shared" si="3"/>
        <v>8.0295672763062989</v>
      </c>
      <c r="AV44">
        <v>1415.0347668260536</v>
      </c>
      <c r="AW44">
        <v>20.309679714312576</v>
      </c>
      <c r="AX44">
        <v>-1.8587756047938819E-9</v>
      </c>
      <c r="AY44">
        <f t="shared" si="0"/>
        <v>20.309679714312576</v>
      </c>
      <c r="AZ44">
        <v>2176.9765643477745</v>
      </c>
      <c r="BA44">
        <v>31.245661098942424</v>
      </c>
      <c r="BB44">
        <v>-2.859654776605972E-9</v>
      </c>
      <c r="BC44">
        <f t="shared" si="1"/>
        <v>31.245661098942424</v>
      </c>
      <c r="BF44">
        <v>832.90672959613812</v>
      </c>
      <c r="BG44">
        <v>8.342593242586636</v>
      </c>
      <c r="BH44">
        <v>-6.6845896225871634E-10</v>
      </c>
      <c r="BI44">
        <f t="shared" si="4"/>
        <v>8.342593242586636</v>
      </c>
      <c r="BJ44">
        <v>1281.3949686094431</v>
      </c>
      <c r="BK44">
        <v>12.834758834748671</v>
      </c>
      <c r="BL44">
        <v>-1.0283984034749481E-9</v>
      </c>
      <c r="BM44">
        <f t="shared" si="5"/>
        <v>12.834758834748671</v>
      </c>
      <c r="BP44">
        <v>836.25646842970434</v>
      </c>
      <c r="BQ44">
        <v>-8.9168417750717985</v>
      </c>
      <c r="BR44">
        <v>8.4416650530029834E-10</v>
      </c>
      <c r="BS44">
        <f t="shared" si="6"/>
        <v>-8.9168417750717985</v>
      </c>
      <c r="BT44">
        <v>1286.5484129687759</v>
      </c>
      <c r="BU44">
        <v>-13.718218115495075</v>
      </c>
      <c r="BV44">
        <v>1.2987177004619975E-9</v>
      </c>
      <c r="BW44">
        <f t="shared" si="7"/>
        <v>-13.718218115495075</v>
      </c>
    </row>
    <row r="45" spans="1:75" x14ac:dyDescent="0.25">
      <c r="A45">
        <v>9</v>
      </c>
      <c r="B45" s="5">
        <v>7</v>
      </c>
      <c r="C45" s="1">
        <f t="shared" ca="1" si="14"/>
        <v>0.6</v>
      </c>
      <c r="D45" s="46">
        <f t="shared" ca="1" si="16"/>
        <v>5.9056111639950828</v>
      </c>
      <c r="E45" s="46">
        <f t="shared" ca="1" si="17"/>
        <v>7.0380333211556083</v>
      </c>
      <c r="F45" s="1">
        <f t="shared" ca="1" si="18"/>
        <v>2.8125</v>
      </c>
      <c r="G45">
        <f t="shared" ca="1" si="19"/>
        <v>5.9056111639950828</v>
      </c>
      <c r="H45">
        <f t="shared" ca="1" si="20"/>
        <v>7.0380333211556083</v>
      </c>
      <c r="I45" s="7">
        <f t="shared" ca="1" si="21"/>
        <v>5.9056111639950828</v>
      </c>
      <c r="J45" s="7">
        <f t="shared" ca="1" si="22"/>
        <v>7.0380333211556083</v>
      </c>
      <c r="K45">
        <f t="shared" ca="1" si="23"/>
        <v>4.9619666788443917</v>
      </c>
      <c r="L45" s="15">
        <f t="shared" ca="1" si="24"/>
        <v>1.5211271219032962E-3</v>
      </c>
      <c r="M45" s="9">
        <f t="shared" ca="1" si="15"/>
        <v>40.174540153682024</v>
      </c>
      <c r="N45" s="7">
        <f t="shared" ca="1" si="25"/>
        <v>24.104724092209214</v>
      </c>
      <c r="O45" s="7">
        <f t="shared" ca="1" si="26"/>
        <v>169.64985135823082</v>
      </c>
      <c r="P45" s="7">
        <f t="shared" ca="1" si="27"/>
        <v>142.35312770397198</v>
      </c>
      <c r="Q45" s="1">
        <v>11</v>
      </c>
      <c r="R45" s="7">
        <v>1.41</v>
      </c>
      <c r="S45" s="7">
        <v>1.56</v>
      </c>
      <c r="U45" t="e">
        <f t="shared" ca="1" si="28"/>
        <v>#N/A</v>
      </c>
      <c r="V45" t="e">
        <f t="shared" ca="1" si="29"/>
        <v>#N/A</v>
      </c>
      <c r="X45">
        <f t="shared" ca="1" si="30"/>
        <v>5.9056111639950828</v>
      </c>
      <c r="Y45">
        <f t="shared" ca="1" si="31"/>
        <v>7.0380333211556083</v>
      </c>
      <c r="AJ45">
        <v>3.7524578917878055</v>
      </c>
      <c r="AK45">
        <v>-283.8564415023348</v>
      </c>
      <c r="AL45">
        <v>-198.1977834833225</v>
      </c>
      <c r="AM45">
        <v>-368.33488729631944</v>
      </c>
      <c r="AN45">
        <v>-257.1833771160322</v>
      </c>
      <c r="AQ45">
        <v>43</v>
      </c>
      <c r="AR45">
        <f t="shared" si="2"/>
        <v>8.7762444194300464</v>
      </c>
      <c r="AS45">
        <f t="shared" si="3"/>
        <v>8.1839803207499813</v>
      </c>
      <c r="AV45">
        <v>1418.5156039871986</v>
      </c>
      <c r="AW45">
        <v>18.119911055807144</v>
      </c>
      <c r="AX45">
        <v>-1.6091526635927718E-9</v>
      </c>
      <c r="AY45">
        <f t="shared" si="0"/>
        <v>18.119911055807144</v>
      </c>
      <c r="AZ45">
        <v>2182.3316984418439</v>
      </c>
      <c r="BA45">
        <v>27.876786239703296</v>
      </c>
      <c r="BB45">
        <v>-2.4756194824504179E-9</v>
      </c>
      <c r="BC45">
        <f t="shared" si="1"/>
        <v>27.876786239703296</v>
      </c>
      <c r="BF45">
        <v>834.40391577046546</v>
      </c>
      <c r="BG45">
        <v>7.8648751893939215</v>
      </c>
      <c r="BH45">
        <v>-1.5395092608135505E-15</v>
      </c>
      <c r="BI45">
        <f t="shared" si="4"/>
        <v>7.8648751893939215</v>
      </c>
      <c r="BJ45">
        <v>1283.6983319545623</v>
      </c>
      <c r="BK45">
        <v>12.099807983682956</v>
      </c>
      <c r="BL45">
        <v>-2.3684757858670005E-15</v>
      </c>
      <c r="BM45">
        <f t="shared" si="5"/>
        <v>12.099807983682956</v>
      </c>
      <c r="BP45">
        <v>838.43773044170621</v>
      </c>
      <c r="BQ45">
        <v>-7.9293980438428413</v>
      </c>
      <c r="BR45">
        <v>-4.2759579649627497E-15</v>
      </c>
      <c r="BS45">
        <f t="shared" si="6"/>
        <v>-7.9293980438428413</v>
      </c>
      <c r="BT45">
        <v>1289.904200679548</v>
      </c>
      <c r="BU45">
        <v>-12.199073913604371</v>
      </c>
      <c r="BV45">
        <v>-6.5783968691734611E-15</v>
      </c>
      <c r="BW45">
        <f t="shared" si="7"/>
        <v>-12.199073913604371</v>
      </c>
    </row>
    <row r="46" spans="1:75" x14ac:dyDescent="0.25">
      <c r="A46">
        <v>10</v>
      </c>
      <c r="B46" s="5">
        <v>7</v>
      </c>
      <c r="C46" s="1">
        <f t="shared" ca="1" si="14"/>
        <v>0</v>
      </c>
      <c r="D46" s="46">
        <f t="shared" si="16"/>
        <v>0</v>
      </c>
      <c r="E46" s="46">
        <f t="shared" si="17"/>
        <v>0</v>
      </c>
      <c r="F46" s="1">
        <f t="shared" ca="1" si="18"/>
        <v>2.8125</v>
      </c>
      <c r="G46" t="e">
        <f t="shared" ca="1" si="19"/>
        <v>#N/A</v>
      </c>
      <c r="H46" t="e">
        <f t="shared" ca="1" si="20"/>
        <v>#N/A</v>
      </c>
      <c r="I46" s="7">
        <f t="shared" si="21"/>
        <v>0</v>
      </c>
      <c r="J46" s="7">
        <f t="shared" si="22"/>
        <v>0</v>
      </c>
      <c r="K46">
        <f t="shared" si="23"/>
        <v>12</v>
      </c>
      <c r="L46" s="15">
        <f t="shared" ca="1" si="24"/>
        <v>0</v>
      </c>
      <c r="M46" s="9">
        <f t="shared" ca="1" si="15"/>
        <v>0</v>
      </c>
      <c r="N46" s="7">
        <f t="shared" ca="1" si="25"/>
        <v>0</v>
      </c>
      <c r="O46" s="7">
        <f t="shared" ca="1" si="26"/>
        <v>0</v>
      </c>
      <c r="P46" s="7">
        <f t="shared" ca="1" si="27"/>
        <v>0</v>
      </c>
      <c r="Q46" s="1">
        <v>14</v>
      </c>
      <c r="R46" s="7">
        <v>1.6930000000000001</v>
      </c>
      <c r="S46" s="7">
        <v>2.25</v>
      </c>
      <c r="U46" t="e">
        <f t="shared" ca="1" si="28"/>
        <v>#N/A</v>
      </c>
      <c r="V46" t="e">
        <f t="shared" ca="1" si="29"/>
        <v>#N/A</v>
      </c>
      <c r="X46" t="e">
        <f t="shared" ca="1" si="30"/>
        <v>#N/A</v>
      </c>
      <c r="Y46" t="e">
        <f t="shared" ca="1" si="31"/>
        <v>#N/A</v>
      </c>
      <c r="AJ46">
        <v>3.8397243543875219</v>
      </c>
      <c r="AK46">
        <v>-265.16409248950049</v>
      </c>
      <c r="AL46">
        <v>-222.49909220939659</v>
      </c>
      <c r="AM46">
        <v>-343.7579033637125</v>
      </c>
      <c r="AN46">
        <v>-288.44712992676438</v>
      </c>
      <c r="AQ46">
        <v>44</v>
      </c>
      <c r="AR46">
        <f t="shared" si="2"/>
        <v>8.6320776040638147</v>
      </c>
      <c r="AS46">
        <f t="shared" si="3"/>
        <v>8.335900445507967</v>
      </c>
      <c r="AV46">
        <v>1421.6590212637425</v>
      </c>
      <c r="AW46">
        <v>16.132117975878959</v>
      </c>
      <c r="AX46">
        <v>-1.3801597056985147E-9</v>
      </c>
      <c r="AY46">
        <f t="shared" si="0"/>
        <v>16.132117975878959</v>
      </c>
      <c r="AZ46">
        <v>2187.1677250211424</v>
      </c>
      <c r="BA46">
        <v>24.818643039813782</v>
      </c>
      <c r="BB46">
        <v>-2.1233226241515609E-9</v>
      </c>
      <c r="BC46">
        <f t="shared" si="1"/>
        <v>24.818643039813782</v>
      </c>
      <c r="BF46">
        <v>835.83305049778812</v>
      </c>
      <c r="BG46">
        <v>7.4088708050404337</v>
      </c>
      <c r="BH46">
        <v>-5.3667183287296469E-10</v>
      </c>
      <c r="BI46">
        <f t="shared" si="4"/>
        <v>7.4088708050404337</v>
      </c>
      <c r="BJ46">
        <v>1285.8970007658279</v>
      </c>
      <c r="BK46">
        <v>11.398262776985282</v>
      </c>
      <c r="BL46">
        <v>-8.256489736507149E-10</v>
      </c>
      <c r="BM46">
        <f t="shared" si="5"/>
        <v>11.398262776985282</v>
      </c>
      <c r="BP46">
        <v>840.4194189896017</v>
      </c>
      <c r="BQ46">
        <v>-7.029959746315499</v>
      </c>
      <c r="BR46">
        <v>-6.7823482868672763E-16</v>
      </c>
      <c r="BS46">
        <f t="shared" si="6"/>
        <v>-7.029959746315499</v>
      </c>
      <c r="BT46">
        <v>1292.9529522916948</v>
      </c>
      <c r="BU46">
        <v>-10.815322686639229</v>
      </c>
      <c r="BV46">
        <v>-1.0434381979795809E-15</v>
      </c>
      <c r="BW46">
        <f t="shared" si="7"/>
        <v>-10.815322686639229</v>
      </c>
    </row>
    <row r="47" spans="1:75" x14ac:dyDescent="0.25">
      <c r="A47">
        <v>11</v>
      </c>
      <c r="B47" s="5">
        <v>7</v>
      </c>
      <c r="C47" s="1">
        <f t="shared" ca="1" si="14"/>
        <v>0</v>
      </c>
      <c r="D47" s="46">
        <f t="shared" si="16"/>
        <v>0</v>
      </c>
      <c r="E47" s="46">
        <f t="shared" si="17"/>
        <v>0</v>
      </c>
      <c r="F47" s="1">
        <f t="shared" ca="1" si="18"/>
        <v>2.8125</v>
      </c>
      <c r="G47" t="e">
        <f t="shared" ca="1" si="19"/>
        <v>#N/A</v>
      </c>
      <c r="H47" t="e">
        <f t="shared" ca="1" si="20"/>
        <v>#N/A</v>
      </c>
      <c r="I47" s="7">
        <f t="shared" si="21"/>
        <v>0</v>
      </c>
      <c r="J47" s="7">
        <f t="shared" si="22"/>
        <v>0</v>
      </c>
      <c r="K47">
        <f t="shared" si="23"/>
        <v>12</v>
      </c>
      <c r="L47" s="15">
        <f t="shared" ca="1" si="24"/>
        <v>0</v>
      </c>
      <c r="M47" s="9">
        <f t="shared" ca="1" si="15"/>
        <v>0</v>
      </c>
      <c r="N47" s="7">
        <f t="shared" ca="1" si="25"/>
        <v>0</v>
      </c>
      <c r="O47" s="7">
        <f t="shared" ca="1" si="26"/>
        <v>0</v>
      </c>
      <c r="P47" s="7">
        <f t="shared" ca="1" si="27"/>
        <v>0</v>
      </c>
      <c r="Q47" s="1">
        <v>18</v>
      </c>
      <c r="R47" s="7">
        <v>2.2570000000000001</v>
      </c>
      <c r="S47" s="7">
        <v>4</v>
      </c>
      <c r="U47" t="e">
        <f t="shared" ca="1" si="28"/>
        <v>#N/A</v>
      </c>
      <c r="V47" t="e">
        <f t="shared" ca="1" si="29"/>
        <v>#N/A</v>
      </c>
      <c r="X47" t="e">
        <f t="shared" ca="1" si="30"/>
        <v>#N/A</v>
      </c>
      <c r="Y47" t="e">
        <f t="shared" ca="1" si="31"/>
        <v>#N/A</v>
      </c>
      <c r="AJ47">
        <v>3.9269908169872383</v>
      </c>
      <c r="AK47">
        <v>-244.47786759011274</v>
      </c>
      <c r="AL47">
        <v>-245.1273404144504</v>
      </c>
      <c r="AM47">
        <v>-317.2368656798933</v>
      </c>
      <c r="AN47">
        <v>-318.07962795186546</v>
      </c>
      <c r="AQ47">
        <v>45</v>
      </c>
      <c r="AR47">
        <f t="shared" si="2"/>
        <v>8.4852813742385713</v>
      </c>
      <c r="AS47">
        <f t="shared" si="3"/>
        <v>8.4852813742385695</v>
      </c>
      <c r="AV47">
        <v>1424.5031611981899</v>
      </c>
      <c r="AW47">
        <v>14.325523429283836</v>
      </c>
      <c r="AX47">
        <v>-1.1698060315043491E-9</v>
      </c>
      <c r="AY47">
        <f t="shared" si="0"/>
        <v>14.325523429283836</v>
      </c>
      <c r="AZ47">
        <v>2191.543324920292</v>
      </c>
      <c r="BA47">
        <v>22.039266814282822</v>
      </c>
      <c r="BB47">
        <v>-1.7997015869297679E-9</v>
      </c>
      <c r="BC47">
        <f t="shared" si="1"/>
        <v>22.039266814282822</v>
      </c>
      <c r="BF47">
        <v>837.19867038023744</v>
      </c>
      <c r="BG47">
        <v>6.9731325629757475</v>
      </c>
      <c r="BH47">
        <v>-4.7516881355502478E-10</v>
      </c>
      <c r="BI47">
        <f t="shared" si="4"/>
        <v>6.9731325629757475</v>
      </c>
      <c r="BJ47">
        <v>1287.9979544311345</v>
      </c>
      <c r="BK47">
        <v>10.727896250731918</v>
      </c>
      <c r="BL47">
        <v>-7.3102894393080729E-10</v>
      </c>
      <c r="BM47">
        <f t="shared" si="5"/>
        <v>10.727896250731918</v>
      </c>
      <c r="BP47">
        <v>842.22361633949583</v>
      </c>
      <c r="BQ47">
        <v>-6.2095813655509939</v>
      </c>
      <c r="BR47">
        <v>5.2032073521620059E-10</v>
      </c>
      <c r="BS47">
        <f t="shared" si="6"/>
        <v>-6.2095813655509939</v>
      </c>
      <c r="BT47">
        <v>1295.7286405223012</v>
      </c>
      <c r="BU47">
        <v>-9.5532021008476828</v>
      </c>
      <c r="BV47">
        <v>8.0049343879415473E-10</v>
      </c>
      <c r="BW47">
        <f t="shared" si="7"/>
        <v>-9.5532021008476828</v>
      </c>
    </row>
    <row r="48" spans="1:75" x14ac:dyDescent="0.25">
      <c r="A48">
        <v>12</v>
      </c>
      <c r="B48" s="5">
        <v>7</v>
      </c>
      <c r="C48" s="1">
        <f t="shared" ca="1" si="14"/>
        <v>0</v>
      </c>
      <c r="D48" s="46">
        <f t="shared" si="16"/>
        <v>0</v>
      </c>
      <c r="E48" s="46">
        <f t="shared" si="17"/>
        <v>0</v>
      </c>
      <c r="F48" s="1">
        <f t="shared" ca="1" si="18"/>
        <v>2.8125</v>
      </c>
      <c r="G48" t="e">
        <f t="shared" ca="1" si="19"/>
        <v>#N/A</v>
      </c>
      <c r="H48" t="e">
        <f t="shared" ca="1" si="20"/>
        <v>#N/A</v>
      </c>
      <c r="I48" s="7">
        <f t="shared" si="21"/>
        <v>0</v>
      </c>
      <c r="J48" s="7">
        <f t="shared" si="22"/>
        <v>0</v>
      </c>
      <c r="K48">
        <f t="shared" si="23"/>
        <v>12</v>
      </c>
      <c r="L48" s="15">
        <f t="shared" ca="1" si="24"/>
        <v>0</v>
      </c>
      <c r="M48" s="9">
        <f t="shared" ca="1" si="15"/>
        <v>0</v>
      </c>
      <c r="N48" s="7">
        <f t="shared" ca="1" si="25"/>
        <v>0</v>
      </c>
      <c r="O48" s="7">
        <f t="shared" ca="1" si="26"/>
        <v>0</v>
      </c>
      <c r="P48" s="7">
        <f t="shared" ca="1" si="27"/>
        <v>0</v>
      </c>
      <c r="U48" t="e">
        <f t="shared" ca="1" si="28"/>
        <v>#N/A</v>
      </c>
      <c r="V48" t="e">
        <f t="shared" ca="1" si="29"/>
        <v>#N/A</v>
      </c>
      <c r="X48" t="e">
        <f t="shared" ca="1" si="30"/>
        <v>#N/A</v>
      </c>
      <c r="Y48" t="e">
        <f t="shared" ca="1" si="31"/>
        <v>#N/A</v>
      </c>
      <c r="AJ48">
        <v>4.0142572795869551</v>
      </c>
      <c r="AK48">
        <v>-221.32969308634964</v>
      </c>
      <c r="AL48">
        <v>-264.37866546621439</v>
      </c>
      <c r="AM48">
        <v>-289.3757686846788</v>
      </c>
      <c r="AN48">
        <v>-345.6598094737688</v>
      </c>
      <c r="AQ48">
        <v>46</v>
      </c>
      <c r="AR48">
        <f t="shared" si="2"/>
        <v>8.335900445507967</v>
      </c>
      <c r="AS48">
        <f t="shared" si="3"/>
        <v>8.632077604063813</v>
      </c>
      <c r="AV48">
        <v>1427.0815004795377</v>
      </c>
      <c r="AW48">
        <v>12.681681198584144</v>
      </c>
      <c r="AX48">
        <v>-9.7621462366818266E-10</v>
      </c>
      <c r="AY48">
        <f t="shared" si="0"/>
        <v>12.681681198584144</v>
      </c>
      <c r="AZ48">
        <v>2195.51000073775</v>
      </c>
      <c r="BA48">
        <v>19.51027876705253</v>
      </c>
      <c r="BB48">
        <v>-1.501868651797204E-9</v>
      </c>
      <c r="BC48">
        <f t="shared" si="1"/>
        <v>19.51027876705253</v>
      </c>
      <c r="BF48">
        <v>838.50491754649818</v>
      </c>
      <c r="BG48">
        <v>6.5563388041535093</v>
      </c>
      <c r="BH48">
        <v>-4.1634011309456224E-10</v>
      </c>
      <c r="BI48">
        <f t="shared" si="4"/>
        <v>6.5563388041535093</v>
      </c>
      <c r="BJ48">
        <v>1290.007565456151</v>
      </c>
      <c r="BK48">
        <v>10.086675083313091</v>
      </c>
      <c r="BL48">
        <v>-6.4052325091471109E-10</v>
      </c>
      <c r="BM48">
        <f t="shared" si="5"/>
        <v>10.086675083313091</v>
      </c>
      <c r="BP48">
        <v>843.86972778564495</v>
      </c>
      <c r="BQ48">
        <v>-5.4603158367286033</v>
      </c>
      <c r="BR48">
        <v>-8.7053950974543886E-16</v>
      </c>
      <c r="BS48">
        <f t="shared" si="6"/>
        <v>-5.4603158367286033</v>
      </c>
      <c r="BT48">
        <v>1298.261119670223</v>
      </c>
      <c r="BU48">
        <v>-8.4004859026593888</v>
      </c>
      <c r="BV48">
        <v>-1.3392915534545213E-15</v>
      </c>
      <c r="BW48">
        <f t="shared" si="7"/>
        <v>-8.4004859026593888</v>
      </c>
    </row>
    <row r="49" spans="1:75" x14ac:dyDescent="0.25">
      <c r="A49">
        <v>13</v>
      </c>
      <c r="B49" s="5">
        <v>7</v>
      </c>
      <c r="C49" s="1">
        <f t="shared" ca="1" si="14"/>
        <v>0</v>
      </c>
      <c r="D49" s="46">
        <f t="shared" si="16"/>
        <v>0</v>
      </c>
      <c r="E49" s="46">
        <f t="shared" si="17"/>
        <v>0</v>
      </c>
      <c r="F49" s="1">
        <f t="shared" ca="1" si="18"/>
        <v>2.8125</v>
      </c>
      <c r="G49" t="e">
        <f t="shared" ca="1" si="19"/>
        <v>#N/A</v>
      </c>
      <c r="H49" t="e">
        <f t="shared" ca="1" si="20"/>
        <v>#N/A</v>
      </c>
      <c r="I49" s="7">
        <f t="shared" si="21"/>
        <v>0</v>
      </c>
      <c r="J49" s="7">
        <f t="shared" si="22"/>
        <v>0</v>
      </c>
      <c r="K49">
        <f t="shared" si="23"/>
        <v>12</v>
      </c>
      <c r="L49" s="15">
        <f t="shared" ca="1" si="24"/>
        <v>0</v>
      </c>
      <c r="M49" s="9">
        <f t="shared" ca="1" si="15"/>
        <v>0</v>
      </c>
      <c r="N49" s="7">
        <f t="shared" ca="1" si="25"/>
        <v>0</v>
      </c>
      <c r="O49" s="7">
        <f t="shared" ca="1" si="26"/>
        <v>0</v>
      </c>
      <c r="P49" s="7">
        <f t="shared" ca="1" si="27"/>
        <v>0</v>
      </c>
      <c r="U49" t="e">
        <f t="shared" ca="1" si="28"/>
        <v>#N/A</v>
      </c>
      <c r="V49" t="e">
        <f t="shared" ca="1" si="29"/>
        <v>#N/A</v>
      </c>
      <c r="X49" t="e">
        <f t="shared" ca="1" si="30"/>
        <v>#N/A</v>
      </c>
      <c r="Y49" t="e">
        <f t="shared" ca="1" si="31"/>
        <v>#N/A</v>
      </c>
      <c r="AJ49">
        <v>4.1015237421866715</v>
      </c>
      <c r="AK49">
        <v>-196.09196529742596</v>
      </c>
      <c r="AL49">
        <v>-281.09698893150556</v>
      </c>
      <c r="AM49">
        <v>-259.43475149880913</v>
      </c>
      <c r="AN49">
        <v>-371.89860053621447</v>
      </c>
      <c r="AQ49">
        <v>47</v>
      </c>
      <c r="AR49">
        <f t="shared" si="2"/>
        <v>8.1839803207499813</v>
      </c>
      <c r="AS49">
        <f t="shared" si="3"/>
        <v>8.7762444194300464</v>
      </c>
      <c r="AV49">
        <v>1429.4234840089766</v>
      </c>
      <c r="AW49">
        <v>11.184174876761112</v>
      </c>
      <c r="AX49">
        <v>-7.9780120306999952E-10</v>
      </c>
      <c r="AY49">
        <f t="shared" si="0"/>
        <v>11.184174876761112</v>
      </c>
      <c r="AZ49">
        <v>2199.1130523215024</v>
      </c>
      <c r="BA49">
        <v>17.206422887324788</v>
      </c>
      <c r="BB49">
        <v>-1.2273864662615376E-9</v>
      </c>
      <c r="BC49">
        <f t="shared" si="1"/>
        <v>17.206422887324788</v>
      </c>
      <c r="BF49">
        <v>839.75558161564311</v>
      </c>
      <c r="BG49">
        <v>6.1572803473263935</v>
      </c>
      <c r="BH49">
        <v>-3.6001821132968782E-10</v>
      </c>
      <c r="BI49">
        <f t="shared" si="4"/>
        <v>6.1572803473263935</v>
      </c>
      <c r="BJ49">
        <v>1291.9316640240663</v>
      </c>
      <c r="BK49">
        <v>9.4727389958867594</v>
      </c>
      <c r="BL49">
        <v>-5.5387417127644281E-10</v>
      </c>
      <c r="BM49">
        <f t="shared" si="5"/>
        <v>9.4727389958867594</v>
      </c>
      <c r="BP49">
        <v>845.37484367033107</v>
      </c>
      <c r="BQ49">
        <v>-4.7750860014820224</v>
      </c>
      <c r="BR49">
        <v>5.8501892367714809E-16</v>
      </c>
      <c r="BS49">
        <f t="shared" si="6"/>
        <v>-4.7750860014820224</v>
      </c>
      <c r="BT49">
        <v>1300.5766825697401</v>
      </c>
      <c r="BU49">
        <v>-7.3462861561261885</v>
      </c>
      <c r="BV49">
        <v>9.0002911334945855E-16</v>
      </c>
      <c r="BW49">
        <f t="shared" si="7"/>
        <v>-7.3462861561261885</v>
      </c>
    </row>
    <row r="50" spans="1:75" x14ac:dyDescent="0.25">
      <c r="A50">
        <v>14</v>
      </c>
      <c r="B50" s="5">
        <v>7</v>
      </c>
      <c r="C50" s="1">
        <f t="shared" ca="1" si="14"/>
        <v>0</v>
      </c>
      <c r="D50" s="46">
        <f t="shared" si="16"/>
        <v>0</v>
      </c>
      <c r="E50" s="46">
        <f t="shared" si="17"/>
        <v>0</v>
      </c>
      <c r="F50" s="1">
        <f t="shared" ca="1" si="18"/>
        <v>2.8125</v>
      </c>
      <c r="G50" t="e">
        <f t="shared" ca="1" si="19"/>
        <v>#N/A</v>
      </c>
      <c r="H50" t="e">
        <f t="shared" ca="1" si="20"/>
        <v>#N/A</v>
      </c>
      <c r="I50" s="7">
        <f t="shared" si="21"/>
        <v>0</v>
      </c>
      <c r="J50" s="7">
        <f t="shared" si="22"/>
        <v>0</v>
      </c>
      <c r="K50">
        <f t="shared" si="23"/>
        <v>12</v>
      </c>
      <c r="L50" s="15">
        <f t="shared" ca="1" si="24"/>
        <v>0</v>
      </c>
      <c r="M50" s="9">
        <f t="shared" ca="1" si="15"/>
        <v>0</v>
      </c>
      <c r="N50" s="7">
        <f t="shared" ca="1" si="25"/>
        <v>0</v>
      </c>
      <c r="O50" s="7">
        <f t="shared" ca="1" si="26"/>
        <v>0</v>
      </c>
      <c r="P50" s="7">
        <f t="shared" ca="1" si="27"/>
        <v>0</v>
      </c>
      <c r="U50" t="e">
        <f t="shared" ca="1" si="28"/>
        <v>#N/A</v>
      </c>
      <c r="V50" t="e">
        <f t="shared" ca="1" si="29"/>
        <v>#N/A</v>
      </c>
      <c r="X50" t="e">
        <f t="shared" ca="1" si="30"/>
        <v>#N/A</v>
      </c>
      <c r="Y50" t="e">
        <f t="shared" ca="1" si="31"/>
        <v>#N/A</v>
      </c>
      <c r="AJ50">
        <v>4.1887902047863879</v>
      </c>
      <c r="AK50">
        <v>-169.87619938212703</v>
      </c>
      <c r="AL50">
        <v>-294.23420832654284</v>
      </c>
      <c r="AM50">
        <v>-227.77661913483834</v>
      </c>
      <c r="AN50">
        <v>-394.52067711780279</v>
      </c>
      <c r="AQ50">
        <v>48</v>
      </c>
      <c r="AR50">
        <f t="shared" si="2"/>
        <v>8.0295672763062989</v>
      </c>
      <c r="AS50">
        <f t="shared" si="3"/>
        <v>8.9177379057287318</v>
      </c>
      <c r="AV50">
        <v>1431.5550628097026</v>
      </c>
      <c r="AW50">
        <v>9.8183611935211488</v>
      </c>
      <c r="AX50">
        <v>-6.3308656712845993E-10</v>
      </c>
      <c r="AY50">
        <f t="shared" si="0"/>
        <v>9.8183611935211488</v>
      </c>
      <c r="AZ50">
        <v>2202.3924043226193</v>
      </c>
      <c r="BA50">
        <v>15.105171066955613</v>
      </c>
      <c r="BB50">
        <v>-9.739793340437844E-10</v>
      </c>
      <c r="BC50">
        <f t="shared" si="1"/>
        <v>15.105171066955613</v>
      </c>
      <c r="BF50">
        <v>840.95413641566245</v>
      </c>
      <c r="BG50">
        <v>5.7748487729985296</v>
      </c>
      <c r="BH50">
        <v>0</v>
      </c>
      <c r="BI50">
        <f t="shared" si="4"/>
        <v>5.7748487729985296</v>
      </c>
      <c r="BJ50">
        <v>1293.7755944856344</v>
      </c>
      <c r="BK50">
        <v>8.8843827276900456</v>
      </c>
      <c r="BL50">
        <v>0</v>
      </c>
      <c r="BM50">
        <f t="shared" si="5"/>
        <v>8.8843827276900456</v>
      </c>
      <c r="BP50">
        <v>846.75404667331452</v>
      </c>
      <c r="BQ50">
        <v>-4.1475749570746618</v>
      </c>
      <c r="BR50">
        <v>2.6475402181286553E-10</v>
      </c>
      <c r="BS50">
        <f t="shared" si="6"/>
        <v>-4.1475749570746618</v>
      </c>
      <c r="BT50">
        <v>1302.6985333435607</v>
      </c>
      <c r="BU50">
        <v>-6.380884549345633</v>
      </c>
      <c r="BV50">
        <v>4.073138797121008E-10</v>
      </c>
      <c r="BW50">
        <f t="shared" si="7"/>
        <v>-6.380884549345633</v>
      </c>
    </row>
    <row r="51" spans="1:75" x14ac:dyDescent="0.25">
      <c r="A51">
        <v>15</v>
      </c>
      <c r="B51" s="5">
        <v>7</v>
      </c>
      <c r="C51" s="1">
        <f t="shared" ca="1" si="14"/>
        <v>0</v>
      </c>
      <c r="D51" s="46">
        <f t="shared" si="16"/>
        <v>0</v>
      </c>
      <c r="E51" s="46">
        <f t="shared" si="17"/>
        <v>0</v>
      </c>
      <c r="F51" s="1">
        <f t="shared" ca="1" si="18"/>
        <v>2.8125</v>
      </c>
      <c r="G51" t="e">
        <f t="shared" ca="1" si="19"/>
        <v>#N/A</v>
      </c>
      <c r="H51" t="e">
        <f t="shared" ca="1" si="20"/>
        <v>#N/A</v>
      </c>
      <c r="I51" s="7">
        <f t="shared" si="21"/>
        <v>0</v>
      </c>
      <c r="J51" s="7">
        <f t="shared" si="22"/>
        <v>0</v>
      </c>
      <c r="K51">
        <f t="shared" si="23"/>
        <v>12</v>
      </c>
      <c r="L51" s="15">
        <f t="shared" ca="1" si="24"/>
        <v>0</v>
      </c>
      <c r="M51" s="9">
        <f t="shared" ca="1" si="15"/>
        <v>0</v>
      </c>
      <c r="N51" s="7">
        <f t="shared" ca="1" si="25"/>
        <v>0</v>
      </c>
      <c r="O51" s="7">
        <f t="shared" ca="1" si="26"/>
        <v>0</v>
      </c>
      <c r="P51" s="7">
        <f t="shared" ca="1" si="27"/>
        <v>0</v>
      </c>
      <c r="U51" t="e">
        <f t="shared" ca="1" si="28"/>
        <v>#N/A</v>
      </c>
      <c r="V51" t="e">
        <f t="shared" ca="1" si="29"/>
        <v>#N/A</v>
      </c>
      <c r="X51" t="e">
        <f t="shared" ca="1" si="30"/>
        <v>#N/A</v>
      </c>
      <c r="Y51" t="e">
        <f t="shared" ca="1" si="31"/>
        <v>#N/A</v>
      </c>
      <c r="AJ51">
        <v>4.2760566673861042</v>
      </c>
      <c r="AK51">
        <v>-145.39115069328602</v>
      </c>
      <c r="AL51">
        <v>-310.36911789133933</v>
      </c>
      <c r="AM51">
        <v>-192.35625994684099</v>
      </c>
      <c r="AN51">
        <v>-410.62638569057799</v>
      </c>
      <c r="AQ51">
        <v>49</v>
      </c>
      <c r="AR51">
        <f t="shared" si="2"/>
        <v>7.8727083478860873</v>
      </c>
      <c r="AS51">
        <f t="shared" si="3"/>
        <v>9.0565149626732637</v>
      </c>
      <c r="AV51">
        <v>1433.4991518747972</v>
      </c>
      <c r="AW51">
        <v>8.5711504170839259</v>
      </c>
      <c r="AX51">
        <v>-4.808607494866312E-10</v>
      </c>
      <c r="AY51">
        <f t="shared" si="0"/>
        <v>8.5711504170839259</v>
      </c>
      <c r="AZ51">
        <v>2205.3833105766112</v>
      </c>
      <c r="BA51">
        <v>13.186385257052192</v>
      </c>
      <c r="BB51">
        <v>-7.3978576844097109E-10</v>
      </c>
      <c r="BC51">
        <f t="shared" si="1"/>
        <v>13.186385257052192</v>
      </c>
      <c r="BF51">
        <v>842.1037722059931</v>
      </c>
      <c r="BG51">
        <v>5.4080261419491942</v>
      </c>
      <c r="BH51">
        <v>-2.5426522908523646E-10</v>
      </c>
      <c r="BI51">
        <f t="shared" si="4"/>
        <v>5.4080261419491942</v>
      </c>
      <c r="BJ51">
        <v>1295.544264932297</v>
      </c>
      <c r="BK51">
        <v>8.3200402183833759</v>
      </c>
      <c r="BL51">
        <v>-3.911772755157484E-10</v>
      </c>
      <c r="BM51">
        <f t="shared" si="5"/>
        <v>8.3200402183833759</v>
      </c>
      <c r="BP51">
        <v>848.02067351174549</v>
      </c>
      <c r="BQ51">
        <v>-3.5721322083469391</v>
      </c>
      <c r="BR51">
        <v>4.3763922557855699E-16</v>
      </c>
      <c r="BS51">
        <f t="shared" si="6"/>
        <v>-3.5721322083469391</v>
      </c>
      <c r="BT51">
        <v>1304.64719001807</v>
      </c>
      <c r="BU51">
        <v>-5.4955880128414449</v>
      </c>
      <c r="BV51">
        <v>6.7329111627470302E-16</v>
      </c>
      <c r="BW51">
        <f t="shared" si="7"/>
        <v>-5.4955880128414449</v>
      </c>
    </row>
    <row r="52" spans="1:75" x14ac:dyDescent="0.25">
      <c r="A52">
        <v>16</v>
      </c>
      <c r="B52" s="5">
        <v>7</v>
      </c>
      <c r="C52" s="1">
        <f t="shared" ca="1" si="14"/>
        <v>0</v>
      </c>
      <c r="D52" s="46">
        <f t="shared" si="16"/>
        <v>0</v>
      </c>
      <c r="E52" s="46">
        <f t="shared" si="17"/>
        <v>0</v>
      </c>
      <c r="F52" s="1">
        <f t="shared" ca="1" si="18"/>
        <v>2.8125</v>
      </c>
      <c r="G52" t="e">
        <f t="shared" ca="1" si="19"/>
        <v>#N/A</v>
      </c>
      <c r="H52" t="e">
        <f t="shared" ca="1" si="20"/>
        <v>#N/A</v>
      </c>
      <c r="I52" s="7">
        <f t="shared" si="21"/>
        <v>0</v>
      </c>
      <c r="J52" s="7">
        <f t="shared" si="22"/>
        <v>0</v>
      </c>
      <c r="K52">
        <f t="shared" si="23"/>
        <v>12</v>
      </c>
      <c r="L52" s="15">
        <f t="shared" ca="1" si="24"/>
        <v>0</v>
      </c>
      <c r="M52" s="9">
        <f t="shared" ca="1" si="15"/>
        <v>0</v>
      </c>
      <c r="N52" s="7">
        <f t="shared" ca="1" si="25"/>
        <v>0</v>
      </c>
      <c r="O52" s="7">
        <f t="shared" ca="1" si="26"/>
        <v>0</v>
      </c>
      <c r="P52" s="7">
        <f t="shared" ca="1" si="27"/>
        <v>0</v>
      </c>
      <c r="U52" t="e">
        <f t="shared" ca="1" si="28"/>
        <v>#N/A</v>
      </c>
      <c r="V52" t="e">
        <f t="shared" ca="1" si="29"/>
        <v>#N/A</v>
      </c>
      <c r="X52" t="e">
        <f t="shared" ca="1" si="30"/>
        <v>#N/A</v>
      </c>
      <c r="Y52" t="e">
        <f t="shared" ca="1" si="31"/>
        <v>#N/A</v>
      </c>
      <c r="AJ52">
        <v>4.3633231299858206</v>
      </c>
      <c r="AK52">
        <v>-118.29379396919663</v>
      </c>
      <c r="AL52">
        <v>-323.86646955769839</v>
      </c>
      <c r="AM52">
        <v>-154.66229172923616</v>
      </c>
      <c r="AN52">
        <v>-423.43667165746507</v>
      </c>
      <c r="AQ52">
        <v>50</v>
      </c>
      <c r="AR52">
        <f t="shared" si="2"/>
        <v>7.7134513162384728</v>
      </c>
      <c r="AS52">
        <f t="shared" si="3"/>
        <v>9.1925333174277366</v>
      </c>
      <c r="AV52">
        <v>1435.2760211018763</v>
      </c>
      <c r="AW52">
        <v>7.4308178736150632</v>
      </c>
      <c r="AX52">
        <v>-3.3985858209799508E-10</v>
      </c>
      <c r="AY52">
        <f t="shared" si="0"/>
        <v>7.4308178736150632</v>
      </c>
      <c r="AZ52">
        <v>2208.116955541348</v>
      </c>
      <c r="BA52">
        <v>11.432027497869328</v>
      </c>
      <c r="BB52">
        <v>-5.2285935707383859E-10</v>
      </c>
      <c r="BC52">
        <f t="shared" si="1"/>
        <v>11.432027497869328</v>
      </c>
      <c r="BF52">
        <v>843.20742403346924</v>
      </c>
      <c r="BG52">
        <v>5.0558759474943411</v>
      </c>
      <c r="BH52">
        <v>-2.0456923644648893E-10</v>
      </c>
      <c r="BI52">
        <f t="shared" si="4"/>
        <v>5.0558759474943411</v>
      </c>
      <c r="BJ52">
        <v>1297.2421908207218</v>
      </c>
      <c r="BK52">
        <v>7.7782706884528325</v>
      </c>
      <c r="BL52">
        <v>-3.1472190222536758E-10</v>
      </c>
      <c r="BM52">
        <f t="shared" si="5"/>
        <v>7.7782706884528325</v>
      </c>
      <c r="BP52">
        <v>849.18653852121383</v>
      </c>
      <c r="BQ52">
        <v>-3.0436930871503103</v>
      </c>
      <c r="BR52">
        <v>3.7289758829382505E-16</v>
      </c>
      <c r="BS52">
        <f t="shared" si="6"/>
        <v>-3.0436930871503103</v>
      </c>
      <c r="BT52">
        <v>1306.4408284941751</v>
      </c>
      <c r="BU52">
        <v>-4.6826047494620155</v>
      </c>
      <c r="BV52">
        <v>5.7368859737511545E-16</v>
      </c>
      <c r="BW52">
        <f t="shared" si="7"/>
        <v>-4.6826047494620155</v>
      </c>
    </row>
    <row r="53" spans="1:75" x14ac:dyDescent="0.25">
      <c r="A53">
        <v>17</v>
      </c>
      <c r="B53" s="5">
        <v>7</v>
      </c>
      <c r="C53" s="1">
        <f t="shared" ca="1" si="14"/>
        <v>0</v>
      </c>
      <c r="D53" s="46">
        <f t="shared" si="16"/>
        <v>0</v>
      </c>
      <c r="E53" s="46">
        <f t="shared" si="17"/>
        <v>0</v>
      </c>
      <c r="F53" s="1">
        <f t="shared" ca="1" si="18"/>
        <v>2.8125</v>
      </c>
      <c r="G53" t="e">
        <f t="shared" ca="1" si="19"/>
        <v>#N/A</v>
      </c>
      <c r="H53" t="e">
        <f t="shared" ca="1" si="20"/>
        <v>#N/A</v>
      </c>
      <c r="I53" s="7">
        <f t="shared" si="21"/>
        <v>0</v>
      </c>
      <c r="J53" s="7">
        <f t="shared" si="22"/>
        <v>0</v>
      </c>
      <c r="K53">
        <f t="shared" si="23"/>
        <v>12</v>
      </c>
      <c r="L53" s="15">
        <f t="shared" ca="1" si="24"/>
        <v>0</v>
      </c>
      <c r="M53" s="9">
        <f t="shared" ca="1" si="15"/>
        <v>0</v>
      </c>
      <c r="N53" s="7">
        <f t="shared" ca="1" si="25"/>
        <v>0</v>
      </c>
      <c r="O53" s="7">
        <f t="shared" ca="1" si="26"/>
        <v>0</v>
      </c>
      <c r="P53" s="7">
        <f t="shared" ca="1" si="27"/>
        <v>0</v>
      </c>
      <c r="U53" t="e">
        <f t="shared" ca="1" si="28"/>
        <v>#N/A</v>
      </c>
      <c r="V53" t="e">
        <f t="shared" ca="1" si="29"/>
        <v>#N/A</v>
      </c>
      <c r="X53" t="e">
        <f t="shared" ca="1" si="30"/>
        <v>#N/A</v>
      </c>
      <c r="Y53" t="e">
        <f t="shared" ca="1" si="31"/>
        <v>#N/A</v>
      </c>
      <c r="AJ53">
        <v>4.450589592585537</v>
      </c>
      <c r="AK53">
        <v>-90.047570165975927</v>
      </c>
      <c r="AL53">
        <v>-334.28771420331043</v>
      </c>
      <c r="AM53">
        <v>-116.84660539267469</v>
      </c>
      <c r="AN53">
        <v>-433.77499867167126</v>
      </c>
      <c r="AQ53">
        <v>51</v>
      </c>
      <c r="AR53">
        <f t="shared" si="2"/>
        <v>7.55184469259805</v>
      </c>
      <c r="AS53">
        <f t="shared" si="3"/>
        <v>9.3257515374836508</v>
      </c>
      <c r="AV53">
        <v>1436.8590495330204</v>
      </c>
      <c r="AW53">
        <v>6.403907679115318</v>
      </c>
      <c r="AX53">
        <v>-8.2309081267239607E-10</v>
      </c>
      <c r="AY53">
        <f t="shared" si="0"/>
        <v>6.403907679115318</v>
      </c>
      <c r="AZ53">
        <v>2210.5523838969543</v>
      </c>
      <c r="BA53">
        <v>9.8521656601774126</v>
      </c>
      <c r="BB53">
        <v>-1.2662935579575324E-9</v>
      </c>
      <c r="BC53">
        <f t="shared" si="1"/>
        <v>9.8521656601774126</v>
      </c>
      <c r="BF53">
        <v>844.26779675238163</v>
      </c>
      <c r="BG53">
        <v>4.7175351321545307</v>
      </c>
      <c r="BH53">
        <v>-1.5395092608135505E-15</v>
      </c>
      <c r="BI53">
        <f t="shared" si="4"/>
        <v>4.7175351321545307</v>
      </c>
      <c r="BJ53">
        <v>1298.8735334652024</v>
      </c>
      <c r="BK53">
        <v>7.2577463571608165</v>
      </c>
      <c r="BL53">
        <v>-2.3684757858670005E-15</v>
      </c>
      <c r="BM53">
        <f t="shared" si="5"/>
        <v>7.2577463571608165</v>
      </c>
      <c r="BP53">
        <v>850.2621252489962</v>
      </c>
      <c r="BQ53">
        <v>-2.5577093518354146</v>
      </c>
      <c r="BR53">
        <v>6.0038597196979316E-11</v>
      </c>
      <c r="BS53">
        <f t="shared" si="6"/>
        <v>-2.5577093518354146</v>
      </c>
      <c r="BT53">
        <v>1308.095577306148</v>
      </c>
      <c r="BU53">
        <v>-3.934937464362176</v>
      </c>
      <c r="BV53">
        <v>9.2367072610737409E-11</v>
      </c>
      <c r="BW53">
        <f t="shared" si="7"/>
        <v>-3.934937464362176</v>
      </c>
    </row>
    <row r="54" spans="1:75" x14ac:dyDescent="0.25">
      <c r="A54">
        <v>18</v>
      </c>
      <c r="B54" s="5">
        <v>7</v>
      </c>
      <c r="C54" s="1">
        <f t="shared" ca="1" si="14"/>
        <v>0</v>
      </c>
      <c r="D54" s="46">
        <f t="shared" si="16"/>
        <v>0</v>
      </c>
      <c r="E54" s="46">
        <f t="shared" si="17"/>
        <v>0</v>
      </c>
      <c r="F54" s="1">
        <f t="shared" ca="1" si="18"/>
        <v>2.8125</v>
      </c>
      <c r="G54" t="e">
        <f t="shared" ca="1" si="19"/>
        <v>#N/A</v>
      </c>
      <c r="H54" t="e">
        <f t="shared" ca="1" si="20"/>
        <v>#N/A</v>
      </c>
      <c r="I54" s="7">
        <f t="shared" si="21"/>
        <v>0</v>
      </c>
      <c r="J54" s="7">
        <f t="shared" si="22"/>
        <v>0</v>
      </c>
      <c r="K54">
        <f t="shared" si="23"/>
        <v>12</v>
      </c>
      <c r="L54" s="15">
        <f t="shared" ca="1" si="24"/>
        <v>0</v>
      </c>
      <c r="M54" s="9">
        <f t="shared" ca="1" si="15"/>
        <v>0</v>
      </c>
      <c r="N54" s="7">
        <f t="shared" ca="1" si="25"/>
        <v>0</v>
      </c>
      <c r="O54" s="7">
        <f t="shared" ca="1" si="26"/>
        <v>0</v>
      </c>
      <c r="P54" s="7">
        <f t="shared" ca="1" si="27"/>
        <v>0</v>
      </c>
      <c r="U54" t="e">
        <f t="shared" ca="1" si="28"/>
        <v>#N/A</v>
      </c>
      <c r="V54" t="e">
        <f t="shared" ca="1" si="29"/>
        <v>#N/A</v>
      </c>
      <c r="X54" t="e">
        <f t="shared" ca="1" si="30"/>
        <v>#N/A</v>
      </c>
      <c r="Y54" t="e">
        <f t="shared" ca="1" si="31"/>
        <v>#N/A</v>
      </c>
      <c r="AJ54">
        <v>4.5378560551852534</v>
      </c>
      <c r="AK54">
        <v>-60.10781992756575</v>
      </c>
      <c r="AL54">
        <v>-340.88838637205174</v>
      </c>
      <c r="AM54">
        <v>-77.923590483435234</v>
      </c>
      <c r="AN54">
        <v>-441.92664202803275</v>
      </c>
      <c r="AQ54">
        <v>52</v>
      </c>
      <c r="AR54">
        <f t="shared" si="2"/>
        <v>7.3879377039078999</v>
      </c>
      <c r="AS54">
        <f t="shared" si="3"/>
        <v>9.4561290432806651</v>
      </c>
      <c r="AV54">
        <v>1437.9491949800101</v>
      </c>
      <c r="AW54">
        <v>5.6015385640765638</v>
      </c>
      <c r="AX54">
        <v>-7.1822377736937097E-10</v>
      </c>
      <c r="AY54">
        <f t="shared" si="0"/>
        <v>5.6015385640765638</v>
      </c>
      <c r="AZ54">
        <v>2212.229530738477</v>
      </c>
      <c r="BA54">
        <v>8.6177516370408664</v>
      </c>
      <c r="BB54">
        <v>-1.1049596574913399E-9</v>
      </c>
      <c r="BC54">
        <f t="shared" si="1"/>
        <v>8.6177516370408664</v>
      </c>
      <c r="BF54">
        <v>845.28738715769566</v>
      </c>
      <c r="BG54">
        <v>4.3922070254482959</v>
      </c>
      <c r="BH54">
        <v>0</v>
      </c>
      <c r="BI54">
        <f t="shared" si="4"/>
        <v>4.3922070254482959</v>
      </c>
      <c r="BJ54">
        <v>1300.4421340887625</v>
      </c>
      <c r="BK54">
        <v>6.7572415776127626</v>
      </c>
      <c r="BL54">
        <v>0</v>
      </c>
      <c r="BM54">
        <f t="shared" si="5"/>
        <v>6.7572415776127626</v>
      </c>
      <c r="BP54">
        <v>851.25675111122735</v>
      </c>
      <c r="BQ54">
        <v>-2.1100892412483074</v>
      </c>
      <c r="BR54">
        <v>8.1438670529168202E-13</v>
      </c>
      <c r="BS54">
        <f t="shared" si="6"/>
        <v>-2.1100892412483074</v>
      </c>
      <c r="BT54">
        <v>1309.6257709403496</v>
      </c>
      <c r="BU54">
        <v>-3.2462911403820112</v>
      </c>
      <c r="BV54">
        <v>1.2529026235256646E-12</v>
      </c>
      <c r="BW54">
        <f t="shared" si="7"/>
        <v>-3.2462911403820112</v>
      </c>
    </row>
    <row r="55" spans="1:75" x14ac:dyDescent="0.25">
      <c r="A55">
        <v>19</v>
      </c>
      <c r="B55" s="5">
        <v>7</v>
      </c>
      <c r="C55" s="1">
        <f t="shared" ca="1" si="14"/>
        <v>0</v>
      </c>
      <c r="D55" s="46">
        <f t="shared" si="16"/>
        <v>0</v>
      </c>
      <c r="E55" s="46">
        <f t="shared" si="17"/>
        <v>0</v>
      </c>
      <c r="F55" s="1">
        <f t="shared" ca="1" si="18"/>
        <v>2.8125</v>
      </c>
      <c r="G55" t="e">
        <f t="shared" ca="1" si="19"/>
        <v>#N/A</v>
      </c>
      <c r="H55" t="e">
        <f t="shared" ca="1" si="20"/>
        <v>#N/A</v>
      </c>
      <c r="I55" s="7">
        <f t="shared" si="21"/>
        <v>0</v>
      </c>
      <c r="J55" s="7">
        <f t="shared" si="22"/>
        <v>0</v>
      </c>
      <c r="K55">
        <f t="shared" si="23"/>
        <v>12</v>
      </c>
      <c r="L55" s="15">
        <f t="shared" ca="1" si="24"/>
        <v>0</v>
      </c>
      <c r="M55" s="9">
        <f t="shared" ca="1" si="15"/>
        <v>0</v>
      </c>
      <c r="N55" s="7">
        <f t="shared" ca="1" si="25"/>
        <v>0</v>
      </c>
      <c r="O55" s="7">
        <f t="shared" ca="1" si="26"/>
        <v>0</v>
      </c>
      <c r="P55" s="7">
        <f t="shared" ca="1" si="27"/>
        <v>0</v>
      </c>
      <c r="U55" t="e">
        <f t="shared" ca="1" si="28"/>
        <v>#N/A</v>
      </c>
      <c r="V55" t="e">
        <f t="shared" ca="1" si="29"/>
        <v>#N/A</v>
      </c>
      <c r="X55" t="e">
        <f t="shared" ca="1" si="30"/>
        <v>#N/A</v>
      </c>
      <c r="Y55" t="e">
        <f t="shared" ca="1" si="31"/>
        <v>#N/A</v>
      </c>
      <c r="AJ55">
        <v>4.6251225177849697</v>
      </c>
      <c r="AK55">
        <v>-29.716094719160061</v>
      </c>
      <c r="AL55">
        <v>-344.92578111053467</v>
      </c>
      <c r="AM55">
        <v>-38.559894365400702</v>
      </c>
      <c r="AN55">
        <v>-447.57905805670691</v>
      </c>
      <c r="AQ55">
        <v>53</v>
      </c>
      <c r="AR55">
        <f t="shared" si="2"/>
        <v>7.2217802778245801</v>
      </c>
      <c r="AS55">
        <f t="shared" si="3"/>
        <v>9.583626120567514</v>
      </c>
      <c r="AV55">
        <v>1438.9351422208322</v>
      </c>
      <c r="AW55">
        <v>4.8718206463824405</v>
      </c>
      <c r="AX55">
        <v>-6.2174829646637192E-10</v>
      </c>
      <c r="AY55">
        <f t="shared" si="0"/>
        <v>4.8718206463824405</v>
      </c>
      <c r="AZ55">
        <v>2213.7463726474339</v>
      </c>
      <c r="BA55">
        <v>7.4951086867422161</v>
      </c>
      <c r="BB55">
        <v>-9.5653584071749519E-10</v>
      </c>
      <c r="BC55">
        <f t="shared" si="1"/>
        <v>7.4951086867422161</v>
      </c>
      <c r="BF55">
        <v>846.26850361269987</v>
      </c>
      <c r="BG55">
        <v>4.0791550811565616</v>
      </c>
      <c r="BH55">
        <v>-1.5395092608135505E-15</v>
      </c>
      <c r="BI55">
        <f t="shared" si="4"/>
        <v>4.0791550811565616</v>
      </c>
      <c r="BJ55">
        <v>1301.9515440195382</v>
      </c>
      <c r="BK55">
        <v>6.2756232017793252</v>
      </c>
      <c r="BL55">
        <v>-2.3684757858670005E-15</v>
      </c>
      <c r="BM55">
        <f t="shared" si="5"/>
        <v>6.2756232017793252</v>
      </c>
      <c r="BP55">
        <v>852.01139298937562</v>
      </c>
      <c r="BQ55">
        <v>-1.7509355558031361</v>
      </c>
      <c r="BR55">
        <v>-2.3820831946486723E-14</v>
      </c>
      <c r="BS55">
        <f t="shared" si="6"/>
        <v>-1.7509355558031361</v>
      </c>
      <c r="BT55">
        <v>1310.7867584451933</v>
      </c>
      <c r="BU55">
        <v>-2.6937470089279016</v>
      </c>
      <c r="BV55">
        <v>-3.6647433763825725E-14</v>
      </c>
      <c r="BW55">
        <f t="shared" si="7"/>
        <v>-2.6937470089279016</v>
      </c>
    </row>
    <row r="56" spans="1:75" x14ac:dyDescent="0.25">
      <c r="A56">
        <v>20</v>
      </c>
      <c r="B56" s="5">
        <v>7</v>
      </c>
      <c r="C56" s="1">
        <f t="shared" ca="1" si="14"/>
        <v>0</v>
      </c>
      <c r="D56" s="46">
        <f t="shared" si="16"/>
        <v>0</v>
      </c>
      <c r="E56" s="46">
        <f t="shared" si="17"/>
        <v>0</v>
      </c>
      <c r="F56" s="1">
        <f t="shared" ca="1" si="18"/>
        <v>2.8125</v>
      </c>
      <c r="G56" t="e">
        <f t="shared" ca="1" si="19"/>
        <v>#N/A</v>
      </c>
      <c r="H56" t="e">
        <f t="shared" ca="1" si="20"/>
        <v>#N/A</v>
      </c>
      <c r="I56" s="7">
        <f t="shared" si="21"/>
        <v>0</v>
      </c>
      <c r="J56" s="7">
        <f t="shared" si="22"/>
        <v>0</v>
      </c>
      <c r="K56">
        <f t="shared" si="23"/>
        <v>12</v>
      </c>
      <c r="L56" s="15">
        <f t="shared" ca="1" si="24"/>
        <v>0</v>
      </c>
      <c r="M56" s="9">
        <f t="shared" ca="1" si="15"/>
        <v>0</v>
      </c>
      <c r="N56" s="7">
        <f t="shared" ca="1" si="25"/>
        <v>0</v>
      </c>
      <c r="O56" s="7">
        <f t="shared" ca="1" si="26"/>
        <v>0</v>
      </c>
      <c r="P56" s="7">
        <f t="shared" ca="1" si="27"/>
        <v>0</v>
      </c>
      <c r="U56" t="e">
        <f t="shared" ca="1" si="28"/>
        <v>#N/A</v>
      </c>
      <c r="V56" t="e">
        <f t="shared" ca="1" si="29"/>
        <v>#N/A</v>
      </c>
      <c r="X56" t="e">
        <f t="shared" ca="1" si="30"/>
        <v>#N/A</v>
      </c>
      <c r="Y56" t="e">
        <f t="shared" ca="1" si="31"/>
        <v>#N/A</v>
      </c>
      <c r="AJ56">
        <v>4.7123889803846861</v>
      </c>
      <c r="AK56">
        <v>0.39094894111792444</v>
      </c>
      <c r="AL56">
        <v>-344.79379193123503</v>
      </c>
      <c r="AM56">
        <v>0.51114312216718083</v>
      </c>
      <c r="AN56">
        <v>-450.79793491097524</v>
      </c>
      <c r="AQ56">
        <v>54</v>
      </c>
      <c r="AR56">
        <f t="shared" si="2"/>
        <v>7.0534230275096776</v>
      </c>
      <c r="AS56">
        <f t="shared" si="3"/>
        <v>9.7082039324993694</v>
      </c>
      <c r="AV56">
        <v>1439.8285168151062</v>
      </c>
      <c r="AW56">
        <v>4.207445457714881</v>
      </c>
      <c r="AX56">
        <v>-5.3231259719945658E-10</v>
      </c>
      <c r="AY56">
        <f t="shared" si="0"/>
        <v>4.207445457714881</v>
      </c>
      <c r="AZ56">
        <v>2215.1207951001634</v>
      </c>
      <c r="BA56">
        <v>6.4729930118690477</v>
      </c>
      <c r="BB56">
        <v>-8.1894245722993319E-10</v>
      </c>
      <c r="BC56">
        <f t="shared" si="1"/>
        <v>6.4729930118690477</v>
      </c>
      <c r="BF56">
        <v>846.97836835898249</v>
      </c>
      <c r="BG56">
        <v>3.8046508522504001</v>
      </c>
      <c r="BH56">
        <v>1.6929032067128476E-14</v>
      </c>
      <c r="BI56">
        <f t="shared" si="4"/>
        <v>3.8046508522504001</v>
      </c>
      <c r="BJ56">
        <v>1303.0436436292039</v>
      </c>
      <c r="BK56">
        <v>5.8533090034621535</v>
      </c>
      <c r="BL56">
        <v>2.6044664718659193E-14</v>
      </c>
      <c r="BM56">
        <f t="shared" si="5"/>
        <v>5.8533090034621535</v>
      </c>
      <c r="BP56">
        <v>852.48114301756129</v>
      </c>
      <c r="BQ56">
        <v>-1.4937341382607301</v>
      </c>
      <c r="BR56">
        <v>2.1064664665062463E-10</v>
      </c>
      <c r="BS56">
        <f t="shared" si="6"/>
        <v>-1.4937341382607301</v>
      </c>
      <c r="BT56">
        <v>1311.5094507962481</v>
      </c>
      <c r="BU56">
        <v>-2.2980525204011233</v>
      </c>
      <c r="BV56">
        <v>3.2407176407788403E-10</v>
      </c>
      <c r="BW56">
        <f t="shared" si="7"/>
        <v>-2.2980525204011233</v>
      </c>
    </row>
    <row r="57" spans="1:75" x14ac:dyDescent="0.25">
      <c r="A57">
        <v>21</v>
      </c>
      <c r="B57" s="5">
        <v>7</v>
      </c>
      <c r="C57" s="1">
        <f t="shared" ca="1" si="14"/>
        <v>0</v>
      </c>
      <c r="D57" s="46">
        <f t="shared" si="16"/>
        <v>0</v>
      </c>
      <c r="E57" s="46">
        <f t="shared" si="17"/>
        <v>0</v>
      </c>
      <c r="F57" s="1">
        <f t="shared" ca="1" si="18"/>
        <v>2.8125</v>
      </c>
      <c r="G57" t="e">
        <f t="shared" ca="1" si="19"/>
        <v>#N/A</v>
      </c>
      <c r="H57" t="e">
        <f t="shared" ca="1" si="20"/>
        <v>#N/A</v>
      </c>
      <c r="I57" s="7">
        <f t="shared" si="21"/>
        <v>0</v>
      </c>
      <c r="J57" s="7">
        <f t="shared" si="22"/>
        <v>0</v>
      </c>
      <c r="K57">
        <f t="shared" si="23"/>
        <v>12</v>
      </c>
      <c r="L57" s="15">
        <f t="shared" ca="1" si="24"/>
        <v>0</v>
      </c>
      <c r="M57" s="9">
        <f t="shared" ca="1" si="15"/>
        <v>0</v>
      </c>
      <c r="N57" s="7">
        <f t="shared" ca="1" si="25"/>
        <v>0</v>
      </c>
      <c r="O57" s="7">
        <f t="shared" ca="1" si="26"/>
        <v>0</v>
      </c>
      <c r="P57" s="7">
        <f t="shared" ca="1" si="27"/>
        <v>0</v>
      </c>
      <c r="U57" t="e">
        <f t="shared" ca="1" si="28"/>
        <v>#N/A</v>
      </c>
      <c r="V57" t="e">
        <f t="shared" ca="1" si="29"/>
        <v>#N/A</v>
      </c>
      <c r="X57" t="e">
        <f t="shared" ca="1" si="30"/>
        <v>#N/A</v>
      </c>
      <c r="Y57" t="e">
        <f t="shared" ca="1" si="31"/>
        <v>#N/A</v>
      </c>
      <c r="AJ57">
        <v>4.7996554429844025</v>
      </c>
      <c r="AK57">
        <v>30.470501248993212</v>
      </c>
      <c r="AL57">
        <v>-341.37827200072491</v>
      </c>
      <c r="AM57">
        <v>40.313262746826418</v>
      </c>
      <c r="AN57">
        <v>-451.65230013003207</v>
      </c>
      <c r="AQ57">
        <v>55</v>
      </c>
      <c r="AR57">
        <f t="shared" si="2"/>
        <v>6.8829172362125544</v>
      </c>
      <c r="AS57">
        <f t="shared" si="3"/>
        <v>9.8298245314679011</v>
      </c>
      <c r="AV57">
        <v>1440.6398032127763</v>
      </c>
      <c r="AW57">
        <v>3.601759023134353</v>
      </c>
      <c r="AX57">
        <v>-4.492405523962724E-10</v>
      </c>
      <c r="AY57">
        <f t="shared" si="0"/>
        <v>3.601759023134353</v>
      </c>
      <c r="AZ57">
        <v>2216.3689280196559</v>
      </c>
      <c r="BA57">
        <v>5.5411677278990048</v>
      </c>
      <c r="BB57">
        <v>-6.9113931137888059E-10</v>
      </c>
      <c r="BC57">
        <f t="shared" si="1"/>
        <v>5.5411677278990048</v>
      </c>
      <c r="BF57">
        <v>847.51016669516582</v>
      </c>
      <c r="BG57">
        <v>3.557597515034594</v>
      </c>
      <c r="BH57">
        <v>8.6860443145513956E-15</v>
      </c>
      <c r="BI57">
        <f t="shared" si="4"/>
        <v>3.557597515034594</v>
      </c>
      <c r="BJ57">
        <v>1303.8617949156396</v>
      </c>
      <c r="BK57">
        <v>5.4732269462070677</v>
      </c>
      <c r="BL57">
        <v>1.3363145099309839E-14</v>
      </c>
      <c r="BM57">
        <f t="shared" si="5"/>
        <v>5.4732269462070677</v>
      </c>
      <c r="BP57">
        <v>852.9059332590233</v>
      </c>
      <c r="BQ57">
        <v>-1.2604630076024932</v>
      </c>
      <c r="BR57">
        <v>1.7904025911223296E-10</v>
      </c>
      <c r="BS57">
        <f t="shared" si="6"/>
        <v>-1.2604630076024932</v>
      </c>
      <c r="BT57">
        <v>1312.1629742446512</v>
      </c>
      <c r="BU57">
        <v>-1.9391738578499895</v>
      </c>
      <c r="BV57">
        <v>2.754465524803584E-10</v>
      </c>
      <c r="BW57">
        <f t="shared" si="7"/>
        <v>-1.9391738578499895</v>
      </c>
    </row>
    <row r="58" spans="1:75" x14ac:dyDescent="0.25">
      <c r="A58">
        <v>22</v>
      </c>
      <c r="B58" s="5">
        <v>7</v>
      </c>
      <c r="C58" s="1">
        <f t="shared" ca="1" si="14"/>
        <v>0</v>
      </c>
      <c r="D58" s="46">
        <f t="shared" si="16"/>
        <v>0</v>
      </c>
      <c r="E58" s="46">
        <f t="shared" si="17"/>
        <v>0</v>
      </c>
      <c r="F58" s="1">
        <f t="shared" ca="1" si="18"/>
        <v>2.8125</v>
      </c>
      <c r="G58" t="e">
        <f t="shared" ca="1" si="19"/>
        <v>#N/A</v>
      </c>
      <c r="H58" t="e">
        <f t="shared" ca="1" si="20"/>
        <v>#N/A</v>
      </c>
      <c r="I58" s="7">
        <f t="shared" si="21"/>
        <v>0</v>
      </c>
      <c r="J58" s="7">
        <f t="shared" si="22"/>
        <v>0</v>
      </c>
      <c r="K58">
        <f t="shared" si="23"/>
        <v>12</v>
      </c>
      <c r="L58" s="15">
        <f t="shared" ca="1" si="24"/>
        <v>0</v>
      </c>
      <c r="M58" s="9">
        <f t="shared" ca="1" si="15"/>
        <v>0</v>
      </c>
      <c r="N58" s="7">
        <f t="shared" ca="1" si="25"/>
        <v>0</v>
      </c>
      <c r="O58" s="7">
        <f t="shared" ca="1" si="26"/>
        <v>0</v>
      </c>
      <c r="P58" s="7">
        <f t="shared" ca="1" si="27"/>
        <v>0</v>
      </c>
      <c r="U58" t="e">
        <f t="shared" ca="1" si="28"/>
        <v>#N/A</v>
      </c>
      <c r="V58" t="e">
        <f t="shared" ca="1" si="29"/>
        <v>#N/A</v>
      </c>
      <c r="X58" t="e">
        <f t="shared" ca="1" si="30"/>
        <v>#N/A</v>
      </c>
      <c r="Y58" t="e">
        <f t="shared" ca="1" si="31"/>
        <v>#N/A</v>
      </c>
      <c r="AJ58">
        <v>4.8869219055841189</v>
      </c>
      <c r="AK58">
        <v>58.997384903379455</v>
      </c>
      <c r="AL58">
        <v>-334.59079640753146</v>
      </c>
      <c r="AM58">
        <v>79.105989655796265</v>
      </c>
      <c r="AN58">
        <v>-448.63236095779365</v>
      </c>
      <c r="AQ58">
        <v>56</v>
      </c>
      <c r="AR58">
        <f t="shared" si="2"/>
        <v>6.7103148416489615</v>
      </c>
      <c r="AS58">
        <f t="shared" si="3"/>
        <v>9.9484508706605013</v>
      </c>
      <c r="AV58">
        <v>1441.378321772353</v>
      </c>
      <c r="AW58">
        <v>3.0487522182657645</v>
      </c>
      <c r="AX58">
        <v>-3.7195194332854775E-10</v>
      </c>
      <c r="AY58">
        <f t="shared" si="0"/>
        <v>3.0487522182657645</v>
      </c>
      <c r="AZ58">
        <v>2217.5051104190047</v>
      </c>
      <c r="BA58">
        <v>4.6903880281011761</v>
      </c>
      <c r="BB58">
        <v>-5.7223375896699648E-10</v>
      </c>
      <c r="BC58">
        <f t="shared" si="1"/>
        <v>4.6903880281011761</v>
      </c>
      <c r="BF58">
        <v>848.02297277525804</v>
      </c>
      <c r="BG58">
        <v>3.3193672596700998</v>
      </c>
      <c r="BH58">
        <v>8.4515052266860537E-15</v>
      </c>
      <c r="BI58">
        <f t="shared" si="4"/>
        <v>3.3193672596700998</v>
      </c>
      <c r="BJ58">
        <v>1304.6507273465509</v>
      </c>
      <c r="BK58">
        <v>5.1067188610309229</v>
      </c>
      <c r="BL58">
        <v>1.300231573336316E-14</v>
      </c>
      <c r="BM58">
        <f t="shared" si="5"/>
        <v>5.1067188610309229</v>
      </c>
      <c r="BP58">
        <v>853.29087327970876</v>
      </c>
      <c r="BQ58">
        <v>-1.0486524247885558</v>
      </c>
      <c r="BR58">
        <v>1.4975015586195339E-10</v>
      </c>
      <c r="BS58">
        <f t="shared" si="6"/>
        <v>-1.0486524247885558</v>
      </c>
      <c r="BT58">
        <v>1312.7551896610903</v>
      </c>
      <c r="BU58">
        <v>-1.6133114227516243</v>
      </c>
      <c r="BV58">
        <v>2.3038485517223599E-10</v>
      </c>
      <c r="BW58">
        <f t="shared" si="7"/>
        <v>-1.6133114227516243</v>
      </c>
    </row>
    <row r="59" spans="1:75" x14ac:dyDescent="0.25">
      <c r="A59">
        <v>23</v>
      </c>
      <c r="B59" s="5">
        <v>7</v>
      </c>
      <c r="C59" s="1">
        <f t="shared" ca="1" si="14"/>
        <v>0</v>
      </c>
      <c r="D59" s="46">
        <f t="shared" si="16"/>
        <v>0</v>
      </c>
      <c r="E59" s="46">
        <f t="shared" si="17"/>
        <v>0</v>
      </c>
      <c r="F59" s="1">
        <f t="shared" ca="1" si="18"/>
        <v>2.8125</v>
      </c>
      <c r="G59" t="e">
        <f t="shared" ca="1" si="19"/>
        <v>#N/A</v>
      </c>
      <c r="H59" t="e">
        <f t="shared" ca="1" si="20"/>
        <v>#N/A</v>
      </c>
      <c r="I59" s="7">
        <f t="shared" si="21"/>
        <v>0</v>
      </c>
      <c r="J59" s="7">
        <f t="shared" si="22"/>
        <v>0</v>
      </c>
      <c r="K59">
        <f t="shared" si="23"/>
        <v>12</v>
      </c>
      <c r="L59" s="15">
        <f t="shared" ca="1" si="24"/>
        <v>0</v>
      </c>
      <c r="M59" s="9">
        <f t="shared" ca="1" si="15"/>
        <v>0</v>
      </c>
      <c r="N59" s="7">
        <f t="shared" ca="1" si="25"/>
        <v>0</v>
      </c>
      <c r="O59" s="7">
        <f t="shared" ca="1" si="26"/>
        <v>0</v>
      </c>
      <c r="P59" s="7">
        <f t="shared" ca="1" si="27"/>
        <v>0</v>
      </c>
      <c r="U59" t="e">
        <f t="shared" ca="1" si="28"/>
        <v>#N/A</v>
      </c>
      <c r="V59" t="e">
        <f t="shared" ca="1" si="29"/>
        <v>#N/A</v>
      </c>
      <c r="X59" t="e">
        <f t="shared" ca="1" si="30"/>
        <v>#N/A</v>
      </c>
      <c r="Y59" t="e">
        <f t="shared" ca="1" si="31"/>
        <v>#N/A</v>
      </c>
      <c r="AJ59">
        <v>4.9741883681838353</v>
      </c>
      <c r="AK59">
        <v>88.125340342627723</v>
      </c>
      <c r="AL59">
        <v>-331.21216830011224</v>
      </c>
      <c r="AM59">
        <v>116.59210890084196</v>
      </c>
      <c r="AN59">
        <v>-438.20228149576991</v>
      </c>
      <c r="AQ59">
        <v>57</v>
      </c>
      <c r="AR59">
        <f t="shared" si="2"/>
        <v>6.5356684201803255</v>
      </c>
      <c r="AS59">
        <f t="shared" si="3"/>
        <v>10.064046815345089</v>
      </c>
      <c r="AV59">
        <v>1442.052364136475</v>
      </c>
      <c r="AW59">
        <v>2.5429925471310666</v>
      </c>
      <c r="AX59">
        <v>-2.998823255524419E-10</v>
      </c>
      <c r="AY59">
        <f t="shared" si="0"/>
        <v>2.5429925471310666</v>
      </c>
      <c r="AZ59">
        <v>2218.5420986714998</v>
      </c>
      <c r="BA59">
        <v>3.9122962263554868</v>
      </c>
      <c r="BB59">
        <v>-4.6135742392683366E-10</v>
      </c>
      <c r="BC59">
        <f t="shared" si="1"/>
        <v>3.9122962263554868</v>
      </c>
      <c r="BF59">
        <v>848.51778616367915</v>
      </c>
      <c r="BG59">
        <v>3.089495726438388</v>
      </c>
      <c r="BH59">
        <v>2.0688416242676594E-15</v>
      </c>
      <c r="BI59">
        <f t="shared" si="4"/>
        <v>3.089495726438388</v>
      </c>
      <c r="BJ59">
        <v>1305.4119787133525</v>
      </c>
      <c r="BK59">
        <v>4.7530703483667507</v>
      </c>
      <c r="BL59">
        <v>3.1828332681040914E-15</v>
      </c>
      <c r="BM59">
        <f t="shared" si="5"/>
        <v>4.7530703483667507</v>
      </c>
      <c r="BP59">
        <v>853.64057251002475</v>
      </c>
      <c r="BQ59">
        <v>-0.85604915506629087</v>
      </c>
      <c r="BR59">
        <v>1.2255184331234691E-10</v>
      </c>
      <c r="BS59">
        <f t="shared" si="6"/>
        <v>-0.85604915506629087</v>
      </c>
      <c r="BT59">
        <v>1313.2931884769612</v>
      </c>
      <c r="BU59">
        <v>-1.3169987001019858</v>
      </c>
      <c r="BV59">
        <v>1.8854129740361063E-10</v>
      </c>
      <c r="BW59">
        <f t="shared" si="7"/>
        <v>-1.3169987001019858</v>
      </c>
    </row>
    <row r="60" spans="1:75" x14ac:dyDescent="0.25">
      <c r="A60">
        <v>24</v>
      </c>
      <c r="B60" s="5">
        <v>7</v>
      </c>
      <c r="C60" s="1">
        <f t="shared" ca="1" si="14"/>
        <v>0</v>
      </c>
      <c r="D60" s="46">
        <f t="shared" si="16"/>
        <v>0</v>
      </c>
      <c r="E60" s="46">
        <f t="shared" si="17"/>
        <v>0</v>
      </c>
      <c r="F60" s="1">
        <f t="shared" ca="1" si="18"/>
        <v>2.8125</v>
      </c>
      <c r="G60" t="e">
        <f t="shared" ca="1" si="19"/>
        <v>#N/A</v>
      </c>
      <c r="H60" t="e">
        <f t="shared" ca="1" si="20"/>
        <v>#N/A</v>
      </c>
      <c r="I60" s="7">
        <f t="shared" si="21"/>
        <v>0</v>
      </c>
      <c r="J60" s="7">
        <f t="shared" si="22"/>
        <v>0</v>
      </c>
      <c r="K60">
        <f t="shared" si="23"/>
        <v>12</v>
      </c>
      <c r="L60" s="15">
        <f t="shared" ca="1" si="24"/>
        <v>0</v>
      </c>
      <c r="M60" s="9">
        <f t="shared" ca="1" si="15"/>
        <v>0</v>
      </c>
      <c r="N60" s="7">
        <f t="shared" ca="1" si="25"/>
        <v>0</v>
      </c>
      <c r="O60" s="7">
        <f t="shared" ca="1" si="26"/>
        <v>0</v>
      </c>
      <c r="P60" s="7">
        <f t="shared" ca="1" si="27"/>
        <v>0</v>
      </c>
      <c r="U60" t="e">
        <f t="shared" ca="1" si="28"/>
        <v>#N/A</v>
      </c>
      <c r="V60" t="e">
        <f t="shared" ca="1" si="29"/>
        <v>#N/A</v>
      </c>
      <c r="X60" t="e">
        <f t="shared" ca="1" si="30"/>
        <v>#N/A</v>
      </c>
      <c r="Y60" t="e">
        <f t="shared" ca="1" si="31"/>
        <v>#N/A</v>
      </c>
      <c r="AJ60">
        <v>5.0614548307835516</v>
      </c>
      <c r="AK60">
        <v>117.55905029904656</v>
      </c>
      <c r="AL60">
        <v>-324.13389438344819</v>
      </c>
      <c r="AM60">
        <v>153.70165688909788</v>
      </c>
      <c r="AN60">
        <v>-423.78631414527422</v>
      </c>
      <c r="AQ60">
        <v>58</v>
      </c>
      <c r="AR60">
        <f t="shared" si="2"/>
        <v>6.3590311707984588</v>
      </c>
      <c r="AS60">
        <f t="shared" si="3"/>
        <v>10.176577153877112</v>
      </c>
      <c r="AV60">
        <v>1442.6693111022396</v>
      </c>
      <c r="AW60">
        <v>2.0795644176482386</v>
      </c>
      <c r="AX60">
        <v>8.4574234075756043E-15</v>
      </c>
      <c r="AY60">
        <f t="shared" si="0"/>
        <v>2.0795644176482386</v>
      </c>
      <c r="AZ60">
        <v>2219.4912478495994</v>
      </c>
      <c r="BA60">
        <v>3.1993298733049822</v>
      </c>
      <c r="BB60">
        <v>1.301142062703939E-14</v>
      </c>
      <c r="BC60">
        <f t="shared" si="1"/>
        <v>3.1993298733049822</v>
      </c>
      <c r="BF60">
        <v>848.99553749127006</v>
      </c>
      <c r="BG60">
        <v>2.8675505795473262</v>
      </c>
      <c r="BH60">
        <v>1.8540136820120119E-15</v>
      </c>
      <c r="BI60">
        <f t="shared" si="4"/>
        <v>2.8675505795473262</v>
      </c>
      <c r="BJ60">
        <v>1306.1469807558001</v>
      </c>
      <c r="BK60">
        <v>4.4116162762266553</v>
      </c>
      <c r="BL60">
        <v>2.8523287415569414E-15</v>
      </c>
      <c r="BM60">
        <f t="shared" si="5"/>
        <v>4.4116162762266553</v>
      </c>
      <c r="BP60">
        <v>853.95913164198782</v>
      </c>
      <c r="BQ60">
        <v>-0.68061547808110712</v>
      </c>
      <c r="BR60">
        <v>9.7243611971105828E-11</v>
      </c>
      <c r="BS60">
        <f t="shared" si="6"/>
        <v>-0.68061547808110712</v>
      </c>
      <c r="BT60">
        <v>1313.7832794492119</v>
      </c>
      <c r="BU60">
        <v>-1.0471007355093955</v>
      </c>
      <c r="BV60">
        <v>1.4960555687862435E-10</v>
      </c>
      <c r="BW60">
        <f t="shared" si="7"/>
        <v>-1.0471007355093955</v>
      </c>
    </row>
    <row r="61" spans="1:75" x14ac:dyDescent="0.25">
      <c r="A61">
        <v>25</v>
      </c>
      <c r="B61" s="5">
        <v>7</v>
      </c>
      <c r="C61" s="1">
        <f t="shared" ca="1" si="14"/>
        <v>0</v>
      </c>
      <c r="D61" s="46">
        <f t="shared" si="16"/>
        <v>0</v>
      </c>
      <c r="E61" s="46">
        <f t="shared" si="17"/>
        <v>0</v>
      </c>
      <c r="F61" s="1">
        <f t="shared" ca="1" si="18"/>
        <v>2.8125</v>
      </c>
      <c r="G61" t="e">
        <f t="shared" ca="1" si="19"/>
        <v>#N/A</v>
      </c>
      <c r="H61" t="e">
        <f t="shared" ca="1" si="20"/>
        <v>#N/A</v>
      </c>
      <c r="I61" s="7">
        <f t="shared" si="21"/>
        <v>0</v>
      </c>
      <c r="J61" s="7">
        <f t="shared" si="22"/>
        <v>0</v>
      </c>
      <c r="K61">
        <f t="shared" si="23"/>
        <v>12</v>
      </c>
      <c r="L61" s="15">
        <f t="shared" ca="1" si="24"/>
        <v>0</v>
      </c>
      <c r="M61" s="9">
        <f t="shared" ca="1" si="15"/>
        <v>0</v>
      </c>
      <c r="N61" s="7">
        <f t="shared" ca="1" si="25"/>
        <v>0</v>
      </c>
      <c r="O61" s="7">
        <f t="shared" ca="1" si="26"/>
        <v>0</v>
      </c>
      <c r="P61" s="7">
        <f t="shared" ca="1" si="27"/>
        <v>0</v>
      </c>
      <c r="U61" t="e">
        <f t="shared" ca="1" si="28"/>
        <v>#N/A</v>
      </c>
      <c r="V61" t="e">
        <f t="shared" ca="1" si="29"/>
        <v>#N/A</v>
      </c>
      <c r="X61" t="e">
        <f t="shared" ca="1" si="30"/>
        <v>#N/A</v>
      </c>
      <c r="Y61" t="e">
        <f t="shared" ca="1" si="31"/>
        <v>#N/A</v>
      </c>
      <c r="AJ61">
        <v>5.148721293383268</v>
      </c>
      <c r="AK61">
        <v>145.8955600183105</v>
      </c>
      <c r="AL61">
        <v>-313.96070825345947</v>
      </c>
      <c r="AM61">
        <v>189.31550177957055</v>
      </c>
      <c r="AN61">
        <v>-407.39847747671945</v>
      </c>
      <c r="AQ61">
        <v>59</v>
      </c>
      <c r="AR61">
        <f t="shared" si="2"/>
        <v>6.1804568989206494</v>
      </c>
      <c r="AS61">
        <f t="shared" si="3"/>
        <v>10.286007608425347</v>
      </c>
      <c r="AV61">
        <v>1443.235735454273</v>
      </c>
      <c r="AW61">
        <v>1.6540167601498583</v>
      </c>
      <c r="AX61">
        <v>-1.6949696624418537E-10</v>
      </c>
      <c r="AY61">
        <f t="shared" si="0"/>
        <v>1.6540167601498583</v>
      </c>
      <c r="AZ61">
        <v>2220.3626699296506</v>
      </c>
      <c r="BA61">
        <v>2.5446411694613205</v>
      </c>
      <c r="BB61">
        <v>-2.6076456345259287E-10</v>
      </c>
      <c r="BC61">
        <f t="shared" si="1"/>
        <v>2.5446411694613205</v>
      </c>
      <c r="BF61">
        <v>849.45709429696285</v>
      </c>
      <c r="BG61">
        <v>2.6531287933125771</v>
      </c>
      <c r="BH61">
        <v>8.1866790574306005E-15</v>
      </c>
      <c r="BI61">
        <f t="shared" si="4"/>
        <v>2.6531287933125771</v>
      </c>
      <c r="BJ61">
        <v>1306.8570681491735</v>
      </c>
      <c r="BK61">
        <v>4.081736605096272</v>
      </c>
      <c r="BL61">
        <v>1.2594890857585539E-14</v>
      </c>
      <c r="BM61">
        <f t="shared" si="5"/>
        <v>4.081736605096272</v>
      </c>
      <c r="BP61">
        <v>854.25020017943166</v>
      </c>
      <c r="BQ61">
        <v>-0.52050729698405451</v>
      </c>
      <c r="BR61">
        <v>7.3641455877783577E-11</v>
      </c>
      <c r="BS61">
        <f t="shared" si="6"/>
        <v>-0.52050729698405451</v>
      </c>
      <c r="BT61">
        <v>1314.2310771991256</v>
      </c>
      <c r="BU61">
        <v>-0.80078045689854538</v>
      </c>
      <c r="BV61">
        <v>1.1329454750428243E-10</v>
      </c>
      <c r="BW61">
        <f t="shared" si="7"/>
        <v>-0.80078045689854538</v>
      </c>
    </row>
    <row r="62" spans="1:75" x14ac:dyDescent="0.25">
      <c r="A62">
        <v>26</v>
      </c>
      <c r="B62" s="5">
        <v>7</v>
      </c>
      <c r="C62" s="1">
        <f t="shared" ca="1" si="14"/>
        <v>0</v>
      </c>
      <c r="D62" s="46">
        <f t="shared" si="16"/>
        <v>0</v>
      </c>
      <c r="E62" s="46">
        <f t="shared" si="17"/>
        <v>0</v>
      </c>
      <c r="F62" s="1">
        <f t="shared" ca="1" si="18"/>
        <v>2.8125</v>
      </c>
      <c r="G62" t="e">
        <f t="shared" ca="1" si="19"/>
        <v>#N/A</v>
      </c>
      <c r="H62" t="e">
        <f t="shared" ca="1" si="20"/>
        <v>#N/A</v>
      </c>
      <c r="I62" s="7">
        <f t="shared" si="21"/>
        <v>0</v>
      </c>
      <c r="J62" s="7">
        <f t="shared" si="22"/>
        <v>0</v>
      </c>
      <c r="K62">
        <f t="shared" si="23"/>
        <v>12</v>
      </c>
      <c r="L62" s="15">
        <f t="shared" ca="1" si="24"/>
        <v>0</v>
      </c>
      <c r="M62" s="9">
        <f t="shared" ca="1" si="15"/>
        <v>0</v>
      </c>
      <c r="N62" s="7">
        <f t="shared" ca="1" si="25"/>
        <v>0</v>
      </c>
      <c r="O62" s="7">
        <f t="shared" ca="1" si="26"/>
        <v>0</v>
      </c>
      <c r="P62" s="7">
        <f t="shared" ca="1" si="27"/>
        <v>0</v>
      </c>
      <c r="U62" t="e">
        <f t="shared" ca="1" si="28"/>
        <v>#N/A</v>
      </c>
      <c r="V62" t="e">
        <f t="shared" ca="1" si="29"/>
        <v>#N/A</v>
      </c>
      <c r="X62" t="e">
        <f t="shared" ca="1" si="30"/>
        <v>#N/A</v>
      </c>
      <c r="Y62" t="e">
        <f t="shared" ca="1" si="31"/>
        <v>#N/A</v>
      </c>
      <c r="AJ62">
        <v>5.2359877559829844</v>
      </c>
      <c r="AK62">
        <v>173.07356960248441</v>
      </c>
      <c r="AL62">
        <v>-299.77221599881449</v>
      </c>
      <c r="AM62">
        <v>224.37203640828332</v>
      </c>
      <c r="AN62">
        <v>-388.62376685684461</v>
      </c>
      <c r="AQ62">
        <v>60</v>
      </c>
      <c r="AR62">
        <f t="shared" si="2"/>
        <v>6.0000000000000018</v>
      </c>
      <c r="AS62">
        <f t="shared" si="3"/>
        <v>10.392304845413264</v>
      </c>
      <c r="AV62">
        <v>1443.7574918449136</v>
      </c>
      <c r="AW62">
        <v>1.262317011458912</v>
      </c>
      <c r="AX62">
        <v>-1.1031933345180461E-10</v>
      </c>
      <c r="AY62">
        <f t="shared" si="0"/>
        <v>1.262317011458912</v>
      </c>
      <c r="AZ62">
        <v>2221.1653720690979</v>
      </c>
      <c r="BA62">
        <v>1.9420261714752491</v>
      </c>
      <c r="BB62">
        <v>-1.6972205146431479E-10</v>
      </c>
      <c r="BC62">
        <f t="shared" si="1"/>
        <v>1.9420261714752491</v>
      </c>
      <c r="BF62">
        <v>849.90326628530045</v>
      </c>
      <c r="BG62">
        <v>2.4458542097135969</v>
      </c>
      <c r="BH62">
        <v>1.4540568968818813E-15</v>
      </c>
      <c r="BI62">
        <f t="shared" si="4"/>
        <v>2.4458542097135969</v>
      </c>
      <c r="BJ62">
        <v>1307.5434865927698</v>
      </c>
      <c r="BK62">
        <v>3.7628526303286103</v>
      </c>
      <c r="BL62">
        <v>2.2370106105875096E-15</v>
      </c>
      <c r="BM62">
        <f t="shared" si="5"/>
        <v>3.7628526303286103</v>
      </c>
      <c r="BP62">
        <v>854.51702673033435</v>
      </c>
      <c r="BQ62">
        <v>-0.37405491312477496</v>
      </c>
      <c r="BR62">
        <v>5.1577314780875402E-11</v>
      </c>
      <c r="BS62">
        <f t="shared" si="6"/>
        <v>-0.37405491312477496</v>
      </c>
      <c r="BT62">
        <v>1314.6415795851296</v>
      </c>
      <c r="BU62">
        <v>-0.57546909711503835</v>
      </c>
      <c r="BV62">
        <v>7.9349715047500614E-11</v>
      </c>
      <c r="BW62">
        <f t="shared" si="7"/>
        <v>-0.57546909711503835</v>
      </c>
    </row>
    <row r="63" spans="1:75" x14ac:dyDescent="0.25">
      <c r="A63">
        <v>27</v>
      </c>
      <c r="B63" s="5">
        <v>0</v>
      </c>
      <c r="C63" s="1">
        <f t="shared" ca="1" si="14"/>
        <v>0</v>
      </c>
      <c r="D63" s="46">
        <f t="shared" si="16"/>
        <v>0</v>
      </c>
      <c r="E63" s="46">
        <f t="shared" si="17"/>
        <v>0</v>
      </c>
      <c r="F63" s="1">
        <f t="shared" ca="1" si="18"/>
        <v>2.375</v>
      </c>
      <c r="G63" t="e">
        <f t="shared" ca="1" si="19"/>
        <v>#N/A</v>
      </c>
      <c r="H63" t="e">
        <f t="shared" ca="1" si="20"/>
        <v>#N/A</v>
      </c>
      <c r="I63" s="7">
        <f t="shared" si="21"/>
        <v>0</v>
      </c>
      <c r="J63" s="7">
        <f t="shared" si="22"/>
        <v>0</v>
      </c>
      <c r="K63">
        <f t="shared" si="23"/>
        <v>0</v>
      </c>
      <c r="L63" s="15">
        <f t="shared" ca="1" si="24"/>
        <v>0</v>
      </c>
      <c r="M63" s="9">
        <f t="shared" ca="1" si="15"/>
        <v>0</v>
      </c>
      <c r="N63" s="7">
        <f t="shared" ca="1" si="25"/>
        <v>0</v>
      </c>
      <c r="O63" s="7">
        <f t="shared" ca="1" si="26"/>
        <v>0</v>
      </c>
      <c r="P63" s="7">
        <f t="shared" ca="1" si="27"/>
        <v>0</v>
      </c>
      <c r="U63" t="e">
        <f t="shared" ca="1" si="28"/>
        <v>#N/A</v>
      </c>
      <c r="V63" t="e">
        <f t="shared" ca="1" si="29"/>
        <v>#N/A</v>
      </c>
      <c r="X63" t="e">
        <f t="shared" ca="1" si="30"/>
        <v>#N/A</v>
      </c>
      <c r="Y63" t="e">
        <f t="shared" ca="1" si="31"/>
        <v>#N/A</v>
      </c>
      <c r="AJ63">
        <v>5.3232542185827008</v>
      </c>
      <c r="AK63">
        <v>198.95016912849306</v>
      </c>
      <c r="AL63">
        <v>-283.32961540194583</v>
      </c>
      <c r="AM63">
        <v>258.15968006815314</v>
      </c>
      <c r="AN63">
        <v>-367.65127260966824</v>
      </c>
      <c r="AQ63">
        <v>61</v>
      </c>
      <c r="AR63">
        <f t="shared" si="2"/>
        <v>5.8177154429560449</v>
      </c>
      <c r="AS63">
        <f t="shared" si="3"/>
        <v>10.495436485672748</v>
      </c>
      <c r="AV63">
        <v>1444.2397954860182</v>
      </c>
      <c r="AW63">
        <v>0.9008106357348411</v>
      </c>
      <c r="AX63">
        <v>-5.4653633127907071E-11</v>
      </c>
      <c r="AY63">
        <f t="shared" si="0"/>
        <v>0.9008106357348411</v>
      </c>
      <c r="AZ63">
        <v>2221.9073776707974</v>
      </c>
      <c r="BA63">
        <v>1.3858625165151401</v>
      </c>
      <c r="BB63">
        <v>-8.4082512504472419E-11</v>
      </c>
      <c r="BC63">
        <f t="shared" si="1"/>
        <v>1.3858625165151401</v>
      </c>
      <c r="BF63">
        <v>850.33481006683564</v>
      </c>
      <c r="BG63">
        <v>2.245375336183808</v>
      </c>
      <c r="BH63">
        <v>7.9709002174970139E-15</v>
      </c>
      <c r="BI63">
        <f t="shared" si="4"/>
        <v>2.245375336183808</v>
      </c>
      <c r="BJ63">
        <v>1308.2074001028241</v>
      </c>
      <c r="BK63">
        <v>3.4544235941289352</v>
      </c>
      <c r="BL63">
        <v>1.2262923411533868E-14</v>
      </c>
      <c r="BM63">
        <f t="shared" si="5"/>
        <v>3.4544235941289352</v>
      </c>
      <c r="BP63">
        <v>854.76250303068571</v>
      </c>
      <c r="BQ63">
        <v>-0.23974611887239003</v>
      </c>
      <c r="BR63">
        <v>-1.0200424073468387E-14</v>
      </c>
      <c r="BS63">
        <f t="shared" si="6"/>
        <v>-0.23974611887239003</v>
      </c>
      <c r="BT63">
        <v>1315.0192354318242</v>
      </c>
      <c r="BU63">
        <v>-0.36884018288060005</v>
      </c>
      <c r="BV63">
        <v>-1.5692960113028288E-14</v>
      </c>
      <c r="BW63">
        <f t="shared" si="7"/>
        <v>-0.36884018288060005</v>
      </c>
    </row>
    <row r="64" spans="1:75" x14ac:dyDescent="0.25">
      <c r="A64">
        <v>28</v>
      </c>
      <c r="B64" s="5">
        <v>0</v>
      </c>
      <c r="C64" s="1">
        <f t="shared" ca="1" si="14"/>
        <v>0</v>
      </c>
      <c r="D64" s="46">
        <f t="shared" si="16"/>
        <v>0</v>
      </c>
      <c r="E64" s="46">
        <f t="shared" si="17"/>
        <v>0</v>
      </c>
      <c r="F64" s="1">
        <f t="shared" ca="1" si="18"/>
        <v>2.375</v>
      </c>
      <c r="G64" t="e">
        <f t="shared" ca="1" si="19"/>
        <v>#N/A</v>
      </c>
      <c r="H64" t="e">
        <f t="shared" ca="1" si="20"/>
        <v>#N/A</v>
      </c>
      <c r="I64" s="7">
        <f t="shared" si="21"/>
        <v>0</v>
      </c>
      <c r="J64" s="7">
        <f t="shared" si="22"/>
        <v>0</v>
      </c>
      <c r="K64">
        <f t="shared" si="23"/>
        <v>0</v>
      </c>
      <c r="L64" s="15">
        <f t="shared" ca="1" si="24"/>
        <v>0</v>
      </c>
      <c r="M64" s="9">
        <f t="shared" ca="1" si="15"/>
        <v>0</v>
      </c>
      <c r="N64" s="7">
        <f t="shared" ca="1" si="25"/>
        <v>0</v>
      </c>
      <c r="O64" s="7">
        <f t="shared" ca="1" si="26"/>
        <v>0</v>
      </c>
      <c r="P64" s="7">
        <f t="shared" ca="1" si="27"/>
        <v>0</v>
      </c>
      <c r="U64" t="e">
        <f t="shared" ca="1" si="28"/>
        <v>#N/A</v>
      </c>
      <c r="V64" t="e">
        <f t="shared" ca="1" si="29"/>
        <v>#N/A</v>
      </c>
      <c r="X64" t="e">
        <f t="shared" ca="1" si="30"/>
        <v>#N/A</v>
      </c>
      <c r="Y64" t="e">
        <f t="shared" ca="1" si="31"/>
        <v>#N/A</v>
      </c>
      <c r="AJ64">
        <v>5.4105206811824171</v>
      </c>
      <c r="AK64">
        <v>221.92866161412292</v>
      </c>
      <c r="AL64">
        <v>-263.87607119547323</v>
      </c>
      <c r="AM64">
        <v>290.15888538142792</v>
      </c>
      <c r="AN64">
        <v>-345.00269654235768</v>
      </c>
      <c r="AQ64">
        <v>62</v>
      </c>
      <c r="AR64">
        <f t="shared" si="2"/>
        <v>5.6336587534306908</v>
      </c>
      <c r="AS64">
        <f t="shared" si="3"/>
        <v>10.595371114307122</v>
      </c>
      <c r="AV64">
        <v>1444.7394620273274</v>
      </c>
      <c r="AW64">
        <v>0.54280523364798638</v>
      </c>
      <c r="AX64">
        <v>-4.7667043460523456E-11</v>
      </c>
      <c r="AY64">
        <f t="shared" si="0"/>
        <v>0.54280523364798638</v>
      </c>
      <c r="AZ64">
        <v>2222.6760954266574</v>
      </c>
      <c r="BA64">
        <v>0.83508497484305599</v>
      </c>
      <c r="BB64">
        <v>-7.3333913016189925E-11</v>
      </c>
      <c r="BC64">
        <f t="shared" si="1"/>
        <v>0.83508497484305599</v>
      </c>
      <c r="BF64">
        <v>850.75243343979514</v>
      </c>
      <c r="BG64">
        <v>2.0513633565122888</v>
      </c>
      <c r="BH64">
        <v>4.441900418559804E-15</v>
      </c>
      <c r="BI64">
        <f t="shared" si="4"/>
        <v>2.0513633565122888</v>
      </c>
      <c r="BJ64">
        <v>1308.8498975996847</v>
      </c>
      <c r="BK64">
        <v>3.1559436254035211</v>
      </c>
      <c r="BL64">
        <v>6.8336929516304677E-15</v>
      </c>
      <c r="BM64">
        <f t="shared" si="5"/>
        <v>3.1559436254035211</v>
      </c>
      <c r="BP64">
        <v>854.98920253899155</v>
      </c>
      <c r="BQ64">
        <v>-0.11621131377414533</v>
      </c>
      <c r="BR64">
        <v>-1.5199899350906351E-15</v>
      </c>
      <c r="BS64">
        <f t="shared" si="6"/>
        <v>-0.11621131377414533</v>
      </c>
      <c r="BT64">
        <v>1315.3680039061408</v>
      </c>
      <c r="BU64">
        <v>-0.1787866365756082</v>
      </c>
      <c r="BV64">
        <v>-2.3384460539855922E-15</v>
      </c>
      <c r="BW64">
        <f t="shared" si="7"/>
        <v>-0.1787866365756082</v>
      </c>
    </row>
    <row r="65" spans="1:75" x14ac:dyDescent="0.25">
      <c r="A65">
        <v>29</v>
      </c>
      <c r="B65" s="5">
        <v>0</v>
      </c>
      <c r="C65" s="1">
        <f t="shared" ca="1" si="14"/>
        <v>0</v>
      </c>
      <c r="D65" s="46">
        <f t="shared" si="16"/>
        <v>0</v>
      </c>
      <c r="E65" s="46">
        <f t="shared" si="17"/>
        <v>0</v>
      </c>
      <c r="F65" s="1">
        <f t="shared" ca="1" si="18"/>
        <v>2.375</v>
      </c>
      <c r="G65" t="e">
        <f t="shared" ca="1" si="19"/>
        <v>#N/A</v>
      </c>
      <c r="H65" t="e">
        <f t="shared" ca="1" si="20"/>
        <v>#N/A</v>
      </c>
      <c r="I65" s="7">
        <f t="shared" si="21"/>
        <v>0</v>
      </c>
      <c r="J65" s="7">
        <f t="shared" si="22"/>
        <v>0</v>
      </c>
      <c r="K65">
        <f t="shared" si="23"/>
        <v>0</v>
      </c>
      <c r="L65" s="15">
        <f t="shared" ca="1" si="24"/>
        <v>0</v>
      </c>
      <c r="M65" s="9">
        <f t="shared" ca="1" si="15"/>
        <v>0</v>
      </c>
      <c r="N65" s="7">
        <f t="shared" ca="1" si="25"/>
        <v>0</v>
      </c>
      <c r="O65" s="7">
        <f t="shared" ca="1" si="26"/>
        <v>0</v>
      </c>
      <c r="P65" s="7">
        <f t="shared" ca="1" si="27"/>
        <v>0</v>
      </c>
      <c r="U65" t="e">
        <f t="shared" ca="1" si="28"/>
        <v>#N/A</v>
      </c>
      <c r="V65" t="e">
        <f t="shared" ca="1" si="29"/>
        <v>#N/A</v>
      </c>
      <c r="X65" t="e">
        <f t="shared" ca="1" si="30"/>
        <v>#N/A</v>
      </c>
      <c r="Y65" t="e">
        <f t="shared" ca="1" si="31"/>
        <v>#N/A</v>
      </c>
      <c r="AJ65">
        <v>5.4977871437821335</v>
      </c>
      <c r="AK65">
        <v>242.77548161910823</v>
      </c>
      <c r="AL65">
        <v>-241.92486760392353</v>
      </c>
      <c r="AM65">
        <v>321.19825332121223</v>
      </c>
      <c r="AN65">
        <v>-320.07286893681828</v>
      </c>
      <c r="AQ65">
        <v>63</v>
      </c>
      <c r="AR65">
        <f t="shared" si="2"/>
        <v>5.4478859968745619</v>
      </c>
      <c r="AS65">
        <f t="shared" si="3"/>
        <v>10.692078290260413</v>
      </c>
      <c r="AV65">
        <v>1445.0050082192149</v>
      </c>
      <c r="AW65">
        <v>0.33322325153474752</v>
      </c>
      <c r="AX65">
        <v>-3.6177240832676221E-11</v>
      </c>
      <c r="AY65">
        <f t="shared" si="0"/>
        <v>0.33322325153474752</v>
      </c>
      <c r="AZ65">
        <v>2223.0846280295614</v>
      </c>
      <c r="BA65">
        <v>0.51265115620730384</v>
      </c>
      <c r="BB65">
        <v>-5.5657293588732643E-11</v>
      </c>
      <c r="BC65">
        <f t="shared" si="1"/>
        <v>0.51265115620730384</v>
      </c>
      <c r="BF65">
        <v>851.15679926397399</v>
      </c>
      <c r="BG65">
        <v>1.8635103311786325</v>
      </c>
      <c r="BH65">
        <v>4.8648814003039114E-16</v>
      </c>
      <c r="BI65">
        <f t="shared" si="4"/>
        <v>1.8635103311786325</v>
      </c>
      <c r="BJ65">
        <v>1309.4719988676522</v>
      </c>
      <c r="BK65">
        <v>2.8669389710440498</v>
      </c>
      <c r="BL65">
        <v>7.4844329235444785E-16</v>
      </c>
      <c r="BM65">
        <f t="shared" si="5"/>
        <v>2.8669389710440498</v>
      </c>
      <c r="BP65">
        <v>855.0499405844896</v>
      </c>
      <c r="BQ65">
        <v>-7.9282785796058852E-2</v>
      </c>
      <c r="BR65">
        <v>7.2475045555011733E-12</v>
      </c>
      <c r="BS65">
        <f t="shared" si="6"/>
        <v>-7.9282785796058852E-2</v>
      </c>
      <c r="BT65">
        <v>1315.461447053061</v>
      </c>
      <c r="BU65">
        <v>-0.12197351660932131</v>
      </c>
      <c r="BV65">
        <v>1.1150007008463343E-11</v>
      </c>
      <c r="BW65">
        <f t="shared" si="7"/>
        <v>-0.12197351660932131</v>
      </c>
    </row>
    <row r="66" spans="1:75" x14ac:dyDescent="0.25">
      <c r="A66">
        <v>30</v>
      </c>
      <c r="B66" s="5">
        <v>0</v>
      </c>
      <c r="C66" s="1">
        <f t="shared" ca="1" si="14"/>
        <v>0</v>
      </c>
      <c r="D66" s="46">
        <f t="shared" si="16"/>
        <v>0</v>
      </c>
      <c r="E66" s="46">
        <f t="shared" si="17"/>
        <v>0</v>
      </c>
      <c r="F66" s="1">
        <f t="shared" ca="1" si="18"/>
        <v>2.375</v>
      </c>
      <c r="G66" t="e">
        <f t="shared" ca="1" si="19"/>
        <v>#N/A</v>
      </c>
      <c r="H66" t="e">
        <f t="shared" ca="1" si="20"/>
        <v>#N/A</v>
      </c>
      <c r="I66" s="7">
        <f t="shared" si="21"/>
        <v>0</v>
      </c>
      <c r="J66" s="7">
        <f t="shared" si="22"/>
        <v>0</v>
      </c>
      <c r="K66">
        <f t="shared" si="23"/>
        <v>0</v>
      </c>
      <c r="L66" s="15">
        <f t="shared" ca="1" si="24"/>
        <v>0</v>
      </c>
      <c r="M66" s="9">
        <f t="shared" ca="1" si="15"/>
        <v>0</v>
      </c>
      <c r="N66" s="7">
        <f t="shared" ca="1" si="25"/>
        <v>0</v>
      </c>
      <c r="O66" s="7">
        <f t="shared" ca="1" si="26"/>
        <v>0</v>
      </c>
      <c r="P66" s="7">
        <f t="shared" ca="1" si="27"/>
        <v>0</v>
      </c>
      <c r="U66" t="e">
        <f t="shared" ca="1" si="28"/>
        <v>#N/A</v>
      </c>
      <c r="V66" t="e">
        <f t="shared" ca="1" si="29"/>
        <v>#N/A</v>
      </c>
      <c r="X66" t="e">
        <f t="shared" ca="1" si="30"/>
        <v>#N/A</v>
      </c>
      <c r="Y66" t="e">
        <f t="shared" ca="1" si="31"/>
        <v>#N/A</v>
      </c>
      <c r="AJ66">
        <v>5.5850536063818499</v>
      </c>
      <c r="AK66">
        <v>260.26543710969793</v>
      </c>
      <c r="AL66">
        <v>-218.38863228694308</v>
      </c>
      <c r="AM66">
        <v>348.97402672133882</v>
      </c>
      <c r="AN66">
        <v>-292.82397711232829</v>
      </c>
      <c r="AQ66">
        <v>64</v>
      </c>
      <c r="AR66">
        <f t="shared" si="2"/>
        <v>5.2604537614689297</v>
      </c>
      <c r="AS66">
        <f t="shared" si="3"/>
        <v>10.785528555590005</v>
      </c>
      <c r="AV66">
        <v>1445.2575846546533</v>
      </c>
      <c r="AW66">
        <v>0.13590487557432723</v>
      </c>
      <c r="AX66">
        <v>-1.2446119841530398E-11</v>
      </c>
      <c r="AY66">
        <f t="shared" ref="AY66:AY77" si="32">SQRT(POWER(AW66,2)+POWER(AX66,2))</f>
        <v>0.13590487557432723</v>
      </c>
      <c r="AZ66">
        <v>2223.4732071610051</v>
      </c>
      <c r="BA66">
        <v>0.20908442396050342</v>
      </c>
      <c r="BB66">
        <v>-1.9147876679277535E-11</v>
      </c>
      <c r="BC66">
        <f t="shared" ref="BC66:BC77" si="33">SQRT(POWER(BA66,2)+POWER(BB66,2))</f>
        <v>0.20908442396050342</v>
      </c>
      <c r="BF66">
        <v>851.54852897146463</v>
      </c>
      <c r="BG66">
        <v>1.681527566402232</v>
      </c>
      <c r="BH66">
        <v>6.6637559195783696E-15</v>
      </c>
      <c r="BI66">
        <f t="shared" si="4"/>
        <v>1.681527566402232</v>
      </c>
      <c r="BJ66">
        <v>1310.0746599560994</v>
      </c>
      <c r="BK66">
        <v>2.5869654867726646</v>
      </c>
      <c r="BL66">
        <v>1.0251932183966722E-14</v>
      </c>
      <c r="BM66">
        <f t="shared" si="5"/>
        <v>2.5869654867726646</v>
      </c>
      <c r="BP66">
        <v>855.08346642234983</v>
      </c>
      <c r="BQ66">
        <v>-5.7344794868819986E-2</v>
      </c>
      <c r="BR66">
        <v>5.2447011214737605E-12</v>
      </c>
      <c r="BS66">
        <f t="shared" si="6"/>
        <v>-5.7344794868819986E-2</v>
      </c>
      <c r="BT66">
        <v>1315.5130252651536</v>
      </c>
      <c r="BU66">
        <v>-8.8222761336646124E-2</v>
      </c>
      <c r="BV66">
        <v>8.0687709561134777E-12</v>
      </c>
      <c r="BW66">
        <f t="shared" si="7"/>
        <v>-8.8222761336646124E-2</v>
      </c>
    </row>
    <row r="67" spans="1:75" x14ac:dyDescent="0.25">
      <c r="A67">
        <v>31</v>
      </c>
      <c r="B67" s="5">
        <v>0</v>
      </c>
      <c r="C67" s="1">
        <f t="shared" ca="1" si="14"/>
        <v>0</v>
      </c>
      <c r="D67" s="46">
        <f t="shared" si="16"/>
        <v>0</v>
      </c>
      <c r="E67" s="46">
        <f t="shared" si="17"/>
        <v>0</v>
      </c>
      <c r="F67" s="1">
        <f t="shared" ca="1" si="18"/>
        <v>2.375</v>
      </c>
      <c r="G67" t="e">
        <f t="shared" ca="1" si="19"/>
        <v>#N/A</v>
      </c>
      <c r="H67" t="e">
        <f t="shared" ca="1" si="20"/>
        <v>#N/A</v>
      </c>
      <c r="I67" s="7">
        <f t="shared" si="21"/>
        <v>0</v>
      </c>
      <c r="J67" s="7">
        <f t="shared" si="22"/>
        <v>0</v>
      </c>
      <c r="K67">
        <f t="shared" si="23"/>
        <v>0</v>
      </c>
      <c r="L67" s="15">
        <f t="shared" ca="1" si="24"/>
        <v>0</v>
      </c>
      <c r="M67" s="9">
        <f t="shared" ca="1" si="15"/>
        <v>0</v>
      </c>
      <c r="N67" s="7">
        <f t="shared" ca="1" si="25"/>
        <v>0</v>
      </c>
      <c r="O67" s="7">
        <f t="shared" ca="1" si="26"/>
        <v>0</v>
      </c>
      <c r="P67" s="7">
        <f t="shared" ca="1" si="27"/>
        <v>0</v>
      </c>
      <c r="U67" t="e">
        <f t="shared" ca="1" si="28"/>
        <v>#N/A</v>
      </c>
      <c r="V67" t="e">
        <f t="shared" ca="1" si="29"/>
        <v>#N/A</v>
      </c>
      <c r="X67" t="e">
        <f t="shared" ca="1" si="30"/>
        <v>#N/A</v>
      </c>
      <c r="Y67" t="e">
        <f t="shared" ca="1" si="31"/>
        <v>#N/A</v>
      </c>
      <c r="AJ67">
        <v>5.6723200689815663</v>
      </c>
      <c r="AK67">
        <v>280.40700522816331</v>
      </c>
      <c r="AL67">
        <v>-197.07736414803858</v>
      </c>
      <c r="AM67">
        <v>370.98573421686643</v>
      </c>
      <c r="AN67">
        <v>-260.73845971320827</v>
      </c>
      <c r="AQ67">
        <v>65</v>
      </c>
      <c r="AR67">
        <f t="shared" ref="AR67:AR130" si="34">$B$3*COS(RADIANS(AQ67))</f>
        <v>5.0714191408883931</v>
      </c>
      <c r="AS67">
        <f t="shared" ref="AS67:AS130" si="35">$B$3*SIN(RADIANS(AQ67))</f>
        <v>10.875693444439799</v>
      </c>
      <c r="AV67">
        <v>1445.303286308967</v>
      </c>
      <c r="AW67">
        <v>9.5537468362618644E-2</v>
      </c>
      <c r="AX67">
        <v>1.5773976713406397E-15</v>
      </c>
      <c r="AY67">
        <f t="shared" si="32"/>
        <v>9.5537468362618644E-2</v>
      </c>
      <c r="AZ67">
        <v>2223.5435173984106</v>
      </c>
      <c r="BA67">
        <v>0.14698072055787484</v>
      </c>
      <c r="BB67">
        <v>2.4267656482163687E-15</v>
      </c>
      <c r="BC67">
        <f t="shared" si="33"/>
        <v>0.14698072055787484</v>
      </c>
      <c r="BF67">
        <v>851.9282057533236</v>
      </c>
      <c r="BG67">
        <v>1.5051441337370743</v>
      </c>
      <c r="BH67">
        <v>3.1763724268966894E-15</v>
      </c>
      <c r="BI67">
        <f t="shared" ref="BI67:BI77" si="36">SQRT(POWER(BG67,2)+POWER(BH67,2))</f>
        <v>1.5051441337370743</v>
      </c>
      <c r="BJ67">
        <v>1310.6587780820362</v>
      </c>
      <c r="BK67">
        <v>2.315606359595499</v>
      </c>
      <c r="BL67">
        <v>4.8867268106102914E-15</v>
      </c>
      <c r="BM67">
        <f t="shared" ref="BM67:BM77" si="37">SQRT(POWER(BK67,2)+POWER(BL67,2))</f>
        <v>2.315606359595499</v>
      </c>
      <c r="BP67">
        <v>855.10919324223414</v>
      </c>
      <c r="BQ67">
        <v>-4.0304240577306416E-2</v>
      </c>
      <c r="BR67">
        <v>3.68358851705768E-12</v>
      </c>
      <c r="BS67">
        <f t="shared" ref="BS67:BS76" si="38">SQRT(POWER(BQ67,2)+POWER(BR67,2))*-1</f>
        <v>-4.0304240577306416E-2</v>
      </c>
      <c r="BT67">
        <v>1315.5526049880525</v>
      </c>
      <c r="BU67">
        <v>-6.2006523965086789E-2</v>
      </c>
      <c r="BV67">
        <v>5.6670592570118148E-12</v>
      </c>
      <c r="BW67">
        <f t="shared" ref="BW67:BW76" si="39">SQRT(POWER(BU67,2)+POWER(BV67,2))*-1</f>
        <v>-6.2006523965086789E-2</v>
      </c>
    </row>
    <row r="68" spans="1:75" x14ac:dyDescent="0.25">
      <c r="A68">
        <v>32</v>
      </c>
      <c r="B68" s="5">
        <v>0</v>
      </c>
      <c r="C68" s="1">
        <f t="shared" ca="1" si="14"/>
        <v>0</v>
      </c>
      <c r="D68" s="46">
        <f t="shared" si="16"/>
        <v>0</v>
      </c>
      <c r="E68" s="46">
        <f t="shared" si="17"/>
        <v>0</v>
      </c>
      <c r="F68" s="1">
        <f t="shared" ca="1" si="18"/>
        <v>2.375</v>
      </c>
      <c r="G68" t="e">
        <f t="shared" ca="1" si="19"/>
        <v>#N/A</v>
      </c>
      <c r="H68" t="e">
        <f t="shared" ca="1" si="20"/>
        <v>#N/A</v>
      </c>
      <c r="I68" s="7">
        <f t="shared" si="21"/>
        <v>0</v>
      </c>
      <c r="J68" s="7">
        <f t="shared" si="22"/>
        <v>0</v>
      </c>
      <c r="K68">
        <f t="shared" si="23"/>
        <v>0</v>
      </c>
      <c r="L68" s="15">
        <f t="shared" ca="1" si="24"/>
        <v>0</v>
      </c>
      <c r="M68" s="9">
        <f t="shared" ca="1" si="15"/>
        <v>0</v>
      </c>
      <c r="N68" s="7">
        <f t="shared" ca="1" si="25"/>
        <v>0</v>
      </c>
      <c r="O68" s="7">
        <f t="shared" ca="1" si="26"/>
        <v>0</v>
      </c>
      <c r="P68" s="7">
        <f t="shared" ca="1" si="27"/>
        <v>0</v>
      </c>
      <c r="U68" t="e">
        <f t="shared" ca="1" si="28"/>
        <v>#N/A</v>
      </c>
      <c r="V68" t="e">
        <f t="shared" ca="1" si="29"/>
        <v>#N/A</v>
      </c>
      <c r="X68" t="e">
        <f t="shared" ca="1" si="30"/>
        <v>#N/A</v>
      </c>
      <c r="Y68" t="e">
        <f t="shared" ca="1" si="31"/>
        <v>#N/A</v>
      </c>
      <c r="AJ68">
        <v>5.7595865315812826</v>
      </c>
      <c r="AK68">
        <v>298.40470840905488</v>
      </c>
      <c r="AL68">
        <v>-172.7354676802108</v>
      </c>
      <c r="AM68">
        <v>390.14689204538291</v>
      </c>
      <c r="AN68">
        <v>-225.84163038425757</v>
      </c>
      <c r="AQ68">
        <v>66</v>
      </c>
      <c r="AR68">
        <f t="shared" si="34"/>
        <v>4.8808397169096027</v>
      </c>
      <c r="AS68">
        <f t="shared" si="35"/>
        <v>10.962545491711211</v>
      </c>
      <c r="AV68">
        <v>1445.3376132316137</v>
      </c>
      <c r="AW68">
        <v>6.4851730036409025E-2</v>
      </c>
      <c r="AX68">
        <v>4.6557753746346503E-15</v>
      </c>
      <c r="AY68">
        <f t="shared" si="32"/>
        <v>6.4851730036409025E-2</v>
      </c>
      <c r="AZ68">
        <v>2223.5963280486362</v>
      </c>
      <c r="BA68">
        <v>9.9771892363706191E-2</v>
      </c>
      <c r="BB68">
        <v>7.1627313455917696E-15</v>
      </c>
      <c r="BC68">
        <f t="shared" si="33"/>
        <v>9.9771892363706191E-2</v>
      </c>
      <c r="BF68">
        <v>852.29637745655043</v>
      </c>
      <c r="BG68">
        <v>1.3341055242456734</v>
      </c>
      <c r="BH68">
        <v>-1.5379178113559673E-10</v>
      </c>
      <c r="BI68">
        <f t="shared" si="36"/>
        <v>1.3341055242456734</v>
      </c>
      <c r="BJ68">
        <v>1311.2251960870005</v>
      </c>
      <c r="BK68">
        <v>2.0524700373010361</v>
      </c>
      <c r="BL68">
        <v>-2.3660274020861034E-10</v>
      </c>
      <c r="BM68">
        <f t="shared" si="37"/>
        <v>2.0524700373010361</v>
      </c>
      <c r="BP68">
        <v>855.12850182166949</v>
      </c>
      <c r="BQ68">
        <v>-2.7358899290808598E-2</v>
      </c>
      <c r="BR68">
        <v>-1.4218193025878375E-16</v>
      </c>
      <c r="BS68">
        <f t="shared" si="38"/>
        <v>-2.7358899290808598E-2</v>
      </c>
      <c r="BT68">
        <v>1315.5823104948761</v>
      </c>
      <c r="BU68">
        <v>-4.2090614293551688E-2</v>
      </c>
      <c r="BV68">
        <v>-2.1874143116735959E-16</v>
      </c>
      <c r="BW68">
        <f t="shared" si="39"/>
        <v>-4.2090614293551688E-2</v>
      </c>
    </row>
    <row r="69" spans="1:75" x14ac:dyDescent="0.25">
      <c r="A69">
        <v>33</v>
      </c>
      <c r="B69" s="5">
        <v>0</v>
      </c>
      <c r="C69" s="1">
        <f t="shared" ref="C69:C100" ca="1" si="40">IF(A69&lt;=$B$31,OFFSET($Q$36,MATCH(B69,$Q$36:$Q$47,0)-1,2),0)</f>
        <v>0</v>
      </c>
      <c r="D69" s="46">
        <f t="shared" si="16"/>
        <v>0</v>
      </c>
      <c r="E69" s="46">
        <f t="shared" si="17"/>
        <v>0</v>
      </c>
      <c r="F69" s="1">
        <f t="shared" ca="1" si="18"/>
        <v>2.375</v>
      </c>
      <c r="G69" t="e">
        <f t="shared" ca="1" si="19"/>
        <v>#N/A</v>
      </c>
      <c r="H69" t="e">
        <f t="shared" ca="1" si="20"/>
        <v>#N/A</v>
      </c>
      <c r="I69" s="7">
        <f t="shared" si="21"/>
        <v>0</v>
      </c>
      <c r="J69" s="7">
        <f t="shared" si="22"/>
        <v>0</v>
      </c>
      <c r="K69">
        <f t="shared" si="23"/>
        <v>0</v>
      </c>
      <c r="L69" s="15">
        <f t="shared" ca="1" si="24"/>
        <v>0</v>
      </c>
      <c r="M69" s="9">
        <f t="shared" ref="M69:M100" ca="1" si="41">IF(AND(L69&gt;0,K69&lt;=$B$12),MIN((L69*F$35),C$35)-IF($B$2="Whitney",$B$9,B183),MAX(L69*F$35,-1*C$35))</f>
        <v>0</v>
      </c>
      <c r="N69" s="7">
        <f t="shared" ca="1" si="25"/>
        <v>0</v>
      </c>
      <c r="O69" s="7">
        <f t="shared" ca="1" si="26"/>
        <v>0</v>
      </c>
      <c r="P69" s="7">
        <f t="shared" ca="1" si="27"/>
        <v>0</v>
      </c>
      <c r="U69" t="e">
        <f t="shared" ca="1" si="28"/>
        <v>#N/A</v>
      </c>
      <c r="V69" t="e">
        <f t="shared" ca="1" si="29"/>
        <v>#N/A</v>
      </c>
      <c r="X69" t="e">
        <f t="shared" ca="1" si="30"/>
        <v>#N/A</v>
      </c>
      <c r="Y69" t="e">
        <f t="shared" ca="1" si="31"/>
        <v>#N/A</v>
      </c>
      <c r="AJ69">
        <v>5.846852994180999</v>
      </c>
      <c r="AK69">
        <v>313.57253622149216</v>
      </c>
      <c r="AL69">
        <v>-146.7279976272128</v>
      </c>
      <c r="AM69">
        <v>406.89478166171671</v>
      </c>
      <c r="AN69">
        <v>-190.39568094067553</v>
      </c>
      <c r="AQ69">
        <v>67</v>
      </c>
      <c r="AR69">
        <f t="shared" si="34"/>
        <v>4.688773541871285</v>
      </c>
      <c r="AS69">
        <f t="shared" si="35"/>
        <v>11.046058241429284</v>
      </c>
      <c r="AV69">
        <v>1445.3626883703648</v>
      </c>
      <c r="AW69">
        <v>4.2164703492360213E-2</v>
      </c>
      <c r="AX69">
        <v>-3.844442625543862E-12</v>
      </c>
      <c r="AY69">
        <f t="shared" si="32"/>
        <v>4.2164703492360213E-2</v>
      </c>
      <c r="AZ69">
        <v>2223.6349051851766</v>
      </c>
      <c r="BA69">
        <v>6.4868774603631094E-2</v>
      </c>
      <c r="BB69">
        <v>-5.9145271162213258E-12</v>
      </c>
      <c r="BC69">
        <f t="shared" si="33"/>
        <v>6.4868774603631094E-2</v>
      </c>
      <c r="BF69">
        <v>852.65355922164065</v>
      </c>
      <c r="BG69">
        <v>1.1681724231917952</v>
      </c>
      <c r="BH69">
        <v>3.4511574866323898E-15</v>
      </c>
      <c r="BI69">
        <f t="shared" si="36"/>
        <v>1.1681724231917952</v>
      </c>
      <c r="BJ69">
        <v>1311.7747064948317</v>
      </c>
      <c r="BK69">
        <v>1.7971883433719924</v>
      </c>
      <c r="BL69">
        <v>5.3094730563575224E-15</v>
      </c>
      <c r="BM69">
        <f t="shared" si="37"/>
        <v>1.7971883433719924</v>
      </c>
      <c r="BP69">
        <v>855.14260635996175</v>
      </c>
      <c r="BQ69">
        <v>-1.7787960016949926E-2</v>
      </c>
      <c r="BR69">
        <v>1.6248628010311673E-12</v>
      </c>
      <c r="BS69">
        <f t="shared" si="38"/>
        <v>-1.7787960016949926E-2</v>
      </c>
      <c r="BT69">
        <v>1315.6040097845564</v>
      </c>
      <c r="BU69">
        <v>-2.7366092333769115E-2</v>
      </c>
      <c r="BV69">
        <v>2.4997889246633342E-12</v>
      </c>
      <c r="BW69">
        <f t="shared" si="39"/>
        <v>-2.7366092333769115E-2</v>
      </c>
    </row>
    <row r="70" spans="1:75" x14ac:dyDescent="0.25">
      <c r="A70">
        <v>34</v>
      </c>
      <c r="B70" s="5">
        <v>0</v>
      </c>
      <c r="C70" s="1">
        <f t="shared" ca="1" si="40"/>
        <v>0</v>
      </c>
      <c r="D70" s="46">
        <f t="shared" si="16"/>
        <v>0</v>
      </c>
      <c r="E70" s="46">
        <f t="shared" si="17"/>
        <v>0</v>
      </c>
      <c r="F70" s="1">
        <f t="shared" ca="1" si="18"/>
        <v>2.375</v>
      </c>
      <c r="G70" t="e">
        <f t="shared" ca="1" si="19"/>
        <v>#N/A</v>
      </c>
      <c r="H70" t="e">
        <f t="shared" ca="1" si="20"/>
        <v>#N/A</v>
      </c>
      <c r="I70" s="7">
        <f t="shared" si="21"/>
        <v>0</v>
      </c>
      <c r="J70" s="7">
        <f t="shared" si="22"/>
        <v>0</v>
      </c>
      <c r="K70">
        <f t="shared" si="23"/>
        <v>0</v>
      </c>
      <c r="L70" s="15">
        <f t="shared" ca="1" si="24"/>
        <v>0</v>
      </c>
      <c r="M70" s="9">
        <f t="shared" ca="1" si="41"/>
        <v>0</v>
      </c>
      <c r="N70" s="7">
        <f t="shared" ca="1" si="25"/>
        <v>0</v>
      </c>
      <c r="O70" s="7">
        <f t="shared" ca="1" si="26"/>
        <v>0</v>
      </c>
      <c r="P70" s="7">
        <f t="shared" ca="1" si="27"/>
        <v>0</v>
      </c>
      <c r="U70" t="e">
        <f t="shared" ca="1" si="28"/>
        <v>#N/A</v>
      </c>
      <c r="V70" t="e">
        <f t="shared" ca="1" si="29"/>
        <v>#N/A</v>
      </c>
      <c r="X70" t="e">
        <f t="shared" ca="1" si="30"/>
        <v>#N/A</v>
      </c>
      <c r="Y70" t="e">
        <f t="shared" ca="1" si="31"/>
        <v>#N/A</v>
      </c>
      <c r="AJ70">
        <v>5.9341194567807154</v>
      </c>
      <c r="AK70">
        <v>325.27191241705964</v>
      </c>
      <c r="AL70">
        <v>-118.38929416265476</v>
      </c>
      <c r="AM70">
        <v>421.68149384718129</v>
      </c>
      <c r="AN70">
        <v>-153.47951210128323</v>
      </c>
      <c r="AQ70">
        <v>68</v>
      </c>
      <c r="AR70">
        <f t="shared" si="34"/>
        <v>4.4952791209909435</v>
      </c>
      <c r="AS70">
        <f t="shared" si="35"/>
        <v>11.126206254801449</v>
      </c>
      <c r="AV70">
        <v>1445.3803928682348</v>
      </c>
      <c r="AW70">
        <v>2.595346656579272E-2</v>
      </c>
      <c r="AX70">
        <v>-2.0101511490514481E-18</v>
      </c>
      <c r="AY70">
        <f t="shared" si="32"/>
        <v>2.595346656579272E-2</v>
      </c>
      <c r="AZ70">
        <v>2223.6621428742073</v>
      </c>
      <c r="BA70">
        <v>3.9928410101219565E-2</v>
      </c>
      <c r="BB70">
        <v>-3.0925402293099202E-18</v>
      </c>
      <c r="BC70">
        <f t="shared" si="33"/>
        <v>3.9928410101219565E-2</v>
      </c>
      <c r="BF70">
        <v>853.00023588741931</v>
      </c>
      <c r="BG70">
        <v>1.007119592846031</v>
      </c>
      <c r="BH70">
        <v>4.9395459881893144E-15</v>
      </c>
      <c r="BI70">
        <f t="shared" si="36"/>
        <v>1.007119592846031</v>
      </c>
      <c r="BJ70">
        <v>1312.3080552114143</v>
      </c>
      <c r="BK70">
        <v>1.5494147582246631</v>
      </c>
      <c r="BL70">
        <v>7.5993015202912521E-15</v>
      </c>
      <c r="BM70">
        <f t="shared" si="37"/>
        <v>1.5494147582246631</v>
      </c>
      <c r="BP70">
        <v>855.15256498127542</v>
      </c>
      <c r="BQ70">
        <v>-1.0948950841178718E-2</v>
      </c>
      <c r="BR70">
        <v>-2.7324520143619161E-15</v>
      </c>
      <c r="BS70">
        <f t="shared" si="38"/>
        <v>-1.0948950841178718E-2</v>
      </c>
      <c r="BT70">
        <v>1315.6193307404237</v>
      </c>
      <c r="BU70">
        <v>-1.6844539755659565E-2</v>
      </c>
      <c r="BV70">
        <v>-4.2037723297875634E-15</v>
      </c>
      <c r="BW70">
        <f t="shared" si="39"/>
        <v>-1.6844539755659565E-2</v>
      </c>
    </row>
    <row r="71" spans="1:75" x14ac:dyDescent="0.25">
      <c r="A71">
        <v>35</v>
      </c>
      <c r="B71" s="5">
        <v>0</v>
      </c>
      <c r="C71" s="1">
        <f t="shared" ca="1" si="40"/>
        <v>0</v>
      </c>
      <c r="D71" s="46">
        <f t="shared" si="16"/>
        <v>0</v>
      </c>
      <c r="E71" s="46">
        <f t="shared" si="17"/>
        <v>0</v>
      </c>
      <c r="F71" s="1">
        <f t="shared" ca="1" si="18"/>
        <v>2.375</v>
      </c>
      <c r="G71" t="e">
        <f t="shared" ca="1" si="19"/>
        <v>#N/A</v>
      </c>
      <c r="H71" t="e">
        <f t="shared" ca="1" si="20"/>
        <v>#N/A</v>
      </c>
      <c r="I71" s="7">
        <f t="shared" si="21"/>
        <v>0</v>
      </c>
      <c r="J71" s="7">
        <f t="shared" si="22"/>
        <v>0</v>
      </c>
      <c r="K71">
        <f t="shared" si="23"/>
        <v>0</v>
      </c>
      <c r="L71" s="15">
        <f t="shared" ca="1" si="24"/>
        <v>0</v>
      </c>
      <c r="M71" s="9">
        <f t="shared" ca="1" si="41"/>
        <v>0</v>
      </c>
      <c r="N71" s="7">
        <f t="shared" ca="1" si="25"/>
        <v>0</v>
      </c>
      <c r="O71" s="7">
        <f t="shared" ca="1" si="26"/>
        <v>0</v>
      </c>
      <c r="P71" s="7">
        <f t="shared" ca="1" si="27"/>
        <v>0</v>
      </c>
      <c r="U71" t="e">
        <f t="shared" ca="1" si="28"/>
        <v>#N/A</v>
      </c>
      <c r="V71" t="e">
        <f t="shared" ca="1" si="29"/>
        <v>#N/A</v>
      </c>
      <c r="X71" t="e">
        <f t="shared" ca="1" si="30"/>
        <v>#N/A</v>
      </c>
      <c r="Y71" t="e">
        <f t="shared" ca="1" si="31"/>
        <v>#N/A</v>
      </c>
      <c r="AJ71">
        <v>6.0213859193804318</v>
      </c>
      <c r="AK71">
        <v>334.52543775608609</v>
      </c>
      <c r="AL71">
        <v>-89.160373788861307</v>
      </c>
      <c r="AM71">
        <v>434.08347107256463</v>
      </c>
      <c r="AN71">
        <v>-115.69537071980739</v>
      </c>
      <c r="AQ71">
        <v>69</v>
      </c>
      <c r="AR71">
        <f t="shared" si="34"/>
        <v>4.3004153945436041</v>
      </c>
      <c r="AS71">
        <f t="shared" si="35"/>
        <v>11.202965117966421</v>
      </c>
      <c r="AV71">
        <v>1445.3923564335093</v>
      </c>
      <c r="AW71">
        <v>1.4867960224568171E-2</v>
      </c>
      <c r="AX71">
        <v>4.917596829546987E-15</v>
      </c>
      <c r="AY71">
        <f t="shared" si="32"/>
        <v>1.4867960224568171E-2</v>
      </c>
      <c r="AZ71">
        <v>2223.6805483592452</v>
      </c>
      <c r="BA71">
        <v>2.2873784960874107E-2</v>
      </c>
      <c r="BB71">
        <v>7.5655335839184416E-15</v>
      </c>
      <c r="BC71">
        <f t="shared" si="33"/>
        <v>2.2873784960874107E-2</v>
      </c>
      <c r="BF71">
        <v>853.33686418676348</v>
      </c>
      <c r="BG71">
        <v>0.85073485243641966</v>
      </c>
      <c r="BH71">
        <v>4.5248686653059123E-15</v>
      </c>
      <c r="BI71">
        <f t="shared" si="36"/>
        <v>0.85073485243641966</v>
      </c>
      <c r="BJ71">
        <v>1312.825944902713</v>
      </c>
      <c r="BK71">
        <v>1.3088228499021841</v>
      </c>
      <c r="BL71">
        <v>6.961336408162942E-15</v>
      </c>
      <c r="BM71">
        <f t="shared" si="37"/>
        <v>1.3088228499021841</v>
      </c>
      <c r="BP71">
        <v>855.15929438059823</v>
      </c>
      <c r="BQ71">
        <v>-6.2723250796349762E-3</v>
      </c>
      <c r="BR71">
        <v>5.7195649537940062E-13</v>
      </c>
      <c r="BS71">
        <f t="shared" si="38"/>
        <v>-6.2723250796349762E-3</v>
      </c>
      <c r="BT71">
        <v>1315.6296836624588</v>
      </c>
      <c r="BU71">
        <v>-9.6497308917461166E-3</v>
      </c>
      <c r="BV71">
        <v>8.7993306981446242E-13</v>
      </c>
      <c r="BW71">
        <f t="shared" si="39"/>
        <v>-9.6497308917461166E-3</v>
      </c>
    </row>
    <row r="72" spans="1:75" x14ac:dyDescent="0.25">
      <c r="A72">
        <v>36</v>
      </c>
      <c r="B72" s="5">
        <v>0</v>
      </c>
      <c r="C72" s="1">
        <f t="shared" ca="1" si="40"/>
        <v>0</v>
      </c>
      <c r="D72" s="46">
        <f t="shared" si="16"/>
        <v>0</v>
      </c>
      <c r="E72" s="46">
        <f t="shared" si="17"/>
        <v>0</v>
      </c>
      <c r="F72" s="1">
        <f t="shared" ca="1" si="18"/>
        <v>2.375</v>
      </c>
      <c r="G72" t="e">
        <f t="shared" ca="1" si="19"/>
        <v>#N/A</v>
      </c>
      <c r="H72" t="e">
        <f t="shared" ca="1" si="20"/>
        <v>#N/A</v>
      </c>
      <c r="I72" s="7">
        <f t="shared" si="21"/>
        <v>0</v>
      </c>
      <c r="J72" s="7">
        <f t="shared" si="22"/>
        <v>0</v>
      </c>
      <c r="K72">
        <f t="shared" si="23"/>
        <v>0</v>
      </c>
      <c r="L72" s="15">
        <f t="shared" ca="1" si="24"/>
        <v>0</v>
      </c>
      <c r="M72" s="9">
        <f t="shared" ca="1" si="41"/>
        <v>0</v>
      </c>
      <c r="N72" s="7">
        <f t="shared" ca="1" si="25"/>
        <v>0</v>
      </c>
      <c r="O72" s="7">
        <f t="shared" ca="1" si="26"/>
        <v>0</v>
      </c>
      <c r="P72" s="7">
        <f t="shared" ca="1" si="27"/>
        <v>0</v>
      </c>
      <c r="U72" t="e">
        <f t="shared" ca="1" si="28"/>
        <v>#N/A</v>
      </c>
      <c r="V72" t="e">
        <f t="shared" ca="1" si="29"/>
        <v>#N/A</v>
      </c>
      <c r="X72" t="e">
        <f t="shared" ca="1" si="30"/>
        <v>#N/A</v>
      </c>
      <c r="Y72" t="e">
        <f t="shared" ca="1" si="31"/>
        <v>#N/A</v>
      </c>
      <c r="AJ72">
        <v>6.1086523819801481</v>
      </c>
      <c r="AK72">
        <v>339.62348705554433</v>
      </c>
      <c r="AL72">
        <v>-59.487804091485501</v>
      </c>
      <c r="AM72">
        <v>444.03806041391209</v>
      </c>
      <c r="AN72">
        <v>-77.776862183697986</v>
      </c>
      <c r="AQ72">
        <v>70</v>
      </c>
      <c r="AR72">
        <f t="shared" si="34"/>
        <v>4.1042417199080257</v>
      </c>
      <c r="AS72">
        <f t="shared" si="35"/>
        <v>11.276311449430899</v>
      </c>
      <c r="AV72">
        <v>1445.3999797868819</v>
      </c>
      <c r="AW72">
        <v>7.7202880737596777E-3</v>
      </c>
      <c r="AX72">
        <v>1.3422067194822144E-14</v>
      </c>
      <c r="AY72">
        <f t="shared" si="32"/>
        <v>7.7202880737596777E-3</v>
      </c>
      <c r="AZ72">
        <v>2223.6922765952027</v>
      </c>
      <c r="BA72">
        <v>1.1877366267322581E-2</v>
      </c>
      <c r="BB72">
        <v>2.0649334145880222E-14</v>
      </c>
      <c r="BC72">
        <f t="shared" si="33"/>
        <v>1.1877366267322581E-2</v>
      </c>
      <c r="BF72">
        <v>853.66387475412421</v>
      </c>
      <c r="BG72">
        <v>0.69881814552994193</v>
      </c>
      <c r="BH72">
        <v>1.3471461902917627E-15</v>
      </c>
      <c r="BI72">
        <f t="shared" si="36"/>
        <v>0.69881814552994193</v>
      </c>
      <c r="BJ72">
        <v>1313.329038083268</v>
      </c>
      <c r="BK72">
        <v>1.0751048392768336</v>
      </c>
      <c r="BL72">
        <v>2.0725326004488655E-15</v>
      </c>
      <c r="BM72">
        <f t="shared" si="37"/>
        <v>1.0751048392768336</v>
      </c>
      <c r="BP72">
        <v>855.16358244992307</v>
      </c>
      <c r="BQ72">
        <v>-3.2569471319615099E-3</v>
      </c>
      <c r="BR72">
        <v>-5.3256240868626331E-19</v>
      </c>
      <c r="BS72">
        <f t="shared" si="38"/>
        <v>-3.2569471319615099E-3</v>
      </c>
      <c r="BT72">
        <v>1315.6362806921893</v>
      </c>
      <c r="BU72">
        <v>-5.0106878953253995E-3</v>
      </c>
      <c r="BV72">
        <v>-8.1932678259425126E-19</v>
      </c>
      <c r="BW72">
        <f t="shared" si="39"/>
        <v>-5.0106878953253995E-3</v>
      </c>
    </row>
    <row r="73" spans="1:75" x14ac:dyDescent="0.25">
      <c r="A73">
        <v>37</v>
      </c>
      <c r="B73" s="5">
        <v>0</v>
      </c>
      <c r="C73" s="1">
        <f t="shared" ca="1" si="40"/>
        <v>0</v>
      </c>
      <c r="D73" s="46">
        <f t="shared" si="16"/>
        <v>0</v>
      </c>
      <c r="E73" s="46">
        <f t="shared" si="17"/>
        <v>0</v>
      </c>
      <c r="F73" s="1">
        <f t="shared" ca="1" si="18"/>
        <v>2.375</v>
      </c>
      <c r="G73" t="e">
        <f t="shared" ca="1" si="19"/>
        <v>#N/A</v>
      </c>
      <c r="H73" t="e">
        <f t="shared" ca="1" si="20"/>
        <v>#N/A</v>
      </c>
      <c r="I73" s="7">
        <f t="shared" si="21"/>
        <v>0</v>
      </c>
      <c r="J73" s="7">
        <f t="shared" si="22"/>
        <v>0</v>
      </c>
      <c r="K73">
        <f t="shared" si="23"/>
        <v>0</v>
      </c>
      <c r="L73" s="15">
        <f t="shared" ca="1" si="24"/>
        <v>0</v>
      </c>
      <c r="M73" s="9">
        <f t="shared" ca="1" si="41"/>
        <v>0</v>
      </c>
      <c r="N73" s="7">
        <f t="shared" ca="1" si="25"/>
        <v>0</v>
      </c>
      <c r="O73" s="7">
        <f t="shared" ca="1" si="26"/>
        <v>0</v>
      </c>
      <c r="P73" s="7">
        <f t="shared" ca="1" si="27"/>
        <v>0</v>
      </c>
      <c r="U73" t="e">
        <f t="shared" ca="1" si="28"/>
        <v>#N/A</v>
      </c>
      <c r="V73" t="e">
        <f t="shared" ca="1" si="29"/>
        <v>#N/A</v>
      </c>
      <c r="X73" t="e">
        <f t="shared" ca="1" si="30"/>
        <v>#N/A</v>
      </c>
      <c r="Y73" t="e">
        <f t="shared" ca="1" si="31"/>
        <v>#N/A</v>
      </c>
      <c r="AJ73">
        <v>6.1959188445798645</v>
      </c>
      <c r="AK73">
        <v>341.48311599070996</v>
      </c>
      <c r="AL73">
        <v>-29.27212895983547</v>
      </c>
      <c r="AM73">
        <v>451.79101144564686</v>
      </c>
      <c r="AN73">
        <v>-38.727785154365471</v>
      </c>
      <c r="AQ73">
        <v>71</v>
      </c>
      <c r="AR73">
        <f t="shared" si="34"/>
        <v>3.9068178534858813</v>
      </c>
      <c r="AS73">
        <f t="shared" si="35"/>
        <v>11.346222907191802</v>
      </c>
      <c r="AV73">
        <v>1445.4044536648385</v>
      </c>
      <c r="AW73">
        <v>3.4762172455708143E-3</v>
      </c>
      <c r="AX73">
        <v>-3.0706225117466962E-13</v>
      </c>
      <c r="AY73">
        <f t="shared" si="32"/>
        <v>3.4762172455708143E-3</v>
      </c>
      <c r="AZ73">
        <v>2223.6991594843666</v>
      </c>
      <c r="BA73">
        <v>5.3480265316474063E-3</v>
      </c>
      <c r="BB73">
        <v>-4.7240346334564553E-13</v>
      </c>
      <c r="BC73">
        <f t="shared" si="33"/>
        <v>5.3480265316474063E-3</v>
      </c>
      <c r="BF73">
        <v>853.98167396340216</v>
      </c>
      <c r="BG73">
        <v>0.55118068622502825</v>
      </c>
      <c r="BH73">
        <v>1.6960525658411587E-11</v>
      </c>
      <c r="BI73">
        <f t="shared" si="36"/>
        <v>0.55118068622502825</v>
      </c>
      <c r="BJ73">
        <v>1313.8179599436955</v>
      </c>
      <c r="BK73">
        <v>0.84797028650004347</v>
      </c>
      <c r="BL73">
        <v>2.6093116397556285E-11</v>
      </c>
      <c r="BM73">
        <f t="shared" si="37"/>
        <v>0.84797028650004347</v>
      </c>
      <c r="BP73">
        <v>855.16609896737509</v>
      </c>
      <c r="BQ73">
        <v>-1.4665070213562537E-3</v>
      </c>
      <c r="BR73">
        <v>1.3254727783115552E-13</v>
      </c>
      <c r="BS73">
        <f t="shared" si="38"/>
        <v>-1.4665070213562537E-3</v>
      </c>
      <c r="BT73">
        <v>1315.6401522575002</v>
      </c>
      <c r="BU73">
        <v>-2.2561646482403904E-3</v>
      </c>
      <c r="BV73">
        <v>2.0391888897100849E-13</v>
      </c>
      <c r="BW73">
        <f t="shared" si="39"/>
        <v>-2.2561646482403904E-3</v>
      </c>
    </row>
    <row r="74" spans="1:75" x14ac:dyDescent="0.25">
      <c r="A74">
        <v>38</v>
      </c>
      <c r="B74" s="5">
        <v>0</v>
      </c>
      <c r="C74" s="1">
        <f t="shared" ca="1" si="40"/>
        <v>0</v>
      </c>
      <c r="D74" s="46">
        <f t="shared" si="16"/>
        <v>0</v>
      </c>
      <c r="E74" s="46">
        <f t="shared" si="17"/>
        <v>0</v>
      </c>
      <c r="F74" s="1">
        <f t="shared" ca="1" si="18"/>
        <v>2.375</v>
      </c>
      <c r="G74" t="e">
        <f t="shared" ca="1" si="19"/>
        <v>#N/A</v>
      </c>
      <c r="H74" t="e">
        <f t="shared" ca="1" si="20"/>
        <v>#N/A</v>
      </c>
      <c r="I74" s="7">
        <f t="shared" si="21"/>
        <v>0</v>
      </c>
      <c r="J74" s="7">
        <f t="shared" si="22"/>
        <v>0</v>
      </c>
      <c r="K74">
        <f t="shared" si="23"/>
        <v>0</v>
      </c>
      <c r="L74" s="15">
        <f t="shared" ca="1" si="24"/>
        <v>0</v>
      </c>
      <c r="M74" s="9">
        <f t="shared" ca="1" si="41"/>
        <v>0</v>
      </c>
      <c r="N74" s="7">
        <f t="shared" ca="1" si="25"/>
        <v>0</v>
      </c>
      <c r="O74" s="7">
        <f t="shared" ca="1" si="26"/>
        <v>0</v>
      </c>
      <c r="P74" s="7">
        <f t="shared" ca="1" si="27"/>
        <v>0</v>
      </c>
      <c r="U74" t="e">
        <f t="shared" ca="1" si="28"/>
        <v>#N/A</v>
      </c>
      <c r="V74" t="e">
        <f t="shared" ca="1" si="29"/>
        <v>#N/A</v>
      </c>
      <c r="X74" t="e">
        <f t="shared" ca="1" si="30"/>
        <v>#N/A</v>
      </c>
      <c r="Y74" t="e">
        <f t="shared" ca="1" si="31"/>
        <v>#N/A</v>
      </c>
      <c r="AJ74">
        <v>6.2831853071795809</v>
      </c>
      <c r="AK74">
        <v>339.7523987642524</v>
      </c>
      <c r="AL74">
        <v>-1.8178581422218424E-12</v>
      </c>
      <c r="AM74">
        <v>455.55323826967452</v>
      </c>
      <c r="AN74">
        <v>-2.4374549419404658E-12</v>
      </c>
      <c r="AQ74">
        <v>72</v>
      </c>
      <c r="AR74">
        <f t="shared" si="34"/>
        <v>3.7082039324993694</v>
      </c>
      <c r="AS74">
        <f t="shared" si="35"/>
        <v>11.412678195541842</v>
      </c>
      <c r="AV74">
        <v>1445.4067743038265</v>
      </c>
      <c r="AW74">
        <v>1.24915761819845E-3</v>
      </c>
      <c r="AX74">
        <v>-1.0343688914410617E-13</v>
      </c>
      <c r="AY74">
        <f t="shared" si="32"/>
        <v>1.24915761819845E-3</v>
      </c>
      <c r="AZ74">
        <v>2223.7027296981946</v>
      </c>
      <c r="BA74">
        <v>1.9217809510745385E-3</v>
      </c>
      <c r="BB74">
        <v>-1.5913367560631718E-13</v>
      </c>
      <c r="BC74">
        <f t="shared" si="33"/>
        <v>1.9217809510745385E-3</v>
      </c>
      <c r="BF74">
        <v>854.38498655386854</v>
      </c>
      <c r="BG74">
        <v>0.4038063536809573</v>
      </c>
      <c r="BH74">
        <v>3.9690473130349346E-15</v>
      </c>
      <c r="BI74">
        <f t="shared" si="36"/>
        <v>0.4038063536809573</v>
      </c>
      <c r="BJ74">
        <v>1314.4384408521055</v>
      </c>
      <c r="BK74">
        <v>0.62124054412454965</v>
      </c>
      <c r="BL74">
        <v>6.106226635438361E-15</v>
      </c>
      <c r="BM74">
        <f t="shared" si="37"/>
        <v>0.62124054412454965</v>
      </c>
      <c r="BP74">
        <v>855.16740430682387</v>
      </c>
      <c r="BQ74">
        <v>-5.2698045762907106E-4</v>
      </c>
      <c r="BR74">
        <v>4.6643769369785113E-14</v>
      </c>
      <c r="BS74">
        <f t="shared" si="38"/>
        <v>-5.2698045762907106E-4</v>
      </c>
      <c r="BT74">
        <v>1315.6421604720367</v>
      </c>
      <c r="BU74">
        <v>-8.1073916558318626E-4</v>
      </c>
      <c r="BV74">
        <v>7.1759645184284783E-14</v>
      </c>
      <c r="BW74">
        <f t="shared" si="39"/>
        <v>-8.1073916558318626E-4</v>
      </c>
    </row>
    <row r="75" spans="1:75" x14ac:dyDescent="0.25">
      <c r="A75">
        <v>39</v>
      </c>
      <c r="B75" s="5">
        <v>0</v>
      </c>
      <c r="C75" s="1">
        <f t="shared" ca="1" si="40"/>
        <v>0</v>
      </c>
      <c r="D75" s="46">
        <f t="shared" si="16"/>
        <v>0</v>
      </c>
      <c r="E75" s="46">
        <f t="shared" si="17"/>
        <v>0</v>
      </c>
      <c r="F75" s="1">
        <f t="shared" ca="1" si="18"/>
        <v>2.375</v>
      </c>
      <c r="G75" t="e">
        <f t="shared" ca="1" si="19"/>
        <v>#N/A</v>
      </c>
      <c r="H75" t="e">
        <f t="shared" ca="1" si="20"/>
        <v>#N/A</v>
      </c>
      <c r="I75" s="7">
        <f t="shared" si="21"/>
        <v>0</v>
      </c>
      <c r="J75" s="7">
        <f t="shared" si="22"/>
        <v>0</v>
      </c>
      <c r="K75">
        <f t="shared" si="23"/>
        <v>0</v>
      </c>
      <c r="L75" s="15">
        <f t="shared" ca="1" si="24"/>
        <v>0</v>
      </c>
      <c r="M75" s="9">
        <f t="shared" ca="1" si="41"/>
        <v>0</v>
      </c>
      <c r="N75" s="7">
        <f t="shared" ca="1" si="25"/>
        <v>0</v>
      </c>
      <c r="O75" s="7">
        <f t="shared" ca="1" si="26"/>
        <v>0</v>
      </c>
      <c r="P75" s="7">
        <f t="shared" ca="1" si="27"/>
        <v>0</v>
      </c>
      <c r="U75" t="e">
        <f t="shared" ca="1" si="28"/>
        <v>#N/A</v>
      </c>
      <c r="V75" t="e">
        <f t="shared" ca="1" si="29"/>
        <v>#N/A</v>
      </c>
      <c r="X75" t="e">
        <f t="shared" ca="1" si="30"/>
        <v>#N/A</v>
      </c>
      <c r="Y75" t="e">
        <f t="shared" ca="1" si="31"/>
        <v>#N/A</v>
      </c>
      <c r="AJ75">
        <v>6.3704517697792973</v>
      </c>
      <c r="AK75">
        <v>339.75239876425235</v>
      </c>
      <c r="AL75">
        <v>-1.0091355895397508E-13</v>
      </c>
      <c r="AM75">
        <v>455.55323826967464</v>
      </c>
      <c r="AN75">
        <v>-1.3530882705761206E-13</v>
      </c>
      <c r="AQ75">
        <v>73</v>
      </c>
      <c r="AR75">
        <f t="shared" si="34"/>
        <v>3.5084604566728412</v>
      </c>
      <c r="AS75">
        <f t="shared" si="35"/>
        <v>11.475657071556425</v>
      </c>
      <c r="AV75">
        <v>1445.4077549037452</v>
      </c>
      <c r="AW75">
        <v>2.9732189231451115E-4</v>
      </c>
      <c r="AX75">
        <v>-1.6408283401106519E-14</v>
      </c>
      <c r="AY75">
        <f t="shared" si="32"/>
        <v>2.9732189231451115E-4</v>
      </c>
      <c r="AZ75">
        <v>2223.704238313454</v>
      </c>
      <c r="BA75">
        <v>4.5741829586847866E-4</v>
      </c>
      <c r="BB75">
        <v>-2.524351292477926E-14</v>
      </c>
      <c r="BC75">
        <f t="shared" si="33"/>
        <v>4.5741829586847866E-4</v>
      </c>
      <c r="BF75">
        <v>854.59115247043371</v>
      </c>
      <c r="BG75">
        <v>0.2680400878468685</v>
      </c>
      <c r="BH75">
        <v>1.1975254520321468E-14</v>
      </c>
      <c r="BI75">
        <f t="shared" si="36"/>
        <v>0.2680400878468685</v>
      </c>
      <c r="BJ75">
        <v>1314.7556191852825</v>
      </c>
      <c r="BK75">
        <v>0.41236936591825923</v>
      </c>
      <c r="BL75">
        <v>1.8423468492802259E-14</v>
      </c>
      <c r="BM75">
        <f t="shared" si="37"/>
        <v>0.41236936591825923</v>
      </c>
      <c r="BP75">
        <v>855.16795588591378</v>
      </c>
      <c r="BQ75">
        <v>-1.2543079903908376E-4</v>
      </c>
      <c r="BR75">
        <v>-1.5395216990704944E-15</v>
      </c>
      <c r="BS75">
        <f t="shared" si="38"/>
        <v>-1.2543079903908376E-4</v>
      </c>
      <c r="BT75">
        <v>1315.6430090552519</v>
      </c>
      <c r="BU75">
        <v>-1.9297046006012885E-4</v>
      </c>
      <c r="BV75">
        <v>-2.3684949216469142E-15</v>
      </c>
      <c r="BW75">
        <f t="shared" si="39"/>
        <v>-1.9297046006012885E-4</v>
      </c>
    </row>
    <row r="76" spans="1:75" x14ac:dyDescent="0.25">
      <c r="A76">
        <v>40</v>
      </c>
      <c r="B76" s="5">
        <v>0</v>
      </c>
      <c r="C76" s="1">
        <f t="shared" ca="1" si="40"/>
        <v>0</v>
      </c>
      <c r="D76" s="46">
        <f t="shared" si="16"/>
        <v>0</v>
      </c>
      <c r="E76" s="46">
        <f t="shared" si="17"/>
        <v>0</v>
      </c>
      <c r="F76" s="1">
        <f t="shared" ca="1" si="18"/>
        <v>2.375</v>
      </c>
      <c r="G76" t="e">
        <f t="shared" ca="1" si="19"/>
        <v>#N/A</v>
      </c>
      <c r="H76" t="e">
        <f t="shared" ca="1" si="20"/>
        <v>#N/A</v>
      </c>
      <c r="I76" s="7">
        <f t="shared" si="21"/>
        <v>0</v>
      </c>
      <c r="J76" s="7">
        <f t="shared" si="22"/>
        <v>0</v>
      </c>
      <c r="K76">
        <f t="shared" si="23"/>
        <v>0</v>
      </c>
      <c r="L76" s="15">
        <f t="shared" ca="1" si="24"/>
        <v>0</v>
      </c>
      <c r="M76" s="9">
        <f t="shared" ca="1" si="41"/>
        <v>0</v>
      </c>
      <c r="N76" s="7">
        <f t="shared" ca="1" si="25"/>
        <v>0</v>
      </c>
      <c r="O76" s="7">
        <f t="shared" ca="1" si="26"/>
        <v>0</v>
      </c>
      <c r="P76" s="7">
        <f t="shared" ca="1" si="27"/>
        <v>0</v>
      </c>
      <c r="U76" t="e">
        <f t="shared" ca="1" si="28"/>
        <v>#N/A</v>
      </c>
      <c r="V76" t="e">
        <f t="shared" ca="1" si="29"/>
        <v>#N/A</v>
      </c>
      <c r="X76" t="e">
        <f t="shared" ca="1" si="30"/>
        <v>#N/A</v>
      </c>
      <c r="Y76" t="e">
        <f t="shared" ca="1" si="31"/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Q76">
        <v>74</v>
      </c>
      <c r="AR76">
        <f t="shared" si="34"/>
        <v>3.3076482698039902</v>
      </c>
      <c r="AS76">
        <f t="shared" si="35"/>
        <v>11.535140351259827</v>
      </c>
      <c r="AV76">
        <v>1445.4080315031933</v>
      </c>
      <c r="AW76">
        <v>2.5863063954816804E-5</v>
      </c>
      <c r="AX76">
        <v>3.0312709087297895E-15</v>
      </c>
      <c r="AY76">
        <f t="shared" si="32"/>
        <v>2.5863063954816804E-5</v>
      </c>
      <c r="AZ76">
        <v>2223.7046638510665</v>
      </c>
      <c r="BA76">
        <v>3.9789329161256623E-5</v>
      </c>
      <c r="BB76">
        <v>4.6634937057381376E-15</v>
      </c>
      <c r="BC76">
        <f t="shared" si="33"/>
        <v>3.9789329161256623E-5</v>
      </c>
      <c r="BF76">
        <v>854.88353769650678</v>
      </c>
      <c r="BG76">
        <v>0.13220900125037699</v>
      </c>
      <c r="BH76">
        <v>2.4221778413078022E-15</v>
      </c>
      <c r="BI76">
        <f t="shared" si="36"/>
        <v>0.13220900125037699</v>
      </c>
      <c r="BJ76">
        <v>1315.2054426100103</v>
      </c>
      <c r="BK76">
        <v>0.20339846346211843</v>
      </c>
      <c r="BL76">
        <v>3.7264274481658492E-15</v>
      </c>
      <c r="BM76">
        <f t="shared" si="37"/>
        <v>0.20339846346211843</v>
      </c>
      <c r="BP76">
        <v>855.16811147076498</v>
      </c>
      <c r="BQ76">
        <v>-1.0910817830113238E-5</v>
      </c>
      <c r="BR76">
        <v>-5.1604370799036568E-15</v>
      </c>
      <c r="BS76">
        <f t="shared" si="38"/>
        <v>-1.0910817830113238E-5</v>
      </c>
      <c r="BT76">
        <v>1315.6432484165614</v>
      </c>
      <c r="BU76">
        <v>-1.6785873584789596E-5</v>
      </c>
      <c r="BV76">
        <v>-7.9391339690825486E-15</v>
      </c>
      <c r="BW76">
        <f t="shared" si="39"/>
        <v>-1.6785873584789596E-5</v>
      </c>
    </row>
    <row r="77" spans="1:75" x14ac:dyDescent="0.25">
      <c r="A77">
        <v>41</v>
      </c>
      <c r="B77" s="5">
        <v>0</v>
      </c>
      <c r="C77" s="1">
        <f t="shared" ca="1" si="40"/>
        <v>0</v>
      </c>
      <c r="D77" s="46">
        <f t="shared" si="16"/>
        <v>0</v>
      </c>
      <c r="E77" s="46">
        <f t="shared" si="17"/>
        <v>0</v>
      </c>
      <c r="F77" s="1">
        <f t="shared" ca="1" si="18"/>
        <v>2.375</v>
      </c>
      <c r="G77" t="e">
        <f t="shared" ca="1" si="19"/>
        <v>#N/A</v>
      </c>
      <c r="H77" t="e">
        <f t="shared" ca="1" si="20"/>
        <v>#N/A</v>
      </c>
      <c r="I77" s="7">
        <f t="shared" si="21"/>
        <v>0</v>
      </c>
      <c r="J77" s="7">
        <f t="shared" si="22"/>
        <v>0</v>
      </c>
      <c r="K77">
        <f t="shared" si="23"/>
        <v>0</v>
      </c>
      <c r="L77" s="15">
        <f t="shared" ca="1" si="24"/>
        <v>0</v>
      </c>
      <c r="M77" s="9">
        <f t="shared" ca="1" si="41"/>
        <v>0</v>
      </c>
      <c r="N77" s="7">
        <f t="shared" ca="1" si="25"/>
        <v>0</v>
      </c>
      <c r="O77" s="7">
        <f t="shared" ca="1" si="26"/>
        <v>0</v>
      </c>
      <c r="P77" s="7">
        <f t="shared" ca="1" si="27"/>
        <v>0</v>
      </c>
      <c r="U77" t="e">
        <f t="shared" ca="1" si="28"/>
        <v>#N/A</v>
      </c>
      <c r="V77" t="e">
        <f t="shared" ca="1" si="29"/>
        <v>#N/A</v>
      </c>
      <c r="X77" t="e">
        <f t="shared" ca="1" si="30"/>
        <v>#N/A</v>
      </c>
      <c r="Y77" t="e">
        <f t="shared" ca="1" si="31"/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Q77">
        <v>75</v>
      </c>
      <c r="AR77">
        <f t="shared" si="34"/>
        <v>3.1058285412302489</v>
      </c>
      <c r="AS77">
        <f t="shared" si="35"/>
        <v>11.59110991546882</v>
      </c>
      <c r="AV77">
        <v>1445.4080575980195</v>
      </c>
      <c r="AW77">
        <v>2.1553129651389708E-14</v>
      </c>
      <c r="AX77">
        <v>-1.5395092608135506E-14</v>
      </c>
      <c r="AY77">
        <f t="shared" si="32"/>
        <v>2.6486718826285044E-14</v>
      </c>
      <c r="AZ77">
        <v>2223.704703996953</v>
      </c>
      <c r="BA77">
        <v>3.3158661002138011E-14</v>
      </c>
      <c r="BB77">
        <v>-2.3684757858670007E-14</v>
      </c>
      <c r="BC77">
        <f t="shared" si="33"/>
        <v>4.0748798194284682E-14</v>
      </c>
      <c r="BF77">
        <v>854.83750250196567</v>
      </c>
      <c r="BG77">
        <v>0.17047781794334857</v>
      </c>
      <c r="BH77">
        <v>-2.4785708208074908E-11</v>
      </c>
      <c r="BI77">
        <f t="shared" si="36"/>
        <v>0.17047781794334857</v>
      </c>
      <c r="BJ77">
        <v>1315.1346192337933</v>
      </c>
      <c r="BK77">
        <v>0.26227356606669011</v>
      </c>
      <c r="BL77">
        <v>-3.8131858781653705E-11</v>
      </c>
      <c r="BM77">
        <f t="shared" si="37"/>
        <v>0.26227356606669011</v>
      </c>
    </row>
    <row r="78" spans="1:75" x14ac:dyDescent="0.25">
      <c r="A78">
        <v>42</v>
      </c>
      <c r="B78" s="5">
        <v>0</v>
      </c>
      <c r="C78" s="1">
        <f t="shared" ca="1" si="40"/>
        <v>0</v>
      </c>
      <c r="D78" s="46">
        <f t="shared" si="16"/>
        <v>0</v>
      </c>
      <c r="E78" s="46">
        <f t="shared" si="17"/>
        <v>0</v>
      </c>
      <c r="F78" s="1">
        <f t="shared" ca="1" si="18"/>
        <v>2.375</v>
      </c>
      <c r="G78" t="e">
        <f t="shared" ca="1" si="19"/>
        <v>#N/A</v>
      </c>
      <c r="H78" t="e">
        <f t="shared" ca="1" si="20"/>
        <v>#N/A</v>
      </c>
      <c r="I78" s="7">
        <f t="shared" si="21"/>
        <v>0</v>
      </c>
      <c r="J78" s="7">
        <f t="shared" si="22"/>
        <v>0</v>
      </c>
      <c r="K78">
        <f t="shared" si="23"/>
        <v>0</v>
      </c>
      <c r="L78" s="15">
        <f t="shared" ca="1" si="24"/>
        <v>0</v>
      </c>
      <c r="M78" s="9">
        <f t="shared" ca="1" si="41"/>
        <v>0</v>
      </c>
      <c r="N78" s="7">
        <f t="shared" ca="1" si="25"/>
        <v>0</v>
      </c>
      <c r="O78" s="7">
        <f t="shared" ca="1" si="26"/>
        <v>0</v>
      </c>
      <c r="P78" s="7">
        <f t="shared" ca="1" si="27"/>
        <v>0</v>
      </c>
      <c r="U78" t="e">
        <f t="shared" ca="1" si="28"/>
        <v>#N/A</v>
      </c>
      <c r="V78" t="e">
        <f t="shared" ca="1" si="29"/>
        <v>#N/A</v>
      </c>
      <c r="X78" t="e">
        <f t="shared" ca="1" si="30"/>
        <v>#N/A</v>
      </c>
      <c r="Y78" t="e">
        <f t="shared" ca="1" si="31"/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Q78">
        <v>76</v>
      </c>
      <c r="AR78">
        <f t="shared" si="34"/>
        <v>2.903062747196012</v>
      </c>
      <c r="AS78">
        <f t="shared" si="35"/>
        <v>11.643548715311958</v>
      </c>
    </row>
    <row r="79" spans="1:75" x14ac:dyDescent="0.25">
      <c r="A79">
        <v>43</v>
      </c>
      <c r="B79" s="5">
        <v>0</v>
      </c>
      <c r="C79" s="1">
        <f t="shared" ca="1" si="40"/>
        <v>0</v>
      </c>
      <c r="D79" s="46">
        <f t="shared" si="16"/>
        <v>0</v>
      </c>
      <c r="E79" s="46">
        <f t="shared" si="17"/>
        <v>0</v>
      </c>
      <c r="F79" s="1">
        <f t="shared" ca="1" si="18"/>
        <v>2.375</v>
      </c>
      <c r="G79" t="e">
        <f t="shared" ca="1" si="19"/>
        <v>#N/A</v>
      </c>
      <c r="H79" t="e">
        <f t="shared" ca="1" si="20"/>
        <v>#N/A</v>
      </c>
      <c r="I79" s="7">
        <f t="shared" si="21"/>
        <v>0</v>
      </c>
      <c r="J79" s="7">
        <f t="shared" si="22"/>
        <v>0</v>
      </c>
      <c r="K79">
        <f t="shared" si="23"/>
        <v>0</v>
      </c>
      <c r="L79" s="15">
        <f t="shared" ca="1" si="24"/>
        <v>0</v>
      </c>
      <c r="M79" s="9">
        <f t="shared" ca="1" si="41"/>
        <v>0</v>
      </c>
      <c r="N79" s="7">
        <f t="shared" ca="1" si="25"/>
        <v>0</v>
      </c>
      <c r="O79" s="7">
        <f t="shared" ca="1" si="26"/>
        <v>0</v>
      </c>
      <c r="P79" s="7">
        <f t="shared" ca="1" si="27"/>
        <v>0</v>
      </c>
      <c r="U79" t="e">
        <f t="shared" ca="1" si="28"/>
        <v>#N/A</v>
      </c>
      <c r="V79" t="e">
        <f t="shared" ca="1" si="29"/>
        <v>#N/A</v>
      </c>
      <c r="X79" t="e">
        <f t="shared" ca="1" si="30"/>
        <v>#N/A</v>
      </c>
      <c r="Y79" t="e">
        <f t="shared" ca="1" si="31"/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Q79">
        <v>77</v>
      </c>
      <c r="AR79">
        <f t="shared" si="34"/>
        <v>2.6994126521263793</v>
      </c>
      <c r="AS79">
        <f t="shared" si="35"/>
        <v>11.692440777422823</v>
      </c>
    </row>
    <row r="80" spans="1:75" x14ac:dyDescent="0.25">
      <c r="A80">
        <v>44</v>
      </c>
      <c r="B80" s="5">
        <v>0</v>
      </c>
      <c r="C80" s="1">
        <f t="shared" ca="1" si="40"/>
        <v>0</v>
      </c>
      <c r="D80" s="46">
        <f t="shared" si="16"/>
        <v>0</v>
      </c>
      <c r="E80" s="46">
        <f t="shared" si="17"/>
        <v>0</v>
      </c>
      <c r="F80" s="1">
        <f t="shared" ca="1" si="18"/>
        <v>2.375</v>
      </c>
      <c r="G80" t="e">
        <f t="shared" ca="1" si="19"/>
        <v>#N/A</v>
      </c>
      <c r="H80" t="e">
        <f t="shared" ca="1" si="20"/>
        <v>#N/A</v>
      </c>
      <c r="I80" s="7">
        <f t="shared" si="21"/>
        <v>0</v>
      </c>
      <c r="J80" s="7">
        <f t="shared" si="22"/>
        <v>0</v>
      </c>
      <c r="K80">
        <f t="shared" si="23"/>
        <v>0</v>
      </c>
      <c r="L80" s="15">
        <f t="shared" ca="1" si="24"/>
        <v>0</v>
      </c>
      <c r="M80" s="9">
        <f t="shared" ca="1" si="41"/>
        <v>0</v>
      </c>
      <c r="N80" s="7">
        <f t="shared" ca="1" si="25"/>
        <v>0</v>
      </c>
      <c r="O80" s="7">
        <f t="shared" ca="1" si="26"/>
        <v>0</v>
      </c>
      <c r="P80" s="7">
        <f t="shared" ca="1" si="27"/>
        <v>0</v>
      </c>
      <c r="U80" t="e">
        <f t="shared" ca="1" si="28"/>
        <v>#N/A</v>
      </c>
      <c r="V80" t="e">
        <f t="shared" ca="1" si="29"/>
        <v>#N/A</v>
      </c>
      <c r="X80" t="e">
        <f t="shared" ca="1" si="30"/>
        <v>#N/A</v>
      </c>
      <c r="Y80" t="e">
        <f t="shared" ca="1" si="31"/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Q80">
        <v>78</v>
      </c>
      <c r="AR80">
        <f t="shared" si="34"/>
        <v>2.4949402898131137</v>
      </c>
      <c r="AS80">
        <f t="shared" si="35"/>
        <v>11.737771208805666</v>
      </c>
    </row>
    <row r="81" spans="1:45" x14ac:dyDescent="0.25">
      <c r="A81">
        <v>45</v>
      </c>
      <c r="B81" s="5">
        <v>0</v>
      </c>
      <c r="C81" s="1">
        <f t="shared" ca="1" si="40"/>
        <v>0</v>
      </c>
      <c r="D81" s="46">
        <f t="shared" si="16"/>
        <v>0</v>
      </c>
      <c r="E81" s="46">
        <f t="shared" si="17"/>
        <v>0</v>
      </c>
      <c r="F81" s="1">
        <f t="shared" ca="1" si="18"/>
        <v>2.375</v>
      </c>
      <c r="G81" t="e">
        <f t="shared" ca="1" si="19"/>
        <v>#N/A</v>
      </c>
      <c r="H81" t="e">
        <f t="shared" ca="1" si="20"/>
        <v>#N/A</v>
      </c>
      <c r="I81" s="7">
        <f t="shared" si="21"/>
        <v>0</v>
      </c>
      <c r="J81" s="7">
        <f t="shared" si="22"/>
        <v>0</v>
      </c>
      <c r="K81">
        <f t="shared" si="23"/>
        <v>0</v>
      </c>
      <c r="L81" s="15">
        <f t="shared" ca="1" si="24"/>
        <v>0</v>
      </c>
      <c r="M81" s="9">
        <f t="shared" ca="1" si="41"/>
        <v>0</v>
      </c>
      <c r="N81" s="7">
        <f t="shared" ca="1" si="25"/>
        <v>0</v>
      </c>
      <c r="O81" s="7">
        <f t="shared" ca="1" si="26"/>
        <v>0</v>
      </c>
      <c r="P81" s="7">
        <f t="shared" ca="1" si="27"/>
        <v>0</v>
      </c>
      <c r="U81" t="e">
        <f t="shared" ca="1" si="28"/>
        <v>#N/A</v>
      </c>
      <c r="V81" t="e">
        <f t="shared" ca="1" si="29"/>
        <v>#N/A</v>
      </c>
      <c r="X81" t="e">
        <f t="shared" ca="1" si="30"/>
        <v>#N/A</v>
      </c>
      <c r="Y81" t="e">
        <f t="shared" ca="1" si="31"/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Q81">
        <v>79</v>
      </c>
      <c r="AR81">
        <f t="shared" si="34"/>
        <v>2.2897079445185389</v>
      </c>
      <c r="AS81">
        <f t="shared" si="35"/>
        <v>11.779526201371969</v>
      </c>
    </row>
    <row r="82" spans="1:45" x14ac:dyDescent="0.25">
      <c r="A82">
        <v>46</v>
      </c>
      <c r="B82" s="5">
        <v>0</v>
      </c>
      <c r="C82" s="1">
        <f t="shared" ca="1" si="40"/>
        <v>0</v>
      </c>
      <c r="D82" s="46">
        <f t="shared" si="16"/>
        <v>0</v>
      </c>
      <c r="E82" s="46">
        <f t="shared" si="17"/>
        <v>0</v>
      </c>
      <c r="F82" s="1">
        <f t="shared" ca="1" si="18"/>
        <v>2.375</v>
      </c>
      <c r="G82" t="e">
        <f t="shared" ca="1" si="19"/>
        <v>#N/A</v>
      </c>
      <c r="H82" t="e">
        <f t="shared" ca="1" si="20"/>
        <v>#N/A</v>
      </c>
      <c r="I82" s="7">
        <f t="shared" si="21"/>
        <v>0</v>
      </c>
      <c r="J82" s="7">
        <f t="shared" si="22"/>
        <v>0</v>
      </c>
      <c r="K82">
        <f t="shared" si="23"/>
        <v>0</v>
      </c>
      <c r="L82" s="15">
        <f t="shared" ca="1" si="24"/>
        <v>0</v>
      </c>
      <c r="M82" s="9">
        <f t="shared" ca="1" si="41"/>
        <v>0</v>
      </c>
      <c r="N82" s="7">
        <f t="shared" ca="1" si="25"/>
        <v>0</v>
      </c>
      <c r="O82" s="7">
        <f t="shared" ca="1" si="26"/>
        <v>0</v>
      </c>
      <c r="P82" s="7">
        <f t="shared" ca="1" si="27"/>
        <v>0</v>
      </c>
      <c r="U82" t="e">
        <f t="shared" ca="1" si="28"/>
        <v>#N/A</v>
      </c>
      <c r="V82" t="e">
        <f t="shared" ca="1" si="29"/>
        <v>#N/A</v>
      </c>
      <c r="X82" t="e">
        <f t="shared" ca="1" si="30"/>
        <v>#N/A</v>
      </c>
      <c r="Y82" t="e">
        <f t="shared" ca="1" si="31"/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Q82">
        <v>80</v>
      </c>
      <c r="AR82">
        <f t="shared" si="34"/>
        <v>2.083778132003165</v>
      </c>
      <c r="AS82">
        <f t="shared" si="35"/>
        <v>11.817693036146496</v>
      </c>
    </row>
    <row r="83" spans="1:45" x14ac:dyDescent="0.25">
      <c r="A83">
        <v>47</v>
      </c>
      <c r="B83" s="5">
        <v>0</v>
      </c>
      <c r="C83" s="1">
        <f t="shared" ca="1" si="40"/>
        <v>0</v>
      </c>
      <c r="D83" s="46">
        <f t="shared" si="16"/>
        <v>0</v>
      </c>
      <c r="E83" s="46">
        <f t="shared" si="17"/>
        <v>0</v>
      </c>
      <c r="F83" s="1">
        <f t="shared" ca="1" si="18"/>
        <v>2.375</v>
      </c>
      <c r="G83" t="e">
        <f t="shared" ca="1" si="19"/>
        <v>#N/A</v>
      </c>
      <c r="H83" t="e">
        <f t="shared" ca="1" si="20"/>
        <v>#N/A</v>
      </c>
      <c r="I83" s="7">
        <f t="shared" si="21"/>
        <v>0</v>
      </c>
      <c r="J83" s="7">
        <f t="shared" si="22"/>
        <v>0</v>
      </c>
      <c r="K83">
        <f t="shared" si="23"/>
        <v>0</v>
      </c>
      <c r="L83" s="15">
        <f t="shared" ca="1" si="24"/>
        <v>0</v>
      </c>
      <c r="M83" s="9">
        <f t="shared" ca="1" si="41"/>
        <v>0</v>
      </c>
      <c r="N83" s="7">
        <f t="shared" ca="1" si="25"/>
        <v>0</v>
      </c>
      <c r="O83" s="7">
        <f t="shared" ca="1" si="26"/>
        <v>0</v>
      </c>
      <c r="P83" s="7">
        <f t="shared" ca="1" si="27"/>
        <v>0</v>
      </c>
      <c r="U83" t="e">
        <f t="shared" ca="1" si="28"/>
        <v>#N/A</v>
      </c>
      <c r="V83" t="e">
        <f t="shared" ca="1" si="29"/>
        <v>#N/A</v>
      </c>
      <c r="X83" t="e">
        <f t="shared" ca="1" si="30"/>
        <v>#N/A</v>
      </c>
      <c r="Y83" t="e">
        <f t="shared" ca="1" si="31"/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Q83">
        <v>81</v>
      </c>
      <c r="AR83">
        <f t="shared" si="34"/>
        <v>1.877213580482771</v>
      </c>
      <c r="AS83">
        <f t="shared" si="35"/>
        <v>11.852260087141653</v>
      </c>
    </row>
    <row r="84" spans="1:45" x14ac:dyDescent="0.25">
      <c r="A84">
        <v>48</v>
      </c>
      <c r="B84" s="5">
        <v>0</v>
      </c>
      <c r="C84" s="1">
        <f t="shared" ca="1" si="40"/>
        <v>0</v>
      </c>
      <c r="D84" s="46">
        <f t="shared" si="16"/>
        <v>0</v>
      </c>
      <c r="E84" s="46">
        <f t="shared" si="17"/>
        <v>0</v>
      </c>
      <c r="F84" s="1">
        <f t="shared" ca="1" si="18"/>
        <v>2.375</v>
      </c>
      <c r="G84" t="e">
        <f t="shared" ca="1" si="19"/>
        <v>#N/A</v>
      </c>
      <c r="H84" t="e">
        <f t="shared" ca="1" si="20"/>
        <v>#N/A</v>
      </c>
      <c r="I84" s="7">
        <f t="shared" si="21"/>
        <v>0</v>
      </c>
      <c r="J84" s="7">
        <f t="shared" si="22"/>
        <v>0</v>
      </c>
      <c r="K84">
        <f t="shared" si="23"/>
        <v>0</v>
      </c>
      <c r="L84" s="15">
        <f t="shared" ca="1" si="24"/>
        <v>0</v>
      </c>
      <c r="M84" s="9">
        <f t="shared" ca="1" si="41"/>
        <v>0</v>
      </c>
      <c r="N84" s="7">
        <f t="shared" ca="1" si="25"/>
        <v>0</v>
      </c>
      <c r="O84" s="7">
        <f t="shared" ca="1" si="26"/>
        <v>0</v>
      </c>
      <c r="P84" s="7">
        <f t="shared" ca="1" si="27"/>
        <v>0</v>
      </c>
      <c r="U84" t="e">
        <f t="shared" ca="1" si="28"/>
        <v>#N/A</v>
      </c>
      <c r="V84" t="e">
        <f t="shared" ca="1" si="29"/>
        <v>#N/A</v>
      </c>
      <c r="X84" t="e">
        <f t="shared" ca="1" si="30"/>
        <v>#N/A</v>
      </c>
      <c r="Y84" t="e">
        <f t="shared" ca="1" si="31"/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Q84">
        <v>82</v>
      </c>
      <c r="AR84">
        <f t="shared" si="34"/>
        <v>1.6700772115207856</v>
      </c>
      <c r="AS84">
        <f t="shared" si="35"/>
        <v>11.883216824898845</v>
      </c>
    </row>
    <row r="85" spans="1:45" x14ac:dyDescent="0.25">
      <c r="A85">
        <v>49</v>
      </c>
      <c r="B85" s="5">
        <v>0</v>
      </c>
      <c r="C85" s="1">
        <f t="shared" ca="1" si="40"/>
        <v>0</v>
      </c>
      <c r="D85" s="46">
        <f t="shared" si="16"/>
        <v>0</v>
      </c>
      <c r="E85" s="46">
        <f t="shared" si="17"/>
        <v>0</v>
      </c>
      <c r="F85" s="1">
        <f t="shared" ca="1" si="18"/>
        <v>2.375</v>
      </c>
      <c r="G85" t="e">
        <f t="shared" ca="1" si="19"/>
        <v>#N/A</v>
      </c>
      <c r="H85" t="e">
        <f t="shared" ca="1" si="20"/>
        <v>#N/A</v>
      </c>
      <c r="I85" s="7">
        <f t="shared" si="21"/>
        <v>0</v>
      </c>
      <c r="J85" s="7">
        <f t="shared" si="22"/>
        <v>0</v>
      </c>
      <c r="K85">
        <f t="shared" si="23"/>
        <v>0</v>
      </c>
      <c r="L85" s="15">
        <f t="shared" ca="1" si="24"/>
        <v>0</v>
      </c>
      <c r="M85" s="9">
        <f t="shared" ca="1" si="41"/>
        <v>0</v>
      </c>
      <c r="N85" s="7">
        <f t="shared" ca="1" si="25"/>
        <v>0</v>
      </c>
      <c r="O85" s="7">
        <f t="shared" ca="1" si="26"/>
        <v>0</v>
      </c>
      <c r="P85" s="7">
        <f t="shared" ca="1" si="27"/>
        <v>0</v>
      </c>
      <c r="U85" t="e">
        <f t="shared" ca="1" si="28"/>
        <v>#N/A</v>
      </c>
      <c r="V85" t="e">
        <f t="shared" ca="1" si="29"/>
        <v>#N/A</v>
      </c>
      <c r="X85" t="e">
        <f t="shared" ca="1" si="30"/>
        <v>#N/A</v>
      </c>
      <c r="Y85" t="e">
        <f t="shared" ca="1" si="31"/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Q85">
        <v>83</v>
      </c>
      <c r="AR85">
        <f t="shared" si="34"/>
        <v>1.4624321208617699</v>
      </c>
      <c r="AS85">
        <f t="shared" si="35"/>
        <v>11.910553819695863</v>
      </c>
    </row>
    <row r="86" spans="1:45" x14ac:dyDescent="0.25">
      <c r="A86">
        <v>50</v>
      </c>
      <c r="B86" s="5">
        <v>0</v>
      </c>
      <c r="C86" s="1">
        <f t="shared" ca="1" si="40"/>
        <v>0</v>
      </c>
      <c r="D86" s="46">
        <f t="shared" si="16"/>
        <v>0</v>
      </c>
      <c r="E86" s="46">
        <f t="shared" si="17"/>
        <v>0</v>
      </c>
      <c r="F86" s="1">
        <f t="shared" ca="1" si="18"/>
        <v>2.375</v>
      </c>
      <c r="G86" t="e">
        <f t="shared" ca="1" si="19"/>
        <v>#N/A</v>
      </c>
      <c r="H86" t="e">
        <f t="shared" ca="1" si="20"/>
        <v>#N/A</v>
      </c>
      <c r="I86" s="7">
        <f t="shared" si="21"/>
        <v>0</v>
      </c>
      <c r="J86" s="7">
        <f t="shared" si="22"/>
        <v>0</v>
      </c>
      <c r="K86">
        <f t="shared" si="23"/>
        <v>0</v>
      </c>
      <c r="L86" s="15">
        <f t="shared" ca="1" si="24"/>
        <v>0</v>
      </c>
      <c r="M86" s="9">
        <f t="shared" ca="1" si="41"/>
        <v>0</v>
      </c>
      <c r="N86" s="7">
        <f t="shared" ca="1" si="25"/>
        <v>0</v>
      </c>
      <c r="O86" s="7">
        <f t="shared" ca="1" si="26"/>
        <v>0</v>
      </c>
      <c r="P86" s="7">
        <f t="shared" ca="1" si="27"/>
        <v>0</v>
      </c>
      <c r="U86" t="e">
        <f t="shared" ca="1" si="28"/>
        <v>#N/A</v>
      </c>
      <c r="V86" t="e">
        <f t="shared" ca="1" si="29"/>
        <v>#N/A</v>
      </c>
      <c r="X86" t="e">
        <f t="shared" ca="1" si="30"/>
        <v>#N/A</v>
      </c>
      <c r="Y86" t="e">
        <f t="shared" ca="1" si="31"/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Q86">
        <v>84</v>
      </c>
      <c r="AR86">
        <f t="shared" si="34"/>
        <v>1.2543415592118414</v>
      </c>
      <c r="AS86">
        <f t="shared" si="35"/>
        <v>11.934262744419279</v>
      </c>
    </row>
    <row r="87" spans="1:45" x14ac:dyDescent="0.25">
      <c r="A87">
        <v>51</v>
      </c>
      <c r="B87" s="5">
        <v>0</v>
      </c>
      <c r="C87" s="1">
        <f t="shared" ca="1" si="40"/>
        <v>0</v>
      </c>
      <c r="D87" s="46">
        <f t="shared" si="16"/>
        <v>0</v>
      </c>
      <c r="E87" s="46">
        <f t="shared" si="17"/>
        <v>0</v>
      </c>
      <c r="F87" s="1">
        <f t="shared" ca="1" si="18"/>
        <v>2.375</v>
      </c>
      <c r="G87" t="e">
        <f t="shared" ca="1" si="19"/>
        <v>#N/A</v>
      </c>
      <c r="H87" t="e">
        <f t="shared" ca="1" si="20"/>
        <v>#N/A</v>
      </c>
      <c r="I87" s="7">
        <f t="shared" si="21"/>
        <v>0</v>
      </c>
      <c r="J87" s="7">
        <f t="shared" si="22"/>
        <v>0</v>
      </c>
      <c r="K87">
        <f t="shared" si="23"/>
        <v>0</v>
      </c>
      <c r="L87" s="15">
        <f t="shared" ca="1" si="24"/>
        <v>0</v>
      </c>
      <c r="M87" s="9">
        <f t="shared" ca="1" si="41"/>
        <v>0</v>
      </c>
      <c r="N87" s="7">
        <f t="shared" ca="1" si="25"/>
        <v>0</v>
      </c>
      <c r="O87" s="7">
        <f t="shared" ca="1" si="26"/>
        <v>0</v>
      </c>
      <c r="P87" s="7">
        <f t="shared" ca="1" si="27"/>
        <v>0</v>
      </c>
      <c r="U87" t="e">
        <f t="shared" ca="1" si="28"/>
        <v>#N/A</v>
      </c>
      <c r="V87" t="e">
        <f t="shared" ca="1" si="29"/>
        <v>#N/A</v>
      </c>
      <c r="X87" t="e">
        <f t="shared" ca="1" si="30"/>
        <v>#N/A</v>
      </c>
      <c r="Y87" t="e">
        <f t="shared" ca="1" si="31"/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Q87">
        <v>85</v>
      </c>
      <c r="AR87">
        <f t="shared" si="34"/>
        <v>1.0458689129718977</v>
      </c>
      <c r="AS87">
        <f t="shared" si="35"/>
        <v>11.954336377100947</v>
      </c>
    </row>
    <row r="88" spans="1:45" x14ac:dyDescent="0.25">
      <c r="A88">
        <v>52</v>
      </c>
      <c r="B88" s="5">
        <v>0</v>
      </c>
      <c r="C88" s="1">
        <f t="shared" ca="1" si="40"/>
        <v>0</v>
      </c>
      <c r="D88" s="46">
        <f t="shared" si="16"/>
        <v>0</v>
      </c>
      <c r="E88" s="46">
        <f t="shared" si="17"/>
        <v>0</v>
      </c>
      <c r="F88" s="1">
        <f t="shared" ca="1" si="18"/>
        <v>2.375</v>
      </c>
      <c r="G88" t="e">
        <f t="shared" ca="1" si="19"/>
        <v>#N/A</v>
      </c>
      <c r="H88" t="e">
        <f t="shared" ca="1" si="20"/>
        <v>#N/A</v>
      </c>
      <c r="I88" s="7">
        <f t="shared" si="21"/>
        <v>0</v>
      </c>
      <c r="J88" s="7">
        <f t="shared" si="22"/>
        <v>0</v>
      </c>
      <c r="K88">
        <f t="shared" si="23"/>
        <v>0</v>
      </c>
      <c r="L88" s="15">
        <f t="shared" ca="1" si="24"/>
        <v>0</v>
      </c>
      <c r="M88" s="9">
        <f t="shared" ca="1" si="41"/>
        <v>0</v>
      </c>
      <c r="N88" s="7">
        <f t="shared" ca="1" si="25"/>
        <v>0</v>
      </c>
      <c r="O88" s="7">
        <f t="shared" ca="1" si="26"/>
        <v>0</v>
      </c>
      <c r="P88" s="7">
        <f t="shared" ca="1" si="27"/>
        <v>0</v>
      </c>
      <c r="U88" t="e">
        <f t="shared" ca="1" si="28"/>
        <v>#N/A</v>
      </c>
      <c r="V88" t="e">
        <f t="shared" ca="1" si="29"/>
        <v>#N/A</v>
      </c>
      <c r="X88" t="e">
        <f t="shared" ca="1" si="30"/>
        <v>#N/A</v>
      </c>
      <c r="Y88" t="e">
        <f t="shared" ca="1" si="31"/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Q88">
        <v>86</v>
      </c>
      <c r="AR88">
        <f t="shared" si="34"/>
        <v>0.83707768492950274</v>
      </c>
      <c r="AS88">
        <f t="shared" si="35"/>
        <v>11.970768603117889</v>
      </c>
    </row>
    <row r="89" spans="1:45" x14ac:dyDescent="0.25">
      <c r="A89">
        <v>53</v>
      </c>
      <c r="B89" s="5">
        <v>0</v>
      </c>
      <c r="C89" s="1">
        <f t="shared" ca="1" si="40"/>
        <v>0</v>
      </c>
      <c r="D89" s="46">
        <f t="shared" si="16"/>
        <v>0</v>
      </c>
      <c r="E89" s="46">
        <f t="shared" si="17"/>
        <v>0</v>
      </c>
      <c r="F89" s="1">
        <f t="shared" ca="1" si="18"/>
        <v>2.375</v>
      </c>
      <c r="G89" t="e">
        <f t="shared" ca="1" si="19"/>
        <v>#N/A</v>
      </c>
      <c r="H89" t="e">
        <f t="shared" ca="1" si="20"/>
        <v>#N/A</v>
      </c>
      <c r="I89" s="7">
        <f t="shared" si="21"/>
        <v>0</v>
      </c>
      <c r="J89" s="7">
        <f t="shared" si="22"/>
        <v>0</v>
      </c>
      <c r="K89">
        <f t="shared" si="23"/>
        <v>0</v>
      </c>
      <c r="L89" s="15">
        <f t="shared" ca="1" si="24"/>
        <v>0</v>
      </c>
      <c r="M89" s="9">
        <f t="shared" ca="1" si="41"/>
        <v>0</v>
      </c>
      <c r="N89" s="7">
        <f t="shared" ca="1" si="25"/>
        <v>0</v>
      </c>
      <c r="O89" s="7">
        <f t="shared" ca="1" si="26"/>
        <v>0</v>
      </c>
      <c r="P89" s="7">
        <f t="shared" ca="1" si="27"/>
        <v>0</v>
      </c>
      <c r="U89" t="e">
        <f t="shared" ca="1" si="28"/>
        <v>#N/A</v>
      </c>
      <c r="V89" t="e">
        <f t="shared" ca="1" si="29"/>
        <v>#N/A</v>
      </c>
      <c r="X89" t="e">
        <f t="shared" ca="1" si="30"/>
        <v>#N/A</v>
      </c>
      <c r="Y89" t="e">
        <f t="shared" ca="1" si="31"/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Q89">
        <v>87</v>
      </c>
      <c r="AR89">
        <f t="shared" si="34"/>
        <v>0.62803147491532763</v>
      </c>
      <c r="AS89">
        <f t="shared" si="35"/>
        <v>11.983554417054886</v>
      </c>
    </row>
    <row r="90" spans="1:45" x14ac:dyDescent="0.25">
      <c r="A90">
        <v>54</v>
      </c>
      <c r="B90" s="5">
        <v>0</v>
      </c>
      <c r="C90" s="1">
        <f t="shared" ca="1" si="40"/>
        <v>0</v>
      </c>
      <c r="D90" s="46">
        <f t="shared" si="16"/>
        <v>0</v>
      </c>
      <c r="E90" s="46">
        <f t="shared" si="17"/>
        <v>0</v>
      </c>
      <c r="F90" s="1">
        <f t="shared" ca="1" si="18"/>
        <v>2.375</v>
      </c>
      <c r="G90" t="e">
        <f t="shared" ca="1" si="19"/>
        <v>#N/A</v>
      </c>
      <c r="H90" t="e">
        <f t="shared" ca="1" si="20"/>
        <v>#N/A</v>
      </c>
      <c r="I90" s="7">
        <f t="shared" si="21"/>
        <v>0</v>
      </c>
      <c r="J90" s="7">
        <f t="shared" si="22"/>
        <v>0</v>
      </c>
      <c r="K90">
        <f t="shared" si="23"/>
        <v>0</v>
      </c>
      <c r="L90" s="15">
        <f t="shared" ca="1" si="24"/>
        <v>0</v>
      </c>
      <c r="M90" s="9">
        <f t="shared" ca="1" si="41"/>
        <v>0</v>
      </c>
      <c r="N90" s="7">
        <f t="shared" ca="1" si="25"/>
        <v>0</v>
      </c>
      <c r="O90" s="7">
        <f t="shared" ca="1" si="26"/>
        <v>0</v>
      </c>
      <c r="P90" s="7">
        <f t="shared" ca="1" si="27"/>
        <v>0</v>
      </c>
      <c r="U90" t="e">
        <f t="shared" ca="1" si="28"/>
        <v>#N/A</v>
      </c>
      <c r="V90" t="e">
        <f t="shared" ca="1" si="29"/>
        <v>#N/A</v>
      </c>
      <c r="X90" t="e">
        <f t="shared" ca="1" si="30"/>
        <v>#N/A</v>
      </c>
      <c r="Y90" t="e">
        <f t="shared" ca="1" si="31"/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Q90">
        <v>88</v>
      </c>
      <c r="AR90">
        <f t="shared" si="34"/>
        <v>0.41879396043001293</v>
      </c>
      <c r="AS90">
        <f t="shared" si="35"/>
        <v>11.992689924229149</v>
      </c>
    </row>
    <row r="91" spans="1:45" x14ac:dyDescent="0.25">
      <c r="A91">
        <v>55</v>
      </c>
      <c r="B91" s="5">
        <v>0</v>
      </c>
      <c r="C91" s="1">
        <f t="shared" ca="1" si="40"/>
        <v>0</v>
      </c>
      <c r="D91" s="46">
        <f t="shared" si="16"/>
        <v>0</v>
      </c>
      <c r="E91" s="46">
        <f t="shared" si="17"/>
        <v>0</v>
      </c>
      <c r="F91" s="1">
        <f t="shared" ca="1" si="18"/>
        <v>2.375</v>
      </c>
      <c r="G91" t="e">
        <f t="shared" ca="1" si="19"/>
        <v>#N/A</v>
      </c>
      <c r="H91" t="e">
        <f t="shared" ca="1" si="20"/>
        <v>#N/A</v>
      </c>
      <c r="I91" s="7">
        <f t="shared" si="21"/>
        <v>0</v>
      </c>
      <c r="J91" s="7">
        <f t="shared" si="22"/>
        <v>0</v>
      </c>
      <c r="K91">
        <f t="shared" si="23"/>
        <v>0</v>
      </c>
      <c r="L91" s="15">
        <f t="shared" ca="1" si="24"/>
        <v>0</v>
      </c>
      <c r="M91" s="9">
        <f t="shared" ca="1" si="41"/>
        <v>0</v>
      </c>
      <c r="N91" s="7">
        <f t="shared" ca="1" si="25"/>
        <v>0</v>
      </c>
      <c r="O91" s="7">
        <f t="shared" ca="1" si="26"/>
        <v>0</v>
      </c>
      <c r="P91" s="7">
        <f t="shared" ca="1" si="27"/>
        <v>0</v>
      </c>
      <c r="U91" t="e">
        <f t="shared" ca="1" si="28"/>
        <v>#N/A</v>
      </c>
      <c r="V91" t="e">
        <f t="shared" ca="1" si="29"/>
        <v>#N/A</v>
      </c>
      <c r="X91" t="e">
        <f t="shared" ca="1" si="30"/>
        <v>#N/A</v>
      </c>
      <c r="Y91" t="e">
        <f t="shared" ca="1" si="31"/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Q91">
        <v>89</v>
      </c>
      <c r="AR91">
        <f t="shared" si="34"/>
        <v>0.20942887724740317</v>
      </c>
      <c r="AS91">
        <f t="shared" si="35"/>
        <v>11.998172341876696</v>
      </c>
    </row>
    <row r="92" spans="1:45" x14ac:dyDescent="0.25">
      <c r="A92">
        <v>56</v>
      </c>
      <c r="B92" s="5">
        <v>0</v>
      </c>
      <c r="C92" s="1">
        <f t="shared" ca="1" si="40"/>
        <v>0</v>
      </c>
      <c r="D92" s="46">
        <f t="shared" si="16"/>
        <v>0</v>
      </c>
      <c r="E92" s="46">
        <f t="shared" si="17"/>
        <v>0</v>
      </c>
      <c r="F92" s="1">
        <f t="shared" ca="1" si="18"/>
        <v>2.375</v>
      </c>
      <c r="G92" t="e">
        <f t="shared" ca="1" si="19"/>
        <v>#N/A</v>
      </c>
      <c r="H92" t="e">
        <f t="shared" ca="1" si="20"/>
        <v>#N/A</v>
      </c>
      <c r="I92" s="7">
        <f t="shared" si="21"/>
        <v>0</v>
      </c>
      <c r="J92" s="7">
        <f t="shared" si="22"/>
        <v>0</v>
      </c>
      <c r="K92">
        <f t="shared" si="23"/>
        <v>0</v>
      </c>
      <c r="L92" s="15">
        <f t="shared" ca="1" si="24"/>
        <v>0</v>
      </c>
      <c r="M92" s="9">
        <f t="shared" ca="1" si="41"/>
        <v>0</v>
      </c>
      <c r="N92" s="7">
        <f t="shared" ca="1" si="25"/>
        <v>0</v>
      </c>
      <c r="O92" s="7">
        <f t="shared" ca="1" si="26"/>
        <v>0</v>
      </c>
      <c r="P92" s="7">
        <f t="shared" ca="1" si="27"/>
        <v>0</v>
      </c>
      <c r="U92" t="e">
        <f t="shared" ca="1" si="28"/>
        <v>#N/A</v>
      </c>
      <c r="V92" t="e">
        <f t="shared" ca="1" si="29"/>
        <v>#N/A</v>
      </c>
      <c r="X92" t="e">
        <f t="shared" ca="1" si="30"/>
        <v>#N/A</v>
      </c>
      <c r="Y92" t="e">
        <f t="shared" ca="1" si="31"/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Q92">
        <v>90</v>
      </c>
      <c r="AR92">
        <f t="shared" si="34"/>
        <v>7.3508907294517201E-16</v>
      </c>
      <c r="AS92">
        <f t="shared" si="35"/>
        <v>12</v>
      </c>
    </row>
    <row r="93" spans="1:45" x14ac:dyDescent="0.25">
      <c r="A93">
        <v>57</v>
      </c>
      <c r="B93" s="5">
        <v>0</v>
      </c>
      <c r="C93" s="1">
        <f t="shared" ca="1" si="40"/>
        <v>0</v>
      </c>
      <c r="D93" s="46">
        <f t="shared" si="16"/>
        <v>0</v>
      </c>
      <c r="E93" s="46">
        <f t="shared" si="17"/>
        <v>0</v>
      </c>
      <c r="F93" s="1">
        <f t="shared" ca="1" si="18"/>
        <v>2.375</v>
      </c>
      <c r="G93" t="e">
        <f t="shared" ca="1" si="19"/>
        <v>#N/A</v>
      </c>
      <c r="H93" t="e">
        <f t="shared" ca="1" si="20"/>
        <v>#N/A</v>
      </c>
      <c r="I93" s="7">
        <f t="shared" si="21"/>
        <v>0</v>
      </c>
      <c r="J93" s="7">
        <f t="shared" si="22"/>
        <v>0</v>
      </c>
      <c r="K93">
        <f t="shared" si="23"/>
        <v>0</v>
      </c>
      <c r="L93" s="15">
        <f t="shared" ca="1" si="24"/>
        <v>0</v>
      </c>
      <c r="M93" s="9">
        <f t="shared" ca="1" si="41"/>
        <v>0</v>
      </c>
      <c r="N93" s="7">
        <f t="shared" ca="1" si="25"/>
        <v>0</v>
      </c>
      <c r="O93" s="7">
        <f t="shared" ca="1" si="26"/>
        <v>0</v>
      </c>
      <c r="P93" s="7">
        <f t="shared" ca="1" si="27"/>
        <v>0</v>
      </c>
      <c r="U93" t="e">
        <f t="shared" ca="1" si="28"/>
        <v>#N/A</v>
      </c>
      <c r="V93" t="e">
        <f t="shared" ca="1" si="29"/>
        <v>#N/A</v>
      </c>
      <c r="X93" t="e">
        <f t="shared" ca="1" si="30"/>
        <v>#N/A</v>
      </c>
      <c r="Y93" t="e">
        <f t="shared" ca="1" si="31"/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Q93">
        <v>91</v>
      </c>
      <c r="AR93">
        <f t="shared" si="34"/>
        <v>-0.20942887724740172</v>
      </c>
      <c r="AS93">
        <f t="shared" si="35"/>
        <v>11.998172341876696</v>
      </c>
    </row>
    <row r="94" spans="1:45" x14ac:dyDescent="0.25">
      <c r="A94">
        <v>58</v>
      </c>
      <c r="B94" s="5">
        <v>0</v>
      </c>
      <c r="C94" s="1">
        <f t="shared" ca="1" si="40"/>
        <v>0</v>
      </c>
      <c r="D94" s="46">
        <f t="shared" si="16"/>
        <v>0</v>
      </c>
      <c r="E94" s="46">
        <f t="shared" si="17"/>
        <v>0</v>
      </c>
      <c r="F94" s="1">
        <f t="shared" ca="1" si="18"/>
        <v>2.375</v>
      </c>
      <c r="G94" t="e">
        <f t="shared" ca="1" si="19"/>
        <v>#N/A</v>
      </c>
      <c r="H94" t="e">
        <f t="shared" ca="1" si="20"/>
        <v>#N/A</v>
      </c>
      <c r="I94" s="7">
        <f t="shared" si="21"/>
        <v>0</v>
      </c>
      <c r="J94" s="7">
        <f t="shared" si="22"/>
        <v>0</v>
      </c>
      <c r="K94">
        <f t="shared" si="23"/>
        <v>0</v>
      </c>
      <c r="L94" s="15">
        <f t="shared" ca="1" si="24"/>
        <v>0</v>
      </c>
      <c r="M94" s="9">
        <f t="shared" ca="1" si="41"/>
        <v>0</v>
      </c>
      <c r="N94" s="7">
        <f t="shared" ca="1" si="25"/>
        <v>0</v>
      </c>
      <c r="O94" s="7">
        <f t="shared" ca="1" si="26"/>
        <v>0</v>
      </c>
      <c r="P94" s="7">
        <f t="shared" ca="1" si="27"/>
        <v>0</v>
      </c>
      <c r="U94" t="e">
        <f t="shared" ca="1" si="28"/>
        <v>#N/A</v>
      </c>
      <c r="V94" t="e">
        <f t="shared" ca="1" si="29"/>
        <v>#N/A</v>
      </c>
      <c r="X94" t="e">
        <f t="shared" ca="1" si="30"/>
        <v>#N/A</v>
      </c>
      <c r="Y94" t="e">
        <f t="shared" ca="1" si="31"/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Q94">
        <v>92</v>
      </c>
      <c r="AR94">
        <f t="shared" si="34"/>
        <v>-0.41879396043001149</v>
      </c>
      <c r="AS94">
        <f t="shared" si="35"/>
        <v>11.992689924229149</v>
      </c>
    </row>
    <row r="95" spans="1:45" x14ac:dyDescent="0.25">
      <c r="A95">
        <v>59</v>
      </c>
      <c r="B95" s="5">
        <v>0</v>
      </c>
      <c r="C95" s="1">
        <f t="shared" ca="1" si="40"/>
        <v>0</v>
      </c>
      <c r="D95" s="46">
        <f t="shared" si="16"/>
        <v>0</v>
      </c>
      <c r="E95" s="46">
        <f t="shared" si="17"/>
        <v>0</v>
      </c>
      <c r="F95" s="1">
        <f t="shared" ca="1" si="18"/>
        <v>2.375</v>
      </c>
      <c r="G95" t="e">
        <f t="shared" ca="1" si="19"/>
        <v>#N/A</v>
      </c>
      <c r="H95" t="e">
        <f t="shared" ca="1" si="20"/>
        <v>#N/A</v>
      </c>
      <c r="I95" s="7">
        <f t="shared" si="21"/>
        <v>0</v>
      </c>
      <c r="J95" s="7">
        <f t="shared" si="22"/>
        <v>0</v>
      </c>
      <c r="K95">
        <f t="shared" si="23"/>
        <v>0</v>
      </c>
      <c r="L95" s="15">
        <f t="shared" ca="1" si="24"/>
        <v>0</v>
      </c>
      <c r="M95" s="9">
        <f t="shared" ca="1" si="41"/>
        <v>0</v>
      </c>
      <c r="N95" s="7">
        <f t="shared" ca="1" si="25"/>
        <v>0</v>
      </c>
      <c r="O95" s="7">
        <f t="shared" ca="1" si="26"/>
        <v>0</v>
      </c>
      <c r="P95" s="7">
        <f t="shared" ca="1" si="27"/>
        <v>0</v>
      </c>
      <c r="U95" t="e">
        <f t="shared" ca="1" si="28"/>
        <v>#N/A</v>
      </c>
      <c r="V95" t="e">
        <f t="shared" ca="1" si="29"/>
        <v>#N/A</v>
      </c>
      <c r="X95" t="e">
        <f t="shared" ca="1" si="30"/>
        <v>#N/A</v>
      </c>
      <c r="Y95" t="e">
        <f t="shared" ca="1" si="31"/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Q95">
        <v>93</v>
      </c>
      <c r="AR95">
        <f t="shared" si="34"/>
        <v>-0.62803147491532607</v>
      </c>
      <c r="AS95">
        <f t="shared" si="35"/>
        <v>11.983554417054886</v>
      </c>
    </row>
    <row r="96" spans="1:45" x14ac:dyDescent="0.25">
      <c r="A96">
        <v>60</v>
      </c>
      <c r="B96" s="5">
        <v>0</v>
      </c>
      <c r="C96" s="1">
        <f t="shared" ca="1" si="40"/>
        <v>0</v>
      </c>
      <c r="D96" s="46">
        <f t="shared" si="16"/>
        <v>0</v>
      </c>
      <c r="E96" s="46">
        <f t="shared" si="17"/>
        <v>0</v>
      </c>
      <c r="F96" s="1">
        <f t="shared" ca="1" si="18"/>
        <v>2.375</v>
      </c>
      <c r="G96" t="e">
        <f t="shared" ca="1" si="19"/>
        <v>#N/A</v>
      </c>
      <c r="H96" t="e">
        <f t="shared" ca="1" si="20"/>
        <v>#N/A</v>
      </c>
      <c r="I96" s="7">
        <f t="shared" si="21"/>
        <v>0</v>
      </c>
      <c r="J96" s="7">
        <f t="shared" si="22"/>
        <v>0</v>
      </c>
      <c r="K96">
        <f t="shared" si="23"/>
        <v>0</v>
      </c>
      <c r="L96" s="15">
        <f t="shared" ca="1" si="24"/>
        <v>0</v>
      </c>
      <c r="M96" s="9">
        <f t="shared" ca="1" si="41"/>
        <v>0</v>
      </c>
      <c r="N96" s="7">
        <f t="shared" ca="1" si="25"/>
        <v>0</v>
      </c>
      <c r="O96" s="7">
        <f t="shared" ca="1" si="26"/>
        <v>0</v>
      </c>
      <c r="P96" s="7">
        <f t="shared" ca="1" si="27"/>
        <v>0</v>
      </c>
      <c r="U96" t="e">
        <f t="shared" ca="1" si="28"/>
        <v>#N/A</v>
      </c>
      <c r="V96" t="e">
        <f t="shared" ca="1" si="29"/>
        <v>#N/A</v>
      </c>
      <c r="X96" t="e">
        <f t="shared" ca="1" si="30"/>
        <v>#N/A</v>
      </c>
      <c r="Y96" t="e">
        <f t="shared" ca="1" si="31"/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Q96">
        <v>94</v>
      </c>
      <c r="AR96">
        <f t="shared" si="34"/>
        <v>-0.83707768492950396</v>
      </c>
      <c r="AS96">
        <f t="shared" si="35"/>
        <v>11.970768603117889</v>
      </c>
    </row>
    <row r="97" spans="1:71" x14ac:dyDescent="0.25">
      <c r="A97">
        <v>61</v>
      </c>
      <c r="B97" s="5">
        <v>0</v>
      </c>
      <c r="C97" s="1">
        <f t="shared" ca="1" si="40"/>
        <v>0</v>
      </c>
      <c r="D97" s="46">
        <f t="shared" si="16"/>
        <v>0</v>
      </c>
      <c r="E97" s="46">
        <f t="shared" si="17"/>
        <v>0</v>
      </c>
      <c r="F97" s="1">
        <f t="shared" ca="1" si="18"/>
        <v>2.375</v>
      </c>
      <c r="G97" t="e">
        <f t="shared" ca="1" si="19"/>
        <v>#N/A</v>
      </c>
      <c r="H97" t="e">
        <f t="shared" ca="1" si="20"/>
        <v>#N/A</v>
      </c>
      <c r="I97" s="7">
        <f t="shared" si="21"/>
        <v>0</v>
      </c>
      <c r="J97" s="7">
        <f t="shared" si="22"/>
        <v>0</v>
      </c>
      <c r="K97">
        <f t="shared" si="23"/>
        <v>0</v>
      </c>
      <c r="L97" s="15">
        <f t="shared" ca="1" si="24"/>
        <v>0</v>
      </c>
      <c r="M97" s="9">
        <f t="shared" ca="1" si="41"/>
        <v>0</v>
      </c>
      <c r="N97" s="7">
        <f t="shared" ca="1" si="25"/>
        <v>0</v>
      </c>
      <c r="O97" s="7">
        <f t="shared" ca="1" si="26"/>
        <v>0</v>
      </c>
      <c r="P97" s="7">
        <f t="shared" ca="1" si="27"/>
        <v>0</v>
      </c>
      <c r="U97" t="e">
        <f t="shared" ca="1" si="28"/>
        <v>#N/A</v>
      </c>
      <c r="V97" t="e">
        <f t="shared" ca="1" si="29"/>
        <v>#N/A</v>
      </c>
      <c r="X97" t="e">
        <f t="shared" ca="1" si="30"/>
        <v>#N/A</v>
      </c>
      <c r="Y97" t="e">
        <f t="shared" ca="1" si="31"/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Q97">
        <v>95</v>
      </c>
      <c r="AR97">
        <f t="shared" si="34"/>
        <v>-1.0458689129718988</v>
      </c>
      <c r="AS97">
        <f t="shared" si="35"/>
        <v>11.954336377100947</v>
      </c>
    </row>
    <row r="98" spans="1:71" x14ac:dyDescent="0.25">
      <c r="A98">
        <v>62</v>
      </c>
      <c r="B98" s="5">
        <v>0</v>
      </c>
      <c r="C98" s="1">
        <f t="shared" ca="1" si="40"/>
        <v>0</v>
      </c>
      <c r="D98" s="46">
        <f t="shared" si="16"/>
        <v>0</v>
      </c>
      <c r="E98" s="46">
        <f t="shared" si="17"/>
        <v>0</v>
      </c>
      <c r="F98" s="1">
        <f t="shared" ca="1" si="18"/>
        <v>2.375</v>
      </c>
      <c r="G98" t="e">
        <f t="shared" ca="1" si="19"/>
        <v>#N/A</v>
      </c>
      <c r="H98" t="e">
        <f t="shared" ca="1" si="20"/>
        <v>#N/A</v>
      </c>
      <c r="I98" s="7">
        <f t="shared" si="21"/>
        <v>0</v>
      </c>
      <c r="J98" s="7">
        <f t="shared" si="22"/>
        <v>0</v>
      </c>
      <c r="K98">
        <f t="shared" si="23"/>
        <v>0</v>
      </c>
      <c r="L98" s="15">
        <f t="shared" ca="1" si="24"/>
        <v>0</v>
      </c>
      <c r="M98" s="9">
        <f t="shared" ca="1" si="41"/>
        <v>0</v>
      </c>
      <c r="N98" s="7">
        <f t="shared" ca="1" si="25"/>
        <v>0</v>
      </c>
      <c r="O98" s="7">
        <f t="shared" ca="1" si="26"/>
        <v>0</v>
      </c>
      <c r="P98" s="7">
        <f t="shared" ca="1" si="27"/>
        <v>0</v>
      </c>
      <c r="U98" t="e">
        <f t="shared" ca="1" si="28"/>
        <v>#N/A</v>
      </c>
      <c r="V98" t="e">
        <f t="shared" ca="1" si="29"/>
        <v>#N/A</v>
      </c>
      <c r="X98" t="e">
        <f t="shared" ca="1" si="30"/>
        <v>#N/A</v>
      </c>
      <c r="Y98" t="e">
        <f t="shared" ca="1" si="31"/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Q98">
        <v>96</v>
      </c>
      <c r="AR98">
        <f t="shared" si="34"/>
        <v>-1.2543415592118428</v>
      </c>
      <c r="AS98">
        <f t="shared" si="35"/>
        <v>11.934262744419279</v>
      </c>
    </row>
    <row r="99" spans="1:71" x14ac:dyDescent="0.25">
      <c r="A99">
        <v>63</v>
      </c>
      <c r="B99" s="5">
        <v>0</v>
      </c>
      <c r="C99" s="1">
        <f t="shared" ca="1" si="40"/>
        <v>0</v>
      </c>
      <c r="D99" s="46">
        <f t="shared" si="16"/>
        <v>0</v>
      </c>
      <c r="E99" s="46">
        <f t="shared" si="17"/>
        <v>0</v>
      </c>
      <c r="F99" s="1">
        <f t="shared" ca="1" si="18"/>
        <v>2.375</v>
      </c>
      <c r="G99" t="e">
        <f t="shared" ca="1" si="19"/>
        <v>#N/A</v>
      </c>
      <c r="H99" t="e">
        <f t="shared" ca="1" si="20"/>
        <v>#N/A</v>
      </c>
      <c r="I99" s="7">
        <f t="shared" si="21"/>
        <v>0</v>
      </c>
      <c r="J99" s="7">
        <f t="shared" si="22"/>
        <v>0</v>
      </c>
      <c r="K99">
        <f t="shared" si="23"/>
        <v>0</v>
      </c>
      <c r="L99" s="15">
        <f t="shared" ca="1" si="24"/>
        <v>0</v>
      </c>
      <c r="M99" s="9">
        <f t="shared" ca="1" si="41"/>
        <v>0</v>
      </c>
      <c r="N99" s="7">
        <f t="shared" ca="1" si="25"/>
        <v>0</v>
      </c>
      <c r="O99" s="7">
        <f t="shared" ca="1" si="26"/>
        <v>0</v>
      </c>
      <c r="P99" s="7">
        <f t="shared" ca="1" si="27"/>
        <v>0</v>
      </c>
      <c r="U99" t="e">
        <f t="shared" ca="1" si="28"/>
        <v>#N/A</v>
      </c>
      <c r="V99" t="e">
        <f t="shared" ca="1" si="29"/>
        <v>#N/A</v>
      </c>
      <c r="X99" t="e">
        <f t="shared" ca="1" si="30"/>
        <v>#N/A</v>
      </c>
      <c r="Y99" t="e">
        <f t="shared" ca="1" si="31"/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Q99">
        <v>97</v>
      </c>
      <c r="AR99">
        <f t="shared" si="34"/>
        <v>-1.4624321208617683</v>
      </c>
      <c r="AS99">
        <f t="shared" si="35"/>
        <v>11.910553819695865</v>
      </c>
    </row>
    <row r="100" spans="1:71" x14ac:dyDescent="0.25">
      <c r="A100">
        <v>64</v>
      </c>
      <c r="B100" s="5">
        <v>0</v>
      </c>
      <c r="C100" s="1">
        <f t="shared" ca="1" si="40"/>
        <v>0</v>
      </c>
      <c r="D100" s="46">
        <f t="shared" si="16"/>
        <v>0</v>
      </c>
      <c r="E100" s="46">
        <f t="shared" si="17"/>
        <v>0</v>
      </c>
      <c r="F100" s="1">
        <f t="shared" ca="1" si="18"/>
        <v>2.375</v>
      </c>
      <c r="G100" t="e">
        <f t="shared" ca="1" si="19"/>
        <v>#N/A</v>
      </c>
      <c r="H100" t="e">
        <f t="shared" ca="1" si="20"/>
        <v>#N/A</v>
      </c>
      <c r="I100" s="7">
        <f t="shared" si="21"/>
        <v>0</v>
      </c>
      <c r="J100" s="7">
        <f t="shared" si="22"/>
        <v>0</v>
      </c>
      <c r="K100">
        <f t="shared" si="23"/>
        <v>0</v>
      </c>
      <c r="L100" s="15">
        <f t="shared" ca="1" si="24"/>
        <v>0</v>
      </c>
      <c r="M100" s="9">
        <f t="shared" ca="1" si="41"/>
        <v>0</v>
      </c>
      <c r="N100" s="7">
        <f t="shared" ca="1" si="25"/>
        <v>0</v>
      </c>
      <c r="O100" s="7">
        <f t="shared" ca="1" si="26"/>
        <v>0</v>
      </c>
      <c r="P100" s="7">
        <f t="shared" ca="1" si="27"/>
        <v>0</v>
      </c>
      <c r="U100" t="e">
        <f t="shared" ca="1" si="28"/>
        <v>#N/A</v>
      </c>
      <c r="V100" t="e">
        <f t="shared" ca="1" si="29"/>
        <v>#N/A</v>
      </c>
      <c r="X100" t="e">
        <f t="shared" ca="1" si="30"/>
        <v>#N/A</v>
      </c>
      <c r="Y100" t="e">
        <f t="shared" ca="1" si="31"/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Q100">
        <v>98</v>
      </c>
      <c r="AR100">
        <f t="shared" si="34"/>
        <v>-1.6700772115207843</v>
      </c>
      <c r="AS100">
        <f t="shared" si="35"/>
        <v>11.883216824898845</v>
      </c>
    </row>
    <row r="101" spans="1:71" x14ac:dyDescent="0.25">
      <c r="A101">
        <v>65</v>
      </c>
      <c r="B101" s="5">
        <v>0</v>
      </c>
      <c r="C101" s="1">
        <f t="shared" ref="C101:C108" ca="1" si="42">IF(A101&lt;=$B$31,OFFSET($Q$36,MATCH(B101,$Q$36:$Q$47,0)-1,2),0)</f>
        <v>0</v>
      </c>
      <c r="D101" s="46">
        <f t="shared" si="16"/>
        <v>0</v>
      </c>
      <c r="E101" s="46">
        <f t="shared" si="17"/>
        <v>0</v>
      </c>
      <c r="F101" s="1">
        <f t="shared" ca="1" si="18"/>
        <v>2.375</v>
      </c>
      <c r="G101" t="e">
        <f t="shared" ca="1" si="19"/>
        <v>#N/A</v>
      </c>
      <c r="H101" t="e">
        <f t="shared" ca="1" si="20"/>
        <v>#N/A</v>
      </c>
      <c r="I101" s="7">
        <f t="shared" si="21"/>
        <v>0</v>
      </c>
      <c r="J101" s="7">
        <f t="shared" si="22"/>
        <v>0</v>
      </c>
      <c r="K101">
        <f t="shared" si="23"/>
        <v>0</v>
      </c>
      <c r="L101" s="15">
        <f t="shared" ca="1" si="24"/>
        <v>0</v>
      </c>
      <c r="M101" s="9">
        <f t="shared" ref="M101:M108" ca="1" si="43">IF(AND(L101&gt;0,K101&lt;=$B$12),MIN((L101*F$35),C$35)-IF($B$2="Whitney",$B$9,B215),MAX(L101*F$35,-1*C$35))</f>
        <v>0</v>
      </c>
      <c r="N101" s="7">
        <f t="shared" ca="1" si="25"/>
        <v>0</v>
      </c>
      <c r="O101" s="7">
        <f t="shared" ca="1" si="26"/>
        <v>0</v>
      </c>
      <c r="P101" s="7">
        <f t="shared" ca="1" si="27"/>
        <v>0</v>
      </c>
      <c r="U101" t="e">
        <f t="shared" ca="1" si="28"/>
        <v>#N/A</v>
      </c>
      <c r="V101" t="e">
        <f t="shared" ca="1" si="29"/>
        <v>#N/A</v>
      </c>
      <c r="X101" t="e">
        <f t="shared" ca="1" si="30"/>
        <v>#N/A</v>
      </c>
      <c r="Y101" t="e">
        <f t="shared" ca="1" si="31"/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Q101">
        <v>99</v>
      </c>
      <c r="AR101">
        <f t="shared" si="34"/>
        <v>-1.8772135804827697</v>
      </c>
      <c r="AS101">
        <f t="shared" si="35"/>
        <v>11.852260087141653</v>
      </c>
    </row>
    <row r="102" spans="1:71" x14ac:dyDescent="0.25">
      <c r="A102">
        <v>66</v>
      </c>
      <c r="B102" s="5">
        <v>0</v>
      </c>
      <c r="C102" s="1">
        <f t="shared" ca="1" si="42"/>
        <v>0</v>
      </c>
      <c r="D102" s="46">
        <f t="shared" ref="D102:D108" si="44">IF($E$32*(A102-1)&gt;=360,0,(($B$3-F102)*COS(RADIANS(($E$32*(A102-1))+$E$30))))</f>
        <v>0</v>
      </c>
      <c r="E102" s="46">
        <f t="shared" ref="E102:E108" si="45">IF($E$32*(A102-1)&gt;=360,0,($B$3-F102)*SIN(RADIANS(($E$32*(A102-1))+$E$30)))</f>
        <v>0</v>
      </c>
      <c r="F102" s="1">
        <f t="shared" ref="F102:F108" ca="1" si="46">$E$31+(OFFSET($Q$36,MATCH(B102,$Q$36:$Q$47,0)-1,1)/2)</f>
        <v>2.375</v>
      </c>
      <c r="G102" t="e">
        <f t="shared" ref="G102:G108" ca="1" si="47">IF(C102=0,NA(),D102)</f>
        <v>#N/A</v>
      </c>
      <c r="H102" t="e">
        <f t="shared" ref="H102:H108" ca="1" si="48">IF(C102=0,NA(),E102)</f>
        <v>#N/A</v>
      </c>
      <c r="I102" s="7">
        <f t="shared" ref="I102:I108" si="49">D102*COS($B$10)+E102*SIN($B$10)</f>
        <v>0</v>
      </c>
      <c r="J102" s="7">
        <f t="shared" ref="J102:J108" si="50">-1*D102*SIN($B$10)+E102*COS($B$10)</f>
        <v>0</v>
      </c>
      <c r="K102">
        <f t="shared" ref="K102:K108" si="51">IF(B102=0,0,$B$3-J102)</f>
        <v>0</v>
      </c>
      <c r="L102" s="15">
        <f t="shared" ref="L102:L108" ca="1" si="52">IF($B$11&lt;=0,-1,IF(C102=0,0,(($B$11-K102)/$B$11)*$B$13)*IF($B$11&lt;0,-1,1))</f>
        <v>0</v>
      </c>
      <c r="M102" s="9">
        <f t="shared" ca="1" si="43"/>
        <v>0</v>
      </c>
      <c r="N102" s="7">
        <f t="shared" ref="N102:N108" ca="1" si="53">M102*C102</f>
        <v>0</v>
      </c>
      <c r="O102" s="7">
        <f t="shared" ref="O102:O108" ca="1" si="54">N102*J102</f>
        <v>0</v>
      </c>
      <c r="P102" s="7">
        <f t="shared" ref="P102:P108" ca="1" si="55">N102*I102</f>
        <v>0</v>
      </c>
      <c r="U102" t="e">
        <f t="shared" ref="U102:U108" ca="1" si="56">IF(AND(N102&lt;0,C102&gt;0),D102,NA())</f>
        <v>#N/A</v>
      </c>
      <c r="V102" t="e">
        <f t="shared" ref="V102:V108" ca="1" si="57">IF(AND(N102&lt;0,C102&gt;0),E102,NA())</f>
        <v>#N/A</v>
      </c>
      <c r="X102" t="e">
        <f t="shared" ref="X102:X108" ca="1" si="58">IF(AND(N102&gt;=0,C102&gt;0),D102,NA())</f>
        <v>#N/A</v>
      </c>
      <c r="Y102" t="e">
        <f t="shared" ref="Y102:Y108" ca="1" si="59">IF(AND(N102&gt;=0,C102&gt;0),E102,NA())</f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Q102">
        <v>100</v>
      </c>
      <c r="AR102">
        <f t="shared" si="34"/>
        <v>-2.0837781320031636</v>
      </c>
      <c r="AS102">
        <f t="shared" si="35"/>
        <v>11.817693036146496</v>
      </c>
    </row>
    <row r="103" spans="1:71" x14ac:dyDescent="0.25">
      <c r="A103">
        <v>67</v>
      </c>
      <c r="B103" s="5">
        <v>0</v>
      </c>
      <c r="C103" s="1">
        <f t="shared" ca="1" si="42"/>
        <v>0</v>
      </c>
      <c r="D103" s="46">
        <f t="shared" si="44"/>
        <v>0</v>
      </c>
      <c r="E103" s="46">
        <f t="shared" si="45"/>
        <v>0</v>
      </c>
      <c r="F103" s="1">
        <f t="shared" ca="1" si="46"/>
        <v>2.375</v>
      </c>
      <c r="G103" t="e">
        <f t="shared" ca="1" si="47"/>
        <v>#N/A</v>
      </c>
      <c r="H103" t="e">
        <f t="shared" ca="1" si="48"/>
        <v>#N/A</v>
      </c>
      <c r="I103" s="7">
        <f t="shared" si="49"/>
        <v>0</v>
      </c>
      <c r="J103" s="7">
        <f t="shared" si="50"/>
        <v>0</v>
      </c>
      <c r="K103">
        <f t="shared" si="51"/>
        <v>0</v>
      </c>
      <c r="L103" s="15">
        <f t="shared" ca="1" si="52"/>
        <v>0</v>
      </c>
      <c r="M103" s="9">
        <f t="shared" ca="1" si="43"/>
        <v>0</v>
      </c>
      <c r="N103" s="7">
        <f t="shared" ca="1" si="53"/>
        <v>0</v>
      </c>
      <c r="O103" s="7">
        <f t="shared" ca="1" si="54"/>
        <v>0</v>
      </c>
      <c r="P103" s="7">
        <f t="shared" ca="1" si="55"/>
        <v>0</v>
      </c>
      <c r="U103" t="e">
        <f t="shared" ca="1" si="56"/>
        <v>#N/A</v>
      </c>
      <c r="V103" t="e">
        <f t="shared" ca="1" si="57"/>
        <v>#N/A</v>
      </c>
      <c r="X103" t="e">
        <f t="shared" ca="1" si="58"/>
        <v>#N/A</v>
      </c>
      <c r="Y103" t="e">
        <f t="shared" ca="1" si="59"/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Q103">
        <v>101</v>
      </c>
      <c r="AR103">
        <f t="shared" si="34"/>
        <v>-2.2897079445185375</v>
      </c>
      <c r="AS103">
        <f t="shared" si="35"/>
        <v>11.779526201371969</v>
      </c>
    </row>
    <row r="104" spans="1:71" x14ac:dyDescent="0.25">
      <c r="A104">
        <v>68</v>
      </c>
      <c r="B104" s="5">
        <v>0</v>
      </c>
      <c r="C104" s="1">
        <f t="shared" ca="1" si="42"/>
        <v>0</v>
      </c>
      <c r="D104" s="46">
        <f t="shared" si="44"/>
        <v>0</v>
      </c>
      <c r="E104" s="46">
        <f t="shared" si="45"/>
        <v>0</v>
      </c>
      <c r="F104" s="1">
        <f t="shared" ca="1" si="46"/>
        <v>2.375</v>
      </c>
      <c r="G104" t="e">
        <f t="shared" ca="1" si="47"/>
        <v>#N/A</v>
      </c>
      <c r="H104" t="e">
        <f t="shared" ca="1" si="48"/>
        <v>#N/A</v>
      </c>
      <c r="I104" s="7">
        <f t="shared" si="49"/>
        <v>0</v>
      </c>
      <c r="J104" s="7">
        <f t="shared" si="50"/>
        <v>0</v>
      </c>
      <c r="K104">
        <f t="shared" si="51"/>
        <v>0</v>
      </c>
      <c r="L104" s="15">
        <f t="shared" ca="1" si="52"/>
        <v>0</v>
      </c>
      <c r="M104" s="9">
        <f t="shared" ca="1" si="43"/>
        <v>0</v>
      </c>
      <c r="N104" s="7">
        <f t="shared" ca="1" si="53"/>
        <v>0</v>
      </c>
      <c r="O104" s="7">
        <f t="shared" ca="1" si="54"/>
        <v>0</v>
      </c>
      <c r="P104" s="7">
        <f t="shared" ca="1" si="55"/>
        <v>0</v>
      </c>
      <c r="U104" t="e">
        <f t="shared" ca="1" si="56"/>
        <v>#N/A</v>
      </c>
      <c r="V104" t="e">
        <f t="shared" ca="1" si="57"/>
        <v>#N/A</v>
      </c>
      <c r="X104" t="e">
        <f t="shared" ca="1" si="58"/>
        <v>#N/A</v>
      </c>
      <c r="Y104" t="e">
        <f t="shared" ca="1" si="59"/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Q104">
        <v>102</v>
      </c>
      <c r="AR104">
        <f t="shared" si="34"/>
        <v>-2.4949402898131119</v>
      </c>
      <c r="AS104">
        <f t="shared" si="35"/>
        <v>11.737771208805668</v>
      </c>
      <c r="AV104">
        <v>1156.326446078416</v>
      </c>
      <c r="AW104">
        <v>159.26138739528514</v>
      </c>
      <c r="AX104">
        <v>-1.4324815737711834E-8</v>
      </c>
      <c r="AY104">
        <f t="shared" ref="AY104:AY105" si="60">SQRT(POWER(AW104,2)+POWER(AX104,2))</f>
        <v>159.26138739528514</v>
      </c>
      <c r="BF104">
        <v>684.13450091910886</v>
      </c>
      <c r="BG104">
        <v>82.805579863173435</v>
      </c>
      <c r="BH104">
        <v>-7.8571735615461811E-9</v>
      </c>
      <c r="BI104">
        <f t="shared" ref="BI104:BI105" si="61">SQRT(POWER(BG104,2)+POWER(BH104,2))</f>
        <v>82.805579863173435</v>
      </c>
      <c r="BP104">
        <v>684.13450091910886</v>
      </c>
      <c r="BQ104">
        <v>-68.054012240436094</v>
      </c>
      <c r="BR104">
        <v>4.4888536426363823E-15</v>
      </c>
      <c r="BS104">
        <f t="shared" ref="BS104" si="62">SQRT(POWER(BQ104,2)+POWER(BR104,2))*-1</f>
        <v>-68.054012240436094</v>
      </c>
    </row>
    <row r="105" spans="1:71" x14ac:dyDescent="0.25">
      <c r="A105">
        <v>69</v>
      </c>
      <c r="B105" s="5">
        <v>0</v>
      </c>
      <c r="C105" s="1">
        <f t="shared" ca="1" si="42"/>
        <v>0</v>
      </c>
      <c r="D105" s="46">
        <f t="shared" si="44"/>
        <v>0</v>
      </c>
      <c r="E105" s="46">
        <f t="shared" si="45"/>
        <v>0</v>
      </c>
      <c r="F105" s="1">
        <f t="shared" ca="1" si="46"/>
        <v>2.375</v>
      </c>
      <c r="G105" t="e">
        <f t="shared" ca="1" si="47"/>
        <v>#N/A</v>
      </c>
      <c r="H105" t="e">
        <f t="shared" ca="1" si="48"/>
        <v>#N/A</v>
      </c>
      <c r="I105" s="7">
        <f t="shared" si="49"/>
        <v>0</v>
      </c>
      <c r="J105" s="7">
        <f t="shared" si="50"/>
        <v>0</v>
      </c>
      <c r="K105">
        <f t="shared" si="51"/>
        <v>0</v>
      </c>
      <c r="L105" s="15">
        <f t="shared" ca="1" si="52"/>
        <v>0</v>
      </c>
      <c r="M105" s="9">
        <f t="shared" ca="1" si="43"/>
        <v>0</v>
      </c>
      <c r="N105" s="7">
        <f t="shared" ca="1" si="53"/>
        <v>0</v>
      </c>
      <c r="O105" s="7">
        <f t="shared" ca="1" si="54"/>
        <v>0</v>
      </c>
      <c r="P105" s="7">
        <f t="shared" ca="1" si="55"/>
        <v>0</v>
      </c>
      <c r="U105" t="e">
        <f t="shared" ca="1" si="56"/>
        <v>#N/A</v>
      </c>
      <c r="V105" t="e">
        <f t="shared" ca="1" si="57"/>
        <v>#N/A</v>
      </c>
      <c r="X105" t="e">
        <f t="shared" ca="1" si="58"/>
        <v>#N/A</v>
      </c>
      <c r="Y105" t="e">
        <f t="shared" ca="1" si="59"/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Q105">
        <v>103</v>
      </c>
      <c r="AR105">
        <f t="shared" si="34"/>
        <v>-2.6994126521263802</v>
      </c>
      <c r="AS105">
        <f t="shared" si="35"/>
        <v>11.692440777422823</v>
      </c>
      <c r="AV105">
        <f>AV104</f>
        <v>1156.326446078416</v>
      </c>
      <c r="AW105">
        <v>0</v>
      </c>
      <c r="AX105">
        <v>0</v>
      </c>
      <c r="AY105">
        <f t="shared" si="60"/>
        <v>0</v>
      </c>
      <c r="BF105">
        <f>BF104</f>
        <v>684.13450091910886</v>
      </c>
      <c r="BG105">
        <v>0</v>
      </c>
      <c r="BH105">
        <v>0</v>
      </c>
      <c r="BI105">
        <f t="shared" si="61"/>
        <v>0</v>
      </c>
      <c r="BP105">
        <f>BP104</f>
        <v>684.13450091910886</v>
      </c>
      <c r="BQ105">
        <v>0</v>
      </c>
      <c r="BR105">
        <v>0</v>
      </c>
      <c r="BS105">
        <v>0</v>
      </c>
    </row>
    <row r="106" spans="1:71" x14ac:dyDescent="0.25">
      <c r="A106">
        <v>70</v>
      </c>
      <c r="B106" s="5">
        <v>0</v>
      </c>
      <c r="C106" s="1">
        <f t="shared" ca="1" si="42"/>
        <v>0</v>
      </c>
      <c r="D106" s="46">
        <f t="shared" si="44"/>
        <v>0</v>
      </c>
      <c r="E106" s="46">
        <f t="shared" si="45"/>
        <v>0</v>
      </c>
      <c r="F106" s="1">
        <f t="shared" ca="1" si="46"/>
        <v>2.375</v>
      </c>
      <c r="G106" t="e">
        <f t="shared" ca="1" si="47"/>
        <v>#N/A</v>
      </c>
      <c r="H106" t="e">
        <f t="shared" ca="1" si="48"/>
        <v>#N/A</v>
      </c>
      <c r="I106" s="7">
        <f t="shared" si="49"/>
        <v>0</v>
      </c>
      <c r="J106" s="7">
        <f t="shared" si="50"/>
        <v>0</v>
      </c>
      <c r="K106">
        <f t="shared" si="51"/>
        <v>0</v>
      </c>
      <c r="L106" s="15">
        <f t="shared" ca="1" si="52"/>
        <v>0</v>
      </c>
      <c r="M106" s="9">
        <f t="shared" ca="1" si="43"/>
        <v>0</v>
      </c>
      <c r="N106" s="7">
        <f t="shared" ca="1" si="53"/>
        <v>0</v>
      </c>
      <c r="O106" s="7">
        <f t="shared" ca="1" si="54"/>
        <v>0</v>
      </c>
      <c r="P106" s="7">
        <f t="shared" ca="1" si="55"/>
        <v>0</v>
      </c>
      <c r="U106" t="e">
        <f t="shared" ca="1" si="56"/>
        <v>#N/A</v>
      </c>
      <c r="V106" t="e">
        <f t="shared" ca="1" si="57"/>
        <v>#N/A</v>
      </c>
      <c r="X106" t="e">
        <f t="shared" ca="1" si="58"/>
        <v>#N/A</v>
      </c>
      <c r="Y106" t="e">
        <f t="shared" ca="1" si="59"/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Q106">
        <v>104</v>
      </c>
      <c r="AR106">
        <f t="shared" si="34"/>
        <v>-2.9030627471960133</v>
      </c>
      <c r="AS106">
        <f t="shared" si="35"/>
        <v>11.643548715311958</v>
      </c>
    </row>
    <row r="107" spans="1:71" x14ac:dyDescent="0.25">
      <c r="A107">
        <v>71</v>
      </c>
      <c r="B107" s="5">
        <v>0</v>
      </c>
      <c r="C107" s="1">
        <f t="shared" ca="1" si="42"/>
        <v>0</v>
      </c>
      <c r="D107" s="46">
        <f t="shared" si="44"/>
        <v>0</v>
      </c>
      <c r="E107" s="46">
        <f t="shared" si="45"/>
        <v>0</v>
      </c>
      <c r="F107" s="1">
        <f t="shared" ca="1" si="46"/>
        <v>2.375</v>
      </c>
      <c r="G107" t="e">
        <f t="shared" ca="1" si="47"/>
        <v>#N/A</v>
      </c>
      <c r="H107" t="e">
        <f t="shared" ca="1" si="48"/>
        <v>#N/A</v>
      </c>
      <c r="I107" s="7">
        <f t="shared" si="49"/>
        <v>0</v>
      </c>
      <c r="J107" s="7">
        <f t="shared" si="50"/>
        <v>0</v>
      </c>
      <c r="K107">
        <f t="shared" si="51"/>
        <v>0</v>
      </c>
      <c r="L107" s="15">
        <f t="shared" ca="1" si="52"/>
        <v>0</v>
      </c>
      <c r="M107" s="9">
        <f t="shared" ca="1" si="43"/>
        <v>0</v>
      </c>
      <c r="N107" s="7">
        <f t="shared" ca="1" si="53"/>
        <v>0</v>
      </c>
      <c r="O107" s="7">
        <f t="shared" ca="1" si="54"/>
        <v>0</v>
      </c>
      <c r="P107" s="7">
        <f t="shared" ca="1" si="55"/>
        <v>0</v>
      </c>
      <c r="U107" t="e">
        <f t="shared" ca="1" si="56"/>
        <v>#N/A</v>
      </c>
      <c r="V107" t="e">
        <f t="shared" ca="1" si="57"/>
        <v>#N/A</v>
      </c>
      <c r="X107" t="e">
        <f t="shared" ca="1" si="58"/>
        <v>#N/A</v>
      </c>
      <c r="Y107" t="e">
        <f t="shared" ca="1" si="59"/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Q107">
        <v>105</v>
      </c>
      <c r="AR107">
        <f t="shared" si="34"/>
        <v>-3.1058285412302502</v>
      </c>
      <c r="AS107">
        <f t="shared" si="35"/>
        <v>11.59110991546882</v>
      </c>
    </row>
    <row r="108" spans="1:71" ht="15.75" thickBot="1" x14ac:dyDescent="0.3">
      <c r="A108">
        <v>72</v>
      </c>
      <c r="B108" s="5">
        <v>0</v>
      </c>
      <c r="C108" s="12">
        <f t="shared" ca="1" si="42"/>
        <v>0</v>
      </c>
      <c r="D108" s="46">
        <f t="shared" si="44"/>
        <v>0</v>
      </c>
      <c r="E108" s="46">
        <f t="shared" si="45"/>
        <v>0</v>
      </c>
      <c r="F108" s="1">
        <f t="shared" ca="1" si="46"/>
        <v>2.375</v>
      </c>
      <c r="G108" t="e">
        <f t="shared" ca="1" si="47"/>
        <v>#N/A</v>
      </c>
      <c r="H108" t="e">
        <f t="shared" ca="1" si="48"/>
        <v>#N/A</v>
      </c>
      <c r="I108" s="7">
        <f t="shared" si="49"/>
        <v>0</v>
      </c>
      <c r="J108" s="7">
        <f t="shared" si="50"/>
        <v>0</v>
      </c>
      <c r="K108">
        <f t="shared" si="51"/>
        <v>0</v>
      </c>
      <c r="L108" s="15">
        <f t="shared" ca="1" si="52"/>
        <v>0</v>
      </c>
      <c r="M108" s="9">
        <f t="shared" ca="1" si="43"/>
        <v>0</v>
      </c>
      <c r="N108" s="7">
        <f t="shared" ca="1" si="53"/>
        <v>0</v>
      </c>
      <c r="O108" s="7">
        <f t="shared" ca="1" si="54"/>
        <v>0</v>
      </c>
      <c r="P108" s="7">
        <f t="shared" ca="1" si="55"/>
        <v>0</v>
      </c>
      <c r="U108" t="e">
        <f t="shared" ca="1" si="56"/>
        <v>#N/A</v>
      </c>
      <c r="V108" t="e">
        <f t="shared" ca="1" si="57"/>
        <v>#N/A</v>
      </c>
      <c r="X108" t="e">
        <f t="shared" ca="1" si="58"/>
        <v>#N/A</v>
      </c>
      <c r="Y108" t="e">
        <f t="shared" ca="1" si="59"/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Q108">
        <v>106</v>
      </c>
      <c r="AR108">
        <f t="shared" si="34"/>
        <v>-3.3076482698039884</v>
      </c>
      <c r="AS108">
        <f t="shared" si="35"/>
        <v>11.535140351259827</v>
      </c>
    </row>
    <row r="109" spans="1:71" ht="15.75" thickTop="1" x14ac:dyDescent="0.25">
      <c r="C109" s="13">
        <f ca="1">SUM(C37:C108)</f>
        <v>5.3999999999999995</v>
      </c>
      <c r="L109" s="15">
        <f ca="1">MIN(L37:L108)</f>
        <v>-3.1496209063440841E-3</v>
      </c>
      <c r="M109" s="9"/>
      <c r="N109" s="7">
        <f ca="1">SUM(N37:N108)</f>
        <v>-61.563475887063404</v>
      </c>
      <c r="O109" s="7">
        <f t="shared" ref="O109:P109" ca="1" si="63">SUM(O37:O108)</f>
        <v>1573.6535240833614</v>
      </c>
      <c r="P109" s="7">
        <f t="shared" ca="1" si="63"/>
        <v>-4.2632564145606011E-13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Q109">
        <v>107</v>
      </c>
      <c r="AR109">
        <f t="shared" si="34"/>
        <v>-3.5084604566728399</v>
      </c>
      <c r="AS109">
        <f t="shared" si="35"/>
        <v>11.475657071556427</v>
      </c>
    </row>
    <row r="110" spans="1:71" x14ac:dyDescent="0.25">
      <c r="M110" s="9"/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Q110">
        <v>108</v>
      </c>
      <c r="AR110">
        <f t="shared" si="34"/>
        <v>-3.7082039324993681</v>
      </c>
      <c r="AS110">
        <f t="shared" si="35"/>
        <v>11.412678195541844</v>
      </c>
    </row>
    <row r="111" spans="1:71" x14ac:dyDescent="0.25">
      <c r="M111" s="9"/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Q111">
        <v>109</v>
      </c>
      <c r="AR111">
        <f t="shared" si="34"/>
        <v>-3.9068178534858795</v>
      </c>
      <c r="AS111">
        <f t="shared" si="35"/>
        <v>11.346222907191802</v>
      </c>
    </row>
    <row r="112" spans="1:71" x14ac:dyDescent="0.25">
      <c r="A112" t="s">
        <v>21</v>
      </c>
      <c r="B112" s="10">
        <f ca="1">H31+N109</f>
        <v>504.50977101949252</v>
      </c>
      <c r="M112" s="9"/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Q112">
        <v>110</v>
      </c>
      <c r="AR112">
        <f t="shared" si="34"/>
        <v>-4.1042417199080248</v>
      </c>
      <c r="AS112">
        <f t="shared" si="35"/>
        <v>11.276311449430901</v>
      </c>
    </row>
    <row r="113" spans="1:45" x14ac:dyDescent="0.25">
      <c r="A113" t="s">
        <v>56</v>
      </c>
      <c r="B113" s="10">
        <f ca="1">I31+O109</f>
        <v>5696.8619822312394</v>
      </c>
      <c r="M113" s="9"/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Q113">
        <v>111</v>
      </c>
      <c r="AR113">
        <f t="shared" si="34"/>
        <v>-4.3004153945436032</v>
      </c>
      <c r="AS113">
        <f t="shared" si="35"/>
        <v>11.202965117966421</v>
      </c>
    </row>
    <row r="114" spans="1:45" x14ac:dyDescent="0.25">
      <c r="A114" t="s">
        <v>57</v>
      </c>
      <c r="B114" s="10">
        <f ca="1">J31+P109</f>
        <v>-5.6221693967017927E-13</v>
      </c>
      <c r="M114" s="9"/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Q114">
        <v>112</v>
      </c>
      <c r="AR114">
        <f t="shared" si="34"/>
        <v>-4.4952791209909453</v>
      </c>
      <c r="AS114">
        <f t="shared" si="35"/>
        <v>11.126206254801449</v>
      </c>
    </row>
    <row r="115" spans="1:45" x14ac:dyDescent="0.25">
      <c r="M115" s="9"/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Q115">
        <v>113</v>
      </c>
      <c r="AR115">
        <f t="shared" si="34"/>
        <v>-4.688773541871285</v>
      </c>
      <c r="AS115">
        <f t="shared" si="35"/>
        <v>11.046058241429282</v>
      </c>
    </row>
    <row r="116" spans="1:45" x14ac:dyDescent="0.25">
      <c r="A116" s="2" t="s">
        <v>58</v>
      </c>
      <c r="B116">
        <f ca="1">((B113*COS(-1*B10))+(B114*SIN(-1*B10)))</f>
        <v>5696.8619822312394</v>
      </c>
      <c r="C116" t="s">
        <v>59</v>
      </c>
      <c r="M116" s="9"/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Q116">
        <v>114</v>
      </c>
      <c r="AR116">
        <f t="shared" si="34"/>
        <v>-4.8808397169096036</v>
      </c>
      <c r="AS116">
        <f t="shared" si="35"/>
        <v>10.962545491711211</v>
      </c>
    </row>
    <row r="117" spans="1:45" x14ac:dyDescent="0.25">
      <c r="A117" s="2" t="s">
        <v>60</v>
      </c>
      <c r="B117">
        <f ca="1">(-1*(B113)*SIN(-1*B10))+((B114)*COS(-1*B10))</f>
        <v>-5.6221693967017927E-13</v>
      </c>
      <c r="C117" t="s">
        <v>59</v>
      </c>
      <c r="M117" s="9"/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Q117">
        <v>115</v>
      </c>
      <c r="AR117">
        <f t="shared" si="34"/>
        <v>-5.0714191408883922</v>
      </c>
      <c r="AS117">
        <f t="shared" si="35"/>
        <v>10.875693444439801</v>
      </c>
    </row>
    <row r="118" spans="1:45" x14ac:dyDescent="0.25">
      <c r="M118" s="9"/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Q118">
        <v>116</v>
      </c>
      <c r="AR118">
        <f t="shared" si="34"/>
        <v>-5.2604537614689306</v>
      </c>
      <c r="AS118">
        <f t="shared" si="35"/>
        <v>10.785528555590004</v>
      </c>
    </row>
    <row r="119" spans="1:45" x14ac:dyDescent="0.25">
      <c r="M119" s="9"/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Q119">
        <v>117</v>
      </c>
      <c r="AR119">
        <f t="shared" si="34"/>
        <v>-5.4478859968745601</v>
      </c>
      <c r="AS119">
        <f t="shared" si="35"/>
        <v>10.692078290260415</v>
      </c>
    </row>
    <row r="120" spans="1:45" x14ac:dyDescent="0.25">
      <c r="A120" t="s">
        <v>108</v>
      </c>
      <c r="M120" s="9"/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Q120">
        <v>118</v>
      </c>
      <c r="AR120">
        <f t="shared" si="34"/>
        <v>-5.6336587534306908</v>
      </c>
      <c r="AS120">
        <f t="shared" si="35"/>
        <v>10.595371114307122</v>
      </c>
    </row>
    <row r="121" spans="1:45" ht="18" x14ac:dyDescent="0.35">
      <c r="A121" t="s">
        <v>86</v>
      </c>
      <c r="B121" t="s">
        <v>87</v>
      </c>
      <c r="M121" s="9"/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Q121">
        <v>119</v>
      </c>
      <c r="AR121">
        <f t="shared" si="34"/>
        <v>-5.817715442956044</v>
      </c>
      <c r="AS121">
        <f t="shared" si="35"/>
        <v>10.49543648567275</v>
      </c>
    </row>
    <row r="122" spans="1:45" ht="18" x14ac:dyDescent="0.35">
      <c r="A122" t="s">
        <v>88</v>
      </c>
      <c r="B122" t="s">
        <v>89</v>
      </c>
      <c r="M122" s="9"/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Q122">
        <v>120</v>
      </c>
      <c r="AR122">
        <f t="shared" si="34"/>
        <v>-5.9999999999999973</v>
      </c>
      <c r="AS122">
        <f t="shared" si="35"/>
        <v>10.392304845413264</v>
      </c>
    </row>
    <row r="123" spans="1:45" ht="18" x14ac:dyDescent="0.35">
      <c r="A123" t="s">
        <v>90</v>
      </c>
      <c r="M123" s="9"/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Q123">
        <v>121</v>
      </c>
      <c r="AR123">
        <f t="shared" si="34"/>
        <v>-6.1804568989206512</v>
      </c>
      <c r="AS123">
        <f t="shared" si="35"/>
        <v>10.286007608425347</v>
      </c>
    </row>
    <row r="124" spans="1:45" ht="18.75" x14ac:dyDescent="0.35">
      <c r="A124" t="s">
        <v>91</v>
      </c>
      <c r="B124" t="s">
        <v>92</v>
      </c>
      <c r="M124" s="9"/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Q124">
        <v>122</v>
      </c>
      <c r="AR124">
        <f t="shared" si="34"/>
        <v>-6.3590311707984579</v>
      </c>
      <c r="AS124">
        <f t="shared" si="35"/>
        <v>10.176577153877112</v>
      </c>
    </row>
    <row r="125" spans="1:45" x14ac:dyDescent="0.25">
      <c r="M125" s="9"/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Q125">
        <v>123</v>
      </c>
      <c r="AR125">
        <f t="shared" si="34"/>
        <v>-6.5356684201803255</v>
      </c>
      <c r="AS125">
        <f t="shared" si="35"/>
        <v>10.064046815345087</v>
      </c>
    </row>
    <row r="126" spans="1:45" x14ac:dyDescent="0.25">
      <c r="A126" t="s">
        <v>93</v>
      </c>
      <c r="B126" s="4">
        <f>B5*1000</f>
        <v>5000</v>
      </c>
      <c r="C126" t="s">
        <v>94</v>
      </c>
      <c r="M126" s="9"/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Q126">
        <v>124</v>
      </c>
      <c r="AR126">
        <f t="shared" si="34"/>
        <v>-6.7103148416489606</v>
      </c>
      <c r="AS126">
        <f t="shared" si="35"/>
        <v>9.9484508706605013</v>
      </c>
    </row>
    <row r="127" spans="1:45" x14ac:dyDescent="0.25">
      <c r="A127" t="s">
        <v>3</v>
      </c>
      <c r="B127" s="4">
        <f>B7*1000</f>
        <v>4074280.688047891</v>
      </c>
      <c r="C127" t="s">
        <v>94</v>
      </c>
      <c r="M127" s="9"/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Q127">
        <v>125</v>
      </c>
      <c r="AR127">
        <f t="shared" si="34"/>
        <v>-6.8829172362125544</v>
      </c>
      <c r="AS127">
        <f t="shared" si="35"/>
        <v>9.8298245314678994</v>
      </c>
    </row>
    <row r="128" spans="1:45" ht="18" x14ac:dyDescent="0.35">
      <c r="A128" t="s">
        <v>86</v>
      </c>
      <c r="B128" s="1">
        <f>(2*0.85*B126)/B127</f>
        <v>2.0862578331765852E-3</v>
      </c>
      <c r="C128" t="s">
        <v>95</v>
      </c>
      <c r="M128" s="9"/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Q128">
        <v>126</v>
      </c>
      <c r="AR128">
        <f t="shared" si="34"/>
        <v>-7.0534230275096768</v>
      </c>
      <c r="AS128">
        <f t="shared" si="35"/>
        <v>9.7082039324993694</v>
      </c>
    </row>
    <row r="129" spans="1:45" ht="18" x14ac:dyDescent="0.35">
      <c r="A129" t="s">
        <v>96</v>
      </c>
      <c r="B129" s="1">
        <v>3.0000000000000001E-3</v>
      </c>
      <c r="C129" t="s">
        <v>95</v>
      </c>
      <c r="M129" s="9"/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Q129">
        <v>127</v>
      </c>
      <c r="AR129">
        <f t="shared" si="34"/>
        <v>-7.2217802778245801</v>
      </c>
      <c r="AS129">
        <f t="shared" si="35"/>
        <v>9.5836261205675122</v>
      </c>
    </row>
    <row r="130" spans="1:45" ht="18" x14ac:dyDescent="0.35">
      <c r="A130" t="s">
        <v>97</v>
      </c>
      <c r="B130" s="1">
        <f>B129/B128</f>
        <v>1.4379814193110203</v>
      </c>
      <c r="C130" t="s">
        <v>98</v>
      </c>
      <c r="M130" s="9"/>
      <c r="Q130">
        <f>1.80832-SIN(1.80832)</f>
        <v>0.83639637458165028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Q130">
        <v>128</v>
      </c>
      <c r="AR130">
        <f t="shared" si="34"/>
        <v>-7.3879377039078999</v>
      </c>
      <c r="AS130">
        <f t="shared" si="35"/>
        <v>9.4561290432806651</v>
      </c>
    </row>
    <row r="131" spans="1:45" ht="18" x14ac:dyDescent="0.35">
      <c r="A131" t="s">
        <v>99</v>
      </c>
      <c r="B131" s="7">
        <f>B3</f>
        <v>12</v>
      </c>
      <c r="C131" t="s">
        <v>0</v>
      </c>
      <c r="M131" s="9"/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Q131">
        <v>129</v>
      </c>
      <c r="AR131">
        <f t="shared" ref="AR131:AR194" si="64">$B$3*COS(RADIANS(AQ131))</f>
        <v>-7.5518446925980474</v>
      </c>
      <c r="AS131">
        <f t="shared" ref="AS131:AS194" si="65">$B$3*SIN(RADIANS(AQ131))</f>
        <v>9.3257515374836526</v>
      </c>
    </row>
    <row r="132" spans="1:45" x14ac:dyDescent="0.25">
      <c r="B132" s="1"/>
      <c r="M132" s="9"/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Q132">
        <v>130</v>
      </c>
      <c r="AR132">
        <f t="shared" si="64"/>
        <v>-7.7134513162384728</v>
      </c>
      <c r="AS132">
        <f t="shared" si="65"/>
        <v>9.1925333174277366</v>
      </c>
    </row>
    <row r="133" spans="1:45" x14ac:dyDescent="0.25">
      <c r="A133" t="s">
        <v>100</v>
      </c>
      <c r="B133" s="9">
        <f>B11</f>
        <v>10.065706293627615</v>
      </c>
      <c r="C133" t="s">
        <v>0</v>
      </c>
      <c r="D133" t="s">
        <v>101</v>
      </c>
      <c r="J133" s="1" t="s">
        <v>112</v>
      </c>
      <c r="K133" t="s">
        <v>113</v>
      </c>
      <c r="M133" s="9"/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Q133">
        <v>131</v>
      </c>
      <c r="AR133">
        <f t="shared" si="64"/>
        <v>-7.8727083478860855</v>
      </c>
      <c r="AS133">
        <f t="shared" si="65"/>
        <v>9.0565149626732655</v>
      </c>
    </row>
    <row r="134" spans="1:45" ht="18" x14ac:dyDescent="0.35">
      <c r="A134" t="s">
        <v>102</v>
      </c>
      <c r="B134" s="1">
        <f>(((B128/B129)*B133)-B133)*-1</f>
        <v>3.0658200931157937</v>
      </c>
      <c r="C134" t="s">
        <v>0</v>
      </c>
      <c r="D134" t="s">
        <v>103</v>
      </c>
      <c r="M134" s="9"/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Q134">
        <v>132</v>
      </c>
      <c r="AR134">
        <f t="shared" si="64"/>
        <v>-8.0295672763062989</v>
      </c>
      <c r="AS134">
        <f t="shared" si="65"/>
        <v>8.9177379057287318</v>
      </c>
    </row>
    <row r="135" spans="1:45" x14ac:dyDescent="0.25">
      <c r="A135" t="s">
        <v>104</v>
      </c>
      <c r="B135" s="1">
        <f>B131-B134</f>
        <v>8.9341799068842072</v>
      </c>
      <c r="C135" t="s">
        <v>0</v>
      </c>
      <c r="D135" t="s">
        <v>105</v>
      </c>
      <c r="J135">
        <f>IF(B11&lt;=0,0,IF(B135&lt;(-1*$B$3),0,SQRT(POWER($B$3,2)-POWER(B135,2))))</f>
        <v>8.0112689002071633</v>
      </c>
      <c r="K135">
        <f>-1*J135</f>
        <v>-8.0112689002071633</v>
      </c>
      <c r="M135" s="9"/>
      <c r="N135">
        <f>B135/0.8</f>
        <v>11.167724883605258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Q135">
        <v>133</v>
      </c>
      <c r="AR135">
        <f t="shared" si="64"/>
        <v>-8.1839803207499813</v>
      </c>
      <c r="AS135">
        <f t="shared" si="65"/>
        <v>8.7762444194300464</v>
      </c>
    </row>
    <row r="136" spans="1:45" x14ac:dyDescent="0.25">
      <c r="A136" t="s">
        <v>106</v>
      </c>
      <c r="B136" s="1">
        <f>B131-B133</f>
        <v>1.9342937063723848</v>
      </c>
      <c r="C136" t="s">
        <v>0</v>
      </c>
      <c r="D136" t="s">
        <v>107</v>
      </c>
      <c r="J136">
        <f>IF(B11&lt;=0,0,IF(B136&lt;(-1*$B$3),0,SQRT(POWER($B$3,2)-POWER(B136,2))))</f>
        <v>11.843078478904385</v>
      </c>
      <c r="K136">
        <f>-1*J136</f>
        <v>-11.843078478904385</v>
      </c>
      <c r="M136" s="9"/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Q136">
        <v>134</v>
      </c>
      <c r="AR136">
        <f t="shared" si="64"/>
        <v>-8.3359004455079688</v>
      </c>
      <c r="AS136">
        <f t="shared" si="65"/>
        <v>8.632077604063813</v>
      </c>
    </row>
    <row r="137" spans="1:45" x14ac:dyDescent="0.25">
      <c r="B137" s="9"/>
      <c r="M137" s="9"/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Q137">
        <v>135</v>
      </c>
      <c r="AR137">
        <f t="shared" si="64"/>
        <v>-8.4852813742385695</v>
      </c>
      <c r="AS137">
        <f t="shared" si="65"/>
        <v>8.4852813742385713</v>
      </c>
    </row>
    <row r="138" spans="1:45" x14ac:dyDescent="0.25">
      <c r="M138" s="9"/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Q138">
        <v>136</v>
      </c>
      <c r="AR138">
        <f t="shared" si="64"/>
        <v>-8.6320776040638147</v>
      </c>
      <c r="AS138">
        <f t="shared" si="65"/>
        <v>8.3359004455079653</v>
      </c>
    </row>
    <row r="139" spans="1:45" ht="15.75" thickBot="1" x14ac:dyDescent="0.3">
      <c r="A139" t="s">
        <v>109</v>
      </c>
      <c r="E139" t="s">
        <v>124</v>
      </c>
      <c r="J139" s="1"/>
      <c r="K139" s="1"/>
      <c r="L139" s="1" t="s">
        <v>115</v>
      </c>
      <c r="M139" s="9"/>
      <c r="N139" s="1"/>
      <c r="O139" s="1" t="s">
        <v>116</v>
      </c>
      <c r="P139" s="1"/>
      <c r="Q139" s="1"/>
      <c r="R139" s="1" t="s">
        <v>117</v>
      </c>
      <c r="S139" s="1"/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Q139">
        <v>137</v>
      </c>
      <c r="AR139">
        <f t="shared" si="64"/>
        <v>-8.7762444194300464</v>
      </c>
      <c r="AS139">
        <f t="shared" si="65"/>
        <v>8.1839803207499831</v>
      </c>
    </row>
    <row r="140" spans="1:45" x14ac:dyDescent="0.25">
      <c r="A140" t="s">
        <v>110</v>
      </c>
      <c r="B140">
        <f>ATAN2(J136,B136)</f>
        <v>0.16189745921706677</v>
      </c>
      <c r="C140" t="s">
        <v>17</v>
      </c>
      <c r="D140">
        <f>B140/(2*PI())</f>
        <v>2.5766780908414711E-2</v>
      </c>
      <c r="E140" s="1" t="s">
        <v>120</v>
      </c>
      <c r="F140" s="1">
        <f>((-2*B129*0.85*B126*B136)/(B133*B128))-((POWER(B129,2)*0.85*B126*POWER(B136,2))/(POWER(B133,2)*POWER(B128,2)))</f>
        <v>-2673.3511271466159</v>
      </c>
      <c r="G140" s="1"/>
      <c r="I140" t="s">
        <v>125</v>
      </c>
      <c r="J140" s="1">
        <f>((-1*F142*POWER(B3,4)*SIN(8*PI()*D140))/32)+((F140*POWER(B3,2)*SIN(4*PI()*D140))/4)-((F141*POWER(B3,3)*POWER(COS(2*PI()*D140),3))/3)+((PI()*F142*POWER(B3,4)*D140)/4)+(PI()*F140*POWER(B3,2)*D140)</f>
        <v>-922426.06320461305</v>
      </c>
      <c r="K140" s="1">
        <f>((-1*F142*POWER(B3,4)*SIN(8*PI()*D145))/32)+((F140*POWER(B3,2)*SIN(4*PI()*D145))/4)-((F141*POWER(B3,3)*POWER(COS(2*PI()*D145),3))/3)+((PI()*F142*POWER(B3,4)*D145)/4)+(PI()*F140*POWER(B3,2)*D145)</f>
        <v>-723891.98885967548</v>
      </c>
      <c r="L140" s="19">
        <f>K140-J140</f>
        <v>198534.07434493757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4398874.2458818257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5616964.1196454335</v>
      </c>
      <c r="O140" s="42">
        <f>N140-M140</f>
        <v>1218089.8737636078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-177877.45556093281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826510.14670403674</v>
      </c>
      <c r="R140" s="19">
        <f>Q140-P140</f>
        <v>1004387.6022649696</v>
      </c>
      <c r="S140" s="1"/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Q140">
        <v>138</v>
      </c>
      <c r="AR140">
        <f t="shared" si="64"/>
        <v>-8.9177379057287283</v>
      </c>
      <c r="AS140">
        <f t="shared" si="65"/>
        <v>8.0295672763063006</v>
      </c>
    </row>
    <row r="141" spans="1:45" x14ac:dyDescent="0.25">
      <c r="A141" t="s">
        <v>111</v>
      </c>
      <c r="B141">
        <f>IF(B140&lt;0,(2*PI())+ATAN2(K136,B136),ATAN2(K136,B136))</f>
        <v>2.9796951943727263</v>
      </c>
      <c r="C141" t="s">
        <v>17</v>
      </c>
      <c r="D141">
        <f>B141/(2*PI())</f>
        <v>0.47423321909158528</v>
      </c>
      <c r="E141" s="1" t="s">
        <v>121</v>
      </c>
      <c r="F141" s="1">
        <f>((2*POWER(B129,2)*0.85*B126*B136)/(POWER(B133,2)*POWER(B128,2)))+((2*B129*0.85*B126)/(B133*B128))</f>
        <v>1549.8571104017835</v>
      </c>
      <c r="G141" s="1" t="s">
        <v>14</v>
      </c>
      <c r="I141" t="s">
        <v>126</v>
      </c>
      <c r="J141" s="1">
        <f>((-1*F142*POWER(B3,4)*SIN(8*PI()*D146))/32)+((F140*POWER(B3,2)*SIN(4*PI()*D146))/4)-((F141*POWER(B3,3)*POWER(COS(2*PI()*D146),3))/3)+((PI()*F142*POWER(B3,4)*D146)/4)+(PI()*F140*POWER(B3,2)*D146)</f>
        <v>-587110.07449399703</v>
      </c>
      <c r="K141" s="1">
        <f>((-1*F142*POWER(B3,4)*SIN(8*PI()*D141))/32)+((F140*POWER(B3,2)*SIN(4*PI()*D141))/4)-((F141*POWER(B3,3)*POWER(COS(2*PI()*D141),3))/3)+((PI()*F142*POWER(B3,4)*D141)/4)+(PI()*F140*POWER(B3,2)*D141)</f>
        <v>-388576.00014905934</v>
      </c>
      <c r="L141" s="41">
        <f>K141-J141</f>
        <v>198534.07434493769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7003534.9742529346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8221624.8480165424</v>
      </c>
      <c r="O141" s="43">
        <f>N141-M141</f>
        <v>1218089.8737636078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826510.14670403698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-177877.45556093281</v>
      </c>
      <c r="R141" s="41">
        <f>Q141-P141</f>
        <v>-1004387.6022649698</v>
      </c>
      <c r="S141" s="1"/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Q141">
        <v>139</v>
      </c>
      <c r="AR141">
        <f t="shared" si="64"/>
        <v>-9.0565149626732637</v>
      </c>
      <c r="AS141">
        <f t="shared" si="65"/>
        <v>7.8727083478860873</v>
      </c>
    </row>
    <row r="142" spans="1:45" x14ac:dyDescent="0.25">
      <c r="E142" s="1" t="s">
        <v>122</v>
      </c>
      <c r="F142" s="1">
        <f>(-1*POWER(B129,2)*0.85*B126)/(POWER(B133,2)*POWER(B128,2))</f>
        <v>-86.737514050256891</v>
      </c>
      <c r="G142" s="9" t="s">
        <v>123</v>
      </c>
      <c r="J142" s="1"/>
      <c r="K142" s="1"/>
      <c r="L142" s="41">
        <f>L140+L141</f>
        <v>397068.14868987526</v>
      </c>
      <c r="M142" s="9"/>
      <c r="N142" s="1"/>
      <c r="O142" s="43">
        <f>O140+O141</f>
        <v>2436179.7475272156</v>
      </c>
      <c r="P142" s="1"/>
      <c r="Q142" s="1"/>
      <c r="R142" s="41">
        <f>R140+R141</f>
        <v>0</v>
      </c>
      <c r="S142" s="1"/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Q142">
        <v>140</v>
      </c>
      <c r="AR142">
        <f t="shared" si="64"/>
        <v>-9.1925333174277348</v>
      </c>
      <c r="AS142">
        <f t="shared" si="65"/>
        <v>7.7134513162384737</v>
      </c>
    </row>
    <row r="143" spans="1:45" x14ac:dyDescent="0.25">
      <c r="F143" s="1">
        <f>F140+(F141*B136)+(F142*(POWER(B136,2)))</f>
        <v>0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Q143">
        <v>141</v>
      </c>
      <c r="AR143">
        <f t="shared" si="64"/>
        <v>-9.3257515374836508</v>
      </c>
      <c r="AS143">
        <f t="shared" si="65"/>
        <v>7.5518446925980491</v>
      </c>
    </row>
    <row r="144" spans="1:45" x14ac:dyDescent="0.25">
      <c r="A144" t="s">
        <v>114</v>
      </c>
      <c r="B144" s="1"/>
      <c r="C144" s="1"/>
      <c r="E144" s="1"/>
      <c r="F144" s="1">
        <f>F140+(F141*B135)+(F142*POWER(B135,2))</f>
        <v>4250.0000000000018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Q144">
        <v>142</v>
      </c>
      <c r="AR144">
        <f t="shared" si="64"/>
        <v>-9.4561290432806633</v>
      </c>
      <c r="AS144">
        <f t="shared" si="65"/>
        <v>7.3879377039079008</v>
      </c>
    </row>
    <row r="145" spans="1:45" x14ac:dyDescent="0.25">
      <c r="A145" t="s">
        <v>110</v>
      </c>
      <c r="B145">
        <f>ATAN2(J135,B135)</f>
        <v>0.83980805820280391</v>
      </c>
      <c r="C145" t="s">
        <v>17</v>
      </c>
      <c r="D145">
        <f>B145/(2*PI())</f>
        <v>0.13365960371138239</v>
      </c>
      <c r="E145" s="1"/>
      <c r="F145" s="1"/>
      <c r="G145" s="1"/>
      <c r="J145" s="1">
        <f>(0.2125*B126*POWER(B3,2)*SIN(4*PI()*D145))+(0.85*PI()*B126*POWER(B3,2)*D145)</f>
        <v>409076.26578842197</v>
      </c>
      <c r="K145" s="1">
        <f>(0.2125*B126*POWER(B3,2)*SIN(4*PI()*D146))+(0.85*PI()*B126*POWER(B3,2)*D146)</f>
        <v>552251.08621005469</v>
      </c>
      <c r="L145" s="41">
        <f>K145-J145</f>
        <v>143174.82042163273</v>
      </c>
      <c r="M145" s="9">
        <f>(-1*17*B126*POWER(B3,3)*POWER(COS(2*PI()*D145),3))/60</f>
        <v>-728402.79381275922</v>
      </c>
      <c r="N145" s="1">
        <f>(-1*17*B126*POWER(B3,3)*POWER(COS(2*PI()*D146),3))/60</f>
        <v>728402.79381275852</v>
      </c>
      <c r="O145" s="43">
        <f>N145-M145</f>
        <v>1456805.5876255177</v>
      </c>
      <c r="P145" s="1">
        <f>((17*B126*POWER(B3,3)*SIN(2*PI()*D145))/20)-((17*B126*POWER(B3,3)*POWER(SIN(2*PI()*D145),3))/60)</f>
        <v>4457461.3641445413</v>
      </c>
      <c r="Q145" s="1">
        <f>((17*B126*POWER(B3,3)*SIN(2*PI()*D146))/20)-((17*B126*POWER(B3,3)*POWER(SIN(2*PI()*D146),3))/60)</f>
        <v>4457461.3641445413</v>
      </c>
      <c r="R145" s="41">
        <f>Q145-P145</f>
        <v>0</v>
      </c>
      <c r="S145" s="1"/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Q145">
        <v>143</v>
      </c>
      <c r="AR145">
        <f t="shared" si="64"/>
        <v>-9.5836261205675157</v>
      </c>
      <c r="AS145">
        <f t="shared" si="65"/>
        <v>7.2217802778245783</v>
      </c>
    </row>
    <row r="146" spans="1:45" x14ac:dyDescent="0.25">
      <c r="A146" t="s">
        <v>111</v>
      </c>
      <c r="B146">
        <f>IF(B145&lt;0,(2*PI())+ATAN2(K135,B135),ATAN2(K135,B135))</f>
        <v>2.3017845953869891</v>
      </c>
      <c r="C146" t="s">
        <v>17</v>
      </c>
      <c r="D146">
        <f>B146/(2*PI())</f>
        <v>0.36634039628861759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Q146">
        <v>144</v>
      </c>
      <c r="AR146">
        <f t="shared" si="64"/>
        <v>-9.7082039324993676</v>
      </c>
      <c r="AS146">
        <f t="shared" si="65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540.24296911150805</v>
      </c>
      <c r="M147" s="40" t="s">
        <v>22</v>
      </c>
      <c r="N147" s="1"/>
      <c r="O147" s="45">
        <f>(O142+O145)/1000</f>
        <v>3892.9853351527331</v>
      </c>
      <c r="P147" s="35" t="s">
        <v>59</v>
      </c>
      <c r="Q147" s="1"/>
      <c r="R147" s="44">
        <f>(R145+R142)/1000</f>
        <v>0</v>
      </c>
      <c r="S147" s="35" t="s">
        <v>59</v>
      </c>
      <c r="V147" s="10">
        <f>857.9-L147</f>
        <v>317.65703088849193</v>
      </c>
      <c r="Y147" s="10"/>
      <c r="AB147" s="10"/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Q147">
        <v>145</v>
      </c>
      <c r="AR147">
        <f t="shared" si="64"/>
        <v>-9.8298245314679029</v>
      </c>
      <c r="AS147">
        <f t="shared" si="65"/>
        <v>6.8829172362125508</v>
      </c>
    </row>
    <row r="148" spans="1:45" x14ac:dyDescent="0.25">
      <c r="C148" s="38"/>
      <c r="E148" s="39"/>
      <c r="F148" s="1"/>
      <c r="G148" s="1"/>
      <c r="M148" s="9"/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Q148">
        <v>146</v>
      </c>
      <c r="AR148">
        <f t="shared" si="64"/>
        <v>-9.9484508706604995</v>
      </c>
      <c r="AS148">
        <f t="shared" si="65"/>
        <v>6.7103148416489624</v>
      </c>
    </row>
    <row r="149" spans="1:45" x14ac:dyDescent="0.25">
      <c r="C149" s="38"/>
      <c r="E149" s="39"/>
      <c r="F149" s="1"/>
      <c r="G149" s="1"/>
      <c r="J149" t="s">
        <v>130</v>
      </c>
      <c r="L149" s="10">
        <f ca="1">N109</f>
        <v>-61.563475887063404</v>
      </c>
      <c r="O149" s="10">
        <f ca="1">O109</f>
        <v>1573.6535240833614</v>
      </c>
      <c r="R149" s="10">
        <f ca="1">P109</f>
        <v>-4.2632564145606011E-13</v>
      </c>
      <c r="V149" s="10"/>
      <c r="Y149" s="10"/>
      <c r="AB149" s="10"/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Q149">
        <v>147</v>
      </c>
      <c r="AR149">
        <f t="shared" si="64"/>
        <v>-10.064046815345087</v>
      </c>
      <c r="AS149">
        <f t="shared" si="65"/>
        <v>6.5356684201803272</v>
      </c>
    </row>
    <row r="150" spans="1:45" x14ac:dyDescent="0.25">
      <c r="A150" t="s">
        <v>128</v>
      </c>
      <c r="B150" t="s">
        <v>129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Q150">
        <v>148</v>
      </c>
      <c r="AR150">
        <f t="shared" si="64"/>
        <v>-10.176577153877112</v>
      </c>
      <c r="AS150">
        <f t="shared" si="65"/>
        <v>6.3590311707984588</v>
      </c>
    </row>
    <row r="151" spans="1:45" x14ac:dyDescent="0.25">
      <c r="A151" s="15">
        <f ca="1">L37</f>
        <v>2.1617577789507327E-3</v>
      </c>
      <c r="B151">
        <f ca="1">IF(AND(A151&gt;0,A151&lt;$B$128),(0.85*$B$126)*((2*(A151/$B$128))-POWER(A151/$B$128,2)),IF(A151&gt;0,0.85*$B$126,0))/1000</f>
        <v>4.25</v>
      </c>
      <c r="J151" t="s">
        <v>131</v>
      </c>
      <c r="L151" s="10">
        <f ca="1">L147+L149</f>
        <v>478.67949322444463</v>
      </c>
      <c r="O151" s="36">
        <f ca="1">O147+O149</f>
        <v>5466.6388592360945</v>
      </c>
      <c r="R151" s="10">
        <f ca="1">R147+R149</f>
        <v>-4.2632564145606011E-13</v>
      </c>
      <c r="V151" s="10"/>
      <c r="Y151" s="36"/>
      <c r="AB151" s="10"/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Q151">
        <v>149</v>
      </c>
      <c r="AR151">
        <f t="shared" si="64"/>
        <v>-10.286007608425347</v>
      </c>
      <c r="AS151">
        <f t="shared" si="65"/>
        <v>6.180456898920653</v>
      </c>
    </row>
    <row r="152" spans="1:45" x14ac:dyDescent="0.25">
      <c r="A152" s="15">
        <f t="shared" ref="A152:A215" ca="1" si="66">L38</f>
        <v>1.5211271219032969E-3</v>
      </c>
      <c r="B152">
        <f t="shared" ref="B152:B215" ca="1" si="67">IF(AND(A152&gt;0,A152&lt;$B$128),(0.85*$B$126)*((2*(A152/$B$128))-POWER(A152/$B$128,2)),IF(A152&gt;0,0.85*$B$126,0))/1000</f>
        <v>3.9381463815135676</v>
      </c>
      <c r="M152" s="9"/>
      <c r="W152" s="9"/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Q152">
        <v>150</v>
      </c>
      <c r="AR152">
        <f t="shared" si="64"/>
        <v>-10.392304845413264</v>
      </c>
      <c r="AS152">
        <f t="shared" si="65"/>
        <v>5.9999999999999991</v>
      </c>
    </row>
    <row r="153" spans="1:45" x14ac:dyDescent="0.25">
      <c r="A153" s="15">
        <f t="shared" ca="1" si="66"/>
        <v>-1.0100664498983447E-4</v>
      </c>
      <c r="B153">
        <f t="shared" ca="1" si="67"/>
        <v>0</v>
      </c>
      <c r="J153" t="s">
        <v>132</v>
      </c>
      <c r="L153" s="10">
        <f ca="1">L151</f>
        <v>478.67949322444463</v>
      </c>
      <c r="M153" s="9"/>
      <c r="O153">
        <f ca="1">((O151*COS(-1*B10))+(R151*SIN(-1*B10)))</f>
        <v>5466.6388592360945</v>
      </c>
      <c r="R153">
        <f ca="1">(-1*(O151)*SIN(-1*B10))+((R151)*COS(-1*B10))</f>
        <v>-4.2632564145606011E-13</v>
      </c>
      <c r="V153" s="10"/>
      <c r="W153" s="9"/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Q153">
        <v>151</v>
      </c>
      <c r="AR153">
        <f t="shared" si="64"/>
        <v>-10.495436485672748</v>
      </c>
      <c r="AS153">
        <f t="shared" si="65"/>
        <v>5.8177154429560458</v>
      </c>
    </row>
    <row r="154" spans="1:45" x14ac:dyDescent="0.25">
      <c r="A154" s="15">
        <f t="shared" ca="1" si="66"/>
        <v>-1.9456291041906766E-3</v>
      </c>
      <c r="B154">
        <f t="shared" ca="1" si="67"/>
        <v>0</v>
      </c>
      <c r="E154" s="38"/>
      <c r="M154" s="9"/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Q154">
        <v>152</v>
      </c>
      <c r="AR154">
        <f t="shared" si="64"/>
        <v>-10.595371114307124</v>
      </c>
      <c r="AS154">
        <f t="shared" si="65"/>
        <v>5.6336587534306881</v>
      </c>
    </row>
    <row r="155" spans="1:45" x14ac:dyDescent="0.25">
      <c r="A155" s="15">
        <f t="shared" ca="1" si="66"/>
        <v>-3.1496209063440841E-3</v>
      </c>
      <c r="B155">
        <f t="shared" ca="1" si="67"/>
        <v>0</v>
      </c>
      <c r="E155" s="38"/>
      <c r="M155" s="9"/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Q155">
        <v>153</v>
      </c>
      <c r="AR155">
        <f t="shared" si="64"/>
        <v>-10.692078290260413</v>
      </c>
      <c r="AS155">
        <f t="shared" si="65"/>
        <v>5.4478859968745628</v>
      </c>
    </row>
    <row r="156" spans="1:45" x14ac:dyDescent="0.25">
      <c r="A156" s="15">
        <f t="shared" ca="1" si="66"/>
        <v>-3.1496209063440841E-3</v>
      </c>
      <c r="B156">
        <f t="shared" ca="1" si="67"/>
        <v>0</v>
      </c>
      <c r="E156" s="38"/>
      <c r="M156" s="9"/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Q156">
        <v>154</v>
      </c>
      <c r="AR156">
        <f t="shared" si="64"/>
        <v>-10.785528555590005</v>
      </c>
      <c r="AS156">
        <f t="shared" si="65"/>
        <v>5.2604537614689271</v>
      </c>
    </row>
    <row r="157" spans="1:45" x14ac:dyDescent="0.25">
      <c r="A157" s="15">
        <f t="shared" ca="1" si="66"/>
        <v>-1.9456291041906782E-3</v>
      </c>
      <c r="B157">
        <f t="shared" ca="1" si="67"/>
        <v>0</v>
      </c>
      <c r="E157" s="38"/>
      <c r="M157" s="9"/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Q157">
        <v>155</v>
      </c>
      <c r="AR157">
        <f t="shared" si="64"/>
        <v>-10.875693444439799</v>
      </c>
      <c r="AS157">
        <f t="shared" si="65"/>
        <v>5.071419140888394</v>
      </c>
    </row>
    <row r="158" spans="1:45" x14ac:dyDescent="0.25">
      <c r="A158" s="15">
        <f t="shared" ca="1" si="66"/>
        <v>-1.0100664498983552E-4</v>
      </c>
      <c r="B158">
        <f t="shared" ca="1" si="67"/>
        <v>0</v>
      </c>
      <c r="E158" s="38"/>
      <c r="M158" s="9"/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Q158">
        <v>156</v>
      </c>
      <c r="AR158">
        <f t="shared" si="64"/>
        <v>-10.962545491711209</v>
      </c>
      <c r="AS158">
        <f t="shared" si="65"/>
        <v>4.8808397169096054</v>
      </c>
    </row>
    <row r="159" spans="1:45" x14ac:dyDescent="0.25">
      <c r="A159" s="15">
        <f t="shared" ca="1" si="66"/>
        <v>1.5211271219032962E-3</v>
      </c>
      <c r="B159">
        <f t="shared" ca="1" si="67"/>
        <v>3.9381463815135667</v>
      </c>
      <c r="E159" s="1"/>
      <c r="M159" s="9"/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Q159">
        <v>157</v>
      </c>
      <c r="AR159">
        <f t="shared" si="64"/>
        <v>-11.046058241429284</v>
      </c>
      <c r="AS159">
        <f t="shared" si="65"/>
        <v>4.688773541871285</v>
      </c>
    </row>
    <row r="160" spans="1:45" x14ac:dyDescent="0.25">
      <c r="A160" s="15">
        <f t="shared" ca="1" si="66"/>
        <v>0</v>
      </c>
      <c r="B160">
        <f t="shared" ca="1" si="67"/>
        <v>0</v>
      </c>
      <c r="M160" s="9"/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Q160">
        <v>158</v>
      </c>
      <c r="AR160">
        <f t="shared" si="64"/>
        <v>-11.126206254801447</v>
      </c>
      <c r="AS160">
        <f t="shared" si="65"/>
        <v>4.4952791209909471</v>
      </c>
    </row>
    <row r="161" spans="1:45" x14ac:dyDescent="0.25">
      <c r="A161" s="15">
        <f t="shared" ca="1" si="66"/>
        <v>0</v>
      </c>
      <c r="B161">
        <f t="shared" ca="1" si="67"/>
        <v>0</v>
      </c>
      <c r="M161" s="9"/>
      <c r="N161" s="1"/>
      <c r="O161" s="1"/>
      <c r="S161" s="1"/>
      <c r="T161" s="1"/>
      <c r="U161" s="1"/>
      <c r="AB161" s="1"/>
      <c r="AC161" s="1"/>
      <c r="AD161" s="1"/>
      <c r="AE161" s="1"/>
      <c r="AF161" s="1"/>
      <c r="AG161" s="1"/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Q161">
        <v>159</v>
      </c>
      <c r="AR161">
        <f t="shared" si="64"/>
        <v>-11.202965117966421</v>
      </c>
      <c r="AS161">
        <f t="shared" si="65"/>
        <v>4.3004153945436023</v>
      </c>
    </row>
    <row r="162" spans="1:45" x14ac:dyDescent="0.25">
      <c r="A162" s="15">
        <f t="shared" ca="1" si="66"/>
        <v>0</v>
      </c>
      <c r="B162">
        <f t="shared" ca="1" si="67"/>
        <v>0</v>
      </c>
      <c r="M162" s="7"/>
      <c r="N162" s="7"/>
      <c r="O162" s="7"/>
      <c r="Q162" s="7"/>
      <c r="R162" s="7"/>
      <c r="S162" s="7"/>
      <c r="T162" s="7"/>
      <c r="U162" s="7"/>
      <c r="Y162" s="10"/>
      <c r="Z162" s="10"/>
      <c r="AA162" s="10"/>
      <c r="AB162" s="7"/>
      <c r="AC162" s="7"/>
      <c r="AD162" s="7"/>
      <c r="AE162" s="10"/>
      <c r="AF162" s="10"/>
      <c r="AG162" s="10"/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Q162">
        <v>160</v>
      </c>
      <c r="AR162">
        <f t="shared" si="64"/>
        <v>-11.276311449430899</v>
      </c>
      <c r="AS162">
        <f t="shared" si="65"/>
        <v>4.1042417199080266</v>
      </c>
    </row>
    <row r="163" spans="1:45" x14ac:dyDescent="0.25">
      <c r="A163" s="15">
        <f t="shared" ca="1" si="66"/>
        <v>0</v>
      </c>
      <c r="B163">
        <f t="shared" ca="1" si="67"/>
        <v>0</v>
      </c>
      <c r="M163" s="7"/>
      <c r="N163" s="7"/>
      <c r="O163" s="7"/>
      <c r="Q163" s="7"/>
      <c r="R163" s="7"/>
      <c r="S163" s="7"/>
      <c r="T163" s="7"/>
      <c r="U163" s="7"/>
      <c r="Y163" s="10"/>
      <c r="Z163" s="10"/>
      <c r="AA163" s="10"/>
      <c r="AB163" s="7"/>
      <c r="AC163" s="7"/>
      <c r="AD163" s="7"/>
      <c r="AE163" s="10"/>
      <c r="AF163" s="10"/>
      <c r="AG163" s="10"/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Q163">
        <v>161</v>
      </c>
      <c r="AR163">
        <f t="shared" si="64"/>
        <v>-11.346222907191802</v>
      </c>
      <c r="AS163">
        <f t="shared" si="65"/>
        <v>3.9068178534858791</v>
      </c>
    </row>
    <row r="164" spans="1:45" x14ac:dyDescent="0.25">
      <c r="A164" s="15">
        <f t="shared" ca="1" si="66"/>
        <v>0</v>
      </c>
      <c r="B164">
        <f t="shared" ca="1" si="67"/>
        <v>0</v>
      </c>
      <c r="M164" s="7"/>
      <c r="N164" s="7"/>
      <c r="O164" s="7"/>
      <c r="Q164" s="7"/>
      <c r="R164" s="7"/>
      <c r="S164" s="7"/>
      <c r="T164" s="7"/>
      <c r="U164" s="7"/>
      <c r="Y164" s="10"/>
      <c r="Z164" s="10"/>
      <c r="AA164" s="10"/>
      <c r="AB164" s="7"/>
      <c r="AC164" s="7"/>
      <c r="AD164" s="7"/>
      <c r="AE164" s="10"/>
      <c r="AF164" s="10"/>
      <c r="AG164" s="10"/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Q164">
        <v>162</v>
      </c>
      <c r="AR164">
        <f t="shared" si="64"/>
        <v>-11.412678195541842</v>
      </c>
      <c r="AS164">
        <f t="shared" si="65"/>
        <v>3.7082039324993703</v>
      </c>
    </row>
    <row r="165" spans="1:45" x14ac:dyDescent="0.25">
      <c r="A165" s="15">
        <f t="shared" ca="1" si="66"/>
        <v>0</v>
      </c>
      <c r="B165">
        <f t="shared" ca="1" si="67"/>
        <v>0</v>
      </c>
      <c r="M165" s="7"/>
      <c r="N165" s="7"/>
      <c r="O165" s="7"/>
      <c r="Q165" s="7"/>
      <c r="R165" s="7"/>
      <c r="S165" s="7"/>
      <c r="T165" s="7"/>
      <c r="U165" s="7"/>
      <c r="Y165" s="10"/>
      <c r="Z165" s="10"/>
      <c r="AA165" s="10"/>
      <c r="AB165" s="7"/>
      <c r="AC165" s="7"/>
      <c r="AD165" s="7"/>
      <c r="AE165" s="10"/>
      <c r="AF165" s="10"/>
      <c r="AG165" s="10"/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Q165">
        <v>163</v>
      </c>
      <c r="AR165">
        <f t="shared" si="64"/>
        <v>-11.475657071556427</v>
      </c>
      <c r="AS165">
        <f t="shared" si="65"/>
        <v>3.5084604566728395</v>
      </c>
    </row>
    <row r="166" spans="1:45" x14ac:dyDescent="0.25">
      <c r="A166" s="15">
        <f t="shared" ca="1" si="66"/>
        <v>0</v>
      </c>
      <c r="B166">
        <f t="shared" ca="1" si="67"/>
        <v>0</v>
      </c>
      <c r="M166" s="7"/>
      <c r="N166" s="7"/>
      <c r="O166" s="7"/>
      <c r="Q166" s="7"/>
      <c r="R166" s="7"/>
      <c r="S166" s="7"/>
      <c r="T166" s="7"/>
      <c r="U166" s="7"/>
      <c r="Y166" s="10"/>
      <c r="Z166" s="10"/>
      <c r="AA166" s="10"/>
      <c r="AB166" s="7"/>
      <c r="AC166" s="7"/>
      <c r="AD166" s="7"/>
      <c r="AE166" s="10"/>
      <c r="AF166" s="10"/>
      <c r="AG166" s="10"/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Q166">
        <v>164</v>
      </c>
      <c r="AR166">
        <f t="shared" si="64"/>
        <v>-11.535140351259827</v>
      </c>
      <c r="AS166">
        <f t="shared" si="65"/>
        <v>3.3076482698039906</v>
      </c>
    </row>
    <row r="167" spans="1:45" x14ac:dyDescent="0.25">
      <c r="A167" s="15">
        <f t="shared" ca="1" si="66"/>
        <v>0</v>
      </c>
      <c r="B167">
        <f t="shared" ca="1" si="67"/>
        <v>0</v>
      </c>
      <c r="M167" s="7"/>
      <c r="N167" s="7"/>
      <c r="O167" s="7"/>
      <c r="Q167" s="7"/>
      <c r="R167" s="7"/>
      <c r="S167" s="7"/>
      <c r="T167" s="7"/>
      <c r="U167" s="7"/>
      <c r="Y167" s="10"/>
      <c r="Z167" s="10"/>
      <c r="AA167" s="10"/>
      <c r="AB167" s="7"/>
      <c r="AC167" s="7"/>
      <c r="AD167" s="7"/>
      <c r="AE167" s="10"/>
      <c r="AF167" s="10"/>
      <c r="AG167" s="10"/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Q167">
        <v>165</v>
      </c>
      <c r="AR167">
        <f t="shared" si="64"/>
        <v>-11.591109915468818</v>
      </c>
      <c r="AS167">
        <f t="shared" si="65"/>
        <v>3.1058285412302524</v>
      </c>
    </row>
    <row r="168" spans="1:45" x14ac:dyDescent="0.25">
      <c r="A168" s="15">
        <f t="shared" ca="1" si="66"/>
        <v>0</v>
      </c>
      <c r="B168">
        <f t="shared" ca="1" si="67"/>
        <v>0</v>
      </c>
      <c r="M168" s="7"/>
      <c r="N168" s="7"/>
      <c r="O168" s="7"/>
      <c r="Q168" s="7"/>
      <c r="R168" s="7"/>
      <c r="S168" s="7"/>
      <c r="T168" s="7"/>
      <c r="U168" s="7"/>
      <c r="Y168" s="10"/>
      <c r="Z168" s="10"/>
      <c r="AA168" s="10"/>
      <c r="AB168" s="7"/>
      <c r="AC168" s="7"/>
      <c r="AD168" s="7"/>
      <c r="AE168" s="10"/>
      <c r="AF168" s="10"/>
      <c r="AG168" s="10"/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Q168">
        <v>166</v>
      </c>
      <c r="AR168">
        <f t="shared" si="64"/>
        <v>-11.643548715311958</v>
      </c>
      <c r="AS168">
        <f t="shared" si="65"/>
        <v>2.9030627471960129</v>
      </c>
    </row>
    <row r="169" spans="1:45" x14ac:dyDescent="0.25">
      <c r="A169" s="15">
        <f t="shared" ca="1" si="66"/>
        <v>0</v>
      </c>
      <c r="B169">
        <f t="shared" ca="1" si="67"/>
        <v>0</v>
      </c>
      <c r="M169" s="7"/>
      <c r="N169" s="7"/>
      <c r="O169" s="7"/>
      <c r="Q169" s="7"/>
      <c r="R169" s="7"/>
      <c r="S169" s="7"/>
      <c r="T169" s="7"/>
      <c r="U169" s="7"/>
      <c r="Y169" s="10"/>
      <c r="Z169" s="10"/>
      <c r="AA169" s="10"/>
      <c r="AB169" s="7"/>
      <c r="AC169" s="7"/>
      <c r="AD169" s="7"/>
      <c r="AE169" s="10"/>
      <c r="AF169" s="10"/>
      <c r="AG169" s="10"/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Q169">
        <v>167</v>
      </c>
      <c r="AR169">
        <f t="shared" si="64"/>
        <v>-11.692440777422821</v>
      </c>
      <c r="AS169">
        <f t="shared" si="65"/>
        <v>2.6994126521263824</v>
      </c>
    </row>
    <row r="170" spans="1:45" x14ac:dyDescent="0.25">
      <c r="A170" s="15">
        <f t="shared" ca="1" si="66"/>
        <v>0</v>
      </c>
      <c r="B170">
        <f t="shared" ca="1" si="67"/>
        <v>0</v>
      </c>
      <c r="M170" s="7"/>
      <c r="N170" s="7"/>
      <c r="O170" s="7"/>
      <c r="Q170" s="7"/>
      <c r="R170" s="7"/>
      <c r="S170" s="7"/>
      <c r="T170" s="7"/>
      <c r="U170" s="7"/>
      <c r="Y170" s="10"/>
      <c r="Z170" s="10"/>
      <c r="AA170" s="10"/>
      <c r="AB170" s="7"/>
      <c r="AC170" s="7"/>
      <c r="AD170" s="7"/>
      <c r="AE170" s="10"/>
      <c r="AF170" s="10"/>
      <c r="AG170" s="10"/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Q170">
        <v>168</v>
      </c>
      <c r="AR170">
        <f t="shared" si="64"/>
        <v>-11.737771208805668</v>
      </c>
      <c r="AS170">
        <f t="shared" si="65"/>
        <v>2.4949402898131119</v>
      </c>
    </row>
    <row r="171" spans="1:45" x14ac:dyDescent="0.25">
      <c r="A171" s="15">
        <f t="shared" ca="1" si="66"/>
        <v>0</v>
      </c>
      <c r="B171">
        <f t="shared" ca="1" si="67"/>
        <v>0</v>
      </c>
      <c r="M171" s="7"/>
      <c r="N171" s="7"/>
      <c r="O171" s="7"/>
      <c r="Q171" s="7"/>
      <c r="R171" s="7"/>
      <c r="S171" s="7"/>
      <c r="T171" s="7"/>
      <c r="U171" s="7"/>
      <c r="Y171" s="10"/>
      <c r="Z171" s="10"/>
      <c r="AA171" s="10"/>
      <c r="AB171" s="7"/>
      <c r="AC171" s="7"/>
      <c r="AD171" s="7"/>
      <c r="AE171" s="10"/>
      <c r="AF171" s="10"/>
      <c r="AG171" s="10"/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Q171">
        <v>169</v>
      </c>
      <c r="AR171">
        <f t="shared" si="64"/>
        <v>-11.779526201371969</v>
      </c>
      <c r="AS171">
        <f t="shared" si="65"/>
        <v>2.2897079445185398</v>
      </c>
    </row>
    <row r="172" spans="1:45" x14ac:dyDescent="0.25">
      <c r="A172" s="15">
        <f t="shared" ca="1" si="66"/>
        <v>0</v>
      </c>
      <c r="B172">
        <f t="shared" ca="1" si="67"/>
        <v>0</v>
      </c>
      <c r="M172" s="7"/>
      <c r="N172" s="7"/>
      <c r="O172" s="7"/>
      <c r="Q172" s="7"/>
      <c r="R172" s="7"/>
      <c r="S172" s="7"/>
      <c r="T172" s="7"/>
      <c r="U172" s="7"/>
      <c r="Y172" s="10"/>
      <c r="Z172" s="10"/>
      <c r="AA172" s="10"/>
      <c r="AB172" s="7"/>
      <c r="AC172" s="7"/>
      <c r="AD172" s="7"/>
      <c r="AE172" s="10"/>
      <c r="AF172" s="10"/>
      <c r="AG172" s="10"/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Q172">
        <v>170</v>
      </c>
      <c r="AR172">
        <f t="shared" si="64"/>
        <v>-11.817693036146496</v>
      </c>
      <c r="AS172">
        <f t="shared" si="65"/>
        <v>2.0837781320031632</v>
      </c>
    </row>
    <row r="173" spans="1:45" x14ac:dyDescent="0.25">
      <c r="A173" s="15">
        <f t="shared" ca="1" si="66"/>
        <v>0</v>
      </c>
      <c r="B173">
        <f t="shared" ca="1" si="67"/>
        <v>0</v>
      </c>
      <c r="M173" s="7"/>
      <c r="N173" s="7"/>
      <c r="O173" s="7"/>
      <c r="Q173" s="7"/>
      <c r="R173" s="7"/>
      <c r="S173" s="7"/>
      <c r="T173" s="7"/>
      <c r="U173" s="7"/>
      <c r="Y173" s="10"/>
      <c r="Z173" s="10"/>
      <c r="AA173" s="10"/>
      <c r="AB173" s="7"/>
      <c r="AC173" s="7"/>
      <c r="AD173" s="7"/>
      <c r="AE173" s="10"/>
      <c r="AF173" s="10"/>
      <c r="AG173" s="10"/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Q173">
        <v>171</v>
      </c>
      <c r="AR173">
        <f t="shared" si="64"/>
        <v>-11.852260087141651</v>
      </c>
      <c r="AS173">
        <f t="shared" si="65"/>
        <v>1.8772135804827719</v>
      </c>
    </row>
    <row r="174" spans="1:45" x14ac:dyDescent="0.25">
      <c r="A174" s="15">
        <f t="shared" ca="1" si="66"/>
        <v>0</v>
      </c>
      <c r="B174">
        <f t="shared" ca="1" si="67"/>
        <v>0</v>
      </c>
      <c r="M174" s="7"/>
      <c r="N174" s="7"/>
      <c r="O174" s="7"/>
      <c r="Q174" s="7"/>
      <c r="R174" s="7"/>
      <c r="S174" s="7"/>
      <c r="T174" s="7"/>
      <c r="U174" s="7"/>
      <c r="Y174" s="10"/>
      <c r="Z174" s="10"/>
      <c r="AA174" s="10"/>
      <c r="AB174" s="7"/>
      <c r="AC174" s="7"/>
      <c r="AD174" s="7"/>
      <c r="AE174" s="10"/>
      <c r="AF174" s="10"/>
      <c r="AG174" s="10"/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Q174">
        <v>172</v>
      </c>
      <c r="AR174">
        <f t="shared" si="64"/>
        <v>-11.883216824898845</v>
      </c>
      <c r="AS174">
        <f t="shared" si="65"/>
        <v>1.670077211520784</v>
      </c>
    </row>
    <row r="175" spans="1:45" x14ac:dyDescent="0.25">
      <c r="A175" s="15">
        <f t="shared" ca="1" si="66"/>
        <v>0</v>
      </c>
      <c r="B175">
        <f t="shared" ca="1" si="67"/>
        <v>0</v>
      </c>
      <c r="M175" s="7"/>
      <c r="N175" s="7"/>
      <c r="O175" s="7"/>
      <c r="Q175" s="7"/>
      <c r="R175" s="7"/>
      <c r="S175" s="7"/>
      <c r="T175" s="7"/>
      <c r="U175" s="7"/>
      <c r="Y175" s="10"/>
      <c r="Z175" s="10"/>
      <c r="AA175" s="10"/>
      <c r="AB175" s="7"/>
      <c r="AC175" s="7"/>
      <c r="AD175" s="7"/>
      <c r="AE175" s="10"/>
      <c r="AF175" s="10"/>
      <c r="AG175" s="10"/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Q175">
        <v>173</v>
      </c>
      <c r="AR175">
        <f t="shared" si="64"/>
        <v>-11.910553819695863</v>
      </c>
      <c r="AS175">
        <f t="shared" si="65"/>
        <v>1.4624321208617705</v>
      </c>
    </row>
    <row r="176" spans="1:45" x14ac:dyDescent="0.25">
      <c r="A176" s="15">
        <f t="shared" ca="1" si="66"/>
        <v>0</v>
      </c>
      <c r="B176">
        <f t="shared" ca="1" si="67"/>
        <v>0</v>
      </c>
      <c r="M176" s="7"/>
      <c r="N176" s="7"/>
      <c r="O176" s="7"/>
      <c r="Q176" s="7"/>
      <c r="R176" s="7"/>
      <c r="S176" s="7"/>
      <c r="T176" s="7"/>
      <c r="U176" s="7"/>
      <c r="Y176" s="10"/>
      <c r="Z176" s="10"/>
      <c r="AA176" s="10"/>
      <c r="AB176" s="7"/>
      <c r="AC176" s="7"/>
      <c r="AD176" s="7"/>
      <c r="AE176" s="10"/>
      <c r="AF176" s="10"/>
      <c r="AG176" s="10"/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Q176">
        <v>174</v>
      </c>
      <c r="AR176">
        <f t="shared" si="64"/>
        <v>-11.934262744419279</v>
      </c>
      <c r="AS176">
        <f t="shared" si="65"/>
        <v>1.2543415592118448</v>
      </c>
    </row>
    <row r="177" spans="1:45" x14ac:dyDescent="0.25">
      <c r="A177" s="15">
        <f t="shared" ca="1" si="66"/>
        <v>0</v>
      </c>
      <c r="B177">
        <f t="shared" ca="1" si="67"/>
        <v>0</v>
      </c>
      <c r="M177" s="7"/>
      <c r="N177" s="7"/>
      <c r="O177" s="7"/>
      <c r="Q177" s="7"/>
      <c r="R177" s="7"/>
      <c r="S177" s="7"/>
      <c r="T177" s="7"/>
      <c r="U177" s="7"/>
      <c r="Y177" s="10"/>
      <c r="Z177" s="10"/>
      <c r="AA177" s="10"/>
      <c r="AB177" s="7"/>
      <c r="AC177" s="7"/>
      <c r="AD177" s="7"/>
      <c r="AE177" s="10"/>
      <c r="AF177" s="10"/>
      <c r="AG177" s="10"/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Q177">
        <v>175</v>
      </c>
      <c r="AR177">
        <f t="shared" si="64"/>
        <v>-11.954336377100947</v>
      </c>
      <c r="AS177">
        <f t="shared" si="65"/>
        <v>1.0458689129718983</v>
      </c>
    </row>
    <row r="178" spans="1:45" x14ac:dyDescent="0.25">
      <c r="A178" s="15">
        <f t="shared" ca="1" si="66"/>
        <v>0</v>
      </c>
      <c r="B178">
        <f t="shared" ca="1" si="67"/>
        <v>0</v>
      </c>
      <c r="M178" s="7"/>
      <c r="N178" s="7"/>
      <c r="O178" s="7"/>
      <c r="Q178" s="7"/>
      <c r="R178" s="7"/>
      <c r="S178" s="7"/>
      <c r="T178" s="7"/>
      <c r="U178" s="7"/>
      <c r="Y178" s="10"/>
      <c r="Z178" s="10"/>
      <c r="AA178" s="10"/>
      <c r="AB178" s="7"/>
      <c r="AC178" s="7"/>
      <c r="AD178" s="7"/>
      <c r="AE178" s="10"/>
      <c r="AF178" s="10"/>
      <c r="AG178" s="10"/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Q178">
        <v>176</v>
      </c>
      <c r="AR178">
        <f t="shared" si="64"/>
        <v>-11.970768603117889</v>
      </c>
      <c r="AS178">
        <f t="shared" si="65"/>
        <v>0.83707768492950629</v>
      </c>
    </row>
    <row r="179" spans="1:45" x14ac:dyDescent="0.25">
      <c r="A179" s="15">
        <f t="shared" ca="1" si="66"/>
        <v>0</v>
      </c>
      <c r="B179">
        <f t="shared" ca="1" si="67"/>
        <v>0</v>
      </c>
      <c r="M179" s="7"/>
      <c r="N179" s="7"/>
      <c r="O179" s="7"/>
      <c r="Q179" s="7"/>
      <c r="R179" s="7"/>
      <c r="S179" s="7"/>
      <c r="T179" s="7"/>
      <c r="U179" s="7"/>
      <c r="Y179" s="10"/>
      <c r="Z179" s="10"/>
      <c r="AA179" s="10"/>
      <c r="AB179" s="7"/>
      <c r="AC179" s="7"/>
      <c r="AD179" s="7"/>
      <c r="AE179" s="10"/>
      <c r="AF179" s="10"/>
      <c r="AG179" s="10"/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Q179">
        <v>177</v>
      </c>
      <c r="AR179">
        <f t="shared" si="64"/>
        <v>-11.983554417054886</v>
      </c>
      <c r="AS179">
        <f t="shared" si="65"/>
        <v>0.62803147491532574</v>
      </c>
    </row>
    <row r="180" spans="1:45" x14ac:dyDescent="0.25">
      <c r="A180" s="15">
        <f t="shared" ca="1" si="66"/>
        <v>0</v>
      </c>
      <c r="B180">
        <f t="shared" ca="1" si="67"/>
        <v>0</v>
      </c>
      <c r="M180" s="7"/>
      <c r="N180" s="7"/>
      <c r="O180" s="7"/>
      <c r="Q180" s="7"/>
      <c r="R180" s="7"/>
      <c r="S180" s="7"/>
      <c r="T180" s="7"/>
      <c r="U180" s="7"/>
      <c r="Y180" s="10"/>
      <c r="Z180" s="10"/>
      <c r="AA180" s="10"/>
      <c r="AB180" s="7"/>
      <c r="AC180" s="7"/>
      <c r="AD180" s="7"/>
      <c r="AE180" s="10"/>
      <c r="AF180" s="10"/>
      <c r="AG180" s="10"/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Q180">
        <v>178</v>
      </c>
      <c r="AR180">
        <f t="shared" si="64"/>
        <v>-11.992689924229149</v>
      </c>
      <c r="AS180">
        <f t="shared" si="65"/>
        <v>0.41879396043001371</v>
      </c>
    </row>
    <row r="181" spans="1:45" x14ac:dyDescent="0.25">
      <c r="A181" s="15">
        <f t="shared" ca="1" si="66"/>
        <v>0</v>
      </c>
      <c r="B181">
        <f t="shared" ca="1" si="67"/>
        <v>0</v>
      </c>
      <c r="M181" s="7"/>
      <c r="N181" s="7"/>
      <c r="O181" s="7"/>
      <c r="Q181" s="7"/>
      <c r="R181" s="7"/>
      <c r="S181" s="7"/>
      <c r="T181" s="7"/>
      <c r="U181" s="7"/>
      <c r="Y181" s="10"/>
      <c r="Z181" s="10"/>
      <c r="AA181" s="10"/>
      <c r="AB181" s="7"/>
      <c r="AC181" s="7"/>
      <c r="AD181" s="7"/>
      <c r="AE181" s="10"/>
      <c r="AF181" s="10"/>
      <c r="AG181" s="10"/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Q181">
        <v>179</v>
      </c>
      <c r="AR181">
        <f t="shared" si="64"/>
        <v>-11.998172341876696</v>
      </c>
      <c r="AS181">
        <f t="shared" si="65"/>
        <v>0.20942887724740128</v>
      </c>
    </row>
    <row r="182" spans="1:45" x14ac:dyDescent="0.25">
      <c r="A182" s="15">
        <f t="shared" ca="1" si="66"/>
        <v>0</v>
      </c>
      <c r="B182">
        <f t="shared" ca="1" si="67"/>
        <v>0</v>
      </c>
      <c r="M182" s="7"/>
      <c r="N182" s="7"/>
      <c r="O182" s="7"/>
      <c r="Q182" s="7"/>
      <c r="R182" s="7"/>
      <c r="S182" s="7"/>
      <c r="T182" s="7"/>
      <c r="U182" s="7"/>
      <c r="Y182" s="10"/>
      <c r="Z182" s="10"/>
      <c r="AA182" s="10"/>
      <c r="AB182" s="7"/>
      <c r="AC182" s="7"/>
      <c r="AD182" s="7"/>
      <c r="AE182" s="10"/>
      <c r="AF182" s="10"/>
      <c r="AG182" s="10"/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Q182">
        <v>180</v>
      </c>
      <c r="AR182">
        <f t="shared" si="64"/>
        <v>-12</v>
      </c>
      <c r="AS182">
        <f t="shared" si="65"/>
        <v>1.470178145890344E-15</v>
      </c>
    </row>
    <row r="183" spans="1:45" x14ac:dyDescent="0.25">
      <c r="A183" s="15">
        <f t="shared" ca="1" si="66"/>
        <v>0</v>
      </c>
      <c r="B183">
        <f t="shared" ca="1" si="67"/>
        <v>0</v>
      </c>
      <c r="M183" s="7"/>
      <c r="N183" s="7"/>
      <c r="O183" s="7"/>
      <c r="Q183" s="7"/>
      <c r="R183" s="7"/>
      <c r="S183" s="7"/>
      <c r="T183" s="7"/>
      <c r="U183" s="7"/>
      <c r="Y183" s="10"/>
      <c r="Z183" s="10"/>
      <c r="AA183" s="10"/>
      <c r="AB183" s="7"/>
      <c r="AC183" s="7"/>
      <c r="AD183" s="7"/>
      <c r="AE183" s="10"/>
      <c r="AF183" s="10"/>
      <c r="AG183" s="10"/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Q183">
        <v>181</v>
      </c>
      <c r="AR183">
        <f t="shared" si="64"/>
        <v>-11.998172341876696</v>
      </c>
      <c r="AS183">
        <f t="shared" si="65"/>
        <v>-0.20942887724740364</v>
      </c>
    </row>
    <row r="184" spans="1:45" x14ac:dyDescent="0.25">
      <c r="A184" s="15">
        <f t="shared" ca="1" si="66"/>
        <v>0</v>
      </c>
      <c r="B184">
        <f t="shared" ca="1" si="67"/>
        <v>0</v>
      </c>
      <c r="M184" s="7"/>
      <c r="N184" s="7"/>
      <c r="O184" s="7"/>
      <c r="Q184" s="7"/>
      <c r="R184" s="7"/>
      <c r="S184" s="7"/>
      <c r="T184" s="7"/>
      <c r="U184" s="7"/>
      <c r="Y184" s="10"/>
      <c r="Z184" s="10"/>
      <c r="AA184" s="10"/>
      <c r="AB184" s="7"/>
      <c r="AC184" s="7"/>
      <c r="AD184" s="7"/>
      <c r="AE184" s="10"/>
      <c r="AF184" s="10"/>
      <c r="AG184" s="10"/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Q184">
        <v>182</v>
      </c>
      <c r="AR184">
        <f t="shared" si="64"/>
        <v>-11.992689924229149</v>
      </c>
      <c r="AS184">
        <f t="shared" si="65"/>
        <v>-0.41879396043001083</v>
      </c>
    </row>
    <row r="185" spans="1:45" x14ac:dyDescent="0.25">
      <c r="A185" s="15">
        <f t="shared" ca="1" si="66"/>
        <v>0</v>
      </c>
      <c r="B185">
        <f t="shared" ca="1" si="67"/>
        <v>0</v>
      </c>
      <c r="M185" s="7"/>
      <c r="N185" s="7"/>
      <c r="O185" s="7"/>
      <c r="Q185" s="7"/>
      <c r="R185" s="7"/>
      <c r="S185" s="7"/>
      <c r="T185" s="7"/>
      <c r="U185" s="7"/>
      <c r="Y185" s="10"/>
      <c r="Z185" s="10"/>
      <c r="AA185" s="10"/>
      <c r="AB185" s="7"/>
      <c r="AC185" s="7"/>
      <c r="AD185" s="7"/>
      <c r="AE185" s="10"/>
      <c r="AF185" s="10"/>
      <c r="AG185" s="10"/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Q185">
        <v>183</v>
      </c>
      <c r="AR185">
        <f t="shared" si="64"/>
        <v>-11.983554417054886</v>
      </c>
      <c r="AS185">
        <f t="shared" si="65"/>
        <v>-0.62803147491532263</v>
      </c>
    </row>
    <row r="186" spans="1:45" x14ac:dyDescent="0.25">
      <c r="A186" s="15">
        <f t="shared" ca="1" si="66"/>
        <v>0</v>
      </c>
      <c r="B186">
        <f t="shared" ca="1" si="67"/>
        <v>0</v>
      </c>
      <c r="M186" s="7"/>
      <c r="N186" s="7"/>
      <c r="O186" s="7"/>
      <c r="Q186" s="7"/>
      <c r="R186" s="7"/>
      <c r="S186" s="7"/>
      <c r="T186" s="7"/>
      <c r="U186" s="7"/>
      <c r="Y186" s="10"/>
      <c r="Z186" s="10"/>
      <c r="AA186" s="10"/>
      <c r="AB186" s="7"/>
      <c r="AC186" s="7"/>
      <c r="AD186" s="7"/>
      <c r="AE186" s="10"/>
      <c r="AF186" s="10"/>
      <c r="AG186" s="10"/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Q186">
        <v>184</v>
      </c>
      <c r="AR186">
        <f t="shared" si="64"/>
        <v>-11.970768603117889</v>
      </c>
      <c r="AS186">
        <f t="shared" si="65"/>
        <v>-0.8370776849295033</v>
      </c>
    </row>
    <row r="187" spans="1:45" x14ac:dyDescent="0.25">
      <c r="A187" s="15">
        <f t="shared" ca="1" si="66"/>
        <v>0</v>
      </c>
      <c r="B187">
        <f t="shared" ca="1" si="67"/>
        <v>0</v>
      </c>
      <c r="M187" s="7"/>
      <c r="N187" s="7"/>
      <c r="O187" s="7"/>
      <c r="Q187" s="7"/>
      <c r="R187" s="7"/>
      <c r="S187" s="7"/>
      <c r="T187" s="7"/>
      <c r="U187" s="7"/>
      <c r="Y187" s="10"/>
      <c r="Z187" s="10"/>
      <c r="AA187" s="10"/>
      <c r="AB187" s="7"/>
      <c r="AC187" s="7"/>
      <c r="AD187" s="7"/>
      <c r="AE187" s="10"/>
      <c r="AF187" s="10"/>
      <c r="AG187" s="10"/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Q187">
        <v>185</v>
      </c>
      <c r="AR187">
        <f t="shared" si="64"/>
        <v>-11.954336377100947</v>
      </c>
      <c r="AS187">
        <f t="shared" si="65"/>
        <v>-1.0458689129718954</v>
      </c>
    </row>
    <row r="188" spans="1:45" x14ac:dyDescent="0.25">
      <c r="A188" s="15">
        <f t="shared" ca="1" si="66"/>
        <v>0</v>
      </c>
      <c r="B188">
        <f t="shared" ca="1" si="67"/>
        <v>0</v>
      </c>
      <c r="M188" s="7"/>
      <c r="N188" s="7"/>
      <c r="O188" s="7"/>
      <c r="Q188" s="7"/>
      <c r="R188" s="7"/>
      <c r="S188" s="7"/>
      <c r="T188" s="7"/>
      <c r="U188" s="7"/>
      <c r="Y188" s="10"/>
      <c r="Z188" s="10"/>
      <c r="AA188" s="10"/>
      <c r="AB188" s="7"/>
      <c r="AC188" s="7"/>
      <c r="AD188" s="7"/>
      <c r="AE188" s="10"/>
      <c r="AF188" s="10"/>
      <c r="AG188" s="10"/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Q188">
        <v>186</v>
      </c>
      <c r="AR188">
        <f t="shared" si="64"/>
        <v>-11.934262744419279</v>
      </c>
      <c r="AS188">
        <f t="shared" si="65"/>
        <v>-1.2543415592118419</v>
      </c>
    </row>
    <row r="189" spans="1:45" x14ac:dyDescent="0.25">
      <c r="A189" s="15">
        <f t="shared" ca="1" si="66"/>
        <v>0</v>
      </c>
      <c r="B189">
        <f t="shared" ca="1" si="67"/>
        <v>0</v>
      </c>
      <c r="M189" s="7"/>
      <c r="N189" s="7"/>
      <c r="O189" s="7"/>
      <c r="Q189" s="7"/>
      <c r="R189" s="7"/>
      <c r="S189" s="7"/>
      <c r="T189" s="7"/>
      <c r="U189" s="7"/>
      <c r="Y189" s="10"/>
      <c r="Z189" s="10"/>
      <c r="AA189" s="10"/>
      <c r="AB189" s="7"/>
      <c r="AC189" s="7"/>
      <c r="AD189" s="7"/>
      <c r="AE189" s="10"/>
      <c r="AF189" s="10"/>
      <c r="AG189" s="10"/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Q189">
        <v>187</v>
      </c>
      <c r="AR189">
        <f t="shared" si="64"/>
        <v>-11.910553819695865</v>
      </c>
      <c r="AS189">
        <f t="shared" si="65"/>
        <v>-1.4624321208617677</v>
      </c>
    </row>
    <row r="190" spans="1:45" x14ac:dyDescent="0.25">
      <c r="A190" s="15">
        <f t="shared" ca="1" si="66"/>
        <v>0</v>
      </c>
      <c r="B190">
        <f t="shared" ca="1" si="67"/>
        <v>0</v>
      </c>
      <c r="M190" s="7"/>
      <c r="N190" s="7"/>
      <c r="O190" s="7"/>
      <c r="Q190" s="7"/>
      <c r="R190" s="7"/>
      <c r="S190" s="7"/>
      <c r="T190" s="7"/>
      <c r="U190" s="7"/>
      <c r="Y190" s="10"/>
      <c r="Z190" s="10"/>
      <c r="AA190" s="10"/>
      <c r="AB190" s="7"/>
      <c r="AC190" s="7"/>
      <c r="AD190" s="7"/>
      <c r="AE190" s="10"/>
      <c r="AF190" s="10"/>
      <c r="AG190" s="10"/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Q190">
        <v>188</v>
      </c>
      <c r="AR190">
        <f t="shared" si="64"/>
        <v>-11.883216824898843</v>
      </c>
      <c r="AS190">
        <f t="shared" si="65"/>
        <v>-1.6700772115207863</v>
      </c>
    </row>
    <row r="191" spans="1:45" x14ac:dyDescent="0.25">
      <c r="A191" s="15">
        <f t="shared" ca="1" si="66"/>
        <v>0</v>
      </c>
      <c r="B191">
        <f t="shared" ca="1" si="67"/>
        <v>0</v>
      </c>
      <c r="M191" s="7"/>
      <c r="N191" s="7"/>
      <c r="O191" s="7"/>
      <c r="Q191" s="7"/>
      <c r="R191" s="7"/>
      <c r="S191" s="7"/>
      <c r="T191" s="7"/>
      <c r="U191" s="7"/>
      <c r="Y191" s="10"/>
      <c r="Z191" s="10"/>
      <c r="AA191" s="10"/>
      <c r="AB191" s="7"/>
      <c r="AC191" s="7"/>
      <c r="AD191" s="7"/>
      <c r="AE191" s="10"/>
      <c r="AF191" s="10"/>
      <c r="AG191" s="10"/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Q191">
        <v>189</v>
      </c>
      <c r="AR191">
        <f t="shared" si="64"/>
        <v>-11.852260087141653</v>
      </c>
      <c r="AS191">
        <f t="shared" si="65"/>
        <v>-1.8772135804827688</v>
      </c>
    </row>
    <row r="192" spans="1:45" x14ac:dyDescent="0.25">
      <c r="A192" s="15">
        <f t="shared" ca="1" si="66"/>
        <v>0</v>
      </c>
      <c r="B192">
        <f t="shared" ca="1" si="67"/>
        <v>0</v>
      </c>
      <c r="M192" s="7"/>
      <c r="N192" s="7"/>
      <c r="O192" s="7"/>
      <c r="Q192" s="7"/>
      <c r="R192" s="7"/>
      <c r="S192" s="7"/>
      <c r="T192" s="7"/>
      <c r="U192" s="7"/>
      <c r="Y192" s="10"/>
      <c r="Z192" s="10"/>
      <c r="AA192" s="10"/>
      <c r="AB192" s="7"/>
      <c r="AC192" s="7"/>
      <c r="AD192" s="7"/>
      <c r="AE192" s="10"/>
      <c r="AF192" s="10"/>
      <c r="AG192" s="10"/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Q192">
        <v>190</v>
      </c>
      <c r="AR192">
        <f t="shared" si="64"/>
        <v>-11.817693036146496</v>
      </c>
      <c r="AS192">
        <f t="shared" si="65"/>
        <v>-2.0837781320031654</v>
      </c>
    </row>
    <row r="193" spans="1:45" x14ac:dyDescent="0.25">
      <c r="A193" s="15">
        <f t="shared" ca="1" si="66"/>
        <v>0</v>
      </c>
      <c r="B193">
        <f t="shared" ca="1" si="67"/>
        <v>0</v>
      </c>
      <c r="M193" s="7"/>
      <c r="N193" s="7"/>
      <c r="O193" s="7"/>
      <c r="Q193" s="7"/>
      <c r="R193" s="7"/>
      <c r="S193" s="7"/>
      <c r="T193" s="7"/>
      <c r="U193" s="7"/>
      <c r="Y193" s="10"/>
      <c r="Z193" s="10"/>
      <c r="AA193" s="10"/>
      <c r="AB193" s="7"/>
      <c r="AC193" s="7"/>
      <c r="AD193" s="7"/>
      <c r="AE193" s="10"/>
      <c r="AF193" s="10"/>
      <c r="AG193" s="10"/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Q193">
        <v>191</v>
      </c>
      <c r="AR193">
        <f t="shared" si="64"/>
        <v>-11.779526201371969</v>
      </c>
      <c r="AS193">
        <f t="shared" si="65"/>
        <v>-2.2897079445185367</v>
      </c>
    </row>
    <row r="194" spans="1:45" x14ac:dyDescent="0.25">
      <c r="A194" s="15">
        <f t="shared" ca="1" si="66"/>
        <v>0</v>
      </c>
      <c r="B194">
        <f t="shared" ca="1" si="67"/>
        <v>0</v>
      </c>
      <c r="M194" s="7"/>
      <c r="N194" s="7"/>
      <c r="O194" s="7"/>
      <c r="Q194" s="7"/>
      <c r="R194" s="7"/>
      <c r="S194" s="7"/>
      <c r="T194" s="7"/>
      <c r="U194" s="7"/>
      <c r="Y194" s="10"/>
      <c r="Z194" s="10"/>
      <c r="AA194" s="10"/>
      <c r="AB194" s="7"/>
      <c r="AC194" s="7"/>
      <c r="AD194" s="7"/>
      <c r="AE194" s="10"/>
      <c r="AF194" s="10"/>
      <c r="AG194" s="10"/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Q194">
        <v>192</v>
      </c>
      <c r="AR194">
        <f t="shared" si="64"/>
        <v>-11.737771208805666</v>
      </c>
      <c r="AS194">
        <f t="shared" si="65"/>
        <v>-2.4949402898131141</v>
      </c>
    </row>
    <row r="195" spans="1:45" x14ac:dyDescent="0.25">
      <c r="A195" s="15">
        <f t="shared" ca="1" si="66"/>
        <v>0</v>
      </c>
      <c r="B195">
        <f t="shared" ca="1" si="67"/>
        <v>0</v>
      </c>
      <c r="M195" s="7"/>
      <c r="N195" s="7"/>
      <c r="O195" s="7"/>
      <c r="Q195" s="7"/>
      <c r="R195" s="7"/>
      <c r="S195" s="7"/>
      <c r="T195" s="7"/>
      <c r="U195" s="7"/>
      <c r="Y195" s="10"/>
      <c r="Z195" s="10"/>
      <c r="AA195" s="10"/>
      <c r="AB195" s="7"/>
      <c r="AC195" s="7"/>
      <c r="AD195" s="7"/>
      <c r="AE195" s="10"/>
      <c r="AF195" s="10"/>
      <c r="AG195" s="10"/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Q195">
        <v>193</v>
      </c>
      <c r="AR195">
        <f t="shared" ref="AR195:AR258" si="68">$B$3*COS(RADIANS(AQ195))</f>
        <v>-11.692440777422823</v>
      </c>
      <c r="AS195">
        <f t="shared" ref="AS195:AS258" si="69">$B$3*SIN(RADIANS(AQ195))</f>
        <v>-2.6994126521263797</v>
      </c>
    </row>
    <row r="196" spans="1:45" x14ac:dyDescent="0.25">
      <c r="A196" s="15">
        <f t="shared" ca="1" si="66"/>
        <v>0</v>
      </c>
      <c r="B196">
        <f t="shared" ca="1" si="67"/>
        <v>0</v>
      </c>
      <c r="M196" s="7"/>
      <c r="N196" s="7"/>
      <c r="O196" s="7"/>
      <c r="Q196" s="7"/>
      <c r="R196" s="7"/>
      <c r="S196" s="7"/>
      <c r="T196" s="7"/>
      <c r="U196" s="7"/>
      <c r="Y196" s="10"/>
      <c r="Z196" s="10"/>
      <c r="AA196" s="10"/>
      <c r="AB196" s="7"/>
      <c r="AC196" s="7"/>
      <c r="AD196" s="7"/>
      <c r="AE196" s="10"/>
      <c r="AF196" s="10"/>
      <c r="AG196" s="10"/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Q196">
        <v>194</v>
      </c>
      <c r="AR196">
        <f t="shared" si="68"/>
        <v>-11.643548715311958</v>
      </c>
      <c r="AS196">
        <f t="shared" si="69"/>
        <v>-2.9030627471960102</v>
      </c>
    </row>
    <row r="197" spans="1:45" x14ac:dyDescent="0.25">
      <c r="A197" s="15">
        <f t="shared" ca="1" si="66"/>
        <v>0</v>
      </c>
      <c r="B197">
        <f t="shared" ca="1" si="67"/>
        <v>0</v>
      </c>
      <c r="M197" s="7"/>
      <c r="N197" s="7"/>
      <c r="O197" s="7"/>
      <c r="Q197" s="7"/>
      <c r="R197" s="7"/>
      <c r="S197" s="7"/>
      <c r="T197" s="7"/>
      <c r="U197" s="7"/>
      <c r="Y197" s="10"/>
      <c r="Z197" s="10"/>
      <c r="AA197" s="10"/>
      <c r="AB197" s="7"/>
      <c r="AC197" s="7"/>
      <c r="AD197" s="7"/>
      <c r="AE197" s="10"/>
      <c r="AF197" s="10"/>
      <c r="AG197" s="10"/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Q197">
        <v>195</v>
      </c>
      <c r="AR197">
        <f t="shared" si="68"/>
        <v>-11.59110991546882</v>
      </c>
      <c r="AS197">
        <f t="shared" si="69"/>
        <v>-3.1058285412302498</v>
      </c>
    </row>
    <row r="198" spans="1:45" x14ac:dyDescent="0.25">
      <c r="A198" s="15">
        <f t="shared" ca="1" si="66"/>
        <v>0</v>
      </c>
      <c r="B198">
        <f t="shared" ca="1" si="67"/>
        <v>0</v>
      </c>
      <c r="M198" s="7"/>
      <c r="N198" s="7"/>
      <c r="O198" s="7"/>
      <c r="Q198" s="7"/>
      <c r="R198" s="7"/>
      <c r="S198" s="7"/>
      <c r="T198" s="7"/>
      <c r="U198" s="7"/>
      <c r="Y198" s="10"/>
      <c r="Z198" s="10"/>
      <c r="AA198" s="10"/>
      <c r="AB198" s="7"/>
      <c r="AC198" s="7"/>
      <c r="AD198" s="7"/>
      <c r="AE198" s="10"/>
      <c r="AF198" s="10"/>
      <c r="AG198" s="10"/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Q198">
        <v>196</v>
      </c>
      <c r="AR198">
        <f t="shared" si="68"/>
        <v>-11.535140351259827</v>
      </c>
      <c r="AS198">
        <f t="shared" si="69"/>
        <v>-3.307648269803988</v>
      </c>
    </row>
    <row r="199" spans="1:45" x14ac:dyDescent="0.25">
      <c r="A199" s="15">
        <f t="shared" ca="1" si="66"/>
        <v>0</v>
      </c>
      <c r="B199">
        <f t="shared" ca="1" si="67"/>
        <v>0</v>
      </c>
      <c r="M199" s="7"/>
      <c r="N199" s="7"/>
      <c r="O199" s="7"/>
      <c r="Q199" s="7"/>
      <c r="R199" s="7"/>
      <c r="S199" s="7"/>
      <c r="T199" s="7"/>
      <c r="U199" s="7"/>
      <c r="Y199" s="10"/>
      <c r="Z199" s="10"/>
      <c r="AA199" s="10"/>
      <c r="AB199" s="7"/>
      <c r="AC199" s="7"/>
      <c r="AD199" s="7"/>
      <c r="AE199" s="10"/>
      <c r="AF199" s="10"/>
      <c r="AG199" s="10"/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Q199">
        <v>197</v>
      </c>
      <c r="AR199">
        <f t="shared" si="68"/>
        <v>-11.475657071556425</v>
      </c>
      <c r="AS199">
        <f t="shared" si="69"/>
        <v>-3.5084604566728412</v>
      </c>
    </row>
    <row r="200" spans="1:45" x14ac:dyDescent="0.25">
      <c r="A200" s="15">
        <f t="shared" ca="1" si="66"/>
        <v>0</v>
      </c>
      <c r="B200">
        <f t="shared" ca="1" si="67"/>
        <v>0</v>
      </c>
      <c r="M200" s="7"/>
      <c r="N200" s="7"/>
      <c r="O200" s="7"/>
      <c r="Q200" s="7"/>
      <c r="R200" s="7"/>
      <c r="S200" s="7"/>
      <c r="T200" s="7"/>
      <c r="U200" s="7"/>
      <c r="Y200" s="10"/>
      <c r="Z200" s="10"/>
      <c r="AA200" s="10"/>
      <c r="AB200" s="7"/>
      <c r="AC200" s="7"/>
      <c r="AD200" s="7"/>
      <c r="AE200" s="10"/>
      <c r="AF200" s="10"/>
      <c r="AG200" s="10"/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Q200">
        <v>198</v>
      </c>
      <c r="AR200">
        <f t="shared" si="68"/>
        <v>-11.412678195541844</v>
      </c>
      <c r="AS200">
        <f t="shared" si="69"/>
        <v>-3.7082039324993676</v>
      </c>
    </row>
    <row r="201" spans="1:45" x14ac:dyDescent="0.25">
      <c r="A201" s="15">
        <f t="shared" ca="1" si="66"/>
        <v>0</v>
      </c>
      <c r="B201">
        <f t="shared" ca="1" si="67"/>
        <v>0</v>
      </c>
      <c r="M201" s="7"/>
      <c r="N201" s="7"/>
      <c r="O201" s="7"/>
      <c r="Q201" s="7"/>
      <c r="R201" s="7"/>
      <c r="S201" s="7"/>
      <c r="T201" s="7"/>
      <c r="U201" s="7"/>
      <c r="Y201" s="10"/>
      <c r="Z201" s="10"/>
      <c r="AA201" s="10"/>
      <c r="AB201" s="7"/>
      <c r="AC201" s="7"/>
      <c r="AD201" s="7"/>
      <c r="AE201" s="10"/>
      <c r="AF201" s="10"/>
      <c r="AG201" s="10"/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Q201">
        <v>199</v>
      </c>
      <c r="AR201">
        <f t="shared" si="68"/>
        <v>-11.346222907191802</v>
      </c>
      <c r="AS201">
        <f t="shared" si="69"/>
        <v>-3.9068178534858813</v>
      </c>
    </row>
    <row r="202" spans="1:45" x14ac:dyDescent="0.25">
      <c r="A202" s="15">
        <f t="shared" ca="1" si="66"/>
        <v>0</v>
      </c>
      <c r="B202">
        <f t="shared" ca="1" si="67"/>
        <v>0</v>
      </c>
      <c r="M202" s="7"/>
      <c r="N202" s="7"/>
      <c r="O202" s="7"/>
      <c r="Q202" s="7"/>
      <c r="R202" s="7"/>
      <c r="S202" s="7"/>
      <c r="T202" s="7"/>
      <c r="U202" s="7"/>
      <c r="Y202" s="10"/>
      <c r="Z202" s="10"/>
      <c r="AA202" s="10"/>
      <c r="AB202" s="7"/>
      <c r="AC202" s="7"/>
      <c r="AD202" s="7"/>
      <c r="AE202" s="10"/>
      <c r="AF202" s="10"/>
      <c r="AG202" s="10"/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Q202">
        <v>200</v>
      </c>
      <c r="AR202">
        <f t="shared" si="68"/>
        <v>-11.276311449430901</v>
      </c>
      <c r="AS202">
        <f t="shared" si="69"/>
        <v>-4.1042417199080239</v>
      </c>
    </row>
    <row r="203" spans="1:45" x14ac:dyDescent="0.25">
      <c r="A203" s="15">
        <f t="shared" ca="1" si="66"/>
        <v>0</v>
      </c>
      <c r="B203">
        <f t="shared" ca="1" si="67"/>
        <v>0</v>
      </c>
      <c r="M203" s="7"/>
      <c r="N203" s="7"/>
      <c r="O203" s="7"/>
      <c r="Q203" s="7"/>
      <c r="R203" s="7"/>
      <c r="S203" s="7"/>
      <c r="T203" s="7"/>
      <c r="U203" s="7"/>
      <c r="Y203" s="10"/>
      <c r="Z203" s="10"/>
      <c r="AA203" s="10"/>
      <c r="AB203" s="7"/>
      <c r="AC203" s="7"/>
      <c r="AD203" s="7"/>
      <c r="AE203" s="10"/>
      <c r="AF203" s="10"/>
      <c r="AG203" s="10"/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Q203">
        <v>201</v>
      </c>
      <c r="AR203">
        <f t="shared" si="68"/>
        <v>-11.202965117966421</v>
      </c>
      <c r="AS203">
        <f t="shared" si="69"/>
        <v>-4.300415394543605</v>
      </c>
    </row>
    <row r="204" spans="1:45" x14ac:dyDescent="0.25">
      <c r="A204" s="15">
        <f t="shared" ca="1" si="66"/>
        <v>0</v>
      </c>
      <c r="B204">
        <f t="shared" ca="1" si="67"/>
        <v>0</v>
      </c>
      <c r="M204" s="7"/>
      <c r="N204" s="7"/>
      <c r="O204" s="7"/>
      <c r="Q204" s="7"/>
      <c r="R204" s="7"/>
      <c r="S204" s="7"/>
      <c r="T204" s="7"/>
      <c r="U204" s="7"/>
      <c r="Y204" s="10"/>
      <c r="Z204" s="10"/>
      <c r="AA204" s="10"/>
      <c r="AB204" s="7"/>
      <c r="AC204" s="7"/>
      <c r="AD204" s="7"/>
      <c r="AE204" s="10"/>
      <c r="AF204" s="10"/>
      <c r="AG204" s="10"/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Q204">
        <v>202</v>
      </c>
      <c r="AR204">
        <f t="shared" si="68"/>
        <v>-11.126206254801449</v>
      </c>
      <c r="AS204">
        <f t="shared" si="69"/>
        <v>-4.4952791209909444</v>
      </c>
    </row>
    <row r="205" spans="1:45" x14ac:dyDescent="0.25">
      <c r="A205" s="15">
        <f t="shared" ca="1" si="66"/>
        <v>0</v>
      </c>
      <c r="B205">
        <f t="shared" ca="1" si="67"/>
        <v>0</v>
      </c>
      <c r="M205" s="7"/>
      <c r="N205" s="7"/>
      <c r="O205" s="7"/>
      <c r="Q205" s="7"/>
      <c r="R205" s="7"/>
      <c r="S205" s="7"/>
      <c r="T205" s="7"/>
      <c r="U205" s="7"/>
      <c r="Y205" s="10"/>
      <c r="Z205" s="10"/>
      <c r="AA205" s="10"/>
      <c r="AB205" s="7"/>
      <c r="AC205" s="7"/>
      <c r="AD205" s="7"/>
      <c r="AE205" s="10"/>
      <c r="AF205" s="10"/>
      <c r="AG205" s="10"/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Q205">
        <v>203</v>
      </c>
      <c r="AR205">
        <f t="shared" si="68"/>
        <v>-11.046058241429284</v>
      </c>
      <c r="AS205">
        <f t="shared" si="69"/>
        <v>-4.6887735418712824</v>
      </c>
    </row>
    <row r="206" spans="1:45" x14ac:dyDescent="0.25">
      <c r="A206" s="15">
        <f t="shared" ca="1" si="66"/>
        <v>0</v>
      </c>
      <c r="B206">
        <f t="shared" ca="1" si="67"/>
        <v>0</v>
      </c>
      <c r="M206" s="7"/>
      <c r="N206" s="7"/>
      <c r="O206" s="7"/>
      <c r="Q206" s="7"/>
      <c r="R206" s="7"/>
      <c r="S206" s="7"/>
      <c r="T206" s="7"/>
      <c r="U206" s="7"/>
      <c r="Y206" s="10"/>
      <c r="Z206" s="10"/>
      <c r="AA206" s="10"/>
      <c r="AB206" s="7"/>
      <c r="AC206" s="7"/>
      <c r="AD206" s="7"/>
      <c r="AE206" s="10"/>
      <c r="AF206" s="10"/>
      <c r="AG206" s="10"/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Q206">
        <v>204</v>
      </c>
      <c r="AR206">
        <f t="shared" si="68"/>
        <v>-10.962545491711211</v>
      </c>
      <c r="AS206">
        <f t="shared" si="69"/>
        <v>-4.8808397169096027</v>
      </c>
    </row>
    <row r="207" spans="1:45" x14ac:dyDescent="0.25">
      <c r="A207" s="15">
        <f t="shared" ca="1" si="66"/>
        <v>0</v>
      </c>
      <c r="B207">
        <f t="shared" ca="1" si="67"/>
        <v>0</v>
      </c>
      <c r="M207" s="7"/>
      <c r="N207" s="7"/>
      <c r="O207" s="7"/>
      <c r="Q207" s="7"/>
      <c r="R207" s="7"/>
      <c r="S207" s="7"/>
      <c r="T207" s="7"/>
      <c r="U207" s="7"/>
      <c r="Y207" s="10"/>
      <c r="Z207" s="10"/>
      <c r="AA207" s="10"/>
      <c r="AB207" s="7"/>
      <c r="AC207" s="7"/>
      <c r="AD207" s="7"/>
      <c r="AE207" s="10"/>
      <c r="AF207" s="10"/>
      <c r="AG207" s="10"/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Q207">
        <v>205</v>
      </c>
      <c r="AR207">
        <f t="shared" si="68"/>
        <v>-10.875693444439801</v>
      </c>
      <c r="AS207">
        <f t="shared" si="69"/>
        <v>-5.0714191408883913</v>
      </c>
    </row>
    <row r="208" spans="1:45" x14ac:dyDescent="0.25">
      <c r="A208" s="15">
        <f t="shared" ca="1" si="66"/>
        <v>0</v>
      </c>
      <c r="B208">
        <f t="shared" ca="1" si="67"/>
        <v>0</v>
      </c>
      <c r="M208" s="7"/>
      <c r="N208" s="7"/>
      <c r="O208" s="7"/>
      <c r="Q208" s="7"/>
      <c r="R208" s="7"/>
      <c r="S208" s="7"/>
      <c r="T208" s="7"/>
      <c r="U208" s="7"/>
      <c r="Y208" s="10"/>
      <c r="Z208" s="10"/>
      <c r="AA208" s="10"/>
      <c r="AB208" s="7"/>
      <c r="AC208" s="7"/>
      <c r="AD208" s="7"/>
      <c r="AE208" s="10"/>
      <c r="AF208" s="10"/>
      <c r="AG208" s="10"/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Q208">
        <v>206</v>
      </c>
      <c r="AR208">
        <f t="shared" si="68"/>
        <v>-10.785528555590004</v>
      </c>
      <c r="AS208">
        <f t="shared" si="69"/>
        <v>-5.2604537614689297</v>
      </c>
    </row>
    <row r="209" spans="1:45" x14ac:dyDescent="0.25">
      <c r="A209" s="15">
        <f t="shared" ca="1" si="66"/>
        <v>0</v>
      </c>
      <c r="B209">
        <f t="shared" ca="1" si="67"/>
        <v>0</v>
      </c>
      <c r="M209" s="7"/>
      <c r="N209" s="7"/>
      <c r="O209" s="7"/>
      <c r="Q209" s="7"/>
      <c r="R209" s="7"/>
      <c r="S209" s="7"/>
      <c r="T209" s="7"/>
      <c r="U209" s="7"/>
      <c r="Y209" s="10"/>
      <c r="Z209" s="10"/>
      <c r="AA209" s="10"/>
      <c r="AB209" s="7"/>
      <c r="AC209" s="7"/>
      <c r="AD209" s="7"/>
      <c r="AE209" s="10"/>
      <c r="AF209" s="10"/>
      <c r="AG209" s="10"/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Q209">
        <v>207</v>
      </c>
      <c r="AR209">
        <f t="shared" si="68"/>
        <v>-10.692078290260415</v>
      </c>
      <c r="AS209">
        <f t="shared" si="69"/>
        <v>-5.4478859968745601</v>
      </c>
    </row>
    <row r="210" spans="1:45" x14ac:dyDescent="0.25">
      <c r="A210" s="15">
        <f t="shared" ca="1" si="66"/>
        <v>0</v>
      </c>
      <c r="B210">
        <f t="shared" ca="1" si="67"/>
        <v>0</v>
      </c>
      <c r="M210" s="7"/>
      <c r="N210" s="7"/>
      <c r="O210" s="7"/>
      <c r="Q210" s="7"/>
      <c r="R210" s="7"/>
      <c r="S210" s="7"/>
      <c r="T210" s="7"/>
      <c r="U210" s="7"/>
      <c r="Y210" s="10"/>
      <c r="Z210" s="10"/>
      <c r="AA210" s="10"/>
      <c r="AB210" s="7"/>
      <c r="AC210" s="7"/>
      <c r="AD210" s="7"/>
      <c r="AE210" s="10"/>
      <c r="AF210" s="10"/>
      <c r="AG210" s="10"/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Q210">
        <v>208</v>
      </c>
      <c r="AR210">
        <f t="shared" si="68"/>
        <v>-10.595371114307122</v>
      </c>
      <c r="AS210">
        <f t="shared" si="69"/>
        <v>-5.6336587534306908</v>
      </c>
    </row>
    <row r="211" spans="1:45" x14ac:dyDescent="0.25">
      <c r="A211" s="15">
        <f t="shared" ca="1" si="66"/>
        <v>0</v>
      </c>
      <c r="B211">
        <f t="shared" ca="1" si="67"/>
        <v>0</v>
      </c>
      <c r="M211" s="7"/>
      <c r="N211" s="7"/>
      <c r="O211" s="7"/>
      <c r="Q211" s="7"/>
      <c r="R211" s="7"/>
      <c r="S211" s="7"/>
      <c r="T211" s="7"/>
      <c r="U211" s="7"/>
      <c r="Y211" s="10"/>
      <c r="Z211" s="10"/>
      <c r="AA211" s="10"/>
      <c r="AB211" s="7"/>
      <c r="AC211" s="7"/>
      <c r="AD211" s="7"/>
      <c r="AE211" s="10"/>
      <c r="AF211" s="10"/>
      <c r="AG211" s="10"/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Q211">
        <v>209</v>
      </c>
      <c r="AR211">
        <f t="shared" si="68"/>
        <v>-10.49543648567275</v>
      </c>
      <c r="AS211">
        <f t="shared" si="69"/>
        <v>-5.8177154429560431</v>
      </c>
    </row>
    <row r="212" spans="1:45" x14ac:dyDescent="0.25">
      <c r="A212" s="15">
        <f t="shared" ca="1" si="66"/>
        <v>0</v>
      </c>
      <c r="B212">
        <f t="shared" ca="1" si="67"/>
        <v>0</v>
      </c>
      <c r="M212" s="7"/>
      <c r="N212" s="7"/>
      <c r="O212" s="7"/>
      <c r="Q212" s="7"/>
      <c r="R212" s="7"/>
      <c r="S212" s="7"/>
      <c r="T212" s="7"/>
      <c r="U212" s="7"/>
      <c r="Y212" s="10"/>
      <c r="Z212" s="10"/>
      <c r="AA212" s="10"/>
      <c r="AB212" s="7"/>
      <c r="AC212" s="7"/>
      <c r="AD212" s="7"/>
      <c r="AE212" s="10"/>
      <c r="AF212" s="10"/>
      <c r="AG212" s="10"/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Q212">
        <v>210</v>
      </c>
      <c r="AR212">
        <f t="shared" si="68"/>
        <v>-10.392304845413264</v>
      </c>
      <c r="AS212">
        <f t="shared" si="69"/>
        <v>-6.0000000000000018</v>
      </c>
    </row>
    <row r="213" spans="1:45" x14ac:dyDescent="0.25">
      <c r="A213" s="15">
        <f t="shared" ca="1" si="66"/>
        <v>0</v>
      </c>
      <c r="B213">
        <f t="shared" ca="1" si="67"/>
        <v>0</v>
      </c>
      <c r="M213" s="7"/>
      <c r="N213" s="7"/>
      <c r="O213" s="7"/>
      <c r="Q213" s="7"/>
      <c r="R213" s="7"/>
      <c r="S213" s="7"/>
      <c r="T213" s="7"/>
      <c r="U213" s="7"/>
      <c r="Y213" s="10"/>
      <c r="Z213" s="10"/>
      <c r="AA213" s="10"/>
      <c r="AB213" s="7"/>
      <c r="AC213" s="7"/>
      <c r="AD213" s="7"/>
      <c r="AE213" s="10"/>
      <c r="AF213" s="10"/>
      <c r="AG213" s="10"/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Q213">
        <v>211</v>
      </c>
      <c r="AR213">
        <f t="shared" si="68"/>
        <v>-10.286007608425347</v>
      </c>
      <c r="AS213">
        <f t="shared" si="69"/>
        <v>-6.1804568989206494</v>
      </c>
    </row>
    <row r="214" spans="1:45" x14ac:dyDescent="0.25">
      <c r="A214" s="15">
        <f t="shared" ca="1" si="66"/>
        <v>0</v>
      </c>
      <c r="B214">
        <f t="shared" ca="1" si="67"/>
        <v>0</v>
      </c>
      <c r="M214" s="7"/>
      <c r="N214" s="7"/>
      <c r="O214" s="7"/>
      <c r="Q214" s="7"/>
      <c r="R214" s="7"/>
      <c r="S214" s="7"/>
      <c r="T214" s="7"/>
      <c r="U214" s="7"/>
      <c r="Y214" s="10"/>
      <c r="Z214" s="10"/>
      <c r="AA214" s="10"/>
      <c r="AB214" s="7"/>
      <c r="AC214" s="7"/>
      <c r="AD214" s="7"/>
      <c r="AE214" s="10"/>
      <c r="AF214" s="10"/>
      <c r="AG214" s="10"/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Q214">
        <v>212</v>
      </c>
      <c r="AR214">
        <f t="shared" si="68"/>
        <v>-10.176577153877112</v>
      </c>
      <c r="AS214">
        <f t="shared" si="69"/>
        <v>-6.3590311707984579</v>
      </c>
    </row>
    <row r="215" spans="1:45" x14ac:dyDescent="0.25">
      <c r="A215" s="15">
        <f t="shared" ca="1" si="66"/>
        <v>0</v>
      </c>
      <c r="B215">
        <f t="shared" ca="1" si="67"/>
        <v>0</v>
      </c>
      <c r="M215" s="7"/>
      <c r="N215" s="7"/>
      <c r="O215" s="7"/>
      <c r="Q215" s="7"/>
      <c r="R215" s="7"/>
      <c r="S215" s="7"/>
      <c r="T215" s="7"/>
      <c r="U215" s="7"/>
      <c r="Y215" s="10"/>
      <c r="Z215" s="10"/>
      <c r="AA215" s="10"/>
      <c r="AB215" s="7"/>
      <c r="AC215" s="7"/>
      <c r="AD215" s="7"/>
      <c r="AE215" s="10"/>
      <c r="AF215" s="10"/>
      <c r="AG215" s="10"/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Q215">
        <v>213</v>
      </c>
      <c r="AR215">
        <f t="shared" si="68"/>
        <v>-10.064046815345089</v>
      </c>
      <c r="AS215">
        <f t="shared" si="69"/>
        <v>-6.5356684201803255</v>
      </c>
    </row>
    <row r="216" spans="1:45" x14ac:dyDescent="0.25">
      <c r="A216" s="15">
        <f t="shared" ref="A216:A222" ca="1" si="70">L102</f>
        <v>0</v>
      </c>
      <c r="B216">
        <f t="shared" ref="B216:B222" ca="1" si="71">IF(AND(A216&gt;0,A216&lt;$B$128),(0.85*$B$126)*((2*(A216/$B$128))-POWER(A216/$B$128,2)),IF(A216&gt;0,0.85*$B$126,0))/1000</f>
        <v>0</v>
      </c>
      <c r="M216" s="7"/>
      <c r="N216" s="7"/>
      <c r="O216" s="7"/>
      <c r="Q216" s="7"/>
      <c r="R216" s="7"/>
      <c r="S216" s="7"/>
      <c r="T216" s="7"/>
      <c r="U216" s="7"/>
      <c r="Y216" s="10"/>
      <c r="Z216" s="10"/>
      <c r="AA216" s="10"/>
      <c r="AB216" s="7"/>
      <c r="AC216" s="7"/>
      <c r="AD216" s="7"/>
      <c r="AE216" s="10"/>
      <c r="AF216" s="10"/>
      <c r="AG216" s="10"/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Q216">
        <v>214</v>
      </c>
      <c r="AR216">
        <f t="shared" si="68"/>
        <v>-9.9484508706605013</v>
      </c>
      <c r="AS216">
        <f t="shared" si="69"/>
        <v>-6.7103148416489606</v>
      </c>
    </row>
    <row r="217" spans="1:45" x14ac:dyDescent="0.25">
      <c r="A217" s="15">
        <f t="shared" ca="1" si="70"/>
        <v>0</v>
      </c>
      <c r="B217">
        <f t="shared" ca="1" si="71"/>
        <v>0</v>
      </c>
      <c r="M217" s="7"/>
      <c r="N217" s="7"/>
      <c r="O217" s="7"/>
      <c r="Q217" s="7"/>
      <c r="R217" s="7"/>
      <c r="S217" s="7"/>
      <c r="T217" s="7"/>
      <c r="U217" s="7"/>
      <c r="Y217" s="10"/>
      <c r="Z217" s="10"/>
      <c r="AA217" s="10"/>
      <c r="AB217" s="7"/>
      <c r="AC217" s="7"/>
      <c r="AD217" s="7"/>
      <c r="AE217" s="10"/>
      <c r="AF217" s="10"/>
      <c r="AG217" s="10"/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Q217">
        <v>215</v>
      </c>
      <c r="AR217">
        <f t="shared" si="68"/>
        <v>-9.8298245314679011</v>
      </c>
      <c r="AS217">
        <f t="shared" si="69"/>
        <v>-6.8829172362125544</v>
      </c>
    </row>
    <row r="218" spans="1:45" x14ac:dyDescent="0.25">
      <c r="A218" s="15">
        <f t="shared" ca="1" si="70"/>
        <v>0</v>
      </c>
      <c r="B218">
        <f t="shared" ca="1" si="71"/>
        <v>0</v>
      </c>
      <c r="M218" s="7"/>
      <c r="N218" s="7"/>
      <c r="O218" s="7"/>
      <c r="Q218" s="7"/>
      <c r="R218" s="7"/>
      <c r="S218" s="7"/>
      <c r="T218" s="7"/>
      <c r="U218" s="7"/>
      <c r="Y218" s="10"/>
      <c r="Z218" s="10"/>
      <c r="AA218" s="10"/>
      <c r="AB218" s="7"/>
      <c r="AC218" s="7"/>
      <c r="AD218" s="7"/>
      <c r="AE218" s="10"/>
      <c r="AF218" s="10"/>
      <c r="AG218" s="10"/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Q218">
        <v>216</v>
      </c>
      <c r="AR218">
        <f t="shared" si="68"/>
        <v>-9.7082039324993712</v>
      </c>
      <c r="AS218">
        <f t="shared" si="69"/>
        <v>-7.0534230275096768</v>
      </c>
    </row>
    <row r="219" spans="1:45" x14ac:dyDescent="0.25">
      <c r="A219" s="15">
        <f t="shared" ca="1" si="70"/>
        <v>0</v>
      </c>
      <c r="B219">
        <f t="shared" ca="1" si="71"/>
        <v>0</v>
      </c>
      <c r="M219" s="7"/>
      <c r="N219" s="7"/>
      <c r="O219" s="7"/>
      <c r="Q219" s="7"/>
      <c r="R219" s="7"/>
      <c r="S219" s="7"/>
      <c r="T219" s="7"/>
      <c r="U219" s="7"/>
      <c r="Y219" s="10"/>
      <c r="Z219" s="10"/>
      <c r="AA219" s="10"/>
      <c r="AB219" s="7"/>
      <c r="AC219" s="7"/>
      <c r="AD219" s="7"/>
      <c r="AE219" s="10"/>
      <c r="AF219" s="10"/>
      <c r="AG219" s="10"/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Q219">
        <v>217</v>
      </c>
      <c r="AR219">
        <f t="shared" si="68"/>
        <v>-9.583626120567514</v>
      </c>
      <c r="AS219">
        <f t="shared" si="69"/>
        <v>-7.2217802778245801</v>
      </c>
    </row>
    <row r="220" spans="1:45" x14ac:dyDescent="0.25">
      <c r="A220" s="15">
        <f t="shared" ca="1" si="70"/>
        <v>0</v>
      </c>
      <c r="B220">
        <f t="shared" ca="1" si="71"/>
        <v>0</v>
      </c>
      <c r="M220" s="7"/>
      <c r="N220" s="7"/>
      <c r="O220" s="7"/>
      <c r="Q220" s="7"/>
      <c r="R220" s="7"/>
      <c r="S220" s="7"/>
      <c r="T220" s="7"/>
      <c r="U220" s="7"/>
      <c r="Y220" s="10"/>
      <c r="Z220" s="10"/>
      <c r="AA220" s="10"/>
      <c r="AB220" s="7"/>
      <c r="AC220" s="7"/>
      <c r="AD220" s="7"/>
      <c r="AE220" s="10"/>
      <c r="AF220" s="10"/>
      <c r="AG220" s="10"/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Q220">
        <v>218</v>
      </c>
      <c r="AR220">
        <f t="shared" si="68"/>
        <v>-9.4561290432806651</v>
      </c>
      <c r="AS220">
        <f t="shared" si="69"/>
        <v>-7.3879377039078982</v>
      </c>
    </row>
    <row r="221" spans="1:45" x14ac:dyDescent="0.25">
      <c r="A221" s="15">
        <f t="shared" ca="1" si="70"/>
        <v>0</v>
      </c>
      <c r="B221">
        <f t="shared" ca="1" si="71"/>
        <v>0</v>
      </c>
      <c r="M221" s="7"/>
      <c r="N221" s="7"/>
      <c r="O221" s="7"/>
      <c r="Q221" s="7"/>
      <c r="R221" s="7"/>
      <c r="S221" s="7"/>
      <c r="T221" s="7"/>
      <c r="U221" s="7"/>
      <c r="Y221" s="10"/>
      <c r="Z221" s="10"/>
      <c r="AA221" s="10"/>
      <c r="AB221" s="7"/>
      <c r="AC221" s="7"/>
      <c r="AD221" s="7"/>
      <c r="AE221" s="10"/>
      <c r="AF221" s="10"/>
      <c r="AG221" s="10"/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Q221">
        <v>219</v>
      </c>
      <c r="AR221">
        <f t="shared" si="68"/>
        <v>-9.325751537483649</v>
      </c>
      <c r="AS221">
        <f t="shared" si="69"/>
        <v>-7.5518446925980509</v>
      </c>
    </row>
    <row r="222" spans="1:45" x14ac:dyDescent="0.25">
      <c r="A222" s="15">
        <f t="shared" ca="1" si="70"/>
        <v>0</v>
      </c>
      <c r="B222">
        <f t="shared" ca="1" si="71"/>
        <v>0</v>
      </c>
      <c r="M222" s="7"/>
      <c r="N222" s="7"/>
      <c r="O222" s="7"/>
      <c r="Q222" s="7"/>
      <c r="R222" s="7"/>
      <c r="S222" s="7"/>
      <c r="T222" s="7"/>
      <c r="U222" s="7"/>
      <c r="Y222" s="10"/>
      <c r="Z222" s="10"/>
      <c r="AA222" s="10"/>
      <c r="AB222" s="7"/>
      <c r="AC222" s="7"/>
      <c r="AD222" s="7"/>
      <c r="AE222" s="10"/>
      <c r="AF222" s="10"/>
      <c r="AG222" s="10"/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Q222">
        <v>220</v>
      </c>
      <c r="AR222">
        <f t="shared" si="68"/>
        <v>-9.1925333174277366</v>
      </c>
      <c r="AS222">
        <f t="shared" si="69"/>
        <v>-7.713451316238471</v>
      </c>
    </row>
    <row r="223" spans="1:45" x14ac:dyDescent="0.25">
      <c r="A223" s="15"/>
      <c r="M223" s="7"/>
      <c r="N223" s="7"/>
      <c r="O223" s="7"/>
      <c r="Q223" s="7"/>
      <c r="R223" s="7"/>
      <c r="S223" s="7"/>
      <c r="T223" s="7"/>
      <c r="U223" s="7"/>
      <c r="Y223" s="10"/>
      <c r="Z223" s="10"/>
      <c r="AA223" s="10"/>
      <c r="AB223" s="7"/>
      <c r="AC223" s="7"/>
      <c r="AD223" s="7"/>
      <c r="AE223" s="10"/>
      <c r="AF223" s="10"/>
      <c r="AG223" s="10"/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Q223">
        <v>221</v>
      </c>
      <c r="AR223">
        <f t="shared" si="68"/>
        <v>-9.0565149626732655</v>
      </c>
      <c r="AS223">
        <f t="shared" si="69"/>
        <v>-7.8727083478860846</v>
      </c>
    </row>
    <row r="224" spans="1:45" x14ac:dyDescent="0.25">
      <c r="A224" s="15"/>
      <c r="M224" s="7"/>
      <c r="N224" s="7"/>
      <c r="O224" s="7"/>
      <c r="Q224" s="7"/>
      <c r="R224" s="7"/>
      <c r="S224" s="7"/>
      <c r="T224" s="7"/>
      <c r="U224" s="7"/>
      <c r="Y224" s="10"/>
      <c r="Z224" s="10"/>
      <c r="AA224" s="10"/>
      <c r="AB224" s="7"/>
      <c r="AC224" s="7"/>
      <c r="AD224" s="7"/>
      <c r="AE224" s="10"/>
      <c r="AF224" s="10"/>
      <c r="AG224" s="10"/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Q224">
        <v>222</v>
      </c>
      <c r="AR224">
        <f t="shared" si="68"/>
        <v>-8.9177379057287318</v>
      </c>
      <c r="AS224">
        <f t="shared" si="69"/>
        <v>-8.0295672763062989</v>
      </c>
    </row>
    <row r="225" spans="13:45" x14ac:dyDescent="0.25">
      <c r="M225" s="7"/>
      <c r="N225" s="7"/>
      <c r="O225" s="7"/>
      <c r="Q225" s="7"/>
      <c r="R225" s="7"/>
      <c r="S225" s="7"/>
      <c r="T225" s="7"/>
      <c r="U225" s="7"/>
      <c r="Y225" s="10"/>
      <c r="Z225" s="10"/>
      <c r="AA225" s="10"/>
      <c r="AB225" s="7"/>
      <c r="AC225" s="7"/>
      <c r="AD225" s="7"/>
      <c r="AE225" s="10"/>
      <c r="AF225" s="10"/>
      <c r="AG225" s="10"/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Q225">
        <v>223</v>
      </c>
      <c r="AR225">
        <f t="shared" si="68"/>
        <v>-8.7762444194300464</v>
      </c>
      <c r="AS225">
        <f t="shared" si="69"/>
        <v>-8.1839803207499813</v>
      </c>
    </row>
    <row r="226" spans="13:45" x14ac:dyDescent="0.25">
      <c r="M226" s="7"/>
      <c r="N226" s="7"/>
      <c r="O226" s="7"/>
      <c r="Q226" s="7"/>
      <c r="R226" s="7"/>
      <c r="S226" s="7"/>
      <c r="T226" s="7"/>
      <c r="U226" s="7"/>
      <c r="Y226" s="10"/>
      <c r="Z226" s="10"/>
      <c r="AA226" s="10"/>
      <c r="AB226" s="7"/>
      <c r="AC226" s="7"/>
      <c r="AD226" s="7"/>
      <c r="AE226" s="10"/>
      <c r="AF226" s="10"/>
      <c r="AG226" s="10"/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Q226">
        <v>224</v>
      </c>
      <c r="AR226">
        <f t="shared" si="68"/>
        <v>-8.632077604063813</v>
      </c>
      <c r="AS226">
        <f t="shared" si="69"/>
        <v>-8.3359004455079688</v>
      </c>
    </row>
    <row r="227" spans="13:45" x14ac:dyDescent="0.25">
      <c r="M227" s="7"/>
      <c r="N227" s="7"/>
      <c r="O227" s="7"/>
      <c r="Q227" s="7"/>
      <c r="R227" s="7"/>
      <c r="S227" s="7"/>
      <c r="T227" s="7"/>
      <c r="U227" s="7"/>
      <c r="Y227" s="10"/>
      <c r="Z227" s="10"/>
      <c r="AA227" s="10"/>
      <c r="AB227" s="7"/>
      <c r="AC227" s="7"/>
      <c r="AD227" s="7"/>
      <c r="AE227" s="10"/>
      <c r="AF227" s="10"/>
      <c r="AG227" s="10"/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Q227">
        <v>225</v>
      </c>
      <c r="AR227">
        <f t="shared" si="68"/>
        <v>-8.4852813742385713</v>
      </c>
      <c r="AS227">
        <f t="shared" si="69"/>
        <v>-8.4852813742385695</v>
      </c>
    </row>
    <row r="228" spans="13:45" x14ac:dyDescent="0.25">
      <c r="M228" s="7"/>
      <c r="N228" s="7"/>
      <c r="O228" s="7"/>
      <c r="Q228" s="7"/>
      <c r="R228" s="7"/>
      <c r="S228" s="7"/>
      <c r="T228" s="7"/>
      <c r="U228" s="7"/>
      <c r="Y228" s="10"/>
      <c r="Z228" s="10"/>
      <c r="AA228" s="10"/>
      <c r="AB228" s="7"/>
      <c r="AC228" s="7"/>
      <c r="AD228" s="7"/>
      <c r="AE228" s="10"/>
      <c r="AF228" s="10"/>
      <c r="AG228" s="10"/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Q228">
        <v>226</v>
      </c>
      <c r="AR228">
        <f t="shared" si="68"/>
        <v>-8.335900445507967</v>
      </c>
      <c r="AS228">
        <f t="shared" si="69"/>
        <v>-8.6320776040638147</v>
      </c>
    </row>
    <row r="229" spans="13:45" x14ac:dyDescent="0.25">
      <c r="M229" s="7"/>
      <c r="N229" s="7"/>
      <c r="O229" s="7"/>
      <c r="Q229" s="7"/>
      <c r="R229" s="7"/>
      <c r="S229" s="7"/>
      <c r="T229" s="7"/>
      <c r="U229" s="7"/>
      <c r="Y229" s="10"/>
      <c r="Z229" s="10"/>
      <c r="AA229" s="10"/>
      <c r="AB229" s="7"/>
      <c r="AC229" s="7"/>
      <c r="AD229" s="7"/>
      <c r="AE229" s="10"/>
      <c r="AF229" s="10"/>
      <c r="AG229" s="10"/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Q229">
        <v>227</v>
      </c>
      <c r="AR229">
        <f t="shared" si="68"/>
        <v>-8.1839803207499831</v>
      </c>
      <c r="AS229">
        <f t="shared" si="69"/>
        <v>-8.7762444194300464</v>
      </c>
    </row>
    <row r="230" spans="13:45" x14ac:dyDescent="0.25">
      <c r="M230" s="7"/>
      <c r="N230" s="7"/>
      <c r="O230" s="7"/>
      <c r="Q230" s="7"/>
      <c r="R230" s="7"/>
      <c r="S230" s="7"/>
      <c r="T230" s="7"/>
      <c r="U230" s="7"/>
      <c r="Y230" s="10"/>
      <c r="Z230" s="10"/>
      <c r="AA230" s="10"/>
      <c r="AB230" s="7"/>
      <c r="AC230" s="7"/>
      <c r="AD230" s="7"/>
      <c r="AE230" s="10"/>
      <c r="AF230" s="10"/>
      <c r="AG230" s="10"/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Q230">
        <v>228</v>
      </c>
      <c r="AR230">
        <f t="shared" si="68"/>
        <v>-8.0295672763062971</v>
      </c>
      <c r="AS230">
        <f t="shared" si="69"/>
        <v>-8.9177379057287318</v>
      </c>
    </row>
    <row r="231" spans="13:45" x14ac:dyDescent="0.25">
      <c r="M231" s="7"/>
      <c r="N231" s="7"/>
      <c r="O231" s="7"/>
      <c r="Q231" s="7"/>
      <c r="R231" s="7"/>
      <c r="S231" s="7"/>
      <c r="T231" s="7"/>
      <c r="U231" s="7"/>
      <c r="Y231" s="10"/>
      <c r="Z231" s="10"/>
      <c r="AA231" s="10"/>
      <c r="AB231" s="7"/>
      <c r="AC231" s="7"/>
      <c r="AD231" s="7"/>
      <c r="AE231" s="10"/>
      <c r="AF231" s="10"/>
      <c r="AG231" s="10"/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Q231">
        <v>229</v>
      </c>
      <c r="AR231">
        <f t="shared" si="68"/>
        <v>-7.8727083478860873</v>
      </c>
      <c r="AS231">
        <f t="shared" si="69"/>
        <v>-9.0565149626732637</v>
      </c>
    </row>
    <row r="232" spans="13:45" x14ac:dyDescent="0.25">
      <c r="M232" s="7"/>
      <c r="N232" s="7"/>
      <c r="O232" s="7"/>
      <c r="Q232" s="7"/>
      <c r="R232" s="7"/>
      <c r="S232" s="7"/>
      <c r="T232" s="7"/>
      <c r="U232" s="7"/>
      <c r="Y232" s="10"/>
      <c r="Z232" s="10"/>
      <c r="AA232" s="10"/>
      <c r="AB232" s="7"/>
      <c r="AC232" s="7"/>
      <c r="AD232" s="7"/>
      <c r="AE232" s="10"/>
      <c r="AF232" s="10"/>
      <c r="AG232" s="10"/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Q232">
        <v>230</v>
      </c>
      <c r="AR232">
        <f t="shared" si="68"/>
        <v>-7.7134513162384737</v>
      </c>
      <c r="AS232">
        <f t="shared" si="69"/>
        <v>-9.1925333174277348</v>
      </c>
    </row>
    <row r="233" spans="13:45" x14ac:dyDescent="0.25">
      <c r="M233" s="7"/>
      <c r="N233" s="7"/>
      <c r="O233" s="7"/>
      <c r="Q233" s="7"/>
      <c r="R233" s="7"/>
      <c r="S233" s="7"/>
      <c r="T233" s="7"/>
      <c r="U233" s="7"/>
      <c r="Y233" s="10"/>
      <c r="Z233" s="10"/>
      <c r="AA233" s="10"/>
      <c r="AB233" s="7"/>
      <c r="AC233" s="7"/>
      <c r="AD233" s="7"/>
      <c r="AE233" s="10"/>
      <c r="AF233" s="10"/>
      <c r="AG233" s="10"/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Q233">
        <v>231</v>
      </c>
      <c r="AR233">
        <f t="shared" si="68"/>
        <v>-7.5518446925980545</v>
      </c>
      <c r="AS233">
        <f t="shared" si="69"/>
        <v>-9.3257515374836473</v>
      </c>
    </row>
    <row r="234" spans="13:45" x14ac:dyDescent="0.25">
      <c r="M234" s="7"/>
      <c r="N234" s="7"/>
      <c r="O234" s="7"/>
      <c r="Q234" s="7"/>
      <c r="R234" s="7"/>
      <c r="S234" s="7"/>
      <c r="T234" s="7"/>
      <c r="U234" s="7"/>
      <c r="Y234" s="10"/>
      <c r="Z234" s="10"/>
      <c r="AA234" s="10"/>
      <c r="AB234" s="7"/>
      <c r="AC234" s="7"/>
      <c r="AD234" s="7"/>
      <c r="AE234" s="10"/>
      <c r="AF234" s="10"/>
      <c r="AG234" s="10"/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Q234">
        <v>232</v>
      </c>
      <c r="AR234">
        <f t="shared" si="68"/>
        <v>-7.3879377039078964</v>
      </c>
      <c r="AS234">
        <f t="shared" si="69"/>
        <v>-9.4561290432806651</v>
      </c>
    </row>
    <row r="235" spans="13:45" x14ac:dyDescent="0.25">
      <c r="M235" s="7"/>
      <c r="N235" s="7"/>
      <c r="O235" s="7"/>
      <c r="Q235" s="7"/>
      <c r="R235" s="7"/>
      <c r="S235" s="7"/>
      <c r="T235" s="7"/>
      <c r="U235" s="7"/>
      <c r="Y235" s="10"/>
      <c r="Z235" s="10"/>
      <c r="AA235" s="10"/>
      <c r="AB235" s="7"/>
      <c r="AC235" s="7"/>
      <c r="AD235" s="7"/>
      <c r="AE235" s="10"/>
      <c r="AF235" s="10"/>
      <c r="AG235" s="10"/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Q235">
        <v>233</v>
      </c>
      <c r="AR235">
        <f t="shared" si="68"/>
        <v>-7.2217802778245792</v>
      </c>
      <c r="AS235">
        <f t="shared" si="69"/>
        <v>-9.583626120567514</v>
      </c>
    </row>
    <row r="236" spans="13:45" x14ac:dyDescent="0.25">
      <c r="M236" s="7"/>
      <c r="N236" s="7"/>
      <c r="O236" s="7"/>
      <c r="Q236" s="7"/>
      <c r="R236" s="7"/>
      <c r="S236" s="7"/>
      <c r="T236" s="7"/>
      <c r="U236" s="7"/>
      <c r="Y236" s="10"/>
      <c r="Z236" s="10"/>
      <c r="AA236" s="10"/>
      <c r="AB236" s="7"/>
      <c r="AC236" s="7"/>
      <c r="AD236" s="7"/>
      <c r="AE236" s="10"/>
      <c r="AF236" s="10"/>
      <c r="AG236" s="10"/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Q236">
        <v>234</v>
      </c>
      <c r="AR236">
        <f t="shared" si="68"/>
        <v>-7.0534230275096785</v>
      </c>
      <c r="AS236">
        <f t="shared" si="69"/>
        <v>-9.7082039324993676</v>
      </c>
    </row>
    <row r="237" spans="13:45" x14ac:dyDescent="0.25">
      <c r="M237" s="7"/>
      <c r="N237" s="7"/>
      <c r="O237" s="7"/>
      <c r="Q237" s="7"/>
      <c r="R237" s="7"/>
      <c r="S237" s="7"/>
      <c r="T237" s="7"/>
      <c r="U237" s="7"/>
      <c r="Y237" s="10"/>
      <c r="Z237" s="10"/>
      <c r="AA237" s="10"/>
      <c r="AB237" s="7"/>
      <c r="AC237" s="7"/>
      <c r="AD237" s="7"/>
      <c r="AE237" s="10"/>
      <c r="AF237" s="10"/>
      <c r="AG237" s="10"/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Q237">
        <v>235</v>
      </c>
      <c r="AR237">
        <f t="shared" si="68"/>
        <v>-6.8829172362125561</v>
      </c>
      <c r="AS237">
        <f t="shared" si="69"/>
        <v>-9.8298245314678994</v>
      </c>
    </row>
    <row r="238" spans="13:45" x14ac:dyDescent="0.25">
      <c r="M238" s="7"/>
      <c r="N238" s="7"/>
      <c r="O238" s="7"/>
      <c r="Q238" s="7"/>
      <c r="R238" s="7"/>
      <c r="S238" s="7"/>
      <c r="T238" s="7"/>
      <c r="U238" s="7"/>
      <c r="Y238" s="10"/>
      <c r="Z238" s="10"/>
      <c r="AA238" s="10"/>
      <c r="AB238" s="7"/>
      <c r="AC238" s="7"/>
      <c r="AD238" s="7"/>
      <c r="AE238" s="10"/>
      <c r="AF238" s="10"/>
      <c r="AG238" s="10"/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Q238">
        <v>236</v>
      </c>
      <c r="AR238">
        <f t="shared" si="68"/>
        <v>-6.7103148416489589</v>
      </c>
      <c r="AS238">
        <f t="shared" si="69"/>
        <v>-9.9484508706605013</v>
      </c>
    </row>
    <row r="239" spans="13:45" x14ac:dyDescent="0.25">
      <c r="M239" s="7"/>
      <c r="N239" s="7"/>
      <c r="O239" s="7"/>
      <c r="Q239" s="7"/>
      <c r="R239" s="7"/>
      <c r="S239" s="7"/>
      <c r="T239" s="7"/>
      <c r="U239" s="7"/>
      <c r="Y239" s="10"/>
      <c r="Z239" s="10"/>
      <c r="AA239" s="10"/>
      <c r="AB239" s="7"/>
      <c r="AC239" s="7"/>
      <c r="AD239" s="7"/>
      <c r="AE239" s="10"/>
      <c r="AF239" s="10"/>
      <c r="AG239" s="10"/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Q239">
        <v>237</v>
      </c>
      <c r="AR239">
        <f t="shared" si="68"/>
        <v>-6.5356684201803237</v>
      </c>
      <c r="AS239">
        <f t="shared" si="69"/>
        <v>-10.064046815345089</v>
      </c>
    </row>
    <row r="240" spans="13:45" x14ac:dyDescent="0.25">
      <c r="M240" s="7"/>
      <c r="N240" s="7"/>
      <c r="O240" s="7"/>
      <c r="Q240" s="7"/>
      <c r="R240" s="7"/>
      <c r="S240" s="7"/>
      <c r="T240" s="7"/>
      <c r="U240" s="7"/>
      <c r="Y240" s="10"/>
      <c r="Z240" s="10"/>
      <c r="AA240" s="10"/>
      <c r="AB240" s="7"/>
      <c r="AC240" s="7"/>
      <c r="AD240" s="7"/>
      <c r="AE240" s="10"/>
      <c r="AF240" s="10"/>
      <c r="AG240" s="10"/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Q240">
        <v>238</v>
      </c>
      <c r="AR240">
        <f t="shared" si="68"/>
        <v>-6.3590311707984597</v>
      </c>
      <c r="AS240">
        <f t="shared" si="69"/>
        <v>-10.176577153877112</v>
      </c>
    </row>
    <row r="241" spans="13:45" x14ac:dyDescent="0.25">
      <c r="M241" s="7"/>
      <c r="N241" s="7"/>
      <c r="O241" s="7"/>
      <c r="Q241" s="7"/>
      <c r="R241" s="7"/>
      <c r="S241" s="7"/>
      <c r="T241" s="7"/>
      <c r="U241" s="7"/>
      <c r="Y241" s="10"/>
      <c r="Z241" s="10"/>
      <c r="AA241" s="10"/>
      <c r="AB241" s="7"/>
      <c r="AC241" s="7"/>
      <c r="AD241" s="7"/>
      <c r="AE241" s="10"/>
      <c r="AF241" s="10"/>
      <c r="AG241" s="10"/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Q241">
        <v>239</v>
      </c>
      <c r="AR241">
        <f t="shared" si="68"/>
        <v>-6.1804568989206539</v>
      </c>
      <c r="AS241">
        <f t="shared" si="69"/>
        <v>-10.286007608425345</v>
      </c>
    </row>
    <row r="242" spans="13:45" x14ac:dyDescent="0.25">
      <c r="M242" s="7"/>
      <c r="N242" s="7"/>
      <c r="O242" s="7"/>
      <c r="Q242" s="7"/>
      <c r="R242" s="7"/>
      <c r="S242" s="7"/>
      <c r="T242" s="7"/>
      <c r="U242" s="7"/>
      <c r="Y242" s="10"/>
      <c r="Z242" s="10"/>
      <c r="AA242" s="10"/>
      <c r="AB242" s="7"/>
      <c r="AC242" s="7"/>
      <c r="AD242" s="7"/>
      <c r="AE242" s="10"/>
      <c r="AF242" s="10"/>
      <c r="AG242" s="10"/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Q242">
        <v>240</v>
      </c>
      <c r="AR242">
        <f t="shared" si="68"/>
        <v>-6.0000000000000053</v>
      </c>
      <c r="AS242">
        <f t="shared" si="69"/>
        <v>-10.39230484541326</v>
      </c>
    </row>
    <row r="243" spans="13:45" x14ac:dyDescent="0.25">
      <c r="M243" s="7"/>
      <c r="N243" s="7"/>
      <c r="O243" s="7"/>
      <c r="Q243" s="7"/>
      <c r="R243" s="7"/>
      <c r="S243" s="7"/>
      <c r="T243" s="7"/>
      <c r="U243" s="7"/>
      <c r="Y243" s="10"/>
      <c r="Z243" s="10"/>
      <c r="AA243" s="10"/>
      <c r="AB243" s="7"/>
      <c r="AC243" s="7"/>
      <c r="AD243" s="7"/>
      <c r="AE243" s="10"/>
      <c r="AF243" s="10"/>
      <c r="AG243" s="10"/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Q243">
        <v>241</v>
      </c>
      <c r="AR243">
        <f t="shared" si="68"/>
        <v>-5.8177154429560423</v>
      </c>
      <c r="AS243">
        <f t="shared" si="69"/>
        <v>-10.495436485672752</v>
      </c>
    </row>
    <row r="244" spans="13:45" x14ac:dyDescent="0.25">
      <c r="M244" s="7"/>
      <c r="N244" s="7"/>
      <c r="O244" s="7"/>
      <c r="Q244" s="7"/>
      <c r="R244" s="7"/>
      <c r="S244" s="7"/>
      <c r="T244" s="7"/>
      <c r="U244" s="7"/>
      <c r="Y244" s="10"/>
      <c r="Z244" s="10"/>
      <c r="AA244" s="10"/>
      <c r="AB244" s="7"/>
      <c r="AC244" s="7"/>
      <c r="AD244" s="7"/>
      <c r="AE244" s="10"/>
      <c r="AF244" s="10"/>
      <c r="AG244" s="10"/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Q244">
        <v>242</v>
      </c>
      <c r="AR244">
        <f t="shared" si="68"/>
        <v>-5.633658753430689</v>
      </c>
      <c r="AS244">
        <f t="shared" si="69"/>
        <v>-10.595371114307124</v>
      </c>
    </row>
    <row r="245" spans="13:45" x14ac:dyDescent="0.25">
      <c r="M245" s="7"/>
      <c r="N245" s="7"/>
      <c r="O245" s="7"/>
      <c r="Q245" s="7"/>
      <c r="R245" s="7"/>
      <c r="S245" s="7"/>
      <c r="T245" s="7"/>
      <c r="U245" s="7"/>
      <c r="Y245" s="10"/>
      <c r="Z245" s="10"/>
      <c r="AA245" s="10"/>
      <c r="AB245" s="7"/>
      <c r="AC245" s="7"/>
      <c r="AD245" s="7"/>
      <c r="AE245" s="10"/>
      <c r="AF245" s="10"/>
      <c r="AG245" s="10"/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Q245">
        <v>243</v>
      </c>
      <c r="AR245">
        <f t="shared" si="68"/>
        <v>-5.4478859968745628</v>
      </c>
      <c r="AS245">
        <f t="shared" si="69"/>
        <v>-10.692078290260413</v>
      </c>
    </row>
    <row r="246" spans="13:45" x14ac:dyDescent="0.25">
      <c r="M246" s="7"/>
      <c r="N246" s="7"/>
      <c r="O246" s="7"/>
      <c r="Q246" s="7"/>
      <c r="R246" s="7"/>
      <c r="S246" s="7"/>
      <c r="T246" s="7"/>
      <c r="U246" s="7"/>
      <c r="Y246" s="10"/>
      <c r="Z246" s="10"/>
      <c r="AA246" s="10"/>
      <c r="AB246" s="7"/>
      <c r="AC246" s="7"/>
      <c r="AD246" s="7"/>
      <c r="AE246" s="10"/>
      <c r="AF246" s="10"/>
      <c r="AG246" s="10"/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Q246">
        <v>244</v>
      </c>
      <c r="AR246">
        <f t="shared" si="68"/>
        <v>-5.2604537614689324</v>
      </c>
      <c r="AS246">
        <f t="shared" si="69"/>
        <v>-10.785528555590002</v>
      </c>
    </row>
    <row r="247" spans="13:45" x14ac:dyDescent="0.25">
      <c r="M247" s="7"/>
      <c r="N247" s="7"/>
      <c r="O247" s="7"/>
      <c r="Q247" s="7"/>
      <c r="R247" s="7"/>
      <c r="S247" s="7"/>
      <c r="T247" s="7"/>
      <c r="U247" s="7"/>
      <c r="Y247" s="10"/>
      <c r="Z247" s="10"/>
      <c r="AA247" s="10"/>
      <c r="AB247" s="7"/>
      <c r="AC247" s="7"/>
      <c r="AD247" s="7"/>
      <c r="AE247" s="10"/>
      <c r="AF247" s="10"/>
      <c r="AG247" s="10"/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Q247">
        <v>245</v>
      </c>
      <c r="AR247">
        <f t="shared" si="68"/>
        <v>-5.0714191408883895</v>
      </c>
      <c r="AS247">
        <f t="shared" si="69"/>
        <v>-10.875693444439801</v>
      </c>
    </row>
    <row r="248" spans="13:45" x14ac:dyDescent="0.25">
      <c r="M248" s="7"/>
      <c r="N248" s="7"/>
      <c r="O248" s="7"/>
      <c r="Q248" s="7"/>
      <c r="R248" s="7"/>
      <c r="S248" s="7"/>
      <c r="T248" s="7"/>
      <c r="U248" s="7"/>
      <c r="Y248" s="10"/>
      <c r="Z248" s="10"/>
      <c r="AA248" s="10"/>
      <c r="AB248" s="7"/>
      <c r="AC248" s="7"/>
      <c r="AD248" s="7"/>
      <c r="AE248" s="10"/>
      <c r="AF248" s="10"/>
      <c r="AG248" s="10"/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Q248">
        <v>246</v>
      </c>
      <c r="AR248">
        <f t="shared" si="68"/>
        <v>-4.8808397169096009</v>
      </c>
      <c r="AS248">
        <f t="shared" si="69"/>
        <v>-10.962545491711211</v>
      </c>
    </row>
    <row r="249" spans="13:45" x14ac:dyDescent="0.25">
      <c r="M249" s="7"/>
      <c r="N249" s="7"/>
      <c r="O249" s="7"/>
      <c r="Q249" s="7"/>
      <c r="R249" s="7"/>
      <c r="S249" s="7"/>
      <c r="T249" s="7"/>
      <c r="U249" s="7"/>
      <c r="Y249" s="10"/>
      <c r="Z249" s="10"/>
      <c r="AA249" s="10"/>
      <c r="AB249" s="7"/>
      <c r="AC249" s="7"/>
      <c r="AD249" s="7"/>
      <c r="AE249" s="10"/>
      <c r="AF249" s="10"/>
      <c r="AG249" s="10"/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Q249">
        <v>247</v>
      </c>
      <c r="AR249">
        <f t="shared" si="68"/>
        <v>-4.6887735418712859</v>
      </c>
      <c r="AS249">
        <f t="shared" si="69"/>
        <v>-11.046058241429282</v>
      </c>
    </row>
    <row r="250" spans="13:45" x14ac:dyDescent="0.25">
      <c r="M250" s="7"/>
      <c r="N250" s="7"/>
      <c r="O250" s="7"/>
      <c r="Q250" s="7"/>
      <c r="R250" s="7"/>
      <c r="S250" s="7"/>
      <c r="T250" s="7"/>
      <c r="U250" s="7"/>
      <c r="Y250" s="10"/>
      <c r="Z250" s="10"/>
      <c r="AA250" s="10"/>
      <c r="AB250" s="7"/>
      <c r="AC250" s="7"/>
      <c r="AD250" s="7"/>
      <c r="AE250" s="10"/>
      <c r="AF250" s="10"/>
      <c r="AG250" s="10"/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Q250">
        <v>248</v>
      </c>
      <c r="AR250">
        <f t="shared" si="68"/>
        <v>-4.4952791209909471</v>
      </c>
      <c r="AS250">
        <f t="shared" si="69"/>
        <v>-11.126206254801447</v>
      </c>
    </row>
    <row r="251" spans="13:45" x14ac:dyDescent="0.25">
      <c r="M251" s="7"/>
      <c r="N251" s="7"/>
      <c r="O251" s="7"/>
      <c r="Q251" s="7"/>
      <c r="R251" s="7"/>
      <c r="S251" s="7"/>
      <c r="T251" s="7"/>
      <c r="U251" s="7"/>
      <c r="Y251" s="10"/>
      <c r="Z251" s="10"/>
      <c r="AA251" s="10"/>
      <c r="AB251" s="7"/>
      <c r="AC251" s="7"/>
      <c r="AD251" s="7"/>
      <c r="AE251" s="10"/>
      <c r="AF251" s="10"/>
      <c r="AG251" s="10"/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Q251">
        <v>249</v>
      </c>
      <c r="AR251">
        <f t="shared" si="68"/>
        <v>-4.3004153945436085</v>
      </c>
      <c r="AS251">
        <f t="shared" si="69"/>
        <v>-11.20296511796642</v>
      </c>
    </row>
    <row r="252" spans="13:45" x14ac:dyDescent="0.25">
      <c r="M252" s="7"/>
      <c r="N252" s="7"/>
      <c r="O252" s="7"/>
      <c r="Q252" s="7"/>
      <c r="R252" s="7"/>
      <c r="S252" s="7"/>
      <c r="T252" s="7"/>
      <c r="U252" s="7"/>
      <c r="Y252" s="10"/>
      <c r="Z252" s="10"/>
      <c r="AA252" s="10"/>
      <c r="AB252" s="7"/>
      <c r="AC252" s="7"/>
      <c r="AD252" s="7"/>
      <c r="AE252" s="10"/>
      <c r="AF252" s="10"/>
      <c r="AG252" s="10"/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Q252">
        <v>250</v>
      </c>
      <c r="AR252">
        <f t="shared" si="68"/>
        <v>-4.104241719908023</v>
      </c>
      <c r="AS252">
        <f t="shared" si="69"/>
        <v>-11.276311449430901</v>
      </c>
    </row>
    <row r="253" spans="13:45" x14ac:dyDescent="0.25">
      <c r="M253" s="7"/>
      <c r="N253" s="7"/>
      <c r="O253" s="7"/>
      <c r="Q253" s="7"/>
      <c r="R253" s="7"/>
      <c r="S253" s="7"/>
      <c r="T253" s="7"/>
      <c r="U253" s="7"/>
      <c r="Y253" s="10"/>
      <c r="Z253" s="10"/>
      <c r="AA253" s="10"/>
      <c r="AB253" s="7"/>
      <c r="AC253" s="7"/>
      <c r="AD253" s="7"/>
      <c r="AE253" s="10"/>
      <c r="AF253" s="10"/>
      <c r="AG253" s="10"/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Q253">
        <v>251</v>
      </c>
      <c r="AR253">
        <f t="shared" si="68"/>
        <v>-3.9068178534858795</v>
      </c>
      <c r="AS253">
        <f t="shared" si="69"/>
        <v>-11.346222907191802</v>
      </c>
    </row>
    <row r="254" spans="13:45" x14ac:dyDescent="0.25">
      <c r="M254" s="7"/>
      <c r="N254" s="7"/>
      <c r="O254" s="7"/>
      <c r="Q254" s="7"/>
      <c r="R254" s="7"/>
      <c r="S254" s="7"/>
      <c r="T254" s="7"/>
      <c r="U254" s="7"/>
      <c r="Y254" s="10"/>
      <c r="Z254" s="10"/>
      <c r="AA254" s="10"/>
      <c r="AB254" s="7"/>
      <c r="AC254" s="7"/>
      <c r="AD254" s="7"/>
      <c r="AE254" s="10"/>
      <c r="AF254" s="10"/>
      <c r="AG254" s="10"/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Q254">
        <v>252</v>
      </c>
      <c r="AR254">
        <f t="shared" si="68"/>
        <v>-3.7082039324993707</v>
      </c>
      <c r="AS254">
        <f t="shared" si="69"/>
        <v>-11.412678195541842</v>
      </c>
    </row>
    <row r="255" spans="13:45" x14ac:dyDescent="0.25">
      <c r="M255" s="7"/>
      <c r="N255" s="7"/>
      <c r="O255" s="7"/>
      <c r="Q255" s="7"/>
      <c r="R255" s="7"/>
      <c r="S255" s="7"/>
      <c r="T255" s="7"/>
      <c r="U255" s="7"/>
      <c r="Y255" s="10"/>
      <c r="Z255" s="10"/>
      <c r="AA255" s="10"/>
      <c r="AB255" s="7"/>
      <c r="AC255" s="7"/>
      <c r="AD255" s="7"/>
      <c r="AE255" s="10"/>
      <c r="AF255" s="10"/>
      <c r="AG255" s="10"/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Q255">
        <v>253</v>
      </c>
      <c r="AR255">
        <f t="shared" si="68"/>
        <v>-3.5084604566728452</v>
      </c>
      <c r="AS255">
        <f t="shared" si="69"/>
        <v>-11.475657071556423</v>
      </c>
    </row>
    <row r="256" spans="13:45" x14ac:dyDescent="0.25">
      <c r="M256" s="7"/>
      <c r="N256" s="7"/>
      <c r="O256" s="7"/>
      <c r="Q256" s="7"/>
      <c r="R256" s="7"/>
      <c r="S256" s="7"/>
      <c r="T256" s="7"/>
      <c r="U256" s="7"/>
      <c r="Y256" s="10"/>
      <c r="Z256" s="10"/>
      <c r="AA256" s="10"/>
      <c r="AB256" s="7"/>
      <c r="AC256" s="7"/>
      <c r="AD256" s="7"/>
      <c r="AE256" s="10"/>
      <c r="AF256" s="10"/>
      <c r="AG256" s="10"/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Q256">
        <v>254</v>
      </c>
      <c r="AR256">
        <f t="shared" si="68"/>
        <v>-3.3076482698039866</v>
      </c>
      <c r="AS256">
        <f t="shared" si="69"/>
        <v>-11.535140351259829</v>
      </c>
    </row>
    <row r="257" spans="13:45" x14ac:dyDescent="0.25">
      <c r="M257" s="7"/>
      <c r="N257" s="7"/>
      <c r="O257" s="7"/>
      <c r="Q257" s="7"/>
      <c r="R257" s="7"/>
      <c r="S257" s="7"/>
      <c r="T257" s="7"/>
      <c r="U257" s="7"/>
      <c r="Y257" s="10"/>
      <c r="Z257" s="10"/>
      <c r="AA257" s="10"/>
      <c r="AB257" s="7"/>
      <c r="AC257" s="7"/>
      <c r="AD257" s="7"/>
      <c r="AE257" s="10"/>
      <c r="AF257" s="10"/>
      <c r="AG257" s="10"/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Q257">
        <v>255</v>
      </c>
      <c r="AR257">
        <f t="shared" si="68"/>
        <v>-3.1058285412302475</v>
      </c>
      <c r="AS257">
        <f t="shared" si="69"/>
        <v>-11.59110991546882</v>
      </c>
    </row>
    <row r="258" spans="13:45" x14ac:dyDescent="0.25">
      <c r="M258" s="7"/>
      <c r="N258" s="7"/>
      <c r="O258" s="7"/>
      <c r="Q258" s="7"/>
      <c r="R258" s="7"/>
      <c r="S258" s="7"/>
      <c r="T258" s="7"/>
      <c r="U258" s="7"/>
      <c r="Y258" s="10"/>
      <c r="Z258" s="10"/>
      <c r="AA258" s="10"/>
      <c r="AB258" s="7"/>
      <c r="AC258" s="7"/>
      <c r="AD258" s="7"/>
      <c r="AE258" s="10"/>
      <c r="AF258" s="10"/>
      <c r="AG258" s="10"/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Q258">
        <v>256</v>
      </c>
      <c r="AR258">
        <f t="shared" si="68"/>
        <v>-2.9030627471960133</v>
      </c>
      <c r="AS258">
        <f t="shared" si="69"/>
        <v>-11.643548715311958</v>
      </c>
    </row>
    <row r="259" spans="13:45" x14ac:dyDescent="0.25">
      <c r="M259" s="7"/>
      <c r="N259" s="7"/>
      <c r="O259" s="7"/>
      <c r="Q259" s="7"/>
      <c r="R259" s="7"/>
      <c r="S259" s="7"/>
      <c r="T259" s="7"/>
      <c r="U259" s="7"/>
      <c r="Y259" s="10"/>
      <c r="Z259" s="10"/>
      <c r="AA259" s="10"/>
      <c r="AB259" s="7"/>
      <c r="AC259" s="7"/>
      <c r="AD259" s="7"/>
      <c r="AE259" s="10"/>
      <c r="AF259" s="10"/>
      <c r="AG259" s="10"/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Q259">
        <v>257</v>
      </c>
      <c r="AR259">
        <f t="shared" ref="AR259:AR322" si="72">$B$3*COS(RADIANS(AQ259))</f>
        <v>-2.6994126521263828</v>
      </c>
      <c r="AS259">
        <f t="shared" ref="AS259:AS322" si="73">$B$3*SIN(RADIANS(AQ259))</f>
        <v>-11.692440777422821</v>
      </c>
    </row>
    <row r="260" spans="13:45" x14ac:dyDescent="0.25">
      <c r="M260" s="7"/>
      <c r="N260" s="7"/>
      <c r="O260" s="7"/>
      <c r="Q260" s="7"/>
      <c r="R260" s="7"/>
      <c r="S260" s="7"/>
      <c r="T260" s="7"/>
      <c r="U260" s="7"/>
      <c r="Y260" s="10"/>
      <c r="Z260" s="10"/>
      <c r="AA260" s="10"/>
      <c r="AB260" s="7"/>
      <c r="AC260" s="7"/>
      <c r="AD260" s="7"/>
      <c r="AE260" s="10"/>
      <c r="AF260" s="10"/>
      <c r="AG260" s="10"/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Q260">
        <v>258</v>
      </c>
      <c r="AR260">
        <f t="shared" si="72"/>
        <v>-2.4949402898131172</v>
      </c>
      <c r="AS260">
        <f t="shared" si="73"/>
        <v>-11.737771208805666</v>
      </c>
    </row>
    <row r="261" spans="13:45" x14ac:dyDescent="0.25">
      <c r="M261" s="7"/>
      <c r="N261" s="7"/>
      <c r="O261" s="7"/>
      <c r="Q261" s="7"/>
      <c r="R261" s="7"/>
      <c r="S261" s="7"/>
      <c r="T261" s="7"/>
      <c r="U261" s="7"/>
      <c r="Y261" s="10"/>
      <c r="Z261" s="10"/>
      <c r="AA261" s="10"/>
      <c r="AB261" s="7"/>
      <c r="AC261" s="7"/>
      <c r="AD261" s="7"/>
      <c r="AE261" s="10"/>
      <c r="AF261" s="10"/>
      <c r="AG261" s="10"/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Q261">
        <v>259</v>
      </c>
      <c r="AR261">
        <f t="shared" si="72"/>
        <v>-2.2897079445185353</v>
      </c>
      <c r="AS261">
        <f t="shared" si="73"/>
        <v>-11.779526201371969</v>
      </c>
    </row>
    <row r="262" spans="13:45" x14ac:dyDescent="0.25">
      <c r="M262" s="9"/>
      <c r="AE262" s="10"/>
      <c r="AF262" s="10"/>
      <c r="AG262" s="10"/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Q262">
        <v>260</v>
      </c>
      <c r="AR262">
        <f t="shared" si="72"/>
        <v>-2.0837781320031641</v>
      </c>
      <c r="AS262">
        <f t="shared" si="73"/>
        <v>-11.817693036146496</v>
      </c>
    </row>
    <row r="263" spans="13:45" x14ac:dyDescent="0.25">
      <c r="M263" s="9"/>
      <c r="AE263" s="10"/>
      <c r="AF263" s="10"/>
      <c r="AG263" s="10"/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Q263">
        <v>261</v>
      </c>
      <c r="AR263">
        <f t="shared" si="72"/>
        <v>-1.8772135804827723</v>
      </c>
      <c r="AS263">
        <f t="shared" si="73"/>
        <v>-11.852260087141651</v>
      </c>
    </row>
    <row r="264" spans="13:45" x14ac:dyDescent="0.25">
      <c r="M264" s="9"/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Q264">
        <v>262</v>
      </c>
      <c r="AR264">
        <f t="shared" si="72"/>
        <v>-1.6700772115207898</v>
      </c>
      <c r="AS264">
        <f t="shared" si="73"/>
        <v>-11.883216824898843</v>
      </c>
    </row>
    <row r="265" spans="13:45" x14ac:dyDescent="0.25">
      <c r="M265" s="9"/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Q265">
        <v>263</v>
      </c>
      <c r="AR265">
        <f t="shared" si="72"/>
        <v>-1.4624321208617661</v>
      </c>
      <c r="AS265">
        <f t="shared" si="73"/>
        <v>-11.910553819695865</v>
      </c>
    </row>
    <row r="266" spans="13:45" x14ac:dyDescent="0.25">
      <c r="M266" s="9"/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Q266">
        <v>264</v>
      </c>
      <c r="AR266">
        <f t="shared" si="72"/>
        <v>-1.2543415592118403</v>
      </c>
      <c r="AS266">
        <f t="shared" si="73"/>
        <v>-11.93426274441928</v>
      </c>
    </row>
    <row r="267" spans="13:45" x14ac:dyDescent="0.25">
      <c r="M267" s="9"/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Q267">
        <v>265</v>
      </c>
      <c r="AR267">
        <f t="shared" si="72"/>
        <v>-1.045868912971899</v>
      </c>
      <c r="AS267">
        <f t="shared" si="73"/>
        <v>-11.954336377100947</v>
      </c>
    </row>
    <row r="268" spans="13:45" x14ac:dyDescent="0.25">
      <c r="M268" s="9"/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Q268">
        <v>266</v>
      </c>
      <c r="AR268">
        <f t="shared" si="72"/>
        <v>-0.83707768492950696</v>
      </c>
      <c r="AS268">
        <f t="shared" si="73"/>
        <v>-11.970768603117889</v>
      </c>
    </row>
    <row r="269" spans="13:45" x14ac:dyDescent="0.25">
      <c r="M269" s="9"/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Q269">
        <v>267</v>
      </c>
      <c r="AR269">
        <f t="shared" si="72"/>
        <v>-0.62803147491533173</v>
      </c>
      <c r="AS269">
        <f t="shared" si="73"/>
        <v>-11.983554417054886</v>
      </c>
    </row>
    <row r="270" spans="13:45" x14ac:dyDescent="0.25">
      <c r="M270" s="9"/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Q270">
        <v>268</v>
      </c>
      <c r="AR270">
        <f t="shared" si="72"/>
        <v>-0.41879396043000916</v>
      </c>
      <c r="AS270">
        <f t="shared" si="73"/>
        <v>-11.992689924229149</v>
      </c>
    </row>
    <row r="271" spans="13:45" x14ac:dyDescent="0.25">
      <c r="M271" s="9"/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Q271">
        <v>269</v>
      </c>
      <c r="AR271">
        <f t="shared" si="72"/>
        <v>-0.20942887724740197</v>
      </c>
      <c r="AS271">
        <f t="shared" si="73"/>
        <v>-11.998172341876696</v>
      </c>
    </row>
    <row r="272" spans="13:45" x14ac:dyDescent="0.25">
      <c r="M272" s="9"/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Q272">
        <v>270</v>
      </c>
      <c r="AR272">
        <f t="shared" si="72"/>
        <v>-2.205267218835516E-15</v>
      </c>
      <c r="AS272">
        <f t="shared" si="73"/>
        <v>-12</v>
      </c>
    </row>
    <row r="273" spans="13:45" x14ac:dyDescent="0.25">
      <c r="M273" s="9"/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Q273">
        <v>271</v>
      </c>
      <c r="AR273">
        <f t="shared" si="72"/>
        <v>0.20942887724739756</v>
      </c>
      <c r="AS273">
        <f t="shared" si="73"/>
        <v>-11.998172341876696</v>
      </c>
    </row>
    <row r="274" spans="13:45" x14ac:dyDescent="0.25">
      <c r="M274" s="9"/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Q274">
        <v>272</v>
      </c>
      <c r="AR274">
        <f t="shared" si="72"/>
        <v>0.41879396043001538</v>
      </c>
      <c r="AS274">
        <f t="shared" si="73"/>
        <v>-11.992689924229149</v>
      </c>
    </row>
    <row r="275" spans="13:45" x14ac:dyDescent="0.25">
      <c r="M275" s="9"/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Q275">
        <v>273</v>
      </c>
      <c r="AR275">
        <f t="shared" si="72"/>
        <v>0.62803147491532729</v>
      </c>
      <c r="AS275">
        <f t="shared" si="73"/>
        <v>-11.983554417054886</v>
      </c>
    </row>
    <row r="276" spans="13:45" x14ac:dyDescent="0.25">
      <c r="M276" s="9"/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Q276">
        <v>274</v>
      </c>
      <c r="AR276">
        <f t="shared" si="72"/>
        <v>0.83707768492950263</v>
      </c>
      <c r="AS276">
        <f t="shared" si="73"/>
        <v>-11.970768603117891</v>
      </c>
    </row>
    <row r="277" spans="13:45" x14ac:dyDescent="0.25">
      <c r="M277" s="9"/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Q277">
        <v>275</v>
      </c>
      <c r="AR277">
        <f t="shared" si="72"/>
        <v>1.0458689129718945</v>
      </c>
      <c r="AS277">
        <f t="shared" si="73"/>
        <v>-11.954336377100947</v>
      </c>
    </row>
    <row r="278" spans="13:45" x14ac:dyDescent="0.25">
      <c r="M278" s="9"/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Q278">
        <v>276</v>
      </c>
      <c r="AR278">
        <f t="shared" si="72"/>
        <v>1.2543415592118359</v>
      </c>
      <c r="AS278">
        <f t="shared" si="73"/>
        <v>-11.93426274441928</v>
      </c>
    </row>
    <row r="279" spans="13:45" x14ac:dyDescent="0.25">
      <c r="M279" s="9"/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Q279">
        <v>277</v>
      </c>
      <c r="AR279">
        <f t="shared" si="72"/>
        <v>1.4624321208617723</v>
      </c>
      <c r="AS279">
        <f t="shared" si="73"/>
        <v>-11.910553819695863</v>
      </c>
    </row>
    <row r="280" spans="13:45" x14ac:dyDescent="0.25">
      <c r="M280" s="9"/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Q280">
        <v>278</v>
      </c>
      <c r="AR280">
        <f t="shared" si="72"/>
        <v>1.6700772115207856</v>
      </c>
      <c r="AS280">
        <f t="shared" si="73"/>
        <v>-11.883216824898845</v>
      </c>
    </row>
    <row r="281" spans="13:45" x14ac:dyDescent="0.25">
      <c r="M281" s="9"/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Q281">
        <v>279</v>
      </c>
      <c r="AR281">
        <f t="shared" si="72"/>
        <v>1.8772135804827681</v>
      </c>
      <c r="AS281">
        <f t="shared" si="73"/>
        <v>-11.852260087141653</v>
      </c>
    </row>
    <row r="282" spans="13:45" x14ac:dyDescent="0.25">
      <c r="M282" s="9"/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Q282">
        <v>280</v>
      </c>
      <c r="AR282">
        <f t="shared" si="72"/>
        <v>2.0837781320031596</v>
      </c>
      <c r="AS282">
        <f t="shared" si="73"/>
        <v>-11.817693036146498</v>
      </c>
    </row>
    <row r="283" spans="13:45" x14ac:dyDescent="0.25">
      <c r="M283" s="9"/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Q283">
        <v>281</v>
      </c>
      <c r="AR283">
        <f t="shared" si="72"/>
        <v>2.2897079445185415</v>
      </c>
      <c r="AS283">
        <f t="shared" si="73"/>
        <v>-11.779526201371967</v>
      </c>
    </row>
    <row r="284" spans="13:45" x14ac:dyDescent="0.25">
      <c r="M284" s="9"/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Q284">
        <v>282</v>
      </c>
      <c r="AR284">
        <f t="shared" si="72"/>
        <v>2.4949402898131132</v>
      </c>
      <c r="AS284">
        <f t="shared" si="73"/>
        <v>-11.737771208805666</v>
      </c>
    </row>
    <row r="285" spans="13:45" x14ac:dyDescent="0.25">
      <c r="M285" s="9"/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Q285">
        <v>283</v>
      </c>
      <c r="AR285">
        <f t="shared" si="72"/>
        <v>2.6994126521263793</v>
      </c>
      <c r="AS285">
        <f t="shared" si="73"/>
        <v>-11.692440777422823</v>
      </c>
    </row>
    <row r="286" spans="13:45" x14ac:dyDescent="0.25">
      <c r="M286" s="9"/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Q286">
        <v>284</v>
      </c>
      <c r="AR286">
        <f t="shared" si="72"/>
        <v>2.9030627471960093</v>
      </c>
      <c r="AS286">
        <f t="shared" si="73"/>
        <v>-11.643548715311958</v>
      </c>
    </row>
    <row r="287" spans="13:45" x14ac:dyDescent="0.25">
      <c r="M287" s="9"/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Q287">
        <v>285</v>
      </c>
      <c r="AR287">
        <f t="shared" si="72"/>
        <v>3.1058285412302435</v>
      </c>
      <c r="AS287">
        <f t="shared" si="73"/>
        <v>-11.59110991546882</v>
      </c>
    </row>
    <row r="288" spans="13:45" x14ac:dyDescent="0.25">
      <c r="M288" s="9"/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Q288">
        <v>286</v>
      </c>
      <c r="AR288">
        <f t="shared" si="72"/>
        <v>3.3076482698039928</v>
      </c>
      <c r="AS288">
        <f t="shared" si="73"/>
        <v>-11.535140351259825</v>
      </c>
    </row>
    <row r="289" spans="13:45" x14ac:dyDescent="0.25">
      <c r="M289" s="9"/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Q289">
        <v>287</v>
      </c>
      <c r="AR289">
        <f t="shared" si="72"/>
        <v>3.5084604566728403</v>
      </c>
      <c r="AS289">
        <f t="shared" si="73"/>
        <v>-11.475657071556425</v>
      </c>
    </row>
    <row r="290" spans="13:45" x14ac:dyDescent="0.25">
      <c r="M290" s="9"/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Q290">
        <v>288</v>
      </c>
      <c r="AR290">
        <f t="shared" si="72"/>
        <v>3.7082039324993668</v>
      </c>
      <c r="AS290">
        <f t="shared" si="73"/>
        <v>-11.412678195541844</v>
      </c>
    </row>
    <row r="291" spans="13:45" x14ac:dyDescent="0.25">
      <c r="M291" s="9"/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Q291">
        <v>289</v>
      </c>
      <c r="AR291">
        <f t="shared" si="72"/>
        <v>3.906817853485876</v>
      </c>
      <c r="AS291">
        <f t="shared" si="73"/>
        <v>-11.346222907191803</v>
      </c>
    </row>
    <row r="292" spans="13:45" x14ac:dyDescent="0.25">
      <c r="M292" s="9"/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Q292">
        <v>290</v>
      </c>
      <c r="AR292">
        <f t="shared" si="72"/>
        <v>4.1042417199080283</v>
      </c>
      <c r="AS292">
        <f t="shared" si="73"/>
        <v>-11.276311449430899</v>
      </c>
    </row>
    <row r="293" spans="13:45" x14ac:dyDescent="0.25">
      <c r="M293" s="9"/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Q293">
        <v>291</v>
      </c>
      <c r="AR293">
        <f t="shared" si="72"/>
        <v>4.3004153945436041</v>
      </c>
      <c r="AS293">
        <f t="shared" si="73"/>
        <v>-11.202965117966421</v>
      </c>
    </row>
    <row r="294" spans="13:45" x14ac:dyDescent="0.25">
      <c r="M294" s="9"/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Q294">
        <v>292</v>
      </c>
      <c r="AR294">
        <f t="shared" si="72"/>
        <v>4.4952791209909435</v>
      </c>
      <c r="AS294">
        <f t="shared" si="73"/>
        <v>-11.126206254801449</v>
      </c>
    </row>
    <row r="295" spans="13:45" x14ac:dyDescent="0.25">
      <c r="M295" s="9"/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Q295">
        <v>293</v>
      </c>
      <c r="AR295">
        <f t="shared" si="72"/>
        <v>4.6887735418712815</v>
      </c>
      <c r="AS295">
        <f t="shared" si="73"/>
        <v>-11.046058241429286</v>
      </c>
    </row>
    <row r="296" spans="13:45" x14ac:dyDescent="0.25">
      <c r="M296" s="9"/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Q296">
        <v>294</v>
      </c>
      <c r="AR296">
        <f t="shared" si="72"/>
        <v>4.8808397169095974</v>
      </c>
      <c r="AS296">
        <f t="shared" si="73"/>
        <v>-10.962545491711213</v>
      </c>
    </row>
    <row r="297" spans="13:45" x14ac:dyDescent="0.25">
      <c r="M297" s="9"/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Q297">
        <v>295</v>
      </c>
      <c r="AR297">
        <f t="shared" si="72"/>
        <v>5.0714191408883948</v>
      </c>
      <c r="AS297">
        <f t="shared" si="73"/>
        <v>-10.875693444439799</v>
      </c>
    </row>
    <row r="298" spans="13:45" x14ac:dyDescent="0.25">
      <c r="M298" s="9"/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Q298">
        <v>296</v>
      </c>
      <c r="AR298">
        <f t="shared" si="72"/>
        <v>5.2604537614689288</v>
      </c>
      <c r="AS298">
        <f t="shared" si="73"/>
        <v>-10.785528555590005</v>
      </c>
    </row>
    <row r="299" spans="13:45" x14ac:dyDescent="0.25">
      <c r="M299" s="9"/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Q299">
        <v>297</v>
      </c>
      <c r="AR299">
        <f t="shared" si="72"/>
        <v>5.4478859968745592</v>
      </c>
      <c r="AS299">
        <f t="shared" si="73"/>
        <v>-10.692078290260415</v>
      </c>
    </row>
    <row r="300" spans="13:45" x14ac:dyDescent="0.25">
      <c r="M300" s="9"/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Q300">
        <v>298</v>
      </c>
      <c r="AR300">
        <f t="shared" si="72"/>
        <v>5.6336587534306855</v>
      </c>
      <c r="AS300">
        <f t="shared" si="73"/>
        <v>-10.595371114307126</v>
      </c>
    </row>
    <row r="301" spans="13:45" x14ac:dyDescent="0.25">
      <c r="M301" s="9"/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Q301">
        <v>299</v>
      </c>
      <c r="AR301">
        <f t="shared" si="72"/>
        <v>5.8177154429560476</v>
      </c>
      <c r="AS301">
        <f t="shared" si="73"/>
        <v>-10.495436485672748</v>
      </c>
    </row>
    <row r="302" spans="13:45" x14ac:dyDescent="0.25">
      <c r="M302" s="9"/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Q302">
        <v>300</v>
      </c>
      <c r="AR302">
        <f t="shared" si="72"/>
        <v>6.0000000000000018</v>
      </c>
      <c r="AS302">
        <f t="shared" si="73"/>
        <v>-10.392304845413264</v>
      </c>
    </row>
    <row r="303" spans="13:45" x14ac:dyDescent="0.25">
      <c r="M303" s="9"/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Q303">
        <v>301</v>
      </c>
      <c r="AR303">
        <f t="shared" si="72"/>
        <v>6.1804568989206494</v>
      </c>
      <c r="AS303">
        <f t="shared" si="73"/>
        <v>-10.286007608425347</v>
      </c>
    </row>
    <row r="304" spans="13:45" x14ac:dyDescent="0.25">
      <c r="M304" s="9"/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Q304">
        <v>302</v>
      </c>
      <c r="AR304">
        <f t="shared" si="72"/>
        <v>6.3590311707984561</v>
      </c>
      <c r="AS304">
        <f t="shared" si="73"/>
        <v>-10.176577153877114</v>
      </c>
    </row>
    <row r="305" spans="13:45" x14ac:dyDescent="0.25">
      <c r="M305" s="9"/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Q305">
        <v>303</v>
      </c>
      <c r="AR305">
        <f t="shared" si="72"/>
        <v>6.5356684201803201</v>
      </c>
      <c r="AS305">
        <f t="shared" si="73"/>
        <v>-10.06404681534509</v>
      </c>
    </row>
    <row r="306" spans="13:45" x14ac:dyDescent="0.25">
      <c r="M306" s="9"/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Q306">
        <v>304</v>
      </c>
      <c r="AR306">
        <f t="shared" si="72"/>
        <v>6.7103148416489642</v>
      </c>
      <c r="AS306">
        <f t="shared" si="73"/>
        <v>-9.9484508706604995</v>
      </c>
    </row>
    <row r="307" spans="13:45" x14ac:dyDescent="0.25">
      <c r="M307" s="9"/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Q307">
        <v>305</v>
      </c>
      <c r="AR307">
        <f t="shared" si="72"/>
        <v>6.8829172362125526</v>
      </c>
      <c r="AS307">
        <f t="shared" si="73"/>
        <v>-9.8298245314679011</v>
      </c>
    </row>
    <row r="308" spans="13:45" x14ac:dyDescent="0.25">
      <c r="M308" s="9"/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Q308">
        <v>306</v>
      </c>
      <c r="AR308">
        <f t="shared" si="72"/>
        <v>7.053423027509675</v>
      </c>
      <c r="AS308">
        <f t="shared" si="73"/>
        <v>-9.7082039324993712</v>
      </c>
    </row>
    <row r="309" spans="13:45" x14ac:dyDescent="0.25">
      <c r="M309" s="9"/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Q309">
        <v>307</v>
      </c>
      <c r="AR309">
        <f t="shared" si="72"/>
        <v>7.2217802778245748</v>
      </c>
      <c r="AS309">
        <f t="shared" si="73"/>
        <v>-9.5836261205675157</v>
      </c>
    </row>
    <row r="310" spans="13:45" x14ac:dyDescent="0.25">
      <c r="M310" s="9"/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Q310">
        <v>308</v>
      </c>
      <c r="AR310">
        <f t="shared" si="72"/>
        <v>7.3879377039079017</v>
      </c>
      <c r="AS310">
        <f t="shared" si="73"/>
        <v>-9.4561290432806615</v>
      </c>
    </row>
    <row r="311" spans="13:45" x14ac:dyDescent="0.25">
      <c r="M311" s="9"/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Q311">
        <v>309</v>
      </c>
      <c r="AR311">
        <f t="shared" si="72"/>
        <v>7.55184469259805</v>
      </c>
      <c r="AS311">
        <f t="shared" si="73"/>
        <v>-9.325751537483649</v>
      </c>
    </row>
    <row r="312" spans="13:45" x14ac:dyDescent="0.25">
      <c r="M312" s="9"/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Q312">
        <v>310</v>
      </c>
      <c r="AR312">
        <f t="shared" si="72"/>
        <v>7.713451316238471</v>
      </c>
      <c r="AS312">
        <f t="shared" si="73"/>
        <v>-9.1925333174277384</v>
      </c>
    </row>
    <row r="313" spans="13:45" x14ac:dyDescent="0.25">
      <c r="M313" s="9"/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Q313">
        <v>311</v>
      </c>
      <c r="AR313">
        <f t="shared" si="72"/>
        <v>7.8727083478860846</v>
      </c>
      <c r="AS313">
        <f t="shared" si="73"/>
        <v>-9.0565149626732673</v>
      </c>
    </row>
    <row r="314" spans="13:45" x14ac:dyDescent="0.25">
      <c r="M314" s="9"/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Q314">
        <v>312</v>
      </c>
      <c r="AR314">
        <f t="shared" si="72"/>
        <v>8.0295672763062935</v>
      </c>
      <c r="AS314">
        <f t="shared" si="73"/>
        <v>-8.9177379057287354</v>
      </c>
    </row>
    <row r="315" spans="13:45" x14ac:dyDescent="0.25">
      <c r="M315" s="9"/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Q315">
        <v>313</v>
      </c>
      <c r="AR315">
        <f t="shared" si="72"/>
        <v>8.1839803207499831</v>
      </c>
      <c r="AS315">
        <f t="shared" si="73"/>
        <v>-8.7762444194300446</v>
      </c>
    </row>
    <row r="316" spans="13:45" x14ac:dyDescent="0.25">
      <c r="M316" s="9"/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Q316">
        <v>314</v>
      </c>
      <c r="AR316">
        <f t="shared" si="72"/>
        <v>8.335900445507967</v>
      </c>
      <c r="AS316">
        <f t="shared" si="73"/>
        <v>-8.6320776040638147</v>
      </c>
    </row>
    <row r="317" spans="13:45" x14ac:dyDescent="0.25">
      <c r="M317" s="9"/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Q317">
        <v>315</v>
      </c>
      <c r="AR317">
        <f t="shared" si="72"/>
        <v>8.4852813742385678</v>
      </c>
      <c r="AS317">
        <f t="shared" si="73"/>
        <v>-8.4852813742385713</v>
      </c>
    </row>
    <row r="318" spans="13:45" x14ac:dyDescent="0.25">
      <c r="M318" s="9"/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Q318">
        <v>316</v>
      </c>
      <c r="AR318">
        <f t="shared" si="72"/>
        <v>8.6320776040638094</v>
      </c>
      <c r="AS318">
        <f t="shared" si="73"/>
        <v>-8.3359004455079706</v>
      </c>
    </row>
    <row r="319" spans="13:45" x14ac:dyDescent="0.25">
      <c r="M319" s="9"/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Q319">
        <v>317</v>
      </c>
      <c r="AR319">
        <f t="shared" si="72"/>
        <v>8.7762444194300482</v>
      </c>
      <c r="AS319">
        <f t="shared" si="73"/>
        <v>-8.1839803207499795</v>
      </c>
    </row>
    <row r="320" spans="13:45" x14ac:dyDescent="0.25">
      <c r="M320" s="9"/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Q320">
        <v>318</v>
      </c>
      <c r="AR320">
        <f t="shared" si="72"/>
        <v>8.9177379057287318</v>
      </c>
      <c r="AS320">
        <f t="shared" si="73"/>
        <v>-8.0295672763062971</v>
      </c>
    </row>
    <row r="321" spans="13:45" x14ac:dyDescent="0.25">
      <c r="M321" s="9"/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Q321">
        <v>319</v>
      </c>
      <c r="AR321">
        <f t="shared" si="72"/>
        <v>9.0565149626732619</v>
      </c>
      <c r="AS321">
        <f t="shared" si="73"/>
        <v>-7.8727083478860891</v>
      </c>
    </row>
    <row r="322" spans="13:45" x14ac:dyDescent="0.25">
      <c r="M322" s="9"/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Q322">
        <v>320</v>
      </c>
      <c r="AR322">
        <f t="shared" si="72"/>
        <v>9.1925333174277331</v>
      </c>
      <c r="AS322">
        <f t="shared" si="73"/>
        <v>-7.7134513162384746</v>
      </c>
    </row>
    <row r="323" spans="13:45" x14ac:dyDescent="0.25">
      <c r="M323" s="9"/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Q323">
        <v>321</v>
      </c>
      <c r="AR323">
        <f t="shared" ref="AR323:AR362" si="74">$B$3*COS(RADIANS(AQ323))</f>
        <v>9.3257515374836473</v>
      </c>
      <c r="AS323">
        <f t="shared" ref="AS323:AS362" si="75">$B$3*SIN(RADIANS(AQ323))</f>
        <v>-7.5518446925980545</v>
      </c>
    </row>
    <row r="324" spans="13:45" x14ac:dyDescent="0.25">
      <c r="M324" s="9"/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Q324">
        <v>322</v>
      </c>
      <c r="AR324">
        <f t="shared" si="74"/>
        <v>9.4561290432806651</v>
      </c>
      <c r="AS324">
        <f t="shared" si="75"/>
        <v>-7.3879377039078982</v>
      </c>
    </row>
    <row r="325" spans="13:45" x14ac:dyDescent="0.25">
      <c r="M325" s="9"/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Q325">
        <v>323</v>
      </c>
      <c r="AR325">
        <f t="shared" si="74"/>
        <v>9.583626120567514</v>
      </c>
      <c r="AS325">
        <f t="shared" si="75"/>
        <v>-7.2217802778245792</v>
      </c>
    </row>
    <row r="326" spans="13:45" x14ac:dyDescent="0.25">
      <c r="M326" s="9"/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Q326">
        <v>324</v>
      </c>
      <c r="AR326">
        <f t="shared" si="74"/>
        <v>9.7082039324993676</v>
      </c>
      <c r="AS326">
        <f t="shared" si="75"/>
        <v>-7.0534230275096803</v>
      </c>
    </row>
    <row r="327" spans="13:45" x14ac:dyDescent="0.25">
      <c r="M327" s="9"/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Q327">
        <v>325</v>
      </c>
      <c r="AR327">
        <f t="shared" si="74"/>
        <v>9.8298245314678994</v>
      </c>
      <c r="AS327">
        <f t="shared" si="75"/>
        <v>-6.8829172362125579</v>
      </c>
    </row>
    <row r="328" spans="13:45" x14ac:dyDescent="0.25">
      <c r="M328" s="9"/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Q328">
        <v>326</v>
      </c>
      <c r="AR328">
        <f t="shared" si="74"/>
        <v>9.9484508706605013</v>
      </c>
      <c r="AS328">
        <f t="shared" si="75"/>
        <v>-6.7103148416489589</v>
      </c>
    </row>
    <row r="329" spans="13:45" x14ac:dyDescent="0.25">
      <c r="M329" s="9"/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Q329">
        <v>327</v>
      </c>
      <c r="AR329">
        <f t="shared" si="74"/>
        <v>10.064046815345089</v>
      </c>
      <c r="AS329">
        <f t="shared" si="75"/>
        <v>-6.5356684201803237</v>
      </c>
    </row>
    <row r="330" spans="13:45" x14ac:dyDescent="0.25">
      <c r="M330" s="9"/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Q330">
        <v>328</v>
      </c>
      <c r="AR330">
        <f t="shared" si="74"/>
        <v>10.176577153877112</v>
      </c>
      <c r="AS330">
        <f t="shared" si="75"/>
        <v>-6.3590311707984597</v>
      </c>
    </row>
    <row r="331" spans="13:45" x14ac:dyDescent="0.25">
      <c r="M331" s="9"/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Q331">
        <v>329</v>
      </c>
      <c r="AR331">
        <f t="shared" si="74"/>
        <v>10.286007608425345</v>
      </c>
      <c r="AS331">
        <f t="shared" si="75"/>
        <v>-6.1804568989206539</v>
      </c>
    </row>
    <row r="332" spans="13:45" x14ac:dyDescent="0.25">
      <c r="M332" s="9"/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Q332">
        <v>330</v>
      </c>
      <c r="AR332">
        <f t="shared" si="74"/>
        <v>10.39230484541326</v>
      </c>
      <c r="AS332">
        <f t="shared" si="75"/>
        <v>-6.0000000000000053</v>
      </c>
    </row>
    <row r="333" spans="13:45" x14ac:dyDescent="0.25">
      <c r="M333" s="9"/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Q333">
        <v>331</v>
      </c>
      <c r="AR333">
        <f t="shared" si="74"/>
        <v>10.49543648567275</v>
      </c>
      <c r="AS333">
        <f t="shared" si="75"/>
        <v>-5.8177154429560431</v>
      </c>
    </row>
    <row r="334" spans="13:45" x14ac:dyDescent="0.25">
      <c r="M334" s="9"/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Q334">
        <v>332</v>
      </c>
      <c r="AR334">
        <f t="shared" si="74"/>
        <v>10.595371114307122</v>
      </c>
      <c r="AS334">
        <f t="shared" si="75"/>
        <v>-5.6336587534306899</v>
      </c>
    </row>
    <row r="335" spans="13:45" x14ac:dyDescent="0.25">
      <c r="M335" s="9"/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Q335">
        <v>333</v>
      </c>
      <c r="AR335">
        <f t="shared" si="74"/>
        <v>10.692078290260413</v>
      </c>
      <c r="AS335">
        <f t="shared" si="75"/>
        <v>-5.4478859968745637</v>
      </c>
    </row>
    <row r="336" spans="13:45" x14ac:dyDescent="0.25">
      <c r="M336" s="9"/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Q336">
        <v>334</v>
      </c>
      <c r="AR336">
        <f t="shared" si="74"/>
        <v>10.785528555590002</v>
      </c>
      <c r="AS336">
        <f t="shared" si="75"/>
        <v>-5.2604537614689333</v>
      </c>
    </row>
    <row r="337" spans="13:45" x14ac:dyDescent="0.25">
      <c r="M337" s="9"/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Q337">
        <v>335</v>
      </c>
      <c r="AR337">
        <f t="shared" si="74"/>
        <v>10.875693444439801</v>
      </c>
      <c r="AS337">
        <f t="shared" si="75"/>
        <v>-5.0714191408883904</v>
      </c>
    </row>
    <row r="338" spans="13:45" x14ac:dyDescent="0.25">
      <c r="M338" s="9"/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Q338">
        <v>336</v>
      </c>
      <c r="AR338">
        <f t="shared" si="74"/>
        <v>10.962545491711211</v>
      </c>
      <c r="AS338">
        <f t="shared" si="75"/>
        <v>-4.8808397169096018</v>
      </c>
    </row>
    <row r="339" spans="13:45" x14ac:dyDescent="0.25">
      <c r="M339" s="9"/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Q339">
        <v>337</v>
      </c>
      <c r="AR339">
        <f t="shared" si="74"/>
        <v>11.046058241429282</v>
      </c>
      <c r="AS339">
        <f t="shared" si="75"/>
        <v>-4.6887735418712868</v>
      </c>
    </row>
    <row r="340" spans="13:45" x14ac:dyDescent="0.25">
      <c r="M340" s="9"/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Q340">
        <v>338</v>
      </c>
      <c r="AR340">
        <f t="shared" si="74"/>
        <v>11.126206254801447</v>
      </c>
      <c r="AS340">
        <f t="shared" si="75"/>
        <v>-4.495279120990948</v>
      </c>
    </row>
    <row r="341" spans="13:45" x14ac:dyDescent="0.25">
      <c r="M341" s="9"/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Q341">
        <v>339</v>
      </c>
      <c r="AR341">
        <f t="shared" si="74"/>
        <v>11.202965117966418</v>
      </c>
      <c r="AS341">
        <f t="shared" si="75"/>
        <v>-4.3004153945436094</v>
      </c>
    </row>
    <row r="342" spans="13:45" x14ac:dyDescent="0.25">
      <c r="M342" s="9"/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Q342">
        <v>340</v>
      </c>
      <c r="AR342">
        <f t="shared" si="74"/>
        <v>11.276311449430901</v>
      </c>
      <c r="AS342">
        <f t="shared" si="75"/>
        <v>-4.104241719908023</v>
      </c>
    </row>
    <row r="343" spans="13:45" x14ac:dyDescent="0.25">
      <c r="M343" s="9"/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Q343">
        <v>341</v>
      </c>
      <c r="AR343">
        <f t="shared" si="74"/>
        <v>11.346222907191802</v>
      </c>
      <c r="AS343">
        <f t="shared" si="75"/>
        <v>-3.9068178534858804</v>
      </c>
    </row>
    <row r="344" spans="13:45" x14ac:dyDescent="0.25">
      <c r="M344" s="9"/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Q344">
        <v>342</v>
      </c>
      <c r="AR344">
        <f t="shared" si="74"/>
        <v>11.412678195541842</v>
      </c>
      <c r="AS344">
        <f t="shared" si="75"/>
        <v>-3.7082039324993712</v>
      </c>
    </row>
    <row r="345" spans="13:45" x14ac:dyDescent="0.25">
      <c r="M345" s="9"/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Q345">
        <v>343</v>
      </c>
      <c r="AR345">
        <f t="shared" si="74"/>
        <v>11.475657071556423</v>
      </c>
      <c r="AS345">
        <f t="shared" si="75"/>
        <v>-3.5084604566728457</v>
      </c>
    </row>
    <row r="346" spans="13:45" x14ac:dyDescent="0.25">
      <c r="M346" s="9"/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Q346">
        <v>344</v>
      </c>
      <c r="AR346">
        <f t="shared" si="74"/>
        <v>11.535140351259827</v>
      </c>
      <c r="AS346">
        <f t="shared" si="75"/>
        <v>-3.3076482698039875</v>
      </c>
    </row>
    <row r="347" spans="13:45" x14ac:dyDescent="0.25">
      <c r="M347" s="9"/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Q347">
        <v>345</v>
      </c>
      <c r="AR347">
        <f t="shared" si="74"/>
        <v>11.59110991546882</v>
      </c>
      <c r="AS347">
        <f t="shared" si="75"/>
        <v>-3.105828541230248</v>
      </c>
    </row>
    <row r="348" spans="13:45" x14ac:dyDescent="0.25">
      <c r="M348" s="9"/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Q348">
        <v>346</v>
      </c>
      <c r="AR348">
        <f t="shared" si="74"/>
        <v>11.643548715311958</v>
      </c>
      <c r="AS348">
        <f t="shared" si="75"/>
        <v>-2.9030627471960146</v>
      </c>
    </row>
    <row r="349" spans="13:45" x14ac:dyDescent="0.25">
      <c r="M349" s="9"/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Q349">
        <v>347</v>
      </c>
      <c r="AR349">
        <f t="shared" si="74"/>
        <v>11.692440777422821</v>
      </c>
      <c r="AS349">
        <f t="shared" si="75"/>
        <v>-2.6994126521263841</v>
      </c>
    </row>
    <row r="350" spans="13:45" x14ac:dyDescent="0.25">
      <c r="M350" s="9"/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Q350">
        <v>348</v>
      </c>
      <c r="AR350">
        <f t="shared" si="74"/>
        <v>11.737771208805666</v>
      </c>
      <c r="AS350">
        <f t="shared" si="75"/>
        <v>-2.4949402898131186</v>
      </c>
    </row>
    <row r="351" spans="13:45" x14ac:dyDescent="0.25">
      <c r="M351" s="9"/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Q351">
        <v>349</v>
      </c>
      <c r="AR351">
        <f t="shared" si="74"/>
        <v>11.779526201371969</v>
      </c>
      <c r="AS351">
        <f t="shared" si="75"/>
        <v>-2.2897079445185362</v>
      </c>
    </row>
    <row r="352" spans="13:45" x14ac:dyDescent="0.25">
      <c r="M352" s="9"/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Q352">
        <v>350</v>
      </c>
      <c r="AR352">
        <f t="shared" si="74"/>
        <v>11.817693036146496</v>
      </c>
      <c r="AS352">
        <f t="shared" si="75"/>
        <v>-2.0837781320031645</v>
      </c>
    </row>
    <row r="353" spans="13:45" x14ac:dyDescent="0.25">
      <c r="M353" s="9"/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Q353">
        <v>351</v>
      </c>
      <c r="AR353">
        <f t="shared" si="74"/>
        <v>11.852260087141651</v>
      </c>
      <c r="AS353">
        <f t="shared" si="75"/>
        <v>-1.8772135804827734</v>
      </c>
    </row>
    <row r="354" spans="13:45" x14ac:dyDescent="0.25">
      <c r="M354" s="9"/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Q354">
        <v>352</v>
      </c>
      <c r="AR354">
        <f t="shared" si="74"/>
        <v>11.883216824898843</v>
      </c>
      <c r="AS354">
        <f t="shared" si="75"/>
        <v>-1.6700772115207907</v>
      </c>
    </row>
    <row r="355" spans="13:45" x14ac:dyDescent="0.25">
      <c r="M355" s="9"/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Q355">
        <v>353</v>
      </c>
      <c r="AR355">
        <f t="shared" si="74"/>
        <v>11.910553819695865</v>
      </c>
      <c r="AS355">
        <f t="shared" si="75"/>
        <v>-1.4624321208617668</v>
      </c>
    </row>
    <row r="356" spans="13:45" x14ac:dyDescent="0.25">
      <c r="M356" s="9"/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Q356">
        <v>354</v>
      </c>
      <c r="AR356">
        <f t="shared" si="74"/>
        <v>11.934262744419279</v>
      </c>
      <c r="AS356">
        <f t="shared" si="75"/>
        <v>-1.254341559211841</v>
      </c>
    </row>
    <row r="357" spans="13:45" x14ac:dyDescent="0.25">
      <c r="M357" s="9"/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Q357">
        <v>355</v>
      </c>
      <c r="AR357">
        <f t="shared" si="74"/>
        <v>11.954336377100947</v>
      </c>
      <c r="AS357">
        <f t="shared" si="75"/>
        <v>-1.0458689129718999</v>
      </c>
    </row>
    <row r="358" spans="13:45" x14ac:dyDescent="0.25">
      <c r="M358" s="9"/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Q358">
        <v>356</v>
      </c>
      <c r="AR358">
        <f t="shared" si="74"/>
        <v>11.970768603117889</v>
      </c>
      <c r="AS358">
        <f t="shared" si="75"/>
        <v>-0.83707768492950763</v>
      </c>
    </row>
    <row r="359" spans="13:45" x14ac:dyDescent="0.25">
      <c r="M359" s="9"/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Q359">
        <v>357</v>
      </c>
      <c r="AR359">
        <f t="shared" si="74"/>
        <v>11.983554417054886</v>
      </c>
      <c r="AS359">
        <f t="shared" si="75"/>
        <v>-0.6280314749153324</v>
      </c>
    </row>
    <row r="360" spans="13:45" x14ac:dyDescent="0.25">
      <c r="M360" s="9"/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Q360">
        <v>358</v>
      </c>
      <c r="AR360">
        <f t="shared" si="74"/>
        <v>11.992689924229149</v>
      </c>
      <c r="AS360">
        <f t="shared" si="75"/>
        <v>-0.41879396043000988</v>
      </c>
    </row>
    <row r="361" spans="13:45" x14ac:dyDescent="0.25">
      <c r="M361" s="9"/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Q361">
        <v>359</v>
      </c>
      <c r="AR361">
        <f t="shared" si="74"/>
        <v>11.998172341876696</v>
      </c>
      <c r="AS361">
        <f t="shared" si="75"/>
        <v>-0.20942887724740272</v>
      </c>
    </row>
    <row r="362" spans="13:45" x14ac:dyDescent="0.25">
      <c r="M362" s="9"/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Q362">
        <v>360</v>
      </c>
      <c r="AR362">
        <f t="shared" si="74"/>
        <v>12</v>
      </c>
      <c r="AS362">
        <f t="shared" si="75"/>
        <v>-2.940356291780688E-15</v>
      </c>
    </row>
  </sheetData>
  <dataValidations disablePrompts="1"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rent_na">
                <anchor moveWithCells="1" sizeWithCells="1">
                  <from>
                    <xdr:col>4</xdr:col>
                    <xdr:colOff>228600</xdr:colOff>
                    <xdr:row>3</xdr:row>
                    <xdr:rowOff>28575</xdr:rowOff>
                  </from>
                  <to>
                    <xdr:col>6</xdr:col>
                    <xdr:colOff>390525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bar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p_m_curve_plusminus">
                <anchor moveWithCells="1" sizeWithCells="1">
                  <from>
                    <xdr:col>32</xdr:col>
                    <xdr:colOff>95250</xdr:colOff>
                    <xdr:row>4</xdr:row>
                    <xdr:rowOff>190500</xdr:rowOff>
                  </from>
                  <to>
                    <xdr:col>34</xdr:col>
                    <xdr:colOff>504825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</vt:vector>
  </HeadingPairs>
  <TitlesOfParts>
    <vt:vector size="5" baseType="lpstr">
      <vt:lpstr>circle_section</vt:lpstr>
      <vt:lpstr>Mx_vs_My</vt:lpstr>
      <vt:lpstr>P_M_Curve_Load_Side</vt:lpstr>
      <vt:lpstr>P_M_Curve_Full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2020-12-08T14:03:57Z</dcterms:modified>
</cp:coreProperties>
</file>