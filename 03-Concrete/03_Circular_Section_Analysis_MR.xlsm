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e6b96fae790869d/Work/In_Development/"/>
    </mc:Choice>
  </mc:AlternateContent>
  <xr:revisionPtr revIDLastSave="697512" documentId="114_{1C343C16-8EA1-436B-9AC3-457546D8BE82}" xr6:coauthVersionLast="45" xr6:coauthVersionMax="45" xr10:uidLastSave="{3A461280-79EA-4018-B8E9-99BC7A40DB4E}"/>
  <bookViews>
    <workbookView xWindow="420" yWindow="435" windowWidth="25935" windowHeight="16815" xr2:uid="{95B8903A-7944-4A5B-B8CD-C02474F51CAC}"/>
  </bookViews>
  <sheets>
    <sheet name="circle_section" sheetId="1" r:id="rId1"/>
    <sheet name="Mx_vs_My" sheetId="4" r:id="rId2"/>
    <sheet name="P_M_Curve_Load_Side" sheetId="2" r:id="rId3"/>
    <sheet name="P_M_Curve_Full" sheetId="5" r:id="rId4"/>
    <sheet name="P_M_Curve (Whitney vs PCA)" sheetId="3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130" i="1" l="1"/>
  <c r="BP105" i="1" l="1"/>
  <c r="BS104" i="1"/>
  <c r="BW3" i="1"/>
  <c r="BW4" i="1"/>
  <c r="BW5" i="1"/>
  <c r="BW6" i="1"/>
  <c r="BW7" i="1"/>
  <c r="BW8" i="1"/>
  <c r="BW9" i="1"/>
  <c r="BW10" i="1"/>
  <c r="BW11" i="1"/>
  <c r="BW12" i="1"/>
  <c r="BW13" i="1"/>
  <c r="BW14" i="1"/>
  <c r="BW15" i="1"/>
  <c r="BW16" i="1"/>
  <c r="BW17" i="1"/>
  <c r="BW18" i="1"/>
  <c r="BW19" i="1"/>
  <c r="BW20" i="1"/>
  <c r="BW21" i="1"/>
  <c r="BW22" i="1"/>
  <c r="BW23" i="1"/>
  <c r="BW24" i="1"/>
  <c r="BW25" i="1"/>
  <c r="BW26" i="1"/>
  <c r="BW27" i="1"/>
  <c r="BW28" i="1"/>
  <c r="BW29" i="1"/>
  <c r="BW30" i="1"/>
  <c r="BW31" i="1"/>
  <c r="BW32" i="1"/>
  <c r="BW33" i="1"/>
  <c r="BW34" i="1"/>
  <c r="BW35" i="1"/>
  <c r="BW36" i="1"/>
  <c r="BW37" i="1"/>
  <c r="BW38" i="1"/>
  <c r="BW39" i="1"/>
  <c r="BW40" i="1"/>
  <c r="BW41" i="1"/>
  <c r="BW42" i="1"/>
  <c r="BW43" i="1"/>
  <c r="BW44" i="1"/>
  <c r="BW45" i="1"/>
  <c r="BW46" i="1"/>
  <c r="BW47" i="1"/>
  <c r="BW48" i="1"/>
  <c r="BW49" i="1"/>
  <c r="BW50" i="1"/>
  <c r="BW51" i="1"/>
  <c r="BW52" i="1"/>
  <c r="BW53" i="1"/>
  <c r="BW54" i="1"/>
  <c r="BW55" i="1"/>
  <c r="BW56" i="1"/>
  <c r="BW57" i="1"/>
  <c r="BW58" i="1"/>
  <c r="BW59" i="1"/>
  <c r="BW60" i="1"/>
  <c r="BW61" i="1"/>
  <c r="BW62" i="1"/>
  <c r="BW63" i="1"/>
  <c r="BW64" i="1"/>
  <c r="BW65" i="1"/>
  <c r="BW66" i="1"/>
  <c r="BW67" i="1"/>
  <c r="BW68" i="1"/>
  <c r="BW69" i="1"/>
  <c r="BW70" i="1"/>
  <c r="BW71" i="1"/>
  <c r="BW72" i="1"/>
  <c r="BW73" i="1"/>
  <c r="BW74" i="1"/>
  <c r="BW75" i="1"/>
  <c r="BW76" i="1"/>
  <c r="BW77" i="1"/>
  <c r="BS3" i="1"/>
  <c r="BS4" i="1"/>
  <c r="BS5" i="1"/>
  <c r="BS6" i="1"/>
  <c r="BS7" i="1"/>
  <c r="BS8" i="1"/>
  <c r="BS9" i="1"/>
  <c r="BS10" i="1"/>
  <c r="BS11" i="1"/>
  <c r="BS12" i="1"/>
  <c r="BS13" i="1"/>
  <c r="BS14" i="1"/>
  <c r="BS15" i="1"/>
  <c r="BS16" i="1"/>
  <c r="BS17" i="1"/>
  <c r="BS18" i="1"/>
  <c r="BS19" i="1"/>
  <c r="BS20" i="1"/>
  <c r="BS21" i="1"/>
  <c r="BS22" i="1"/>
  <c r="BS23" i="1"/>
  <c r="BS24" i="1"/>
  <c r="BS25" i="1"/>
  <c r="BS26" i="1"/>
  <c r="BS27" i="1"/>
  <c r="BS28" i="1"/>
  <c r="BS29" i="1"/>
  <c r="BS30" i="1"/>
  <c r="BS31" i="1"/>
  <c r="BS32" i="1"/>
  <c r="BS33" i="1"/>
  <c r="BS34" i="1"/>
  <c r="BS35" i="1"/>
  <c r="BS36" i="1"/>
  <c r="BS37" i="1"/>
  <c r="BS38" i="1"/>
  <c r="BS39" i="1"/>
  <c r="BS40" i="1"/>
  <c r="BS41" i="1"/>
  <c r="BS42" i="1"/>
  <c r="BS43" i="1"/>
  <c r="BS44" i="1"/>
  <c r="BS45" i="1"/>
  <c r="BS46" i="1"/>
  <c r="BS47" i="1"/>
  <c r="BS48" i="1"/>
  <c r="BS49" i="1"/>
  <c r="BS50" i="1"/>
  <c r="BS51" i="1"/>
  <c r="BS52" i="1"/>
  <c r="BS53" i="1"/>
  <c r="BS54" i="1"/>
  <c r="BS55" i="1"/>
  <c r="BS56" i="1"/>
  <c r="BS57" i="1"/>
  <c r="BS58" i="1"/>
  <c r="BS59" i="1"/>
  <c r="BS60" i="1"/>
  <c r="BS61" i="1"/>
  <c r="BS62" i="1"/>
  <c r="BS63" i="1"/>
  <c r="BS64" i="1"/>
  <c r="BS65" i="1"/>
  <c r="BS66" i="1"/>
  <c r="BS67" i="1"/>
  <c r="BS68" i="1"/>
  <c r="BS69" i="1"/>
  <c r="BS70" i="1"/>
  <c r="BS71" i="1"/>
  <c r="BS72" i="1"/>
  <c r="BS73" i="1"/>
  <c r="BS74" i="1"/>
  <c r="BS75" i="1"/>
  <c r="BS76" i="1"/>
  <c r="BS77" i="1"/>
  <c r="BW2" i="1"/>
  <c r="BS2" i="1"/>
  <c r="BC3" i="1" l="1"/>
  <c r="BC4" i="1"/>
  <c r="BC5" i="1"/>
  <c r="BC6" i="1"/>
  <c r="BC7" i="1"/>
  <c r="BC8" i="1"/>
  <c r="BC9" i="1"/>
  <c r="BC10" i="1"/>
  <c r="BC11" i="1"/>
  <c r="BC12" i="1"/>
  <c r="BC13" i="1"/>
  <c r="BC14" i="1"/>
  <c r="BC15" i="1"/>
  <c r="BC16" i="1"/>
  <c r="BC17" i="1"/>
  <c r="BC18" i="1"/>
  <c r="BC19" i="1"/>
  <c r="BC20" i="1"/>
  <c r="BC21" i="1"/>
  <c r="BC22" i="1"/>
  <c r="BC23" i="1"/>
  <c r="BC24" i="1"/>
  <c r="BC25" i="1"/>
  <c r="BC26" i="1"/>
  <c r="BC27" i="1"/>
  <c r="BC28" i="1"/>
  <c r="BC29" i="1"/>
  <c r="BC30" i="1"/>
  <c r="BC31" i="1"/>
  <c r="BC32" i="1"/>
  <c r="BC33" i="1"/>
  <c r="BC34" i="1"/>
  <c r="BC35" i="1"/>
  <c r="BC36" i="1"/>
  <c r="BC37" i="1"/>
  <c r="BC38" i="1"/>
  <c r="BC39" i="1"/>
  <c r="BC40" i="1"/>
  <c r="BC41" i="1"/>
  <c r="BC42" i="1"/>
  <c r="BC43" i="1"/>
  <c r="BC44" i="1"/>
  <c r="BC45" i="1"/>
  <c r="BC46" i="1"/>
  <c r="BC47" i="1"/>
  <c r="BC48" i="1"/>
  <c r="BC49" i="1"/>
  <c r="BC50" i="1"/>
  <c r="BC51" i="1"/>
  <c r="BC52" i="1"/>
  <c r="BC53" i="1"/>
  <c r="BC54" i="1"/>
  <c r="BC55" i="1"/>
  <c r="BC56" i="1"/>
  <c r="BC57" i="1"/>
  <c r="BC58" i="1"/>
  <c r="BC59" i="1"/>
  <c r="BC60" i="1"/>
  <c r="BC61" i="1"/>
  <c r="BC62" i="1"/>
  <c r="BC63" i="1"/>
  <c r="BC64" i="1"/>
  <c r="BC65" i="1"/>
  <c r="BC66" i="1"/>
  <c r="BC67" i="1"/>
  <c r="BC68" i="1"/>
  <c r="BC69" i="1"/>
  <c r="BC70" i="1"/>
  <c r="BC71" i="1"/>
  <c r="BC72" i="1"/>
  <c r="BC73" i="1"/>
  <c r="BC74" i="1"/>
  <c r="BC75" i="1"/>
  <c r="BC76" i="1"/>
  <c r="BC77" i="1"/>
  <c r="AY3" i="1"/>
  <c r="AY4" i="1"/>
  <c r="AY5" i="1"/>
  <c r="AY6" i="1"/>
  <c r="AY7" i="1"/>
  <c r="AY8" i="1"/>
  <c r="AY9" i="1"/>
  <c r="AY10" i="1"/>
  <c r="AY11" i="1"/>
  <c r="AY12" i="1"/>
  <c r="AY13" i="1"/>
  <c r="AY14" i="1"/>
  <c r="AY15" i="1"/>
  <c r="AY16" i="1"/>
  <c r="AY17" i="1"/>
  <c r="AY18" i="1"/>
  <c r="AY19" i="1"/>
  <c r="AY20" i="1"/>
  <c r="AY21" i="1"/>
  <c r="AY22" i="1"/>
  <c r="AY23" i="1"/>
  <c r="AY24" i="1"/>
  <c r="AY25" i="1"/>
  <c r="AY26" i="1"/>
  <c r="AY27" i="1"/>
  <c r="AY28" i="1"/>
  <c r="AY29" i="1"/>
  <c r="AY30" i="1"/>
  <c r="AY31" i="1"/>
  <c r="AY32" i="1"/>
  <c r="AY33" i="1"/>
  <c r="AY34" i="1"/>
  <c r="AY35" i="1"/>
  <c r="AY36" i="1"/>
  <c r="AY37" i="1"/>
  <c r="AY38" i="1"/>
  <c r="AY39" i="1"/>
  <c r="AY40" i="1"/>
  <c r="AY41" i="1"/>
  <c r="AY42" i="1"/>
  <c r="AY43" i="1"/>
  <c r="AY44" i="1"/>
  <c r="AY45" i="1"/>
  <c r="AY46" i="1"/>
  <c r="AY47" i="1"/>
  <c r="AY48" i="1"/>
  <c r="AY49" i="1"/>
  <c r="AY50" i="1"/>
  <c r="AY51" i="1"/>
  <c r="AY52" i="1"/>
  <c r="AY53" i="1"/>
  <c r="AY54" i="1"/>
  <c r="AY55" i="1"/>
  <c r="AY56" i="1"/>
  <c r="AY57" i="1"/>
  <c r="AY58" i="1"/>
  <c r="AY59" i="1"/>
  <c r="AY60" i="1"/>
  <c r="AY61" i="1"/>
  <c r="AY62" i="1"/>
  <c r="AY63" i="1"/>
  <c r="AY64" i="1"/>
  <c r="AY65" i="1"/>
  <c r="AY66" i="1"/>
  <c r="AY67" i="1"/>
  <c r="AY68" i="1"/>
  <c r="AY69" i="1"/>
  <c r="AY70" i="1"/>
  <c r="AY71" i="1"/>
  <c r="AY72" i="1"/>
  <c r="AY73" i="1"/>
  <c r="AY74" i="1"/>
  <c r="AY75" i="1"/>
  <c r="AY76" i="1"/>
  <c r="AY77" i="1"/>
  <c r="BC2" i="1"/>
  <c r="AY2" i="1"/>
  <c r="I33" i="1"/>
  <c r="O30" i="1"/>
  <c r="D46" i="1" l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F38" i="1"/>
  <c r="D38" i="1" s="1"/>
  <c r="F39" i="1"/>
  <c r="D39" i="1" s="1"/>
  <c r="F40" i="1"/>
  <c r="D40" i="1" s="1"/>
  <c r="F41" i="1"/>
  <c r="E41" i="1" s="1"/>
  <c r="F42" i="1"/>
  <c r="D42" i="1" s="1"/>
  <c r="F43" i="1"/>
  <c r="D43" i="1" s="1"/>
  <c r="F44" i="1"/>
  <c r="D44" i="1" s="1"/>
  <c r="F45" i="1"/>
  <c r="E45" i="1" s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37" i="1"/>
  <c r="D37" i="1" s="1"/>
  <c r="D45" i="1" l="1"/>
  <c r="D41" i="1"/>
  <c r="E44" i="1"/>
  <c r="E40" i="1"/>
  <c r="E43" i="1"/>
  <c r="E39" i="1"/>
  <c r="E42" i="1"/>
  <c r="E38" i="1"/>
  <c r="E37" i="1"/>
  <c r="BF105" i="1"/>
  <c r="BI104" i="1"/>
  <c r="AY104" i="1" l="1"/>
  <c r="AV105" i="1"/>
  <c r="BI105" i="1" l="1"/>
  <c r="BM3" i="1"/>
  <c r="BM4" i="1"/>
  <c r="BM5" i="1"/>
  <c r="BM6" i="1"/>
  <c r="BM7" i="1"/>
  <c r="BM8" i="1"/>
  <c r="BM9" i="1"/>
  <c r="BM10" i="1"/>
  <c r="BM11" i="1"/>
  <c r="BM12" i="1"/>
  <c r="BM13" i="1"/>
  <c r="BM14" i="1"/>
  <c r="BM15" i="1"/>
  <c r="BM16" i="1"/>
  <c r="BM17" i="1"/>
  <c r="BM18" i="1"/>
  <c r="BM19" i="1"/>
  <c r="BM20" i="1"/>
  <c r="BM21" i="1"/>
  <c r="BM22" i="1"/>
  <c r="BM23" i="1"/>
  <c r="BM24" i="1"/>
  <c r="BM25" i="1"/>
  <c r="BM26" i="1"/>
  <c r="BM27" i="1"/>
  <c r="BM28" i="1"/>
  <c r="BM29" i="1"/>
  <c r="BM30" i="1"/>
  <c r="BM31" i="1"/>
  <c r="BM32" i="1"/>
  <c r="BM33" i="1"/>
  <c r="BM34" i="1"/>
  <c r="BM35" i="1"/>
  <c r="BM36" i="1"/>
  <c r="BM37" i="1"/>
  <c r="BM38" i="1"/>
  <c r="BM39" i="1"/>
  <c r="BM40" i="1"/>
  <c r="BM41" i="1"/>
  <c r="BM42" i="1"/>
  <c r="BM43" i="1"/>
  <c r="BM44" i="1"/>
  <c r="BM45" i="1"/>
  <c r="BM46" i="1"/>
  <c r="BM47" i="1"/>
  <c r="BM48" i="1"/>
  <c r="BM49" i="1"/>
  <c r="BM50" i="1"/>
  <c r="BM51" i="1"/>
  <c r="BM52" i="1"/>
  <c r="BM53" i="1"/>
  <c r="BM54" i="1"/>
  <c r="BM55" i="1"/>
  <c r="BM56" i="1"/>
  <c r="BM57" i="1"/>
  <c r="BM58" i="1"/>
  <c r="BM59" i="1"/>
  <c r="BM60" i="1"/>
  <c r="BM61" i="1"/>
  <c r="BM62" i="1"/>
  <c r="BM63" i="1"/>
  <c r="BM64" i="1"/>
  <c r="BM65" i="1"/>
  <c r="BM66" i="1"/>
  <c r="BM67" i="1"/>
  <c r="BM68" i="1"/>
  <c r="BM69" i="1"/>
  <c r="BM70" i="1"/>
  <c r="BM71" i="1"/>
  <c r="BM72" i="1"/>
  <c r="BM73" i="1"/>
  <c r="BM74" i="1"/>
  <c r="BM75" i="1"/>
  <c r="BM76" i="1"/>
  <c r="BM77" i="1"/>
  <c r="BI3" i="1"/>
  <c r="BI4" i="1"/>
  <c r="BI5" i="1"/>
  <c r="BI6" i="1"/>
  <c r="BI7" i="1"/>
  <c r="BI8" i="1"/>
  <c r="BI9" i="1"/>
  <c r="BI10" i="1"/>
  <c r="BI11" i="1"/>
  <c r="BI12" i="1"/>
  <c r="BI13" i="1"/>
  <c r="BI14" i="1"/>
  <c r="BI15" i="1"/>
  <c r="BI16" i="1"/>
  <c r="BI17" i="1"/>
  <c r="BI18" i="1"/>
  <c r="BI19" i="1"/>
  <c r="BI20" i="1"/>
  <c r="BI21" i="1"/>
  <c r="BI22" i="1"/>
  <c r="BI23" i="1"/>
  <c r="BI24" i="1"/>
  <c r="BI25" i="1"/>
  <c r="BI26" i="1"/>
  <c r="BI27" i="1"/>
  <c r="BI28" i="1"/>
  <c r="BI29" i="1"/>
  <c r="BI30" i="1"/>
  <c r="BI31" i="1"/>
  <c r="BI32" i="1"/>
  <c r="BI33" i="1"/>
  <c r="BI34" i="1"/>
  <c r="BI35" i="1"/>
  <c r="BI36" i="1"/>
  <c r="BI37" i="1"/>
  <c r="BI38" i="1"/>
  <c r="BI39" i="1"/>
  <c r="BI40" i="1"/>
  <c r="BI41" i="1"/>
  <c r="BI42" i="1"/>
  <c r="BI43" i="1"/>
  <c r="BI44" i="1"/>
  <c r="BI45" i="1"/>
  <c r="BI46" i="1"/>
  <c r="BI47" i="1"/>
  <c r="BI48" i="1"/>
  <c r="BI49" i="1"/>
  <c r="BI50" i="1"/>
  <c r="BI51" i="1"/>
  <c r="BI52" i="1"/>
  <c r="BI53" i="1"/>
  <c r="BI54" i="1"/>
  <c r="BI55" i="1"/>
  <c r="BI56" i="1"/>
  <c r="BI57" i="1"/>
  <c r="BI58" i="1"/>
  <c r="BI59" i="1"/>
  <c r="BI60" i="1"/>
  <c r="BI61" i="1"/>
  <c r="BI62" i="1"/>
  <c r="BI63" i="1"/>
  <c r="BI64" i="1"/>
  <c r="BI65" i="1"/>
  <c r="BI66" i="1"/>
  <c r="BI67" i="1"/>
  <c r="BI68" i="1"/>
  <c r="BI69" i="1"/>
  <c r="BI70" i="1"/>
  <c r="BI71" i="1"/>
  <c r="BI72" i="1"/>
  <c r="BI73" i="1"/>
  <c r="BI74" i="1"/>
  <c r="BI75" i="1"/>
  <c r="BI76" i="1"/>
  <c r="BI77" i="1"/>
  <c r="BM2" i="1"/>
  <c r="BI2" i="1"/>
  <c r="B7" i="1"/>
  <c r="AY105" i="1" l="1"/>
  <c r="L11" i="1" l="1"/>
  <c r="B133" i="1" l="1"/>
  <c r="B131" i="1"/>
  <c r="B126" i="1"/>
  <c r="B136" i="1" l="1"/>
  <c r="J136" i="1" l="1"/>
  <c r="K136" i="1" s="1"/>
  <c r="B140" i="1" l="1"/>
  <c r="D140" i="1" s="1"/>
  <c r="Z34" i="1"/>
  <c r="B141" i="1" l="1"/>
  <c r="D141" i="1" s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L50" i="1" s="1"/>
  <c r="C51" i="1"/>
  <c r="L51" i="1" s="1"/>
  <c r="C52" i="1"/>
  <c r="L52" i="1" s="1"/>
  <c r="C53" i="1"/>
  <c r="L53" i="1" s="1"/>
  <c r="C54" i="1"/>
  <c r="L54" i="1" s="1"/>
  <c r="C55" i="1"/>
  <c r="L55" i="1" s="1"/>
  <c r="C56" i="1"/>
  <c r="L56" i="1" s="1"/>
  <c r="C57" i="1"/>
  <c r="L57" i="1" s="1"/>
  <c r="C58" i="1"/>
  <c r="L58" i="1" s="1"/>
  <c r="C59" i="1"/>
  <c r="L59" i="1" s="1"/>
  <c r="C60" i="1"/>
  <c r="L60" i="1" s="1"/>
  <c r="C61" i="1"/>
  <c r="L61" i="1" s="1"/>
  <c r="C62" i="1"/>
  <c r="L62" i="1" s="1"/>
  <c r="C63" i="1"/>
  <c r="L63" i="1" s="1"/>
  <c r="C64" i="1"/>
  <c r="L64" i="1" s="1"/>
  <c r="C65" i="1"/>
  <c r="L65" i="1" s="1"/>
  <c r="C66" i="1"/>
  <c r="L66" i="1" s="1"/>
  <c r="C67" i="1"/>
  <c r="L67" i="1" s="1"/>
  <c r="C68" i="1"/>
  <c r="L68" i="1" s="1"/>
  <c r="C69" i="1"/>
  <c r="L69" i="1" s="1"/>
  <c r="C70" i="1"/>
  <c r="L70" i="1" s="1"/>
  <c r="C71" i="1"/>
  <c r="L71" i="1" s="1"/>
  <c r="C72" i="1"/>
  <c r="L72" i="1" s="1"/>
  <c r="C73" i="1"/>
  <c r="L73" i="1" s="1"/>
  <c r="C74" i="1"/>
  <c r="L74" i="1" s="1"/>
  <c r="C75" i="1"/>
  <c r="L75" i="1" s="1"/>
  <c r="C76" i="1"/>
  <c r="L76" i="1" s="1"/>
  <c r="C77" i="1"/>
  <c r="L77" i="1" s="1"/>
  <c r="C78" i="1"/>
  <c r="L78" i="1" s="1"/>
  <c r="C79" i="1"/>
  <c r="L79" i="1" s="1"/>
  <c r="C80" i="1"/>
  <c r="L80" i="1" s="1"/>
  <c r="C81" i="1"/>
  <c r="L81" i="1" s="1"/>
  <c r="C82" i="1"/>
  <c r="L82" i="1" s="1"/>
  <c r="C83" i="1"/>
  <c r="L83" i="1" s="1"/>
  <c r="C84" i="1"/>
  <c r="L84" i="1" s="1"/>
  <c r="C85" i="1"/>
  <c r="L85" i="1" s="1"/>
  <c r="C86" i="1"/>
  <c r="L86" i="1" s="1"/>
  <c r="C87" i="1"/>
  <c r="L87" i="1" s="1"/>
  <c r="C88" i="1"/>
  <c r="L88" i="1" s="1"/>
  <c r="C89" i="1"/>
  <c r="L89" i="1" s="1"/>
  <c r="C90" i="1"/>
  <c r="L90" i="1" s="1"/>
  <c r="C91" i="1"/>
  <c r="L91" i="1" s="1"/>
  <c r="C92" i="1"/>
  <c r="L92" i="1" s="1"/>
  <c r="C93" i="1"/>
  <c r="L93" i="1" s="1"/>
  <c r="C94" i="1"/>
  <c r="L94" i="1" s="1"/>
  <c r="C95" i="1"/>
  <c r="L95" i="1" s="1"/>
  <c r="C96" i="1"/>
  <c r="L96" i="1" s="1"/>
  <c r="C97" i="1"/>
  <c r="L97" i="1" s="1"/>
  <c r="C98" i="1"/>
  <c r="L98" i="1" s="1"/>
  <c r="C99" i="1"/>
  <c r="L99" i="1" s="1"/>
  <c r="C100" i="1"/>
  <c r="L100" i="1" s="1"/>
  <c r="C101" i="1"/>
  <c r="L101" i="1" s="1"/>
  <c r="C102" i="1"/>
  <c r="L102" i="1" s="1"/>
  <c r="C103" i="1"/>
  <c r="L103" i="1" s="1"/>
  <c r="C104" i="1"/>
  <c r="L104" i="1" s="1"/>
  <c r="C105" i="1"/>
  <c r="L105" i="1" s="1"/>
  <c r="C106" i="1"/>
  <c r="L106" i="1" s="1"/>
  <c r="C107" i="1"/>
  <c r="L107" i="1" s="1"/>
  <c r="C108" i="1"/>
  <c r="L108" i="1" s="1"/>
  <c r="C37" i="1"/>
  <c r="E32" i="1"/>
  <c r="AA37" i="1"/>
  <c r="Z37" i="1"/>
  <c r="F10" i="1" l="1"/>
  <c r="F15" i="1" l="1"/>
  <c r="F14" i="1"/>
  <c r="G15" i="1"/>
  <c r="G14" i="1"/>
  <c r="E34" i="1"/>
  <c r="E33" i="1"/>
  <c r="J13" i="1"/>
  <c r="J12" i="1"/>
  <c r="L10" i="1"/>
  <c r="L9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I38" i="1"/>
  <c r="J38" i="1"/>
  <c r="K38" i="1" s="1"/>
  <c r="L38" i="1" s="1"/>
  <c r="I39" i="1"/>
  <c r="J39" i="1"/>
  <c r="K39" i="1" s="1"/>
  <c r="L39" i="1" s="1"/>
  <c r="I40" i="1"/>
  <c r="J40" i="1"/>
  <c r="K40" i="1" s="1"/>
  <c r="L40" i="1" s="1"/>
  <c r="I41" i="1"/>
  <c r="J41" i="1"/>
  <c r="K41" i="1" s="1"/>
  <c r="L41" i="1" s="1"/>
  <c r="I42" i="1"/>
  <c r="J42" i="1"/>
  <c r="K42" i="1" s="1"/>
  <c r="L42" i="1" s="1"/>
  <c r="I43" i="1"/>
  <c r="J43" i="1"/>
  <c r="K43" i="1" s="1"/>
  <c r="L43" i="1" s="1"/>
  <c r="I44" i="1"/>
  <c r="J44" i="1"/>
  <c r="K44" i="1" s="1"/>
  <c r="L44" i="1" s="1"/>
  <c r="I45" i="1"/>
  <c r="J45" i="1"/>
  <c r="K45" i="1" s="1"/>
  <c r="L45" i="1" s="1"/>
  <c r="I46" i="1"/>
  <c r="J46" i="1"/>
  <c r="K46" i="1" s="1"/>
  <c r="L46" i="1" s="1"/>
  <c r="I47" i="1"/>
  <c r="J47" i="1"/>
  <c r="K47" i="1" s="1"/>
  <c r="L47" i="1" s="1"/>
  <c r="I48" i="1"/>
  <c r="J48" i="1"/>
  <c r="K48" i="1" s="1"/>
  <c r="L48" i="1" s="1"/>
  <c r="I49" i="1"/>
  <c r="J49" i="1"/>
  <c r="K49" i="1" s="1"/>
  <c r="L49" i="1" s="1"/>
  <c r="I50" i="1"/>
  <c r="J50" i="1"/>
  <c r="K50" i="1" s="1"/>
  <c r="I51" i="1"/>
  <c r="J51" i="1"/>
  <c r="K51" i="1" s="1"/>
  <c r="I52" i="1"/>
  <c r="J52" i="1"/>
  <c r="K52" i="1" s="1"/>
  <c r="I53" i="1"/>
  <c r="J53" i="1"/>
  <c r="K53" i="1" s="1"/>
  <c r="I54" i="1"/>
  <c r="J54" i="1"/>
  <c r="K54" i="1" s="1"/>
  <c r="I55" i="1"/>
  <c r="J55" i="1"/>
  <c r="K55" i="1" s="1"/>
  <c r="I56" i="1"/>
  <c r="J56" i="1"/>
  <c r="K56" i="1" s="1"/>
  <c r="I57" i="1"/>
  <c r="J57" i="1"/>
  <c r="K57" i="1" s="1"/>
  <c r="I58" i="1"/>
  <c r="J58" i="1"/>
  <c r="K58" i="1" s="1"/>
  <c r="I59" i="1"/>
  <c r="J59" i="1"/>
  <c r="K59" i="1" s="1"/>
  <c r="I60" i="1"/>
  <c r="J60" i="1"/>
  <c r="K60" i="1" s="1"/>
  <c r="I61" i="1"/>
  <c r="J61" i="1"/>
  <c r="K61" i="1" s="1"/>
  <c r="I62" i="1"/>
  <c r="J62" i="1"/>
  <c r="K62" i="1" s="1"/>
  <c r="I63" i="1"/>
  <c r="J63" i="1"/>
  <c r="I64" i="1"/>
  <c r="J64" i="1"/>
  <c r="I65" i="1"/>
  <c r="J65" i="1"/>
  <c r="I66" i="1"/>
  <c r="J66" i="1"/>
  <c r="I67" i="1"/>
  <c r="J67" i="1"/>
  <c r="I68" i="1"/>
  <c r="J68" i="1"/>
  <c r="I69" i="1"/>
  <c r="J69" i="1"/>
  <c r="I70" i="1"/>
  <c r="J70" i="1"/>
  <c r="I71" i="1"/>
  <c r="J71" i="1"/>
  <c r="I72" i="1"/>
  <c r="J72" i="1"/>
  <c r="I73" i="1"/>
  <c r="J73" i="1"/>
  <c r="I74" i="1"/>
  <c r="J74" i="1"/>
  <c r="I75" i="1"/>
  <c r="J75" i="1"/>
  <c r="I76" i="1"/>
  <c r="J76" i="1"/>
  <c r="I77" i="1"/>
  <c r="J77" i="1"/>
  <c r="I78" i="1"/>
  <c r="J78" i="1"/>
  <c r="I79" i="1"/>
  <c r="J79" i="1"/>
  <c r="I80" i="1"/>
  <c r="J80" i="1"/>
  <c r="I81" i="1"/>
  <c r="J81" i="1"/>
  <c r="I82" i="1"/>
  <c r="J82" i="1"/>
  <c r="I83" i="1"/>
  <c r="J83" i="1"/>
  <c r="I84" i="1"/>
  <c r="J84" i="1"/>
  <c r="I85" i="1"/>
  <c r="J85" i="1"/>
  <c r="I86" i="1"/>
  <c r="J86" i="1"/>
  <c r="I87" i="1"/>
  <c r="J87" i="1"/>
  <c r="I88" i="1"/>
  <c r="J88" i="1"/>
  <c r="I89" i="1"/>
  <c r="J89" i="1"/>
  <c r="I90" i="1"/>
  <c r="J90" i="1"/>
  <c r="I91" i="1"/>
  <c r="J91" i="1"/>
  <c r="I92" i="1"/>
  <c r="J92" i="1"/>
  <c r="I93" i="1"/>
  <c r="J93" i="1"/>
  <c r="I94" i="1"/>
  <c r="J94" i="1"/>
  <c r="I95" i="1"/>
  <c r="J95" i="1"/>
  <c r="I96" i="1"/>
  <c r="J96" i="1"/>
  <c r="I97" i="1"/>
  <c r="J97" i="1"/>
  <c r="I98" i="1"/>
  <c r="J98" i="1"/>
  <c r="I99" i="1"/>
  <c r="J99" i="1"/>
  <c r="I100" i="1"/>
  <c r="J100" i="1"/>
  <c r="I101" i="1"/>
  <c r="J101" i="1"/>
  <c r="I102" i="1"/>
  <c r="J102" i="1"/>
  <c r="I103" i="1"/>
  <c r="J103" i="1"/>
  <c r="I104" i="1"/>
  <c r="J104" i="1"/>
  <c r="I105" i="1"/>
  <c r="J105" i="1"/>
  <c r="I106" i="1"/>
  <c r="J106" i="1"/>
  <c r="I107" i="1"/>
  <c r="J107" i="1"/>
  <c r="I108" i="1"/>
  <c r="J108" i="1"/>
  <c r="J37" i="1"/>
  <c r="I37" i="1"/>
  <c r="G38" i="1"/>
  <c r="G39" i="1"/>
  <c r="G40" i="1"/>
  <c r="H41" i="1"/>
  <c r="G42" i="1"/>
  <c r="G43" i="1"/>
  <c r="G44" i="1"/>
  <c r="H45" i="1"/>
  <c r="G46" i="1"/>
  <c r="G47" i="1"/>
  <c r="G48" i="1"/>
  <c r="H49" i="1"/>
  <c r="G50" i="1"/>
  <c r="G51" i="1"/>
  <c r="G52" i="1"/>
  <c r="H53" i="1"/>
  <c r="G54" i="1"/>
  <c r="G55" i="1"/>
  <c r="G56" i="1"/>
  <c r="H57" i="1"/>
  <c r="G58" i="1"/>
  <c r="G59" i="1"/>
  <c r="G60" i="1"/>
  <c r="H61" i="1"/>
  <c r="G62" i="1"/>
  <c r="G63" i="1"/>
  <c r="G64" i="1"/>
  <c r="H65" i="1"/>
  <c r="G66" i="1"/>
  <c r="G67" i="1"/>
  <c r="G68" i="1"/>
  <c r="H69" i="1"/>
  <c r="G70" i="1"/>
  <c r="G71" i="1"/>
  <c r="G72" i="1"/>
  <c r="H73" i="1"/>
  <c r="G74" i="1"/>
  <c r="G75" i="1"/>
  <c r="G76" i="1"/>
  <c r="H77" i="1"/>
  <c r="G78" i="1"/>
  <c r="G79" i="1"/>
  <c r="G80" i="1"/>
  <c r="H81" i="1"/>
  <c r="G82" i="1"/>
  <c r="G83" i="1"/>
  <c r="G84" i="1"/>
  <c r="H85" i="1"/>
  <c r="G86" i="1"/>
  <c r="G87" i="1"/>
  <c r="G88" i="1"/>
  <c r="H89" i="1"/>
  <c r="G90" i="1"/>
  <c r="G91" i="1"/>
  <c r="G92" i="1"/>
  <c r="H93" i="1"/>
  <c r="G94" i="1"/>
  <c r="G95" i="1"/>
  <c r="G96" i="1"/>
  <c r="H97" i="1"/>
  <c r="G98" i="1"/>
  <c r="G99" i="1"/>
  <c r="G100" i="1"/>
  <c r="H101" i="1"/>
  <c r="G102" i="1"/>
  <c r="G103" i="1"/>
  <c r="G104" i="1"/>
  <c r="H105" i="1"/>
  <c r="G106" i="1"/>
  <c r="G107" i="1"/>
  <c r="G108" i="1"/>
  <c r="H37" i="1"/>
  <c r="O31" i="1" l="1"/>
  <c r="O32" i="1" s="1"/>
  <c r="N31" i="1"/>
  <c r="N32" i="1" s="1"/>
  <c r="K37" i="1"/>
  <c r="L37" i="1" s="1"/>
  <c r="H18" i="1"/>
  <c r="G17" i="1"/>
  <c r="H17" i="1"/>
  <c r="G18" i="1"/>
  <c r="L13" i="1"/>
  <c r="G101" i="1"/>
  <c r="G69" i="1"/>
  <c r="G97" i="1"/>
  <c r="G65" i="1"/>
  <c r="G93" i="1"/>
  <c r="G61" i="1"/>
  <c r="G89" i="1"/>
  <c r="G57" i="1"/>
  <c r="G85" i="1"/>
  <c r="G53" i="1"/>
  <c r="G81" i="1"/>
  <c r="G49" i="1"/>
  <c r="G77" i="1"/>
  <c r="G45" i="1"/>
  <c r="G105" i="1"/>
  <c r="G73" i="1"/>
  <c r="G41" i="1"/>
  <c r="H108" i="1"/>
  <c r="H104" i="1"/>
  <c r="H100" i="1"/>
  <c r="H96" i="1"/>
  <c r="H92" i="1"/>
  <c r="H88" i="1"/>
  <c r="H84" i="1"/>
  <c r="H80" i="1"/>
  <c r="H76" i="1"/>
  <c r="H72" i="1"/>
  <c r="H68" i="1"/>
  <c r="H64" i="1"/>
  <c r="H60" i="1"/>
  <c r="H56" i="1"/>
  <c r="H52" i="1"/>
  <c r="H48" i="1"/>
  <c r="H44" i="1"/>
  <c r="H40" i="1"/>
  <c r="H107" i="1"/>
  <c r="H103" i="1"/>
  <c r="H99" i="1"/>
  <c r="H95" i="1"/>
  <c r="H91" i="1"/>
  <c r="H87" i="1"/>
  <c r="H83" i="1"/>
  <c r="H79" i="1"/>
  <c r="H75" i="1"/>
  <c r="H71" i="1"/>
  <c r="H67" i="1"/>
  <c r="H63" i="1"/>
  <c r="H59" i="1"/>
  <c r="H55" i="1"/>
  <c r="H51" i="1"/>
  <c r="H47" i="1"/>
  <c r="H43" i="1"/>
  <c r="H39" i="1"/>
  <c r="H106" i="1"/>
  <c r="H102" i="1"/>
  <c r="H98" i="1"/>
  <c r="H94" i="1"/>
  <c r="H90" i="1"/>
  <c r="H86" i="1"/>
  <c r="H82" i="1"/>
  <c r="H78" i="1"/>
  <c r="H74" i="1"/>
  <c r="H70" i="1"/>
  <c r="H66" i="1"/>
  <c r="H62" i="1"/>
  <c r="H58" i="1"/>
  <c r="H54" i="1"/>
  <c r="H50" i="1"/>
  <c r="H46" i="1"/>
  <c r="H42" i="1"/>
  <c r="H38" i="1"/>
  <c r="C109" i="1"/>
  <c r="G37" i="1"/>
  <c r="A165" i="1" l="1"/>
  <c r="A176" i="1"/>
  <c r="A169" i="1"/>
  <c r="A162" i="1"/>
  <c r="A157" i="1"/>
  <c r="A221" i="1"/>
  <c r="A214" i="1"/>
  <c r="A199" i="1"/>
  <c r="A164" i="1"/>
  <c r="A212" i="1"/>
  <c r="A177" i="1"/>
  <c r="A220" i="1"/>
  <c r="A192" i="1"/>
  <c r="A185" i="1"/>
  <c r="A178" i="1"/>
  <c r="A173" i="1"/>
  <c r="A166" i="1"/>
  <c r="A155" i="1"/>
  <c r="A159" i="1"/>
  <c r="A207" i="1"/>
  <c r="A195" i="1"/>
  <c r="A200" i="1"/>
  <c r="A193" i="1"/>
  <c r="A186" i="1"/>
  <c r="A181" i="1"/>
  <c r="A174" i="1"/>
  <c r="A175" i="1"/>
  <c r="A180" i="1"/>
  <c r="A167" i="1"/>
  <c r="A215" i="1"/>
  <c r="A170" i="1"/>
  <c r="A222" i="1"/>
  <c r="A208" i="1"/>
  <c r="A201" i="1"/>
  <c r="A194" i="1"/>
  <c r="A189" i="1"/>
  <c r="A182" i="1"/>
  <c r="A196" i="1"/>
  <c r="A203" i="1"/>
  <c r="A188" i="1"/>
  <c r="A158" i="1"/>
  <c r="A172" i="1"/>
  <c r="A152" i="1"/>
  <c r="A216" i="1"/>
  <c r="A209" i="1"/>
  <c r="A202" i="1"/>
  <c r="A197" i="1"/>
  <c r="A190" i="1"/>
  <c r="A219" i="1"/>
  <c r="A163" i="1"/>
  <c r="A211" i="1"/>
  <c r="A184" i="1"/>
  <c r="A187" i="1"/>
  <c r="A160" i="1"/>
  <c r="A153" i="1"/>
  <c r="A217" i="1"/>
  <c r="A210" i="1"/>
  <c r="A205" i="1"/>
  <c r="A198" i="1"/>
  <c r="A156" i="1"/>
  <c r="A183" i="1"/>
  <c r="A171" i="1"/>
  <c r="A168" i="1"/>
  <c r="A161" i="1"/>
  <c r="A154" i="1"/>
  <c r="A218" i="1"/>
  <c r="A213" i="1"/>
  <c r="A206" i="1"/>
  <c r="A179" i="1"/>
  <c r="A204" i="1"/>
  <c r="A191" i="1"/>
  <c r="A151" i="1"/>
  <c r="J17" i="1"/>
  <c r="K17" i="1" s="1"/>
  <c r="B32" i="1"/>
  <c r="L109" i="1"/>
  <c r="J2" i="1" s="1"/>
  <c r="AR3" i="1" l="1"/>
  <c r="AS3" i="1"/>
  <c r="AR4" i="1"/>
  <c r="AS4" i="1"/>
  <c r="AR5" i="1"/>
  <c r="AS5" i="1"/>
  <c r="AR6" i="1"/>
  <c r="AS6" i="1"/>
  <c r="AR7" i="1"/>
  <c r="AS7" i="1"/>
  <c r="AR8" i="1"/>
  <c r="AS8" i="1"/>
  <c r="AR9" i="1"/>
  <c r="AS9" i="1"/>
  <c r="AR10" i="1"/>
  <c r="AS10" i="1"/>
  <c r="AR11" i="1"/>
  <c r="AS11" i="1"/>
  <c r="AR12" i="1"/>
  <c r="AS12" i="1"/>
  <c r="AR13" i="1"/>
  <c r="AS13" i="1"/>
  <c r="AR14" i="1"/>
  <c r="AS14" i="1"/>
  <c r="AR15" i="1"/>
  <c r="AS15" i="1"/>
  <c r="AR16" i="1"/>
  <c r="AS16" i="1"/>
  <c r="AR17" i="1"/>
  <c r="AS17" i="1"/>
  <c r="AR18" i="1"/>
  <c r="AS18" i="1"/>
  <c r="AR19" i="1"/>
  <c r="AS19" i="1"/>
  <c r="AR20" i="1"/>
  <c r="AS20" i="1"/>
  <c r="AR21" i="1"/>
  <c r="AS21" i="1"/>
  <c r="AR22" i="1"/>
  <c r="AS22" i="1"/>
  <c r="AR23" i="1"/>
  <c r="AS23" i="1"/>
  <c r="AR24" i="1"/>
  <c r="AS24" i="1"/>
  <c r="AR25" i="1"/>
  <c r="AS25" i="1"/>
  <c r="AR26" i="1"/>
  <c r="AS26" i="1"/>
  <c r="AR27" i="1"/>
  <c r="AS27" i="1"/>
  <c r="AR28" i="1"/>
  <c r="AS28" i="1"/>
  <c r="AR29" i="1"/>
  <c r="AS29" i="1"/>
  <c r="AR30" i="1"/>
  <c r="AS30" i="1"/>
  <c r="AR31" i="1"/>
  <c r="AS31" i="1"/>
  <c r="AR32" i="1"/>
  <c r="AS32" i="1"/>
  <c r="AR33" i="1"/>
  <c r="AS33" i="1"/>
  <c r="AR34" i="1"/>
  <c r="AS34" i="1"/>
  <c r="AR35" i="1"/>
  <c r="AS35" i="1"/>
  <c r="AR36" i="1"/>
  <c r="AS36" i="1"/>
  <c r="AR37" i="1"/>
  <c r="AS37" i="1"/>
  <c r="AR38" i="1"/>
  <c r="AS38" i="1"/>
  <c r="AR39" i="1"/>
  <c r="AS39" i="1"/>
  <c r="AR40" i="1"/>
  <c r="AS40" i="1"/>
  <c r="AR41" i="1"/>
  <c r="AS41" i="1"/>
  <c r="AR42" i="1"/>
  <c r="AS42" i="1"/>
  <c r="AR43" i="1"/>
  <c r="AS43" i="1"/>
  <c r="AR44" i="1"/>
  <c r="AS44" i="1"/>
  <c r="AR45" i="1"/>
  <c r="AS45" i="1"/>
  <c r="AR46" i="1"/>
  <c r="AS46" i="1"/>
  <c r="AR47" i="1"/>
  <c r="AS47" i="1"/>
  <c r="AR48" i="1"/>
  <c r="AS48" i="1"/>
  <c r="AR49" i="1"/>
  <c r="AS49" i="1"/>
  <c r="AR50" i="1"/>
  <c r="AS50" i="1"/>
  <c r="AR51" i="1"/>
  <c r="AS51" i="1"/>
  <c r="AR52" i="1"/>
  <c r="AS52" i="1"/>
  <c r="AR53" i="1"/>
  <c r="AS53" i="1"/>
  <c r="AR54" i="1"/>
  <c r="AS54" i="1"/>
  <c r="AR55" i="1"/>
  <c r="AS55" i="1"/>
  <c r="AR56" i="1"/>
  <c r="AS56" i="1"/>
  <c r="AR57" i="1"/>
  <c r="AS57" i="1"/>
  <c r="AR58" i="1"/>
  <c r="AS58" i="1"/>
  <c r="AR59" i="1"/>
  <c r="AS59" i="1"/>
  <c r="AR60" i="1"/>
  <c r="AS60" i="1"/>
  <c r="AR61" i="1"/>
  <c r="AS61" i="1"/>
  <c r="AR62" i="1"/>
  <c r="AS62" i="1"/>
  <c r="AR63" i="1"/>
  <c r="AS63" i="1"/>
  <c r="AR64" i="1"/>
  <c r="AS64" i="1"/>
  <c r="AR65" i="1"/>
  <c r="AS65" i="1"/>
  <c r="AR66" i="1"/>
  <c r="AS66" i="1"/>
  <c r="AR67" i="1"/>
  <c r="AS67" i="1"/>
  <c r="AR68" i="1"/>
  <c r="AS68" i="1"/>
  <c r="AR69" i="1"/>
  <c r="AS69" i="1"/>
  <c r="AR70" i="1"/>
  <c r="AS70" i="1"/>
  <c r="AR71" i="1"/>
  <c r="AS71" i="1"/>
  <c r="AR72" i="1"/>
  <c r="AS72" i="1"/>
  <c r="AR73" i="1"/>
  <c r="AS73" i="1"/>
  <c r="AR74" i="1"/>
  <c r="AS74" i="1"/>
  <c r="AR75" i="1"/>
  <c r="AS75" i="1"/>
  <c r="AR76" i="1"/>
  <c r="AS76" i="1"/>
  <c r="AR77" i="1"/>
  <c r="AS77" i="1"/>
  <c r="AR78" i="1"/>
  <c r="AS78" i="1"/>
  <c r="AR79" i="1"/>
  <c r="AS79" i="1"/>
  <c r="AR80" i="1"/>
  <c r="AS80" i="1"/>
  <c r="AR81" i="1"/>
  <c r="AS81" i="1"/>
  <c r="AR82" i="1"/>
  <c r="AS82" i="1"/>
  <c r="AR83" i="1"/>
  <c r="AS83" i="1"/>
  <c r="AR84" i="1"/>
  <c r="AS84" i="1"/>
  <c r="AR85" i="1"/>
  <c r="AS85" i="1"/>
  <c r="AR86" i="1"/>
  <c r="AS86" i="1"/>
  <c r="AR87" i="1"/>
  <c r="AS87" i="1"/>
  <c r="AR88" i="1"/>
  <c r="AS88" i="1"/>
  <c r="AR89" i="1"/>
  <c r="AS89" i="1"/>
  <c r="AR90" i="1"/>
  <c r="AS90" i="1"/>
  <c r="AR91" i="1"/>
  <c r="AS91" i="1"/>
  <c r="AR92" i="1"/>
  <c r="AS92" i="1"/>
  <c r="AR93" i="1"/>
  <c r="AS93" i="1"/>
  <c r="AR94" i="1"/>
  <c r="AS94" i="1"/>
  <c r="AR95" i="1"/>
  <c r="AS95" i="1"/>
  <c r="AR96" i="1"/>
  <c r="AS96" i="1"/>
  <c r="AR97" i="1"/>
  <c r="AS97" i="1"/>
  <c r="AR98" i="1"/>
  <c r="AS98" i="1"/>
  <c r="AR99" i="1"/>
  <c r="AS99" i="1"/>
  <c r="AR100" i="1"/>
  <c r="AS100" i="1"/>
  <c r="AR101" i="1"/>
  <c r="AS101" i="1"/>
  <c r="AR102" i="1"/>
  <c r="AS102" i="1"/>
  <c r="AR103" i="1"/>
  <c r="AS103" i="1"/>
  <c r="AR104" i="1"/>
  <c r="AS104" i="1"/>
  <c r="AR105" i="1"/>
  <c r="AS105" i="1"/>
  <c r="AR106" i="1"/>
  <c r="AS106" i="1"/>
  <c r="AR107" i="1"/>
  <c r="AS107" i="1"/>
  <c r="AR108" i="1"/>
  <c r="AS108" i="1"/>
  <c r="AR109" i="1"/>
  <c r="AS109" i="1"/>
  <c r="AR110" i="1"/>
  <c r="AS110" i="1"/>
  <c r="AR111" i="1"/>
  <c r="AS111" i="1"/>
  <c r="AR112" i="1"/>
  <c r="AS112" i="1"/>
  <c r="AR113" i="1"/>
  <c r="AS113" i="1"/>
  <c r="AR114" i="1"/>
  <c r="AS114" i="1"/>
  <c r="AR115" i="1"/>
  <c r="AS115" i="1"/>
  <c r="AR116" i="1"/>
  <c r="AS116" i="1"/>
  <c r="AR117" i="1"/>
  <c r="AS117" i="1"/>
  <c r="AR118" i="1"/>
  <c r="AS118" i="1"/>
  <c r="AR119" i="1"/>
  <c r="AS119" i="1"/>
  <c r="AR120" i="1"/>
  <c r="AS120" i="1"/>
  <c r="AR121" i="1"/>
  <c r="AS121" i="1"/>
  <c r="AR122" i="1"/>
  <c r="AS122" i="1"/>
  <c r="AR123" i="1"/>
  <c r="AS123" i="1"/>
  <c r="AR124" i="1"/>
  <c r="AS124" i="1"/>
  <c r="AR125" i="1"/>
  <c r="AS125" i="1"/>
  <c r="AR126" i="1"/>
  <c r="AS126" i="1"/>
  <c r="AR127" i="1"/>
  <c r="AS127" i="1"/>
  <c r="AR128" i="1"/>
  <c r="AS128" i="1"/>
  <c r="AR129" i="1"/>
  <c r="AS129" i="1"/>
  <c r="AR130" i="1"/>
  <c r="AS130" i="1"/>
  <c r="AR131" i="1"/>
  <c r="AS131" i="1"/>
  <c r="AR132" i="1"/>
  <c r="AS132" i="1"/>
  <c r="AR133" i="1"/>
  <c r="AS133" i="1"/>
  <c r="AR134" i="1"/>
  <c r="AS134" i="1"/>
  <c r="AR135" i="1"/>
  <c r="AS135" i="1"/>
  <c r="AR136" i="1"/>
  <c r="AS136" i="1"/>
  <c r="AR137" i="1"/>
  <c r="AS137" i="1"/>
  <c r="AR138" i="1"/>
  <c r="AS138" i="1"/>
  <c r="AR139" i="1"/>
  <c r="AS139" i="1"/>
  <c r="AR140" i="1"/>
  <c r="AS140" i="1"/>
  <c r="AR141" i="1"/>
  <c r="AS141" i="1"/>
  <c r="AR142" i="1"/>
  <c r="AS142" i="1"/>
  <c r="AR143" i="1"/>
  <c r="AS143" i="1"/>
  <c r="AR144" i="1"/>
  <c r="AS144" i="1"/>
  <c r="AR145" i="1"/>
  <c r="AS145" i="1"/>
  <c r="AR146" i="1"/>
  <c r="AS146" i="1"/>
  <c r="AR147" i="1"/>
  <c r="AS147" i="1"/>
  <c r="AR148" i="1"/>
  <c r="AS148" i="1"/>
  <c r="AR149" i="1"/>
  <c r="AS149" i="1"/>
  <c r="AR150" i="1"/>
  <c r="AS150" i="1"/>
  <c r="AR151" i="1"/>
  <c r="AS151" i="1"/>
  <c r="AR152" i="1"/>
  <c r="AS152" i="1"/>
  <c r="AR153" i="1"/>
  <c r="AS153" i="1"/>
  <c r="AR154" i="1"/>
  <c r="AS154" i="1"/>
  <c r="AR155" i="1"/>
  <c r="AS155" i="1"/>
  <c r="AR156" i="1"/>
  <c r="AS156" i="1"/>
  <c r="AR157" i="1"/>
  <c r="AS157" i="1"/>
  <c r="AR158" i="1"/>
  <c r="AS158" i="1"/>
  <c r="AR159" i="1"/>
  <c r="AS159" i="1"/>
  <c r="AR160" i="1"/>
  <c r="AS160" i="1"/>
  <c r="AR161" i="1"/>
  <c r="AS161" i="1"/>
  <c r="AR162" i="1"/>
  <c r="AS162" i="1"/>
  <c r="AR163" i="1"/>
  <c r="AS163" i="1"/>
  <c r="AR164" i="1"/>
  <c r="AS164" i="1"/>
  <c r="AR165" i="1"/>
  <c r="AS165" i="1"/>
  <c r="AR166" i="1"/>
  <c r="AS166" i="1"/>
  <c r="AR167" i="1"/>
  <c r="AS167" i="1"/>
  <c r="AR168" i="1"/>
  <c r="AS168" i="1"/>
  <c r="AR169" i="1"/>
  <c r="AS169" i="1"/>
  <c r="AR170" i="1"/>
  <c r="AS170" i="1"/>
  <c r="AR171" i="1"/>
  <c r="AS171" i="1"/>
  <c r="AR172" i="1"/>
  <c r="AS172" i="1"/>
  <c r="AR173" i="1"/>
  <c r="AS173" i="1"/>
  <c r="AR174" i="1"/>
  <c r="AS174" i="1"/>
  <c r="AR175" i="1"/>
  <c r="AS175" i="1"/>
  <c r="AR176" i="1"/>
  <c r="AS176" i="1"/>
  <c r="AR177" i="1"/>
  <c r="AS177" i="1"/>
  <c r="AR178" i="1"/>
  <c r="AS178" i="1"/>
  <c r="AR179" i="1"/>
  <c r="AS179" i="1"/>
  <c r="AR180" i="1"/>
  <c r="AS180" i="1"/>
  <c r="AR181" i="1"/>
  <c r="AS181" i="1"/>
  <c r="AR182" i="1"/>
  <c r="AS182" i="1"/>
  <c r="AR183" i="1"/>
  <c r="AS183" i="1"/>
  <c r="AR184" i="1"/>
  <c r="AS184" i="1"/>
  <c r="AR185" i="1"/>
  <c r="AS185" i="1"/>
  <c r="AR186" i="1"/>
  <c r="AS186" i="1"/>
  <c r="AR187" i="1"/>
  <c r="AS187" i="1"/>
  <c r="AR188" i="1"/>
  <c r="AS188" i="1"/>
  <c r="AR189" i="1"/>
  <c r="AS189" i="1"/>
  <c r="AR190" i="1"/>
  <c r="AS190" i="1"/>
  <c r="AR191" i="1"/>
  <c r="AS191" i="1"/>
  <c r="AR192" i="1"/>
  <c r="AS192" i="1"/>
  <c r="AR193" i="1"/>
  <c r="AS193" i="1"/>
  <c r="AR194" i="1"/>
  <c r="AS194" i="1"/>
  <c r="AR195" i="1"/>
  <c r="AS195" i="1"/>
  <c r="AR196" i="1"/>
  <c r="AS196" i="1"/>
  <c r="AR197" i="1"/>
  <c r="AS197" i="1"/>
  <c r="AR198" i="1"/>
  <c r="AS198" i="1"/>
  <c r="AR199" i="1"/>
  <c r="AS199" i="1"/>
  <c r="AR200" i="1"/>
  <c r="AS200" i="1"/>
  <c r="AR201" i="1"/>
  <c r="AS201" i="1"/>
  <c r="AR202" i="1"/>
  <c r="AS202" i="1"/>
  <c r="AR203" i="1"/>
  <c r="AS203" i="1"/>
  <c r="AR204" i="1"/>
  <c r="AS204" i="1"/>
  <c r="AR205" i="1"/>
  <c r="AS205" i="1"/>
  <c r="AR206" i="1"/>
  <c r="AS206" i="1"/>
  <c r="AR207" i="1"/>
  <c r="AS207" i="1"/>
  <c r="AR208" i="1"/>
  <c r="AS208" i="1"/>
  <c r="AR209" i="1"/>
  <c r="AS209" i="1"/>
  <c r="AR210" i="1"/>
  <c r="AS210" i="1"/>
  <c r="AR211" i="1"/>
  <c r="AS211" i="1"/>
  <c r="AR212" i="1"/>
  <c r="AS212" i="1"/>
  <c r="AR213" i="1"/>
  <c r="AS213" i="1"/>
  <c r="AR214" i="1"/>
  <c r="AS214" i="1"/>
  <c r="AR215" i="1"/>
  <c r="AS215" i="1"/>
  <c r="AR216" i="1"/>
  <c r="AS216" i="1"/>
  <c r="AR217" i="1"/>
  <c r="AS217" i="1"/>
  <c r="AR218" i="1"/>
  <c r="AS218" i="1"/>
  <c r="AR219" i="1"/>
  <c r="AS219" i="1"/>
  <c r="AR220" i="1"/>
  <c r="AS220" i="1"/>
  <c r="AR221" i="1"/>
  <c r="AS221" i="1"/>
  <c r="AR222" i="1"/>
  <c r="AS222" i="1"/>
  <c r="AR223" i="1"/>
  <c r="AS223" i="1"/>
  <c r="AR224" i="1"/>
  <c r="AS224" i="1"/>
  <c r="AR225" i="1"/>
  <c r="AS225" i="1"/>
  <c r="AR226" i="1"/>
  <c r="AS226" i="1"/>
  <c r="AR227" i="1"/>
  <c r="AS227" i="1"/>
  <c r="AR228" i="1"/>
  <c r="AS228" i="1"/>
  <c r="AR229" i="1"/>
  <c r="AS229" i="1"/>
  <c r="AR230" i="1"/>
  <c r="AS230" i="1"/>
  <c r="AR231" i="1"/>
  <c r="AS231" i="1"/>
  <c r="AR232" i="1"/>
  <c r="AS232" i="1"/>
  <c r="AR233" i="1"/>
  <c r="AS233" i="1"/>
  <c r="AR234" i="1"/>
  <c r="AS234" i="1"/>
  <c r="AR235" i="1"/>
  <c r="AS235" i="1"/>
  <c r="AR236" i="1"/>
  <c r="AS236" i="1"/>
  <c r="AR237" i="1"/>
  <c r="AS237" i="1"/>
  <c r="AR238" i="1"/>
  <c r="AS238" i="1"/>
  <c r="AR239" i="1"/>
  <c r="AS239" i="1"/>
  <c r="AR240" i="1"/>
  <c r="AS240" i="1"/>
  <c r="AR241" i="1"/>
  <c r="AS241" i="1"/>
  <c r="AR242" i="1"/>
  <c r="AS242" i="1"/>
  <c r="AR243" i="1"/>
  <c r="AS243" i="1"/>
  <c r="AR244" i="1"/>
  <c r="AS244" i="1"/>
  <c r="AR245" i="1"/>
  <c r="AS245" i="1"/>
  <c r="AR246" i="1"/>
  <c r="AS246" i="1"/>
  <c r="AR247" i="1"/>
  <c r="AS247" i="1"/>
  <c r="AR248" i="1"/>
  <c r="AS248" i="1"/>
  <c r="AR249" i="1"/>
  <c r="AS249" i="1"/>
  <c r="AR250" i="1"/>
  <c r="AS250" i="1"/>
  <c r="AR251" i="1"/>
  <c r="AS251" i="1"/>
  <c r="AR252" i="1"/>
  <c r="AS252" i="1"/>
  <c r="AR253" i="1"/>
  <c r="AS253" i="1"/>
  <c r="AR254" i="1"/>
  <c r="AS254" i="1"/>
  <c r="AR255" i="1"/>
  <c r="AS255" i="1"/>
  <c r="AR256" i="1"/>
  <c r="AS256" i="1"/>
  <c r="AR257" i="1"/>
  <c r="AS257" i="1"/>
  <c r="AR258" i="1"/>
  <c r="AS258" i="1"/>
  <c r="AR259" i="1"/>
  <c r="AS259" i="1"/>
  <c r="AR260" i="1"/>
  <c r="AS260" i="1"/>
  <c r="AR261" i="1"/>
  <c r="AS261" i="1"/>
  <c r="AR262" i="1"/>
  <c r="AS262" i="1"/>
  <c r="AR263" i="1"/>
  <c r="AS263" i="1"/>
  <c r="AR264" i="1"/>
  <c r="AS264" i="1"/>
  <c r="AR265" i="1"/>
  <c r="AS265" i="1"/>
  <c r="AR266" i="1"/>
  <c r="AS266" i="1"/>
  <c r="AR267" i="1"/>
  <c r="AS267" i="1"/>
  <c r="AR268" i="1"/>
  <c r="AS268" i="1"/>
  <c r="AR269" i="1"/>
  <c r="AS269" i="1"/>
  <c r="AR270" i="1"/>
  <c r="AS270" i="1"/>
  <c r="AR271" i="1"/>
  <c r="AS271" i="1"/>
  <c r="AR272" i="1"/>
  <c r="AS272" i="1"/>
  <c r="AR273" i="1"/>
  <c r="AS273" i="1"/>
  <c r="AR274" i="1"/>
  <c r="AS274" i="1"/>
  <c r="AR275" i="1"/>
  <c r="AS275" i="1"/>
  <c r="AR276" i="1"/>
  <c r="AS276" i="1"/>
  <c r="AR277" i="1"/>
  <c r="AS277" i="1"/>
  <c r="AR278" i="1"/>
  <c r="AS278" i="1"/>
  <c r="AR279" i="1"/>
  <c r="AS279" i="1"/>
  <c r="AR280" i="1"/>
  <c r="AS280" i="1"/>
  <c r="AR281" i="1"/>
  <c r="AS281" i="1"/>
  <c r="AR282" i="1"/>
  <c r="AS282" i="1"/>
  <c r="AR283" i="1"/>
  <c r="AS283" i="1"/>
  <c r="AR284" i="1"/>
  <c r="AS284" i="1"/>
  <c r="AR285" i="1"/>
  <c r="AS285" i="1"/>
  <c r="AR286" i="1"/>
  <c r="AS286" i="1"/>
  <c r="AR287" i="1"/>
  <c r="AS287" i="1"/>
  <c r="AR288" i="1"/>
  <c r="AS288" i="1"/>
  <c r="AR289" i="1"/>
  <c r="AS289" i="1"/>
  <c r="AR290" i="1"/>
  <c r="AS290" i="1"/>
  <c r="AR291" i="1"/>
  <c r="AS291" i="1"/>
  <c r="AR292" i="1"/>
  <c r="AS292" i="1"/>
  <c r="AR293" i="1"/>
  <c r="AS293" i="1"/>
  <c r="AR294" i="1"/>
  <c r="AS294" i="1"/>
  <c r="AR295" i="1"/>
  <c r="AS295" i="1"/>
  <c r="AR296" i="1"/>
  <c r="AS296" i="1"/>
  <c r="AR297" i="1"/>
  <c r="AS297" i="1"/>
  <c r="AR298" i="1"/>
  <c r="AS298" i="1"/>
  <c r="AR299" i="1"/>
  <c r="AS299" i="1"/>
  <c r="AR300" i="1"/>
  <c r="AS300" i="1"/>
  <c r="AR301" i="1"/>
  <c r="AS301" i="1"/>
  <c r="AR302" i="1"/>
  <c r="AS302" i="1"/>
  <c r="AR303" i="1"/>
  <c r="AS303" i="1"/>
  <c r="AR304" i="1"/>
  <c r="AS304" i="1"/>
  <c r="AR305" i="1"/>
  <c r="AS305" i="1"/>
  <c r="AR306" i="1"/>
  <c r="AS306" i="1"/>
  <c r="AR307" i="1"/>
  <c r="AS307" i="1"/>
  <c r="AR308" i="1"/>
  <c r="AS308" i="1"/>
  <c r="AR309" i="1"/>
  <c r="AS309" i="1"/>
  <c r="AR310" i="1"/>
  <c r="AS310" i="1"/>
  <c r="AR311" i="1"/>
  <c r="AS311" i="1"/>
  <c r="AR312" i="1"/>
  <c r="AS312" i="1"/>
  <c r="AR313" i="1"/>
  <c r="AS313" i="1"/>
  <c r="AR314" i="1"/>
  <c r="AS314" i="1"/>
  <c r="AR315" i="1"/>
  <c r="AS315" i="1"/>
  <c r="AR316" i="1"/>
  <c r="AS316" i="1"/>
  <c r="AR317" i="1"/>
  <c r="AS317" i="1"/>
  <c r="AR318" i="1"/>
  <c r="AS318" i="1"/>
  <c r="AR319" i="1"/>
  <c r="AS319" i="1"/>
  <c r="AR320" i="1"/>
  <c r="AS320" i="1"/>
  <c r="AR321" i="1"/>
  <c r="AS321" i="1"/>
  <c r="AR322" i="1"/>
  <c r="AS322" i="1"/>
  <c r="AR323" i="1"/>
  <c r="AS323" i="1"/>
  <c r="AR324" i="1"/>
  <c r="AS324" i="1"/>
  <c r="AR325" i="1"/>
  <c r="AS325" i="1"/>
  <c r="AR326" i="1"/>
  <c r="AS326" i="1"/>
  <c r="AR327" i="1"/>
  <c r="AS327" i="1"/>
  <c r="AR328" i="1"/>
  <c r="AS328" i="1"/>
  <c r="AR329" i="1"/>
  <c r="AS329" i="1"/>
  <c r="AR330" i="1"/>
  <c r="AS330" i="1"/>
  <c r="AR331" i="1"/>
  <c r="AS331" i="1"/>
  <c r="AR332" i="1"/>
  <c r="AS332" i="1"/>
  <c r="AR333" i="1"/>
  <c r="AS333" i="1"/>
  <c r="AR334" i="1"/>
  <c r="AS334" i="1"/>
  <c r="AR335" i="1"/>
  <c r="AS335" i="1"/>
  <c r="AR336" i="1"/>
  <c r="AS336" i="1"/>
  <c r="AR337" i="1"/>
  <c r="AS337" i="1"/>
  <c r="AR338" i="1"/>
  <c r="AS338" i="1"/>
  <c r="AR339" i="1"/>
  <c r="AS339" i="1"/>
  <c r="AR340" i="1"/>
  <c r="AS340" i="1"/>
  <c r="AR341" i="1"/>
  <c r="AS341" i="1"/>
  <c r="AR342" i="1"/>
  <c r="AS342" i="1"/>
  <c r="AR343" i="1"/>
  <c r="AS343" i="1"/>
  <c r="AR344" i="1"/>
  <c r="AS344" i="1"/>
  <c r="AR345" i="1"/>
  <c r="AS345" i="1"/>
  <c r="AR346" i="1"/>
  <c r="AS346" i="1"/>
  <c r="AR347" i="1"/>
  <c r="AS347" i="1"/>
  <c r="AR348" i="1"/>
  <c r="AS348" i="1"/>
  <c r="AR349" i="1"/>
  <c r="AS349" i="1"/>
  <c r="AR350" i="1"/>
  <c r="AS350" i="1"/>
  <c r="AR351" i="1"/>
  <c r="AS351" i="1"/>
  <c r="AR352" i="1"/>
  <c r="AS352" i="1"/>
  <c r="AR353" i="1"/>
  <c r="AS353" i="1"/>
  <c r="AR354" i="1"/>
  <c r="AS354" i="1"/>
  <c r="AR355" i="1"/>
  <c r="AS355" i="1"/>
  <c r="AR356" i="1"/>
  <c r="AS356" i="1"/>
  <c r="AR357" i="1"/>
  <c r="AS357" i="1"/>
  <c r="AR358" i="1"/>
  <c r="AS358" i="1"/>
  <c r="AR359" i="1"/>
  <c r="AS359" i="1"/>
  <c r="AR360" i="1"/>
  <c r="AS360" i="1"/>
  <c r="AR361" i="1"/>
  <c r="AS361" i="1"/>
  <c r="AR362" i="1"/>
  <c r="AS362" i="1"/>
  <c r="AS2" i="1"/>
  <c r="AR2" i="1"/>
  <c r="B9" i="1"/>
  <c r="J16" i="1" s="1"/>
  <c r="B127" i="1"/>
  <c r="B128" i="1" s="1"/>
  <c r="C19" i="1" s="1"/>
  <c r="B8" i="1"/>
  <c r="B12" i="1" s="1"/>
  <c r="L16" i="1" l="1"/>
  <c r="K16" i="1"/>
  <c r="B173" i="1"/>
  <c r="F142" i="1"/>
  <c r="F140" i="1"/>
  <c r="F141" i="1"/>
  <c r="M62" i="1"/>
  <c r="N62" i="1" s="1"/>
  <c r="M98" i="1"/>
  <c r="N98" i="1" s="1"/>
  <c r="M73" i="1"/>
  <c r="N73" i="1" s="1"/>
  <c r="M61" i="1"/>
  <c r="N61" i="1" s="1"/>
  <c r="M75" i="1"/>
  <c r="N75" i="1" s="1"/>
  <c r="M88" i="1"/>
  <c r="N88" i="1" s="1"/>
  <c r="M103" i="1"/>
  <c r="N103" i="1" s="1"/>
  <c r="M55" i="1"/>
  <c r="N55" i="1" s="1"/>
  <c r="M70" i="1"/>
  <c r="N70" i="1" s="1"/>
  <c r="M58" i="1"/>
  <c r="N58" i="1" s="1"/>
  <c r="M93" i="1"/>
  <c r="N93" i="1" s="1"/>
  <c r="M66" i="1"/>
  <c r="N66" i="1" s="1"/>
  <c r="M68" i="1"/>
  <c r="N68" i="1" s="1"/>
  <c r="M83" i="1"/>
  <c r="N83" i="1" s="1"/>
  <c r="M96" i="1"/>
  <c r="N96" i="1" s="1"/>
  <c r="M63" i="1"/>
  <c r="N63" i="1" s="1"/>
  <c r="M78" i="1"/>
  <c r="N78" i="1" s="1"/>
  <c r="M81" i="1"/>
  <c r="N81" i="1" s="1"/>
  <c r="M53" i="1"/>
  <c r="N53" i="1" s="1"/>
  <c r="M82" i="1"/>
  <c r="N82" i="1" s="1"/>
  <c r="M76" i="1"/>
  <c r="N76" i="1" s="1"/>
  <c r="M91" i="1"/>
  <c r="N91" i="1" s="1"/>
  <c r="M104" i="1"/>
  <c r="N104" i="1" s="1"/>
  <c r="M56" i="1"/>
  <c r="N56" i="1" s="1"/>
  <c r="M71" i="1"/>
  <c r="N71" i="1" s="1"/>
  <c r="M86" i="1"/>
  <c r="N86" i="1" s="1"/>
  <c r="M101" i="1"/>
  <c r="N101" i="1" s="1"/>
  <c r="M89" i="1"/>
  <c r="N89" i="1" s="1"/>
  <c r="M105" i="1"/>
  <c r="N105" i="1" s="1"/>
  <c r="M84" i="1"/>
  <c r="N84" i="1" s="1"/>
  <c r="M99" i="1"/>
  <c r="N99" i="1" s="1"/>
  <c r="M107" i="1"/>
  <c r="N107" i="1" s="1"/>
  <c r="M51" i="1"/>
  <c r="N51" i="1" s="1"/>
  <c r="M64" i="1"/>
  <c r="N64" i="1" s="1"/>
  <c r="M79" i="1"/>
  <c r="N79" i="1" s="1"/>
  <c r="M74" i="1"/>
  <c r="N74" i="1" s="1"/>
  <c r="M92" i="1"/>
  <c r="N92" i="1" s="1"/>
  <c r="M100" i="1"/>
  <c r="N100" i="1" s="1"/>
  <c r="M59" i="1"/>
  <c r="N59" i="1" s="1"/>
  <c r="M72" i="1"/>
  <c r="N72" i="1" s="1"/>
  <c r="M94" i="1"/>
  <c r="N94" i="1" s="1"/>
  <c r="M97" i="1"/>
  <c r="N97" i="1" s="1"/>
  <c r="M69" i="1"/>
  <c r="N69" i="1" s="1"/>
  <c r="M65" i="1"/>
  <c r="N65" i="1" s="1"/>
  <c r="M85" i="1"/>
  <c r="N85" i="1" s="1"/>
  <c r="M108" i="1"/>
  <c r="N108" i="1" s="1"/>
  <c r="M52" i="1"/>
  <c r="N52" i="1" s="1"/>
  <c r="M67" i="1"/>
  <c r="N67" i="1" s="1"/>
  <c r="M87" i="1"/>
  <c r="N87" i="1" s="1"/>
  <c r="M102" i="1"/>
  <c r="N102" i="1" s="1"/>
  <c r="M57" i="1"/>
  <c r="N57" i="1" s="1"/>
  <c r="M90" i="1"/>
  <c r="N90" i="1" s="1"/>
  <c r="M50" i="1"/>
  <c r="N50" i="1" s="1"/>
  <c r="M106" i="1"/>
  <c r="N106" i="1" s="1"/>
  <c r="M60" i="1"/>
  <c r="N60" i="1" s="1"/>
  <c r="M80" i="1"/>
  <c r="N80" i="1" s="1"/>
  <c r="M95" i="1"/>
  <c r="N95" i="1" s="1"/>
  <c r="M54" i="1"/>
  <c r="N54" i="1" s="1"/>
  <c r="M77" i="1"/>
  <c r="N77" i="1" s="1"/>
  <c r="B152" i="1"/>
  <c r="M38" i="1" s="1"/>
  <c r="N38" i="1" s="1"/>
  <c r="B220" i="1"/>
  <c r="B165" i="1"/>
  <c r="B154" i="1"/>
  <c r="M40" i="1" s="1"/>
  <c r="N40" i="1" s="1"/>
  <c r="B172" i="1"/>
  <c r="B194" i="1"/>
  <c r="B162" i="1"/>
  <c r="M48" i="1" s="1"/>
  <c r="N48" i="1" s="1"/>
  <c r="B206" i="1"/>
  <c r="B182" i="1"/>
  <c r="B221" i="1"/>
  <c r="B134" i="1"/>
  <c r="B135" i="1" s="1"/>
  <c r="N135" i="1" s="1"/>
  <c r="B130" i="1"/>
  <c r="B166" i="1"/>
  <c r="B153" i="1"/>
  <c r="M39" i="1" s="1"/>
  <c r="N39" i="1" s="1"/>
  <c r="B205" i="1"/>
  <c r="B211" i="1"/>
  <c r="B207" i="1"/>
  <c r="B193" i="1"/>
  <c r="B187" i="1"/>
  <c r="B200" i="1"/>
  <c r="B222" i="1"/>
  <c r="B170" i="1"/>
  <c r="B186" i="1"/>
  <c r="B181" i="1"/>
  <c r="B176" i="1"/>
  <c r="B218" i="1"/>
  <c r="B198" i="1"/>
  <c r="B180" i="1"/>
  <c r="B191" i="1"/>
  <c r="B183" i="1"/>
  <c r="B215" i="1"/>
  <c r="B188" i="1"/>
  <c r="B208" i="1"/>
  <c r="B212" i="1"/>
  <c r="B169" i="1"/>
  <c r="B213" i="1"/>
  <c r="B189" i="1"/>
  <c r="B157" i="1"/>
  <c r="M43" i="1" s="1"/>
  <c r="N43" i="1" s="1"/>
  <c r="B179" i="1"/>
  <c r="B196" i="1"/>
  <c r="B190" i="1"/>
  <c r="B163" i="1"/>
  <c r="M49" i="1" s="1"/>
  <c r="N49" i="1" s="1"/>
  <c r="B209" i="1"/>
  <c r="B158" i="1"/>
  <c r="M44" i="1" s="1"/>
  <c r="B155" i="1"/>
  <c r="M41" i="1" s="1"/>
  <c r="N41" i="1" s="1"/>
  <c r="B177" i="1"/>
  <c r="B204" i="1"/>
  <c r="B216" i="1"/>
  <c r="B192" i="1"/>
  <c r="B160" i="1"/>
  <c r="M46" i="1" s="1"/>
  <c r="N46" i="1" s="1"/>
  <c r="B171" i="1"/>
  <c r="B217" i="1"/>
  <c r="B202" i="1"/>
  <c r="B219" i="1"/>
  <c r="B174" i="1"/>
  <c r="B159" i="1"/>
  <c r="M45" i="1" s="1"/>
  <c r="N45" i="1" s="1"/>
  <c r="B214" i="1"/>
  <c r="B184" i="1"/>
  <c r="B195" i="1"/>
  <c r="B178" i="1"/>
  <c r="B197" i="1"/>
  <c r="B161" i="1"/>
  <c r="M47" i="1" s="1"/>
  <c r="N47" i="1" s="1"/>
  <c r="B164" i="1"/>
  <c r="B185" i="1"/>
  <c r="B210" i="1"/>
  <c r="B201" i="1"/>
  <c r="B175" i="1"/>
  <c r="B203" i="1"/>
  <c r="B156" i="1"/>
  <c r="M42" i="1" s="1"/>
  <c r="N42" i="1" s="1"/>
  <c r="B167" i="1"/>
  <c r="B168" i="1"/>
  <c r="B199" i="1"/>
  <c r="B151" i="1"/>
  <c r="M37" i="1" s="1"/>
  <c r="N37" i="1" s="1"/>
  <c r="Y37" i="1" s="1"/>
  <c r="F11" i="1"/>
  <c r="F144" i="1" l="1"/>
  <c r="F143" i="1"/>
  <c r="J135" i="1"/>
  <c r="K135" i="1" s="1"/>
  <c r="F12" i="1"/>
  <c r="F13" i="1"/>
  <c r="Q141" i="1"/>
  <c r="P140" i="1"/>
  <c r="N44" i="1"/>
  <c r="P44" i="1" s="1"/>
  <c r="J140" i="1"/>
  <c r="K141" i="1"/>
  <c r="M140" i="1"/>
  <c r="N141" i="1"/>
  <c r="P64" i="1"/>
  <c r="U64" i="1"/>
  <c r="V64" i="1"/>
  <c r="X64" i="1"/>
  <c r="Y64" i="1"/>
  <c r="P96" i="1"/>
  <c r="U96" i="1"/>
  <c r="V96" i="1"/>
  <c r="X96" i="1"/>
  <c r="Y96" i="1"/>
  <c r="P90" i="1"/>
  <c r="U90" i="1"/>
  <c r="V90" i="1"/>
  <c r="X90" i="1"/>
  <c r="Y90" i="1"/>
  <c r="P56" i="1"/>
  <c r="U56" i="1"/>
  <c r="V56" i="1"/>
  <c r="X56" i="1"/>
  <c r="Y56" i="1"/>
  <c r="P61" i="1"/>
  <c r="U61" i="1"/>
  <c r="V61" i="1"/>
  <c r="Y61" i="1"/>
  <c r="X61" i="1"/>
  <c r="P95" i="1"/>
  <c r="X95" i="1"/>
  <c r="U95" i="1"/>
  <c r="V95" i="1"/>
  <c r="Y95" i="1"/>
  <c r="P42" i="1"/>
  <c r="U42" i="1"/>
  <c r="V42" i="1"/>
  <c r="X42" i="1"/>
  <c r="Y42" i="1"/>
  <c r="P55" i="1"/>
  <c r="U55" i="1"/>
  <c r="V55" i="1"/>
  <c r="X55" i="1"/>
  <c r="Y55" i="1"/>
  <c r="P106" i="1"/>
  <c r="U106" i="1"/>
  <c r="V106" i="1"/>
  <c r="X106" i="1"/>
  <c r="Y106" i="1"/>
  <c r="P39" i="1"/>
  <c r="U39" i="1"/>
  <c r="V39" i="1"/>
  <c r="X39" i="1"/>
  <c r="Y39" i="1"/>
  <c r="P65" i="1"/>
  <c r="U65" i="1"/>
  <c r="V65" i="1"/>
  <c r="Y65" i="1"/>
  <c r="X65" i="1"/>
  <c r="P74" i="1"/>
  <c r="U74" i="1"/>
  <c r="V74" i="1"/>
  <c r="X74" i="1"/>
  <c r="Y74" i="1"/>
  <c r="P60" i="1"/>
  <c r="U60" i="1"/>
  <c r="V60" i="1"/>
  <c r="X60" i="1"/>
  <c r="Y60" i="1"/>
  <c r="P102" i="1"/>
  <c r="U102" i="1"/>
  <c r="V102" i="1"/>
  <c r="X102" i="1"/>
  <c r="Y102" i="1"/>
  <c r="P84" i="1"/>
  <c r="U84" i="1"/>
  <c r="V84" i="1"/>
  <c r="X84" i="1"/>
  <c r="Y84" i="1"/>
  <c r="P62" i="1"/>
  <c r="U62" i="1"/>
  <c r="V62" i="1"/>
  <c r="X62" i="1"/>
  <c r="Y62" i="1"/>
  <c r="P77" i="1"/>
  <c r="U77" i="1"/>
  <c r="V77" i="1"/>
  <c r="X77" i="1"/>
  <c r="Y77" i="1"/>
  <c r="P79" i="1"/>
  <c r="X79" i="1"/>
  <c r="U79" i="1"/>
  <c r="V79" i="1"/>
  <c r="Y79" i="1"/>
  <c r="P53" i="1"/>
  <c r="U53" i="1"/>
  <c r="V53" i="1"/>
  <c r="Y53" i="1"/>
  <c r="X53" i="1"/>
  <c r="P83" i="1"/>
  <c r="X83" i="1"/>
  <c r="U83" i="1"/>
  <c r="V83" i="1"/>
  <c r="Y83" i="1"/>
  <c r="P57" i="1"/>
  <c r="U57" i="1"/>
  <c r="V57" i="1"/>
  <c r="Y57" i="1"/>
  <c r="X57" i="1"/>
  <c r="P63" i="1"/>
  <c r="U63" i="1"/>
  <c r="V63" i="1"/>
  <c r="X63" i="1"/>
  <c r="Y63" i="1"/>
  <c r="P45" i="1"/>
  <c r="X45" i="1"/>
  <c r="U45" i="1"/>
  <c r="V45" i="1"/>
  <c r="Y45" i="1"/>
  <c r="P54" i="1"/>
  <c r="U54" i="1"/>
  <c r="V54" i="1"/>
  <c r="X54" i="1"/>
  <c r="Y54" i="1"/>
  <c r="P97" i="1"/>
  <c r="X97" i="1"/>
  <c r="U97" i="1"/>
  <c r="V97" i="1"/>
  <c r="Y97" i="1"/>
  <c r="P40" i="1"/>
  <c r="U40" i="1"/>
  <c r="V40" i="1"/>
  <c r="X40" i="1"/>
  <c r="Y40" i="1"/>
  <c r="P105" i="1"/>
  <c r="X105" i="1"/>
  <c r="U105" i="1"/>
  <c r="V105" i="1"/>
  <c r="Y105" i="1"/>
  <c r="P104" i="1"/>
  <c r="U104" i="1"/>
  <c r="V104" i="1"/>
  <c r="X104" i="1"/>
  <c r="Y104" i="1"/>
  <c r="P108" i="1"/>
  <c r="U108" i="1"/>
  <c r="V108" i="1"/>
  <c r="X108" i="1"/>
  <c r="Y108" i="1"/>
  <c r="P68" i="1"/>
  <c r="U68" i="1"/>
  <c r="V68" i="1"/>
  <c r="X68" i="1"/>
  <c r="Y68" i="1"/>
  <c r="P103" i="1"/>
  <c r="X103" i="1"/>
  <c r="U103" i="1"/>
  <c r="V103" i="1"/>
  <c r="Y103" i="1"/>
  <c r="P46" i="1"/>
  <c r="U46" i="1"/>
  <c r="V46" i="1"/>
  <c r="X46" i="1"/>
  <c r="Y46" i="1"/>
  <c r="P43" i="1"/>
  <c r="U43" i="1"/>
  <c r="V43" i="1"/>
  <c r="Y43" i="1"/>
  <c r="X43" i="1"/>
  <c r="P58" i="1"/>
  <c r="U58" i="1"/>
  <c r="V58" i="1"/>
  <c r="X58" i="1"/>
  <c r="Y58" i="1"/>
  <c r="P67" i="1"/>
  <c r="U67" i="1"/>
  <c r="V67" i="1"/>
  <c r="Y67" i="1"/>
  <c r="X67" i="1"/>
  <c r="P38" i="1"/>
  <c r="U38" i="1"/>
  <c r="V38" i="1"/>
  <c r="X38" i="1"/>
  <c r="Y38" i="1"/>
  <c r="P91" i="1"/>
  <c r="U91" i="1"/>
  <c r="V91" i="1"/>
  <c r="Y91" i="1"/>
  <c r="X91" i="1"/>
  <c r="P107" i="1"/>
  <c r="U107" i="1"/>
  <c r="X107" i="1"/>
  <c r="V107" i="1"/>
  <c r="Y107" i="1"/>
  <c r="P98" i="1"/>
  <c r="U98" i="1"/>
  <c r="V98" i="1"/>
  <c r="X98" i="1"/>
  <c r="Y98" i="1"/>
  <c r="P50" i="1"/>
  <c r="U50" i="1"/>
  <c r="V50" i="1"/>
  <c r="X50" i="1"/>
  <c r="Y50" i="1"/>
  <c r="P71" i="1"/>
  <c r="X71" i="1"/>
  <c r="U71" i="1"/>
  <c r="V71" i="1"/>
  <c r="Y71" i="1"/>
  <c r="P66" i="1"/>
  <c r="U66" i="1"/>
  <c r="V66" i="1"/>
  <c r="X66" i="1"/>
  <c r="Y66" i="1"/>
  <c r="P88" i="1"/>
  <c r="U88" i="1"/>
  <c r="V88" i="1"/>
  <c r="X88" i="1"/>
  <c r="Y88" i="1"/>
  <c r="P92" i="1"/>
  <c r="U92" i="1"/>
  <c r="V92" i="1"/>
  <c r="X92" i="1"/>
  <c r="Y92" i="1"/>
  <c r="P70" i="1"/>
  <c r="U70" i="1"/>
  <c r="V70" i="1"/>
  <c r="X70" i="1"/>
  <c r="Y70" i="1"/>
  <c r="P41" i="1"/>
  <c r="U41" i="1"/>
  <c r="X41" i="1"/>
  <c r="V41" i="1"/>
  <c r="Y41" i="1"/>
  <c r="P85" i="1"/>
  <c r="U85" i="1"/>
  <c r="V85" i="1"/>
  <c r="Y85" i="1"/>
  <c r="X85" i="1"/>
  <c r="P49" i="1"/>
  <c r="X49" i="1"/>
  <c r="U49" i="1"/>
  <c r="V49" i="1"/>
  <c r="Y49" i="1"/>
  <c r="P82" i="1"/>
  <c r="U82" i="1"/>
  <c r="V82" i="1"/>
  <c r="X82" i="1"/>
  <c r="Y82" i="1"/>
  <c r="P94" i="1"/>
  <c r="U94" i="1"/>
  <c r="V94" i="1"/>
  <c r="X94" i="1"/>
  <c r="Y94" i="1"/>
  <c r="P59" i="1"/>
  <c r="U59" i="1"/>
  <c r="V59" i="1"/>
  <c r="X59" i="1"/>
  <c r="Y59" i="1"/>
  <c r="P89" i="1"/>
  <c r="X89" i="1"/>
  <c r="U89" i="1"/>
  <c r="V89" i="1"/>
  <c r="Y89" i="1"/>
  <c r="P51" i="1"/>
  <c r="X51" i="1"/>
  <c r="U51" i="1"/>
  <c r="V51" i="1"/>
  <c r="Y51" i="1"/>
  <c r="P81" i="1"/>
  <c r="U81" i="1"/>
  <c r="X81" i="1"/>
  <c r="V81" i="1"/>
  <c r="Y81" i="1"/>
  <c r="P101" i="1"/>
  <c r="U101" i="1"/>
  <c r="V101" i="1"/>
  <c r="X101" i="1"/>
  <c r="Y101" i="1"/>
  <c r="P69" i="1"/>
  <c r="U69" i="1"/>
  <c r="V69" i="1"/>
  <c r="X69" i="1"/>
  <c r="Y69" i="1"/>
  <c r="P48" i="1"/>
  <c r="U48" i="1"/>
  <c r="V48" i="1"/>
  <c r="X48" i="1"/>
  <c r="Y48" i="1"/>
  <c r="P73" i="1"/>
  <c r="U73" i="1"/>
  <c r="V73" i="1"/>
  <c r="Y73" i="1"/>
  <c r="X73" i="1"/>
  <c r="P72" i="1"/>
  <c r="U72" i="1"/>
  <c r="V72" i="1"/>
  <c r="X72" i="1"/>
  <c r="Y72" i="1"/>
  <c r="P75" i="1"/>
  <c r="X75" i="1"/>
  <c r="U75" i="1"/>
  <c r="V75" i="1"/>
  <c r="Y75" i="1"/>
  <c r="P93" i="1"/>
  <c r="U93" i="1"/>
  <c r="V93" i="1"/>
  <c r="X93" i="1"/>
  <c r="Y93" i="1"/>
  <c r="P76" i="1"/>
  <c r="U76" i="1"/>
  <c r="V76" i="1"/>
  <c r="X76" i="1"/>
  <c r="Y76" i="1"/>
  <c r="P86" i="1"/>
  <c r="U86" i="1"/>
  <c r="V86" i="1"/>
  <c r="X86" i="1"/>
  <c r="Y86" i="1"/>
  <c r="P47" i="1"/>
  <c r="X47" i="1"/>
  <c r="U47" i="1"/>
  <c r="V47" i="1"/>
  <c r="Y47" i="1"/>
  <c r="P100" i="1"/>
  <c r="U100" i="1"/>
  <c r="V100" i="1"/>
  <c r="X100" i="1"/>
  <c r="Y100" i="1"/>
  <c r="P78" i="1"/>
  <c r="U78" i="1"/>
  <c r="V78" i="1"/>
  <c r="X78" i="1"/>
  <c r="Y78" i="1"/>
  <c r="P80" i="1"/>
  <c r="U80" i="1"/>
  <c r="V80" i="1"/>
  <c r="X80" i="1"/>
  <c r="Y80" i="1"/>
  <c r="P99" i="1"/>
  <c r="U99" i="1"/>
  <c r="V99" i="1"/>
  <c r="Y99" i="1"/>
  <c r="X99" i="1"/>
  <c r="P87" i="1"/>
  <c r="U87" i="1"/>
  <c r="V87" i="1"/>
  <c r="X87" i="1"/>
  <c r="Y87" i="1"/>
  <c r="P52" i="1"/>
  <c r="U52" i="1"/>
  <c r="V52" i="1"/>
  <c r="X52" i="1"/>
  <c r="Y52" i="1"/>
  <c r="V37" i="1"/>
  <c r="X37" i="1"/>
  <c r="U37" i="1"/>
  <c r="P37" i="1"/>
  <c r="O64" i="1"/>
  <c r="O96" i="1"/>
  <c r="O90" i="1"/>
  <c r="O56" i="1"/>
  <c r="O61" i="1"/>
  <c r="O95" i="1"/>
  <c r="O42" i="1"/>
  <c r="O55" i="1"/>
  <c r="O106" i="1"/>
  <c r="O105" i="1"/>
  <c r="O39" i="1"/>
  <c r="O74" i="1"/>
  <c r="O60" i="1"/>
  <c r="O102" i="1"/>
  <c r="O84" i="1"/>
  <c r="O62" i="1"/>
  <c r="O107" i="1"/>
  <c r="O104" i="1"/>
  <c r="O59" i="1"/>
  <c r="O53" i="1"/>
  <c r="O83" i="1"/>
  <c r="O57" i="1"/>
  <c r="O63" i="1"/>
  <c r="O45" i="1"/>
  <c r="O54" i="1"/>
  <c r="O97" i="1"/>
  <c r="O40" i="1"/>
  <c r="O82" i="1"/>
  <c r="O98" i="1"/>
  <c r="O108" i="1"/>
  <c r="O68" i="1"/>
  <c r="O103" i="1"/>
  <c r="O46" i="1"/>
  <c r="O43" i="1"/>
  <c r="O58" i="1"/>
  <c r="O67" i="1"/>
  <c r="O38" i="1"/>
  <c r="O91" i="1"/>
  <c r="O37" i="1"/>
  <c r="O77" i="1"/>
  <c r="O79" i="1"/>
  <c r="O50" i="1"/>
  <c r="O71" i="1"/>
  <c r="O66" i="1"/>
  <c r="O88" i="1"/>
  <c r="O92" i="1"/>
  <c r="O70" i="1"/>
  <c r="O41" i="1"/>
  <c r="O85" i="1"/>
  <c r="O49" i="1"/>
  <c r="O94" i="1"/>
  <c r="O76" i="1"/>
  <c r="O89" i="1"/>
  <c r="O51" i="1"/>
  <c r="O81" i="1"/>
  <c r="O101" i="1"/>
  <c r="O69" i="1"/>
  <c r="O48" i="1"/>
  <c r="O73" i="1"/>
  <c r="O72" i="1"/>
  <c r="O75" i="1"/>
  <c r="O93" i="1"/>
  <c r="O65" i="1"/>
  <c r="O86" i="1"/>
  <c r="O47" i="1"/>
  <c r="O100" i="1"/>
  <c r="O78" i="1"/>
  <c r="O80" i="1"/>
  <c r="O99" i="1"/>
  <c r="O87" i="1"/>
  <c r="O52" i="1"/>
  <c r="G12" i="1"/>
  <c r="E26" i="1" s="1"/>
  <c r="C27" i="1" s="1"/>
  <c r="G13" i="1"/>
  <c r="E27" i="1" s="1"/>
  <c r="C28" i="1" s="1"/>
  <c r="B145" i="1" l="1"/>
  <c r="B146" i="1" s="1"/>
  <c r="D146" i="1" s="1"/>
  <c r="P141" i="1" s="1"/>
  <c r="B16" i="1"/>
  <c r="B17" i="1" s="1"/>
  <c r="Y44" i="1"/>
  <c r="V44" i="1"/>
  <c r="O44" i="1"/>
  <c r="O109" i="1" s="1"/>
  <c r="O149" i="1" s="1"/>
  <c r="X44" i="1"/>
  <c r="N109" i="1"/>
  <c r="L149" i="1" s="1"/>
  <c r="U44" i="1"/>
  <c r="E18" i="1"/>
  <c r="E17" i="1"/>
  <c r="F18" i="1"/>
  <c r="F17" i="1"/>
  <c r="D26" i="1"/>
  <c r="B27" i="1" s="1"/>
  <c r="P109" i="1"/>
  <c r="R149" i="1" s="1"/>
  <c r="D27" i="1"/>
  <c r="B28" i="1" s="1"/>
  <c r="G28" i="1" s="1"/>
  <c r="D145" i="1" l="1"/>
  <c r="Q140" i="1" s="1"/>
  <c r="R140" i="1" s="1"/>
  <c r="L19" i="1"/>
  <c r="M141" i="1"/>
  <c r="O141" i="1" s="1"/>
  <c r="N145" i="1"/>
  <c r="K145" i="1"/>
  <c r="Q145" i="1"/>
  <c r="R141" i="1"/>
  <c r="J141" i="1"/>
  <c r="L141" i="1" s="1"/>
  <c r="M19" i="1"/>
  <c r="N19" i="1"/>
  <c r="G26" i="1"/>
  <c r="F26" i="1"/>
  <c r="L24" i="1"/>
  <c r="L25" i="1" s="1"/>
  <c r="F27" i="1"/>
  <c r="F28" i="1"/>
  <c r="G27" i="1"/>
  <c r="J145" i="1" l="1"/>
  <c r="L145" i="1" s="1"/>
  <c r="N140" i="1"/>
  <c r="O140" i="1" s="1"/>
  <c r="O142" i="1" s="1"/>
  <c r="P145" i="1"/>
  <c r="R145" i="1" s="1"/>
  <c r="K140" i="1"/>
  <c r="L140" i="1" s="1"/>
  <c r="L142" i="1" s="1"/>
  <c r="M145" i="1"/>
  <c r="O145" i="1" s="1"/>
  <c r="H28" i="1"/>
  <c r="R142" i="1"/>
  <c r="M20" i="1"/>
  <c r="M21" i="1" s="1"/>
  <c r="M22" i="1" s="1"/>
  <c r="N20" i="1"/>
  <c r="N21" i="1" s="1"/>
  <c r="N22" i="1" s="1"/>
  <c r="L20" i="1"/>
  <c r="L21" i="1" s="1"/>
  <c r="L22" i="1" s="1"/>
  <c r="J24" i="1"/>
  <c r="I26" i="1"/>
  <c r="H26" i="1"/>
  <c r="J26" i="1"/>
  <c r="I24" i="1"/>
  <c r="H24" i="1"/>
  <c r="J27" i="1"/>
  <c r="I27" i="1"/>
  <c r="I28" i="1"/>
  <c r="J28" i="1"/>
  <c r="H27" i="1"/>
  <c r="L147" i="1" l="1"/>
  <c r="O147" i="1"/>
  <c r="O151" i="1" s="1"/>
  <c r="R147" i="1"/>
  <c r="R151" i="1" s="1"/>
  <c r="H29" i="1"/>
  <c r="H31" i="1" s="1"/>
  <c r="B112" i="1" s="1"/>
  <c r="J29" i="1"/>
  <c r="J31" i="1" s="1"/>
  <c r="B114" i="1" s="1"/>
  <c r="I29" i="1"/>
  <c r="I31" i="1" s="1"/>
  <c r="L151" i="1" l="1"/>
  <c r="L153" i="1" s="1"/>
  <c r="J3" i="1" s="1"/>
  <c r="V147" i="1"/>
  <c r="R153" i="1"/>
  <c r="O153" i="1"/>
  <c r="L31" i="1"/>
  <c r="B113" i="1"/>
  <c r="B117" i="1" s="1"/>
  <c r="L30" i="1"/>
  <c r="J5" i="1" l="1"/>
  <c r="B116" i="1"/>
  <c r="J4" i="1" s="1"/>
  <c r="L4" i="1" l="1"/>
  <c r="L3" i="1" l="1"/>
  <c r="Z38" i="1"/>
  <c r="AA38" i="1" l="1"/>
  <c r="L5" i="1"/>
  <c r="J7" i="1"/>
  <c r="J6" i="1"/>
  <c r="J14" i="1" l="1"/>
  <c r="L6" i="1"/>
</calcChain>
</file>

<file path=xl/sharedStrings.xml><?xml version="1.0" encoding="utf-8"?>
<sst xmlns="http://schemas.openxmlformats.org/spreadsheetml/2006/main" count="226" uniqueCount="152">
  <si>
    <t>in</t>
  </si>
  <si>
    <t>f'c</t>
  </si>
  <si>
    <t>ksi</t>
  </si>
  <si>
    <t>Ec</t>
  </si>
  <si>
    <t>Beta1</t>
  </si>
  <si>
    <t>Ec Calc:</t>
  </si>
  <si>
    <t>0.85*F'c</t>
  </si>
  <si>
    <t>NA Angle:</t>
  </si>
  <si>
    <t>radians</t>
  </si>
  <si>
    <t>NA Depth:</t>
  </si>
  <si>
    <t>Beta1*NA=</t>
  </si>
  <si>
    <t>eu</t>
  </si>
  <si>
    <t xml:space="preserve">Radius : </t>
  </si>
  <si>
    <t>x</t>
  </si>
  <si>
    <t>y</t>
  </si>
  <si>
    <t>theta,1</t>
  </si>
  <si>
    <t>theta,2</t>
  </si>
  <si>
    <t>rad</t>
  </si>
  <si>
    <t>y_na</t>
  </si>
  <si>
    <t>x_r</t>
  </si>
  <si>
    <t>x_l</t>
  </si>
  <si>
    <t>P</t>
  </si>
  <si>
    <t>kips</t>
  </si>
  <si>
    <t>Circle Sector</t>
  </si>
  <si>
    <t>Triangle</t>
  </si>
  <si>
    <t>Segment1</t>
  </si>
  <si>
    <t>Segment3</t>
  </si>
  <si>
    <t>Segment2</t>
  </si>
  <si>
    <t>xi</t>
  </si>
  <si>
    <t>yi</t>
  </si>
  <si>
    <t>xj</t>
  </si>
  <si>
    <t>yj</t>
  </si>
  <si>
    <t>σi' (ksi)</t>
  </si>
  <si>
    <t>σj' (ksi)</t>
  </si>
  <si>
    <t>P (kips)</t>
  </si>
  <si>
    <t>Mx (kip-in)</t>
  </si>
  <si>
    <t>My (kip-in)</t>
  </si>
  <si>
    <t>Rebar:</t>
  </si>
  <si>
    <t>Bar #:</t>
  </si>
  <si>
    <t>Bar</t>
  </si>
  <si>
    <t>Dia</t>
  </si>
  <si>
    <t>As</t>
  </si>
  <si>
    <t>As (in2)</t>
  </si>
  <si>
    <t>x_plot</t>
  </si>
  <si>
    <t>y_plot</t>
  </si>
  <si>
    <t>degrees</t>
  </si>
  <si>
    <t>x'</t>
  </si>
  <si>
    <t>y'</t>
  </si>
  <si>
    <t>Depth</t>
  </si>
  <si>
    <t xml:space="preserve">Strain </t>
  </si>
  <si>
    <t>Stress</t>
  </si>
  <si>
    <t>Ps</t>
  </si>
  <si>
    <t>Mx,s</t>
  </si>
  <si>
    <t>My,s</t>
  </si>
  <si>
    <t>fy</t>
  </si>
  <si>
    <t>E</t>
  </si>
  <si>
    <t>Mx</t>
  </si>
  <si>
    <t>My</t>
  </si>
  <si>
    <t xml:space="preserve">Mnx = </t>
  </si>
  <si>
    <t>kip-in</t>
  </si>
  <si>
    <t xml:space="preserve">Mny = </t>
  </si>
  <si>
    <t>phi</t>
  </si>
  <si>
    <t>Error</t>
  </si>
  <si>
    <t xml:space="preserve">P = </t>
  </si>
  <si>
    <t xml:space="preserve">Mx = </t>
  </si>
  <si>
    <t>kip-ft</t>
  </si>
  <si>
    <t>My =</t>
  </si>
  <si>
    <t>tan-1(My/Mx) =</t>
  </si>
  <si>
    <t>User:</t>
  </si>
  <si>
    <t>Tolerance:</t>
  </si>
  <si>
    <t>Max Iterations:</t>
  </si>
  <si>
    <t>**Because it is a circle don't need to rotate the section only the result for the concrete</t>
  </si>
  <si>
    <t>Total:</t>
  </si>
  <si>
    <t>Max P</t>
  </si>
  <si>
    <t>Min P</t>
  </si>
  <si>
    <t>y_whitney</t>
  </si>
  <si>
    <t>Pn (kips)</t>
  </si>
  <si>
    <t># of Points:</t>
  </si>
  <si>
    <t>Mxn</t>
  </si>
  <si>
    <t>Myn</t>
  </si>
  <si>
    <t>Alpha</t>
  </si>
  <si>
    <t>Mx_My Run Time:</t>
  </si>
  <si>
    <t>seconds</t>
  </si>
  <si>
    <t># Bars:</t>
  </si>
  <si>
    <t>% As:</t>
  </si>
  <si>
    <t>Screen Update:</t>
  </si>
  <si>
    <r>
      <t>ε</t>
    </r>
    <r>
      <rPr>
        <vertAlign val="subscript"/>
        <sz val="11"/>
        <color theme="1"/>
        <rFont val="Calibri"/>
        <family val="2"/>
        <scheme val="minor"/>
      </rPr>
      <t>o</t>
    </r>
  </si>
  <si>
    <r>
      <t>2*(0.85*F'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) / E</t>
    </r>
    <r>
      <rPr>
        <vertAlign val="subscript"/>
        <sz val="11"/>
        <color theme="1"/>
        <rFont val="Calibri"/>
        <family val="2"/>
        <scheme val="minor"/>
      </rPr>
      <t>c</t>
    </r>
  </si>
  <si>
    <r>
      <t>E</t>
    </r>
    <r>
      <rPr>
        <vertAlign val="subscript"/>
        <sz val="11"/>
        <color theme="1"/>
        <rFont val="Calibri"/>
        <family val="2"/>
        <scheme val="minor"/>
      </rPr>
      <t>c</t>
    </r>
  </si>
  <si>
    <r>
      <t>57,000*</t>
    </r>
    <r>
      <rPr>
        <sz val="11"/>
        <color theme="1"/>
        <rFont val="Calibri"/>
        <family val="2"/>
      </rPr>
      <t>√F'c</t>
    </r>
  </si>
  <si>
    <r>
      <t>0&lt;ε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&lt;ε</t>
    </r>
    <r>
      <rPr>
        <vertAlign val="subscript"/>
        <sz val="11"/>
        <color theme="1"/>
        <rFont val="Calibri"/>
        <family val="2"/>
        <scheme val="minor"/>
      </rPr>
      <t>o</t>
    </r>
  </si>
  <si>
    <r>
      <t>f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 xml:space="preserve"> = </t>
    </r>
  </si>
  <si>
    <r>
      <t>0.85*F'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*[2*(ε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/ε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) - (ε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/</t>
    </r>
    <r>
      <rPr>
        <sz val="11"/>
        <color theme="1"/>
        <rFont val="Calibri"/>
        <family val="2"/>
      </rPr>
      <t>ε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]</t>
    </r>
  </si>
  <si>
    <t>Fc</t>
  </si>
  <si>
    <t>psi</t>
  </si>
  <si>
    <t>in/in</t>
  </si>
  <si>
    <r>
      <t>ε</t>
    </r>
    <r>
      <rPr>
        <vertAlign val="subscript"/>
        <sz val="11"/>
        <color theme="1"/>
        <rFont val="Calibri"/>
        <family val="2"/>
        <scheme val="minor"/>
      </rPr>
      <t>u</t>
    </r>
  </si>
  <si>
    <t>k</t>
  </si>
  <si>
    <r>
      <t>ε</t>
    </r>
    <r>
      <rPr>
        <vertAlign val="subscript"/>
        <sz val="11"/>
        <color theme="1"/>
        <rFont val="Calibri"/>
        <family val="2"/>
        <scheme val="minor"/>
      </rPr>
      <t>u</t>
    </r>
    <r>
      <rPr>
        <sz val="11"/>
        <color theme="1"/>
        <rFont val="Calibri"/>
        <family val="2"/>
        <scheme val="minor"/>
      </rPr>
      <t>/ε</t>
    </r>
    <r>
      <rPr>
        <vertAlign val="subscript"/>
        <sz val="11"/>
        <color theme="1"/>
        <rFont val="Calibri"/>
        <family val="2"/>
        <scheme val="minor"/>
      </rPr>
      <t>o</t>
    </r>
  </si>
  <si>
    <r>
      <t>y</t>
    </r>
    <r>
      <rPr>
        <vertAlign val="subscript"/>
        <sz val="11"/>
        <color theme="1"/>
        <rFont val="Calibri"/>
        <family val="2"/>
        <scheme val="minor"/>
      </rPr>
      <t>max</t>
    </r>
  </si>
  <si>
    <t>C</t>
  </si>
  <si>
    <t>NA Depth</t>
  </si>
  <si>
    <r>
      <t>y,ε</t>
    </r>
    <r>
      <rPr>
        <vertAlign val="subscript"/>
        <sz val="11"/>
        <color theme="1"/>
        <rFont val="Calibri"/>
        <family val="2"/>
        <scheme val="minor"/>
      </rPr>
      <t>o</t>
    </r>
  </si>
  <si>
    <r>
      <t>distance from top of section to point of ε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 xml:space="preserve"> strain</t>
    </r>
  </si>
  <si>
    <t>y,limit</t>
  </si>
  <si>
    <t>ymax -y,εo = upper bound limit of application of parabolic formula</t>
  </si>
  <si>
    <t>y,start</t>
  </si>
  <si>
    <t>ymax - c = y-coordinate of 0 strain assuming strain only varies in y</t>
  </si>
  <si>
    <t>PCA Parabolic Strain-Strain Curve Formulas</t>
  </si>
  <si>
    <t>Parabolic Bounds</t>
  </si>
  <si>
    <t>theta1</t>
  </si>
  <si>
    <t>theta2</t>
  </si>
  <si>
    <t>x+</t>
  </si>
  <si>
    <t>x-</t>
  </si>
  <si>
    <t>Rectangular Bounds</t>
  </si>
  <si>
    <t>P (lbs)</t>
  </si>
  <si>
    <t>Mx (in-lbs)</t>
  </si>
  <si>
    <t>My (in-lbs)</t>
  </si>
  <si>
    <t>Tension Bars</t>
  </si>
  <si>
    <t>Compression bars</t>
  </si>
  <si>
    <t xml:space="preserve">c3 = </t>
  </si>
  <si>
    <t xml:space="preserve">c2 = </t>
  </si>
  <si>
    <t xml:space="preserve">c1 = </t>
  </si>
  <si>
    <t>y^2</t>
  </si>
  <si>
    <t>Stress Function:</t>
  </si>
  <si>
    <t>Right Side</t>
  </si>
  <si>
    <t>Left Side</t>
  </si>
  <si>
    <t>Stress Block:</t>
  </si>
  <si>
    <t>Bar Strain</t>
  </si>
  <si>
    <t>Conc Stress (ksi)</t>
  </si>
  <si>
    <t>From Steel</t>
  </si>
  <si>
    <t>Total</t>
  </si>
  <si>
    <t>about Original Axis</t>
  </si>
  <si>
    <t>Mx,n</t>
  </si>
  <si>
    <t>My,n</t>
  </si>
  <si>
    <t>M</t>
  </si>
  <si>
    <t>Mn</t>
  </si>
  <si>
    <t>Pn</t>
  </si>
  <si>
    <t>d for all compression:</t>
  </si>
  <si>
    <t>Density:</t>
  </si>
  <si>
    <t>pcf</t>
  </si>
  <si>
    <t>Tie Type:</t>
  </si>
  <si>
    <t>Density</t>
  </si>
  <si>
    <t>PvM Run Time:</t>
  </si>
  <si>
    <t>Solver Run Time:</t>
  </si>
  <si>
    <t>First Bar @ Angle:</t>
  </si>
  <si>
    <t>cover to main bar:</t>
  </si>
  <si>
    <t>Mu/phiMn</t>
  </si>
  <si>
    <t>|Mu|</t>
  </si>
  <si>
    <t>|phi Mn|</t>
  </si>
  <si>
    <t>PCA_Parabolic</t>
  </si>
  <si>
    <t>Other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</si>
</sst>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0"/>
    <numFmt numFmtId="166" formatCode="0.0000000"/>
    <numFmt numFmtId="167" formatCode="0.000E+00"/>
    <numFmt numFmtId="168" formatCode="0.0000%"/>
    <numFmt numFmtId="169" formatCode="0.000000"/>
  </numFmts>
  <fonts count="8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perscript"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5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2" fontId="0" fillId="2" borderId="0" xfId="0" applyNumberFormat="1" applyFill="1" applyAlignment="1" applyProtection="1">
      <alignment horizontal="center"/>
      <protection locked="0"/>
    </xf>
    <xf numFmtId="2" fontId="0" fillId="0" borderId="0" xfId="0" applyNumberFormat="1" applyAlignment="1">
      <alignment horizontal="center"/>
    </xf>
    <xf numFmtId="0" fontId="0" fillId="3" borderId="0" xfId="0" applyFill="1" applyAlignment="1">
      <alignment horizontal="center"/>
    </xf>
    <xf numFmtId="164" fontId="0" fillId="2" borderId="0" xfId="0" applyNumberFormat="1" applyFill="1" applyAlignment="1">
      <alignment horizontal="center"/>
    </xf>
    <xf numFmtId="165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/>
    <xf numFmtId="165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ill="1" applyAlignment="1">
      <alignment horizontal="center"/>
    </xf>
    <xf numFmtId="166" fontId="0" fillId="0" borderId="0" xfId="0" applyNumberFormat="1"/>
    <xf numFmtId="0" fontId="0" fillId="0" borderId="2" xfId="0" applyBorder="1" applyAlignment="1">
      <alignment horizontal="right"/>
    </xf>
    <xf numFmtId="165" fontId="0" fillId="0" borderId="3" xfId="0" applyNumberFormat="1" applyBorder="1" applyAlignment="1">
      <alignment horizontal="center"/>
    </xf>
    <xf numFmtId="0" fontId="0" fillId="0" borderId="4" xfId="0" applyBorder="1"/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right"/>
    </xf>
    <xf numFmtId="0" fontId="0" fillId="0" borderId="7" xfId="0" applyBorder="1"/>
    <xf numFmtId="167" fontId="0" fillId="0" borderId="8" xfId="0" applyNumberFormat="1" applyBorder="1" applyAlignment="1">
      <alignment horizontal="center"/>
    </xf>
    <xf numFmtId="167" fontId="0" fillId="4" borderId="8" xfId="0" applyNumberFormat="1" applyFill="1" applyBorder="1" applyAlignment="1">
      <alignment horizontal="center"/>
    </xf>
    <xf numFmtId="0" fontId="1" fillId="0" borderId="9" xfId="0" applyFont="1" applyBorder="1" applyAlignment="1">
      <alignment horizontal="right"/>
    </xf>
    <xf numFmtId="167" fontId="0" fillId="0" borderId="10" xfId="0" applyNumberFormat="1" applyBorder="1" applyAlignment="1">
      <alignment horizontal="center"/>
    </xf>
    <xf numFmtId="0" fontId="0" fillId="0" borderId="11" xfId="0" applyBorder="1"/>
    <xf numFmtId="167" fontId="0" fillId="0" borderId="12" xfId="0" applyNumberFormat="1" applyBorder="1" applyAlignment="1">
      <alignment horizontal="center"/>
    </xf>
    <xf numFmtId="0" fontId="2" fillId="0" borderId="0" xfId="0" applyFont="1"/>
    <xf numFmtId="0" fontId="0" fillId="0" borderId="3" xfId="0" applyBorder="1"/>
    <xf numFmtId="165" fontId="0" fillId="2" borderId="0" xfId="0" applyNumberFormat="1" applyFill="1" applyAlignment="1">
      <alignment horizontal="center"/>
    </xf>
    <xf numFmtId="0" fontId="0" fillId="0" borderId="13" xfId="0" applyBorder="1" applyAlignment="1">
      <alignment horizontal="right"/>
    </xf>
    <xf numFmtId="165" fontId="0" fillId="0" borderId="14" xfId="0" applyNumberFormat="1" applyBorder="1" applyAlignment="1">
      <alignment horizontal="center"/>
    </xf>
    <xf numFmtId="0" fontId="0" fillId="0" borderId="15" xfId="0" applyBorder="1"/>
    <xf numFmtId="11" fontId="0" fillId="2" borderId="0" xfId="0" applyNumberFormat="1" applyFill="1" applyAlignment="1">
      <alignment horizontal="center"/>
    </xf>
    <xf numFmtId="0" fontId="0" fillId="0" borderId="0" xfId="0" applyAlignment="1">
      <alignment horizontal="left"/>
    </xf>
    <xf numFmtId="164" fontId="0" fillId="0" borderId="0" xfId="0" applyNumberFormat="1"/>
    <xf numFmtId="168" fontId="0" fillId="0" borderId="0" xfId="1" applyNumberFormat="1" applyFont="1" applyAlignment="1">
      <alignment horizontal="center"/>
    </xf>
    <xf numFmtId="169" fontId="0" fillId="0" borderId="0" xfId="0" applyNumberFormat="1"/>
    <xf numFmtId="169" fontId="0" fillId="0" borderId="0" xfId="0" applyNumberFormat="1" applyAlignment="1">
      <alignment horizontal="center"/>
    </xf>
    <xf numFmtId="164" fontId="0" fillId="0" borderId="0" xfId="0" applyNumberFormat="1" applyAlignment="1">
      <alignment horizontal="left"/>
    </xf>
    <xf numFmtId="0" fontId="0" fillId="0" borderId="8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164" fontId="0" fillId="0" borderId="12" xfId="0" applyNumberFormat="1" applyBorder="1" applyAlignment="1">
      <alignment horizontal="center"/>
    </xf>
    <xf numFmtId="164" fontId="0" fillId="0" borderId="0" xfId="0" applyNumberFormat="1" applyFill="1" applyAlignment="1">
      <alignment horizontal="center"/>
    </xf>
    <xf numFmtId="0" fontId="0" fillId="0" borderId="0" xfId="0" applyFill="1"/>
    <xf numFmtId="167" fontId="0" fillId="0" borderId="0" xfId="0" applyNumberFormat="1"/>
    <xf numFmtId="0" fontId="0" fillId="0" borderId="13" xfId="0" applyFill="1" applyBorder="1" applyAlignment="1">
      <alignment horizontal="right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chartsheet" Target="chartsheets/sheet2.xml"/><Relationship Id="rId7" Type="http://schemas.openxmlformats.org/officeDocument/2006/relationships/styles" Target="style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chartsheet" Target="chartsheets/sheet4.xml"/><Relationship Id="rId10" Type="http://schemas.microsoft.com/office/2006/relationships/vbaProject" Target="vbaProject.bin"/><Relationship Id="rId4" Type="http://schemas.openxmlformats.org/officeDocument/2006/relationships/chartsheet" Target="chartsheets/sheet3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circle_section!$AR$2:$AR$362</c:f>
              <c:numCache>
                <c:formatCode>General</c:formatCode>
                <c:ptCount val="361"/>
                <c:pt idx="0">
                  <c:v>12</c:v>
                </c:pt>
                <c:pt idx="1">
                  <c:v>11.998172341876696</c:v>
                </c:pt>
                <c:pt idx="2">
                  <c:v>11.992689924229149</c:v>
                </c:pt>
                <c:pt idx="3">
                  <c:v>11.983554417054886</c:v>
                </c:pt>
                <c:pt idx="4">
                  <c:v>11.970768603117889</c:v>
                </c:pt>
                <c:pt idx="5">
                  <c:v>11.954336377100947</c:v>
                </c:pt>
                <c:pt idx="6">
                  <c:v>11.934262744419279</c:v>
                </c:pt>
                <c:pt idx="7">
                  <c:v>11.910553819695863</c:v>
                </c:pt>
                <c:pt idx="8">
                  <c:v>11.883216824898845</c:v>
                </c:pt>
                <c:pt idx="9">
                  <c:v>11.852260087141653</c:v>
                </c:pt>
                <c:pt idx="10">
                  <c:v>11.817693036146496</c:v>
                </c:pt>
                <c:pt idx="11">
                  <c:v>11.779526201371969</c:v>
                </c:pt>
                <c:pt idx="12">
                  <c:v>11.737771208805668</c:v>
                </c:pt>
                <c:pt idx="13">
                  <c:v>11.692440777422823</c:v>
                </c:pt>
                <c:pt idx="14">
                  <c:v>11.643548715311958</c:v>
                </c:pt>
                <c:pt idx="15">
                  <c:v>11.59110991546882</c:v>
                </c:pt>
                <c:pt idx="16">
                  <c:v>11.535140351259827</c:v>
                </c:pt>
                <c:pt idx="17">
                  <c:v>11.475657071556425</c:v>
                </c:pt>
                <c:pt idx="18">
                  <c:v>11.412678195541842</c:v>
                </c:pt>
                <c:pt idx="19">
                  <c:v>11.346222907191802</c:v>
                </c:pt>
                <c:pt idx="20">
                  <c:v>11.276311449430901</c:v>
                </c:pt>
                <c:pt idx="21">
                  <c:v>11.202965117966421</c:v>
                </c:pt>
                <c:pt idx="22">
                  <c:v>11.126206254801449</c:v>
                </c:pt>
                <c:pt idx="23">
                  <c:v>11.046058241429284</c:v>
                </c:pt>
                <c:pt idx="24">
                  <c:v>10.962545491711211</c:v>
                </c:pt>
                <c:pt idx="25">
                  <c:v>10.875693444439799</c:v>
                </c:pt>
                <c:pt idx="26">
                  <c:v>10.785528555590005</c:v>
                </c:pt>
                <c:pt idx="27">
                  <c:v>10.692078290260415</c:v>
                </c:pt>
                <c:pt idx="28">
                  <c:v>10.595371114307124</c:v>
                </c:pt>
                <c:pt idx="29">
                  <c:v>10.495436485672748</c:v>
                </c:pt>
                <c:pt idx="30">
                  <c:v>10.392304845413264</c:v>
                </c:pt>
                <c:pt idx="31">
                  <c:v>10.286007608425347</c:v>
                </c:pt>
                <c:pt idx="32">
                  <c:v>10.176577153877112</c:v>
                </c:pt>
                <c:pt idx="33">
                  <c:v>10.064046815345089</c:v>
                </c:pt>
                <c:pt idx="34">
                  <c:v>9.9484508706604995</c:v>
                </c:pt>
                <c:pt idx="35">
                  <c:v>9.8298245314679011</c:v>
                </c:pt>
                <c:pt idx="36">
                  <c:v>9.7082039324993694</c:v>
                </c:pt>
                <c:pt idx="37">
                  <c:v>9.583626120567514</c:v>
                </c:pt>
                <c:pt idx="38">
                  <c:v>9.4561290432806633</c:v>
                </c:pt>
                <c:pt idx="39">
                  <c:v>9.3257515374836508</c:v>
                </c:pt>
                <c:pt idx="40">
                  <c:v>9.1925333174277366</c:v>
                </c:pt>
                <c:pt idx="41">
                  <c:v>9.0565149626732637</c:v>
                </c:pt>
                <c:pt idx="42">
                  <c:v>8.9177379057287318</c:v>
                </c:pt>
                <c:pt idx="43">
                  <c:v>8.7762444194300464</c:v>
                </c:pt>
                <c:pt idx="44">
                  <c:v>8.6320776040638147</c:v>
                </c:pt>
                <c:pt idx="45">
                  <c:v>8.4852813742385713</c:v>
                </c:pt>
                <c:pt idx="46">
                  <c:v>8.335900445507967</c:v>
                </c:pt>
                <c:pt idx="47">
                  <c:v>8.1839803207499813</c:v>
                </c:pt>
                <c:pt idx="48">
                  <c:v>8.0295672763062989</c:v>
                </c:pt>
                <c:pt idx="49">
                  <c:v>7.8727083478860873</c:v>
                </c:pt>
                <c:pt idx="50">
                  <c:v>7.7134513162384728</c:v>
                </c:pt>
                <c:pt idx="51">
                  <c:v>7.55184469259805</c:v>
                </c:pt>
                <c:pt idx="52">
                  <c:v>7.3879377039078999</c:v>
                </c:pt>
                <c:pt idx="53">
                  <c:v>7.2217802778245801</c:v>
                </c:pt>
                <c:pt idx="54">
                  <c:v>7.0534230275096776</c:v>
                </c:pt>
                <c:pt idx="55">
                  <c:v>6.8829172362125544</c:v>
                </c:pt>
                <c:pt idx="56">
                  <c:v>6.7103148416489615</c:v>
                </c:pt>
                <c:pt idx="57">
                  <c:v>6.5356684201803255</c:v>
                </c:pt>
                <c:pt idx="58">
                  <c:v>6.3590311707984588</c:v>
                </c:pt>
                <c:pt idx="59">
                  <c:v>6.1804568989206494</c:v>
                </c:pt>
                <c:pt idx="60">
                  <c:v>6.0000000000000018</c:v>
                </c:pt>
                <c:pt idx="61">
                  <c:v>5.8177154429560449</c:v>
                </c:pt>
                <c:pt idx="62">
                  <c:v>5.6336587534306908</c:v>
                </c:pt>
                <c:pt idx="63">
                  <c:v>5.4478859968745619</c:v>
                </c:pt>
                <c:pt idx="64">
                  <c:v>5.2604537614689297</c:v>
                </c:pt>
                <c:pt idx="65">
                  <c:v>5.0714191408883931</c:v>
                </c:pt>
                <c:pt idx="66">
                  <c:v>4.8808397169096027</c:v>
                </c:pt>
                <c:pt idx="67">
                  <c:v>4.688773541871285</c:v>
                </c:pt>
                <c:pt idx="68">
                  <c:v>4.4952791209909435</c:v>
                </c:pt>
                <c:pt idx="69">
                  <c:v>4.3004153945436041</c:v>
                </c:pt>
                <c:pt idx="70">
                  <c:v>4.1042417199080257</c:v>
                </c:pt>
                <c:pt idx="71">
                  <c:v>3.9068178534858813</c:v>
                </c:pt>
                <c:pt idx="72">
                  <c:v>3.7082039324993694</c:v>
                </c:pt>
                <c:pt idx="73">
                  <c:v>3.5084604566728412</c:v>
                </c:pt>
                <c:pt idx="74">
                  <c:v>3.3076482698039902</c:v>
                </c:pt>
                <c:pt idx="75">
                  <c:v>3.1058285412302489</c:v>
                </c:pt>
                <c:pt idx="76">
                  <c:v>2.903062747196012</c:v>
                </c:pt>
                <c:pt idx="77">
                  <c:v>2.6994126521263793</c:v>
                </c:pt>
                <c:pt idx="78">
                  <c:v>2.4949402898131137</c:v>
                </c:pt>
                <c:pt idx="79">
                  <c:v>2.2897079445185389</c:v>
                </c:pt>
                <c:pt idx="80">
                  <c:v>2.083778132003165</c:v>
                </c:pt>
                <c:pt idx="81">
                  <c:v>1.877213580482771</c:v>
                </c:pt>
                <c:pt idx="82">
                  <c:v>1.6700772115207856</c:v>
                </c:pt>
                <c:pt idx="83">
                  <c:v>1.4624321208617699</c:v>
                </c:pt>
                <c:pt idx="84">
                  <c:v>1.2543415592118414</c:v>
                </c:pt>
                <c:pt idx="85">
                  <c:v>1.0458689129718977</c:v>
                </c:pt>
                <c:pt idx="86">
                  <c:v>0.83707768492950274</c:v>
                </c:pt>
                <c:pt idx="87">
                  <c:v>0.62803147491532763</c:v>
                </c:pt>
                <c:pt idx="88">
                  <c:v>0.41879396043001293</c:v>
                </c:pt>
                <c:pt idx="89">
                  <c:v>0.20942887724740317</c:v>
                </c:pt>
                <c:pt idx="90">
                  <c:v>7.3508907294517201E-16</c:v>
                </c:pt>
                <c:pt idx="91">
                  <c:v>-0.20942887724740172</c:v>
                </c:pt>
                <c:pt idx="92">
                  <c:v>-0.41879396043001149</c:v>
                </c:pt>
                <c:pt idx="93">
                  <c:v>-0.62803147491532607</c:v>
                </c:pt>
                <c:pt idx="94">
                  <c:v>-0.83707768492950396</c:v>
                </c:pt>
                <c:pt idx="95">
                  <c:v>-1.0458689129718988</c:v>
                </c:pt>
                <c:pt idx="96">
                  <c:v>-1.2543415592118428</c:v>
                </c:pt>
                <c:pt idx="97">
                  <c:v>-1.4624321208617683</c:v>
                </c:pt>
                <c:pt idx="98">
                  <c:v>-1.6700772115207843</c:v>
                </c:pt>
                <c:pt idx="99">
                  <c:v>-1.8772135804827697</c:v>
                </c:pt>
                <c:pt idx="100">
                  <c:v>-2.0837781320031636</c:v>
                </c:pt>
                <c:pt idx="101">
                  <c:v>-2.2897079445185375</c:v>
                </c:pt>
                <c:pt idx="102">
                  <c:v>-2.4949402898131119</c:v>
                </c:pt>
                <c:pt idx="103">
                  <c:v>-2.6994126521263802</c:v>
                </c:pt>
                <c:pt idx="104">
                  <c:v>-2.9030627471960133</c:v>
                </c:pt>
                <c:pt idx="105">
                  <c:v>-3.1058285412302502</c:v>
                </c:pt>
                <c:pt idx="106">
                  <c:v>-3.3076482698039884</c:v>
                </c:pt>
                <c:pt idx="107">
                  <c:v>-3.5084604566728399</c:v>
                </c:pt>
                <c:pt idx="108">
                  <c:v>-3.7082039324993681</c:v>
                </c:pt>
                <c:pt idx="109">
                  <c:v>-3.9068178534858795</c:v>
                </c:pt>
                <c:pt idx="110">
                  <c:v>-4.1042417199080248</c:v>
                </c:pt>
                <c:pt idx="111">
                  <c:v>-4.3004153945436032</c:v>
                </c:pt>
                <c:pt idx="112">
                  <c:v>-4.4952791209909453</c:v>
                </c:pt>
                <c:pt idx="113">
                  <c:v>-4.688773541871285</c:v>
                </c:pt>
                <c:pt idx="114">
                  <c:v>-4.8808397169096036</c:v>
                </c:pt>
                <c:pt idx="115">
                  <c:v>-5.0714191408883922</c:v>
                </c:pt>
                <c:pt idx="116">
                  <c:v>-5.2604537614689306</c:v>
                </c:pt>
                <c:pt idx="117">
                  <c:v>-5.4478859968745601</c:v>
                </c:pt>
                <c:pt idx="118">
                  <c:v>-5.6336587534306908</c:v>
                </c:pt>
                <c:pt idx="119">
                  <c:v>-5.817715442956044</c:v>
                </c:pt>
                <c:pt idx="120">
                  <c:v>-5.9999999999999973</c:v>
                </c:pt>
                <c:pt idx="121">
                  <c:v>-6.1804568989206512</c:v>
                </c:pt>
                <c:pt idx="122">
                  <c:v>-6.3590311707984579</c:v>
                </c:pt>
                <c:pt idx="123">
                  <c:v>-6.5356684201803255</c:v>
                </c:pt>
                <c:pt idx="124">
                  <c:v>-6.7103148416489606</c:v>
                </c:pt>
                <c:pt idx="125">
                  <c:v>-6.8829172362125544</c:v>
                </c:pt>
                <c:pt idx="126">
                  <c:v>-7.0534230275096768</c:v>
                </c:pt>
                <c:pt idx="127">
                  <c:v>-7.2217802778245801</c:v>
                </c:pt>
                <c:pt idx="128">
                  <c:v>-7.3879377039078999</c:v>
                </c:pt>
                <c:pt idx="129">
                  <c:v>-7.5518446925980474</c:v>
                </c:pt>
                <c:pt idx="130">
                  <c:v>-7.7134513162384728</c:v>
                </c:pt>
                <c:pt idx="131">
                  <c:v>-7.8727083478860855</c:v>
                </c:pt>
                <c:pt idx="132">
                  <c:v>-8.0295672763062989</c:v>
                </c:pt>
                <c:pt idx="133">
                  <c:v>-8.1839803207499813</c:v>
                </c:pt>
                <c:pt idx="134">
                  <c:v>-8.3359004455079688</c:v>
                </c:pt>
                <c:pt idx="135">
                  <c:v>-8.4852813742385695</c:v>
                </c:pt>
                <c:pt idx="136">
                  <c:v>-8.6320776040638147</c:v>
                </c:pt>
                <c:pt idx="137">
                  <c:v>-8.7762444194300464</c:v>
                </c:pt>
                <c:pt idx="138">
                  <c:v>-8.9177379057287283</c:v>
                </c:pt>
                <c:pt idx="139">
                  <c:v>-9.0565149626732637</c:v>
                </c:pt>
                <c:pt idx="140">
                  <c:v>-9.1925333174277348</c:v>
                </c:pt>
                <c:pt idx="141">
                  <c:v>-9.3257515374836508</c:v>
                </c:pt>
                <c:pt idx="142">
                  <c:v>-9.4561290432806633</c:v>
                </c:pt>
                <c:pt idx="143">
                  <c:v>-9.5836261205675157</c:v>
                </c:pt>
                <c:pt idx="144">
                  <c:v>-9.7082039324993676</c:v>
                </c:pt>
                <c:pt idx="145">
                  <c:v>-9.8298245314679029</c:v>
                </c:pt>
                <c:pt idx="146">
                  <c:v>-9.9484508706604995</c:v>
                </c:pt>
                <c:pt idx="147">
                  <c:v>-10.064046815345087</c:v>
                </c:pt>
                <c:pt idx="148">
                  <c:v>-10.176577153877112</c:v>
                </c:pt>
                <c:pt idx="149">
                  <c:v>-10.286007608425347</c:v>
                </c:pt>
                <c:pt idx="150">
                  <c:v>-10.392304845413264</c:v>
                </c:pt>
                <c:pt idx="151">
                  <c:v>-10.495436485672748</c:v>
                </c:pt>
                <c:pt idx="152">
                  <c:v>-10.595371114307124</c:v>
                </c:pt>
                <c:pt idx="153">
                  <c:v>-10.692078290260413</c:v>
                </c:pt>
                <c:pt idx="154">
                  <c:v>-10.785528555590005</c:v>
                </c:pt>
                <c:pt idx="155">
                  <c:v>-10.875693444439799</c:v>
                </c:pt>
                <c:pt idx="156">
                  <c:v>-10.962545491711209</c:v>
                </c:pt>
                <c:pt idx="157">
                  <c:v>-11.046058241429284</c:v>
                </c:pt>
                <c:pt idx="158">
                  <c:v>-11.126206254801447</c:v>
                </c:pt>
                <c:pt idx="159">
                  <c:v>-11.202965117966421</c:v>
                </c:pt>
                <c:pt idx="160">
                  <c:v>-11.276311449430899</c:v>
                </c:pt>
                <c:pt idx="161">
                  <c:v>-11.346222907191802</c:v>
                </c:pt>
                <c:pt idx="162">
                  <c:v>-11.412678195541842</c:v>
                </c:pt>
                <c:pt idx="163">
                  <c:v>-11.475657071556427</c:v>
                </c:pt>
                <c:pt idx="164">
                  <c:v>-11.535140351259827</c:v>
                </c:pt>
                <c:pt idx="165">
                  <c:v>-11.591109915468818</c:v>
                </c:pt>
                <c:pt idx="166">
                  <c:v>-11.643548715311958</c:v>
                </c:pt>
                <c:pt idx="167">
                  <c:v>-11.692440777422821</c:v>
                </c:pt>
                <c:pt idx="168">
                  <c:v>-11.737771208805668</c:v>
                </c:pt>
                <c:pt idx="169">
                  <c:v>-11.779526201371969</c:v>
                </c:pt>
                <c:pt idx="170">
                  <c:v>-11.817693036146496</c:v>
                </c:pt>
                <c:pt idx="171">
                  <c:v>-11.852260087141651</c:v>
                </c:pt>
                <c:pt idx="172">
                  <c:v>-11.883216824898845</c:v>
                </c:pt>
                <c:pt idx="173">
                  <c:v>-11.910553819695863</c:v>
                </c:pt>
                <c:pt idx="174">
                  <c:v>-11.934262744419279</c:v>
                </c:pt>
                <c:pt idx="175">
                  <c:v>-11.954336377100947</c:v>
                </c:pt>
                <c:pt idx="176">
                  <c:v>-11.970768603117889</c:v>
                </c:pt>
                <c:pt idx="177">
                  <c:v>-11.983554417054886</c:v>
                </c:pt>
                <c:pt idx="178">
                  <c:v>-11.992689924229149</c:v>
                </c:pt>
                <c:pt idx="179">
                  <c:v>-11.998172341876696</c:v>
                </c:pt>
                <c:pt idx="180">
                  <c:v>-12</c:v>
                </c:pt>
                <c:pt idx="181">
                  <c:v>-11.998172341876696</c:v>
                </c:pt>
                <c:pt idx="182">
                  <c:v>-11.992689924229149</c:v>
                </c:pt>
                <c:pt idx="183">
                  <c:v>-11.983554417054886</c:v>
                </c:pt>
                <c:pt idx="184">
                  <c:v>-11.970768603117889</c:v>
                </c:pt>
                <c:pt idx="185">
                  <c:v>-11.954336377100947</c:v>
                </c:pt>
                <c:pt idx="186">
                  <c:v>-11.934262744419279</c:v>
                </c:pt>
                <c:pt idx="187">
                  <c:v>-11.910553819695865</c:v>
                </c:pt>
                <c:pt idx="188">
                  <c:v>-11.883216824898843</c:v>
                </c:pt>
                <c:pt idx="189">
                  <c:v>-11.852260087141653</c:v>
                </c:pt>
                <c:pt idx="190">
                  <c:v>-11.817693036146496</c:v>
                </c:pt>
                <c:pt idx="191">
                  <c:v>-11.779526201371969</c:v>
                </c:pt>
                <c:pt idx="192">
                  <c:v>-11.737771208805666</c:v>
                </c:pt>
                <c:pt idx="193">
                  <c:v>-11.692440777422823</c:v>
                </c:pt>
                <c:pt idx="194">
                  <c:v>-11.643548715311958</c:v>
                </c:pt>
                <c:pt idx="195">
                  <c:v>-11.59110991546882</c:v>
                </c:pt>
                <c:pt idx="196">
                  <c:v>-11.535140351259827</c:v>
                </c:pt>
                <c:pt idx="197">
                  <c:v>-11.475657071556425</c:v>
                </c:pt>
                <c:pt idx="198">
                  <c:v>-11.412678195541844</c:v>
                </c:pt>
                <c:pt idx="199">
                  <c:v>-11.346222907191802</c:v>
                </c:pt>
                <c:pt idx="200">
                  <c:v>-11.276311449430901</c:v>
                </c:pt>
                <c:pt idx="201">
                  <c:v>-11.202965117966421</c:v>
                </c:pt>
                <c:pt idx="202">
                  <c:v>-11.126206254801449</c:v>
                </c:pt>
                <c:pt idx="203">
                  <c:v>-11.046058241429284</c:v>
                </c:pt>
                <c:pt idx="204">
                  <c:v>-10.962545491711211</c:v>
                </c:pt>
                <c:pt idx="205">
                  <c:v>-10.875693444439801</c:v>
                </c:pt>
                <c:pt idx="206">
                  <c:v>-10.785528555590004</c:v>
                </c:pt>
                <c:pt idx="207">
                  <c:v>-10.692078290260415</c:v>
                </c:pt>
                <c:pt idx="208">
                  <c:v>-10.595371114307122</c:v>
                </c:pt>
                <c:pt idx="209">
                  <c:v>-10.49543648567275</c:v>
                </c:pt>
                <c:pt idx="210">
                  <c:v>-10.392304845413264</c:v>
                </c:pt>
                <c:pt idx="211">
                  <c:v>-10.286007608425347</c:v>
                </c:pt>
                <c:pt idx="212">
                  <c:v>-10.176577153877112</c:v>
                </c:pt>
                <c:pt idx="213">
                  <c:v>-10.064046815345089</c:v>
                </c:pt>
                <c:pt idx="214">
                  <c:v>-9.9484508706605013</c:v>
                </c:pt>
                <c:pt idx="215">
                  <c:v>-9.8298245314679011</c:v>
                </c:pt>
                <c:pt idx="216">
                  <c:v>-9.7082039324993712</c:v>
                </c:pt>
                <c:pt idx="217">
                  <c:v>-9.583626120567514</c:v>
                </c:pt>
                <c:pt idx="218">
                  <c:v>-9.4561290432806651</c:v>
                </c:pt>
                <c:pt idx="219">
                  <c:v>-9.325751537483649</c:v>
                </c:pt>
                <c:pt idx="220">
                  <c:v>-9.1925333174277366</c:v>
                </c:pt>
                <c:pt idx="221">
                  <c:v>-9.0565149626732655</c:v>
                </c:pt>
                <c:pt idx="222">
                  <c:v>-8.9177379057287318</c:v>
                </c:pt>
                <c:pt idx="223">
                  <c:v>-8.7762444194300464</c:v>
                </c:pt>
                <c:pt idx="224">
                  <c:v>-8.632077604063813</c:v>
                </c:pt>
                <c:pt idx="225">
                  <c:v>-8.4852813742385713</c:v>
                </c:pt>
                <c:pt idx="226">
                  <c:v>-8.335900445507967</c:v>
                </c:pt>
                <c:pt idx="227">
                  <c:v>-8.1839803207499831</c:v>
                </c:pt>
                <c:pt idx="228">
                  <c:v>-8.0295672763062971</c:v>
                </c:pt>
                <c:pt idx="229">
                  <c:v>-7.8727083478860873</c:v>
                </c:pt>
                <c:pt idx="230">
                  <c:v>-7.7134513162384737</c:v>
                </c:pt>
                <c:pt idx="231">
                  <c:v>-7.5518446925980545</c:v>
                </c:pt>
                <c:pt idx="232">
                  <c:v>-7.3879377039078964</c:v>
                </c:pt>
                <c:pt idx="233">
                  <c:v>-7.2217802778245792</c:v>
                </c:pt>
                <c:pt idx="234">
                  <c:v>-7.0534230275096785</c:v>
                </c:pt>
                <c:pt idx="235">
                  <c:v>-6.8829172362125561</c:v>
                </c:pt>
                <c:pt idx="236">
                  <c:v>-6.7103148416489589</c:v>
                </c:pt>
                <c:pt idx="237">
                  <c:v>-6.5356684201803237</c:v>
                </c:pt>
                <c:pt idx="238">
                  <c:v>-6.3590311707984597</c:v>
                </c:pt>
                <c:pt idx="239">
                  <c:v>-6.1804568989206539</c:v>
                </c:pt>
                <c:pt idx="240">
                  <c:v>-6.0000000000000053</c:v>
                </c:pt>
                <c:pt idx="241">
                  <c:v>-5.8177154429560423</c:v>
                </c:pt>
                <c:pt idx="242">
                  <c:v>-5.633658753430689</c:v>
                </c:pt>
                <c:pt idx="243">
                  <c:v>-5.4478859968745628</c:v>
                </c:pt>
                <c:pt idx="244">
                  <c:v>-5.2604537614689324</c:v>
                </c:pt>
                <c:pt idx="245">
                  <c:v>-5.0714191408883895</c:v>
                </c:pt>
                <c:pt idx="246">
                  <c:v>-4.8808397169096009</c:v>
                </c:pt>
                <c:pt idx="247">
                  <c:v>-4.6887735418712859</c:v>
                </c:pt>
                <c:pt idx="248">
                  <c:v>-4.4952791209909471</c:v>
                </c:pt>
                <c:pt idx="249">
                  <c:v>-4.3004153945436085</c:v>
                </c:pt>
                <c:pt idx="250">
                  <c:v>-4.104241719908023</c:v>
                </c:pt>
                <c:pt idx="251">
                  <c:v>-3.9068178534858795</c:v>
                </c:pt>
                <c:pt idx="252">
                  <c:v>-3.7082039324993707</c:v>
                </c:pt>
                <c:pt idx="253">
                  <c:v>-3.5084604566728452</c:v>
                </c:pt>
                <c:pt idx="254">
                  <c:v>-3.3076482698039866</c:v>
                </c:pt>
                <c:pt idx="255">
                  <c:v>-3.1058285412302475</c:v>
                </c:pt>
                <c:pt idx="256">
                  <c:v>-2.9030627471960133</c:v>
                </c:pt>
                <c:pt idx="257">
                  <c:v>-2.6994126521263828</c:v>
                </c:pt>
                <c:pt idx="258">
                  <c:v>-2.4949402898131172</c:v>
                </c:pt>
                <c:pt idx="259">
                  <c:v>-2.2897079445185353</c:v>
                </c:pt>
                <c:pt idx="260">
                  <c:v>-2.0837781320031641</c:v>
                </c:pt>
                <c:pt idx="261">
                  <c:v>-1.8772135804827723</c:v>
                </c:pt>
                <c:pt idx="262">
                  <c:v>-1.6700772115207898</c:v>
                </c:pt>
                <c:pt idx="263">
                  <c:v>-1.4624321208617661</c:v>
                </c:pt>
                <c:pt idx="264">
                  <c:v>-1.2543415592118403</c:v>
                </c:pt>
                <c:pt idx="265">
                  <c:v>-1.045868912971899</c:v>
                </c:pt>
                <c:pt idx="266">
                  <c:v>-0.83707768492950696</c:v>
                </c:pt>
                <c:pt idx="267">
                  <c:v>-0.62803147491533173</c:v>
                </c:pt>
                <c:pt idx="268">
                  <c:v>-0.41879396043000916</c:v>
                </c:pt>
                <c:pt idx="269">
                  <c:v>-0.20942887724740197</c:v>
                </c:pt>
                <c:pt idx="270">
                  <c:v>-2.205267218835516E-15</c:v>
                </c:pt>
                <c:pt idx="271">
                  <c:v>0.20942887724739756</c:v>
                </c:pt>
                <c:pt idx="272">
                  <c:v>0.41879396043001538</c:v>
                </c:pt>
                <c:pt idx="273">
                  <c:v>0.62803147491532729</c:v>
                </c:pt>
                <c:pt idx="274">
                  <c:v>0.83707768492950263</c:v>
                </c:pt>
                <c:pt idx="275">
                  <c:v>1.0458689129718945</c:v>
                </c:pt>
                <c:pt idx="276">
                  <c:v>1.2543415592118359</c:v>
                </c:pt>
                <c:pt idx="277">
                  <c:v>1.4624321208617723</c:v>
                </c:pt>
                <c:pt idx="278">
                  <c:v>1.6700772115207856</c:v>
                </c:pt>
                <c:pt idx="279">
                  <c:v>1.8772135804827681</c:v>
                </c:pt>
                <c:pt idx="280">
                  <c:v>2.0837781320031596</c:v>
                </c:pt>
                <c:pt idx="281">
                  <c:v>2.2897079445185415</c:v>
                </c:pt>
                <c:pt idx="282">
                  <c:v>2.4949402898131132</c:v>
                </c:pt>
                <c:pt idx="283">
                  <c:v>2.6994126521263793</c:v>
                </c:pt>
                <c:pt idx="284">
                  <c:v>2.9030627471960093</c:v>
                </c:pt>
                <c:pt idx="285">
                  <c:v>3.1058285412302435</c:v>
                </c:pt>
                <c:pt idx="286">
                  <c:v>3.3076482698039928</c:v>
                </c:pt>
                <c:pt idx="287">
                  <c:v>3.5084604566728403</c:v>
                </c:pt>
                <c:pt idx="288">
                  <c:v>3.7082039324993668</c:v>
                </c:pt>
                <c:pt idx="289">
                  <c:v>3.906817853485876</c:v>
                </c:pt>
                <c:pt idx="290">
                  <c:v>4.1042417199080283</c:v>
                </c:pt>
                <c:pt idx="291">
                  <c:v>4.3004153945436041</c:v>
                </c:pt>
                <c:pt idx="292">
                  <c:v>4.4952791209909435</c:v>
                </c:pt>
                <c:pt idx="293">
                  <c:v>4.6887735418712815</c:v>
                </c:pt>
                <c:pt idx="294">
                  <c:v>4.8808397169095974</c:v>
                </c:pt>
                <c:pt idx="295">
                  <c:v>5.0714191408883948</c:v>
                </c:pt>
                <c:pt idx="296">
                  <c:v>5.2604537614689288</c:v>
                </c:pt>
                <c:pt idx="297">
                  <c:v>5.4478859968745592</c:v>
                </c:pt>
                <c:pt idx="298">
                  <c:v>5.6336587534306855</c:v>
                </c:pt>
                <c:pt idx="299">
                  <c:v>5.8177154429560476</c:v>
                </c:pt>
                <c:pt idx="300">
                  <c:v>6.0000000000000018</c:v>
                </c:pt>
                <c:pt idx="301">
                  <c:v>6.1804568989206494</c:v>
                </c:pt>
                <c:pt idx="302">
                  <c:v>6.3590311707984561</c:v>
                </c:pt>
                <c:pt idx="303">
                  <c:v>6.5356684201803201</c:v>
                </c:pt>
                <c:pt idx="304">
                  <c:v>6.7103148416489642</c:v>
                </c:pt>
                <c:pt idx="305">
                  <c:v>6.8829172362125526</c:v>
                </c:pt>
                <c:pt idx="306">
                  <c:v>7.053423027509675</c:v>
                </c:pt>
                <c:pt idx="307">
                  <c:v>7.2217802778245748</c:v>
                </c:pt>
                <c:pt idx="308">
                  <c:v>7.3879377039079017</c:v>
                </c:pt>
                <c:pt idx="309">
                  <c:v>7.55184469259805</c:v>
                </c:pt>
                <c:pt idx="310">
                  <c:v>7.713451316238471</c:v>
                </c:pt>
                <c:pt idx="311">
                  <c:v>7.8727083478860846</c:v>
                </c:pt>
                <c:pt idx="312">
                  <c:v>8.0295672763062935</c:v>
                </c:pt>
                <c:pt idx="313">
                  <c:v>8.1839803207499831</c:v>
                </c:pt>
                <c:pt idx="314">
                  <c:v>8.335900445507967</c:v>
                </c:pt>
                <c:pt idx="315">
                  <c:v>8.4852813742385678</c:v>
                </c:pt>
                <c:pt idx="316">
                  <c:v>8.6320776040638094</c:v>
                </c:pt>
                <c:pt idx="317">
                  <c:v>8.7762444194300482</c:v>
                </c:pt>
                <c:pt idx="318">
                  <c:v>8.9177379057287318</c:v>
                </c:pt>
                <c:pt idx="319">
                  <c:v>9.0565149626732619</c:v>
                </c:pt>
                <c:pt idx="320">
                  <c:v>9.1925333174277331</c:v>
                </c:pt>
                <c:pt idx="321">
                  <c:v>9.3257515374836473</c:v>
                </c:pt>
                <c:pt idx="322">
                  <c:v>9.4561290432806651</c:v>
                </c:pt>
                <c:pt idx="323">
                  <c:v>9.583626120567514</c:v>
                </c:pt>
                <c:pt idx="324">
                  <c:v>9.7082039324993676</c:v>
                </c:pt>
                <c:pt idx="325">
                  <c:v>9.8298245314678994</c:v>
                </c:pt>
                <c:pt idx="326">
                  <c:v>9.9484508706605013</c:v>
                </c:pt>
                <c:pt idx="327">
                  <c:v>10.064046815345089</c:v>
                </c:pt>
                <c:pt idx="328">
                  <c:v>10.176577153877112</c:v>
                </c:pt>
                <c:pt idx="329">
                  <c:v>10.286007608425345</c:v>
                </c:pt>
                <c:pt idx="330">
                  <c:v>10.39230484541326</c:v>
                </c:pt>
                <c:pt idx="331">
                  <c:v>10.49543648567275</c:v>
                </c:pt>
                <c:pt idx="332">
                  <c:v>10.595371114307122</c:v>
                </c:pt>
                <c:pt idx="333">
                  <c:v>10.692078290260413</c:v>
                </c:pt>
                <c:pt idx="334">
                  <c:v>10.785528555590002</c:v>
                </c:pt>
                <c:pt idx="335">
                  <c:v>10.875693444439801</c:v>
                </c:pt>
                <c:pt idx="336">
                  <c:v>10.962545491711211</c:v>
                </c:pt>
                <c:pt idx="337">
                  <c:v>11.046058241429282</c:v>
                </c:pt>
                <c:pt idx="338">
                  <c:v>11.126206254801447</c:v>
                </c:pt>
                <c:pt idx="339">
                  <c:v>11.202965117966418</c:v>
                </c:pt>
                <c:pt idx="340">
                  <c:v>11.276311449430901</c:v>
                </c:pt>
                <c:pt idx="341">
                  <c:v>11.346222907191802</c:v>
                </c:pt>
                <c:pt idx="342">
                  <c:v>11.412678195541842</c:v>
                </c:pt>
                <c:pt idx="343">
                  <c:v>11.475657071556423</c:v>
                </c:pt>
                <c:pt idx="344">
                  <c:v>11.535140351259827</c:v>
                </c:pt>
                <c:pt idx="345">
                  <c:v>11.59110991546882</c:v>
                </c:pt>
                <c:pt idx="346">
                  <c:v>11.643548715311958</c:v>
                </c:pt>
                <c:pt idx="347">
                  <c:v>11.692440777422821</c:v>
                </c:pt>
                <c:pt idx="348">
                  <c:v>11.737771208805666</c:v>
                </c:pt>
                <c:pt idx="349">
                  <c:v>11.779526201371969</c:v>
                </c:pt>
                <c:pt idx="350">
                  <c:v>11.817693036146496</c:v>
                </c:pt>
                <c:pt idx="351">
                  <c:v>11.852260087141651</c:v>
                </c:pt>
                <c:pt idx="352">
                  <c:v>11.883216824898843</c:v>
                </c:pt>
                <c:pt idx="353">
                  <c:v>11.910553819695865</c:v>
                </c:pt>
                <c:pt idx="354">
                  <c:v>11.934262744419279</c:v>
                </c:pt>
                <c:pt idx="355">
                  <c:v>11.954336377100947</c:v>
                </c:pt>
                <c:pt idx="356">
                  <c:v>11.970768603117889</c:v>
                </c:pt>
                <c:pt idx="357">
                  <c:v>11.983554417054886</c:v>
                </c:pt>
                <c:pt idx="358">
                  <c:v>11.992689924229149</c:v>
                </c:pt>
                <c:pt idx="359">
                  <c:v>11.998172341876696</c:v>
                </c:pt>
                <c:pt idx="360">
                  <c:v>12</c:v>
                </c:pt>
              </c:numCache>
            </c:numRef>
          </c:xVal>
          <c:yVal>
            <c:numRef>
              <c:f>circle_section!$AS$2:$AS$362</c:f>
              <c:numCache>
                <c:formatCode>General</c:formatCode>
                <c:ptCount val="361"/>
                <c:pt idx="0">
                  <c:v>0</c:v>
                </c:pt>
                <c:pt idx="1">
                  <c:v>0.20942887724740214</c:v>
                </c:pt>
                <c:pt idx="2">
                  <c:v>0.4187939604300116</c:v>
                </c:pt>
                <c:pt idx="3">
                  <c:v>0.62803147491532596</c:v>
                </c:pt>
                <c:pt idx="4">
                  <c:v>0.83707768492950363</c:v>
                </c:pt>
                <c:pt idx="5">
                  <c:v>1.0458689129718981</c:v>
                </c:pt>
                <c:pt idx="6">
                  <c:v>1.2543415592118417</c:v>
                </c:pt>
                <c:pt idx="7">
                  <c:v>1.4624321208617697</c:v>
                </c:pt>
                <c:pt idx="8">
                  <c:v>1.6700772115207854</c:v>
                </c:pt>
                <c:pt idx="9">
                  <c:v>1.8772135804827705</c:v>
                </c:pt>
                <c:pt idx="10">
                  <c:v>2.0837781320031641</c:v>
                </c:pt>
                <c:pt idx="11">
                  <c:v>2.2897079445185375</c:v>
                </c:pt>
                <c:pt idx="12">
                  <c:v>2.4949402898131119</c:v>
                </c:pt>
                <c:pt idx="13">
                  <c:v>2.6994126521263802</c:v>
                </c:pt>
                <c:pt idx="14">
                  <c:v>2.9030627471960129</c:v>
                </c:pt>
                <c:pt idx="15">
                  <c:v>3.1058285412302489</c:v>
                </c:pt>
                <c:pt idx="16">
                  <c:v>3.3076482698039902</c:v>
                </c:pt>
                <c:pt idx="17">
                  <c:v>3.5084604566728412</c:v>
                </c:pt>
                <c:pt idx="18">
                  <c:v>3.7082039324993685</c:v>
                </c:pt>
                <c:pt idx="19">
                  <c:v>3.9068178534858804</c:v>
                </c:pt>
                <c:pt idx="20">
                  <c:v>4.1042417199080248</c:v>
                </c:pt>
                <c:pt idx="21">
                  <c:v>4.3004153945436032</c:v>
                </c:pt>
                <c:pt idx="22">
                  <c:v>4.4952791209909444</c:v>
                </c:pt>
                <c:pt idx="23">
                  <c:v>4.688773541871285</c:v>
                </c:pt>
                <c:pt idx="24">
                  <c:v>4.8808397169096027</c:v>
                </c:pt>
                <c:pt idx="25">
                  <c:v>5.0714191408883931</c:v>
                </c:pt>
                <c:pt idx="26">
                  <c:v>5.2604537614689288</c:v>
                </c:pt>
                <c:pt idx="27">
                  <c:v>5.447885996874561</c:v>
                </c:pt>
                <c:pt idx="28">
                  <c:v>5.6336587534306899</c:v>
                </c:pt>
                <c:pt idx="29">
                  <c:v>5.8177154429560449</c:v>
                </c:pt>
                <c:pt idx="30">
                  <c:v>5.9999999999999991</c:v>
                </c:pt>
                <c:pt idx="31">
                  <c:v>6.1804568989206494</c:v>
                </c:pt>
                <c:pt idx="32">
                  <c:v>6.3590311707984588</c:v>
                </c:pt>
                <c:pt idx="33">
                  <c:v>6.5356684201803255</c:v>
                </c:pt>
                <c:pt idx="34">
                  <c:v>6.7103148416489624</c:v>
                </c:pt>
                <c:pt idx="35">
                  <c:v>6.8829172362125526</c:v>
                </c:pt>
                <c:pt idx="36">
                  <c:v>7.0534230275096776</c:v>
                </c:pt>
                <c:pt idx="37">
                  <c:v>7.2217802778245792</c:v>
                </c:pt>
                <c:pt idx="38">
                  <c:v>7.3879377039078999</c:v>
                </c:pt>
                <c:pt idx="39">
                  <c:v>7.5518446925980491</c:v>
                </c:pt>
                <c:pt idx="40">
                  <c:v>7.713451316238471</c:v>
                </c:pt>
                <c:pt idx="41">
                  <c:v>7.8727083478860873</c:v>
                </c:pt>
                <c:pt idx="42">
                  <c:v>8.0295672763062989</c:v>
                </c:pt>
                <c:pt idx="43">
                  <c:v>8.1839803207499813</c:v>
                </c:pt>
                <c:pt idx="44">
                  <c:v>8.335900445507967</c:v>
                </c:pt>
                <c:pt idx="45">
                  <c:v>8.4852813742385695</c:v>
                </c:pt>
                <c:pt idx="46">
                  <c:v>8.632077604063813</c:v>
                </c:pt>
                <c:pt idx="47">
                  <c:v>8.7762444194300464</c:v>
                </c:pt>
                <c:pt idx="48">
                  <c:v>8.9177379057287318</c:v>
                </c:pt>
                <c:pt idx="49">
                  <c:v>9.0565149626732637</c:v>
                </c:pt>
                <c:pt idx="50">
                  <c:v>9.1925333174277366</c:v>
                </c:pt>
                <c:pt idx="51">
                  <c:v>9.3257515374836508</c:v>
                </c:pt>
                <c:pt idx="52">
                  <c:v>9.4561290432806651</c:v>
                </c:pt>
                <c:pt idx="53">
                  <c:v>9.583626120567514</c:v>
                </c:pt>
                <c:pt idx="54">
                  <c:v>9.7082039324993694</c:v>
                </c:pt>
                <c:pt idx="55">
                  <c:v>9.8298245314679011</c:v>
                </c:pt>
                <c:pt idx="56">
                  <c:v>9.9484508706605013</c:v>
                </c:pt>
                <c:pt idx="57">
                  <c:v>10.064046815345089</c:v>
                </c:pt>
                <c:pt idx="58">
                  <c:v>10.176577153877112</c:v>
                </c:pt>
                <c:pt idx="59">
                  <c:v>10.286007608425347</c:v>
                </c:pt>
                <c:pt idx="60">
                  <c:v>10.392304845413264</c:v>
                </c:pt>
                <c:pt idx="61">
                  <c:v>10.495436485672748</c:v>
                </c:pt>
                <c:pt idx="62">
                  <c:v>10.595371114307122</c:v>
                </c:pt>
                <c:pt idx="63">
                  <c:v>10.692078290260413</c:v>
                </c:pt>
                <c:pt idx="64">
                  <c:v>10.785528555590005</c:v>
                </c:pt>
                <c:pt idx="65">
                  <c:v>10.875693444439799</c:v>
                </c:pt>
                <c:pt idx="66">
                  <c:v>10.962545491711211</c:v>
                </c:pt>
                <c:pt idx="67">
                  <c:v>11.046058241429284</c:v>
                </c:pt>
                <c:pt idx="68">
                  <c:v>11.126206254801449</c:v>
                </c:pt>
                <c:pt idx="69">
                  <c:v>11.202965117966421</c:v>
                </c:pt>
                <c:pt idx="70">
                  <c:v>11.276311449430899</c:v>
                </c:pt>
                <c:pt idx="71">
                  <c:v>11.346222907191802</c:v>
                </c:pt>
                <c:pt idx="72">
                  <c:v>11.412678195541842</c:v>
                </c:pt>
                <c:pt idx="73">
                  <c:v>11.475657071556425</c:v>
                </c:pt>
                <c:pt idx="74">
                  <c:v>11.535140351259827</c:v>
                </c:pt>
                <c:pt idx="75">
                  <c:v>11.59110991546882</c:v>
                </c:pt>
                <c:pt idx="76">
                  <c:v>11.643548715311958</c:v>
                </c:pt>
                <c:pt idx="77">
                  <c:v>11.692440777422823</c:v>
                </c:pt>
                <c:pt idx="78">
                  <c:v>11.737771208805666</c:v>
                </c:pt>
                <c:pt idx="79">
                  <c:v>11.779526201371969</c:v>
                </c:pt>
                <c:pt idx="80">
                  <c:v>11.817693036146496</c:v>
                </c:pt>
                <c:pt idx="81">
                  <c:v>11.852260087141653</c:v>
                </c:pt>
                <c:pt idx="82">
                  <c:v>11.883216824898845</c:v>
                </c:pt>
                <c:pt idx="83">
                  <c:v>11.910553819695863</c:v>
                </c:pt>
                <c:pt idx="84">
                  <c:v>11.934262744419279</c:v>
                </c:pt>
                <c:pt idx="85">
                  <c:v>11.954336377100947</c:v>
                </c:pt>
                <c:pt idx="86">
                  <c:v>11.970768603117889</c:v>
                </c:pt>
                <c:pt idx="87">
                  <c:v>11.983554417054886</c:v>
                </c:pt>
                <c:pt idx="88">
                  <c:v>11.992689924229149</c:v>
                </c:pt>
                <c:pt idx="89">
                  <c:v>11.998172341876696</c:v>
                </c:pt>
                <c:pt idx="90">
                  <c:v>12</c:v>
                </c:pt>
                <c:pt idx="91">
                  <c:v>11.998172341876696</c:v>
                </c:pt>
                <c:pt idx="92">
                  <c:v>11.992689924229149</c:v>
                </c:pt>
                <c:pt idx="93">
                  <c:v>11.983554417054886</c:v>
                </c:pt>
                <c:pt idx="94">
                  <c:v>11.970768603117889</c:v>
                </c:pt>
                <c:pt idx="95">
                  <c:v>11.954336377100947</c:v>
                </c:pt>
                <c:pt idx="96">
                  <c:v>11.934262744419279</c:v>
                </c:pt>
                <c:pt idx="97">
                  <c:v>11.910553819695865</c:v>
                </c:pt>
                <c:pt idx="98">
                  <c:v>11.883216824898845</c:v>
                </c:pt>
                <c:pt idx="99">
                  <c:v>11.852260087141653</c:v>
                </c:pt>
                <c:pt idx="100">
                  <c:v>11.817693036146496</c:v>
                </c:pt>
                <c:pt idx="101">
                  <c:v>11.779526201371969</c:v>
                </c:pt>
                <c:pt idx="102">
                  <c:v>11.737771208805668</c:v>
                </c:pt>
                <c:pt idx="103">
                  <c:v>11.692440777422823</c:v>
                </c:pt>
                <c:pt idx="104">
                  <c:v>11.643548715311958</c:v>
                </c:pt>
                <c:pt idx="105">
                  <c:v>11.59110991546882</c:v>
                </c:pt>
                <c:pt idx="106">
                  <c:v>11.535140351259827</c:v>
                </c:pt>
                <c:pt idx="107">
                  <c:v>11.475657071556427</c:v>
                </c:pt>
                <c:pt idx="108">
                  <c:v>11.412678195541844</c:v>
                </c:pt>
                <c:pt idx="109">
                  <c:v>11.346222907191802</c:v>
                </c:pt>
                <c:pt idx="110">
                  <c:v>11.276311449430901</c:v>
                </c:pt>
                <c:pt idx="111">
                  <c:v>11.202965117966421</c:v>
                </c:pt>
                <c:pt idx="112">
                  <c:v>11.126206254801449</c:v>
                </c:pt>
                <c:pt idx="113">
                  <c:v>11.046058241429282</c:v>
                </c:pt>
                <c:pt idx="114">
                  <c:v>10.962545491711211</c:v>
                </c:pt>
                <c:pt idx="115">
                  <c:v>10.875693444439801</c:v>
                </c:pt>
                <c:pt idx="116">
                  <c:v>10.785528555590004</c:v>
                </c:pt>
                <c:pt idx="117">
                  <c:v>10.692078290260415</c:v>
                </c:pt>
                <c:pt idx="118">
                  <c:v>10.595371114307122</c:v>
                </c:pt>
                <c:pt idx="119">
                  <c:v>10.49543648567275</c:v>
                </c:pt>
                <c:pt idx="120">
                  <c:v>10.392304845413264</c:v>
                </c:pt>
                <c:pt idx="121">
                  <c:v>10.286007608425347</c:v>
                </c:pt>
                <c:pt idx="122">
                  <c:v>10.176577153877112</c:v>
                </c:pt>
                <c:pt idx="123">
                  <c:v>10.064046815345087</c:v>
                </c:pt>
                <c:pt idx="124">
                  <c:v>9.9484508706605013</c:v>
                </c:pt>
                <c:pt idx="125">
                  <c:v>9.8298245314678994</c:v>
                </c:pt>
                <c:pt idx="126">
                  <c:v>9.7082039324993694</c:v>
                </c:pt>
                <c:pt idx="127">
                  <c:v>9.5836261205675122</c:v>
                </c:pt>
                <c:pt idx="128">
                  <c:v>9.4561290432806651</c:v>
                </c:pt>
                <c:pt idx="129">
                  <c:v>9.3257515374836526</c:v>
                </c:pt>
                <c:pt idx="130">
                  <c:v>9.1925333174277366</c:v>
                </c:pt>
                <c:pt idx="131">
                  <c:v>9.0565149626732655</c:v>
                </c:pt>
                <c:pt idx="132">
                  <c:v>8.9177379057287318</c:v>
                </c:pt>
                <c:pt idx="133">
                  <c:v>8.7762444194300464</c:v>
                </c:pt>
                <c:pt idx="134">
                  <c:v>8.632077604063813</c:v>
                </c:pt>
                <c:pt idx="135">
                  <c:v>8.4852813742385713</c:v>
                </c:pt>
                <c:pt idx="136">
                  <c:v>8.3359004455079653</c:v>
                </c:pt>
                <c:pt idx="137">
                  <c:v>8.1839803207499831</c:v>
                </c:pt>
                <c:pt idx="138">
                  <c:v>8.0295672763063006</c:v>
                </c:pt>
                <c:pt idx="139">
                  <c:v>7.8727083478860873</c:v>
                </c:pt>
                <c:pt idx="140">
                  <c:v>7.7134513162384737</c:v>
                </c:pt>
                <c:pt idx="141">
                  <c:v>7.5518446925980491</c:v>
                </c:pt>
                <c:pt idx="142">
                  <c:v>7.3879377039079008</c:v>
                </c:pt>
                <c:pt idx="143">
                  <c:v>7.2217802778245783</c:v>
                </c:pt>
                <c:pt idx="144">
                  <c:v>7.0534230275096785</c:v>
                </c:pt>
                <c:pt idx="145">
                  <c:v>6.8829172362125508</c:v>
                </c:pt>
                <c:pt idx="146">
                  <c:v>6.7103148416489624</c:v>
                </c:pt>
                <c:pt idx="147">
                  <c:v>6.5356684201803272</c:v>
                </c:pt>
                <c:pt idx="148">
                  <c:v>6.3590311707984588</c:v>
                </c:pt>
                <c:pt idx="149">
                  <c:v>6.180456898920653</c:v>
                </c:pt>
                <c:pt idx="150">
                  <c:v>5.9999999999999991</c:v>
                </c:pt>
                <c:pt idx="151">
                  <c:v>5.8177154429560458</c:v>
                </c:pt>
                <c:pt idx="152">
                  <c:v>5.6336587534306881</c:v>
                </c:pt>
                <c:pt idx="153">
                  <c:v>5.4478859968745628</c:v>
                </c:pt>
                <c:pt idx="154">
                  <c:v>5.2604537614689271</c:v>
                </c:pt>
                <c:pt idx="155">
                  <c:v>5.071419140888394</c:v>
                </c:pt>
                <c:pt idx="156">
                  <c:v>4.8808397169096054</c:v>
                </c:pt>
                <c:pt idx="157">
                  <c:v>4.688773541871285</c:v>
                </c:pt>
                <c:pt idx="158">
                  <c:v>4.4952791209909471</c:v>
                </c:pt>
                <c:pt idx="159">
                  <c:v>4.3004153945436023</c:v>
                </c:pt>
                <c:pt idx="160">
                  <c:v>4.1042417199080266</c:v>
                </c:pt>
                <c:pt idx="161">
                  <c:v>3.9068178534858791</c:v>
                </c:pt>
                <c:pt idx="162">
                  <c:v>3.7082039324993703</c:v>
                </c:pt>
                <c:pt idx="163">
                  <c:v>3.5084604566728395</c:v>
                </c:pt>
                <c:pt idx="164">
                  <c:v>3.3076482698039906</c:v>
                </c:pt>
                <c:pt idx="165">
                  <c:v>3.1058285412302524</c:v>
                </c:pt>
                <c:pt idx="166">
                  <c:v>2.9030627471960129</c:v>
                </c:pt>
                <c:pt idx="167">
                  <c:v>2.6994126521263824</c:v>
                </c:pt>
                <c:pt idx="168">
                  <c:v>2.4949402898131119</c:v>
                </c:pt>
                <c:pt idx="169">
                  <c:v>2.2897079445185398</c:v>
                </c:pt>
                <c:pt idx="170">
                  <c:v>2.0837781320031632</c:v>
                </c:pt>
                <c:pt idx="171">
                  <c:v>1.8772135804827719</c:v>
                </c:pt>
                <c:pt idx="172">
                  <c:v>1.670077211520784</c:v>
                </c:pt>
                <c:pt idx="173">
                  <c:v>1.4624321208617705</c:v>
                </c:pt>
                <c:pt idx="174">
                  <c:v>1.2543415592118448</c:v>
                </c:pt>
                <c:pt idx="175">
                  <c:v>1.0458689129718983</c:v>
                </c:pt>
                <c:pt idx="176">
                  <c:v>0.83707768492950629</c:v>
                </c:pt>
                <c:pt idx="177">
                  <c:v>0.62803147491532574</c:v>
                </c:pt>
                <c:pt idx="178">
                  <c:v>0.41879396043001371</c:v>
                </c:pt>
                <c:pt idx="179">
                  <c:v>0.20942887724740128</c:v>
                </c:pt>
                <c:pt idx="180">
                  <c:v>1.470178145890344E-15</c:v>
                </c:pt>
                <c:pt idx="181">
                  <c:v>-0.20942887724740364</c:v>
                </c:pt>
                <c:pt idx="182">
                  <c:v>-0.41879396043001083</c:v>
                </c:pt>
                <c:pt idx="183">
                  <c:v>-0.62803147491532263</c:v>
                </c:pt>
                <c:pt idx="184">
                  <c:v>-0.8370776849295033</c:v>
                </c:pt>
                <c:pt idx="185">
                  <c:v>-1.0458689129718954</c:v>
                </c:pt>
                <c:pt idx="186">
                  <c:v>-1.2543415592118419</c:v>
                </c:pt>
                <c:pt idx="187">
                  <c:v>-1.4624321208617677</c:v>
                </c:pt>
                <c:pt idx="188">
                  <c:v>-1.6700772115207863</c:v>
                </c:pt>
                <c:pt idx="189">
                  <c:v>-1.8772135804827688</c:v>
                </c:pt>
                <c:pt idx="190">
                  <c:v>-2.0837781320031654</c:v>
                </c:pt>
                <c:pt idx="191">
                  <c:v>-2.2897079445185367</c:v>
                </c:pt>
                <c:pt idx="192">
                  <c:v>-2.4949402898131141</c:v>
                </c:pt>
                <c:pt idx="193">
                  <c:v>-2.6994126521263797</c:v>
                </c:pt>
                <c:pt idx="194">
                  <c:v>-2.9030627471960102</c:v>
                </c:pt>
                <c:pt idx="195">
                  <c:v>-3.1058285412302498</c:v>
                </c:pt>
                <c:pt idx="196">
                  <c:v>-3.307648269803988</c:v>
                </c:pt>
                <c:pt idx="197">
                  <c:v>-3.5084604566728412</c:v>
                </c:pt>
                <c:pt idx="198">
                  <c:v>-3.7082039324993676</c:v>
                </c:pt>
                <c:pt idx="199">
                  <c:v>-3.9068178534858813</c:v>
                </c:pt>
                <c:pt idx="200">
                  <c:v>-4.1042417199080239</c:v>
                </c:pt>
                <c:pt idx="201">
                  <c:v>-4.300415394543605</c:v>
                </c:pt>
                <c:pt idx="202">
                  <c:v>-4.4952791209909444</c:v>
                </c:pt>
                <c:pt idx="203">
                  <c:v>-4.6887735418712824</c:v>
                </c:pt>
                <c:pt idx="204">
                  <c:v>-4.8808397169096027</c:v>
                </c:pt>
                <c:pt idx="205">
                  <c:v>-5.0714191408883913</c:v>
                </c:pt>
                <c:pt idx="206">
                  <c:v>-5.2604537614689297</c:v>
                </c:pt>
                <c:pt idx="207">
                  <c:v>-5.4478859968745601</c:v>
                </c:pt>
                <c:pt idx="208">
                  <c:v>-5.6336587534306908</c:v>
                </c:pt>
                <c:pt idx="209">
                  <c:v>-5.8177154429560431</c:v>
                </c:pt>
                <c:pt idx="210">
                  <c:v>-6.0000000000000018</c:v>
                </c:pt>
                <c:pt idx="211">
                  <c:v>-6.1804568989206494</c:v>
                </c:pt>
                <c:pt idx="212">
                  <c:v>-6.3590311707984579</c:v>
                </c:pt>
                <c:pt idx="213">
                  <c:v>-6.5356684201803255</c:v>
                </c:pt>
                <c:pt idx="214">
                  <c:v>-6.7103148416489606</c:v>
                </c:pt>
                <c:pt idx="215">
                  <c:v>-6.8829172362125544</c:v>
                </c:pt>
                <c:pt idx="216">
                  <c:v>-7.0534230275096768</c:v>
                </c:pt>
                <c:pt idx="217">
                  <c:v>-7.2217802778245801</c:v>
                </c:pt>
                <c:pt idx="218">
                  <c:v>-7.3879377039078982</c:v>
                </c:pt>
                <c:pt idx="219">
                  <c:v>-7.5518446925980509</c:v>
                </c:pt>
                <c:pt idx="220">
                  <c:v>-7.713451316238471</c:v>
                </c:pt>
                <c:pt idx="221">
                  <c:v>-7.8727083478860846</c:v>
                </c:pt>
                <c:pt idx="222">
                  <c:v>-8.0295672763062989</c:v>
                </c:pt>
                <c:pt idx="223">
                  <c:v>-8.1839803207499813</c:v>
                </c:pt>
                <c:pt idx="224">
                  <c:v>-8.3359004455079688</c:v>
                </c:pt>
                <c:pt idx="225">
                  <c:v>-8.4852813742385695</c:v>
                </c:pt>
                <c:pt idx="226">
                  <c:v>-8.6320776040638147</c:v>
                </c:pt>
                <c:pt idx="227">
                  <c:v>-8.7762444194300464</c:v>
                </c:pt>
                <c:pt idx="228">
                  <c:v>-8.9177379057287318</c:v>
                </c:pt>
                <c:pt idx="229">
                  <c:v>-9.0565149626732637</c:v>
                </c:pt>
                <c:pt idx="230">
                  <c:v>-9.1925333174277348</c:v>
                </c:pt>
                <c:pt idx="231">
                  <c:v>-9.3257515374836473</c:v>
                </c:pt>
                <c:pt idx="232">
                  <c:v>-9.4561290432806651</c:v>
                </c:pt>
                <c:pt idx="233">
                  <c:v>-9.583626120567514</c:v>
                </c:pt>
                <c:pt idx="234">
                  <c:v>-9.7082039324993676</c:v>
                </c:pt>
                <c:pt idx="235">
                  <c:v>-9.8298245314678994</c:v>
                </c:pt>
                <c:pt idx="236">
                  <c:v>-9.9484508706605013</c:v>
                </c:pt>
                <c:pt idx="237">
                  <c:v>-10.064046815345089</c:v>
                </c:pt>
                <c:pt idx="238">
                  <c:v>-10.176577153877112</c:v>
                </c:pt>
                <c:pt idx="239">
                  <c:v>-10.286007608425345</c:v>
                </c:pt>
                <c:pt idx="240">
                  <c:v>-10.39230484541326</c:v>
                </c:pt>
                <c:pt idx="241">
                  <c:v>-10.495436485672752</c:v>
                </c:pt>
                <c:pt idx="242">
                  <c:v>-10.595371114307124</c:v>
                </c:pt>
                <c:pt idx="243">
                  <c:v>-10.692078290260413</c:v>
                </c:pt>
                <c:pt idx="244">
                  <c:v>-10.785528555590002</c:v>
                </c:pt>
                <c:pt idx="245">
                  <c:v>-10.875693444439801</c:v>
                </c:pt>
                <c:pt idx="246">
                  <c:v>-10.962545491711211</c:v>
                </c:pt>
                <c:pt idx="247">
                  <c:v>-11.046058241429282</c:v>
                </c:pt>
                <c:pt idx="248">
                  <c:v>-11.126206254801447</c:v>
                </c:pt>
                <c:pt idx="249">
                  <c:v>-11.20296511796642</c:v>
                </c:pt>
                <c:pt idx="250">
                  <c:v>-11.276311449430901</c:v>
                </c:pt>
                <c:pt idx="251">
                  <c:v>-11.346222907191802</c:v>
                </c:pt>
                <c:pt idx="252">
                  <c:v>-11.412678195541842</c:v>
                </c:pt>
                <c:pt idx="253">
                  <c:v>-11.475657071556423</c:v>
                </c:pt>
                <c:pt idx="254">
                  <c:v>-11.535140351259829</c:v>
                </c:pt>
                <c:pt idx="255">
                  <c:v>-11.59110991546882</c:v>
                </c:pt>
                <c:pt idx="256">
                  <c:v>-11.643548715311958</c:v>
                </c:pt>
                <c:pt idx="257">
                  <c:v>-11.692440777422821</c:v>
                </c:pt>
                <c:pt idx="258">
                  <c:v>-11.737771208805666</c:v>
                </c:pt>
                <c:pt idx="259">
                  <c:v>-11.779526201371969</c:v>
                </c:pt>
                <c:pt idx="260">
                  <c:v>-11.817693036146496</c:v>
                </c:pt>
                <c:pt idx="261">
                  <c:v>-11.852260087141651</c:v>
                </c:pt>
                <c:pt idx="262">
                  <c:v>-11.883216824898843</c:v>
                </c:pt>
                <c:pt idx="263">
                  <c:v>-11.910553819695865</c:v>
                </c:pt>
                <c:pt idx="264">
                  <c:v>-11.93426274441928</c:v>
                </c:pt>
                <c:pt idx="265">
                  <c:v>-11.954336377100947</c:v>
                </c:pt>
                <c:pt idx="266">
                  <c:v>-11.970768603117889</c:v>
                </c:pt>
                <c:pt idx="267">
                  <c:v>-11.983554417054886</c:v>
                </c:pt>
                <c:pt idx="268">
                  <c:v>-11.992689924229149</c:v>
                </c:pt>
                <c:pt idx="269">
                  <c:v>-11.998172341876696</c:v>
                </c:pt>
                <c:pt idx="270">
                  <c:v>-12</c:v>
                </c:pt>
                <c:pt idx="271">
                  <c:v>-11.998172341876696</c:v>
                </c:pt>
                <c:pt idx="272">
                  <c:v>-11.992689924229149</c:v>
                </c:pt>
                <c:pt idx="273">
                  <c:v>-11.983554417054886</c:v>
                </c:pt>
                <c:pt idx="274">
                  <c:v>-11.970768603117891</c:v>
                </c:pt>
                <c:pt idx="275">
                  <c:v>-11.954336377100947</c:v>
                </c:pt>
                <c:pt idx="276">
                  <c:v>-11.93426274441928</c:v>
                </c:pt>
                <c:pt idx="277">
                  <c:v>-11.910553819695863</c:v>
                </c:pt>
                <c:pt idx="278">
                  <c:v>-11.883216824898845</c:v>
                </c:pt>
                <c:pt idx="279">
                  <c:v>-11.852260087141653</c:v>
                </c:pt>
                <c:pt idx="280">
                  <c:v>-11.817693036146498</c:v>
                </c:pt>
                <c:pt idx="281">
                  <c:v>-11.779526201371967</c:v>
                </c:pt>
                <c:pt idx="282">
                  <c:v>-11.737771208805666</c:v>
                </c:pt>
                <c:pt idx="283">
                  <c:v>-11.692440777422823</c:v>
                </c:pt>
                <c:pt idx="284">
                  <c:v>-11.643548715311958</c:v>
                </c:pt>
                <c:pt idx="285">
                  <c:v>-11.59110991546882</c:v>
                </c:pt>
                <c:pt idx="286">
                  <c:v>-11.535140351259825</c:v>
                </c:pt>
                <c:pt idx="287">
                  <c:v>-11.475657071556425</c:v>
                </c:pt>
                <c:pt idx="288">
                  <c:v>-11.412678195541844</c:v>
                </c:pt>
                <c:pt idx="289">
                  <c:v>-11.346222907191803</c:v>
                </c:pt>
                <c:pt idx="290">
                  <c:v>-11.276311449430899</c:v>
                </c:pt>
                <c:pt idx="291">
                  <c:v>-11.202965117966421</c:v>
                </c:pt>
                <c:pt idx="292">
                  <c:v>-11.126206254801449</c:v>
                </c:pt>
                <c:pt idx="293">
                  <c:v>-11.046058241429286</c:v>
                </c:pt>
                <c:pt idx="294">
                  <c:v>-10.962545491711213</c:v>
                </c:pt>
                <c:pt idx="295">
                  <c:v>-10.875693444439799</c:v>
                </c:pt>
                <c:pt idx="296">
                  <c:v>-10.785528555590005</c:v>
                </c:pt>
                <c:pt idx="297">
                  <c:v>-10.692078290260415</c:v>
                </c:pt>
                <c:pt idx="298">
                  <c:v>-10.595371114307126</c:v>
                </c:pt>
                <c:pt idx="299">
                  <c:v>-10.495436485672748</c:v>
                </c:pt>
                <c:pt idx="300">
                  <c:v>-10.392304845413264</c:v>
                </c:pt>
                <c:pt idx="301">
                  <c:v>-10.286007608425347</c:v>
                </c:pt>
                <c:pt idx="302">
                  <c:v>-10.176577153877114</c:v>
                </c:pt>
                <c:pt idx="303">
                  <c:v>-10.06404681534509</c:v>
                </c:pt>
                <c:pt idx="304">
                  <c:v>-9.9484508706604995</c:v>
                </c:pt>
                <c:pt idx="305">
                  <c:v>-9.8298245314679011</c:v>
                </c:pt>
                <c:pt idx="306">
                  <c:v>-9.7082039324993712</c:v>
                </c:pt>
                <c:pt idx="307">
                  <c:v>-9.5836261205675157</c:v>
                </c:pt>
                <c:pt idx="308">
                  <c:v>-9.4561290432806615</c:v>
                </c:pt>
                <c:pt idx="309">
                  <c:v>-9.325751537483649</c:v>
                </c:pt>
                <c:pt idx="310">
                  <c:v>-9.1925333174277384</c:v>
                </c:pt>
                <c:pt idx="311">
                  <c:v>-9.0565149626732673</c:v>
                </c:pt>
                <c:pt idx="312">
                  <c:v>-8.9177379057287354</c:v>
                </c:pt>
                <c:pt idx="313">
                  <c:v>-8.7762444194300446</c:v>
                </c:pt>
                <c:pt idx="314">
                  <c:v>-8.6320776040638147</c:v>
                </c:pt>
                <c:pt idx="315">
                  <c:v>-8.4852813742385713</c:v>
                </c:pt>
                <c:pt idx="316">
                  <c:v>-8.3359004455079706</c:v>
                </c:pt>
                <c:pt idx="317">
                  <c:v>-8.1839803207499795</c:v>
                </c:pt>
                <c:pt idx="318">
                  <c:v>-8.0295672763062971</c:v>
                </c:pt>
                <c:pt idx="319">
                  <c:v>-7.8727083478860891</c:v>
                </c:pt>
                <c:pt idx="320">
                  <c:v>-7.7134513162384746</c:v>
                </c:pt>
                <c:pt idx="321">
                  <c:v>-7.5518446925980545</c:v>
                </c:pt>
                <c:pt idx="322">
                  <c:v>-7.3879377039078982</c:v>
                </c:pt>
                <c:pt idx="323">
                  <c:v>-7.2217802778245792</c:v>
                </c:pt>
                <c:pt idx="324">
                  <c:v>-7.0534230275096803</c:v>
                </c:pt>
                <c:pt idx="325">
                  <c:v>-6.8829172362125579</c:v>
                </c:pt>
                <c:pt idx="326">
                  <c:v>-6.7103148416489589</c:v>
                </c:pt>
                <c:pt idx="327">
                  <c:v>-6.5356684201803237</c:v>
                </c:pt>
                <c:pt idx="328">
                  <c:v>-6.3590311707984597</c:v>
                </c:pt>
                <c:pt idx="329">
                  <c:v>-6.1804568989206539</c:v>
                </c:pt>
                <c:pt idx="330">
                  <c:v>-6.0000000000000053</c:v>
                </c:pt>
                <c:pt idx="331">
                  <c:v>-5.8177154429560431</c:v>
                </c:pt>
                <c:pt idx="332">
                  <c:v>-5.6336587534306899</c:v>
                </c:pt>
                <c:pt idx="333">
                  <c:v>-5.4478859968745637</c:v>
                </c:pt>
                <c:pt idx="334">
                  <c:v>-5.2604537614689333</c:v>
                </c:pt>
                <c:pt idx="335">
                  <c:v>-5.0714191408883904</c:v>
                </c:pt>
                <c:pt idx="336">
                  <c:v>-4.8808397169096018</c:v>
                </c:pt>
                <c:pt idx="337">
                  <c:v>-4.6887735418712868</c:v>
                </c:pt>
                <c:pt idx="338">
                  <c:v>-4.495279120990948</c:v>
                </c:pt>
                <c:pt idx="339">
                  <c:v>-4.3004153945436094</c:v>
                </c:pt>
                <c:pt idx="340">
                  <c:v>-4.104241719908023</c:v>
                </c:pt>
                <c:pt idx="341">
                  <c:v>-3.9068178534858804</c:v>
                </c:pt>
                <c:pt idx="342">
                  <c:v>-3.7082039324993712</c:v>
                </c:pt>
                <c:pt idx="343">
                  <c:v>-3.5084604566728457</c:v>
                </c:pt>
                <c:pt idx="344">
                  <c:v>-3.3076482698039875</c:v>
                </c:pt>
                <c:pt idx="345">
                  <c:v>-3.105828541230248</c:v>
                </c:pt>
                <c:pt idx="346">
                  <c:v>-2.9030627471960146</c:v>
                </c:pt>
                <c:pt idx="347">
                  <c:v>-2.6994126521263841</c:v>
                </c:pt>
                <c:pt idx="348">
                  <c:v>-2.4949402898131186</c:v>
                </c:pt>
                <c:pt idx="349">
                  <c:v>-2.2897079445185362</c:v>
                </c:pt>
                <c:pt idx="350">
                  <c:v>-2.0837781320031645</c:v>
                </c:pt>
                <c:pt idx="351">
                  <c:v>-1.8772135804827734</c:v>
                </c:pt>
                <c:pt idx="352">
                  <c:v>-1.6700772115207907</c:v>
                </c:pt>
                <c:pt idx="353">
                  <c:v>-1.4624321208617668</c:v>
                </c:pt>
                <c:pt idx="354">
                  <c:v>-1.254341559211841</c:v>
                </c:pt>
                <c:pt idx="355">
                  <c:v>-1.0458689129718999</c:v>
                </c:pt>
                <c:pt idx="356">
                  <c:v>-0.83707768492950763</c:v>
                </c:pt>
                <c:pt idx="357">
                  <c:v>-0.6280314749153324</c:v>
                </c:pt>
                <c:pt idx="358">
                  <c:v>-0.41879396043000988</c:v>
                </c:pt>
                <c:pt idx="359">
                  <c:v>-0.20942887724740272</c:v>
                </c:pt>
                <c:pt idx="360">
                  <c:v>-2.940356291780688E-15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91-4203-BCCA-358C81AE37B3}"/>
            </c:ext>
          </c:extLst>
        </c:ser>
        <c:ser>
          <c:idx val="3"/>
          <c:order val="1"/>
          <c:tx>
            <c:v>Neutral_Axis</c:v>
          </c:tx>
          <c:spPr>
            <a:ln w="15875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circle_section!$G$17:$G$18</c:f>
              <c:numCache>
                <c:formatCode>0.000</c:formatCode>
                <c:ptCount val="2"/>
                <c:pt idx="0">
                  <c:v>11.845460682981701</c:v>
                </c:pt>
                <c:pt idx="1">
                  <c:v>-11.845460682981701</c:v>
                </c:pt>
              </c:numCache>
            </c:numRef>
          </c:xVal>
          <c:yVal>
            <c:numRef>
              <c:f>circle_section!$H$17:$H$18</c:f>
              <c:numCache>
                <c:formatCode>0.000</c:formatCode>
                <c:ptCount val="2"/>
                <c:pt idx="0">
                  <c:v>1.9196513245729534</c:v>
                </c:pt>
                <c:pt idx="1">
                  <c:v>1.9196513245729534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BD2-48BA-8673-AC8CF1FA9779}"/>
            </c:ext>
          </c:extLst>
        </c:ser>
        <c:ser>
          <c:idx val="1"/>
          <c:order val="2"/>
          <c:tx>
            <c:v>Whitney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circle_section!$E$17:$E$18</c:f>
              <c:numCache>
                <c:formatCode>0.000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circle_section!$F$17:$F$18</c:f>
              <c:numCache>
                <c:formatCode>0.000</c:formatCode>
                <c:ptCount val="2"/>
                <c:pt idx="0">
                  <c:v>3.9357210596583627</c:v>
                </c:pt>
                <c:pt idx="1">
                  <c:v>3.9357210596583627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DD-42DB-B172-075C6029C6FF}"/>
            </c:ext>
          </c:extLst>
        </c:ser>
        <c:ser>
          <c:idx val="2"/>
          <c:order val="3"/>
          <c:tx>
            <c:v>Reinf (Tension)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circle_section!$U$37:$U$108</c:f>
              <c:numCache>
                <c:formatCode>General</c:formatCode>
                <c:ptCount val="72"/>
                <c:pt idx="0">
                  <c:v>#N/A</c:v>
                </c:pt>
                <c:pt idx="1">
                  <c:v>#N/A</c:v>
                </c:pt>
                <c:pt idx="2">
                  <c:v>-9.0479212307996608</c:v>
                </c:pt>
                <c:pt idx="3">
                  <c:v>-7.9566083972695294</c:v>
                </c:pt>
                <c:pt idx="4">
                  <c:v>-3.1423100668045798</c:v>
                </c:pt>
                <c:pt idx="5">
                  <c:v>3.1423100668045838</c:v>
                </c:pt>
                <c:pt idx="6">
                  <c:v>7.9566083972695276</c:v>
                </c:pt>
                <c:pt idx="7">
                  <c:v>9.0479212307996626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</c:numCache>
            </c:numRef>
          </c:xVal>
          <c:yVal>
            <c:numRef>
              <c:f>circle_section!$V$37:$V$108</c:f>
              <c:numCache>
                <c:formatCode>General</c:formatCode>
                <c:ptCount val="72"/>
                <c:pt idx="0">
                  <c:v>#N/A</c:v>
                </c:pt>
                <c:pt idx="1">
                  <c:v>#N/A</c:v>
                </c:pt>
                <c:pt idx="2">
                  <c:v>1.5953926323149219</c:v>
                </c:pt>
                <c:pt idx="3">
                  <c:v>-4.5937500000000009</c:v>
                </c:pt>
                <c:pt idx="4">
                  <c:v>-8.6334259534705335</c:v>
                </c:pt>
                <c:pt idx="5">
                  <c:v>-8.6334259534705335</c:v>
                </c:pt>
                <c:pt idx="6">
                  <c:v>-4.5937500000000044</c:v>
                </c:pt>
                <c:pt idx="7">
                  <c:v>1.5953926323149186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BDD-42DB-B172-075C6029C6FF}"/>
            </c:ext>
          </c:extLst>
        </c:ser>
        <c:ser>
          <c:idx val="4"/>
          <c:order val="4"/>
          <c:tx>
            <c:v>Reinf (Compression)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circle_section!$X$37:$X$108</c:f>
              <c:numCache>
                <c:formatCode>General</c:formatCode>
                <c:ptCount val="72"/>
                <c:pt idx="0">
                  <c:v>5.6280257147364732E-16</c:v>
                </c:pt>
                <c:pt idx="1">
                  <c:v>-5.9056111639950801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5.9056111639950828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</c:numCache>
            </c:numRef>
          </c:xVal>
          <c:yVal>
            <c:numRef>
              <c:f>circle_section!$Y$37:$Y$108</c:f>
              <c:numCache>
                <c:formatCode>General</c:formatCode>
                <c:ptCount val="72"/>
                <c:pt idx="0">
                  <c:v>9.1875</c:v>
                </c:pt>
                <c:pt idx="1">
                  <c:v>7.0380333211556101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7.0380333211556083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77E-4A70-A219-56B435193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227279"/>
        <c:axId val="2018860815"/>
      </c:scatterChart>
      <c:valAx>
        <c:axId val="2102272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8860815"/>
        <c:crosses val="autoZero"/>
        <c:crossBetween val="midCat"/>
      </c:valAx>
      <c:valAx>
        <c:axId val="2018860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22727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circle_section!$Z$34</c:f>
          <c:strCache>
            <c:ptCount val="1"/>
            <c:pt idx="0">
              <c:v>Mx vs My @ Pu = 100 Kips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Mx_My</c:v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circle_section!$AK$2:$AK$363</c:f>
              <c:numCache>
                <c:formatCode>General</c:formatCode>
                <c:ptCount val="362"/>
                <c:pt idx="0">
                  <c:v>278.92261339933953</c:v>
                </c:pt>
                <c:pt idx="1">
                  <c:v>276.45135663141485</c:v>
                </c:pt>
                <c:pt idx="2">
                  <c:v>271.75416496603293</c:v>
                </c:pt>
                <c:pt idx="3">
                  <c:v>265.6116434988399</c:v>
                </c:pt>
                <c:pt idx="4">
                  <c:v>258.11541943173955</c:v>
                </c:pt>
                <c:pt idx="5">
                  <c:v>249.27725722448804</c:v>
                </c:pt>
                <c:pt idx="6">
                  <c:v>239.03385332206639</c:v>
                </c:pt>
                <c:pt idx="7">
                  <c:v>227.26442020402277</c:v>
                </c:pt>
                <c:pt idx="8">
                  <c:v>213.6671180547871</c:v>
                </c:pt>
                <c:pt idx="9">
                  <c:v>196.28363087637362</c:v>
                </c:pt>
                <c:pt idx="10">
                  <c:v>177.31768261130767</c:v>
                </c:pt>
                <c:pt idx="11">
                  <c:v>157.66338983548221</c:v>
                </c:pt>
                <c:pt idx="12">
                  <c:v>137.3403460462772</c:v>
                </c:pt>
                <c:pt idx="13">
                  <c:v>116.3032718866785</c:v>
                </c:pt>
                <c:pt idx="14">
                  <c:v>94.466945143338876</c:v>
                </c:pt>
                <c:pt idx="15">
                  <c:v>71.73793580048131</c:v>
                </c:pt>
                <c:pt idx="16">
                  <c:v>48.434403526893206</c:v>
                </c:pt>
                <c:pt idx="17">
                  <c:v>24.272612784711061</c:v>
                </c:pt>
                <c:pt idx="18">
                  <c:v>-8.771410383846108E-2</c:v>
                </c:pt>
                <c:pt idx="19">
                  <c:v>-24.057316165294541</c:v>
                </c:pt>
                <c:pt idx="20">
                  <c:v>-47.697801622163055</c:v>
                </c:pt>
                <c:pt idx="21">
                  <c:v>-71.090306933796384</c:v>
                </c:pt>
                <c:pt idx="22">
                  <c:v>-94.302096551106729</c:v>
                </c:pt>
                <c:pt idx="23">
                  <c:v>-117.35552604245343</c:v>
                </c:pt>
                <c:pt idx="24">
                  <c:v>-139.46130669966982</c:v>
                </c:pt>
                <c:pt idx="25">
                  <c:v>-159.09583058896155</c:v>
                </c:pt>
                <c:pt idx="26">
                  <c:v>-177.45206841492612</c:v>
                </c:pt>
                <c:pt idx="27">
                  <c:v>-194.521336565019</c:v>
                </c:pt>
                <c:pt idx="28">
                  <c:v>-210.417617809576</c:v>
                </c:pt>
                <c:pt idx="29">
                  <c:v>-225.21994105916187</c:v>
                </c:pt>
                <c:pt idx="30">
                  <c:v>-238.94613921822824</c:v>
                </c:pt>
                <c:pt idx="31">
                  <c:v>-251.53703298873188</c:v>
                </c:pt>
                <c:pt idx="32">
                  <c:v>-262.10152158168</c:v>
                </c:pt>
                <c:pt idx="33">
                  <c:v>-268.02156667685557</c:v>
                </c:pt>
                <c:pt idx="34">
                  <c:v>-271.78462775460741</c:v>
                </c:pt>
                <c:pt idx="35">
                  <c:v>-273.96666172212616</c:v>
                </c:pt>
                <c:pt idx="36">
                  <c:v>-274.68069209259897</c:v>
                </c:pt>
                <c:pt idx="37">
                  <c:v>-273.96666172216038</c:v>
                </c:pt>
                <c:pt idx="38">
                  <c:v>-271.78462775469086</c:v>
                </c:pt>
                <c:pt idx="39">
                  <c:v>-268.02156667685432</c:v>
                </c:pt>
                <c:pt idx="40">
                  <c:v>-262.10152158168046</c:v>
                </c:pt>
                <c:pt idx="41">
                  <c:v>-251.53703298873387</c:v>
                </c:pt>
                <c:pt idx="42">
                  <c:v>-238.94613921822813</c:v>
                </c:pt>
                <c:pt idx="43">
                  <c:v>-225.219941059164</c:v>
                </c:pt>
                <c:pt idx="44">
                  <c:v>-210.41761780961096</c:v>
                </c:pt>
                <c:pt idx="45">
                  <c:v>-194.52133656504336</c:v>
                </c:pt>
                <c:pt idx="46">
                  <c:v>-177.45206841492762</c:v>
                </c:pt>
                <c:pt idx="47">
                  <c:v>-159.09583058896189</c:v>
                </c:pt>
                <c:pt idx="48">
                  <c:v>-139.46130669967056</c:v>
                </c:pt>
                <c:pt idx="49">
                  <c:v>-117.35552604245484</c:v>
                </c:pt>
                <c:pt idx="50">
                  <c:v>-94.302096551130646</c:v>
                </c:pt>
                <c:pt idx="51">
                  <c:v>-71.090306933786579</c:v>
                </c:pt>
                <c:pt idx="52">
                  <c:v>-47.69780162217198</c:v>
                </c:pt>
                <c:pt idx="53">
                  <c:v>-24.057316165295639</c:v>
                </c:pt>
                <c:pt idx="54">
                  <c:v>-8.7714103834206011E-2</c:v>
                </c:pt>
                <c:pt idx="55">
                  <c:v>24.272612784709345</c:v>
                </c:pt>
                <c:pt idx="56">
                  <c:v>48.434403526892041</c:v>
                </c:pt>
                <c:pt idx="57">
                  <c:v>71.737935800479761</c:v>
                </c:pt>
                <c:pt idx="58">
                  <c:v>94.466945143350316</c:v>
                </c:pt>
                <c:pt idx="59">
                  <c:v>116.30327188667853</c:v>
                </c:pt>
                <c:pt idx="60">
                  <c:v>137.34034604627612</c:v>
                </c:pt>
                <c:pt idx="61">
                  <c:v>157.66338983545955</c:v>
                </c:pt>
                <c:pt idx="62">
                  <c:v>177.31768261130654</c:v>
                </c:pt>
                <c:pt idx="63">
                  <c:v>196.28363087637211</c:v>
                </c:pt>
                <c:pt idx="64">
                  <c:v>213.66711805478664</c:v>
                </c:pt>
                <c:pt idx="65">
                  <c:v>227.26442020402195</c:v>
                </c:pt>
                <c:pt idx="66">
                  <c:v>239.03385332213566</c:v>
                </c:pt>
                <c:pt idx="67">
                  <c:v>249.27725722448699</c:v>
                </c:pt>
                <c:pt idx="68">
                  <c:v>258.1154194317815</c:v>
                </c:pt>
                <c:pt idx="69">
                  <c:v>265.61164349880448</c:v>
                </c:pt>
                <c:pt idx="70">
                  <c:v>271.75416496608602</c:v>
                </c:pt>
                <c:pt idx="71">
                  <c:v>276.45135663141525</c:v>
                </c:pt>
                <c:pt idx="72">
                  <c:v>278.92261339934004</c:v>
                </c:pt>
                <c:pt idx="73">
                  <c:v>278.92261339933998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xVal>
          <c:yVal>
            <c:numRef>
              <c:f>circle_section!$AL$2:$AL$363</c:f>
              <c:numCache>
                <c:formatCode>General</c:formatCode>
                <c:ptCount val="362"/>
                <c:pt idx="0">
                  <c:v>-1.0288943030900554E-13</c:v>
                </c:pt>
                <c:pt idx="1">
                  <c:v>24.09877606598328</c:v>
                </c:pt>
                <c:pt idx="2">
                  <c:v>48.006658638686126</c:v>
                </c:pt>
                <c:pt idx="3">
                  <c:v>71.262938183952897</c:v>
                </c:pt>
                <c:pt idx="4">
                  <c:v>93.946329678289331</c:v>
                </c:pt>
                <c:pt idx="5">
                  <c:v>116.14129563338416</c:v>
                </c:pt>
                <c:pt idx="6">
                  <c:v>137.90497603800259</c:v>
                </c:pt>
                <c:pt idx="7">
                  <c:v>159.23877323239304</c:v>
                </c:pt>
                <c:pt idx="8">
                  <c:v>179.28799995448406</c:v>
                </c:pt>
                <c:pt idx="9">
                  <c:v>196.16024021502332</c:v>
                </c:pt>
                <c:pt idx="10">
                  <c:v>211.45544420379068</c:v>
                </c:pt>
                <c:pt idx="11">
                  <c:v>225.3224512256806</c:v>
                </c:pt>
                <c:pt idx="12">
                  <c:v>237.88045728124348</c:v>
                </c:pt>
                <c:pt idx="13">
                  <c:v>249.20172645713762</c:v>
                </c:pt>
                <c:pt idx="14">
                  <c:v>259.28933978342246</c:v>
                </c:pt>
                <c:pt idx="15">
                  <c:v>268.06673079349872</c:v>
                </c:pt>
                <c:pt idx="16">
                  <c:v>274.68515216609683</c:v>
                </c:pt>
                <c:pt idx="17">
                  <c:v>276.43614788922173</c:v>
                </c:pt>
                <c:pt idx="18">
                  <c:v>275.96187736039411</c:v>
                </c:pt>
                <c:pt idx="19">
                  <c:v>273.95108515880622</c:v>
                </c:pt>
                <c:pt idx="20">
                  <c:v>270.50767517550668</c:v>
                </c:pt>
                <c:pt idx="21">
                  <c:v>265.65789990290722</c:v>
                </c:pt>
                <c:pt idx="22">
                  <c:v>259.34933976415556</c:v>
                </c:pt>
                <c:pt idx="23">
                  <c:v>251.46328578646904</c:v>
                </c:pt>
                <c:pt idx="24">
                  <c:v>241.5540688937744</c:v>
                </c:pt>
                <c:pt idx="25">
                  <c:v>227.36450972048627</c:v>
                </c:pt>
                <c:pt idx="26">
                  <c:v>211.34268112546877</c:v>
                </c:pt>
                <c:pt idx="27">
                  <c:v>194.39496171892847</c:v>
                </c:pt>
                <c:pt idx="28">
                  <c:v>176.56134549721756</c:v>
                </c:pt>
                <c:pt idx="29">
                  <c:v>157.80978952540346</c:v>
                </c:pt>
                <c:pt idx="30">
                  <c:v>138.05690132239189</c:v>
                </c:pt>
                <c:pt idx="31">
                  <c:v>117.1973746568284</c:v>
                </c:pt>
                <c:pt idx="32">
                  <c:v>95.397152211612777</c:v>
                </c:pt>
                <c:pt idx="33">
                  <c:v>71.906490578476408</c:v>
                </c:pt>
                <c:pt idx="34">
                  <c:v>47.833895579669175</c:v>
                </c:pt>
                <c:pt idx="35">
                  <c:v>23.879275231452457</c:v>
                </c:pt>
                <c:pt idx="36">
                  <c:v>6.52092632942522E-13</c:v>
                </c:pt>
                <c:pt idx="37">
                  <c:v>-23.879275231455928</c:v>
                </c:pt>
                <c:pt idx="38">
                  <c:v>-47.833895579691742</c:v>
                </c:pt>
                <c:pt idx="39">
                  <c:v>-71.90649057847456</c:v>
                </c:pt>
                <c:pt idx="40">
                  <c:v>-95.397152211611527</c:v>
                </c:pt>
                <c:pt idx="41">
                  <c:v>-117.19737465682753</c:v>
                </c:pt>
                <c:pt idx="42">
                  <c:v>-138.05690132239079</c:v>
                </c:pt>
                <c:pt idx="43">
                  <c:v>-157.8097895254032</c:v>
                </c:pt>
                <c:pt idx="44">
                  <c:v>-176.5613454972453</c:v>
                </c:pt>
                <c:pt idx="45">
                  <c:v>-194.39496171895351</c:v>
                </c:pt>
                <c:pt idx="46">
                  <c:v>-211.34268112546866</c:v>
                </c:pt>
                <c:pt idx="47">
                  <c:v>-227.36450972048442</c:v>
                </c:pt>
                <c:pt idx="48">
                  <c:v>-241.55406889377352</c:v>
                </c:pt>
                <c:pt idx="49">
                  <c:v>-251.46328578646904</c:v>
                </c:pt>
                <c:pt idx="50">
                  <c:v>-259.34933976420211</c:v>
                </c:pt>
                <c:pt idx="51">
                  <c:v>-265.65789990287345</c:v>
                </c:pt>
                <c:pt idx="52">
                  <c:v>-270.50767517555045</c:v>
                </c:pt>
                <c:pt idx="53">
                  <c:v>-273.95108515880588</c:v>
                </c:pt>
                <c:pt idx="54">
                  <c:v>-275.9618773604472</c:v>
                </c:pt>
                <c:pt idx="55">
                  <c:v>-276.43614788922139</c:v>
                </c:pt>
                <c:pt idx="56">
                  <c:v>-274.68515216609666</c:v>
                </c:pt>
                <c:pt idx="57">
                  <c:v>-268.066730793499</c:v>
                </c:pt>
                <c:pt idx="58">
                  <c:v>-259.28933978347351</c:v>
                </c:pt>
                <c:pt idx="59">
                  <c:v>-249.20172645714098</c:v>
                </c:pt>
                <c:pt idx="60">
                  <c:v>-237.88045728124405</c:v>
                </c:pt>
                <c:pt idx="61">
                  <c:v>-225.3224512256534</c:v>
                </c:pt>
                <c:pt idx="62">
                  <c:v>-211.45544420379153</c:v>
                </c:pt>
                <c:pt idx="63">
                  <c:v>-196.16024021502375</c:v>
                </c:pt>
                <c:pt idx="64">
                  <c:v>-179.28799995448529</c:v>
                </c:pt>
                <c:pt idx="65">
                  <c:v>-159.2387732323941</c:v>
                </c:pt>
                <c:pt idx="66">
                  <c:v>-137.90497603805485</c:v>
                </c:pt>
                <c:pt idx="67">
                  <c:v>-116.14129563338521</c:v>
                </c:pt>
                <c:pt idx="68">
                  <c:v>-93.9463296783061</c:v>
                </c:pt>
                <c:pt idx="69">
                  <c:v>-71.262938183946886</c:v>
                </c:pt>
                <c:pt idx="70">
                  <c:v>-48.006658638691626</c:v>
                </c:pt>
                <c:pt idx="71">
                  <c:v>-24.098776065984868</c:v>
                </c:pt>
                <c:pt idx="72">
                  <c:v>-1.3021446551322682E-12</c:v>
                </c:pt>
                <c:pt idx="73">
                  <c:v>-8.9127696790038068E-14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31-401E-A1FC-BD9DD26A4E8D}"/>
            </c:ext>
          </c:extLst>
        </c:ser>
        <c:ser>
          <c:idx val="1"/>
          <c:order val="1"/>
          <c:tx>
            <c:v>Mx_My_Nominal</c:v>
          </c:tx>
          <c:spPr>
            <a:ln w="22225" cap="rnd">
              <a:solidFill>
                <a:srgbClr val="92D05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circle_section!$AM$2:$AM$363</c:f>
              <c:numCache>
                <c:formatCode>General</c:formatCode>
                <c:ptCount val="362"/>
                <c:pt idx="0">
                  <c:v>309.91401488815501</c:v>
                </c:pt>
                <c:pt idx="1">
                  <c:v>307.16817403490541</c:v>
                </c:pt>
                <c:pt idx="2">
                  <c:v>301.94907218448105</c:v>
                </c:pt>
                <c:pt idx="3">
                  <c:v>295.12404833204431</c:v>
                </c:pt>
                <c:pt idx="4">
                  <c:v>286.79491047971061</c:v>
                </c:pt>
                <c:pt idx="5">
                  <c:v>276.97473024943116</c:v>
                </c:pt>
                <c:pt idx="6">
                  <c:v>265.59317035785153</c:v>
                </c:pt>
                <c:pt idx="7">
                  <c:v>252.51602244891419</c:v>
                </c:pt>
                <c:pt idx="8">
                  <c:v>237.40790894976342</c:v>
                </c:pt>
                <c:pt idx="9">
                  <c:v>218.09292319597068</c:v>
                </c:pt>
                <c:pt idx="10">
                  <c:v>197.0196473458974</c:v>
                </c:pt>
                <c:pt idx="11">
                  <c:v>175.18154426164691</c:v>
                </c:pt>
                <c:pt idx="12">
                  <c:v>152.60038449586355</c:v>
                </c:pt>
                <c:pt idx="13">
                  <c:v>129.225857651865</c:v>
                </c:pt>
                <c:pt idx="14">
                  <c:v>104.96327238148764</c:v>
                </c:pt>
                <c:pt idx="15">
                  <c:v>79.708817556090338</c:v>
                </c:pt>
                <c:pt idx="16">
                  <c:v>53.816003918770228</c:v>
                </c:pt>
                <c:pt idx="17">
                  <c:v>26.969569760790066</c:v>
                </c:pt>
                <c:pt idx="18">
                  <c:v>-9.7460115376067857E-2</c:v>
                </c:pt>
                <c:pt idx="19">
                  <c:v>-26.730351294771712</c:v>
                </c:pt>
                <c:pt idx="20">
                  <c:v>-52.997557357958947</c:v>
                </c:pt>
                <c:pt idx="21">
                  <c:v>-78.98922992644043</c:v>
                </c:pt>
                <c:pt idx="22">
                  <c:v>-104.78010727900747</c:v>
                </c:pt>
                <c:pt idx="23">
                  <c:v>-130.39502893605936</c:v>
                </c:pt>
                <c:pt idx="24">
                  <c:v>-154.95700744407756</c:v>
                </c:pt>
                <c:pt idx="25">
                  <c:v>-176.77314509884616</c:v>
                </c:pt>
                <c:pt idx="26">
                  <c:v>-197.16896490547344</c:v>
                </c:pt>
                <c:pt idx="27">
                  <c:v>-216.13481840557665</c:v>
                </c:pt>
                <c:pt idx="28">
                  <c:v>-233.79735312175112</c:v>
                </c:pt>
                <c:pt idx="29">
                  <c:v>-250.2443789546243</c:v>
                </c:pt>
                <c:pt idx="30">
                  <c:v>-265.49571024247581</c:v>
                </c:pt>
                <c:pt idx="31">
                  <c:v>-279.48559220970208</c:v>
                </c:pt>
                <c:pt idx="32">
                  <c:v>-291.22391286853332</c:v>
                </c:pt>
                <c:pt idx="33">
                  <c:v>-297.80174075206173</c:v>
                </c:pt>
                <c:pt idx="34">
                  <c:v>-301.98291972734154</c:v>
                </c:pt>
                <c:pt idx="35">
                  <c:v>-304.40740191347351</c:v>
                </c:pt>
                <c:pt idx="36">
                  <c:v>-305.20076899177661</c:v>
                </c:pt>
                <c:pt idx="37">
                  <c:v>-304.40740191351153</c:v>
                </c:pt>
                <c:pt idx="38">
                  <c:v>-301.98291972743431</c:v>
                </c:pt>
                <c:pt idx="39">
                  <c:v>-297.80174075206037</c:v>
                </c:pt>
                <c:pt idx="40">
                  <c:v>-291.22391286853383</c:v>
                </c:pt>
                <c:pt idx="41">
                  <c:v>-279.48559220970429</c:v>
                </c:pt>
                <c:pt idx="42">
                  <c:v>-265.4957102424757</c:v>
                </c:pt>
                <c:pt idx="43">
                  <c:v>-250.24437895462665</c:v>
                </c:pt>
                <c:pt idx="44">
                  <c:v>-233.79735312178994</c:v>
                </c:pt>
                <c:pt idx="45">
                  <c:v>-216.13481840560371</c:v>
                </c:pt>
                <c:pt idx="46">
                  <c:v>-197.16896490547512</c:v>
                </c:pt>
                <c:pt idx="47">
                  <c:v>-176.77314509884653</c:v>
                </c:pt>
                <c:pt idx="48">
                  <c:v>-154.95700744407839</c:v>
                </c:pt>
                <c:pt idx="49">
                  <c:v>-130.39502893606092</c:v>
                </c:pt>
                <c:pt idx="50">
                  <c:v>-104.78010727903404</c:v>
                </c:pt>
                <c:pt idx="51">
                  <c:v>-78.98922992642953</c:v>
                </c:pt>
                <c:pt idx="52">
                  <c:v>-52.997557357968866</c:v>
                </c:pt>
                <c:pt idx="53">
                  <c:v>-26.73035129477293</c:v>
                </c:pt>
                <c:pt idx="54">
                  <c:v>-9.7460115371340014E-2</c:v>
                </c:pt>
                <c:pt idx="55">
                  <c:v>26.969569760788161</c:v>
                </c:pt>
                <c:pt idx="56">
                  <c:v>53.816003918768935</c:v>
                </c:pt>
                <c:pt idx="57">
                  <c:v>79.708817556088619</c:v>
                </c:pt>
                <c:pt idx="58">
                  <c:v>104.96327238150035</c:v>
                </c:pt>
                <c:pt idx="59">
                  <c:v>129.22585765186503</c:v>
                </c:pt>
                <c:pt idx="60">
                  <c:v>152.60038449586236</c:v>
                </c:pt>
                <c:pt idx="61">
                  <c:v>175.18154426162172</c:v>
                </c:pt>
                <c:pt idx="62">
                  <c:v>197.01964734589615</c:v>
                </c:pt>
                <c:pt idx="63">
                  <c:v>218.09292319596901</c:v>
                </c:pt>
                <c:pt idx="64">
                  <c:v>237.40790894976294</c:v>
                </c:pt>
                <c:pt idx="65">
                  <c:v>252.51602244891328</c:v>
                </c:pt>
                <c:pt idx="66">
                  <c:v>265.5931703579285</c:v>
                </c:pt>
                <c:pt idx="67">
                  <c:v>276.97473024942997</c:v>
                </c:pt>
                <c:pt idx="68">
                  <c:v>286.79491047975722</c:v>
                </c:pt>
                <c:pt idx="69">
                  <c:v>295.12404833200497</c:v>
                </c:pt>
                <c:pt idx="70">
                  <c:v>301.94907218454</c:v>
                </c:pt>
                <c:pt idx="71">
                  <c:v>307.1681740349058</c:v>
                </c:pt>
                <c:pt idx="72">
                  <c:v>309.91401488815558</c:v>
                </c:pt>
                <c:pt idx="73">
                  <c:v>309.91401488815552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xVal>
          <c:yVal>
            <c:numRef>
              <c:f>circle_section!$AN$2:$AN$363</c:f>
              <c:numCache>
                <c:formatCode>General</c:formatCode>
                <c:ptCount val="362"/>
                <c:pt idx="0">
                  <c:v>-1.1432158923222838E-13</c:v>
                </c:pt>
                <c:pt idx="1">
                  <c:v>26.776417851092532</c:v>
                </c:pt>
                <c:pt idx="2">
                  <c:v>53.340731820762358</c:v>
                </c:pt>
                <c:pt idx="3">
                  <c:v>79.181042426614326</c:v>
                </c:pt>
                <c:pt idx="4">
                  <c:v>104.3848107536548</c:v>
                </c:pt>
                <c:pt idx="5">
                  <c:v>129.04588403709351</c:v>
                </c:pt>
                <c:pt idx="6">
                  <c:v>153.22775115333621</c:v>
                </c:pt>
                <c:pt idx="7">
                  <c:v>176.93197025821448</c:v>
                </c:pt>
                <c:pt idx="8">
                  <c:v>199.20888883831563</c:v>
                </c:pt>
                <c:pt idx="9">
                  <c:v>217.95582246113702</c:v>
                </c:pt>
                <c:pt idx="10">
                  <c:v>234.95049355976741</c:v>
                </c:pt>
                <c:pt idx="11">
                  <c:v>250.35827913964511</c:v>
                </c:pt>
                <c:pt idx="12">
                  <c:v>264.31161920138163</c:v>
                </c:pt>
                <c:pt idx="13">
                  <c:v>276.89080717459734</c:v>
                </c:pt>
                <c:pt idx="14">
                  <c:v>288.09926642602494</c:v>
                </c:pt>
                <c:pt idx="15">
                  <c:v>297.85192310388749</c:v>
                </c:pt>
                <c:pt idx="16">
                  <c:v>305.20572462899645</c:v>
                </c:pt>
                <c:pt idx="17">
                  <c:v>307.15127543246859</c:v>
                </c:pt>
                <c:pt idx="18">
                  <c:v>306.6243081782157</c:v>
                </c:pt>
                <c:pt idx="19">
                  <c:v>304.39009462089581</c:v>
                </c:pt>
                <c:pt idx="20">
                  <c:v>300.56408352834075</c:v>
                </c:pt>
                <c:pt idx="21">
                  <c:v>295.17544433656354</c:v>
                </c:pt>
                <c:pt idx="22">
                  <c:v>288.16593307128397</c:v>
                </c:pt>
                <c:pt idx="23">
                  <c:v>279.40365087385447</c:v>
                </c:pt>
                <c:pt idx="24">
                  <c:v>268.39340988197154</c:v>
                </c:pt>
                <c:pt idx="25">
                  <c:v>252.62723302276251</c:v>
                </c:pt>
                <c:pt idx="26">
                  <c:v>234.82520125052085</c:v>
                </c:pt>
                <c:pt idx="27">
                  <c:v>215.99440190992053</c:v>
                </c:pt>
                <c:pt idx="28">
                  <c:v>196.17927277468618</c:v>
                </c:pt>
                <c:pt idx="29">
                  <c:v>175.34421058378163</c:v>
                </c:pt>
                <c:pt idx="30">
                  <c:v>153.39655702487988</c:v>
                </c:pt>
                <c:pt idx="31">
                  <c:v>130.21930517425378</c:v>
                </c:pt>
                <c:pt idx="32">
                  <c:v>105.99683579068086</c:v>
                </c:pt>
                <c:pt idx="33">
                  <c:v>79.896100642751563</c:v>
                </c:pt>
                <c:pt idx="34">
                  <c:v>53.148772866299083</c:v>
                </c:pt>
                <c:pt idx="35">
                  <c:v>26.532528034947173</c:v>
                </c:pt>
                <c:pt idx="36">
                  <c:v>7.2454736993613557E-13</c:v>
                </c:pt>
                <c:pt idx="37">
                  <c:v>-26.532528034951032</c:v>
                </c:pt>
                <c:pt idx="38">
                  <c:v>-53.148772866324158</c:v>
                </c:pt>
                <c:pt idx="39">
                  <c:v>-79.896100642749516</c:v>
                </c:pt>
                <c:pt idx="40">
                  <c:v>-105.99683579067947</c:v>
                </c:pt>
                <c:pt idx="41">
                  <c:v>-130.21930517425281</c:v>
                </c:pt>
                <c:pt idx="42">
                  <c:v>-153.39655702487866</c:v>
                </c:pt>
                <c:pt idx="43">
                  <c:v>-175.34421058378135</c:v>
                </c:pt>
                <c:pt idx="44">
                  <c:v>-196.17927277471699</c:v>
                </c:pt>
                <c:pt idx="45">
                  <c:v>-215.99440190994835</c:v>
                </c:pt>
                <c:pt idx="46">
                  <c:v>-234.82520125052073</c:v>
                </c:pt>
                <c:pt idx="47">
                  <c:v>-252.62723302276046</c:v>
                </c:pt>
                <c:pt idx="48">
                  <c:v>-268.39340988197057</c:v>
                </c:pt>
                <c:pt idx="49">
                  <c:v>-279.40365087385447</c:v>
                </c:pt>
                <c:pt idx="50">
                  <c:v>-288.1659330713357</c:v>
                </c:pt>
                <c:pt idx="51">
                  <c:v>-295.17544433652603</c:v>
                </c:pt>
                <c:pt idx="52">
                  <c:v>-300.5640835283894</c:v>
                </c:pt>
                <c:pt idx="53">
                  <c:v>-304.39009462089541</c:v>
                </c:pt>
                <c:pt idx="54">
                  <c:v>-306.62430817827465</c:v>
                </c:pt>
                <c:pt idx="55">
                  <c:v>-307.1512754324682</c:v>
                </c:pt>
                <c:pt idx="56">
                  <c:v>-305.20572462899628</c:v>
                </c:pt>
                <c:pt idx="57">
                  <c:v>-297.85192310388777</c:v>
                </c:pt>
                <c:pt idx="58">
                  <c:v>-288.09926642608167</c:v>
                </c:pt>
                <c:pt idx="59">
                  <c:v>-276.89080717460109</c:v>
                </c:pt>
                <c:pt idx="60">
                  <c:v>-264.31161920138226</c:v>
                </c:pt>
                <c:pt idx="61">
                  <c:v>-250.35827913961487</c:v>
                </c:pt>
                <c:pt idx="62">
                  <c:v>-234.95049355976835</c:v>
                </c:pt>
                <c:pt idx="63">
                  <c:v>-217.9558224611375</c:v>
                </c:pt>
                <c:pt idx="64">
                  <c:v>-199.20888883831697</c:v>
                </c:pt>
                <c:pt idx="65">
                  <c:v>-176.93197025821567</c:v>
                </c:pt>
                <c:pt idx="66">
                  <c:v>-153.22775115339428</c:v>
                </c:pt>
                <c:pt idx="67">
                  <c:v>-129.04588403709468</c:v>
                </c:pt>
                <c:pt idx="68">
                  <c:v>-104.38481075367343</c:v>
                </c:pt>
                <c:pt idx="69">
                  <c:v>-79.181042426607647</c:v>
                </c:pt>
                <c:pt idx="70">
                  <c:v>-53.340731820768468</c:v>
                </c:pt>
                <c:pt idx="71">
                  <c:v>-26.776417851094298</c:v>
                </c:pt>
                <c:pt idx="72">
                  <c:v>-1.446827394591409E-12</c:v>
                </c:pt>
                <c:pt idx="73">
                  <c:v>-9.9030774211153409E-14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731-401E-A1FC-BD9DD26A4E8D}"/>
            </c:ext>
          </c:extLst>
        </c:ser>
        <c:ser>
          <c:idx val="2"/>
          <c:order val="2"/>
          <c:tx>
            <c:v>User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FF00"/>
              </a:solidFill>
              <a:ln w="12700">
                <a:solidFill>
                  <a:srgbClr val="7030A0"/>
                </a:solidFill>
              </a:ln>
              <a:effectLst/>
            </c:spPr>
          </c:marker>
          <c:xVal>
            <c:numRef>
              <c:f>circle_section!$J$10</c:f>
              <c:numCache>
                <c:formatCode>0.000</c:formatCode>
                <c:ptCount val="1"/>
                <c:pt idx="0">
                  <c:v>10</c:v>
                </c:pt>
              </c:numCache>
            </c:numRef>
          </c:xVal>
          <c:yVal>
            <c:numRef>
              <c:f>circle_section!$J$11</c:f>
              <c:numCache>
                <c:formatCode>0.000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731-401E-A1FC-BD9DD26A4E8D}"/>
            </c:ext>
          </c:extLst>
        </c:ser>
        <c:ser>
          <c:idx val="3"/>
          <c:order val="3"/>
          <c:tx>
            <c:v>Result</c:v>
          </c:tx>
          <c:spPr>
            <a:ln w="19050" cap="rnd">
              <a:noFill/>
              <a:round/>
            </a:ln>
            <a:effectLst/>
          </c:spPr>
          <c:marker>
            <c:symbol val="x"/>
            <c:size val="6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circle_section!$J$4</c:f>
              <c:numCache>
                <c:formatCode>0.000</c:formatCode>
                <c:ptCount val="1"/>
                <c:pt idx="0">
                  <c:v>339.64385907267308</c:v>
                </c:pt>
              </c:numCache>
            </c:numRef>
          </c:xVal>
          <c:yVal>
            <c:numRef>
              <c:f>circle_section!$J$5</c:f>
              <c:numCache>
                <c:formatCode>0.000</c:formatCode>
                <c:ptCount val="1"/>
                <c:pt idx="0">
                  <c:v>-2.2940453726202812E-14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731-401E-A1FC-BD9DD26A4E8D}"/>
            </c:ext>
          </c:extLst>
        </c:ser>
        <c:ser>
          <c:idx val="4"/>
          <c:order val="4"/>
          <c:tx>
            <c:v>Origin_User_Result</c:v>
          </c:tx>
          <c:spPr>
            <a:ln w="15875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circle_section!$Z$36:$Z$38</c:f>
              <c:numCache>
                <c:formatCode>0.000</c:formatCode>
                <c:ptCount val="3"/>
                <c:pt idx="0" formatCode="General">
                  <c:v>0</c:v>
                </c:pt>
                <c:pt idx="1">
                  <c:v>10</c:v>
                </c:pt>
                <c:pt idx="2">
                  <c:v>339.64385907267308</c:v>
                </c:pt>
              </c:numCache>
            </c:numRef>
          </c:xVal>
          <c:yVal>
            <c:numRef>
              <c:f>circle_section!$AA$36:$AA$38</c:f>
              <c:numCache>
                <c:formatCode>0.000</c:formatCode>
                <c:ptCount val="3"/>
                <c:pt idx="0" formatCode="General">
                  <c:v>0</c:v>
                </c:pt>
                <c:pt idx="1">
                  <c:v>0</c:v>
                </c:pt>
                <c:pt idx="2">
                  <c:v>-2.2940453726202812E-14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731-401E-A1FC-BD9DD26A4E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549871"/>
        <c:axId val="313673823"/>
      </c:scatterChart>
      <c:valAx>
        <c:axId val="494549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673823"/>
        <c:crosses val="autoZero"/>
        <c:crossBetween val="midCat"/>
      </c:valAx>
      <c:valAx>
        <c:axId val="3136738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54987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circle_section!$Z$34</c:f>
          <c:strCache>
            <c:ptCount val="1"/>
            <c:pt idx="0">
              <c:v>Mx vs My @ Pu = 100 Kips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796130619354791"/>
          <c:y val="8.8939232913153282E-2"/>
          <c:w val="0.75684441134620783"/>
          <c:h val="0.84272719894062587"/>
        </c:manualLayout>
      </c:layout>
      <c:scatterChart>
        <c:scatterStyle val="lineMarker"/>
        <c:varyColors val="0"/>
        <c:ser>
          <c:idx val="0"/>
          <c:order val="0"/>
          <c:tx>
            <c:v>Mx_My</c:v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circle_section!$AK$2:$AK$363</c:f>
              <c:numCache>
                <c:formatCode>General</c:formatCode>
                <c:ptCount val="362"/>
                <c:pt idx="0">
                  <c:v>278.92261339933953</c:v>
                </c:pt>
                <c:pt idx="1">
                  <c:v>276.45135663141485</c:v>
                </c:pt>
                <c:pt idx="2">
                  <c:v>271.75416496603293</c:v>
                </c:pt>
                <c:pt idx="3">
                  <c:v>265.6116434988399</c:v>
                </c:pt>
                <c:pt idx="4">
                  <c:v>258.11541943173955</c:v>
                </c:pt>
                <c:pt idx="5">
                  <c:v>249.27725722448804</c:v>
                </c:pt>
                <c:pt idx="6">
                  <c:v>239.03385332206639</c:v>
                </c:pt>
                <c:pt idx="7">
                  <c:v>227.26442020402277</c:v>
                </c:pt>
                <c:pt idx="8">
                  <c:v>213.6671180547871</c:v>
                </c:pt>
                <c:pt idx="9">
                  <c:v>196.28363087637362</c:v>
                </c:pt>
                <c:pt idx="10">
                  <c:v>177.31768261130767</c:v>
                </c:pt>
                <c:pt idx="11">
                  <c:v>157.66338983548221</c:v>
                </c:pt>
                <c:pt idx="12">
                  <c:v>137.3403460462772</c:v>
                </c:pt>
                <c:pt idx="13">
                  <c:v>116.3032718866785</c:v>
                </c:pt>
                <c:pt idx="14">
                  <c:v>94.466945143338876</c:v>
                </c:pt>
                <c:pt idx="15">
                  <c:v>71.73793580048131</c:v>
                </c:pt>
                <c:pt idx="16">
                  <c:v>48.434403526893206</c:v>
                </c:pt>
                <c:pt idx="17">
                  <c:v>24.272612784711061</c:v>
                </c:pt>
                <c:pt idx="18">
                  <c:v>-8.771410383846108E-2</c:v>
                </c:pt>
                <c:pt idx="19">
                  <c:v>-24.057316165294541</c:v>
                </c:pt>
                <c:pt idx="20">
                  <c:v>-47.697801622163055</c:v>
                </c:pt>
                <c:pt idx="21">
                  <c:v>-71.090306933796384</c:v>
                </c:pt>
                <c:pt idx="22">
                  <c:v>-94.302096551106729</c:v>
                </c:pt>
                <c:pt idx="23">
                  <c:v>-117.35552604245343</c:v>
                </c:pt>
                <c:pt idx="24">
                  <c:v>-139.46130669966982</c:v>
                </c:pt>
                <c:pt idx="25">
                  <c:v>-159.09583058896155</c:v>
                </c:pt>
                <c:pt idx="26">
                  <c:v>-177.45206841492612</c:v>
                </c:pt>
                <c:pt idx="27">
                  <c:v>-194.521336565019</c:v>
                </c:pt>
                <c:pt idx="28">
                  <c:v>-210.417617809576</c:v>
                </c:pt>
                <c:pt idx="29">
                  <c:v>-225.21994105916187</c:v>
                </c:pt>
                <c:pt idx="30">
                  <c:v>-238.94613921822824</c:v>
                </c:pt>
                <c:pt idx="31">
                  <c:v>-251.53703298873188</c:v>
                </c:pt>
                <c:pt idx="32">
                  <c:v>-262.10152158168</c:v>
                </c:pt>
                <c:pt idx="33">
                  <c:v>-268.02156667685557</c:v>
                </c:pt>
                <c:pt idx="34">
                  <c:v>-271.78462775460741</c:v>
                </c:pt>
                <c:pt idx="35">
                  <c:v>-273.96666172212616</c:v>
                </c:pt>
                <c:pt idx="36">
                  <c:v>-274.68069209259897</c:v>
                </c:pt>
                <c:pt idx="37">
                  <c:v>-273.96666172216038</c:v>
                </c:pt>
                <c:pt idx="38">
                  <c:v>-271.78462775469086</c:v>
                </c:pt>
                <c:pt idx="39">
                  <c:v>-268.02156667685432</c:v>
                </c:pt>
                <c:pt idx="40">
                  <c:v>-262.10152158168046</c:v>
                </c:pt>
                <c:pt idx="41">
                  <c:v>-251.53703298873387</c:v>
                </c:pt>
                <c:pt idx="42">
                  <c:v>-238.94613921822813</c:v>
                </c:pt>
                <c:pt idx="43">
                  <c:v>-225.219941059164</c:v>
                </c:pt>
                <c:pt idx="44">
                  <c:v>-210.41761780961096</c:v>
                </c:pt>
                <c:pt idx="45">
                  <c:v>-194.52133656504336</c:v>
                </c:pt>
                <c:pt idx="46">
                  <c:v>-177.45206841492762</c:v>
                </c:pt>
                <c:pt idx="47">
                  <c:v>-159.09583058896189</c:v>
                </c:pt>
                <c:pt idx="48">
                  <c:v>-139.46130669967056</c:v>
                </c:pt>
                <c:pt idx="49">
                  <c:v>-117.35552604245484</c:v>
                </c:pt>
                <c:pt idx="50">
                  <c:v>-94.302096551130646</c:v>
                </c:pt>
                <c:pt idx="51">
                  <c:v>-71.090306933786579</c:v>
                </c:pt>
                <c:pt idx="52">
                  <c:v>-47.69780162217198</c:v>
                </c:pt>
                <c:pt idx="53">
                  <c:v>-24.057316165295639</c:v>
                </c:pt>
                <c:pt idx="54">
                  <c:v>-8.7714103834206011E-2</c:v>
                </c:pt>
                <c:pt idx="55">
                  <c:v>24.272612784709345</c:v>
                </c:pt>
                <c:pt idx="56">
                  <c:v>48.434403526892041</c:v>
                </c:pt>
                <c:pt idx="57">
                  <c:v>71.737935800479761</c:v>
                </c:pt>
                <c:pt idx="58">
                  <c:v>94.466945143350316</c:v>
                </c:pt>
                <c:pt idx="59">
                  <c:v>116.30327188667853</c:v>
                </c:pt>
                <c:pt idx="60">
                  <c:v>137.34034604627612</c:v>
                </c:pt>
                <c:pt idx="61">
                  <c:v>157.66338983545955</c:v>
                </c:pt>
                <c:pt idx="62">
                  <c:v>177.31768261130654</c:v>
                </c:pt>
                <c:pt idx="63">
                  <c:v>196.28363087637211</c:v>
                </c:pt>
                <c:pt idx="64">
                  <c:v>213.66711805478664</c:v>
                </c:pt>
                <c:pt idx="65">
                  <c:v>227.26442020402195</c:v>
                </c:pt>
                <c:pt idx="66">
                  <c:v>239.03385332213566</c:v>
                </c:pt>
                <c:pt idx="67">
                  <c:v>249.27725722448699</c:v>
                </c:pt>
                <c:pt idx="68">
                  <c:v>258.1154194317815</c:v>
                </c:pt>
                <c:pt idx="69">
                  <c:v>265.61164349880448</c:v>
                </c:pt>
                <c:pt idx="70">
                  <c:v>271.75416496608602</c:v>
                </c:pt>
                <c:pt idx="71">
                  <c:v>276.45135663141525</c:v>
                </c:pt>
                <c:pt idx="72">
                  <c:v>278.92261339934004</c:v>
                </c:pt>
                <c:pt idx="73">
                  <c:v>278.92261339933998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xVal>
          <c:yVal>
            <c:numRef>
              <c:f>circle_section!$AL$2:$AL$363</c:f>
              <c:numCache>
                <c:formatCode>General</c:formatCode>
                <c:ptCount val="362"/>
                <c:pt idx="0">
                  <c:v>-1.0288943030900554E-13</c:v>
                </c:pt>
                <c:pt idx="1">
                  <c:v>24.09877606598328</c:v>
                </c:pt>
                <c:pt idx="2">
                  <c:v>48.006658638686126</c:v>
                </c:pt>
                <c:pt idx="3">
                  <c:v>71.262938183952897</c:v>
                </c:pt>
                <c:pt idx="4">
                  <c:v>93.946329678289331</c:v>
                </c:pt>
                <c:pt idx="5">
                  <c:v>116.14129563338416</c:v>
                </c:pt>
                <c:pt idx="6">
                  <c:v>137.90497603800259</c:v>
                </c:pt>
                <c:pt idx="7">
                  <c:v>159.23877323239304</c:v>
                </c:pt>
                <c:pt idx="8">
                  <c:v>179.28799995448406</c:v>
                </c:pt>
                <c:pt idx="9">
                  <c:v>196.16024021502332</c:v>
                </c:pt>
                <c:pt idx="10">
                  <c:v>211.45544420379068</c:v>
                </c:pt>
                <c:pt idx="11">
                  <c:v>225.3224512256806</c:v>
                </c:pt>
                <c:pt idx="12">
                  <c:v>237.88045728124348</c:v>
                </c:pt>
                <c:pt idx="13">
                  <c:v>249.20172645713762</c:v>
                </c:pt>
                <c:pt idx="14">
                  <c:v>259.28933978342246</c:v>
                </c:pt>
                <c:pt idx="15">
                  <c:v>268.06673079349872</c:v>
                </c:pt>
                <c:pt idx="16">
                  <c:v>274.68515216609683</c:v>
                </c:pt>
                <c:pt idx="17">
                  <c:v>276.43614788922173</c:v>
                </c:pt>
                <c:pt idx="18">
                  <c:v>275.96187736039411</c:v>
                </c:pt>
                <c:pt idx="19">
                  <c:v>273.95108515880622</c:v>
                </c:pt>
                <c:pt idx="20">
                  <c:v>270.50767517550668</c:v>
                </c:pt>
                <c:pt idx="21">
                  <c:v>265.65789990290722</c:v>
                </c:pt>
                <c:pt idx="22">
                  <c:v>259.34933976415556</c:v>
                </c:pt>
                <c:pt idx="23">
                  <c:v>251.46328578646904</c:v>
                </c:pt>
                <c:pt idx="24">
                  <c:v>241.5540688937744</c:v>
                </c:pt>
                <c:pt idx="25">
                  <c:v>227.36450972048627</c:v>
                </c:pt>
                <c:pt idx="26">
                  <c:v>211.34268112546877</c:v>
                </c:pt>
                <c:pt idx="27">
                  <c:v>194.39496171892847</c:v>
                </c:pt>
                <c:pt idx="28">
                  <c:v>176.56134549721756</c:v>
                </c:pt>
                <c:pt idx="29">
                  <c:v>157.80978952540346</c:v>
                </c:pt>
                <c:pt idx="30">
                  <c:v>138.05690132239189</c:v>
                </c:pt>
                <c:pt idx="31">
                  <c:v>117.1973746568284</c:v>
                </c:pt>
                <c:pt idx="32">
                  <c:v>95.397152211612777</c:v>
                </c:pt>
                <c:pt idx="33">
                  <c:v>71.906490578476408</c:v>
                </c:pt>
                <c:pt idx="34">
                  <c:v>47.833895579669175</c:v>
                </c:pt>
                <c:pt idx="35">
                  <c:v>23.879275231452457</c:v>
                </c:pt>
                <c:pt idx="36">
                  <c:v>6.52092632942522E-13</c:v>
                </c:pt>
                <c:pt idx="37">
                  <c:v>-23.879275231455928</c:v>
                </c:pt>
                <c:pt idx="38">
                  <c:v>-47.833895579691742</c:v>
                </c:pt>
                <c:pt idx="39">
                  <c:v>-71.90649057847456</c:v>
                </c:pt>
                <c:pt idx="40">
                  <c:v>-95.397152211611527</c:v>
                </c:pt>
                <c:pt idx="41">
                  <c:v>-117.19737465682753</c:v>
                </c:pt>
                <c:pt idx="42">
                  <c:v>-138.05690132239079</c:v>
                </c:pt>
                <c:pt idx="43">
                  <c:v>-157.8097895254032</c:v>
                </c:pt>
                <c:pt idx="44">
                  <c:v>-176.5613454972453</c:v>
                </c:pt>
                <c:pt idx="45">
                  <c:v>-194.39496171895351</c:v>
                </c:pt>
                <c:pt idx="46">
                  <c:v>-211.34268112546866</c:v>
                </c:pt>
                <c:pt idx="47">
                  <c:v>-227.36450972048442</c:v>
                </c:pt>
                <c:pt idx="48">
                  <c:v>-241.55406889377352</c:v>
                </c:pt>
                <c:pt idx="49">
                  <c:v>-251.46328578646904</c:v>
                </c:pt>
                <c:pt idx="50">
                  <c:v>-259.34933976420211</c:v>
                </c:pt>
                <c:pt idx="51">
                  <c:v>-265.65789990287345</c:v>
                </c:pt>
                <c:pt idx="52">
                  <c:v>-270.50767517555045</c:v>
                </c:pt>
                <c:pt idx="53">
                  <c:v>-273.95108515880588</c:v>
                </c:pt>
                <c:pt idx="54">
                  <c:v>-275.9618773604472</c:v>
                </c:pt>
                <c:pt idx="55">
                  <c:v>-276.43614788922139</c:v>
                </c:pt>
                <c:pt idx="56">
                  <c:v>-274.68515216609666</c:v>
                </c:pt>
                <c:pt idx="57">
                  <c:v>-268.066730793499</c:v>
                </c:pt>
                <c:pt idx="58">
                  <c:v>-259.28933978347351</c:v>
                </c:pt>
                <c:pt idx="59">
                  <c:v>-249.20172645714098</c:v>
                </c:pt>
                <c:pt idx="60">
                  <c:v>-237.88045728124405</c:v>
                </c:pt>
                <c:pt idx="61">
                  <c:v>-225.3224512256534</c:v>
                </c:pt>
                <c:pt idx="62">
                  <c:v>-211.45544420379153</c:v>
                </c:pt>
                <c:pt idx="63">
                  <c:v>-196.16024021502375</c:v>
                </c:pt>
                <c:pt idx="64">
                  <c:v>-179.28799995448529</c:v>
                </c:pt>
                <c:pt idx="65">
                  <c:v>-159.2387732323941</c:v>
                </c:pt>
                <c:pt idx="66">
                  <c:v>-137.90497603805485</c:v>
                </c:pt>
                <c:pt idx="67">
                  <c:v>-116.14129563338521</c:v>
                </c:pt>
                <c:pt idx="68">
                  <c:v>-93.9463296783061</c:v>
                </c:pt>
                <c:pt idx="69">
                  <c:v>-71.262938183946886</c:v>
                </c:pt>
                <c:pt idx="70">
                  <c:v>-48.006658638691626</c:v>
                </c:pt>
                <c:pt idx="71">
                  <c:v>-24.098776065984868</c:v>
                </c:pt>
                <c:pt idx="72">
                  <c:v>-1.3021446551322682E-12</c:v>
                </c:pt>
                <c:pt idx="73">
                  <c:v>-8.9127696790038068E-14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96-4EFF-9FED-91A8171ACB73}"/>
            </c:ext>
          </c:extLst>
        </c:ser>
        <c:ser>
          <c:idx val="1"/>
          <c:order val="1"/>
          <c:tx>
            <c:v>Mx_My_Nominal</c:v>
          </c:tx>
          <c:spPr>
            <a:ln w="22225" cap="rnd">
              <a:solidFill>
                <a:srgbClr val="92D05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circle_section!$AM$2:$AM$363</c:f>
              <c:numCache>
                <c:formatCode>General</c:formatCode>
                <c:ptCount val="362"/>
                <c:pt idx="0">
                  <c:v>309.91401488815501</c:v>
                </c:pt>
                <c:pt idx="1">
                  <c:v>307.16817403490541</c:v>
                </c:pt>
                <c:pt idx="2">
                  <c:v>301.94907218448105</c:v>
                </c:pt>
                <c:pt idx="3">
                  <c:v>295.12404833204431</c:v>
                </c:pt>
                <c:pt idx="4">
                  <c:v>286.79491047971061</c:v>
                </c:pt>
                <c:pt idx="5">
                  <c:v>276.97473024943116</c:v>
                </c:pt>
                <c:pt idx="6">
                  <c:v>265.59317035785153</c:v>
                </c:pt>
                <c:pt idx="7">
                  <c:v>252.51602244891419</c:v>
                </c:pt>
                <c:pt idx="8">
                  <c:v>237.40790894976342</c:v>
                </c:pt>
                <c:pt idx="9">
                  <c:v>218.09292319597068</c:v>
                </c:pt>
                <c:pt idx="10">
                  <c:v>197.0196473458974</c:v>
                </c:pt>
                <c:pt idx="11">
                  <c:v>175.18154426164691</c:v>
                </c:pt>
                <c:pt idx="12">
                  <c:v>152.60038449586355</c:v>
                </c:pt>
                <c:pt idx="13">
                  <c:v>129.225857651865</c:v>
                </c:pt>
                <c:pt idx="14">
                  <c:v>104.96327238148764</c:v>
                </c:pt>
                <c:pt idx="15">
                  <c:v>79.708817556090338</c:v>
                </c:pt>
                <c:pt idx="16">
                  <c:v>53.816003918770228</c:v>
                </c:pt>
                <c:pt idx="17">
                  <c:v>26.969569760790066</c:v>
                </c:pt>
                <c:pt idx="18">
                  <c:v>-9.7460115376067857E-2</c:v>
                </c:pt>
                <c:pt idx="19">
                  <c:v>-26.730351294771712</c:v>
                </c:pt>
                <c:pt idx="20">
                  <c:v>-52.997557357958947</c:v>
                </c:pt>
                <c:pt idx="21">
                  <c:v>-78.98922992644043</c:v>
                </c:pt>
                <c:pt idx="22">
                  <c:v>-104.78010727900747</c:v>
                </c:pt>
                <c:pt idx="23">
                  <c:v>-130.39502893605936</c:v>
                </c:pt>
                <c:pt idx="24">
                  <c:v>-154.95700744407756</c:v>
                </c:pt>
                <c:pt idx="25">
                  <c:v>-176.77314509884616</c:v>
                </c:pt>
                <c:pt idx="26">
                  <c:v>-197.16896490547344</c:v>
                </c:pt>
                <c:pt idx="27">
                  <c:v>-216.13481840557665</c:v>
                </c:pt>
                <c:pt idx="28">
                  <c:v>-233.79735312175112</c:v>
                </c:pt>
                <c:pt idx="29">
                  <c:v>-250.2443789546243</c:v>
                </c:pt>
                <c:pt idx="30">
                  <c:v>-265.49571024247581</c:v>
                </c:pt>
                <c:pt idx="31">
                  <c:v>-279.48559220970208</c:v>
                </c:pt>
                <c:pt idx="32">
                  <c:v>-291.22391286853332</c:v>
                </c:pt>
                <c:pt idx="33">
                  <c:v>-297.80174075206173</c:v>
                </c:pt>
                <c:pt idx="34">
                  <c:v>-301.98291972734154</c:v>
                </c:pt>
                <c:pt idx="35">
                  <c:v>-304.40740191347351</c:v>
                </c:pt>
                <c:pt idx="36">
                  <c:v>-305.20076899177661</c:v>
                </c:pt>
                <c:pt idx="37">
                  <c:v>-304.40740191351153</c:v>
                </c:pt>
                <c:pt idx="38">
                  <c:v>-301.98291972743431</c:v>
                </c:pt>
                <c:pt idx="39">
                  <c:v>-297.80174075206037</c:v>
                </c:pt>
                <c:pt idx="40">
                  <c:v>-291.22391286853383</c:v>
                </c:pt>
                <c:pt idx="41">
                  <c:v>-279.48559220970429</c:v>
                </c:pt>
                <c:pt idx="42">
                  <c:v>-265.4957102424757</c:v>
                </c:pt>
                <c:pt idx="43">
                  <c:v>-250.24437895462665</c:v>
                </c:pt>
                <c:pt idx="44">
                  <c:v>-233.79735312178994</c:v>
                </c:pt>
                <c:pt idx="45">
                  <c:v>-216.13481840560371</c:v>
                </c:pt>
                <c:pt idx="46">
                  <c:v>-197.16896490547512</c:v>
                </c:pt>
                <c:pt idx="47">
                  <c:v>-176.77314509884653</c:v>
                </c:pt>
                <c:pt idx="48">
                  <c:v>-154.95700744407839</c:v>
                </c:pt>
                <c:pt idx="49">
                  <c:v>-130.39502893606092</c:v>
                </c:pt>
                <c:pt idx="50">
                  <c:v>-104.78010727903404</c:v>
                </c:pt>
                <c:pt idx="51">
                  <c:v>-78.98922992642953</c:v>
                </c:pt>
                <c:pt idx="52">
                  <c:v>-52.997557357968866</c:v>
                </c:pt>
                <c:pt idx="53">
                  <c:v>-26.73035129477293</c:v>
                </c:pt>
                <c:pt idx="54">
                  <c:v>-9.7460115371340014E-2</c:v>
                </c:pt>
                <c:pt idx="55">
                  <c:v>26.969569760788161</c:v>
                </c:pt>
                <c:pt idx="56">
                  <c:v>53.816003918768935</c:v>
                </c:pt>
                <c:pt idx="57">
                  <c:v>79.708817556088619</c:v>
                </c:pt>
                <c:pt idx="58">
                  <c:v>104.96327238150035</c:v>
                </c:pt>
                <c:pt idx="59">
                  <c:v>129.22585765186503</c:v>
                </c:pt>
                <c:pt idx="60">
                  <c:v>152.60038449586236</c:v>
                </c:pt>
                <c:pt idx="61">
                  <c:v>175.18154426162172</c:v>
                </c:pt>
                <c:pt idx="62">
                  <c:v>197.01964734589615</c:v>
                </c:pt>
                <c:pt idx="63">
                  <c:v>218.09292319596901</c:v>
                </c:pt>
                <c:pt idx="64">
                  <c:v>237.40790894976294</c:v>
                </c:pt>
                <c:pt idx="65">
                  <c:v>252.51602244891328</c:v>
                </c:pt>
                <c:pt idx="66">
                  <c:v>265.5931703579285</c:v>
                </c:pt>
                <c:pt idx="67">
                  <c:v>276.97473024942997</c:v>
                </c:pt>
                <c:pt idx="68">
                  <c:v>286.79491047975722</c:v>
                </c:pt>
                <c:pt idx="69">
                  <c:v>295.12404833200497</c:v>
                </c:pt>
                <c:pt idx="70">
                  <c:v>301.94907218454</c:v>
                </c:pt>
                <c:pt idx="71">
                  <c:v>307.1681740349058</c:v>
                </c:pt>
                <c:pt idx="72">
                  <c:v>309.91401488815558</c:v>
                </c:pt>
                <c:pt idx="73">
                  <c:v>309.91401488815552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xVal>
          <c:yVal>
            <c:numRef>
              <c:f>circle_section!$AN$2:$AN$363</c:f>
              <c:numCache>
                <c:formatCode>General</c:formatCode>
                <c:ptCount val="362"/>
                <c:pt idx="0">
                  <c:v>-1.1432158923222838E-13</c:v>
                </c:pt>
                <c:pt idx="1">
                  <c:v>26.776417851092532</c:v>
                </c:pt>
                <c:pt idx="2">
                  <c:v>53.340731820762358</c:v>
                </c:pt>
                <c:pt idx="3">
                  <c:v>79.181042426614326</c:v>
                </c:pt>
                <c:pt idx="4">
                  <c:v>104.3848107536548</c:v>
                </c:pt>
                <c:pt idx="5">
                  <c:v>129.04588403709351</c:v>
                </c:pt>
                <c:pt idx="6">
                  <c:v>153.22775115333621</c:v>
                </c:pt>
                <c:pt idx="7">
                  <c:v>176.93197025821448</c:v>
                </c:pt>
                <c:pt idx="8">
                  <c:v>199.20888883831563</c:v>
                </c:pt>
                <c:pt idx="9">
                  <c:v>217.95582246113702</c:v>
                </c:pt>
                <c:pt idx="10">
                  <c:v>234.95049355976741</c:v>
                </c:pt>
                <c:pt idx="11">
                  <c:v>250.35827913964511</c:v>
                </c:pt>
                <c:pt idx="12">
                  <c:v>264.31161920138163</c:v>
                </c:pt>
                <c:pt idx="13">
                  <c:v>276.89080717459734</c:v>
                </c:pt>
                <c:pt idx="14">
                  <c:v>288.09926642602494</c:v>
                </c:pt>
                <c:pt idx="15">
                  <c:v>297.85192310388749</c:v>
                </c:pt>
                <c:pt idx="16">
                  <c:v>305.20572462899645</c:v>
                </c:pt>
                <c:pt idx="17">
                  <c:v>307.15127543246859</c:v>
                </c:pt>
                <c:pt idx="18">
                  <c:v>306.6243081782157</c:v>
                </c:pt>
                <c:pt idx="19">
                  <c:v>304.39009462089581</c:v>
                </c:pt>
                <c:pt idx="20">
                  <c:v>300.56408352834075</c:v>
                </c:pt>
                <c:pt idx="21">
                  <c:v>295.17544433656354</c:v>
                </c:pt>
                <c:pt idx="22">
                  <c:v>288.16593307128397</c:v>
                </c:pt>
                <c:pt idx="23">
                  <c:v>279.40365087385447</c:v>
                </c:pt>
                <c:pt idx="24">
                  <c:v>268.39340988197154</c:v>
                </c:pt>
                <c:pt idx="25">
                  <c:v>252.62723302276251</c:v>
                </c:pt>
                <c:pt idx="26">
                  <c:v>234.82520125052085</c:v>
                </c:pt>
                <c:pt idx="27">
                  <c:v>215.99440190992053</c:v>
                </c:pt>
                <c:pt idx="28">
                  <c:v>196.17927277468618</c:v>
                </c:pt>
                <c:pt idx="29">
                  <c:v>175.34421058378163</c:v>
                </c:pt>
                <c:pt idx="30">
                  <c:v>153.39655702487988</c:v>
                </c:pt>
                <c:pt idx="31">
                  <c:v>130.21930517425378</c:v>
                </c:pt>
                <c:pt idx="32">
                  <c:v>105.99683579068086</c:v>
                </c:pt>
                <c:pt idx="33">
                  <c:v>79.896100642751563</c:v>
                </c:pt>
                <c:pt idx="34">
                  <c:v>53.148772866299083</c:v>
                </c:pt>
                <c:pt idx="35">
                  <c:v>26.532528034947173</c:v>
                </c:pt>
                <c:pt idx="36">
                  <c:v>7.2454736993613557E-13</c:v>
                </c:pt>
                <c:pt idx="37">
                  <c:v>-26.532528034951032</c:v>
                </c:pt>
                <c:pt idx="38">
                  <c:v>-53.148772866324158</c:v>
                </c:pt>
                <c:pt idx="39">
                  <c:v>-79.896100642749516</c:v>
                </c:pt>
                <c:pt idx="40">
                  <c:v>-105.99683579067947</c:v>
                </c:pt>
                <c:pt idx="41">
                  <c:v>-130.21930517425281</c:v>
                </c:pt>
                <c:pt idx="42">
                  <c:v>-153.39655702487866</c:v>
                </c:pt>
                <c:pt idx="43">
                  <c:v>-175.34421058378135</c:v>
                </c:pt>
                <c:pt idx="44">
                  <c:v>-196.17927277471699</c:v>
                </c:pt>
                <c:pt idx="45">
                  <c:v>-215.99440190994835</c:v>
                </c:pt>
                <c:pt idx="46">
                  <c:v>-234.82520125052073</c:v>
                </c:pt>
                <c:pt idx="47">
                  <c:v>-252.62723302276046</c:v>
                </c:pt>
                <c:pt idx="48">
                  <c:v>-268.39340988197057</c:v>
                </c:pt>
                <c:pt idx="49">
                  <c:v>-279.40365087385447</c:v>
                </c:pt>
                <c:pt idx="50">
                  <c:v>-288.1659330713357</c:v>
                </c:pt>
                <c:pt idx="51">
                  <c:v>-295.17544433652603</c:v>
                </c:pt>
                <c:pt idx="52">
                  <c:v>-300.5640835283894</c:v>
                </c:pt>
                <c:pt idx="53">
                  <c:v>-304.39009462089541</c:v>
                </c:pt>
                <c:pt idx="54">
                  <c:v>-306.62430817827465</c:v>
                </c:pt>
                <c:pt idx="55">
                  <c:v>-307.1512754324682</c:v>
                </c:pt>
                <c:pt idx="56">
                  <c:v>-305.20572462899628</c:v>
                </c:pt>
                <c:pt idx="57">
                  <c:v>-297.85192310388777</c:v>
                </c:pt>
                <c:pt idx="58">
                  <c:v>-288.09926642608167</c:v>
                </c:pt>
                <c:pt idx="59">
                  <c:v>-276.89080717460109</c:v>
                </c:pt>
                <c:pt idx="60">
                  <c:v>-264.31161920138226</c:v>
                </c:pt>
                <c:pt idx="61">
                  <c:v>-250.35827913961487</c:v>
                </c:pt>
                <c:pt idx="62">
                  <c:v>-234.95049355976835</c:v>
                </c:pt>
                <c:pt idx="63">
                  <c:v>-217.9558224611375</c:v>
                </c:pt>
                <c:pt idx="64">
                  <c:v>-199.20888883831697</c:v>
                </c:pt>
                <c:pt idx="65">
                  <c:v>-176.93197025821567</c:v>
                </c:pt>
                <c:pt idx="66">
                  <c:v>-153.22775115339428</c:v>
                </c:pt>
                <c:pt idx="67">
                  <c:v>-129.04588403709468</c:v>
                </c:pt>
                <c:pt idx="68">
                  <c:v>-104.38481075367343</c:v>
                </c:pt>
                <c:pt idx="69">
                  <c:v>-79.181042426607647</c:v>
                </c:pt>
                <c:pt idx="70">
                  <c:v>-53.340731820768468</c:v>
                </c:pt>
                <c:pt idx="71">
                  <c:v>-26.776417851094298</c:v>
                </c:pt>
                <c:pt idx="72">
                  <c:v>-1.446827394591409E-12</c:v>
                </c:pt>
                <c:pt idx="73">
                  <c:v>-9.9030774211153409E-14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296-4EFF-9FED-91A8171ACB73}"/>
            </c:ext>
          </c:extLst>
        </c:ser>
        <c:ser>
          <c:idx val="2"/>
          <c:order val="2"/>
          <c:tx>
            <c:v>User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FF00"/>
              </a:solidFill>
              <a:ln w="12700">
                <a:solidFill>
                  <a:srgbClr val="7030A0"/>
                </a:solidFill>
              </a:ln>
              <a:effectLst/>
            </c:spPr>
          </c:marker>
          <c:xVal>
            <c:numRef>
              <c:f>circle_section!$J$10</c:f>
              <c:numCache>
                <c:formatCode>0.000</c:formatCode>
                <c:ptCount val="1"/>
                <c:pt idx="0">
                  <c:v>10</c:v>
                </c:pt>
              </c:numCache>
            </c:numRef>
          </c:xVal>
          <c:yVal>
            <c:numRef>
              <c:f>circle_section!$J$11</c:f>
              <c:numCache>
                <c:formatCode>0.000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296-4EFF-9FED-91A8171ACB73}"/>
            </c:ext>
          </c:extLst>
        </c:ser>
        <c:ser>
          <c:idx val="3"/>
          <c:order val="3"/>
          <c:tx>
            <c:v>Result</c:v>
          </c:tx>
          <c:spPr>
            <a:ln w="19050" cap="rnd">
              <a:noFill/>
              <a:round/>
            </a:ln>
            <a:effectLst/>
          </c:spPr>
          <c:marker>
            <c:symbol val="x"/>
            <c:size val="6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circle_section!$J$4</c:f>
              <c:numCache>
                <c:formatCode>0.000</c:formatCode>
                <c:ptCount val="1"/>
                <c:pt idx="0">
                  <c:v>339.64385907267308</c:v>
                </c:pt>
              </c:numCache>
            </c:numRef>
          </c:xVal>
          <c:yVal>
            <c:numRef>
              <c:f>circle_section!$J$5</c:f>
              <c:numCache>
                <c:formatCode>0.000</c:formatCode>
                <c:ptCount val="1"/>
                <c:pt idx="0">
                  <c:v>-2.2940453726202812E-14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296-4EFF-9FED-91A8171ACB73}"/>
            </c:ext>
          </c:extLst>
        </c:ser>
        <c:ser>
          <c:idx val="4"/>
          <c:order val="4"/>
          <c:tx>
            <c:v>Origin_User_Result</c:v>
          </c:tx>
          <c:spPr>
            <a:ln w="15875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circle_section!$Z$36:$Z$38</c:f>
              <c:numCache>
                <c:formatCode>0.000</c:formatCode>
                <c:ptCount val="3"/>
                <c:pt idx="0" formatCode="General">
                  <c:v>0</c:v>
                </c:pt>
                <c:pt idx="1">
                  <c:v>10</c:v>
                </c:pt>
                <c:pt idx="2">
                  <c:v>339.64385907267308</c:v>
                </c:pt>
              </c:numCache>
            </c:numRef>
          </c:xVal>
          <c:yVal>
            <c:numRef>
              <c:f>circle_section!$AA$36:$AA$38</c:f>
              <c:numCache>
                <c:formatCode>0.000</c:formatCode>
                <c:ptCount val="3"/>
                <c:pt idx="0" formatCode="General">
                  <c:v>0</c:v>
                </c:pt>
                <c:pt idx="1">
                  <c:v>0</c:v>
                </c:pt>
                <c:pt idx="2">
                  <c:v>-2.2940453726202812E-14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296-4EFF-9FED-91A8171ACB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549871"/>
        <c:axId val="313673823"/>
      </c:scatterChart>
      <c:valAx>
        <c:axId val="494549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673823"/>
        <c:crosses val="autoZero"/>
        <c:crossBetween val="midCat"/>
      </c:valAx>
      <c:valAx>
        <c:axId val="3136738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54987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P_M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circle_section!$AY$2:$AY$102</c:f>
              <c:numCache>
                <c:formatCode>General</c:formatCode>
                <c:ptCount val="101"/>
                <c:pt idx="0">
                  <c:v>5.3593205545078527E-4</c:v>
                </c:pt>
                <c:pt idx="1">
                  <c:v>17.476516893808597</c:v>
                </c:pt>
                <c:pt idx="2">
                  <c:v>52.636012656764166</c:v>
                </c:pt>
                <c:pt idx="3">
                  <c:v>122.85669859031573</c:v>
                </c:pt>
                <c:pt idx="4">
                  <c:v>177.10025687929931</c:v>
                </c:pt>
                <c:pt idx="5">
                  <c:v>231.86799144423384</c:v>
                </c:pt>
                <c:pt idx="6">
                  <c:v>282.37884392726858</c:v>
                </c:pt>
                <c:pt idx="7">
                  <c:v>326.46177908987244</c:v>
                </c:pt>
                <c:pt idx="8">
                  <c:v>349.20966417787599</c:v>
                </c:pt>
                <c:pt idx="9">
                  <c:v>347.21330419400158</c:v>
                </c:pt>
                <c:pt idx="10">
                  <c:v>343.69306514645166</c:v>
                </c:pt>
                <c:pt idx="11">
                  <c:v>335.40134110700905</c:v>
                </c:pt>
                <c:pt idx="12">
                  <c:v>321.20454669415074</c:v>
                </c:pt>
                <c:pt idx="13">
                  <c:v>317.94372687986828</c:v>
                </c:pt>
                <c:pt idx="14">
                  <c:v>313.87339815276522</c:v>
                </c:pt>
                <c:pt idx="15">
                  <c:v>307.08519043758469</c:v>
                </c:pt>
                <c:pt idx="16">
                  <c:v>297.48406361893024</c:v>
                </c:pt>
                <c:pt idx="17">
                  <c:v>285.33398447491732</c:v>
                </c:pt>
                <c:pt idx="18">
                  <c:v>270.28419037939597</c:v>
                </c:pt>
                <c:pt idx="19">
                  <c:v>252.77053455296141</c:v>
                </c:pt>
                <c:pt idx="20">
                  <c:v>233.14120576150972</c:v>
                </c:pt>
                <c:pt idx="21">
                  <c:v>211.89764240142912</c:v>
                </c:pt>
                <c:pt idx="22">
                  <c:v>189.76848792925895</c:v>
                </c:pt>
                <c:pt idx="23">
                  <c:v>168.88723985913384</c:v>
                </c:pt>
                <c:pt idx="24">
                  <c:v>149.3202226949978</c:v>
                </c:pt>
                <c:pt idx="25">
                  <c:v>132.33317103589354</c:v>
                </c:pt>
                <c:pt idx="26">
                  <c:v>118.20654546928175</c:v>
                </c:pt>
                <c:pt idx="27">
                  <c:v>105.30470810266375</c:v>
                </c:pt>
                <c:pt idx="28">
                  <c:v>93.965280020394331</c:v>
                </c:pt>
                <c:pt idx="29">
                  <c:v>83.965114544905148</c:v>
                </c:pt>
                <c:pt idx="30">
                  <c:v>75.118529199800506</c:v>
                </c:pt>
                <c:pt idx="31">
                  <c:v>67.270054970780265</c:v>
                </c:pt>
                <c:pt idx="32">
                  <c:v>60.288765028386663</c:v>
                </c:pt>
                <c:pt idx="33">
                  <c:v>54.063802621637343</c:v>
                </c:pt>
                <c:pt idx="34">
                  <c:v>48.50082766812092</c:v>
                </c:pt>
                <c:pt idx="35">
                  <c:v>43.51917313351818</c:v>
                </c:pt>
                <c:pt idx="36">
                  <c:v>39.049554156086081</c:v>
                </c:pt>
                <c:pt idx="37">
                  <c:v>35.032210831749289</c:v>
                </c:pt>
                <c:pt idx="38">
                  <c:v>31.41539362149409</c:v>
                </c:pt>
                <c:pt idx="39">
                  <c:v>28.154121247540896</c:v>
                </c:pt>
                <c:pt idx="40">
                  <c:v>25.209156656699097</c:v>
                </c:pt>
                <c:pt idx="41">
                  <c:v>22.546158531383075</c:v>
                </c:pt>
                <c:pt idx="42">
                  <c:v>20.155234861787459</c:v>
                </c:pt>
                <c:pt idx="43">
                  <c:v>18.033966230797486</c:v>
                </c:pt>
                <c:pt idx="44">
                  <c:v>16.111645746005735</c:v>
                </c:pt>
                <c:pt idx="45">
                  <c:v>14.367702399817809</c:v>
                </c:pt>
                <c:pt idx="46">
                  <c:v>12.783868332870012</c:v>
                </c:pt>
                <c:pt idx="47">
                  <c:v>11.343890787069141</c:v>
                </c:pt>
                <c:pt idx="48">
                  <c:v>10.033276916138515</c:v>
                </c:pt>
                <c:pt idx="49">
                  <c:v>8.8390754956551305</c:v>
                </c:pt>
                <c:pt idx="50">
                  <c:v>7.7496895985902015</c:v>
                </c:pt>
                <c:pt idx="51">
                  <c:v>6.7547153524833128</c:v>
                </c:pt>
                <c:pt idx="52">
                  <c:v>5.8448027426741058</c:v>
                </c:pt>
                <c:pt idx="53">
                  <c:v>5.0115351142790026</c:v>
                </c:pt>
                <c:pt idx="54">
                  <c:v>4.247324586456827</c:v>
                </c:pt>
                <c:pt idx="55">
                  <c:v>3.545321051405693</c:v>
                </c:pt>
                <c:pt idx="56">
                  <c:v>2.8993328075580189</c:v>
                </c:pt>
                <c:pt idx="57">
                  <c:v>2.3037571874284164</c:v>
                </c:pt>
                <c:pt idx="58">
                  <c:v>1.7662152119579353</c:v>
                </c:pt>
                <c:pt idx="59">
                  <c:v>1.3720062041293373</c:v>
                </c:pt>
                <c:pt idx="60">
                  <c:v>1.1028277987006823</c:v>
                </c:pt>
                <c:pt idx="61">
                  <c:v>0.85992724921400165</c:v>
                </c:pt>
                <c:pt idx="62">
                  <c:v>0.64020067035445938</c:v>
                </c:pt>
                <c:pt idx="63">
                  <c:v>0.44081785178844918</c:v>
                </c:pt>
                <c:pt idx="64">
                  <c:v>0.25922153594798336</c:v>
                </c:pt>
                <c:pt idx="65">
                  <c:v>9.5452997869509851E-2</c:v>
                </c:pt>
                <c:pt idx="66">
                  <c:v>6.4849246166904281E-2</c:v>
                </c:pt>
                <c:pt idx="67">
                  <c:v>4.2164703492398703E-2</c:v>
                </c:pt>
                <c:pt idx="68">
                  <c:v>2.5953466565831203E-2</c:v>
                </c:pt>
                <c:pt idx="69">
                  <c:v>1.4867960224605119E-2</c:v>
                </c:pt>
                <c:pt idx="70">
                  <c:v>7.7202880738012451E-3</c:v>
                </c:pt>
                <c:pt idx="71">
                  <c:v>3.4762172456062235E-3</c:v>
                </c:pt>
                <c:pt idx="72">
                  <c:v>1.2491576182369376E-3</c:v>
                </c:pt>
                <c:pt idx="73">
                  <c:v>2.9732189235299886E-4</c:v>
                </c:pt>
                <c:pt idx="74">
                  <c:v>2.5863063988686009E-5</c:v>
                </c:pt>
                <c:pt idx="75">
                  <c:v>1.7212236795847759E-14</c:v>
                </c:pt>
              </c:numCache>
            </c:numRef>
          </c:xVal>
          <c:yVal>
            <c:numRef>
              <c:f>circle_section!$AV$2:$AV$102</c:f>
              <c:numCache>
                <c:formatCode>General</c:formatCode>
                <c:ptCount val="101"/>
                <c:pt idx="0">
                  <c:v>-291.59961406592197</c:v>
                </c:pt>
                <c:pt idx="1">
                  <c:v>-273.34013804648538</c:v>
                </c:pt>
                <c:pt idx="2">
                  <c:v>-232.27294456846911</c:v>
                </c:pt>
                <c:pt idx="3">
                  <c:v>-140.49472735738752</c:v>
                </c:pt>
                <c:pt idx="4">
                  <c:v>-67.091584708738026</c:v>
                </c:pt>
                <c:pt idx="5">
                  <c:v>24.430066634467263</c:v>
                </c:pt>
                <c:pt idx="6">
                  <c:v>114.03080633136534</c:v>
                </c:pt>
                <c:pt idx="7">
                  <c:v>198.39086623963101</c:v>
                </c:pt>
                <c:pt idx="8">
                  <c:v>275.31138258514727</c:v>
                </c:pt>
                <c:pt idx="9">
                  <c:v>336.70401849707412</c:v>
                </c:pt>
                <c:pt idx="10">
                  <c:v>388.876728046197</c:v>
                </c:pt>
                <c:pt idx="11">
                  <c:v>435.58348334126401</c:v>
                </c:pt>
                <c:pt idx="12">
                  <c:v>483.42173025462063</c:v>
                </c:pt>
                <c:pt idx="13">
                  <c:v>554.0152161165513</c:v>
                </c:pt>
                <c:pt idx="14">
                  <c:v>624.42632446080529</c:v>
                </c:pt>
                <c:pt idx="15">
                  <c:v>692.40991660165776</c:v>
                </c:pt>
                <c:pt idx="16">
                  <c:v>758.1177725133831</c:v>
                </c:pt>
                <c:pt idx="17">
                  <c:v>819.70225637040278</c:v>
                </c:pt>
                <c:pt idx="18">
                  <c:v>880.62874382249186</c:v>
                </c:pt>
                <c:pt idx="19">
                  <c:v>939.17292348705746</c:v>
                </c:pt>
                <c:pt idx="20">
                  <c:v>995.10002646514772</c:v>
                </c:pt>
                <c:pt idx="21">
                  <c:v>1048.0714190254682</c:v>
                </c:pt>
                <c:pt idx="22">
                  <c:v>1097.586343430436</c:v>
                </c:pt>
                <c:pt idx="23">
                  <c:v>1140.764289440586</c:v>
                </c:pt>
                <c:pt idx="24">
                  <c:v>1178.902834125133</c:v>
                </c:pt>
                <c:pt idx="25">
                  <c:v>1211.6586743177252</c:v>
                </c:pt>
                <c:pt idx="26">
                  <c:v>1239.0257837089682</c:v>
                </c:pt>
                <c:pt idx="27">
                  <c:v>1263.4289677625459</c:v>
                </c:pt>
                <c:pt idx="28">
                  <c:v>1284.6598459148599</c:v>
                </c:pt>
                <c:pt idx="29">
                  <c:v>1303.1986569599871</c:v>
                </c:pt>
                <c:pt idx="30">
                  <c:v>1319.442072237548</c:v>
                </c:pt>
                <c:pt idx="31">
                  <c:v>1333.7197167437432</c:v>
                </c:pt>
                <c:pt idx="32">
                  <c:v>1346.3070400445702</c:v>
                </c:pt>
                <c:pt idx="33">
                  <c:v>1357.4354248966029</c:v>
                </c:pt>
                <c:pt idx="34">
                  <c:v>1367.3001866162774</c:v>
                </c:pt>
                <c:pt idx="35">
                  <c:v>1376.0669482484923</c:v>
                </c:pt>
                <c:pt idx="36">
                  <c:v>1383.8767551431699</c:v>
                </c:pt>
                <c:pt idx="37">
                  <c:v>1390.8502038772619</c:v>
                </c:pt>
                <c:pt idx="38">
                  <c:v>1397.0907951076524</c:v>
                </c:pt>
                <c:pt idx="39">
                  <c:v>1402.6876713492125</c:v>
                </c:pt>
                <c:pt idx="40">
                  <c:v>1407.7178642422768</c:v>
                </c:pt>
                <c:pt idx="41">
                  <c:v>1412.2481483466559</c:v>
                </c:pt>
                <c:pt idx="42">
                  <c:v>1416.184189102617</c:v>
                </c:pt>
                <c:pt idx="43">
                  <c:v>1419.3950717229993</c:v>
                </c:pt>
                <c:pt idx="44">
                  <c:v>1422.2804802554324</c:v>
                </c:pt>
                <c:pt idx="45">
                  <c:v>1424.877708109372</c:v>
                </c:pt>
                <c:pt idx="46">
                  <c:v>1427.2195319082343</c:v>
                </c:pt>
                <c:pt idx="47">
                  <c:v>1429.3347540994951</c:v>
                </c:pt>
                <c:pt idx="48">
                  <c:v>1431.2487350640026</c:v>
                </c:pt>
                <c:pt idx="49">
                  <c:v>1432.9838458495522</c:v>
                </c:pt>
                <c:pt idx="50">
                  <c:v>1434.5598545846462</c:v>
                </c:pt>
                <c:pt idx="51">
                  <c:v>1435.9942572808329</c:v>
                </c:pt>
                <c:pt idx="52">
                  <c:v>1437.3025618414511</c:v>
                </c:pt>
                <c:pt idx="53">
                  <c:v>1438.4985325654782</c:v>
                </c:pt>
                <c:pt idx="54">
                  <c:v>1439.5944011930824</c:v>
                </c:pt>
                <c:pt idx="55">
                  <c:v>1440.6010495264748</c:v>
                </c:pt>
                <c:pt idx="56">
                  <c:v>1441.5281678302883</c:v>
                </c:pt>
                <c:pt idx="57">
                  <c:v>1442.3843925340209</c:v>
                </c:pt>
                <c:pt idx="58">
                  <c:v>1443.159428022811</c:v>
                </c:pt>
                <c:pt idx="59">
                  <c:v>1443.6959250222149</c:v>
                </c:pt>
                <c:pt idx="60">
                  <c:v>1444.03505644804</c:v>
                </c:pt>
                <c:pt idx="61">
                  <c:v>1444.3405760111721</c:v>
                </c:pt>
                <c:pt idx="62">
                  <c:v>1444.6168125352056</c:v>
                </c:pt>
                <c:pt idx="63">
                  <c:v>1444.8676461683065</c:v>
                </c:pt>
                <c:pt idx="64">
                  <c:v>1445.096515845167</c:v>
                </c:pt>
                <c:pt idx="65">
                  <c:v>1445.3033966377745</c:v>
                </c:pt>
                <c:pt idx="66">
                  <c:v>1445.3376164758513</c:v>
                </c:pt>
                <c:pt idx="67">
                  <c:v>1445.3626883703648</c:v>
                </c:pt>
                <c:pt idx="68">
                  <c:v>1445.3803928682348</c:v>
                </c:pt>
                <c:pt idx="69">
                  <c:v>1445.3923564335093</c:v>
                </c:pt>
                <c:pt idx="70">
                  <c:v>1445.3999797868819</c:v>
                </c:pt>
                <c:pt idx="71">
                  <c:v>1445.4044536648385</c:v>
                </c:pt>
                <c:pt idx="72">
                  <c:v>1445.4067743038265</c:v>
                </c:pt>
                <c:pt idx="73">
                  <c:v>1445.4077549037452</c:v>
                </c:pt>
                <c:pt idx="74">
                  <c:v>1445.4080315031933</c:v>
                </c:pt>
                <c:pt idx="75">
                  <c:v>1445.4080575980195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70-4EB6-B91F-05D92218C15F}"/>
            </c:ext>
          </c:extLst>
        </c:ser>
        <c:ser>
          <c:idx val="1"/>
          <c:order val="1"/>
          <c:tx>
            <c:v>P_M_Nominal</c:v>
          </c:tx>
          <c:spPr>
            <a:ln w="22225" cap="rnd">
              <a:solidFill>
                <a:schemeClr val="accent6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circle_section!$BC$2:$BC$102</c:f>
              <c:numCache>
                <c:formatCode>General</c:formatCode>
                <c:ptCount val="101"/>
                <c:pt idx="0">
                  <c:v>5.9548006161198365E-4</c:v>
                </c:pt>
                <c:pt idx="1">
                  <c:v>19.418352104231776</c:v>
                </c:pt>
                <c:pt idx="2">
                  <c:v>58.48445850751574</c:v>
                </c:pt>
                <c:pt idx="3">
                  <c:v>136.50744287812859</c:v>
                </c:pt>
                <c:pt idx="4">
                  <c:v>196.77806319922144</c:v>
                </c:pt>
                <c:pt idx="5">
                  <c:v>257.63110160470427</c:v>
                </c:pt>
                <c:pt idx="6">
                  <c:v>313.75427103029841</c:v>
                </c:pt>
                <c:pt idx="7">
                  <c:v>362.73531009985828</c:v>
                </c:pt>
                <c:pt idx="8">
                  <c:v>404.42507917333046</c:v>
                </c:pt>
                <c:pt idx="9">
                  <c:v>437.59183895693332</c:v>
                </c:pt>
                <c:pt idx="10">
                  <c:v>466.0522199500063</c:v>
                </c:pt>
                <c:pt idx="11">
                  <c:v>484.94278534953378</c:v>
                </c:pt>
                <c:pt idx="12">
                  <c:v>491.55760842926998</c:v>
                </c:pt>
                <c:pt idx="13">
                  <c:v>489.14419519979731</c:v>
                </c:pt>
                <c:pt idx="14">
                  <c:v>482.88215100425418</c:v>
                </c:pt>
                <c:pt idx="15">
                  <c:v>472.43875451936105</c:v>
                </c:pt>
                <c:pt idx="16">
                  <c:v>457.66779018296955</c:v>
                </c:pt>
                <c:pt idx="17">
                  <c:v>438.97536073064202</c:v>
                </c:pt>
                <c:pt idx="18">
                  <c:v>415.82183135291683</c:v>
                </c:pt>
                <c:pt idx="19">
                  <c:v>388.87774546609444</c:v>
                </c:pt>
                <c:pt idx="20">
                  <c:v>358.67877809463033</c:v>
                </c:pt>
                <c:pt idx="21">
                  <c:v>325.99637292527558</c:v>
                </c:pt>
                <c:pt idx="22">
                  <c:v>291.95151989116761</c:v>
                </c:pt>
                <c:pt idx="23">
                  <c:v>259.8265228602059</c:v>
                </c:pt>
                <c:pt idx="24">
                  <c:v>229.72341953076582</c:v>
                </c:pt>
                <c:pt idx="25">
                  <c:v>203.58949390137468</c:v>
                </c:pt>
                <c:pt idx="26">
                  <c:v>181.856223798895</c:v>
                </c:pt>
                <c:pt idx="27">
                  <c:v>162.0072432348673</c:v>
                </c:pt>
                <c:pt idx="28">
                  <c:v>144.56196926214511</c:v>
                </c:pt>
                <c:pt idx="29">
                  <c:v>129.17709929985406</c:v>
                </c:pt>
                <c:pt idx="30">
                  <c:v>115.56696799969308</c:v>
                </c:pt>
                <c:pt idx="31">
                  <c:v>103.49239226273886</c:v>
                </c:pt>
                <c:pt idx="32">
                  <c:v>92.751946197517938</c:v>
                </c:pt>
                <c:pt idx="33">
                  <c:v>83.175080956365136</c:v>
                </c:pt>
                <c:pt idx="34">
                  <c:v>74.616657950955258</c:v>
                </c:pt>
                <c:pt idx="35">
                  <c:v>66.95257405156643</c:v>
                </c:pt>
                <c:pt idx="36">
                  <c:v>60.076237163209356</c:v>
                </c:pt>
                <c:pt idx="37">
                  <c:v>53.895708971921984</c:v>
                </c:pt>
                <c:pt idx="38">
                  <c:v>48.331374802298598</c:v>
                </c:pt>
                <c:pt idx="39">
                  <c:v>43.314032688524456</c:v>
                </c:pt>
                <c:pt idx="40">
                  <c:v>38.783317933383223</c:v>
                </c:pt>
                <c:pt idx="41">
                  <c:v>34.686397740589342</c:v>
                </c:pt>
                <c:pt idx="42">
                  <c:v>31.008053633519168</c:v>
                </c:pt>
                <c:pt idx="43">
                  <c:v>27.744563431996131</c:v>
                </c:pt>
                <c:pt idx="44">
                  <c:v>24.787147301547282</c:v>
                </c:pt>
                <c:pt idx="45">
                  <c:v>22.104157538181244</c:v>
                </c:pt>
                <c:pt idx="46">
                  <c:v>19.667489742876942</c:v>
                </c:pt>
                <c:pt idx="47">
                  <c:v>17.452139672414063</c:v>
                </c:pt>
                <c:pt idx="48">
                  <c:v>15.4358106402131</c:v>
                </c:pt>
                <c:pt idx="49">
                  <c:v>13.598577685623278</c:v>
                </c:pt>
                <c:pt idx="50">
                  <c:v>11.922599382446464</c:v>
                </c:pt>
                <c:pt idx="51">
                  <c:v>10.391869773051249</c:v>
                </c:pt>
                <c:pt idx="52">
                  <c:v>8.9920042194986234</c:v>
                </c:pt>
                <c:pt idx="53">
                  <c:v>7.7100540219676956</c:v>
                </c:pt>
                <c:pt idx="54">
                  <c:v>6.5343455176258871</c:v>
                </c:pt>
                <c:pt idx="55">
                  <c:v>5.4543400790856813</c:v>
                </c:pt>
                <c:pt idx="56">
                  <c:v>4.4605120116277215</c:v>
                </c:pt>
                <c:pt idx="57">
                  <c:v>3.5442418268129483</c:v>
                </c:pt>
                <c:pt idx="58">
                  <c:v>2.7172541722429773</c:v>
                </c:pt>
                <c:pt idx="59">
                  <c:v>2.1107787755835958</c:v>
                </c:pt>
                <c:pt idx="60">
                  <c:v>1.6966581518472035</c:v>
                </c:pt>
                <c:pt idx="61">
                  <c:v>1.3229649987907717</c:v>
                </c:pt>
                <c:pt idx="62">
                  <c:v>0.98492410823762977</c:v>
                </c:pt>
                <c:pt idx="63">
                  <c:v>0.67818131044376795</c:v>
                </c:pt>
                <c:pt idx="64">
                  <c:v>0.39880236299689747</c:v>
                </c:pt>
                <c:pt idx="65">
                  <c:v>0.14685076595309207</c:v>
                </c:pt>
                <c:pt idx="66">
                  <c:v>9.9768071026006586E-2</c:v>
                </c:pt>
                <c:pt idx="67">
                  <c:v>6.486877460369031E-2</c:v>
                </c:pt>
                <c:pt idx="68">
                  <c:v>3.9928410101278775E-2</c:v>
                </c:pt>
                <c:pt idx="69">
                  <c:v>2.2873784960930951E-2</c:v>
                </c:pt>
                <c:pt idx="70">
                  <c:v>1.187736626738653E-2</c:v>
                </c:pt>
                <c:pt idx="71">
                  <c:v>5.3480265317018818E-3</c:v>
                </c:pt>
                <c:pt idx="72">
                  <c:v>1.9217809511337502E-3</c:v>
                </c:pt>
                <c:pt idx="73">
                  <c:v>4.5741829592769052E-4</c:v>
                </c:pt>
                <c:pt idx="74">
                  <c:v>3.9789329213363088E-5</c:v>
                </c:pt>
                <c:pt idx="75">
                  <c:v>2.6480364301304244E-14</c:v>
                </c:pt>
              </c:numCache>
            </c:numRef>
          </c:xVal>
          <c:yVal>
            <c:numRef>
              <c:f>circle_section!$AZ$2:$AZ$102</c:f>
              <c:numCache>
                <c:formatCode>General</c:formatCode>
                <c:ptCount val="101"/>
                <c:pt idx="0">
                  <c:v>-323.99957118435776</c:v>
                </c:pt>
                <c:pt idx="1">
                  <c:v>-303.71126449609488</c:v>
                </c:pt>
                <c:pt idx="2">
                  <c:v>-258.08104952052122</c:v>
                </c:pt>
                <c:pt idx="3">
                  <c:v>-156.10525261931946</c:v>
                </c:pt>
                <c:pt idx="4">
                  <c:v>-74.54620523193114</c:v>
                </c:pt>
                <c:pt idx="5">
                  <c:v>27.144518482741404</c:v>
                </c:pt>
                <c:pt idx="6">
                  <c:v>126.70089592373927</c:v>
                </c:pt>
                <c:pt idx="7">
                  <c:v>220.43429582181221</c:v>
                </c:pt>
                <c:pt idx="8">
                  <c:v>318.8423434999865</c:v>
                </c:pt>
                <c:pt idx="9">
                  <c:v>424.34701913380593</c:v>
                </c:pt>
                <c:pt idx="10">
                  <c:v>527.32184839283218</c:v>
                </c:pt>
                <c:pt idx="11">
                  <c:v>629.79195899032311</c:v>
                </c:pt>
                <c:pt idx="12">
                  <c:v>739.80780170266598</c:v>
                </c:pt>
                <c:pt idx="13">
                  <c:v>852.33110171777116</c:v>
                </c:pt>
                <c:pt idx="14">
                  <c:v>960.65588378585426</c:v>
                </c:pt>
                <c:pt idx="15">
                  <c:v>1065.2460255410119</c:v>
                </c:pt>
                <c:pt idx="16">
                  <c:v>1166.3350346359739</c:v>
                </c:pt>
                <c:pt idx="17">
                  <c:v>1261.0803944160043</c:v>
                </c:pt>
                <c:pt idx="18">
                  <c:v>1354.8134520346027</c:v>
                </c:pt>
                <c:pt idx="19">
                  <c:v>1444.8814207493192</c:v>
                </c:pt>
                <c:pt idx="20">
                  <c:v>1530.9231176386888</c:v>
                </c:pt>
                <c:pt idx="21">
                  <c:v>1612.4175677314895</c:v>
                </c:pt>
                <c:pt idx="22">
                  <c:v>1688.594374508363</c:v>
                </c:pt>
                <c:pt idx="23">
                  <c:v>1755.0219837547477</c:v>
                </c:pt>
                <c:pt idx="24">
                  <c:v>1813.69666788482</c:v>
                </c:pt>
                <c:pt idx="25">
                  <c:v>1864.0902681811156</c:v>
                </c:pt>
                <c:pt idx="26">
                  <c:v>1906.1935133984125</c:v>
                </c:pt>
                <c:pt idx="27">
                  <c:v>1943.7368734808397</c:v>
                </c:pt>
                <c:pt idx="28">
                  <c:v>1976.3997629459384</c:v>
                </c:pt>
                <c:pt idx="29">
                  <c:v>2004.9210107076724</c:v>
                </c:pt>
                <c:pt idx="30">
                  <c:v>2029.9108803654585</c:v>
                </c:pt>
                <c:pt idx="31">
                  <c:v>2051.8764872980664</c:v>
                </c:pt>
                <c:pt idx="32">
                  <c:v>2071.2416000685694</c:v>
                </c:pt>
                <c:pt idx="33">
                  <c:v>2088.3621921486197</c:v>
                </c:pt>
                <c:pt idx="34">
                  <c:v>2103.5387486404265</c:v>
                </c:pt>
                <c:pt idx="35">
                  <c:v>2117.0260742284495</c:v>
                </c:pt>
                <c:pt idx="36">
                  <c:v>2129.0411617587229</c:v>
                </c:pt>
                <c:pt idx="37">
                  <c:v>2139.7695444265569</c:v>
                </c:pt>
                <c:pt idx="38">
                  <c:v>2149.3704540117728</c:v>
                </c:pt>
                <c:pt idx="39">
                  <c:v>2157.9810328449421</c:v>
                </c:pt>
                <c:pt idx="40">
                  <c:v>2165.7197911419644</c:v>
                </c:pt>
                <c:pt idx="41">
                  <c:v>2172.6894589948552</c:v>
                </c:pt>
                <c:pt idx="42">
                  <c:v>2178.7449063117183</c:v>
                </c:pt>
                <c:pt idx="43">
                  <c:v>2183.6847257276913</c:v>
                </c:pt>
                <c:pt idx="44">
                  <c:v>2188.1238157775883</c:v>
                </c:pt>
                <c:pt idx="45">
                  <c:v>2192.1195509374952</c:v>
                </c:pt>
                <c:pt idx="46">
                  <c:v>2195.7223567818987</c:v>
                </c:pt>
                <c:pt idx="47">
                  <c:v>2198.976544768454</c:v>
                </c:pt>
                <c:pt idx="48">
                  <c:v>2201.9211308676963</c:v>
                </c:pt>
                <c:pt idx="49">
                  <c:v>2204.590532076234</c:v>
                </c:pt>
                <c:pt idx="50">
                  <c:v>2207.0151608994556</c:v>
                </c:pt>
                <c:pt idx="51">
                  <c:v>2209.2219342782046</c:v>
                </c:pt>
                <c:pt idx="52">
                  <c:v>2211.2347105253093</c:v>
                </c:pt>
                <c:pt idx="53">
                  <c:v>2213.074665485351</c:v>
                </c:pt>
                <c:pt idx="54">
                  <c:v>2214.7606172201267</c:v>
                </c:pt>
                <c:pt idx="55">
                  <c:v>2216.3093069638071</c:v>
                </c:pt>
                <c:pt idx="56">
                  <c:v>2217.7356428158282</c:v>
                </c:pt>
                <c:pt idx="57">
                  <c:v>2219.0529115908012</c:v>
                </c:pt>
                <c:pt idx="58">
                  <c:v>2220.2452738812476</c:v>
                </c:pt>
                <c:pt idx="59">
                  <c:v>2221.0706538803306</c:v>
                </c:pt>
                <c:pt idx="60">
                  <c:v>2221.5923945354461</c:v>
                </c:pt>
                <c:pt idx="61">
                  <c:v>2222.0624246325724</c:v>
                </c:pt>
                <c:pt idx="62">
                  <c:v>2222.4874039003162</c:v>
                </c:pt>
                <c:pt idx="63">
                  <c:v>2222.8733017973946</c:v>
                </c:pt>
                <c:pt idx="64">
                  <c:v>2223.2254089925646</c:v>
                </c:pt>
                <c:pt idx="65">
                  <c:v>2223.5436871350375</c:v>
                </c:pt>
                <c:pt idx="66">
                  <c:v>2223.5963330397713</c:v>
                </c:pt>
                <c:pt idx="67">
                  <c:v>2223.6349051851766</c:v>
                </c:pt>
                <c:pt idx="68">
                  <c:v>2223.6621428742073</c:v>
                </c:pt>
                <c:pt idx="69">
                  <c:v>2223.6805483592452</c:v>
                </c:pt>
                <c:pt idx="70">
                  <c:v>2223.6922765952027</c:v>
                </c:pt>
                <c:pt idx="71">
                  <c:v>2223.6991594843666</c:v>
                </c:pt>
                <c:pt idx="72">
                  <c:v>2223.7027296981946</c:v>
                </c:pt>
                <c:pt idx="73">
                  <c:v>2223.704238313454</c:v>
                </c:pt>
                <c:pt idx="74">
                  <c:v>2223.7046638510665</c:v>
                </c:pt>
                <c:pt idx="75">
                  <c:v>2223.704703996953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70-4EB6-B91F-05D92218C15F}"/>
            </c:ext>
          </c:extLst>
        </c:ser>
        <c:ser>
          <c:idx val="2"/>
          <c:order val="2"/>
          <c:tx>
            <c:v>User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19050">
                <a:solidFill>
                  <a:srgbClr val="7030A0"/>
                </a:solidFill>
              </a:ln>
              <a:effectLst/>
            </c:spPr>
          </c:marker>
          <c:xVal>
            <c:numRef>
              <c:f>circle_section!$J$13</c:f>
              <c:numCache>
                <c:formatCode>0.000</c:formatCode>
                <c:ptCount val="1"/>
                <c:pt idx="0">
                  <c:v>10</c:v>
                </c:pt>
              </c:numCache>
            </c:numRef>
          </c:xVal>
          <c:yVal>
            <c:numRef>
              <c:f>circle_section!$J$9</c:f>
              <c:numCache>
                <c:formatCode>0.000</c:formatCode>
                <c:ptCount val="1"/>
                <c:pt idx="0">
                  <c:v>357.8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70-4EB6-B91F-05D92218C15F}"/>
            </c:ext>
          </c:extLst>
        </c:ser>
        <c:ser>
          <c:idx val="3"/>
          <c:order val="3"/>
          <c:tx>
            <c:v>Result</c:v>
          </c:tx>
          <c:spPr>
            <a:ln w="25400" cap="rnd">
              <a:noFill/>
              <a:round/>
            </a:ln>
            <a:effectLst/>
          </c:spPr>
          <c:marker>
            <c:symbol val="x"/>
            <c:size val="8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circle_section!$J$7</c:f>
              <c:numCache>
                <c:formatCode>0.000</c:formatCode>
                <c:ptCount val="1"/>
                <c:pt idx="0">
                  <c:v>339.64385907267308</c:v>
                </c:pt>
              </c:numCache>
            </c:numRef>
          </c:xVal>
          <c:yVal>
            <c:numRef>
              <c:f>circle_section!$J$3</c:f>
              <c:numCache>
                <c:formatCode>0.000</c:formatCode>
                <c:ptCount val="1"/>
                <c:pt idx="0">
                  <c:v>357.79999999991276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70-4EB6-B91F-05D92218C15F}"/>
            </c:ext>
          </c:extLst>
        </c:ser>
        <c:ser>
          <c:idx val="4"/>
          <c:order val="4"/>
          <c:tx>
            <c:v>min_e_line</c:v>
          </c:tx>
          <c:spPr>
            <a:ln w="9525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circle_section!$AY$104:$AY$105</c:f>
              <c:numCache>
                <c:formatCode>General</c:formatCode>
                <c:ptCount val="2"/>
                <c:pt idx="0">
                  <c:v>160.92849827626284</c:v>
                </c:pt>
                <c:pt idx="1">
                  <c:v>0</c:v>
                </c:pt>
              </c:numCache>
            </c:numRef>
          </c:xVal>
          <c:yVal>
            <c:numRef>
              <c:f>circle_section!$AV$104:$AV$105</c:f>
              <c:numCache>
                <c:formatCode>General</c:formatCode>
                <c:ptCount val="2"/>
                <c:pt idx="0">
                  <c:v>1156.326446078416</c:v>
                </c:pt>
                <c:pt idx="1">
                  <c:v>1156.326446078416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208-4F59-AE7D-D042CB7766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531167"/>
        <c:axId val="1388578719"/>
      </c:scatterChart>
      <c:valAx>
        <c:axId val="11705311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8578719"/>
        <c:crosses val="autoZero"/>
        <c:crossBetween val="midCat"/>
      </c:valAx>
      <c:valAx>
        <c:axId val="1388578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053116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P_M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circle_section!$AY$2:$AY$102</c:f>
              <c:numCache>
                <c:formatCode>General</c:formatCode>
                <c:ptCount val="101"/>
                <c:pt idx="0">
                  <c:v>5.3593205545078527E-4</c:v>
                </c:pt>
                <c:pt idx="1">
                  <c:v>17.476516893808597</c:v>
                </c:pt>
                <c:pt idx="2">
                  <c:v>52.636012656764166</c:v>
                </c:pt>
                <c:pt idx="3">
                  <c:v>122.85669859031573</c:v>
                </c:pt>
                <c:pt idx="4">
                  <c:v>177.10025687929931</c:v>
                </c:pt>
                <c:pt idx="5">
                  <c:v>231.86799144423384</c:v>
                </c:pt>
                <c:pt idx="6">
                  <c:v>282.37884392726858</c:v>
                </c:pt>
                <c:pt idx="7">
                  <c:v>326.46177908987244</c:v>
                </c:pt>
                <c:pt idx="8">
                  <c:v>349.20966417787599</c:v>
                </c:pt>
                <c:pt idx="9">
                  <c:v>347.21330419400158</c:v>
                </c:pt>
                <c:pt idx="10">
                  <c:v>343.69306514645166</c:v>
                </c:pt>
                <c:pt idx="11">
                  <c:v>335.40134110700905</c:v>
                </c:pt>
                <c:pt idx="12">
                  <c:v>321.20454669415074</c:v>
                </c:pt>
                <c:pt idx="13">
                  <c:v>317.94372687986828</c:v>
                </c:pt>
                <c:pt idx="14">
                  <c:v>313.87339815276522</c:v>
                </c:pt>
                <c:pt idx="15">
                  <c:v>307.08519043758469</c:v>
                </c:pt>
                <c:pt idx="16">
                  <c:v>297.48406361893024</c:v>
                </c:pt>
                <c:pt idx="17">
                  <c:v>285.33398447491732</c:v>
                </c:pt>
                <c:pt idx="18">
                  <c:v>270.28419037939597</c:v>
                </c:pt>
                <c:pt idx="19">
                  <c:v>252.77053455296141</c:v>
                </c:pt>
                <c:pt idx="20">
                  <c:v>233.14120576150972</c:v>
                </c:pt>
                <c:pt idx="21">
                  <c:v>211.89764240142912</c:v>
                </c:pt>
                <c:pt idx="22">
                  <c:v>189.76848792925895</c:v>
                </c:pt>
                <c:pt idx="23">
                  <c:v>168.88723985913384</c:v>
                </c:pt>
                <c:pt idx="24">
                  <c:v>149.3202226949978</c:v>
                </c:pt>
                <c:pt idx="25">
                  <c:v>132.33317103589354</c:v>
                </c:pt>
                <c:pt idx="26">
                  <c:v>118.20654546928175</c:v>
                </c:pt>
                <c:pt idx="27">
                  <c:v>105.30470810266375</c:v>
                </c:pt>
                <c:pt idx="28">
                  <c:v>93.965280020394331</c:v>
                </c:pt>
                <c:pt idx="29">
                  <c:v>83.965114544905148</c:v>
                </c:pt>
                <c:pt idx="30">
                  <c:v>75.118529199800506</c:v>
                </c:pt>
                <c:pt idx="31">
                  <c:v>67.270054970780265</c:v>
                </c:pt>
                <c:pt idx="32">
                  <c:v>60.288765028386663</c:v>
                </c:pt>
                <c:pt idx="33">
                  <c:v>54.063802621637343</c:v>
                </c:pt>
                <c:pt idx="34">
                  <c:v>48.50082766812092</c:v>
                </c:pt>
                <c:pt idx="35">
                  <c:v>43.51917313351818</c:v>
                </c:pt>
                <c:pt idx="36">
                  <c:v>39.049554156086081</c:v>
                </c:pt>
                <c:pt idx="37">
                  <c:v>35.032210831749289</c:v>
                </c:pt>
                <c:pt idx="38">
                  <c:v>31.41539362149409</c:v>
                </c:pt>
                <c:pt idx="39">
                  <c:v>28.154121247540896</c:v>
                </c:pt>
                <c:pt idx="40">
                  <c:v>25.209156656699097</c:v>
                </c:pt>
                <c:pt idx="41">
                  <c:v>22.546158531383075</c:v>
                </c:pt>
                <c:pt idx="42">
                  <c:v>20.155234861787459</c:v>
                </c:pt>
                <c:pt idx="43">
                  <c:v>18.033966230797486</c:v>
                </c:pt>
                <c:pt idx="44">
                  <c:v>16.111645746005735</c:v>
                </c:pt>
                <c:pt idx="45">
                  <c:v>14.367702399817809</c:v>
                </c:pt>
                <c:pt idx="46">
                  <c:v>12.783868332870012</c:v>
                </c:pt>
                <c:pt idx="47">
                  <c:v>11.343890787069141</c:v>
                </c:pt>
                <c:pt idx="48">
                  <c:v>10.033276916138515</c:v>
                </c:pt>
                <c:pt idx="49">
                  <c:v>8.8390754956551305</c:v>
                </c:pt>
                <c:pt idx="50">
                  <c:v>7.7496895985902015</c:v>
                </c:pt>
                <c:pt idx="51">
                  <c:v>6.7547153524833128</c:v>
                </c:pt>
                <c:pt idx="52">
                  <c:v>5.8448027426741058</c:v>
                </c:pt>
                <c:pt idx="53">
                  <c:v>5.0115351142790026</c:v>
                </c:pt>
                <c:pt idx="54">
                  <c:v>4.247324586456827</c:v>
                </c:pt>
                <c:pt idx="55">
                  <c:v>3.545321051405693</c:v>
                </c:pt>
                <c:pt idx="56">
                  <c:v>2.8993328075580189</c:v>
                </c:pt>
                <c:pt idx="57">
                  <c:v>2.3037571874284164</c:v>
                </c:pt>
                <c:pt idx="58">
                  <c:v>1.7662152119579353</c:v>
                </c:pt>
                <c:pt idx="59">
                  <c:v>1.3720062041293373</c:v>
                </c:pt>
                <c:pt idx="60">
                  <c:v>1.1028277987006823</c:v>
                </c:pt>
                <c:pt idx="61">
                  <c:v>0.85992724921400165</c:v>
                </c:pt>
                <c:pt idx="62">
                  <c:v>0.64020067035445938</c:v>
                </c:pt>
                <c:pt idx="63">
                  <c:v>0.44081785178844918</c:v>
                </c:pt>
                <c:pt idx="64">
                  <c:v>0.25922153594798336</c:v>
                </c:pt>
                <c:pt idx="65">
                  <c:v>9.5452997869509851E-2</c:v>
                </c:pt>
                <c:pt idx="66">
                  <c:v>6.4849246166904281E-2</c:v>
                </c:pt>
                <c:pt idx="67">
                  <c:v>4.2164703492398703E-2</c:v>
                </c:pt>
                <c:pt idx="68">
                  <c:v>2.5953466565831203E-2</c:v>
                </c:pt>
                <c:pt idx="69">
                  <c:v>1.4867960224605119E-2</c:v>
                </c:pt>
                <c:pt idx="70">
                  <c:v>7.7202880738012451E-3</c:v>
                </c:pt>
                <c:pt idx="71">
                  <c:v>3.4762172456062235E-3</c:v>
                </c:pt>
                <c:pt idx="72">
                  <c:v>1.2491576182369376E-3</c:v>
                </c:pt>
                <c:pt idx="73">
                  <c:v>2.9732189235299886E-4</c:v>
                </c:pt>
                <c:pt idx="74">
                  <c:v>2.5863063988686009E-5</c:v>
                </c:pt>
                <c:pt idx="75">
                  <c:v>1.7212236795847759E-14</c:v>
                </c:pt>
              </c:numCache>
            </c:numRef>
          </c:xVal>
          <c:yVal>
            <c:numRef>
              <c:f>circle_section!$AV$2:$AV$102</c:f>
              <c:numCache>
                <c:formatCode>General</c:formatCode>
                <c:ptCount val="101"/>
                <c:pt idx="0">
                  <c:v>-291.59961406592197</c:v>
                </c:pt>
                <c:pt idx="1">
                  <c:v>-273.34013804648538</c:v>
                </c:pt>
                <c:pt idx="2">
                  <c:v>-232.27294456846911</c:v>
                </c:pt>
                <c:pt idx="3">
                  <c:v>-140.49472735738752</c:v>
                </c:pt>
                <c:pt idx="4">
                  <c:v>-67.091584708738026</c:v>
                </c:pt>
                <c:pt idx="5">
                  <c:v>24.430066634467263</c:v>
                </c:pt>
                <c:pt idx="6">
                  <c:v>114.03080633136534</c:v>
                </c:pt>
                <c:pt idx="7">
                  <c:v>198.39086623963101</c:v>
                </c:pt>
                <c:pt idx="8">
                  <c:v>275.31138258514727</c:v>
                </c:pt>
                <c:pt idx="9">
                  <c:v>336.70401849707412</c:v>
                </c:pt>
                <c:pt idx="10">
                  <c:v>388.876728046197</c:v>
                </c:pt>
                <c:pt idx="11">
                  <c:v>435.58348334126401</c:v>
                </c:pt>
                <c:pt idx="12">
                  <c:v>483.42173025462063</c:v>
                </c:pt>
                <c:pt idx="13">
                  <c:v>554.0152161165513</c:v>
                </c:pt>
                <c:pt idx="14">
                  <c:v>624.42632446080529</c:v>
                </c:pt>
                <c:pt idx="15">
                  <c:v>692.40991660165776</c:v>
                </c:pt>
                <c:pt idx="16">
                  <c:v>758.1177725133831</c:v>
                </c:pt>
                <c:pt idx="17">
                  <c:v>819.70225637040278</c:v>
                </c:pt>
                <c:pt idx="18">
                  <c:v>880.62874382249186</c:v>
                </c:pt>
                <c:pt idx="19">
                  <c:v>939.17292348705746</c:v>
                </c:pt>
                <c:pt idx="20">
                  <c:v>995.10002646514772</c:v>
                </c:pt>
                <c:pt idx="21">
                  <c:v>1048.0714190254682</c:v>
                </c:pt>
                <c:pt idx="22">
                  <c:v>1097.586343430436</c:v>
                </c:pt>
                <c:pt idx="23">
                  <c:v>1140.764289440586</c:v>
                </c:pt>
                <c:pt idx="24">
                  <c:v>1178.902834125133</c:v>
                </c:pt>
                <c:pt idx="25">
                  <c:v>1211.6586743177252</c:v>
                </c:pt>
                <c:pt idx="26">
                  <c:v>1239.0257837089682</c:v>
                </c:pt>
                <c:pt idx="27">
                  <c:v>1263.4289677625459</c:v>
                </c:pt>
                <c:pt idx="28">
                  <c:v>1284.6598459148599</c:v>
                </c:pt>
                <c:pt idx="29">
                  <c:v>1303.1986569599871</c:v>
                </c:pt>
                <c:pt idx="30">
                  <c:v>1319.442072237548</c:v>
                </c:pt>
                <c:pt idx="31">
                  <c:v>1333.7197167437432</c:v>
                </c:pt>
                <c:pt idx="32">
                  <c:v>1346.3070400445702</c:v>
                </c:pt>
                <c:pt idx="33">
                  <c:v>1357.4354248966029</c:v>
                </c:pt>
                <c:pt idx="34">
                  <c:v>1367.3001866162774</c:v>
                </c:pt>
                <c:pt idx="35">
                  <c:v>1376.0669482484923</c:v>
                </c:pt>
                <c:pt idx="36">
                  <c:v>1383.8767551431699</c:v>
                </c:pt>
                <c:pt idx="37">
                  <c:v>1390.8502038772619</c:v>
                </c:pt>
                <c:pt idx="38">
                  <c:v>1397.0907951076524</c:v>
                </c:pt>
                <c:pt idx="39">
                  <c:v>1402.6876713492125</c:v>
                </c:pt>
                <c:pt idx="40">
                  <c:v>1407.7178642422768</c:v>
                </c:pt>
                <c:pt idx="41">
                  <c:v>1412.2481483466559</c:v>
                </c:pt>
                <c:pt idx="42">
                  <c:v>1416.184189102617</c:v>
                </c:pt>
                <c:pt idx="43">
                  <c:v>1419.3950717229993</c:v>
                </c:pt>
                <c:pt idx="44">
                  <c:v>1422.2804802554324</c:v>
                </c:pt>
                <c:pt idx="45">
                  <c:v>1424.877708109372</c:v>
                </c:pt>
                <c:pt idx="46">
                  <c:v>1427.2195319082343</c:v>
                </c:pt>
                <c:pt idx="47">
                  <c:v>1429.3347540994951</c:v>
                </c:pt>
                <c:pt idx="48">
                  <c:v>1431.2487350640026</c:v>
                </c:pt>
                <c:pt idx="49">
                  <c:v>1432.9838458495522</c:v>
                </c:pt>
                <c:pt idx="50">
                  <c:v>1434.5598545846462</c:v>
                </c:pt>
                <c:pt idx="51">
                  <c:v>1435.9942572808329</c:v>
                </c:pt>
                <c:pt idx="52">
                  <c:v>1437.3025618414511</c:v>
                </c:pt>
                <c:pt idx="53">
                  <c:v>1438.4985325654782</c:v>
                </c:pt>
                <c:pt idx="54">
                  <c:v>1439.5944011930824</c:v>
                </c:pt>
                <c:pt idx="55">
                  <c:v>1440.6010495264748</c:v>
                </c:pt>
                <c:pt idx="56">
                  <c:v>1441.5281678302883</c:v>
                </c:pt>
                <c:pt idx="57">
                  <c:v>1442.3843925340209</c:v>
                </c:pt>
                <c:pt idx="58">
                  <c:v>1443.159428022811</c:v>
                </c:pt>
                <c:pt idx="59">
                  <c:v>1443.6959250222149</c:v>
                </c:pt>
                <c:pt idx="60">
                  <c:v>1444.03505644804</c:v>
                </c:pt>
                <c:pt idx="61">
                  <c:v>1444.3405760111721</c:v>
                </c:pt>
                <c:pt idx="62">
                  <c:v>1444.6168125352056</c:v>
                </c:pt>
                <c:pt idx="63">
                  <c:v>1444.8676461683065</c:v>
                </c:pt>
                <c:pt idx="64">
                  <c:v>1445.096515845167</c:v>
                </c:pt>
                <c:pt idx="65">
                  <c:v>1445.3033966377745</c:v>
                </c:pt>
                <c:pt idx="66">
                  <c:v>1445.3376164758513</c:v>
                </c:pt>
                <c:pt idx="67">
                  <c:v>1445.3626883703648</c:v>
                </c:pt>
                <c:pt idx="68">
                  <c:v>1445.3803928682348</c:v>
                </c:pt>
                <c:pt idx="69">
                  <c:v>1445.3923564335093</c:v>
                </c:pt>
                <c:pt idx="70">
                  <c:v>1445.3999797868819</c:v>
                </c:pt>
                <c:pt idx="71">
                  <c:v>1445.4044536648385</c:v>
                </c:pt>
                <c:pt idx="72">
                  <c:v>1445.4067743038265</c:v>
                </c:pt>
                <c:pt idx="73">
                  <c:v>1445.4077549037452</c:v>
                </c:pt>
                <c:pt idx="74">
                  <c:v>1445.4080315031933</c:v>
                </c:pt>
                <c:pt idx="75">
                  <c:v>1445.4080575980195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47-415E-A4F7-AB0F6397766B}"/>
            </c:ext>
          </c:extLst>
        </c:ser>
        <c:ser>
          <c:idx val="1"/>
          <c:order val="1"/>
          <c:tx>
            <c:v>P_M_Nominal</c:v>
          </c:tx>
          <c:spPr>
            <a:ln w="22225" cap="rnd">
              <a:solidFill>
                <a:schemeClr val="accent6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circle_section!$BC$2:$BC$102</c:f>
              <c:numCache>
                <c:formatCode>General</c:formatCode>
                <c:ptCount val="101"/>
                <c:pt idx="0">
                  <c:v>5.9548006161198365E-4</c:v>
                </c:pt>
                <c:pt idx="1">
                  <c:v>19.418352104231776</c:v>
                </c:pt>
                <c:pt idx="2">
                  <c:v>58.48445850751574</c:v>
                </c:pt>
                <c:pt idx="3">
                  <c:v>136.50744287812859</c:v>
                </c:pt>
                <c:pt idx="4">
                  <c:v>196.77806319922144</c:v>
                </c:pt>
                <c:pt idx="5">
                  <c:v>257.63110160470427</c:v>
                </c:pt>
                <c:pt idx="6">
                  <c:v>313.75427103029841</c:v>
                </c:pt>
                <c:pt idx="7">
                  <c:v>362.73531009985828</c:v>
                </c:pt>
                <c:pt idx="8">
                  <c:v>404.42507917333046</c:v>
                </c:pt>
                <c:pt idx="9">
                  <c:v>437.59183895693332</c:v>
                </c:pt>
                <c:pt idx="10">
                  <c:v>466.0522199500063</c:v>
                </c:pt>
                <c:pt idx="11">
                  <c:v>484.94278534953378</c:v>
                </c:pt>
                <c:pt idx="12">
                  <c:v>491.55760842926998</c:v>
                </c:pt>
                <c:pt idx="13">
                  <c:v>489.14419519979731</c:v>
                </c:pt>
                <c:pt idx="14">
                  <c:v>482.88215100425418</c:v>
                </c:pt>
                <c:pt idx="15">
                  <c:v>472.43875451936105</c:v>
                </c:pt>
                <c:pt idx="16">
                  <c:v>457.66779018296955</c:v>
                </c:pt>
                <c:pt idx="17">
                  <c:v>438.97536073064202</c:v>
                </c:pt>
                <c:pt idx="18">
                  <c:v>415.82183135291683</c:v>
                </c:pt>
                <c:pt idx="19">
                  <c:v>388.87774546609444</c:v>
                </c:pt>
                <c:pt idx="20">
                  <c:v>358.67877809463033</c:v>
                </c:pt>
                <c:pt idx="21">
                  <c:v>325.99637292527558</c:v>
                </c:pt>
                <c:pt idx="22">
                  <c:v>291.95151989116761</c:v>
                </c:pt>
                <c:pt idx="23">
                  <c:v>259.8265228602059</c:v>
                </c:pt>
                <c:pt idx="24">
                  <c:v>229.72341953076582</c:v>
                </c:pt>
                <c:pt idx="25">
                  <c:v>203.58949390137468</c:v>
                </c:pt>
                <c:pt idx="26">
                  <c:v>181.856223798895</c:v>
                </c:pt>
                <c:pt idx="27">
                  <c:v>162.0072432348673</c:v>
                </c:pt>
                <c:pt idx="28">
                  <c:v>144.56196926214511</c:v>
                </c:pt>
                <c:pt idx="29">
                  <c:v>129.17709929985406</c:v>
                </c:pt>
                <c:pt idx="30">
                  <c:v>115.56696799969308</c:v>
                </c:pt>
                <c:pt idx="31">
                  <c:v>103.49239226273886</c:v>
                </c:pt>
                <c:pt idx="32">
                  <c:v>92.751946197517938</c:v>
                </c:pt>
                <c:pt idx="33">
                  <c:v>83.175080956365136</c:v>
                </c:pt>
                <c:pt idx="34">
                  <c:v>74.616657950955258</c:v>
                </c:pt>
                <c:pt idx="35">
                  <c:v>66.95257405156643</c:v>
                </c:pt>
                <c:pt idx="36">
                  <c:v>60.076237163209356</c:v>
                </c:pt>
                <c:pt idx="37">
                  <c:v>53.895708971921984</c:v>
                </c:pt>
                <c:pt idx="38">
                  <c:v>48.331374802298598</c:v>
                </c:pt>
                <c:pt idx="39">
                  <c:v>43.314032688524456</c:v>
                </c:pt>
                <c:pt idx="40">
                  <c:v>38.783317933383223</c:v>
                </c:pt>
                <c:pt idx="41">
                  <c:v>34.686397740589342</c:v>
                </c:pt>
                <c:pt idx="42">
                  <c:v>31.008053633519168</c:v>
                </c:pt>
                <c:pt idx="43">
                  <c:v>27.744563431996131</c:v>
                </c:pt>
                <c:pt idx="44">
                  <c:v>24.787147301547282</c:v>
                </c:pt>
                <c:pt idx="45">
                  <c:v>22.104157538181244</c:v>
                </c:pt>
                <c:pt idx="46">
                  <c:v>19.667489742876942</c:v>
                </c:pt>
                <c:pt idx="47">
                  <c:v>17.452139672414063</c:v>
                </c:pt>
                <c:pt idx="48">
                  <c:v>15.4358106402131</c:v>
                </c:pt>
                <c:pt idx="49">
                  <c:v>13.598577685623278</c:v>
                </c:pt>
                <c:pt idx="50">
                  <c:v>11.922599382446464</c:v>
                </c:pt>
                <c:pt idx="51">
                  <c:v>10.391869773051249</c:v>
                </c:pt>
                <c:pt idx="52">
                  <c:v>8.9920042194986234</c:v>
                </c:pt>
                <c:pt idx="53">
                  <c:v>7.7100540219676956</c:v>
                </c:pt>
                <c:pt idx="54">
                  <c:v>6.5343455176258871</c:v>
                </c:pt>
                <c:pt idx="55">
                  <c:v>5.4543400790856813</c:v>
                </c:pt>
                <c:pt idx="56">
                  <c:v>4.4605120116277215</c:v>
                </c:pt>
                <c:pt idx="57">
                  <c:v>3.5442418268129483</c:v>
                </c:pt>
                <c:pt idx="58">
                  <c:v>2.7172541722429773</c:v>
                </c:pt>
                <c:pt idx="59">
                  <c:v>2.1107787755835958</c:v>
                </c:pt>
                <c:pt idx="60">
                  <c:v>1.6966581518472035</c:v>
                </c:pt>
                <c:pt idx="61">
                  <c:v>1.3229649987907717</c:v>
                </c:pt>
                <c:pt idx="62">
                  <c:v>0.98492410823762977</c:v>
                </c:pt>
                <c:pt idx="63">
                  <c:v>0.67818131044376795</c:v>
                </c:pt>
                <c:pt idx="64">
                  <c:v>0.39880236299689747</c:v>
                </c:pt>
                <c:pt idx="65">
                  <c:v>0.14685076595309207</c:v>
                </c:pt>
                <c:pt idx="66">
                  <c:v>9.9768071026006586E-2</c:v>
                </c:pt>
                <c:pt idx="67">
                  <c:v>6.486877460369031E-2</c:v>
                </c:pt>
                <c:pt idx="68">
                  <c:v>3.9928410101278775E-2</c:v>
                </c:pt>
                <c:pt idx="69">
                  <c:v>2.2873784960930951E-2</c:v>
                </c:pt>
                <c:pt idx="70">
                  <c:v>1.187736626738653E-2</c:v>
                </c:pt>
                <c:pt idx="71">
                  <c:v>5.3480265317018818E-3</c:v>
                </c:pt>
                <c:pt idx="72">
                  <c:v>1.9217809511337502E-3</c:v>
                </c:pt>
                <c:pt idx="73">
                  <c:v>4.5741829592769052E-4</c:v>
                </c:pt>
                <c:pt idx="74">
                  <c:v>3.9789329213363088E-5</c:v>
                </c:pt>
                <c:pt idx="75">
                  <c:v>2.6480364301304244E-14</c:v>
                </c:pt>
              </c:numCache>
            </c:numRef>
          </c:xVal>
          <c:yVal>
            <c:numRef>
              <c:f>circle_section!$AZ$2:$AZ$102</c:f>
              <c:numCache>
                <c:formatCode>General</c:formatCode>
                <c:ptCount val="101"/>
                <c:pt idx="0">
                  <c:v>-323.99957118435776</c:v>
                </c:pt>
                <c:pt idx="1">
                  <c:v>-303.71126449609488</c:v>
                </c:pt>
                <c:pt idx="2">
                  <c:v>-258.08104952052122</c:v>
                </c:pt>
                <c:pt idx="3">
                  <c:v>-156.10525261931946</c:v>
                </c:pt>
                <c:pt idx="4">
                  <c:v>-74.54620523193114</c:v>
                </c:pt>
                <c:pt idx="5">
                  <c:v>27.144518482741404</c:v>
                </c:pt>
                <c:pt idx="6">
                  <c:v>126.70089592373927</c:v>
                </c:pt>
                <c:pt idx="7">
                  <c:v>220.43429582181221</c:v>
                </c:pt>
                <c:pt idx="8">
                  <c:v>318.8423434999865</c:v>
                </c:pt>
                <c:pt idx="9">
                  <c:v>424.34701913380593</c:v>
                </c:pt>
                <c:pt idx="10">
                  <c:v>527.32184839283218</c:v>
                </c:pt>
                <c:pt idx="11">
                  <c:v>629.79195899032311</c:v>
                </c:pt>
                <c:pt idx="12">
                  <c:v>739.80780170266598</c:v>
                </c:pt>
                <c:pt idx="13">
                  <c:v>852.33110171777116</c:v>
                </c:pt>
                <c:pt idx="14">
                  <c:v>960.65588378585426</c:v>
                </c:pt>
                <c:pt idx="15">
                  <c:v>1065.2460255410119</c:v>
                </c:pt>
                <c:pt idx="16">
                  <c:v>1166.3350346359739</c:v>
                </c:pt>
                <c:pt idx="17">
                  <c:v>1261.0803944160043</c:v>
                </c:pt>
                <c:pt idx="18">
                  <c:v>1354.8134520346027</c:v>
                </c:pt>
                <c:pt idx="19">
                  <c:v>1444.8814207493192</c:v>
                </c:pt>
                <c:pt idx="20">
                  <c:v>1530.9231176386888</c:v>
                </c:pt>
                <c:pt idx="21">
                  <c:v>1612.4175677314895</c:v>
                </c:pt>
                <c:pt idx="22">
                  <c:v>1688.594374508363</c:v>
                </c:pt>
                <c:pt idx="23">
                  <c:v>1755.0219837547477</c:v>
                </c:pt>
                <c:pt idx="24">
                  <c:v>1813.69666788482</c:v>
                </c:pt>
                <c:pt idx="25">
                  <c:v>1864.0902681811156</c:v>
                </c:pt>
                <c:pt idx="26">
                  <c:v>1906.1935133984125</c:v>
                </c:pt>
                <c:pt idx="27">
                  <c:v>1943.7368734808397</c:v>
                </c:pt>
                <c:pt idx="28">
                  <c:v>1976.3997629459384</c:v>
                </c:pt>
                <c:pt idx="29">
                  <c:v>2004.9210107076724</c:v>
                </c:pt>
                <c:pt idx="30">
                  <c:v>2029.9108803654585</c:v>
                </c:pt>
                <c:pt idx="31">
                  <c:v>2051.8764872980664</c:v>
                </c:pt>
                <c:pt idx="32">
                  <c:v>2071.2416000685694</c:v>
                </c:pt>
                <c:pt idx="33">
                  <c:v>2088.3621921486197</c:v>
                </c:pt>
                <c:pt idx="34">
                  <c:v>2103.5387486404265</c:v>
                </c:pt>
                <c:pt idx="35">
                  <c:v>2117.0260742284495</c:v>
                </c:pt>
                <c:pt idx="36">
                  <c:v>2129.0411617587229</c:v>
                </c:pt>
                <c:pt idx="37">
                  <c:v>2139.7695444265569</c:v>
                </c:pt>
                <c:pt idx="38">
                  <c:v>2149.3704540117728</c:v>
                </c:pt>
                <c:pt idx="39">
                  <c:v>2157.9810328449421</c:v>
                </c:pt>
                <c:pt idx="40">
                  <c:v>2165.7197911419644</c:v>
                </c:pt>
                <c:pt idx="41">
                  <c:v>2172.6894589948552</c:v>
                </c:pt>
                <c:pt idx="42">
                  <c:v>2178.7449063117183</c:v>
                </c:pt>
                <c:pt idx="43">
                  <c:v>2183.6847257276913</c:v>
                </c:pt>
                <c:pt idx="44">
                  <c:v>2188.1238157775883</c:v>
                </c:pt>
                <c:pt idx="45">
                  <c:v>2192.1195509374952</c:v>
                </c:pt>
                <c:pt idx="46">
                  <c:v>2195.7223567818987</c:v>
                </c:pt>
                <c:pt idx="47">
                  <c:v>2198.976544768454</c:v>
                </c:pt>
                <c:pt idx="48">
                  <c:v>2201.9211308676963</c:v>
                </c:pt>
                <c:pt idx="49">
                  <c:v>2204.590532076234</c:v>
                </c:pt>
                <c:pt idx="50">
                  <c:v>2207.0151608994556</c:v>
                </c:pt>
                <c:pt idx="51">
                  <c:v>2209.2219342782046</c:v>
                </c:pt>
                <c:pt idx="52">
                  <c:v>2211.2347105253093</c:v>
                </c:pt>
                <c:pt idx="53">
                  <c:v>2213.074665485351</c:v>
                </c:pt>
                <c:pt idx="54">
                  <c:v>2214.7606172201267</c:v>
                </c:pt>
                <c:pt idx="55">
                  <c:v>2216.3093069638071</c:v>
                </c:pt>
                <c:pt idx="56">
                  <c:v>2217.7356428158282</c:v>
                </c:pt>
                <c:pt idx="57">
                  <c:v>2219.0529115908012</c:v>
                </c:pt>
                <c:pt idx="58">
                  <c:v>2220.2452738812476</c:v>
                </c:pt>
                <c:pt idx="59">
                  <c:v>2221.0706538803306</c:v>
                </c:pt>
                <c:pt idx="60">
                  <c:v>2221.5923945354461</c:v>
                </c:pt>
                <c:pt idx="61">
                  <c:v>2222.0624246325724</c:v>
                </c:pt>
                <c:pt idx="62">
                  <c:v>2222.4874039003162</c:v>
                </c:pt>
                <c:pt idx="63">
                  <c:v>2222.8733017973946</c:v>
                </c:pt>
                <c:pt idx="64">
                  <c:v>2223.2254089925646</c:v>
                </c:pt>
                <c:pt idx="65">
                  <c:v>2223.5436871350375</c:v>
                </c:pt>
                <c:pt idx="66">
                  <c:v>2223.5963330397713</c:v>
                </c:pt>
                <c:pt idx="67">
                  <c:v>2223.6349051851766</c:v>
                </c:pt>
                <c:pt idx="68">
                  <c:v>2223.6621428742073</c:v>
                </c:pt>
                <c:pt idx="69">
                  <c:v>2223.6805483592452</c:v>
                </c:pt>
                <c:pt idx="70">
                  <c:v>2223.6922765952027</c:v>
                </c:pt>
                <c:pt idx="71">
                  <c:v>2223.6991594843666</c:v>
                </c:pt>
                <c:pt idx="72">
                  <c:v>2223.7027296981946</c:v>
                </c:pt>
                <c:pt idx="73">
                  <c:v>2223.704238313454</c:v>
                </c:pt>
                <c:pt idx="74">
                  <c:v>2223.7046638510665</c:v>
                </c:pt>
                <c:pt idx="75">
                  <c:v>2223.704703996953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B47-415E-A4F7-AB0F6397766B}"/>
            </c:ext>
          </c:extLst>
        </c:ser>
        <c:ser>
          <c:idx val="2"/>
          <c:order val="2"/>
          <c:tx>
            <c:v>User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19050">
                <a:solidFill>
                  <a:srgbClr val="7030A0"/>
                </a:solidFill>
              </a:ln>
              <a:effectLst/>
            </c:spPr>
          </c:marker>
          <c:xVal>
            <c:numRef>
              <c:f>circle_section!$J$13</c:f>
              <c:numCache>
                <c:formatCode>0.000</c:formatCode>
                <c:ptCount val="1"/>
                <c:pt idx="0">
                  <c:v>10</c:v>
                </c:pt>
              </c:numCache>
            </c:numRef>
          </c:xVal>
          <c:yVal>
            <c:numRef>
              <c:f>circle_section!$J$9</c:f>
              <c:numCache>
                <c:formatCode>0.000</c:formatCode>
                <c:ptCount val="1"/>
                <c:pt idx="0">
                  <c:v>357.8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B47-415E-A4F7-AB0F6397766B}"/>
            </c:ext>
          </c:extLst>
        </c:ser>
        <c:ser>
          <c:idx val="3"/>
          <c:order val="3"/>
          <c:tx>
            <c:v>Result</c:v>
          </c:tx>
          <c:spPr>
            <a:ln w="25400" cap="rnd">
              <a:noFill/>
              <a:round/>
            </a:ln>
            <a:effectLst/>
          </c:spPr>
          <c:marker>
            <c:symbol val="x"/>
            <c:size val="8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circle_section!$J$7</c:f>
              <c:numCache>
                <c:formatCode>0.000</c:formatCode>
                <c:ptCount val="1"/>
                <c:pt idx="0">
                  <c:v>339.64385907267308</c:v>
                </c:pt>
              </c:numCache>
            </c:numRef>
          </c:xVal>
          <c:yVal>
            <c:numRef>
              <c:f>circle_section!$J$3</c:f>
              <c:numCache>
                <c:formatCode>0.000</c:formatCode>
                <c:ptCount val="1"/>
                <c:pt idx="0">
                  <c:v>357.79999999991276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B47-415E-A4F7-AB0F6397766B}"/>
            </c:ext>
          </c:extLst>
        </c:ser>
        <c:ser>
          <c:idx val="4"/>
          <c:order val="4"/>
          <c:tx>
            <c:v>min_e_line</c:v>
          </c:tx>
          <c:spPr>
            <a:ln w="9525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circle_section!$AY$104:$AY$105</c:f>
              <c:numCache>
                <c:formatCode>General</c:formatCode>
                <c:ptCount val="2"/>
                <c:pt idx="0">
                  <c:v>160.92849827626284</c:v>
                </c:pt>
                <c:pt idx="1">
                  <c:v>0</c:v>
                </c:pt>
              </c:numCache>
            </c:numRef>
          </c:xVal>
          <c:yVal>
            <c:numRef>
              <c:f>circle_section!$AV$104:$AV$105</c:f>
              <c:numCache>
                <c:formatCode>General</c:formatCode>
                <c:ptCount val="2"/>
                <c:pt idx="0">
                  <c:v>1156.326446078416</c:v>
                </c:pt>
                <c:pt idx="1">
                  <c:v>1156.326446078416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B47-415E-A4F7-AB0F6397766B}"/>
            </c:ext>
          </c:extLst>
        </c:ser>
        <c:ser>
          <c:idx val="5"/>
          <c:order val="5"/>
          <c:tx>
            <c:v>P_M_180</c:v>
          </c:tx>
          <c:spPr>
            <a:ln w="222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circle_section!$BS$2:$BS$77</c:f>
              <c:numCache>
                <c:formatCode>General</c:formatCode>
                <c:ptCount val="76"/>
                <c:pt idx="0">
                  <c:v>-5.3593205549128629E-4</c:v>
                </c:pt>
                <c:pt idx="1">
                  <c:v>-17.47651689380865</c:v>
                </c:pt>
                <c:pt idx="2">
                  <c:v>-59.325785813135269</c:v>
                </c:pt>
                <c:pt idx="3">
                  <c:v>-115.89181405779695</c:v>
                </c:pt>
                <c:pt idx="4">
                  <c:v>-180.51653852483665</c:v>
                </c:pt>
                <c:pt idx="5">
                  <c:v>-234.44727254775148</c:v>
                </c:pt>
                <c:pt idx="6">
                  <c:v>-280.55908966767987</c:v>
                </c:pt>
                <c:pt idx="7">
                  <c:v>-324.49725980095837</c:v>
                </c:pt>
                <c:pt idx="8">
                  <c:v>-341.50015707115961</c:v>
                </c:pt>
                <c:pt idx="9">
                  <c:v>-342.18014000799349</c:v>
                </c:pt>
                <c:pt idx="10">
                  <c:v>-336.43231450139564</c:v>
                </c:pt>
                <c:pt idx="11">
                  <c:v>-327.97730189950335</c:v>
                </c:pt>
                <c:pt idx="12">
                  <c:v>-319.6234149326682</c:v>
                </c:pt>
                <c:pt idx="13">
                  <c:v>-318.40515571445968</c:v>
                </c:pt>
                <c:pt idx="14">
                  <c:v>-314.80443634029928</c:v>
                </c:pt>
                <c:pt idx="15">
                  <c:v>-308.42560303974653</c:v>
                </c:pt>
                <c:pt idx="16">
                  <c:v>-298.58000690628035</c:v>
                </c:pt>
                <c:pt idx="17">
                  <c:v>-285.80472328164365</c:v>
                </c:pt>
                <c:pt idx="18">
                  <c:v>-270.38758493400292</c:v>
                </c:pt>
                <c:pt idx="19">
                  <c:v>-252.54727056810611</c:v>
                </c:pt>
                <c:pt idx="20">
                  <c:v>-233.27709814309262</c:v>
                </c:pt>
                <c:pt idx="21">
                  <c:v>-211.86236625853505</c:v>
                </c:pt>
                <c:pt idx="22">
                  <c:v>-189.57226171114507</c:v>
                </c:pt>
                <c:pt idx="23">
                  <c:v>-167.63448053045758</c:v>
                </c:pt>
                <c:pt idx="24">
                  <c:v>-148.13377828676599</c:v>
                </c:pt>
                <c:pt idx="25">
                  <c:v>-132.45713611720336</c:v>
                </c:pt>
                <c:pt idx="26">
                  <c:v>-117.84817093820989</c:v>
                </c:pt>
                <c:pt idx="27">
                  <c:v>-105.06260645556429</c:v>
                </c:pt>
                <c:pt idx="28">
                  <c:v>-93.831409973212331</c:v>
                </c:pt>
                <c:pt idx="29">
                  <c:v>-83.932240311473947</c:v>
                </c:pt>
                <c:pt idx="30">
                  <c:v>-75.180116489300687</c:v>
                </c:pt>
                <c:pt idx="31">
                  <c:v>-67.420183229577958</c:v>
                </c:pt>
                <c:pt idx="32">
                  <c:v>-60.514174413792041</c:v>
                </c:pt>
                <c:pt idx="33">
                  <c:v>-54.282843135836252</c:v>
                </c:pt>
                <c:pt idx="34">
                  <c:v>-48.713866901309657</c:v>
                </c:pt>
                <c:pt idx="35">
                  <c:v>-43.726529532539175</c:v>
                </c:pt>
                <c:pt idx="36">
                  <c:v>-39.251521614057026</c:v>
                </c:pt>
                <c:pt idx="37">
                  <c:v>-35.229061133892337</c:v>
                </c:pt>
                <c:pt idx="38">
                  <c:v>-31.607378595872724</c:v>
                </c:pt>
                <c:pt idx="39">
                  <c:v>-28.341474662096939</c:v>
                </c:pt>
                <c:pt idx="40">
                  <c:v>-25.392095897422333</c:v>
                </c:pt>
                <c:pt idx="41">
                  <c:v>-22.724886091035682</c:v>
                </c:pt>
                <c:pt idx="42">
                  <c:v>-20.309679714312576</c:v>
                </c:pt>
                <c:pt idx="43">
                  <c:v>-18.119911055807151</c:v>
                </c:pt>
                <c:pt idx="44">
                  <c:v>-16.132117975878966</c:v>
                </c:pt>
                <c:pt idx="45">
                  <c:v>-14.325523429283844</c:v>
                </c:pt>
                <c:pt idx="46">
                  <c:v>-12.681681198584158</c:v>
                </c:pt>
                <c:pt idx="47">
                  <c:v>-11.184174876761121</c:v>
                </c:pt>
                <c:pt idx="48">
                  <c:v>-9.8183611935211594</c:v>
                </c:pt>
                <c:pt idx="49">
                  <c:v>-8.5711504170839401</c:v>
                </c:pt>
                <c:pt idx="50">
                  <c:v>-7.4308178736150676</c:v>
                </c:pt>
                <c:pt idx="51">
                  <c:v>-6.4039076791153278</c:v>
                </c:pt>
                <c:pt idx="52">
                  <c:v>-5.6015385640765682</c:v>
                </c:pt>
                <c:pt idx="53">
                  <c:v>-4.8718206463824547</c:v>
                </c:pt>
                <c:pt idx="54">
                  <c:v>-4.2074454577148916</c:v>
                </c:pt>
                <c:pt idx="55">
                  <c:v>-3.6017590231343672</c:v>
                </c:pt>
                <c:pt idx="56">
                  <c:v>-3.0487522182657707</c:v>
                </c:pt>
                <c:pt idx="57">
                  <c:v>-2.5429925471310759</c:v>
                </c:pt>
                <c:pt idx="58">
                  <c:v>-2.0795644176482617</c:v>
                </c:pt>
                <c:pt idx="59">
                  <c:v>-1.654016760149863</c:v>
                </c:pt>
                <c:pt idx="60">
                  <c:v>-1.2623170114589166</c:v>
                </c:pt>
                <c:pt idx="61">
                  <c:v>-0.90081063573484721</c:v>
                </c:pt>
                <c:pt idx="62">
                  <c:v>-0.54280523364801769</c:v>
                </c:pt>
                <c:pt idx="63">
                  <c:v>-0.33322325153473298</c:v>
                </c:pt>
                <c:pt idx="64">
                  <c:v>-0.13590487557433342</c:v>
                </c:pt>
                <c:pt idx="65">
                  <c:v>-9.5537468362626332E-2</c:v>
                </c:pt>
                <c:pt idx="66">
                  <c:v>-6.4851730036424415E-2</c:v>
                </c:pt>
                <c:pt idx="67">
                  <c:v>-4.2164703492366375E-2</c:v>
                </c:pt>
                <c:pt idx="68">
                  <c:v>-2.5953466565798874E-2</c:v>
                </c:pt>
                <c:pt idx="69">
                  <c:v>-1.4867960224575866E-2</c:v>
                </c:pt>
                <c:pt idx="70">
                  <c:v>-7.7202880737689151E-3</c:v>
                </c:pt>
                <c:pt idx="71">
                  <c:v>-3.4762172455785121E-3</c:v>
                </c:pt>
                <c:pt idx="72">
                  <c:v>-1.2491576182107659E-3</c:v>
                </c:pt>
                <c:pt idx="73">
                  <c:v>-2.9732189231759017E-4</c:v>
                </c:pt>
                <c:pt idx="74">
                  <c:v>-2.5863063959435333E-5</c:v>
                </c:pt>
                <c:pt idx="75">
                  <c:v>-1.5471876588739944E-14</c:v>
                </c:pt>
              </c:numCache>
            </c:numRef>
          </c:xVal>
          <c:yVal>
            <c:numRef>
              <c:f>circle_section!$BP$2:$BP$77</c:f>
              <c:numCache>
                <c:formatCode>General</c:formatCode>
                <c:ptCount val="76"/>
                <c:pt idx="0">
                  <c:v>-291.59961406592197</c:v>
                </c:pt>
                <c:pt idx="1">
                  <c:v>-273.34013804648538</c:v>
                </c:pt>
                <c:pt idx="2">
                  <c:v>-224.03517613155748</c:v>
                </c:pt>
                <c:pt idx="3">
                  <c:v>-150.56896414532798</c:v>
                </c:pt>
                <c:pt idx="4">
                  <c:v>-56.472037698983137</c:v>
                </c:pt>
                <c:pt idx="5">
                  <c:v>25.29407011405284</c:v>
                </c:pt>
                <c:pt idx="6">
                  <c:v>103.5010567751896</c:v>
                </c:pt>
                <c:pt idx="7">
                  <c:v>199.93461328218575</c:v>
                </c:pt>
                <c:pt idx="8">
                  <c:v>273.7436585182478</c:v>
                </c:pt>
                <c:pt idx="9">
                  <c:v>327.05814004495318</c:v>
                </c:pt>
                <c:pt idx="10">
                  <c:v>380.27197872520208</c:v>
                </c:pt>
                <c:pt idx="11">
                  <c:v>429.73599311672439</c:v>
                </c:pt>
                <c:pt idx="12">
                  <c:v>482.01773785033367</c:v>
                </c:pt>
                <c:pt idx="13">
                  <c:v>554.21759766873129</c:v>
                </c:pt>
                <c:pt idx="14">
                  <c:v>625.10324896726354</c:v>
                </c:pt>
                <c:pt idx="15">
                  <c:v>693.52177467438889</c:v>
                </c:pt>
                <c:pt idx="16">
                  <c:v>758.59756311466629</c:v>
                </c:pt>
                <c:pt idx="17">
                  <c:v>821.2512701334183</c:v>
                </c:pt>
                <c:pt idx="18">
                  <c:v>881.7116521901545</c:v>
                </c:pt>
                <c:pt idx="19">
                  <c:v>939.82401313074865</c:v>
                </c:pt>
                <c:pt idx="20">
                  <c:v>993.64861790482348</c:v>
                </c:pt>
                <c:pt idx="21">
                  <c:v>1046.0074695998489</c:v>
                </c:pt>
                <c:pt idx="22">
                  <c:v>1094.9743282704428</c:v>
                </c:pt>
                <c:pt idx="23">
                  <c:v>1139.6352402528664</c:v>
                </c:pt>
                <c:pt idx="24">
                  <c:v>1178.405358000304</c:v>
                </c:pt>
                <c:pt idx="25">
                  <c:v>1210.0070335946373</c:v>
                </c:pt>
                <c:pt idx="26">
                  <c:v>1238.6041170846463</c:v>
                </c:pt>
                <c:pt idx="27">
                  <c:v>1263.4123582898378</c:v>
                </c:pt>
                <c:pt idx="28">
                  <c:v>1285.0202105710785</c:v>
                </c:pt>
                <c:pt idx="29">
                  <c:v>1303.9107330062163</c:v>
                </c:pt>
                <c:pt idx="30">
                  <c:v>1320.4830521171748</c:v>
                </c:pt>
                <c:pt idx="31">
                  <c:v>1335.0689401613974</c:v>
                </c:pt>
                <c:pt idx="32">
                  <c:v>1347.8864729471086</c:v>
                </c:pt>
                <c:pt idx="33">
                  <c:v>1358.6507107190505</c:v>
                </c:pt>
                <c:pt idx="34">
                  <c:v>1368.1721807936642</c:v>
                </c:pt>
                <c:pt idx="35">
                  <c:v>1376.6146285840982</c:v>
                </c:pt>
                <c:pt idx="36">
                  <c:v>1384.117569713598</c:v>
                </c:pt>
                <c:pt idx="37">
                  <c:v>1390.8002309644567</c:v>
                </c:pt>
                <c:pt idx="38">
                  <c:v>1396.7648827846408</c:v>
                </c:pt>
                <c:pt idx="39">
                  <c:v>1402.0995597452293</c:v>
                </c:pt>
                <c:pt idx="40">
                  <c:v>1406.8802930012737</c:v>
                </c:pt>
                <c:pt idx="41">
                  <c:v>1411.1729513779881</c:v>
                </c:pt>
                <c:pt idx="42">
                  <c:v>1415.0347668260536</c:v>
                </c:pt>
                <c:pt idx="43">
                  <c:v>1418.5156039871986</c:v>
                </c:pt>
                <c:pt idx="44">
                  <c:v>1421.6590212637425</c:v>
                </c:pt>
                <c:pt idx="45">
                  <c:v>1424.5031611981899</c:v>
                </c:pt>
                <c:pt idx="46">
                  <c:v>1427.0815004795377</c:v>
                </c:pt>
                <c:pt idx="47">
                  <c:v>1429.4234840089766</c:v>
                </c:pt>
                <c:pt idx="48">
                  <c:v>1431.5550628097026</c:v>
                </c:pt>
                <c:pt idx="49">
                  <c:v>1433.4991518747972</c:v>
                </c:pt>
                <c:pt idx="50">
                  <c:v>1435.2760211018763</c:v>
                </c:pt>
                <c:pt idx="51">
                  <c:v>1436.8590495330204</c:v>
                </c:pt>
                <c:pt idx="52">
                  <c:v>1437.9491949800101</c:v>
                </c:pt>
                <c:pt idx="53">
                  <c:v>1438.9351422208322</c:v>
                </c:pt>
                <c:pt idx="54">
                  <c:v>1439.8285168151062</c:v>
                </c:pt>
                <c:pt idx="55">
                  <c:v>1440.6398032127763</c:v>
                </c:pt>
                <c:pt idx="56">
                  <c:v>1441.378321772353</c:v>
                </c:pt>
                <c:pt idx="57">
                  <c:v>1442.052364136475</c:v>
                </c:pt>
                <c:pt idx="58">
                  <c:v>1442.6693111022396</c:v>
                </c:pt>
                <c:pt idx="59">
                  <c:v>1443.235735454273</c:v>
                </c:pt>
                <c:pt idx="60">
                  <c:v>1443.7574918449136</c:v>
                </c:pt>
                <c:pt idx="61">
                  <c:v>1444.2397954860182</c:v>
                </c:pt>
                <c:pt idx="62">
                  <c:v>1444.7394620273274</c:v>
                </c:pt>
                <c:pt idx="63">
                  <c:v>1445.0050082192149</c:v>
                </c:pt>
                <c:pt idx="64">
                  <c:v>1445.2575846546533</c:v>
                </c:pt>
                <c:pt idx="65">
                  <c:v>1445.303286308967</c:v>
                </c:pt>
                <c:pt idx="66">
                  <c:v>1445.3376132316137</c:v>
                </c:pt>
                <c:pt idx="67">
                  <c:v>1445.3626883703648</c:v>
                </c:pt>
                <c:pt idx="68">
                  <c:v>1445.3803928682348</c:v>
                </c:pt>
                <c:pt idx="69">
                  <c:v>1445.3923564335093</c:v>
                </c:pt>
                <c:pt idx="70">
                  <c:v>1445.3999797868819</c:v>
                </c:pt>
                <c:pt idx="71">
                  <c:v>1445.4044536648385</c:v>
                </c:pt>
                <c:pt idx="72">
                  <c:v>1445.4067743038265</c:v>
                </c:pt>
                <c:pt idx="73">
                  <c:v>1445.4077549037452</c:v>
                </c:pt>
                <c:pt idx="74">
                  <c:v>1445.4080315031933</c:v>
                </c:pt>
                <c:pt idx="75">
                  <c:v>1445.4080575980195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B47-415E-A4F7-AB0F6397766B}"/>
            </c:ext>
          </c:extLst>
        </c:ser>
        <c:ser>
          <c:idx val="6"/>
          <c:order val="6"/>
          <c:tx>
            <c:v>P_M_Nominal_180</c:v>
          </c:tx>
          <c:spPr>
            <a:ln w="19050" cap="rnd">
              <a:solidFill>
                <a:schemeClr val="accent6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circle_section!$BW$2:$BW$77</c:f>
              <c:numCache>
                <c:formatCode>General</c:formatCode>
                <c:ptCount val="76"/>
                <c:pt idx="0">
                  <c:v>-5.9548006165698476E-4</c:v>
                </c:pt>
                <c:pt idx="1">
                  <c:v>-19.418352104231833</c:v>
                </c:pt>
                <c:pt idx="2">
                  <c:v>-65.917539792372523</c:v>
                </c:pt>
                <c:pt idx="3">
                  <c:v>-128.76868228644105</c:v>
                </c:pt>
                <c:pt idx="4">
                  <c:v>-200.57393169426294</c:v>
                </c:pt>
                <c:pt idx="5">
                  <c:v>-260.49696949750165</c:v>
                </c:pt>
                <c:pt idx="6">
                  <c:v>-311.73232185297763</c:v>
                </c:pt>
                <c:pt idx="7">
                  <c:v>-360.55251088995374</c:v>
                </c:pt>
                <c:pt idx="8">
                  <c:v>-403.19119688691131</c:v>
                </c:pt>
                <c:pt idx="9">
                  <c:v>-439.35947909582217</c:v>
                </c:pt>
                <c:pt idx="10">
                  <c:v>-464.51048006892489</c:v>
                </c:pt>
                <c:pt idx="11">
                  <c:v>-482.57091184356221</c:v>
                </c:pt>
                <c:pt idx="12">
                  <c:v>-491.72833066564334</c:v>
                </c:pt>
                <c:pt idx="13">
                  <c:v>-489.85408571455332</c:v>
                </c:pt>
                <c:pt idx="14">
                  <c:v>-484.31451744661427</c:v>
                </c:pt>
                <c:pt idx="15">
                  <c:v>-474.50092775345621</c:v>
                </c:pt>
                <c:pt idx="16">
                  <c:v>-459.3538567788928</c:v>
                </c:pt>
                <c:pt idx="17">
                  <c:v>-439.69957427945172</c:v>
                </c:pt>
                <c:pt idx="18">
                  <c:v>-415.98089989846602</c:v>
                </c:pt>
                <c:pt idx="19">
                  <c:v>-388.53426241247092</c:v>
                </c:pt>
                <c:pt idx="20">
                  <c:v>-358.88784329706556</c:v>
                </c:pt>
                <c:pt idx="21">
                  <c:v>-325.94210193620773</c:v>
                </c:pt>
                <c:pt idx="22">
                  <c:v>-291.64963340176166</c:v>
                </c:pt>
                <c:pt idx="23">
                  <c:v>-257.89920081608858</c:v>
                </c:pt>
                <c:pt idx="24">
                  <c:v>-227.89812044117843</c:v>
                </c:pt>
                <c:pt idx="25">
                  <c:v>-203.7802094110821</c:v>
                </c:pt>
                <c:pt idx="26">
                  <c:v>-181.30487836647674</c:v>
                </c:pt>
                <c:pt idx="27">
                  <c:v>-161.6347791624066</c:v>
                </c:pt>
                <c:pt idx="28">
                  <c:v>-144.35601534340358</c:v>
                </c:pt>
                <c:pt idx="29">
                  <c:v>-129.12652355611377</c:v>
                </c:pt>
                <c:pt idx="30">
                  <c:v>-115.6617176758472</c:v>
                </c:pt>
                <c:pt idx="31">
                  <c:v>-103.72335881473532</c:v>
                </c:pt>
                <c:pt idx="32">
                  <c:v>-93.09872986737237</c:v>
                </c:pt>
                <c:pt idx="33">
                  <c:v>-83.512066362824996</c:v>
                </c:pt>
                <c:pt idx="34">
                  <c:v>-74.94441061739947</c:v>
                </c:pt>
                <c:pt idx="35">
                  <c:v>-67.271583896214111</c:v>
                </c:pt>
                <c:pt idx="36">
                  <c:v>-60.386956329318501</c:v>
                </c:pt>
                <c:pt idx="37">
                  <c:v>-54.198555590603597</c:v>
                </c:pt>
                <c:pt idx="38">
                  <c:v>-48.626736301342653</c:v>
                </c:pt>
                <c:pt idx="39">
                  <c:v>-43.602268710918366</c:v>
                </c:pt>
                <c:pt idx="40">
                  <c:v>-39.064762919111281</c:v>
                </c:pt>
                <c:pt idx="41">
                  <c:v>-34.961363216977972</c:v>
                </c:pt>
                <c:pt idx="42">
                  <c:v>-31.245661098942424</c:v>
                </c:pt>
                <c:pt idx="43">
                  <c:v>-27.876786239703307</c:v>
                </c:pt>
                <c:pt idx="44">
                  <c:v>-24.818643039813793</c:v>
                </c:pt>
                <c:pt idx="45">
                  <c:v>-22.039266814282836</c:v>
                </c:pt>
                <c:pt idx="46">
                  <c:v>-19.510278767052551</c:v>
                </c:pt>
                <c:pt idx="47">
                  <c:v>-17.206422887324802</c:v>
                </c:pt>
                <c:pt idx="48">
                  <c:v>-15.105171066955629</c:v>
                </c:pt>
                <c:pt idx="49">
                  <c:v>-13.186385257052216</c:v>
                </c:pt>
                <c:pt idx="50">
                  <c:v>-11.432027497869335</c:v>
                </c:pt>
                <c:pt idx="51">
                  <c:v>-9.8521656601774268</c:v>
                </c:pt>
                <c:pt idx="52">
                  <c:v>-8.6177516370408735</c:v>
                </c:pt>
                <c:pt idx="53">
                  <c:v>-7.4951086867422374</c:v>
                </c:pt>
                <c:pt idx="54">
                  <c:v>-6.4729930118690637</c:v>
                </c:pt>
                <c:pt idx="55">
                  <c:v>-5.5411677278990261</c:v>
                </c:pt>
                <c:pt idx="56">
                  <c:v>-4.6903880281011858</c:v>
                </c:pt>
                <c:pt idx="57">
                  <c:v>-3.9122962263555014</c:v>
                </c:pt>
                <c:pt idx="58">
                  <c:v>-3.1993298733050177</c:v>
                </c:pt>
                <c:pt idx="59">
                  <c:v>-2.5446411694613276</c:v>
                </c:pt>
                <c:pt idx="60">
                  <c:v>-1.9420261714752562</c:v>
                </c:pt>
                <c:pt idx="61">
                  <c:v>-1.3858625165151495</c:v>
                </c:pt>
                <c:pt idx="62">
                  <c:v>-0.83508497484310407</c:v>
                </c:pt>
                <c:pt idx="63">
                  <c:v>-0.51265115620728152</c:v>
                </c:pt>
                <c:pt idx="64">
                  <c:v>-0.20908442396051294</c:v>
                </c:pt>
                <c:pt idx="65">
                  <c:v>-0.14698072055788666</c:v>
                </c:pt>
                <c:pt idx="66">
                  <c:v>-9.9771892363729867E-2</c:v>
                </c:pt>
                <c:pt idx="67">
                  <c:v>-6.4868774603640572E-2</c:v>
                </c:pt>
                <c:pt idx="68">
                  <c:v>-3.9928410101229037E-2</c:v>
                </c:pt>
                <c:pt idx="69">
                  <c:v>-2.2873784960885948E-2</c:v>
                </c:pt>
                <c:pt idx="70">
                  <c:v>-1.1877366267336792E-2</c:v>
                </c:pt>
                <c:pt idx="71">
                  <c:v>-5.3480265316592493E-3</c:v>
                </c:pt>
                <c:pt idx="72">
                  <c:v>-1.921780951093486E-3</c:v>
                </c:pt>
                <c:pt idx="73">
                  <c:v>-4.5741829587321565E-4</c:v>
                </c:pt>
                <c:pt idx="74">
                  <c:v>-3.978932916836205E-5</c:v>
                </c:pt>
                <c:pt idx="75">
                  <c:v>-2.3802887059599913E-14</c:v>
                </c:pt>
              </c:numCache>
            </c:numRef>
          </c:xVal>
          <c:yVal>
            <c:numRef>
              <c:f>circle_section!$BT$2:$BT$77</c:f>
              <c:numCache>
                <c:formatCode>General</c:formatCode>
                <c:ptCount val="76"/>
                <c:pt idx="0">
                  <c:v>-323.99957118435776</c:v>
                </c:pt>
                <c:pt idx="1">
                  <c:v>-303.71126449609488</c:v>
                </c:pt>
                <c:pt idx="2">
                  <c:v>-248.9279734795083</c:v>
                </c:pt>
                <c:pt idx="3">
                  <c:v>-167.29884905036442</c:v>
                </c:pt>
                <c:pt idx="4">
                  <c:v>-62.746708554425709</c:v>
                </c:pt>
                <c:pt idx="5">
                  <c:v>28.104522348947597</c:v>
                </c:pt>
                <c:pt idx="6">
                  <c:v>115.00117419465511</c:v>
                </c:pt>
                <c:pt idx="7">
                  <c:v>222.14957031353973</c:v>
                </c:pt>
                <c:pt idx="8">
                  <c:v>323.19467804864246</c:v>
                </c:pt>
                <c:pt idx="9">
                  <c:v>419.94282321832668</c:v>
                </c:pt>
                <c:pt idx="10">
                  <c:v>525.03969381238153</c:v>
                </c:pt>
                <c:pt idx="11">
                  <c:v>632.29403025542274</c:v>
                </c:pt>
                <c:pt idx="12">
                  <c:v>741.56575053897484</c:v>
                </c:pt>
                <c:pt idx="13">
                  <c:v>852.64245795189424</c:v>
                </c:pt>
                <c:pt idx="14">
                  <c:v>961.69730610348233</c:v>
                </c:pt>
                <c:pt idx="15">
                  <c:v>1066.9565764221368</c:v>
                </c:pt>
                <c:pt idx="16">
                  <c:v>1167.0731740225635</c:v>
                </c:pt>
                <c:pt idx="17">
                  <c:v>1263.4634925129512</c:v>
                </c:pt>
                <c:pt idx="18">
                  <c:v>1356.4794649079299</c:v>
                </c:pt>
                <c:pt idx="19">
                  <c:v>1445.8830971242287</c:v>
                </c:pt>
                <c:pt idx="20">
                  <c:v>1528.690181392036</c:v>
                </c:pt>
                <c:pt idx="21">
                  <c:v>1609.2422609228445</c:v>
                </c:pt>
                <c:pt idx="22">
                  <c:v>1684.5758896468351</c:v>
                </c:pt>
                <c:pt idx="23">
                  <c:v>1753.2849850044099</c:v>
                </c:pt>
                <c:pt idx="24">
                  <c:v>1812.9313200004676</c:v>
                </c:pt>
                <c:pt idx="25">
                  <c:v>1861.549282453288</c:v>
                </c:pt>
                <c:pt idx="26">
                  <c:v>1905.5447955148404</c:v>
                </c:pt>
                <c:pt idx="27">
                  <c:v>1943.7113204459042</c:v>
                </c:pt>
                <c:pt idx="28">
                  <c:v>1976.9541701093515</c:v>
                </c:pt>
                <c:pt idx="29">
                  <c:v>2006.0165123172558</c:v>
                </c:pt>
                <c:pt idx="30">
                  <c:v>2031.5123878725765</c:v>
                </c:pt>
                <c:pt idx="31">
                  <c:v>2053.952215632919</c:v>
                </c:pt>
                <c:pt idx="32">
                  <c:v>2073.6714968417054</c:v>
                </c:pt>
                <c:pt idx="33">
                  <c:v>2090.2318626446931</c:v>
                </c:pt>
                <c:pt idx="34">
                  <c:v>2104.8802781440986</c:v>
                </c:pt>
                <c:pt idx="35">
                  <c:v>2117.868659360151</c:v>
                </c:pt>
                <c:pt idx="36">
                  <c:v>2129.4116457132277</c:v>
                </c:pt>
                <c:pt idx="37">
                  <c:v>2139.692663022241</c:v>
                </c:pt>
                <c:pt idx="38">
                  <c:v>2148.8690504379088</c:v>
                </c:pt>
                <c:pt idx="39">
                  <c:v>2157.0762457618912</c:v>
                </c:pt>
                <c:pt idx="40">
                  <c:v>2164.4312200019594</c:v>
                </c:pt>
                <c:pt idx="41">
                  <c:v>2171.0353098122891</c:v>
                </c:pt>
                <c:pt idx="42">
                  <c:v>2176.9765643477745</c:v>
                </c:pt>
                <c:pt idx="43">
                  <c:v>2182.3316984418439</c:v>
                </c:pt>
                <c:pt idx="44">
                  <c:v>2187.1677250211424</c:v>
                </c:pt>
                <c:pt idx="45">
                  <c:v>2191.543324920292</c:v>
                </c:pt>
                <c:pt idx="46">
                  <c:v>2195.51000073775</c:v>
                </c:pt>
                <c:pt idx="47">
                  <c:v>2199.1130523215024</c:v>
                </c:pt>
                <c:pt idx="48">
                  <c:v>2202.3924043226193</c:v>
                </c:pt>
                <c:pt idx="49">
                  <c:v>2205.3833105766112</c:v>
                </c:pt>
                <c:pt idx="50">
                  <c:v>2208.116955541348</c:v>
                </c:pt>
                <c:pt idx="51">
                  <c:v>2210.5523838969543</c:v>
                </c:pt>
                <c:pt idx="52">
                  <c:v>2212.229530738477</c:v>
                </c:pt>
                <c:pt idx="53">
                  <c:v>2213.7463726474339</c:v>
                </c:pt>
                <c:pt idx="54">
                  <c:v>2215.1207951001634</c:v>
                </c:pt>
                <c:pt idx="55">
                  <c:v>2216.3689280196559</c:v>
                </c:pt>
                <c:pt idx="56">
                  <c:v>2217.5051104190047</c:v>
                </c:pt>
                <c:pt idx="57">
                  <c:v>2218.5420986714998</c:v>
                </c:pt>
                <c:pt idx="58">
                  <c:v>2219.4912478495994</c:v>
                </c:pt>
                <c:pt idx="59">
                  <c:v>2220.3626699296506</c:v>
                </c:pt>
                <c:pt idx="60">
                  <c:v>2221.1653720690979</c:v>
                </c:pt>
                <c:pt idx="61">
                  <c:v>2221.9073776707974</c:v>
                </c:pt>
                <c:pt idx="62">
                  <c:v>2222.6760954266574</c:v>
                </c:pt>
                <c:pt idx="63">
                  <c:v>2223.0846280295614</c:v>
                </c:pt>
                <c:pt idx="64">
                  <c:v>2223.4732071610051</c:v>
                </c:pt>
                <c:pt idx="65">
                  <c:v>2223.5435173984106</c:v>
                </c:pt>
                <c:pt idx="66">
                  <c:v>2223.5963280486362</c:v>
                </c:pt>
                <c:pt idx="67">
                  <c:v>2223.6349051851766</c:v>
                </c:pt>
                <c:pt idx="68">
                  <c:v>2223.6621428742073</c:v>
                </c:pt>
                <c:pt idx="69">
                  <c:v>2223.6805483592452</c:v>
                </c:pt>
                <c:pt idx="70">
                  <c:v>2223.6922765952027</c:v>
                </c:pt>
                <c:pt idx="71">
                  <c:v>2223.6991594843666</c:v>
                </c:pt>
                <c:pt idx="72">
                  <c:v>2223.7027296981946</c:v>
                </c:pt>
                <c:pt idx="73">
                  <c:v>2223.704238313454</c:v>
                </c:pt>
                <c:pt idx="74">
                  <c:v>2223.7046638510665</c:v>
                </c:pt>
                <c:pt idx="75">
                  <c:v>2223.704703996953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B47-415E-A4F7-AB0F6397766B}"/>
            </c:ext>
          </c:extLst>
        </c:ser>
        <c:ser>
          <c:idx val="7"/>
          <c:order val="7"/>
          <c:tx>
            <c:v>min_e_line_180</c:v>
          </c:tx>
          <c:spPr>
            <a:ln w="9525" cap="rnd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circle_section!$BS$104:$BS$105</c:f>
              <c:numCache>
                <c:formatCode>General</c:formatCode>
                <c:ptCount val="2"/>
                <c:pt idx="0">
                  <c:v>-159.26138739528514</c:v>
                </c:pt>
                <c:pt idx="1">
                  <c:v>0</c:v>
                </c:pt>
              </c:numCache>
            </c:numRef>
          </c:xVal>
          <c:yVal>
            <c:numRef>
              <c:f>circle_section!$BP$104:$BP$105</c:f>
              <c:numCache>
                <c:formatCode>General</c:formatCode>
                <c:ptCount val="2"/>
                <c:pt idx="0">
                  <c:v>1156.326446078416</c:v>
                </c:pt>
                <c:pt idx="1">
                  <c:v>1156.326446078416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B47-415E-A4F7-AB0F63977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531167"/>
        <c:axId val="1388578719"/>
      </c:scatterChart>
      <c:valAx>
        <c:axId val="11705311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8578719"/>
        <c:crosses val="autoZero"/>
        <c:crossBetween val="midCat"/>
      </c:valAx>
      <c:valAx>
        <c:axId val="1388578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053116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(Chart only Accurate if</a:t>
            </a:r>
            <a:r>
              <a:rPr lang="en-US" baseline="0"/>
              <a:t> the Compare Macro has been run)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P_M (PCA)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circle_section!$AY$2:$AY$102</c:f>
              <c:numCache>
                <c:formatCode>General</c:formatCode>
                <c:ptCount val="101"/>
                <c:pt idx="0">
                  <c:v>5.3593205545078527E-4</c:v>
                </c:pt>
                <c:pt idx="1">
                  <c:v>17.476516893808597</c:v>
                </c:pt>
                <c:pt idx="2">
                  <c:v>52.636012656764166</c:v>
                </c:pt>
                <c:pt idx="3">
                  <c:v>122.85669859031573</c:v>
                </c:pt>
                <c:pt idx="4">
                  <c:v>177.10025687929931</c:v>
                </c:pt>
                <c:pt idx="5">
                  <c:v>231.86799144423384</c:v>
                </c:pt>
                <c:pt idx="6">
                  <c:v>282.37884392726858</c:v>
                </c:pt>
                <c:pt idx="7">
                  <c:v>326.46177908987244</c:v>
                </c:pt>
                <c:pt idx="8">
                  <c:v>349.20966417787599</c:v>
                </c:pt>
                <c:pt idx="9">
                  <c:v>347.21330419400158</c:v>
                </c:pt>
                <c:pt idx="10">
                  <c:v>343.69306514645166</c:v>
                </c:pt>
                <c:pt idx="11">
                  <c:v>335.40134110700905</c:v>
                </c:pt>
                <c:pt idx="12">
                  <c:v>321.20454669415074</c:v>
                </c:pt>
                <c:pt idx="13">
                  <c:v>317.94372687986828</c:v>
                </c:pt>
                <c:pt idx="14">
                  <c:v>313.87339815276522</c:v>
                </c:pt>
                <c:pt idx="15">
                  <c:v>307.08519043758469</c:v>
                </c:pt>
                <c:pt idx="16">
                  <c:v>297.48406361893024</c:v>
                </c:pt>
                <c:pt idx="17">
                  <c:v>285.33398447491732</c:v>
                </c:pt>
                <c:pt idx="18">
                  <c:v>270.28419037939597</c:v>
                </c:pt>
                <c:pt idx="19">
                  <c:v>252.77053455296141</c:v>
                </c:pt>
                <c:pt idx="20">
                  <c:v>233.14120576150972</c:v>
                </c:pt>
                <c:pt idx="21">
                  <c:v>211.89764240142912</c:v>
                </c:pt>
                <c:pt idx="22">
                  <c:v>189.76848792925895</c:v>
                </c:pt>
                <c:pt idx="23">
                  <c:v>168.88723985913384</c:v>
                </c:pt>
                <c:pt idx="24">
                  <c:v>149.3202226949978</c:v>
                </c:pt>
                <c:pt idx="25">
                  <c:v>132.33317103589354</c:v>
                </c:pt>
                <c:pt idx="26">
                  <c:v>118.20654546928175</c:v>
                </c:pt>
                <c:pt idx="27">
                  <c:v>105.30470810266375</c:v>
                </c:pt>
                <c:pt idx="28">
                  <c:v>93.965280020394331</c:v>
                </c:pt>
                <c:pt idx="29">
                  <c:v>83.965114544905148</c:v>
                </c:pt>
                <c:pt idx="30">
                  <c:v>75.118529199800506</c:v>
                </c:pt>
                <c:pt idx="31">
                  <c:v>67.270054970780265</c:v>
                </c:pt>
                <c:pt idx="32">
                  <c:v>60.288765028386663</c:v>
                </c:pt>
                <c:pt idx="33">
                  <c:v>54.063802621637343</c:v>
                </c:pt>
                <c:pt idx="34">
                  <c:v>48.50082766812092</c:v>
                </c:pt>
                <c:pt idx="35">
                  <c:v>43.51917313351818</c:v>
                </c:pt>
                <c:pt idx="36">
                  <c:v>39.049554156086081</c:v>
                </c:pt>
                <c:pt idx="37">
                  <c:v>35.032210831749289</c:v>
                </c:pt>
                <c:pt idx="38">
                  <c:v>31.41539362149409</c:v>
                </c:pt>
                <c:pt idx="39">
                  <c:v>28.154121247540896</c:v>
                </c:pt>
                <c:pt idx="40">
                  <c:v>25.209156656699097</c:v>
                </c:pt>
                <c:pt idx="41">
                  <c:v>22.546158531383075</c:v>
                </c:pt>
                <c:pt idx="42">
                  <c:v>20.155234861787459</c:v>
                </c:pt>
                <c:pt idx="43">
                  <c:v>18.033966230797486</c:v>
                </c:pt>
                <c:pt idx="44">
                  <c:v>16.111645746005735</c:v>
                </c:pt>
                <c:pt idx="45">
                  <c:v>14.367702399817809</c:v>
                </c:pt>
                <c:pt idx="46">
                  <c:v>12.783868332870012</c:v>
                </c:pt>
                <c:pt idx="47">
                  <c:v>11.343890787069141</c:v>
                </c:pt>
                <c:pt idx="48">
                  <c:v>10.033276916138515</c:v>
                </c:pt>
                <c:pt idx="49">
                  <c:v>8.8390754956551305</c:v>
                </c:pt>
                <c:pt idx="50">
                  <c:v>7.7496895985902015</c:v>
                </c:pt>
                <c:pt idx="51">
                  <c:v>6.7547153524833128</c:v>
                </c:pt>
                <c:pt idx="52">
                  <c:v>5.8448027426741058</c:v>
                </c:pt>
                <c:pt idx="53">
                  <c:v>5.0115351142790026</c:v>
                </c:pt>
                <c:pt idx="54">
                  <c:v>4.247324586456827</c:v>
                </c:pt>
                <c:pt idx="55">
                  <c:v>3.545321051405693</c:v>
                </c:pt>
                <c:pt idx="56">
                  <c:v>2.8993328075580189</c:v>
                </c:pt>
                <c:pt idx="57">
                  <c:v>2.3037571874284164</c:v>
                </c:pt>
                <c:pt idx="58">
                  <c:v>1.7662152119579353</c:v>
                </c:pt>
                <c:pt idx="59">
                  <c:v>1.3720062041293373</c:v>
                </c:pt>
                <c:pt idx="60">
                  <c:v>1.1028277987006823</c:v>
                </c:pt>
                <c:pt idx="61">
                  <c:v>0.85992724921400165</c:v>
                </c:pt>
                <c:pt idx="62">
                  <c:v>0.64020067035445938</c:v>
                </c:pt>
                <c:pt idx="63">
                  <c:v>0.44081785178844918</c:v>
                </c:pt>
                <c:pt idx="64">
                  <c:v>0.25922153594798336</c:v>
                </c:pt>
                <c:pt idx="65">
                  <c:v>9.5452997869509851E-2</c:v>
                </c:pt>
                <c:pt idx="66">
                  <c:v>6.4849246166904281E-2</c:v>
                </c:pt>
                <c:pt idx="67">
                  <c:v>4.2164703492398703E-2</c:v>
                </c:pt>
                <c:pt idx="68">
                  <c:v>2.5953466565831203E-2</c:v>
                </c:pt>
                <c:pt idx="69">
                  <c:v>1.4867960224605119E-2</c:v>
                </c:pt>
                <c:pt idx="70">
                  <c:v>7.7202880738012451E-3</c:v>
                </c:pt>
                <c:pt idx="71">
                  <c:v>3.4762172456062235E-3</c:v>
                </c:pt>
                <c:pt idx="72">
                  <c:v>1.2491576182369376E-3</c:v>
                </c:pt>
                <c:pt idx="73">
                  <c:v>2.9732189235299886E-4</c:v>
                </c:pt>
                <c:pt idx="74">
                  <c:v>2.5863063988686009E-5</c:v>
                </c:pt>
                <c:pt idx="75">
                  <c:v>1.7212236795847759E-14</c:v>
                </c:pt>
              </c:numCache>
            </c:numRef>
          </c:xVal>
          <c:yVal>
            <c:numRef>
              <c:f>circle_section!$AV$2:$AV$102</c:f>
              <c:numCache>
                <c:formatCode>General</c:formatCode>
                <c:ptCount val="101"/>
                <c:pt idx="0">
                  <c:v>-291.59961406592197</c:v>
                </c:pt>
                <c:pt idx="1">
                  <c:v>-273.34013804648538</c:v>
                </c:pt>
                <c:pt idx="2">
                  <c:v>-232.27294456846911</c:v>
                </c:pt>
                <c:pt idx="3">
                  <c:v>-140.49472735738752</c:v>
                </c:pt>
                <c:pt idx="4">
                  <c:v>-67.091584708738026</c:v>
                </c:pt>
                <c:pt idx="5">
                  <c:v>24.430066634467263</c:v>
                </c:pt>
                <c:pt idx="6">
                  <c:v>114.03080633136534</c:v>
                </c:pt>
                <c:pt idx="7">
                  <c:v>198.39086623963101</c:v>
                </c:pt>
                <c:pt idx="8">
                  <c:v>275.31138258514727</c:v>
                </c:pt>
                <c:pt idx="9">
                  <c:v>336.70401849707412</c:v>
                </c:pt>
                <c:pt idx="10">
                  <c:v>388.876728046197</c:v>
                </c:pt>
                <c:pt idx="11">
                  <c:v>435.58348334126401</c:v>
                </c:pt>
                <c:pt idx="12">
                  <c:v>483.42173025462063</c:v>
                </c:pt>
                <c:pt idx="13">
                  <c:v>554.0152161165513</c:v>
                </c:pt>
                <c:pt idx="14">
                  <c:v>624.42632446080529</c:v>
                </c:pt>
                <c:pt idx="15">
                  <c:v>692.40991660165776</c:v>
                </c:pt>
                <c:pt idx="16">
                  <c:v>758.1177725133831</c:v>
                </c:pt>
                <c:pt idx="17">
                  <c:v>819.70225637040278</c:v>
                </c:pt>
                <c:pt idx="18">
                  <c:v>880.62874382249186</c:v>
                </c:pt>
                <c:pt idx="19">
                  <c:v>939.17292348705746</c:v>
                </c:pt>
                <c:pt idx="20">
                  <c:v>995.10002646514772</c:v>
                </c:pt>
                <c:pt idx="21">
                  <c:v>1048.0714190254682</c:v>
                </c:pt>
                <c:pt idx="22">
                  <c:v>1097.586343430436</c:v>
                </c:pt>
                <c:pt idx="23">
                  <c:v>1140.764289440586</c:v>
                </c:pt>
                <c:pt idx="24">
                  <c:v>1178.902834125133</c:v>
                </c:pt>
                <c:pt idx="25">
                  <c:v>1211.6586743177252</c:v>
                </c:pt>
                <c:pt idx="26">
                  <c:v>1239.0257837089682</c:v>
                </c:pt>
                <c:pt idx="27">
                  <c:v>1263.4289677625459</c:v>
                </c:pt>
                <c:pt idx="28">
                  <c:v>1284.6598459148599</c:v>
                </c:pt>
                <c:pt idx="29">
                  <c:v>1303.1986569599871</c:v>
                </c:pt>
                <c:pt idx="30">
                  <c:v>1319.442072237548</c:v>
                </c:pt>
                <c:pt idx="31">
                  <c:v>1333.7197167437432</c:v>
                </c:pt>
                <c:pt idx="32">
                  <c:v>1346.3070400445702</c:v>
                </c:pt>
                <c:pt idx="33">
                  <c:v>1357.4354248966029</c:v>
                </c:pt>
                <c:pt idx="34">
                  <c:v>1367.3001866162774</c:v>
                </c:pt>
                <c:pt idx="35">
                  <c:v>1376.0669482484923</c:v>
                </c:pt>
                <c:pt idx="36">
                  <c:v>1383.8767551431699</c:v>
                </c:pt>
                <c:pt idx="37">
                  <c:v>1390.8502038772619</c:v>
                </c:pt>
                <c:pt idx="38">
                  <c:v>1397.0907951076524</c:v>
                </c:pt>
                <c:pt idx="39">
                  <c:v>1402.6876713492125</c:v>
                </c:pt>
                <c:pt idx="40">
                  <c:v>1407.7178642422768</c:v>
                </c:pt>
                <c:pt idx="41">
                  <c:v>1412.2481483466559</c:v>
                </c:pt>
                <c:pt idx="42">
                  <c:v>1416.184189102617</c:v>
                </c:pt>
                <c:pt idx="43">
                  <c:v>1419.3950717229993</c:v>
                </c:pt>
                <c:pt idx="44">
                  <c:v>1422.2804802554324</c:v>
                </c:pt>
                <c:pt idx="45">
                  <c:v>1424.877708109372</c:v>
                </c:pt>
                <c:pt idx="46">
                  <c:v>1427.2195319082343</c:v>
                </c:pt>
                <c:pt idx="47">
                  <c:v>1429.3347540994951</c:v>
                </c:pt>
                <c:pt idx="48">
                  <c:v>1431.2487350640026</c:v>
                </c:pt>
                <c:pt idx="49">
                  <c:v>1432.9838458495522</c:v>
                </c:pt>
                <c:pt idx="50">
                  <c:v>1434.5598545846462</c:v>
                </c:pt>
                <c:pt idx="51">
                  <c:v>1435.9942572808329</c:v>
                </c:pt>
                <c:pt idx="52">
                  <c:v>1437.3025618414511</c:v>
                </c:pt>
                <c:pt idx="53">
                  <c:v>1438.4985325654782</c:v>
                </c:pt>
                <c:pt idx="54">
                  <c:v>1439.5944011930824</c:v>
                </c:pt>
                <c:pt idx="55">
                  <c:v>1440.6010495264748</c:v>
                </c:pt>
                <c:pt idx="56">
                  <c:v>1441.5281678302883</c:v>
                </c:pt>
                <c:pt idx="57">
                  <c:v>1442.3843925340209</c:v>
                </c:pt>
                <c:pt idx="58">
                  <c:v>1443.159428022811</c:v>
                </c:pt>
                <c:pt idx="59">
                  <c:v>1443.6959250222149</c:v>
                </c:pt>
                <c:pt idx="60">
                  <c:v>1444.03505644804</c:v>
                </c:pt>
                <c:pt idx="61">
                  <c:v>1444.3405760111721</c:v>
                </c:pt>
                <c:pt idx="62">
                  <c:v>1444.6168125352056</c:v>
                </c:pt>
                <c:pt idx="63">
                  <c:v>1444.8676461683065</c:v>
                </c:pt>
                <c:pt idx="64">
                  <c:v>1445.096515845167</c:v>
                </c:pt>
                <c:pt idx="65">
                  <c:v>1445.3033966377745</c:v>
                </c:pt>
                <c:pt idx="66">
                  <c:v>1445.3376164758513</c:v>
                </c:pt>
                <c:pt idx="67">
                  <c:v>1445.3626883703648</c:v>
                </c:pt>
                <c:pt idx="68">
                  <c:v>1445.3803928682348</c:v>
                </c:pt>
                <c:pt idx="69">
                  <c:v>1445.3923564335093</c:v>
                </c:pt>
                <c:pt idx="70">
                  <c:v>1445.3999797868819</c:v>
                </c:pt>
                <c:pt idx="71">
                  <c:v>1445.4044536648385</c:v>
                </c:pt>
                <c:pt idx="72">
                  <c:v>1445.4067743038265</c:v>
                </c:pt>
                <c:pt idx="73">
                  <c:v>1445.4077549037452</c:v>
                </c:pt>
                <c:pt idx="74">
                  <c:v>1445.4080315031933</c:v>
                </c:pt>
                <c:pt idx="75">
                  <c:v>1445.4080575980195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40-444F-AC6A-F5609F267C14}"/>
            </c:ext>
          </c:extLst>
        </c:ser>
        <c:ser>
          <c:idx val="1"/>
          <c:order val="1"/>
          <c:tx>
            <c:v>P_M_Nominal (PCA)</c:v>
          </c:tx>
          <c:spPr>
            <a:ln w="22225" cap="rnd">
              <a:solidFill>
                <a:schemeClr val="accent6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circle_section!$BC$2:$BC$102</c:f>
              <c:numCache>
                <c:formatCode>General</c:formatCode>
                <c:ptCount val="101"/>
                <c:pt idx="0">
                  <c:v>5.9548006161198365E-4</c:v>
                </c:pt>
                <c:pt idx="1">
                  <c:v>19.418352104231776</c:v>
                </c:pt>
                <c:pt idx="2">
                  <c:v>58.48445850751574</c:v>
                </c:pt>
                <c:pt idx="3">
                  <c:v>136.50744287812859</c:v>
                </c:pt>
                <c:pt idx="4">
                  <c:v>196.77806319922144</c:v>
                </c:pt>
                <c:pt idx="5">
                  <c:v>257.63110160470427</c:v>
                </c:pt>
                <c:pt idx="6">
                  <c:v>313.75427103029841</c:v>
                </c:pt>
                <c:pt idx="7">
                  <c:v>362.73531009985828</c:v>
                </c:pt>
                <c:pt idx="8">
                  <c:v>404.42507917333046</c:v>
                </c:pt>
                <c:pt idx="9">
                  <c:v>437.59183895693332</c:v>
                </c:pt>
                <c:pt idx="10">
                  <c:v>466.0522199500063</c:v>
                </c:pt>
                <c:pt idx="11">
                  <c:v>484.94278534953378</c:v>
                </c:pt>
                <c:pt idx="12">
                  <c:v>491.55760842926998</c:v>
                </c:pt>
                <c:pt idx="13">
                  <c:v>489.14419519979731</c:v>
                </c:pt>
                <c:pt idx="14">
                  <c:v>482.88215100425418</c:v>
                </c:pt>
                <c:pt idx="15">
                  <c:v>472.43875451936105</c:v>
                </c:pt>
                <c:pt idx="16">
                  <c:v>457.66779018296955</c:v>
                </c:pt>
                <c:pt idx="17">
                  <c:v>438.97536073064202</c:v>
                </c:pt>
                <c:pt idx="18">
                  <c:v>415.82183135291683</c:v>
                </c:pt>
                <c:pt idx="19">
                  <c:v>388.87774546609444</c:v>
                </c:pt>
                <c:pt idx="20">
                  <c:v>358.67877809463033</c:v>
                </c:pt>
                <c:pt idx="21">
                  <c:v>325.99637292527558</c:v>
                </c:pt>
                <c:pt idx="22">
                  <c:v>291.95151989116761</c:v>
                </c:pt>
                <c:pt idx="23">
                  <c:v>259.8265228602059</c:v>
                </c:pt>
                <c:pt idx="24">
                  <c:v>229.72341953076582</c:v>
                </c:pt>
                <c:pt idx="25">
                  <c:v>203.58949390137468</c:v>
                </c:pt>
                <c:pt idx="26">
                  <c:v>181.856223798895</c:v>
                </c:pt>
                <c:pt idx="27">
                  <c:v>162.0072432348673</c:v>
                </c:pt>
                <c:pt idx="28">
                  <c:v>144.56196926214511</c:v>
                </c:pt>
                <c:pt idx="29">
                  <c:v>129.17709929985406</c:v>
                </c:pt>
                <c:pt idx="30">
                  <c:v>115.56696799969308</c:v>
                </c:pt>
                <c:pt idx="31">
                  <c:v>103.49239226273886</c:v>
                </c:pt>
                <c:pt idx="32">
                  <c:v>92.751946197517938</c:v>
                </c:pt>
                <c:pt idx="33">
                  <c:v>83.175080956365136</c:v>
                </c:pt>
                <c:pt idx="34">
                  <c:v>74.616657950955258</c:v>
                </c:pt>
                <c:pt idx="35">
                  <c:v>66.95257405156643</c:v>
                </c:pt>
                <c:pt idx="36">
                  <c:v>60.076237163209356</c:v>
                </c:pt>
                <c:pt idx="37">
                  <c:v>53.895708971921984</c:v>
                </c:pt>
                <c:pt idx="38">
                  <c:v>48.331374802298598</c:v>
                </c:pt>
                <c:pt idx="39">
                  <c:v>43.314032688524456</c:v>
                </c:pt>
                <c:pt idx="40">
                  <c:v>38.783317933383223</c:v>
                </c:pt>
                <c:pt idx="41">
                  <c:v>34.686397740589342</c:v>
                </c:pt>
                <c:pt idx="42">
                  <c:v>31.008053633519168</c:v>
                </c:pt>
                <c:pt idx="43">
                  <c:v>27.744563431996131</c:v>
                </c:pt>
                <c:pt idx="44">
                  <c:v>24.787147301547282</c:v>
                </c:pt>
                <c:pt idx="45">
                  <c:v>22.104157538181244</c:v>
                </c:pt>
                <c:pt idx="46">
                  <c:v>19.667489742876942</c:v>
                </c:pt>
                <c:pt idx="47">
                  <c:v>17.452139672414063</c:v>
                </c:pt>
                <c:pt idx="48">
                  <c:v>15.4358106402131</c:v>
                </c:pt>
                <c:pt idx="49">
                  <c:v>13.598577685623278</c:v>
                </c:pt>
                <c:pt idx="50">
                  <c:v>11.922599382446464</c:v>
                </c:pt>
                <c:pt idx="51">
                  <c:v>10.391869773051249</c:v>
                </c:pt>
                <c:pt idx="52">
                  <c:v>8.9920042194986234</c:v>
                </c:pt>
                <c:pt idx="53">
                  <c:v>7.7100540219676956</c:v>
                </c:pt>
                <c:pt idx="54">
                  <c:v>6.5343455176258871</c:v>
                </c:pt>
                <c:pt idx="55">
                  <c:v>5.4543400790856813</c:v>
                </c:pt>
                <c:pt idx="56">
                  <c:v>4.4605120116277215</c:v>
                </c:pt>
                <c:pt idx="57">
                  <c:v>3.5442418268129483</c:v>
                </c:pt>
                <c:pt idx="58">
                  <c:v>2.7172541722429773</c:v>
                </c:pt>
                <c:pt idx="59">
                  <c:v>2.1107787755835958</c:v>
                </c:pt>
                <c:pt idx="60">
                  <c:v>1.6966581518472035</c:v>
                </c:pt>
                <c:pt idx="61">
                  <c:v>1.3229649987907717</c:v>
                </c:pt>
                <c:pt idx="62">
                  <c:v>0.98492410823762977</c:v>
                </c:pt>
                <c:pt idx="63">
                  <c:v>0.67818131044376795</c:v>
                </c:pt>
                <c:pt idx="64">
                  <c:v>0.39880236299689747</c:v>
                </c:pt>
                <c:pt idx="65">
                  <c:v>0.14685076595309207</c:v>
                </c:pt>
                <c:pt idx="66">
                  <c:v>9.9768071026006586E-2</c:v>
                </c:pt>
                <c:pt idx="67">
                  <c:v>6.486877460369031E-2</c:v>
                </c:pt>
                <c:pt idx="68">
                  <c:v>3.9928410101278775E-2</c:v>
                </c:pt>
                <c:pt idx="69">
                  <c:v>2.2873784960930951E-2</c:v>
                </c:pt>
                <c:pt idx="70">
                  <c:v>1.187736626738653E-2</c:v>
                </c:pt>
                <c:pt idx="71">
                  <c:v>5.3480265317018818E-3</c:v>
                </c:pt>
                <c:pt idx="72">
                  <c:v>1.9217809511337502E-3</c:v>
                </c:pt>
                <c:pt idx="73">
                  <c:v>4.5741829592769052E-4</c:v>
                </c:pt>
                <c:pt idx="74">
                  <c:v>3.9789329213363088E-5</c:v>
                </c:pt>
                <c:pt idx="75">
                  <c:v>2.6480364301304244E-14</c:v>
                </c:pt>
              </c:numCache>
            </c:numRef>
          </c:xVal>
          <c:yVal>
            <c:numRef>
              <c:f>circle_section!$AZ$2:$AZ$102</c:f>
              <c:numCache>
                <c:formatCode>General</c:formatCode>
                <c:ptCount val="101"/>
                <c:pt idx="0">
                  <c:v>-323.99957118435776</c:v>
                </c:pt>
                <c:pt idx="1">
                  <c:v>-303.71126449609488</c:v>
                </c:pt>
                <c:pt idx="2">
                  <c:v>-258.08104952052122</c:v>
                </c:pt>
                <c:pt idx="3">
                  <c:v>-156.10525261931946</c:v>
                </c:pt>
                <c:pt idx="4">
                  <c:v>-74.54620523193114</c:v>
                </c:pt>
                <c:pt idx="5">
                  <c:v>27.144518482741404</c:v>
                </c:pt>
                <c:pt idx="6">
                  <c:v>126.70089592373927</c:v>
                </c:pt>
                <c:pt idx="7">
                  <c:v>220.43429582181221</c:v>
                </c:pt>
                <c:pt idx="8">
                  <c:v>318.8423434999865</c:v>
                </c:pt>
                <c:pt idx="9">
                  <c:v>424.34701913380593</c:v>
                </c:pt>
                <c:pt idx="10">
                  <c:v>527.32184839283218</c:v>
                </c:pt>
                <c:pt idx="11">
                  <c:v>629.79195899032311</c:v>
                </c:pt>
                <c:pt idx="12">
                  <c:v>739.80780170266598</c:v>
                </c:pt>
                <c:pt idx="13">
                  <c:v>852.33110171777116</c:v>
                </c:pt>
                <c:pt idx="14">
                  <c:v>960.65588378585426</c:v>
                </c:pt>
                <c:pt idx="15">
                  <c:v>1065.2460255410119</c:v>
                </c:pt>
                <c:pt idx="16">
                  <c:v>1166.3350346359739</c:v>
                </c:pt>
                <c:pt idx="17">
                  <c:v>1261.0803944160043</c:v>
                </c:pt>
                <c:pt idx="18">
                  <c:v>1354.8134520346027</c:v>
                </c:pt>
                <c:pt idx="19">
                  <c:v>1444.8814207493192</c:v>
                </c:pt>
                <c:pt idx="20">
                  <c:v>1530.9231176386888</c:v>
                </c:pt>
                <c:pt idx="21">
                  <c:v>1612.4175677314895</c:v>
                </c:pt>
                <c:pt idx="22">
                  <c:v>1688.594374508363</c:v>
                </c:pt>
                <c:pt idx="23">
                  <c:v>1755.0219837547477</c:v>
                </c:pt>
                <c:pt idx="24">
                  <c:v>1813.69666788482</c:v>
                </c:pt>
                <c:pt idx="25">
                  <c:v>1864.0902681811156</c:v>
                </c:pt>
                <c:pt idx="26">
                  <c:v>1906.1935133984125</c:v>
                </c:pt>
                <c:pt idx="27">
                  <c:v>1943.7368734808397</c:v>
                </c:pt>
                <c:pt idx="28">
                  <c:v>1976.3997629459384</c:v>
                </c:pt>
                <c:pt idx="29">
                  <c:v>2004.9210107076724</c:v>
                </c:pt>
                <c:pt idx="30">
                  <c:v>2029.9108803654585</c:v>
                </c:pt>
                <c:pt idx="31">
                  <c:v>2051.8764872980664</c:v>
                </c:pt>
                <c:pt idx="32">
                  <c:v>2071.2416000685694</c:v>
                </c:pt>
                <c:pt idx="33">
                  <c:v>2088.3621921486197</c:v>
                </c:pt>
                <c:pt idx="34">
                  <c:v>2103.5387486404265</c:v>
                </c:pt>
                <c:pt idx="35">
                  <c:v>2117.0260742284495</c:v>
                </c:pt>
                <c:pt idx="36">
                  <c:v>2129.0411617587229</c:v>
                </c:pt>
                <c:pt idx="37">
                  <c:v>2139.7695444265569</c:v>
                </c:pt>
                <c:pt idx="38">
                  <c:v>2149.3704540117728</c:v>
                </c:pt>
                <c:pt idx="39">
                  <c:v>2157.9810328449421</c:v>
                </c:pt>
                <c:pt idx="40">
                  <c:v>2165.7197911419644</c:v>
                </c:pt>
                <c:pt idx="41">
                  <c:v>2172.6894589948552</c:v>
                </c:pt>
                <c:pt idx="42">
                  <c:v>2178.7449063117183</c:v>
                </c:pt>
                <c:pt idx="43">
                  <c:v>2183.6847257276913</c:v>
                </c:pt>
                <c:pt idx="44">
                  <c:v>2188.1238157775883</c:v>
                </c:pt>
                <c:pt idx="45">
                  <c:v>2192.1195509374952</c:v>
                </c:pt>
                <c:pt idx="46">
                  <c:v>2195.7223567818987</c:v>
                </c:pt>
                <c:pt idx="47">
                  <c:v>2198.976544768454</c:v>
                </c:pt>
                <c:pt idx="48">
                  <c:v>2201.9211308676963</c:v>
                </c:pt>
                <c:pt idx="49">
                  <c:v>2204.590532076234</c:v>
                </c:pt>
                <c:pt idx="50">
                  <c:v>2207.0151608994556</c:v>
                </c:pt>
                <c:pt idx="51">
                  <c:v>2209.2219342782046</c:v>
                </c:pt>
                <c:pt idx="52">
                  <c:v>2211.2347105253093</c:v>
                </c:pt>
                <c:pt idx="53">
                  <c:v>2213.074665485351</c:v>
                </c:pt>
                <c:pt idx="54">
                  <c:v>2214.7606172201267</c:v>
                </c:pt>
                <c:pt idx="55">
                  <c:v>2216.3093069638071</c:v>
                </c:pt>
                <c:pt idx="56">
                  <c:v>2217.7356428158282</c:v>
                </c:pt>
                <c:pt idx="57">
                  <c:v>2219.0529115908012</c:v>
                </c:pt>
                <c:pt idx="58">
                  <c:v>2220.2452738812476</c:v>
                </c:pt>
                <c:pt idx="59">
                  <c:v>2221.0706538803306</c:v>
                </c:pt>
                <c:pt idx="60">
                  <c:v>2221.5923945354461</c:v>
                </c:pt>
                <c:pt idx="61">
                  <c:v>2222.0624246325724</c:v>
                </c:pt>
                <c:pt idx="62">
                  <c:v>2222.4874039003162</c:v>
                </c:pt>
                <c:pt idx="63">
                  <c:v>2222.8733017973946</c:v>
                </c:pt>
                <c:pt idx="64">
                  <c:v>2223.2254089925646</c:v>
                </c:pt>
                <c:pt idx="65">
                  <c:v>2223.5436871350375</c:v>
                </c:pt>
                <c:pt idx="66">
                  <c:v>2223.5963330397713</c:v>
                </c:pt>
                <c:pt idx="67">
                  <c:v>2223.6349051851766</c:v>
                </c:pt>
                <c:pt idx="68">
                  <c:v>2223.6621428742073</c:v>
                </c:pt>
                <c:pt idx="69">
                  <c:v>2223.6805483592452</c:v>
                </c:pt>
                <c:pt idx="70">
                  <c:v>2223.6922765952027</c:v>
                </c:pt>
                <c:pt idx="71">
                  <c:v>2223.6991594843666</c:v>
                </c:pt>
                <c:pt idx="72">
                  <c:v>2223.7027296981946</c:v>
                </c:pt>
                <c:pt idx="73">
                  <c:v>2223.704238313454</c:v>
                </c:pt>
                <c:pt idx="74">
                  <c:v>2223.7046638510665</c:v>
                </c:pt>
                <c:pt idx="75">
                  <c:v>2223.704703996953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40-444F-AC6A-F5609F267C14}"/>
            </c:ext>
          </c:extLst>
        </c:ser>
        <c:ser>
          <c:idx val="5"/>
          <c:order val="2"/>
          <c:tx>
            <c:v>P_M (Whitney)</c:v>
          </c:tx>
          <c:spPr>
            <a:ln w="2222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circle_section!$BI$2:$BI$102</c:f>
              <c:numCache>
                <c:formatCode>General</c:formatCode>
                <c:ptCount val="101"/>
                <c:pt idx="0">
                  <c:v>5.6531311668575059E-4</c:v>
                </c:pt>
                <c:pt idx="1">
                  <c:v>14.968466327142735</c:v>
                </c:pt>
                <c:pt idx="2">
                  <c:v>43.924611703590294</c:v>
                </c:pt>
                <c:pt idx="3">
                  <c:v>98.468563361765277</c:v>
                </c:pt>
                <c:pt idx="4">
                  <c:v>153.05416152813382</c:v>
                </c:pt>
                <c:pt idx="5">
                  <c:v>205.6824989208537</c:v>
                </c:pt>
                <c:pt idx="6">
                  <c:v>251.54914429229555</c:v>
                </c:pt>
                <c:pt idx="7">
                  <c:v>296.28687106947228</c:v>
                </c:pt>
                <c:pt idx="8">
                  <c:v>336.28415538103678</c:v>
                </c:pt>
                <c:pt idx="9">
                  <c:v>358.89982391286031</c:v>
                </c:pt>
                <c:pt idx="10">
                  <c:v>360.59510916493207</c:v>
                </c:pt>
                <c:pt idx="11">
                  <c:v>358.10090078905824</c:v>
                </c:pt>
                <c:pt idx="12">
                  <c:v>352.61689325634455</c:v>
                </c:pt>
                <c:pt idx="13">
                  <c:v>344.11081649649606</c:v>
                </c:pt>
                <c:pt idx="14">
                  <c:v>334.92002280209675</c:v>
                </c:pt>
                <c:pt idx="15">
                  <c:v>334.27717468567437</c:v>
                </c:pt>
                <c:pt idx="16">
                  <c:v>331.25392237591774</c:v>
                </c:pt>
                <c:pt idx="17">
                  <c:v>325.89662922884622</c:v>
                </c:pt>
                <c:pt idx="18">
                  <c:v>318.17888467360945</c:v>
                </c:pt>
                <c:pt idx="19">
                  <c:v>308.01083832137328</c:v>
                </c:pt>
                <c:pt idx="20">
                  <c:v>295.39371356058871</c:v>
                </c:pt>
                <c:pt idx="21">
                  <c:v>280.83649083486267</c:v>
                </c:pt>
                <c:pt idx="22">
                  <c:v>263.27653180095922</c:v>
                </c:pt>
                <c:pt idx="23">
                  <c:v>243.58320187950517</c:v>
                </c:pt>
                <c:pt idx="24">
                  <c:v>221.95258801856951</c:v>
                </c:pt>
                <c:pt idx="25">
                  <c:v>199.44598721893638</c:v>
                </c:pt>
                <c:pt idx="26">
                  <c:v>174.77082681307013</c:v>
                </c:pt>
                <c:pt idx="27">
                  <c:v>149.13151720156387</c:v>
                </c:pt>
                <c:pt idx="28">
                  <c:v>124.12107110154645</c:v>
                </c:pt>
                <c:pt idx="29">
                  <c:v>99.435154498001907</c:v>
                </c:pt>
                <c:pt idx="30">
                  <c:v>74.506460494980175</c:v>
                </c:pt>
                <c:pt idx="31">
                  <c:v>51.770470972106324</c:v>
                </c:pt>
                <c:pt idx="32">
                  <c:v>33.08526198690415</c:v>
                </c:pt>
                <c:pt idx="33">
                  <c:v>24.18385639854414</c:v>
                </c:pt>
                <c:pt idx="34">
                  <c:v>22.800516780807339</c:v>
                </c:pt>
                <c:pt idx="35">
                  <c:v>21.497979982664141</c:v>
                </c:pt>
                <c:pt idx="36">
                  <c:v>20.269928917674431</c:v>
                </c:pt>
                <c:pt idx="37">
                  <c:v>19.110859697645953</c:v>
                </c:pt>
                <c:pt idx="38">
                  <c:v>18.016025732689588</c:v>
                </c:pt>
                <c:pt idx="39">
                  <c:v>16.981414482975655</c:v>
                </c:pt>
                <c:pt idx="40">
                  <c:v>16.003764118013422</c:v>
                </c:pt>
                <c:pt idx="41">
                  <c:v>15.065632336301967</c:v>
                </c:pt>
                <c:pt idx="42">
                  <c:v>14.154499484596547</c:v>
                </c:pt>
                <c:pt idx="43">
                  <c:v>13.28585023227614</c:v>
                </c:pt>
                <c:pt idx="44">
                  <c:v>12.456827213406189</c:v>
                </c:pt>
                <c:pt idx="45">
                  <c:v>11.664844497540001</c:v>
                </c:pt>
                <c:pt idx="46">
                  <c:v>10.907567808210285</c:v>
                </c:pt>
                <c:pt idx="47">
                  <c:v>10.182904045680482</c:v>
                </c:pt>
                <c:pt idx="48">
                  <c:v>9.48900466259634</c:v>
                </c:pt>
                <c:pt idx="49">
                  <c:v>8.8242931203824728</c:v>
                </c:pt>
                <c:pt idx="50">
                  <c:v>8.1875400539794576</c:v>
                </c:pt>
                <c:pt idx="51">
                  <c:v>7.5780443717223784</c:v>
                </c:pt>
                <c:pt idx="52">
                  <c:v>6.9960776004880305</c:v>
                </c:pt>
                <c:pt idx="53">
                  <c:v>6.4711735496485803</c:v>
                </c:pt>
                <c:pt idx="54">
                  <c:v>5.970228426234657</c:v>
                </c:pt>
                <c:pt idx="55">
                  <c:v>5.486790469739768</c:v>
                </c:pt>
                <c:pt idx="56">
                  <c:v>5.0196428712749004</c:v>
                </c:pt>
                <c:pt idx="57">
                  <c:v>4.5674827476643678</c:v>
                </c:pt>
                <c:pt idx="58">
                  <c:v>4.1287686813063988</c:v>
                </c:pt>
                <c:pt idx="59">
                  <c:v>3.7013543716738444</c:v>
                </c:pt>
                <c:pt idx="60">
                  <c:v>3.2813910885769979</c:v>
                </c:pt>
                <c:pt idx="61">
                  <c:v>2.8584775724739959</c:v>
                </c:pt>
                <c:pt idx="62">
                  <c:v>2.5654875543252862</c:v>
                </c:pt>
                <c:pt idx="63">
                  <c:v>2.2827492082842675</c:v>
                </c:pt>
                <c:pt idx="64">
                  <c:v>2.0083262899534624</c:v>
                </c:pt>
                <c:pt idx="65">
                  <c:v>1.7415111090078386</c:v>
                </c:pt>
                <c:pt idx="66">
                  <c:v>1.481295143183992</c:v>
                </c:pt>
                <c:pt idx="67">
                  <c:v>1.2257525696084384</c:v>
                </c:pt>
                <c:pt idx="68">
                  <c:v>0.96900588150299605</c:v>
                </c:pt>
                <c:pt idx="69">
                  <c:v>0.63526447784379081</c:v>
                </c:pt>
                <c:pt idx="70">
                  <c:v>0.51101933512271547</c:v>
                </c:pt>
                <c:pt idx="71">
                  <c:v>0.39027400173116344</c:v>
                </c:pt>
                <c:pt idx="72">
                  <c:v>0.27288265455554161</c:v>
                </c:pt>
                <c:pt idx="73">
                  <c:v>0.15870746043432668</c:v>
                </c:pt>
                <c:pt idx="74">
                  <c:v>2.1010212571969374E-14</c:v>
                </c:pt>
                <c:pt idx="75">
                  <c:v>0</c:v>
                </c:pt>
              </c:numCache>
            </c:numRef>
          </c:xVal>
          <c:yVal>
            <c:numRef>
              <c:f>circle_section!$BF$2:$BF$102</c:f>
              <c:numCache>
                <c:formatCode>General</c:formatCode>
                <c:ptCount val="101"/>
                <c:pt idx="0">
                  <c:v>-291.59943466426995</c:v>
                </c:pt>
                <c:pt idx="1">
                  <c:v>-276.06307025568555</c:v>
                </c:pt>
                <c:pt idx="2">
                  <c:v>-243.35097091254278</c:v>
                </c:pt>
                <c:pt idx="3">
                  <c:v>-174.29145080767174</c:v>
                </c:pt>
                <c:pt idx="4">
                  <c:v>-101.47371063667923</c:v>
                </c:pt>
                <c:pt idx="5">
                  <c:v>-22.322617837747035</c:v>
                </c:pt>
                <c:pt idx="6">
                  <c:v>49.106787260972865</c:v>
                </c:pt>
                <c:pt idx="7">
                  <c:v>130.59354030016857</c:v>
                </c:pt>
                <c:pt idx="8">
                  <c:v>210.34161207207481</c:v>
                </c:pt>
                <c:pt idx="9">
                  <c:v>281.94855971637031</c:v>
                </c:pt>
                <c:pt idx="10">
                  <c:v>333.97429883909678</c:v>
                </c:pt>
                <c:pt idx="11">
                  <c:v>383.78906963113286</c:v>
                </c:pt>
                <c:pt idx="12">
                  <c:v>429.21894169648482</c:v>
                </c:pt>
                <c:pt idx="13">
                  <c:v>470.11921769271839</c:v>
                </c:pt>
                <c:pt idx="14">
                  <c:v>519.42687190015772</c:v>
                </c:pt>
                <c:pt idx="15">
                  <c:v>585.86234664956851</c:v>
                </c:pt>
                <c:pt idx="16">
                  <c:v>649.92660665434062</c:v>
                </c:pt>
                <c:pt idx="17">
                  <c:v>710.54031180899585</c:v>
                </c:pt>
                <c:pt idx="18">
                  <c:v>771.20065268846031</c:v>
                </c:pt>
                <c:pt idx="19">
                  <c:v>830.27998113665569</c:v>
                </c:pt>
                <c:pt idx="20">
                  <c:v>887.78584971419843</c:v>
                </c:pt>
                <c:pt idx="21">
                  <c:v>942.01323788390084</c:v>
                </c:pt>
                <c:pt idx="22">
                  <c:v>995.75232943907042</c:v>
                </c:pt>
                <c:pt idx="23">
                  <c:v>1047.7469150191882</c:v>
                </c:pt>
                <c:pt idx="24">
                  <c:v>1097.8529064606726</c:v>
                </c:pt>
                <c:pt idx="25">
                  <c:v>1144.2612784825428</c:v>
                </c:pt>
                <c:pt idx="26">
                  <c:v>1190.0179002542197</c:v>
                </c:pt>
                <c:pt idx="27">
                  <c:v>1233.2239545700893</c:v>
                </c:pt>
                <c:pt idx="28">
                  <c:v>1271.8657876131731</c:v>
                </c:pt>
                <c:pt idx="29">
                  <c:v>1307.234026756865</c:v>
                </c:pt>
                <c:pt idx="30">
                  <c:v>1340.3738056828568</c:v>
                </c:pt>
                <c:pt idx="31">
                  <c:v>1368.7977858585352</c:v>
                </c:pt>
                <c:pt idx="32">
                  <c:v>1390.7337663873377</c:v>
                </c:pt>
                <c:pt idx="33">
                  <c:v>1401.3991724766656</c:v>
                </c:pt>
                <c:pt idx="34">
                  <c:v>1404.2641746687138</c:v>
                </c:pt>
                <c:pt idx="35">
                  <c:v>1406.9685829997177</c:v>
                </c:pt>
                <c:pt idx="36">
                  <c:v>1409.5264439482055</c:v>
                </c:pt>
                <c:pt idx="37">
                  <c:v>1411.9504772912626</c:v>
                </c:pt>
                <c:pt idx="38">
                  <c:v>1414.252320813966</c:v>
                </c:pt>
                <c:pt idx="39">
                  <c:v>1416.4427681738609</c:v>
                </c:pt>
                <c:pt idx="40">
                  <c:v>1418.5320163947663</c:v>
                </c:pt>
                <c:pt idx="41">
                  <c:v>1420.3984244715941</c:v>
                </c:pt>
                <c:pt idx="42">
                  <c:v>1422.0050686220598</c:v>
                </c:pt>
                <c:pt idx="43">
                  <c:v>1423.538311074255</c:v>
                </c:pt>
                <c:pt idx="44">
                  <c:v>1425.00348761753</c:v>
                </c:pt>
                <c:pt idx="45">
                  <c:v>1426.4055773264845</c:v>
                </c:pt>
                <c:pt idx="46">
                  <c:v>1427.7492973472295</c:v>
                </c:pt>
                <c:pt idx="47">
                  <c:v>1429.0392202991552</c:v>
                </c:pt>
                <c:pt idx="48">
                  <c:v>1430.2799384677378</c:v>
                </c:pt>
                <c:pt idx="49">
                  <c:v>1431.4763225094093</c:v>
                </c:pt>
                <c:pt idx="50">
                  <c:v>1432.6339763328062</c:v>
                </c:pt>
                <c:pt idx="51">
                  <c:v>1433.760123101453</c:v>
                </c:pt>
                <c:pt idx="52">
                  <c:v>1434.8655182778248</c:v>
                </c:pt>
                <c:pt idx="53">
                  <c:v>1435.7074151880158</c:v>
                </c:pt>
                <c:pt idx="54">
                  <c:v>1436.481492965949</c:v>
                </c:pt>
                <c:pt idx="55">
                  <c:v>1437.2297870344</c:v>
                </c:pt>
                <c:pt idx="56">
                  <c:v>1437.954680094319</c:v>
                </c:pt>
                <c:pt idx="57">
                  <c:v>1438.6590438432497</c:v>
                </c:pt>
                <c:pt idx="58">
                  <c:v>1439.3468439271564</c:v>
                </c:pt>
                <c:pt idx="59">
                  <c:v>1440.0246588418115</c:v>
                </c:pt>
                <c:pt idx="60">
                  <c:v>1440.7064165160882</c:v>
                </c:pt>
                <c:pt idx="61">
                  <c:v>1441.4352756051685</c:v>
                </c:pt>
                <c:pt idx="62">
                  <c:v>1441.8446483602925</c:v>
                </c:pt>
                <c:pt idx="63">
                  <c:v>1442.2379997346795</c:v>
                </c:pt>
                <c:pt idx="64">
                  <c:v>1442.6199307027523</c:v>
                </c:pt>
                <c:pt idx="65">
                  <c:v>1442.9915183662931</c:v>
                </c:pt>
                <c:pt idx="66">
                  <c:v>1443.3543653485517</c:v>
                </c:pt>
                <c:pt idx="67">
                  <c:v>1443.7116714575366</c:v>
                </c:pt>
                <c:pt idx="68">
                  <c:v>1444.0735573002059</c:v>
                </c:pt>
                <c:pt idx="69">
                  <c:v>1444.5783244024688</c:v>
                </c:pt>
                <c:pt idx="70">
                  <c:v>1444.7406037725534</c:v>
                </c:pt>
                <c:pt idx="71">
                  <c:v>1444.8983119631055</c:v>
                </c:pt>
                <c:pt idx="72">
                  <c:v>1445.0516394369677</c:v>
                </c:pt>
                <c:pt idx="73">
                  <c:v>1445.2007662211261</c:v>
                </c:pt>
                <c:pt idx="74">
                  <c:v>1445.4080575980197</c:v>
                </c:pt>
                <c:pt idx="7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940-444F-AC6A-F5609F267C14}"/>
            </c:ext>
          </c:extLst>
        </c:ser>
        <c:ser>
          <c:idx val="6"/>
          <c:order val="3"/>
          <c:tx>
            <c:v>P_M_Nominal (Whitney)</c:v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circle_section!$BM$2:$BM$102</c:f>
              <c:numCache>
                <c:formatCode>General</c:formatCode>
                <c:ptCount val="101"/>
                <c:pt idx="0">
                  <c:v>6.2812568520638945E-4</c:v>
                </c:pt>
                <c:pt idx="1">
                  <c:v>16.631629252380819</c:v>
                </c:pt>
                <c:pt idx="2">
                  <c:v>48.805124115100327</c:v>
                </c:pt>
                <c:pt idx="3">
                  <c:v>109.40951484640587</c:v>
                </c:pt>
                <c:pt idx="4">
                  <c:v>170.06017947570425</c:v>
                </c:pt>
                <c:pt idx="5">
                  <c:v>228.53610991205966</c:v>
                </c:pt>
                <c:pt idx="6">
                  <c:v>279.49904921366169</c:v>
                </c:pt>
                <c:pt idx="7">
                  <c:v>329.20763452163584</c:v>
                </c:pt>
                <c:pt idx="8">
                  <c:v>373.64906153448533</c:v>
                </c:pt>
                <c:pt idx="9">
                  <c:v>411.97298318446019</c:v>
                </c:pt>
                <c:pt idx="10">
                  <c:v>446.75656310209558</c:v>
                </c:pt>
                <c:pt idx="11">
                  <c:v>474.11249494045427</c:v>
                </c:pt>
                <c:pt idx="12">
                  <c:v>495.3439968483558</c:v>
                </c:pt>
                <c:pt idx="13">
                  <c:v>509.9316555766693</c:v>
                </c:pt>
                <c:pt idx="14">
                  <c:v>515.26157354168731</c:v>
                </c:pt>
                <c:pt idx="15">
                  <c:v>514.27257643949895</c:v>
                </c:pt>
                <c:pt idx="16">
                  <c:v>509.62141903987344</c:v>
                </c:pt>
                <c:pt idx="17">
                  <c:v>501.37942958284037</c:v>
                </c:pt>
                <c:pt idx="18">
                  <c:v>489.50597642093766</c:v>
                </c:pt>
                <c:pt idx="19">
                  <c:v>473.86282818672811</c:v>
                </c:pt>
                <c:pt idx="20">
                  <c:v>454.45186701629024</c:v>
                </c:pt>
                <c:pt idx="21">
                  <c:v>432.05613974594257</c:v>
                </c:pt>
                <c:pt idx="22">
                  <c:v>405.0408181553218</c:v>
                </c:pt>
                <c:pt idx="23">
                  <c:v>374.74338750693107</c:v>
                </c:pt>
                <c:pt idx="24">
                  <c:v>341.46552002856845</c:v>
                </c:pt>
                <c:pt idx="25">
                  <c:v>306.83998033682519</c:v>
                </c:pt>
                <c:pt idx="26">
                  <c:v>268.87819509703093</c:v>
                </c:pt>
                <c:pt idx="27">
                  <c:v>229.4331033870213</c:v>
                </c:pt>
                <c:pt idx="28">
                  <c:v>190.95549400237914</c:v>
                </c:pt>
                <c:pt idx="29">
                  <c:v>152.97716076615677</c:v>
                </c:pt>
                <c:pt idx="30">
                  <c:v>114.62532383843103</c:v>
                </c:pt>
                <c:pt idx="31">
                  <c:v>79.646878418625107</c:v>
                </c:pt>
                <c:pt idx="32">
                  <c:v>50.900403056775616</c:v>
                </c:pt>
                <c:pt idx="33">
                  <c:v>37.205932920837135</c:v>
                </c:pt>
                <c:pt idx="34">
                  <c:v>35.077718124318984</c:v>
                </c:pt>
                <c:pt idx="35">
                  <c:v>33.073815357944831</c:v>
                </c:pt>
                <c:pt idx="36">
                  <c:v>31.184506027191429</c:v>
                </c:pt>
                <c:pt idx="37">
                  <c:v>29.401322611763007</c:v>
                </c:pt>
                <c:pt idx="38">
                  <c:v>27.716962665676284</c:v>
                </c:pt>
                <c:pt idx="39">
                  <c:v>26.125253050731779</c:v>
                </c:pt>
                <c:pt idx="40">
                  <c:v>24.621175566174493</c:v>
                </c:pt>
                <c:pt idx="41">
                  <c:v>23.177895902003026</c:v>
                </c:pt>
                <c:pt idx="42">
                  <c:v>21.776153053225457</c:v>
                </c:pt>
                <c:pt idx="43">
                  <c:v>20.439769588117137</c:v>
                </c:pt>
                <c:pt idx="44">
                  <c:v>19.164349559086443</c:v>
                </c:pt>
                <c:pt idx="45">
                  <c:v>17.945914611599996</c:v>
                </c:pt>
                <c:pt idx="46">
                  <c:v>16.780873551092746</c:v>
                </c:pt>
                <c:pt idx="47">
                  <c:v>15.666006224123818</c:v>
                </c:pt>
                <c:pt idx="48">
                  <c:v>14.598468711686678</c:v>
                </c:pt>
                <c:pt idx="49">
                  <c:v>13.575835569819187</c:v>
                </c:pt>
                <c:pt idx="50">
                  <c:v>12.596215467660704</c:v>
                </c:pt>
                <c:pt idx="51">
                  <c:v>11.658529802649811</c:v>
                </c:pt>
                <c:pt idx="52">
                  <c:v>10.763196308443124</c:v>
                </c:pt>
                <c:pt idx="53">
                  <c:v>9.9556516148439691</c:v>
                </c:pt>
                <c:pt idx="54">
                  <c:v>9.1849668095917796</c:v>
                </c:pt>
                <c:pt idx="55">
                  <c:v>8.4412161072919503</c:v>
                </c:pt>
                <c:pt idx="56">
                  <c:v>7.7225274942690767</c:v>
                </c:pt>
                <c:pt idx="57">
                  <c:v>7.0268965348682579</c:v>
                </c:pt>
                <c:pt idx="58">
                  <c:v>6.3519518173944602</c:v>
                </c:pt>
                <c:pt idx="59">
                  <c:v>5.6943913410366838</c:v>
                </c:pt>
                <c:pt idx="60">
                  <c:v>5.0482939824261512</c:v>
                </c:pt>
                <c:pt idx="61">
                  <c:v>4.3976578038061476</c:v>
                </c:pt>
                <c:pt idx="62">
                  <c:v>3.9469039297312092</c:v>
                </c:pt>
                <c:pt idx="63">
                  <c:v>3.511921858898873</c:v>
                </c:pt>
                <c:pt idx="64">
                  <c:v>3.0897327537745576</c:v>
                </c:pt>
                <c:pt idx="65">
                  <c:v>2.6792478600120591</c:v>
                </c:pt>
                <c:pt idx="66">
                  <c:v>2.2789156048984491</c:v>
                </c:pt>
                <c:pt idx="67">
                  <c:v>1.8857731840129819</c:v>
                </c:pt>
                <c:pt idx="68">
                  <c:v>1.4907782792353783</c:v>
                </c:pt>
                <c:pt idx="69">
                  <c:v>0.97732996591352428</c:v>
                </c:pt>
                <c:pt idx="70">
                  <c:v>0.78618359249648517</c:v>
                </c:pt>
                <c:pt idx="71">
                  <c:v>0.60042154112486679</c:v>
                </c:pt>
                <c:pt idx="72">
                  <c:v>0.41981946854698715</c:v>
                </c:pt>
                <c:pt idx="73">
                  <c:v>0.24416532374511798</c:v>
                </c:pt>
                <c:pt idx="74">
                  <c:v>3.232340395687596E-14</c:v>
                </c:pt>
                <c:pt idx="75">
                  <c:v>0</c:v>
                </c:pt>
              </c:numCache>
            </c:numRef>
          </c:xVal>
          <c:yVal>
            <c:numRef>
              <c:f>circle_section!$BJ$2:$BJ$102</c:f>
              <c:numCache>
                <c:formatCode>General</c:formatCode>
                <c:ptCount val="101"/>
                <c:pt idx="0">
                  <c:v>-323.99937184918883</c:v>
                </c:pt>
                <c:pt idx="1">
                  <c:v>-306.73674472853946</c:v>
                </c:pt>
                <c:pt idx="2">
                  <c:v>-270.38996768060309</c:v>
                </c:pt>
                <c:pt idx="3">
                  <c:v>-193.65716756407971</c:v>
                </c:pt>
                <c:pt idx="4">
                  <c:v>-112.74856737408803</c:v>
                </c:pt>
                <c:pt idx="5">
                  <c:v>-24.802908708607816</c:v>
                </c:pt>
                <c:pt idx="6">
                  <c:v>54.563096956636514</c:v>
                </c:pt>
                <c:pt idx="7">
                  <c:v>145.10393366685398</c:v>
                </c:pt>
                <c:pt idx="8">
                  <c:v>233.71290230230534</c:v>
                </c:pt>
                <c:pt idx="9">
                  <c:v>323.64236901692402</c:v>
                </c:pt>
                <c:pt idx="10">
                  <c:v>413.77491297460256</c:v>
                </c:pt>
                <c:pt idx="11">
                  <c:v>508.12269093083466</c:v>
                </c:pt>
                <c:pt idx="12">
                  <c:v>602.95190096974386</c:v>
                </c:pt>
                <c:pt idx="13">
                  <c:v>696.66124836531412</c:v>
                </c:pt>
                <c:pt idx="14">
                  <c:v>799.11826446178111</c:v>
                </c:pt>
                <c:pt idx="15">
                  <c:v>901.32668715318232</c:v>
                </c:pt>
                <c:pt idx="16">
                  <c:v>999.88708716052395</c:v>
                </c:pt>
                <c:pt idx="17">
                  <c:v>1093.138941244609</c:v>
                </c:pt>
                <c:pt idx="18">
                  <c:v>1186.4625425976312</c:v>
                </c:pt>
                <c:pt idx="19">
                  <c:v>1277.3538171333164</c:v>
                </c:pt>
                <c:pt idx="20">
                  <c:v>1365.8243841756898</c:v>
                </c:pt>
                <c:pt idx="21">
                  <c:v>1449.2511352060012</c:v>
                </c:pt>
                <c:pt idx="22">
                  <c:v>1531.9266606754929</c:v>
                </c:pt>
                <c:pt idx="23">
                  <c:v>1611.9183307987512</c:v>
                </c:pt>
                <c:pt idx="24">
                  <c:v>1689.0044714779576</c:v>
                </c:pt>
                <c:pt idx="25">
                  <c:v>1760.4019668962196</c:v>
                </c:pt>
                <c:pt idx="26">
                  <c:v>1830.7967696218764</c:v>
                </c:pt>
                <c:pt idx="27">
                  <c:v>1897.2676224155218</c:v>
                </c:pt>
                <c:pt idx="28">
                  <c:v>1956.7165963279585</c:v>
                </c:pt>
                <c:pt idx="29">
                  <c:v>2011.1292719336384</c:v>
                </c:pt>
                <c:pt idx="30">
                  <c:v>2062.1135472043948</c:v>
                </c:pt>
                <c:pt idx="31">
                  <c:v>2105.8427474746695</c:v>
                </c:pt>
                <c:pt idx="32">
                  <c:v>2139.5904098266733</c:v>
                </c:pt>
                <c:pt idx="33">
                  <c:v>2155.9987268871778</c:v>
                </c:pt>
                <c:pt idx="34">
                  <c:v>2160.4064225672519</c:v>
                </c:pt>
                <c:pt idx="35">
                  <c:v>2164.5670507687964</c:v>
                </c:pt>
                <c:pt idx="36">
                  <c:v>2168.5022214587775</c:v>
                </c:pt>
                <c:pt idx="37">
                  <c:v>2172.2315035250194</c:v>
                </c:pt>
                <c:pt idx="38">
                  <c:v>2175.7728012522552</c:v>
                </c:pt>
                <c:pt idx="39">
                  <c:v>2179.1427202674781</c:v>
                </c:pt>
                <c:pt idx="40">
                  <c:v>2182.3569482996404</c:v>
                </c:pt>
                <c:pt idx="41">
                  <c:v>2185.2283453409141</c:v>
                </c:pt>
                <c:pt idx="42">
                  <c:v>2187.7001055723995</c:v>
                </c:pt>
                <c:pt idx="43">
                  <c:v>2190.0589401142383</c:v>
                </c:pt>
                <c:pt idx="44">
                  <c:v>2192.3130578731229</c:v>
                </c:pt>
                <c:pt idx="45">
                  <c:v>2194.4701189638222</c:v>
                </c:pt>
                <c:pt idx="46">
                  <c:v>2196.5373805341992</c:v>
                </c:pt>
                <c:pt idx="47">
                  <c:v>2198.5218773833158</c:v>
                </c:pt>
                <c:pt idx="48">
                  <c:v>2200.4306745657505</c:v>
                </c:pt>
                <c:pt idx="49">
                  <c:v>2202.2712653990911</c:v>
                </c:pt>
                <c:pt idx="50">
                  <c:v>2204.0522712812403</c:v>
                </c:pt>
                <c:pt idx="51">
                  <c:v>2205.784804771466</c:v>
                </c:pt>
                <c:pt idx="52">
                  <c:v>2207.485412735115</c:v>
                </c:pt>
                <c:pt idx="53">
                  <c:v>2208.7806387507935</c:v>
                </c:pt>
                <c:pt idx="54">
                  <c:v>2209.9715276399215</c:v>
                </c:pt>
                <c:pt idx="55">
                  <c:v>2211.1227492836924</c:v>
                </c:pt>
                <c:pt idx="56">
                  <c:v>2212.2379693758753</c:v>
                </c:pt>
                <c:pt idx="57">
                  <c:v>2213.3216059126917</c:v>
                </c:pt>
                <c:pt idx="58">
                  <c:v>2214.3797598879328</c:v>
                </c:pt>
                <c:pt idx="59">
                  <c:v>2215.4225520643254</c:v>
                </c:pt>
                <c:pt idx="60">
                  <c:v>2216.4714100247511</c:v>
                </c:pt>
                <c:pt idx="61">
                  <c:v>2217.5927317002593</c:v>
                </c:pt>
                <c:pt idx="62">
                  <c:v>2218.2225359389113</c:v>
                </c:pt>
                <c:pt idx="63">
                  <c:v>2218.827691899507</c:v>
                </c:pt>
                <c:pt idx="64">
                  <c:v>2219.4152780042341</c:v>
                </c:pt>
                <c:pt idx="65">
                  <c:v>2219.9869513327585</c:v>
                </c:pt>
                <c:pt idx="66">
                  <c:v>2220.5451774593103</c:v>
                </c:pt>
                <c:pt idx="67">
                  <c:v>2221.0948791654409</c:v>
                </c:pt>
                <c:pt idx="68">
                  <c:v>2221.6516266157014</c:v>
                </c:pt>
                <c:pt idx="69">
                  <c:v>2222.4281913884133</c:v>
                </c:pt>
                <c:pt idx="70">
                  <c:v>2222.6778519577742</c:v>
                </c:pt>
                <c:pt idx="71">
                  <c:v>2222.9204799432391</c:v>
                </c:pt>
                <c:pt idx="72">
                  <c:v>2223.1563683645654</c:v>
                </c:pt>
                <c:pt idx="73">
                  <c:v>2223.3857941863475</c:v>
                </c:pt>
                <c:pt idx="74">
                  <c:v>2223.7047039969534</c:v>
                </c:pt>
                <c:pt idx="7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940-444F-AC6A-F5609F267C14}"/>
            </c:ext>
          </c:extLst>
        </c:ser>
        <c:ser>
          <c:idx val="4"/>
          <c:order val="4"/>
          <c:tx>
            <c:v>min_e_line (PCA)</c:v>
          </c:tx>
          <c:spPr>
            <a:ln w="9525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circle_section!$AY$104:$AY$105</c:f>
              <c:numCache>
                <c:formatCode>General</c:formatCode>
                <c:ptCount val="2"/>
                <c:pt idx="0">
                  <c:v>160.92849827626284</c:v>
                </c:pt>
                <c:pt idx="1">
                  <c:v>0</c:v>
                </c:pt>
              </c:numCache>
            </c:numRef>
          </c:xVal>
          <c:yVal>
            <c:numRef>
              <c:f>circle_section!$AV$104:$AV$105</c:f>
              <c:numCache>
                <c:formatCode>General</c:formatCode>
                <c:ptCount val="2"/>
                <c:pt idx="0">
                  <c:v>1156.326446078416</c:v>
                </c:pt>
                <c:pt idx="1">
                  <c:v>1156.326446078416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940-444F-AC6A-F5609F267C14}"/>
            </c:ext>
          </c:extLst>
        </c:ser>
        <c:ser>
          <c:idx val="7"/>
          <c:order val="5"/>
          <c:tx>
            <c:v>min_e_line (Whitney)</c:v>
          </c:tx>
          <c:spPr>
            <a:ln w="1905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circle_section!$BI$104:$BI$105</c:f>
              <c:numCache>
                <c:formatCode>General</c:formatCode>
                <c:ptCount val="2"/>
                <c:pt idx="0">
                  <c:v>193.17916733252912</c:v>
                </c:pt>
                <c:pt idx="1">
                  <c:v>0</c:v>
                </c:pt>
              </c:numCache>
            </c:numRef>
          </c:xVal>
          <c:yVal>
            <c:numRef>
              <c:f>circle_section!$BF$104:$BF$105</c:f>
              <c:numCache>
                <c:formatCode>General</c:formatCode>
                <c:ptCount val="2"/>
                <c:pt idx="0">
                  <c:v>1156.326446078416</c:v>
                </c:pt>
                <c:pt idx="1">
                  <c:v>1156.326446078416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940-444F-AC6A-F5609F267C14}"/>
            </c:ext>
          </c:extLst>
        </c:ser>
        <c:ser>
          <c:idx val="2"/>
          <c:order val="6"/>
          <c:tx>
            <c:v>User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19050">
                <a:solidFill>
                  <a:srgbClr val="7030A0"/>
                </a:solidFill>
              </a:ln>
              <a:effectLst/>
            </c:spPr>
          </c:marker>
          <c:xVal>
            <c:numRef>
              <c:f>circle_section!$J$13</c:f>
              <c:numCache>
                <c:formatCode>0.000</c:formatCode>
                <c:ptCount val="1"/>
                <c:pt idx="0">
                  <c:v>10</c:v>
                </c:pt>
              </c:numCache>
            </c:numRef>
          </c:xVal>
          <c:yVal>
            <c:numRef>
              <c:f>circle_section!$J$9</c:f>
              <c:numCache>
                <c:formatCode>0.000</c:formatCode>
                <c:ptCount val="1"/>
                <c:pt idx="0">
                  <c:v>357.8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40-444F-AC6A-F5609F267C14}"/>
            </c:ext>
          </c:extLst>
        </c:ser>
        <c:ser>
          <c:idx val="3"/>
          <c:order val="7"/>
          <c:tx>
            <c:v>Result</c:v>
          </c:tx>
          <c:spPr>
            <a:ln w="25400" cap="rnd">
              <a:noFill/>
              <a:round/>
            </a:ln>
            <a:effectLst/>
          </c:spPr>
          <c:marker>
            <c:symbol val="x"/>
            <c:size val="8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circle_section!$J$7</c:f>
              <c:numCache>
                <c:formatCode>0.000</c:formatCode>
                <c:ptCount val="1"/>
                <c:pt idx="0">
                  <c:v>339.64385907267308</c:v>
                </c:pt>
              </c:numCache>
            </c:numRef>
          </c:xVal>
          <c:yVal>
            <c:numRef>
              <c:f>circle_section!$J$3</c:f>
              <c:numCache>
                <c:formatCode>0.000</c:formatCode>
                <c:ptCount val="1"/>
                <c:pt idx="0">
                  <c:v>357.79999999991276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940-444F-AC6A-F5609F267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531167"/>
        <c:axId val="1388578719"/>
      </c:scatterChart>
      <c:valAx>
        <c:axId val="11705311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8578719"/>
        <c:crosses val="autoZero"/>
        <c:crossBetween val="midCat"/>
      </c:valAx>
      <c:valAx>
        <c:axId val="1388578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053116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3FD4D41-D9E6-4342-B858-3A96133753D0}">
  <sheetPr codeName="Chart3"/>
  <sheetViews>
    <sheetView zoomScale="123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8AE43E7-1050-46C2-A0D8-7D55B6783A61}">
  <sheetPr codeName="Chart1"/>
  <sheetViews>
    <sheetView zoomScale="123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55BB521-54CB-4F13-9A81-6C1017224D5E}">
  <sheetPr codeName="Chart4"/>
  <sheetViews>
    <sheetView zoomScale="123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08DE4CE-2F35-4E62-B1E3-69E698A57B9F}">
  <sheetPr codeName="Chart2"/>
  <sheetViews>
    <sheetView zoomScale="123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333375</xdr:colOff>
      <xdr:row>0</xdr:row>
      <xdr:rowOff>66675</xdr:rowOff>
    </xdr:from>
    <xdr:to>
      <xdr:col>23</xdr:col>
      <xdr:colOff>333375</xdr:colOff>
      <xdr:row>28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3</xdr:row>
          <xdr:rowOff>28575</xdr:rowOff>
        </xdr:from>
        <xdr:to>
          <xdr:col>6</xdr:col>
          <xdr:colOff>390525</xdr:colOff>
          <xdr:row>5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Brent's Method to solve for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 Axis Angle and depth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590550</xdr:colOff>
      <xdr:row>4</xdr:row>
      <xdr:rowOff>25400</xdr:rowOff>
    </xdr:from>
    <xdr:to>
      <xdr:col>31</xdr:col>
      <xdr:colOff>590550</xdr:colOff>
      <xdr:row>32</xdr:row>
      <xdr:rowOff>101600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142875</xdr:colOff>
          <xdr:row>0</xdr:row>
          <xdr:rowOff>85725</xdr:rowOff>
        </xdr:from>
        <xdr:to>
          <xdr:col>30</xdr:col>
          <xdr:colOff>533400</xdr:colOff>
          <xdr:row>2</xdr:row>
          <xdr:rowOff>114300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Build Mx vs My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123825</xdr:colOff>
          <xdr:row>0</xdr:row>
          <xdr:rowOff>85725</xdr:rowOff>
        </xdr:from>
        <xdr:to>
          <xdr:col>33</xdr:col>
          <xdr:colOff>523875</xdr:colOff>
          <xdr:row>2</xdr:row>
          <xdr:rowOff>114300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Build P v M Curve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(Long Run Time)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95250</xdr:colOff>
          <xdr:row>4</xdr:row>
          <xdr:rowOff>190500</xdr:rowOff>
        </xdr:from>
        <xdr:to>
          <xdr:col>34</xdr:col>
          <xdr:colOff>504825</xdr:colOff>
          <xdr:row>7</xdr:row>
          <xdr:rowOff>9525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Build Full P v M Curve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(Long Run Time)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3171" cy="629579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73171" cy="629579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73171" cy="629579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3171" cy="629579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B8680-CE7C-4E32-80BC-C61CEBC228BE}">
  <sheetPr codeName="Sheet1"/>
  <dimension ref="A1:CX362"/>
  <sheetViews>
    <sheetView tabSelected="1" zoomScale="75" zoomScaleNormal="75" workbookViewId="0">
      <selection activeCell="M16" sqref="M16"/>
    </sheetView>
  </sheetViews>
  <sheetFormatPr defaultColWidth="8.85546875" defaultRowHeight="15" x14ac:dyDescent="0.25"/>
  <cols>
    <col min="1" max="1" width="12" bestFit="1" customWidth="1"/>
    <col min="2" max="2" width="14.140625" customWidth="1"/>
    <col min="5" max="5" width="15.42578125" customWidth="1"/>
    <col min="6" max="6" width="11.7109375" customWidth="1"/>
    <col min="7" max="7" width="12.28515625" customWidth="1"/>
    <col min="9" max="9" width="13.28515625" bestFit="1" customWidth="1"/>
    <col min="10" max="10" width="12" bestFit="1" customWidth="1"/>
    <col min="12" max="12" width="13.85546875" customWidth="1"/>
    <col min="13" max="13" width="14.85546875" bestFit="1" customWidth="1"/>
    <col min="14" max="14" width="9" bestFit="1" customWidth="1"/>
    <col min="15" max="15" width="14.7109375" bestFit="1" customWidth="1"/>
    <col min="16" max="17" width="9" bestFit="1" customWidth="1"/>
    <col min="18" max="18" width="10.85546875" bestFit="1" customWidth="1"/>
    <col min="19" max="21" width="9" bestFit="1" customWidth="1"/>
    <col min="22" max="22" width="11.42578125" customWidth="1"/>
    <col min="23" max="24" width="9" bestFit="1" customWidth="1"/>
    <col min="25" max="25" width="13.85546875" bestFit="1" customWidth="1"/>
    <col min="26" max="26" width="11" bestFit="1" customWidth="1"/>
    <col min="27" max="27" width="9" bestFit="1" customWidth="1"/>
    <col min="28" max="28" width="10.85546875" bestFit="1" customWidth="1"/>
    <col min="29" max="30" width="9" bestFit="1" customWidth="1"/>
    <col min="31" max="31" width="10.7109375" bestFit="1" customWidth="1"/>
    <col min="32" max="33" width="9" bestFit="1" customWidth="1"/>
    <col min="81" max="81" width="11" customWidth="1"/>
    <col min="84" max="84" width="11" bestFit="1" customWidth="1"/>
    <col min="85" max="86" width="12" bestFit="1" customWidth="1"/>
    <col min="89" max="89" width="10" bestFit="1" customWidth="1"/>
    <col min="104" max="104" width="12" bestFit="1" customWidth="1"/>
  </cols>
  <sheetData>
    <row r="1" spans="1:102" ht="15.75" thickBot="1" x14ac:dyDescent="0.3">
      <c r="A1" s="2" t="s">
        <v>141</v>
      </c>
      <c r="B1" s="5" t="s">
        <v>151</v>
      </c>
      <c r="E1" s="2" t="s">
        <v>69</v>
      </c>
      <c r="F1" s="34">
        <v>1E-10</v>
      </c>
      <c r="L1" s="1">
        <v>1</v>
      </c>
      <c r="Z1" s="2" t="s">
        <v>81</v>
      </c>
      <c r="AA1" s="1">
        <v>4.67</v>
      </c>
      <c r="AB1" t="s">
        <v>82</v>
      </c>
      <c r="AI1">
        <v>100</v>
      </c>
      <c r="AJ1" t="s">
        <v>80</v>
      </c>
      <c r="AK1" s="1" t="s">
        <v>56</v>
      </c>
      <c r="AL1" s="1" t="s">
        <v>57</v>
      </c>
      <c r="AM1" s="1" t="s">
        <v>78</v>
      </c>
      <c r="AN1" s="1" t="s">
        <v>79</v>
      </c>
      <c r="AR1" t="s">
        <v>13</v>
      </c>
      <c r="AS1" t="s">
        <v>14</v>
      </c>
      <c r="AU1">
        <v>28.9079611519604</v>
      </c>
      <c r="AV1" s="1" t="s">
        <v>21</v>
      </c>
      <c r="AW1" s="1" t="s">
        <v>56</v>
      </c>
      <c r="AX1" s="1" t="s">
        <v>57</v>
      </c>
      <c r="AY1" s="1" t="s">
        <v>135</v>
      </c>
      <c r="AZ1" s="1" t="s">
        <v>137</v>
      </c>
      <c r="BA1" s="1" t="s">
        <v>133</v>
      </c>
      <c r="BB1" s="1" t="s">
        <v>134</v>
      </c>
      <c r="BC1" s="1" t="s">
        <v>136</v>
      </c>
      <c r="BF1" s="1" t="s">
        <v>21</v>
      </c>
      <c r="BG1" s="1" t="s">
        <v>56</v>
      </c>
      <c r="BH1" s="1" t="s">
        <v>57</v>
      </c>
      <c r="BI1" s="1" t="s">
        <v>135</v>
      </c>
      <c r="BJ1" s="1" t="s">
        <v>137</v>
      </c>
      <c r="BK1" s="1" t="s">
        <v>133</v>
      </c>
      <c r="BL1" s="1" t="s">
        <v>134</v>
      </c>
      <c r="BM1" s="1" t="s">
        <v>136</v>
      </c>
      <c r="BP1" s="1" t="s">
        <v>21</v>
      </c>
      <c r="BQ1" s="1" t="s">
        <v>56</v>
      </c>
      <c r="BR1" s="1" t="s">
        <v>57</v>
      </c>
      <c r="BS1" s="1" t="s">
        <v>135</v>
      </c>
      <c r="BT1" s="1" t="s">
        <v>137</v>
      </c>
      <c r="BU1" s="1" t="s">
        <v>133</v>
      </c>
      <c r="BV1" s="1" t="s">
        <v>134</v>
      </c>
      <c r="BW1" s="1" t="s">
        <v>136</v>
      </c>
      <c r="BX1" s="1"/>
      <c r="BY1" s="1"/>
      <c r="BZ1" s="1"/>
      <c r="CA1" s="1"/>
      <c r="CB1" s="1"/>
      <c r="CE1" s="1"/>
      <c r="CI1" s="1"/>
    </row>
    <row r="2" spans="1:102" x14ac:dyDescent="0.25">
      <c r="A2" t="s">
        <v>127</v>
      </c>
      <c r="B2" s="5" t="s">
        <v>150</v>
      </c>
      <c r="E2" s="2" t="s">
        <v>70</v>
      </c>
      <c r="F2" s="8">
        <v>75</v>
      </c>
      <c r="G2">
        <v>153</v>
      </c>
      <c r="H2">
        <v>3</v>
      </c>
      <c r="I2" s="16" t="s">
        <v>61</v>
      </c>
      <c r="J2" s="17">
        <f ca="1">IF(L109&gt;=0,IF(B1="Spiral",0.75,0.65),IF(ABS(L109)&lt;0.002,IF(B1="Spiral",0.75,0.65),IF(ABS(L109)&gt;0.005,0.9,IF(B1="Spiral",0.75+((ABS(L109)-0.002)*(50)),0.65+((ABS(L109)-0.002)*(250/3))))))</f>
        <v>0.74505734749786368</v>
      </c>
      <c r="K2" s="18"/>
      <c r="L2" s="19" t="s">
        <v>62</v>
      </c>
      <c r="N2">
        <v>14.457046796694284</v>
      </c>
      <c r="Z2" t="s">
        <v>77</v>
      </c>
      <c r="AA2" s="5">
        <v>72</v>
      </c>
      <c r="AJ2">
        <v>0</v>
      </c>
      <c r="AK2">
        <v>278.92261339933953</v>
      </c>
      <c r="AL2">
        <v>-1.0288943030900554E-13</v>
      </c>
      <c r="AM2">
        <v>309.91401488815501</v>
      </c>
      <c r="AN2">
        <v>-1.1432158923222838E-13</v>
      </c>
      <c r="AQ2">
        <v>0</v>
      </c>
      <c r="AR2">
        <f>$B$3*COS(RADIANS(AQ2))</f>
        <v>12</v>
      </c>
      <c r="AS2">
        <f>$B$3*SIN(RADIANS(AQ2))</f>
        <v>0</v>
      </c>
      <c r="AV2">
        <v>-291.59961406592197</v>
      </c>
      <c r="AW2">
        <v>5.3264852525457847E-14</v>
      </c>
      <c r="AX2">
        <v>5.3593205545078527E-4</v>
      </c>
      <c r="AY2">
        <f t="shared" ref="AY2:AY65" si="0">SQRT(POWER(AW2,2)+POWER(AX2,2))</f>
        <v>5.3593205545078527E-4</v>
      </c>
      <c r="AZ2">
        <v>-323.99957118435776</v>
      </c>
      <c r="BA2">
        <v>5.9183169472730941E-14</v>
      </c>
      <c r="BB2">
        <v>5.9548006161198365E-4</v>
      </c>
      <c r="BC2">
        <f t="shared" ref="BC2:BC65" si="1">SQRT(POWER(BA2,2)+POWER(BB2,2))</f>
        <v>5.9548006161198365E-4</v>
      </c>
      <c r="BF2">
        <v>-291.59943466426995</v>
      </c>
      <c r="BG2">
        <v>1.0763103128101035E-4</v>
      </c>
      <c r="BH2">
        <v>5.5497250472644427E-4</v>
      </c>
      <c r="BI2">
        <f>SQRT(POWER(BG2,2)+POWER(BH2,2))</f>
        <v>5.6531311668575059E-4</v>
      </c>
      <c r="BJ2">
        <v>-323.99937184918883</v>
      </c>
      <c r="BK2">
        <v>1.1959003475667817E-4</v>
      </c>
      <c r="BL2">
        <v>6.1663611636271585E-4</v>
      </c>
      <c r="BM2">
        <f>SQRT(POWER(BK2,2)+POWER(BL2,2))</f>
        <v>6.2812568520638945E-4</v>
      </c>
      <c r="BP2">
        <v>-291.59961406592197</v>
      </c>
      <c r="BQ2">
        <v>1.4921432996531649E-14</v>
      </c>
      <c r="BR2">
        <v>-5.3593205549128629E-4</v>
      </c>
      <c r="BS2">
        <f>SQRT(POWER(BQ2,2)+POWER(BR2,2))*-1</f>
        <v>-5.3593205549128629E-4</v>
      </c>
      <c r="BT2">
        <v>-323.99957118435776</v>
      </c>
      <c r="BU2">
        <v>1.6579369996146276E-14</v>
      </c>
      <c r="BV2">
        <v>-5.9548006165698476E-4</v>
      </c>
      <c r="BW2">
        <f>SQRT(POWER(BU2,2)+POWER(BV2,2))*-1</f>
        <v>-5.9548006165698476E-4</v>
      </c>
    </row>
    <row r="3" spans="1:102" x14ac:dyDescent="0.25">
      <c r="A3" s="2" t="s">
        <v>12</v>
      </c>
      <c r="B3" s="8">
        <v>12</v>
      </c>
      <c r="C3" t="s">
        <v>0</v>
      </c>
      <c r="E3" s="2" t="s">
        <v>85</v>
      </c>
      <c r="F3" s="8">
        <v>0</v>
      </c>
      <c r="I3" s="20" t="s">
        <v>63</v>
      </c>
      <c r="J3" s="7">
        <f ca="1">J2*IF(B2="Whitney",B112,L153)</f>
        <v>357.79999999991276</v>
      </c>
      <c r="K3" s="21" t="s">
        <v>22</v>
      </c>
      <c r="L3" s="22">
        <f ca="1">J3-J9</f>
        <v>-8.7254647951340303E-11</v>
      </c>
      <c r="N3">
        <v>15.035490134686977</v>
      </c>
      <c r="AJ3">
        <v>8.7266462599716474E-2</v>
      </c>
      <c r="AK3">
        <v>276.45135663141485</v>
      </c>
      <c r="AL3">
        <v>24.09877606598328</v>
      </c>
      <c r="AM3">
        <v>307.16817403490541</v>
      </c>
      <c r="AN3">
        <v>26.776417851092532</v>
      </c>
      <c r="AQ3">
        <v>1</v>
      </c>
      <c r="AR3">
        <f t="shared" ref="AR3:AR66" si="2">$B$3*COS(RADIANS(AQ3))</f>
        <v>11.998172341876696</v>
      </c>
      <c r="AS3">
        <f t="shared" ref="AS3:AS66" si="3">$B$3*SIN(RADIANS(AQ3))</f>
        <v>0.20942887724740214</v>
      </c>
      <c r="AV3">
        <v>-273.34013804648538</v>
      </c>
      <c r="AW3">
        <v>-1.0610618237986009E-15</v>
      </c>
      <c r="AX3">
        <v>17.476516893808597</v>
      </c>
      <c r="AY3">
        <f t="shared" si="0"/>
        <v>17.476516893808597</v>
      </c>
      <c r="AZ3">
        <v>-303.71126449609488</v>
      </c>
      <c r="BA3">
        <v>-1.1789575819984454E-15</v>
      </c>
      <c r="BB3">
        <v>19.418352104231776</v>
      </c>
      <c r="BC3">
        <f t="shared" si="1"/>
        <v>19.418352104231776</v>
      </c>
      <c r="BF3">
        <v>-276.06307025568555</v>
      </c>
      <c r="BG3">
        <v>2.8498745559016139</v>
      </c>
      <c r="BH3">
        <v>14.694665671679315</v>
      </c>
      <c r="BI3">
        <f t="shared" ref="BI3:BI66" si="4">SQRT(POWER(BG3,2)+POWER(BH3,2))</f>
        <v>14.968466327142735</v>
      </c>
      <c r="BJ3">
        <v>-306.73674472853946</v>
      </c>
      <c r="BK3">
        <v>3.1665272843351264</v>
      </c>
      <c r="BL3">
        <v>16.327406301865906</v>
      </c>
      <c r="BM3">
        <f t="shared" ref="BM3:BM66" si="5">SQRT(POWER(BK3,2)+POWER(BL3,2))</f>
        <v>16.631629252380819</v>
      </c>
      <c r="BP3">
        <v>-273.34013804648538</v>
      </c>
      <c r="BQ3">
        <v>8.0473095915997968E-15</v>
      </c>
      <c r="BR3">
        <v>-17.47651689380865</v>
      </c>
      <c r="BS3">
        <f t="shared" ref="BS3:BS66" si="6">SQRT(POWER(BQ3,2)+POWER(BR3,2))*-1</f>
        <v>-17.47651689380865</v>
      </c>
      <c r="BT3">
        <v>-303.71126449609488</v>
      </c>
      <c r="BU3">
        <v>8.9414551017775522E-15</v>
      </c>
      <c r="BV3">
        <v>-19.418352104231833</v>
      </c>
      <c r="BW3">
        <f t="shared" ref="BW3:BW66" si="7">SQRT(POWER(BU3,2)+POWER(BV3,2))*-1</f>
        <v>-19.418352104231833</v>
      </c>
    </row>
    <row r="4" spans="1:102" x14ac:dyDescent="0.25">
      <c r="A4" s="2" t="s">
        <v>5</v>
      </c>
      <c r="B4" s="5" t="s">
        <v>142</v>
      </c>
      <c r="I4" s="20" t="s">
        <v>64</v>
      </c>
      <c r="J4" s="7">
        <f ca="1">J2*IF(B2="Whitney",(B116/12),(O153/12))</f>
        <v>339.64385907267308</v>
      </c>
      <c r="K4" s="21" t="s">
        <v>65</v>
      </c>
      <c r="L4" s="23" t="str">
        <f>IF(J10=0,J4,"")</f>
        <v/>
      </c>
      <c r="AF4" s="2" t="s">
        <v>143</v>
      </c>
      <c r="AG4" s="1">
        <v>5.15</v>
      </c>
      <c r="AH4" t="s">
        <v>82</v>
      </c>
      <c r="AJ4">
        <v>0.17453292519943295</v>
      </c>
      <c r="AK4">
        <v>271.75416496603293</v>
      </c>
      <c r="AL4">
        <v>48.006658638686126</v>
      </c>
      <c r="AM4">
        <v>301.94907218448105</v>
      </c>
      <c r="AN4">
        <v>53.340731820762358</v>
      </c>
      <c r="AQ4">
        <v>2</v>
      </c>
      <c r="AR4">
        <f t="shared" si="2"/>
        <v>11.992689924229149</v>
      </c>
      <c r="AS4">
        <f t="shared" si="3"/>
        <v>0.4187939604300116</v>
      </c>
      <c r="AV4">
        <v>-232.27294456846911</v>
      </c>
      <c r="AW4">
        <v>1.0927182716689588E-15</v>
      </c>
      <c r="AX4">
        <v>52.636012656764166</v>
      </c>
      <c r="AY4">
        <f t="shared" si="0"/>
        <v>52.636012656764166</v>
      </c>
      <c r="AZ4">
        <v>-258.08104952052122</v>
      </c>
      <c r="BA4">
        <v>1.2141314129655098E-15</v>
      </c>
      <c r="BB4">
        <v>58.48445850751574</v>
      </c>
      <c r="BC4">
        <f t="shared" si="1"/>
        <v>58.48445850751574</v>
      </c>
      <c r="BF4">
        <v>-243.35097091254278</v>
      </c>
      <c r="BG4">
        <v>8.3628897260697563</v>
      </c>
      <c r="BH4">
        <v>43.121150132397652</v>
      </c>
      <c r="BI4">
        <f t="shared" si="4"/>
        <v>43.924611703590294</v>
      </c>
      <c r="BJ4">
        <v>-270.38996768060309</v>
      </c>
      <c r="BK4">
        <v>9.2920996956330626</v>
      </c>
      <c r="BL4">
        <v>47.912389035997393</v>
      </c>
      <c r="BM4">
        <f t="shared" si="5"/>
        <v>48.805124115100327</v>
      </c>
      <c r="BP4">
        <v>-224.03517613155748</v>
      </c>
      <c r="BQ4">
        <v>-2.7955459882022767E-14</v>
      </c>
      <c r="BR4">
        <v>-59.325785813135269</v>
      </c>
      <c r="BS4">
        <f t="shared" si="6"/>
        <v>-59.325785813135269</v>
      </c>
      <c r="BT4">
        <v>-248.9279734795083</v>
      </c>
      <c r="BU4">
        <v>-3.1061622091136407E-14</v>
      </c>
      <c r="BV4">
        <v>-65.917539792372523</v>
      </c>
      <c r="BW4">
        <f t="shared" si="7"/>
        <v>-65.917539792372523</v>
      </c>
    </row>
    <row r="5" spans="1:102" x14ac:dyDescent="0.25">
      <c r="A5" s="2" t="s">
        <v>1</v>
      </c>
      <c r="B5" s="3">
        <v>5</v>
      </c>
      <c r="C5" t="s">
        <v>2</v>
      </c>
      <c r="I5" s="20" t="s">
        <v>66</v>
      </c>
      <c r="J5" s="7">
        <f ca="1">J2*IF(B2="Whitney",(B117/12),(R153/12))</f>
        <v>-2.2940453726202812E-14</v>
      </c>
      <c r="K5" s="21" t="s">
        <v>65</v>
      </c>
      <c r="L5" s="23">
        <f ca="1">IF(J11=0,J5,"")</f>
        <v>-2.2940453726202812E-14</v>
      </c>
      <c r="AJ5">
        <v>0.26179938779914941</v>
      </c>
      <c r="AK5">
        <v>265.6116434988399</v>
      </c>
      <c r="AL5">
        <v>71.262938183952897</v>
      </c>
      <c r="AM5">
        <v>295.12404833204431</v>
      </c>
      <c r="AN5">
        <v>79.181042426614326</v>
      </c>
      <c r="AQ5">
        <v>3</v>
      </c>
      <c r="AR5">
        <f t="shared" si="2"/>
        <v>11.983554417054886</v>
      </c>
      <c r="AS5">
        <f t="shared" si="3"/>
        <v>0.62803147491532596</v>
      </c>
      <c r="AV5">
        <v>-140.49472735738752</v>
      </c>
      <c r="AW5">
        <v>5.3942565153746664E-15</v>
      </c>
      <c r="AX5">
        <v>122.85669859031573</v>
      </c>
      <c r="AY5">
        <f t="shared" si="0"/>
        <v>122.85669859031573</v>
      </c>
      <c r="AZ5">
        <v>-156.10525261931946</v>
      </c>
      <c r="BA5">
        <v>5.9936183504162962E-15</v>
      </c>
      <c r="BB5">
        <v>136.50744287812859</v>
      </c>
      <c r="BC5">
        <f t="shared" si="1"/>
        <v>136.50744287812859</v>
      </c>
      <c r="BF5">
        <v>-174.29145080767174</v>
      </c>
      <c r="BG5">
        <v>18.747615627024715</v>
      </c>
      <c r="BH5">
        <v>96.667393048697264</v>
      </c>
      <c r="BI5">
        <f t="shared" si="4"/>
        <v>98.468563361765277</v>
      </c>
      <c r="BJ5">
        <v>-193.65716756407971</v>
      </c>
      <c r="BK5">
        <v>20.830684030027459</v>
      </c>
      <c r="BL5">
        <v>107.40821449855251</v>
      </c>
      <c r="BM5">
        <f t="shared" si="5"/>
        <v>109.40951484640587</v>
      </c>
      <c r="BP5">
        <v>-150.56896414532798</v>
      </c>
      <c r="BQ5">
        <v>-3.4087470783101852E-14</v>
      </c>
      <c r="BR5">
        <v>-115.89181405779695</v>
      </c>
      <c r="BS5">
        <f t="shared" si="6"/>
        <v>-115.89181405779695</v>
      </c>
      <c r="BT5">
        <v>-167.29884905036442</v>
      </c>
      <c r="BU5">
        <v>-3.7874967536779837E-14</v>
      </c>
      <c r="BV5">
        <v>-128.76868228644105</v>
      </c>
      <c r="BW5">
        <f t="shared" si="7"/>
        <v>-128.76868228644105</v>
      </c>
    </row>
    <row r="6" spans="1:102" ht="15.75" thickBot="1" x14ac:dyDescent="0.3">
      <c r="A6" s="2" t="s">
        <v>139</v>
      </c>
      <c r="B6" s="8">
        <v>145</v>
      </c>
      <c r="C6" t="s">
        <v>140</v>
      </c>
      <c r="I6" s="24" t="s">
        <v>67</v>
      </c>
      <c r="J6" s="25">
        <f ca="1">IF(AND(J4=0,J5=0),0,MOD(ATAN2(J4,J5),2*PI()))</f>
        <v>0</v>
      </c>
      <c r="K6" s="26" t="s">
        <v>17</v>
      </c>
      <c r="L6" s="27">
        <f ca="1">IF((J12-J6)=0,0,ATAN2(COS(J12-J6),SIN(J12-J6)))</f>
        <v>0</v>
      </c>
      <c r="M6" s="48"/>
      <c r="AJ6">
        <v>0.3490658503988659</v>
      </c>
      <c r="AK6">
        <v>258.11541943173955</v>
      </c>
      <c r="AL6">
        <v>93.946329678289331</v>
      </c>
      <c r="AM6">
        <v>286.79491047971061</v>
      </c>
      <c r="AN6">
        <v>104.3848107536548</v>
      </c>
      <c r="AQ6">
        <v>4</v>
      </c>
      <c r="AR6">
        <f t="shared" si="2"/>
        <v>11.970768603117889</v>
      </c>
      <c r="AS6">
        <f t="shared" si="3"/>
        <v>0.83707768492950363</v>
      </c>
      <c r="AV6">
        <v>-67.091584708738026</v>
      </c>
      <c r="AW6">
        <v>-1.1732014718507048E-13</v>
      </c>
      <c r="AX6">
        <v>177.10025687929931</v>
      </c>
      <c r="AY6">
        <f t="shared" si="0"/>
        <v>177.10025687929931</v>
      </c>
      <c r="AZ6">
        <v>-74.54620523193114</v>
      </c>
      <c r="BA6">
        <v>-1.3035571909452276E-13</v>
      </c>
      <c r="BB6">
        <v>196.77806319922144</v>
      </c>
      <c r="BC6">
        <f t="shared" si="1"/>
        <v>196.77806319922144</v>
      </c>
      <c r="BF6">
        <v>-101.47371063667923</v>
      </c>
      <c r="BG6">
        <v>29.140270678051881</v>
      </c>
      <c r="BH6">
        <v>150.25452068370504</v>
      </c>
      <c r="BI6">
        <f t="shared" si="4"/>
        <v>153.05416152813382</v>
      </c>
      <c r="BJ6">
        <v>-112.74856737408803</v>
      </c>
      <c r="BK6">
        <v>32.378078531168754</v>
      </c>
      <c r="BL6">
        <v>166.94946742633894</v>
      </c>
      <c r="BM6">
        <f t="shared" si="5"/>
        <v>170.06017947570425</v>
      </c>
      <c r="BP6">
        <v>-56.472037698983137</v>
      </c>
      <c r="BQ6">
        <v>3.8165049070522667E-14</v>
      </c>
      <c r="BR6">
        <v>-180.51653852483665</v>
      </c>
      <c r="BS6">
        <f t="shared" si="6"/>
        <v>-180.51653852483665</v>
      </c>
      <c r="BT6">
        <v>-62.746708554425709</v>
      </c>
      <c r="BU6">
        <v>4.240561007835852E-14</v>
      </c>
      <c r="BV6">
        <v>-200.57393169426294</v>
      </c>
      <c r="BW6">
        <f t="shared" si="7"/>
        <v>-200.57393169426294</v>
      </c>
    </row>
    <row r="7" spans="1:102" ht="15.75" thickBot="1" x14ac:dyDescent="0.3">
      <c r="A7" s="2" t="s">
        <v>3</v>
      </c>
      <c r="B7" s="4">
        <f>IF(B4="Density",(POWER(B6,1.5)*33*SQRT(1000*B5))/1000,(57000*SQRT(1000*B5))/1000)</f>
        <v>4074.2806880478911</v>
      </c>
      <c r="C7" t="s">
        <v>2</v>
      </c>
      <c r="E7" t="s">
        <v>144</v>
      </c>
      <c r="F7" s="1">
        <v>0.24</v>
      </c>
      <c r="G7" t="s">
        <v>82</v>
      </c>
      <c r="I7" s="20" t="s">
        <v>149</v>
      </c>
      <c r="J7" s="7">
        <f ca="1">SQRT(POWER(J4,2)+POWER(J5,2))</f>
        <v>339.64385907267308</v>
      </c>
      <c r="K7" s="21" t="s">
        <v>65</v>
      </c>
      <c r="L7" s="28"/>
      <c r="AJ7">
        <v>0.43633231299858238</v>
      </c>
      <c r="AK7">
        <v>249.27725722448804</v>
      </c>
      <c r="AL7">
        <v>116.14129563338416</v>
      </c>
      <c r="AM7">
        <v>276.97473024943116</v>
      </c>
      <c r="AN7">
        <v>129.04588403709351</v>
      </c>
      <c r="AQ7">
        <v>5</v>
      </c>
      <c r="AR7">
        <f t="shared" si="2"/>
        <v>11.954336377100947</v>
      </c>
      <c r="AS7">
        <f t="shared" si="3"/>
        <v>1.0458689129718981</v>
      </c>
      <c r="AV7">
        <v>24.430066634467263</v>
      </c>
      <c r="AW7">
        <v>2.9125033023995517E-14</v>
      </c>
      <c r="AX7">
        <v>231.86799144423384</v>
      </c>
      <c r="AY7">
        <f t="shared" si="0"/>
        <v>231.86799144423384</v>
      </c>
      <c r="AZ7">
        <v>27.144518482741404</v>
      </c>
      <c r="BA7">
        <v>3.2361147804439465E-14</v>
      </c>
      <c r="BB7">
        <v>257.63110160470427</v>
      </c>
      <c r="BC7">
        <f t="shared" si="1"/>
        <v>257.63110160470427</v>
      </c>
      <c r="BF7">
        <v>-22.322617837747035</v>
      </c>
      <c r="BG7">
        <v>39.160279173295763</v>
      </c>
      <c r="BH7">
        <v>201.92018942492234</v>
      </c>
      <c r="BI7">
        <f t="shared" si="4"/>
        <v>205.6824989208537</v>
      </c>
      <c r="BJ7">
        <v>-24.802908708607816</v>
      </c>
      <c r="BK7">
        <v>43.511421303661955</v>
      </c>
      <c r="BL7">
        <v>224.35576602769149</v>
      </c>
      <c r="BM7">
        <f t="shared" si="5"/>
        <v>228.53610991205966</v>
      </c>
      <c r="BP7">
        <v>25.29407011405284</v>
      </c>
      <c r="BQ7">
        <v>-5.5608222775684449E-14</v>
      </c>
      <c r="BR7">
        <v>-234.44727254775148</v>
      </c>
      <c r="BS7">
        <f t="shared" si="6"/>
        <v>-234.44727254775148</v>
      </c>
      <c r="BT7">
        <v>28.104522348947597</v>
      </c>
      <c r="BU7">
        <v>-6.1786914195204939E-14</v>
      </c>
      <c r="BV7">
        <v>-260.49696949750165</v>
      </c>
      <c r="BW7">
        <f t="shared" si="7"/>
        <v>-260.49696949750165</v>
      </c>
      <c r="BX7" s="47"/>
      <c r="BY7" s="47"/>
      <c r="BZ7" s="47"/>
      <c r="CA7" s="47"/>
      <c r="CB7" s="47"/>
      <c r="CC7" s="47"/>
      <c r="CD7" s="47"/>
      <c r="CE7" s="47"/>
      <c r="CF7" s="47"/>
      <c r="CG7" s="47"/>
      <c r="CH7" s="47"/>
      <c r="CI7" s="47"/>
      <c r="CJ7" s="47"/>
      <c r="CK7" s="47"/>
      <c r="CL7" s="47"/>
      <c r="CM7" s="47"/>
      <c r="CN7" s="47"/>
      <c r="CO7" s="47"/>
      <c r="CP7" s="47"/>
      <c r="CQ7" s="47"/>
      <c r="CR7" s="47"/>
      <c r="CS7" s="47"/>
      <c r="CT7" s="47"/>
      <c r="CU7" s="47"/>
      <c r="CV7" s="47"/>
      <c r="CW7" s="47"/>
      <c r="CX7" s="47"/>
    </row>
    <row r="8" spans="1:102" x14ac:dyDescent="0.25">
      <c r="A8" s="2" t="s">
        <v>4</v>
      </c>
      <c r="B8" s="1">
        <f>IF(B5&lt;=4,0.85,IF(B5&lt;=8,0.85 - ((0.05*(B5-4))/1),0.65))</f>
        <v>0.79999999999999993</v>
      </c>
      <c r="I8" s="16" t="s">
        <v>68</v>
      </c>
      <c r="J8" s="29"/>
      <c r="K8" s="18"/>
      <c r="AJ8">
        <v>0.52359877559829882</v>
      </c>
      <c r="AK8">
        <v>239.03385332206639</v>
      </c>
      <c r="AL8">
        <v>137.90497603800259</v>
      </c>
      <c r="AM8">
        <v>265.59317035785153</v>
      </c>
      <c r="AN8">
        <v>153.22775115333621</v>
      </c>
      <c r="AQ8">
        <v>6</v>
      </c>
      <c r="AR8">
        <f t="shared" si="2"/>
        <v>11.934262744419279</v>
      </c>
      <c r="AS8">
        <f t="shared" si="3"/>
        <v>1.2543415592118417</v>
      </c>
      <c r="AV8">
        <v>114.03080633136534</v>
      </c>
      <c r="AW8">
        <v>-3.7629995428380016E-14</v>
      </c>
      <c r="AX8">
        <v>282.37884392726858</v>
      </c>
      <c r="AY8">
        <f t="shared" si="0"/>
        <v>282.37884392726858</v>
      </c>
      <c r="AZ8">
        <v>126.70089592373927</v>
      </c>
      <c r="BA8">
        <v>-4.1811106031533349E-14</v>
      </c>
      <c r="BB8">
        <v>313.75427103029841</v>
      </c>
      <c r="BC8">
        <f t="shared" si="1"/>
        <v>313.75427103029841</v>
      </c>
      <c r="BF8">
        <v>49.106787260972865</v>
      </c>
      <c r="BG8">
        <v>47.892916358354192</v>
      </c>
      <c r="BH8">
        <v>246.94784987295964</v>
      </c>
      <c r="BI8">
        <f t="shared" si="4"/>
        <v>251.54914429229555</v>
      </c>
      <c r="BJ8">
        <v>54.563096956636514</v>
      </c>
      <c r="BK8">
        <v>53.214351509282437</v>
      </c>
      <c r="BL8">
        <v>274.38649985884405</v>
      </c>
      <c r="BM8">
        <f t="shared" si="5"/>
        <v>279.49904921366169</v>
      </c>
      <c r="BP8">
        <v>103.5010567751896</v>
      </c>
      <c r="BQ8">
        <v>-3.0260692591811648E-15</v>
      </c>
      <c r="BR8">
        <v>-280.55908966767987</v>
      </c>
      <c r="BS8">
        <f t="shared" si="6"/>
        <v>-280.55908966767987</v>
      </c>
      <c r="BT8">
        <v>115.00117419465511</v>
      </c>
      <c r="BU8">
        <v>-3.3622991768679607E-15</v>
      </c>
      <c r="BV8">
        <v>-311.73232185297763</v>
      </c>
      <c r="BW8">
        <f t="shared" si="7"/>
        <v>-311.73232185297763</v>
      </c>
    </row>
    <row r="9" spans="1:102" x14ac:dyDescent="0.25">
      <c r="A9" s="2" t="s">
        <v>6</v>
      </c>
      <c r="B9" s="1">
        <f>0.85*B5</f>
        <v>4.25</v>
      </c>
      <c r="C9" t="s">
        <v>2</v>
      </c>
      <c r="D9">
        <v>8</v>
      </c>
      <c r="I9" s="20" t="s">
        <v>21</v>
      </c>
      <c r="J9" s="30">
        <v>357.8</v>
      </c>
      <c r="K9" s="21" t="s">
        <v>22</v>
      </c>
      <c r="L9" s="28" t="str">
        <f>"+ Compression"</f>
        <v>+ Compression</v>
      </c>
      <c r="AJ9">
        <v>0.6108652381980153</v>
      </c>
      <c r="AK9">
        <v>227.26442020402277</v>
      </c>
      <c r="AL9">
        <v>159.23877323239304</v>
      </c>
      <c r="AM9">
        <v>252.51602244891419</v>
      </c>
      <c r="AN9">
        <v>176.93197025821448</v>
      </c>
      <c r="AQ9">
        <v>7</v>
      </c>
      <c r="AR9">
        <f t="shared" si="2"/>
        <v>11.910553819695863</v>
      </c>
      <c r="AS9">
        <f t="shared" si="3"/>
        <v>1.4624321208617697</v>
      </c>
      <c r="AV9">
        <v>198.39086623963101</v>
      </c>
      <c r="AW9">
        <v>3.3296231913308002E-14</v>
      </c>
      <c r="AX9">
        <v>326.46177908987244</v>
      </c>
      <c r="AY9">
        <f t="shared" si="0"/>
        <v>326.46177908987244</v>
      </c>
      <c r="AZ9">
        <v>220.43429582181221</v>
      </c>
      <c r="BA9">
        <v>3.6995813237008888E-14</v>
      </c>
      <c r="BB9">
        <v>362.73531009985828</v>
      </c>
      <c r="BC9">
        <f t="shared" si="1"/>
        <v>362.73531009985828</v>
      </c>
      <c r="BF9">
        <v>130.59354030016857</v>
      </c>
      <c r="BG9">
        <v>56.410616575952638</v>
      </c>
      <c r="BH9">
        <v>290.86724171975595</v>
      </c>
      <c r="BI9">
        <f t="shared" si="4"/>
        <v>296.28687106947228</v>
      </c>
      <c r="BJ9">
        <v>145.10393366685398</v>
      </c>
      <c r="BK9">
        <v>62.678462862169596</v>
      </c>
      <c r="BL9">
        <v>323.18582413306217</v>
      </c>
      <c r="BM9">
        <f t="shared" si="5"/>
        <v>329.20763452163584</v>
      </c>
      <c r="BP9">
        <v>199.93461328218575</v>
      </c>
      <c r="BQ9">
        <v>-3.6399877212448436E-15</v>
      </c>
      <c r="BR9">
        <v>-324.49725980095837</v>
      </c>
      <c r="BS9">
        <f t="shared" si="6"/>
        <v>-324.49725980095837</v>
      </c>
      <c r="BT9">
        <v>222.14957031353973</v>
      </c>
      <c r="BU9">
        <v>-4.0444308013831595E-15</v>
      </c>
      <c r="BV9">
        <v>-360.55251088995374</v>
      </c>
      <c r="BW9">
        <f t="shared" si="7"/>
        <v>-360.55251088995374</v>
      </c>
    </row>
    <row r="10" spans="1:102" x14ac:dyDescent="0.25">
      <c r="A10" s="2" t="s">
        <v>7</v>
      </c>
      <c r="B10" s="6">
        <v>0</v>
      </c>
      <c r="C10" t="s">
        <v>8</v>
      </c>
      <c r="E10" t="s">
        <v>18</v>
      </c>
      <c r="F10" s="36">
        <f>B3-B11</f>
        <v>1.9196513245729534</v>
      </c>
      <c r="I10" s="20" t="s">
        <v>56</v>
      </c>
      <c r="J10" s="30">
        <v>10</v>
      </c>
      <c r="K10" s="21" t="s">
        <v>65</v>
      </c>
      <c r="L10" s="28" t="str">
        <f>"+ Puts Top of Section in Compression"</f>
        <v>+ Puts Top of Section in Compression</v>
      </c>
      <c r="AJ10">
        <v>0.69813170079773179</v>
      </c>
      <c r="AK10">
        <v>213.6671180547871</v>
      </c>
      <c r="AL10">
        <v>179.28799995448406</v>
      </c>
      <c r="AM10">
        <v>237.40790894976342</v>
      </c>
      <c r="AN10">
        <v>199.20888883831563</v>
      </c>
      <c r="AQ10">
        <v>8</v>
      </c>
      <c r="AR10">
        <f t="shared" si="2"/>
        <v>11.883216824898845</v>
      </c>
      <c r="AS10">
        <f t="shared" si="3"/>
        <v>1.6700772115207854</v>
      </c>
      <c r="AV10">
        <v>275.31138258514727</v>
      </c>
      <c r="AW10">
        <v>3.5707468912875603E-14</v>
      </c>
      <c r="AX10">
        <v>349.20966417787599</v>
      </c>
      <c r="AY10">
        <f t="shared" si="0"/>
        <v>349.20966417787599</v>
      </c>
      <c r="AZ10">
        <v>318.8423434999865</v>
      </c>
      <c r="BA10">
        <v>4.1353368544844109E-14</v>
      </c>
      <c r="BB10">
        <v>404.42507917333046</v>
      </c>
      <c r="BC10">
        <f t="shared" si="1"/>
        <v>404.42507917333046</v>
      </c>
      <c r="BF10">
        <v>210.34161207207481</v>
      </c>
      <c r="BG10">
        <v>64.025775024367306</v>
      </c>
      <c r="BH10">
        <v>330.13290246939397</v>
      </c>
      <c r="BI10">
        <f t="shared" si="4"/>
        <v>336.28415538103678</v>
      </c>
      <c r="BJ10">
        <v>233.71290230230534</v>
      </c>
      <c r="BK10">
        <v>71.139750027074783</v>
      </c>
      <c r="BL10">
        <v>366.81433607710443</v>
      </c>
      <c r="BM10">
        <f t="shared" si="5"/>
        <v>373.64906153448533</v>
      </c>
      <c r="BP10">
        <v>273.7436585182478</v>
      </c>
      <c r="BQ10">
        <v>-7.4794754192198795E-14</v>
      </c>
      <c r="BR10">
        <v>-341.50015707115961</v>
      </c>
      <c r="BS10">
        <f t="shared" si="6"/>
        <v>-341.50015707115961</v>
      </c>
      <c r="BT10">
        <v>323.19467804864246</v>
      </c>
      <c r="BU10">
        <v>-8.8306215500015482E-14</v>
      </c>
      <c r="BV10">
        <v>-403.19119688691131</v>
      </c>
      <c r="BW10">
        <f t="shared" si="7"/>
        <v>-403.19119688691131</v>
      </c>
    </row>
    <row r="11" spans="1:102" x14ac:dyDescent="0.25">
      <c r="A11" s="2" t="s">
        <v>9</v>
      </c>
      <c r="B11" s="6">
        <v>10.080348675427047</v>
      </c>
      <c r="C11" t="s">
        <v>0</v>
      </c>
      <c r="E11" t="s">
        <v>75</v>
      </c>
      <c r="F11" s="9">
        <f>B3-B12</f>
        <v>3.9357210596583627</v>
      </c>
      <c r="G11" s="1"/>
      <c r="I11" s="20" t="s">
        <v>57</v>
      </c>
      <c r="J11" s="30">
        <v>0</v>
      </c>
      <c r="K11" s="21" t="s">
        <v>65</v>
      </c>
      <c r="L11" s="28" t="str">
        <f>"+ Puts Left of Section in Compression"</f>
        <v>+ Puts Left of Section in Compression</v>
      </c>
      <c r="AJ11">
        <v>0.78539816339744828</v>
      </c>
      <c r="AK11">
        <v>196.28363087637362</v>
      </c>
      <c r="AL11">
        <v>196.16024021502332</v>
      </c>
      <c r="AM11">
        <v>218.09292319597068</v>
      </c>
      <c r="AN11">
        <v>217.95582246113702</v>
      </c>
      <c r="AQ11">
        <v>9</v>
      </c>
      <c r="AR11">
        <f t="shared" si="2"/>
        <v>11.852260087141653</v>
      </c>
      <c r="AS11">
        <f t="shared" si="3"/>
        <v>1.8772135804827705</v>
      </c>
      <c r="AV11">
        <v>336.70401849707412</v>
      </c>
      <c r="AW11">
        <v>3.8242787492145775E-14</v>
      </c>
      <c r="AX11">
        <v>347.21330419400158</v>
      </c>
      <c r="AY11">
        <f t="shared" si="0"/>
        <v>347.21330419400158</v>
      </c>
      <c r="AZ11">
        <v>424.34701913380593</v>
      </c>
      <c r="BA11">
        <v>4.8197265206683822E-14</v>
      </c>
      <c r="BB11">
        <v>437.59183895693332</v>
      </c>
      <c r="BC11">
        <f t="shared" si="1"/>
        <v>437.59183895693332</v>
      </c>
      <c r="BF11">
        <v>281.94855971637031</v>
      </c>
      <c r="BG11">
        <v>68.331614839518593</v>
      </c>
      <c r="BH11">
        <v>352.33488901626788</v>
      </c>
      <c r="BI11">
        <f t="shared" si="4"/>
        <v>358.89982391286031</v>
      </c>
      <c r="BJ11">
        <v>323.64236901692402</v>
      </c>
      <c r="BK11">
        <v>78.43631380015087</v>
      </c>
      <c r="BL11">
        <v>404.43724303202811</v>
      </c>
      <c r="BM11">
        <f t="shared" si="5"/>
        <v>411.97298318446019</v>
      </c>
      <c r="BP11">
        <v>327.05814004495318</v>
      </c>
      <c r="BQ11">
        <v>-1.5337223973412013E-13</v>
      </c>
      <c r="BR11">
        <v>-342.18014000799349</v>
      </c>
      <c r="BS11">
        <f t="shared" si="6"/>
        <v>-342.18014000799349</v>
      </c>
      <c r="BT11">
        <v>419.94282321832668</v>
      </c>
      <c r="BU11">
        <v>-1.9693003619604697E-13</v>
      </c>
      <c r="BV11">
        <v>-439.35947909582217</v>
      </c>
      <c r="BW11">
        <f t="shared" si="7"/>
        <v>-439.35947909582217</v>
      </c>
    </row>
    <row r="12" spans="1:102" ht="15.75" thickBot="1" x14ac:dyDescent="0.3">
      <c r="A12" s="2" t="s">
        <v>10</v>
      </c>
      <c r="B12" s="7">
        <f>B11*B8</f>
        <v>8.0642789403416373</v>
      </c>
      <c r="C12" t="s">
        <v>0</v>
      </c>
      <c r="E12" t="s">
        <v>19</v>
      </c>
      <c r="F12" s="9">
        <f>IF(B11&lt;0,0,IF(F11&lt;(-1*B3),0,SQRT(POWER(B3,2)-POWER(F11,2))))</f>
        <v>11.336229520460568</v>
      </c>
      <c r="G12" s="9">
        <f>F11</f>
        <v>3.9357210596583627</v>
      </c>
      <c r="I12" s="24" t="s">
        <v>67</v>
      </c>
      <c r="J12" s="25">
        <f>IF(AND(J10=0,J11=0),0,MOD(ATAN2(J10,J11),2*PI()))</f>
        <v>0</v>
      </c>
      <c r="K12" s="26" t="s">
        <v>17</v>
      </c>
      <c r="AJ12">
        <v>0.87266462599716477</v>
      </c>
      <c r="AK12">
        <v>177.31768261130767</v>
      </c>
      <c r="AL12">
        <v>211.45544420379068</v>
      </c>
      <c r="AM12">
        <v>197.0196473458974</v>
      </c>
      <c r="AN12">
        <v>234.95049355976741</v>
      </c>
      <c r="AQ12">
        <v>10</v>
      </c>
      <c r="AR12">
        <f t="shared" si="2"/>
        <v>11.817693036146496</v>
      </c>
      <c r="AS12">
        <f t="shared" si="3"/>
        <v>2.0837781320031641</v>
      </c>
      <c r="AV12">
        <v>388.876728046197</v>
      </c>
      <c r="AW12">
        <v>2.8040339306965442E-14</v>
      </c>
      <c r="AX12">
        <v>343.69306514645166</v>
      </c>
      <c r="AY12">
        <f t="shared" si="0"/>
        <v>343.69306514645166</v>
      </c>
      <c r="AZ12">
        <v>527.32184839283218</v>
      </c>
      <c r="BA12">
        <v>3.8023061002392132E-14</v>
      </c>
      <c r="BB12">
        <v>466.0522199500063</v>
      </c>
      <c r="BC12">
        <f t="shared" si="1"/>
        <v>466.0522199500063</v>
      </c>
      <c r="BF12">
        <v>333.97429883909678</v>
      </c>
      <c r="BG12">
        <v>68.654383424682962</v>
      </c>
      <c r="BH12">
        <v>353.99916439201644</v>
      </c>
      <c r="BI12">
        <f t="shared" si="4"/>
        <v>360.59510916493207</v>
      </c>
      <c r="BJ12">
        <v>413.77491297460256</v>
      </c>
      <c r="BK12">
        <v>85.058825261758926</v>
      </c>
      <c r="BL12">
        <v>438.58456758062783</v>
      </c>
      <c r="BM12">
        <f t="shared" si="5"/>
        <v>446.75656310209558</v>
      </c>
      <c r="BP12">
        <v>380.27197872520208</v>
      </c>
      <c r="BQ12">
        <v>-7.7265733235168763E-14</v>
      </c>
      <c r="BR12">
        <v>-336.43231450139564</v>
      </c>
      <c r="BS12">
        <f t="shared" si="6"/>
        <v>-336.43231450139564</v>
      </c>
      <c r="BT12">
        <v>525.03969381238153</v>
      </c>
      <c r="BU12">
        <v>-1.0668042661459871E-13</v>
      </c>
      <c r="BV12">
        <v>-464.51048006892489</v>
      </c>
      <c r="BW12">
        <f t="shared" si="7"/>
        <v>-464.51048006892489</v>
      </c>
    </row>
    <row r="13" spans="1:102" ht="15.75" thickBot="1" x14ac:dyDescent="0.3">
      <c r="A13" s="2" t="s">
        <v>11</v>
      </c>
      <c r="B13" s="1">
        <v>3.0000000000000001E-3</v>
      </c>
      <c r="E13" t="s">
        <v>20</v>
      </c>
      <c r="F13" s="1">
        <f>IF(B11&lt;0,0,IF(F11&lt;(-1*B3),0,-1*SQRT(POWER(B3,2)-POWER(F11,2))))</f>
        <v>-11.336229520460568</v>
      </c>
      <c r="G13" s="9">
        <f>F11</f>
        <v>3.9357210596583627</v>
      </c>
      <c r="I13" s="31" t="s">
        <v>148</v>
      </c>
      <c r="J13" s="32">
        <f>SQRT(POWER(J10,2)+POWER(J11,2))</f>
        <v>10</v>
      </c>
      <c r="K13" s="33" t="s">
        <v>65</v>
      </c>
      <c r="L13">
        <f>DEGREES(J12)</f>
        <v>0</v>
      </c>
      <c r="AJ13">
        <v>0.95993108859688125</v>
      </c>
      <c r="AK13">
        <v>157.66338983548221</v>
      </c>
      <c r="AL13">
        <v>225.3224512256806</v>
      </c>
      <c r="AM13">
        <v>175.18154426164691</v>
      </c>
      <c r="AN13">
        <v>250.35827913964511</v>
      </c>
      <c r="AQ13">
        <v>11</v>
      </c>
      <c r="AR13">
        <f t="shared" si="2"/>
        <v>11.779526201371969</v>
      </c>
      <c r="AS13">
        <f t="shared" si="3"/>
        <v>2.2897079445185375</v>
      </c>
      <c r="AV13">
        <v>435.58348334126401</v>
      </c>
      <c r="AW13">
        <v>2.7098264454064335E-14</v>
      </c>
      <c r="AX13">
        <v>335.40134110700905</v>
      </c>
      <c r="AY13">
        <f t="shared" si="0"/>
        <v>335.40134110700905</v>
      </c>
      <c r="AZ13">
        <v>629.79195899032311</v>
      </c>
      <c r="BA13">
        <v>3.9180248352971202E-14</v>
      </c>
      <c r="BB13">
        <v>484.94278534953378</v>
      </c>
      <c r="BC13">
        <f t="shared" si="1"/>
        <v>484.94278534953378</v>
      </c>
      <c r="BF13">
        <v>383.78906963113286</v>
      </c>
      <c r="BG13">
        <v>68.179506358141168</v>
      </c>
      <c r="BH13">
        <v>351.55057965916529</v>
      </c>
      <c r="BI13">
        <f t="shared" si="4"/>
        <v>358.10090078905824</v>
      </c>
      <c r="BJ13">
        <v>508.12269093083466</v>
      </c>
      <c r="BK13">
        <v>90.267172721545293</v>
      </c>
      <c r="BL13">
        <v>465.44010934546776</v>
      </c>
      <c r="BM13">
        <f t="shared" si="5"/>
        <v>474.11249494045427</v>
      </c>
      <c r="BP13">
        <v>429.73599311672439</v>
      </c>
      <c r="BQ13">
        <v>-7.6370379318113318E-14</v>
      </c>
      <c r="BR13">
        <v>-327.97730189950335</v>
      </c>
      <c r="BS13">
        <f t="shared" si="6"/>
        <v>-327.97730189950335</v>
      </c>
      <c r="BT13">
        <v>632.29403025542274</v>
      </c>
      <c r="BU13">
        <v>-1.1236790891301762E-13</v>
      </c>
      <c r="BV13">
        <v>-482.57091184356221</v>
      </c>
      <c r="BW13">
        <f t="shared" si="7"/>
        <v>-482.57091184356221</v>
      </c>
    </row>
    <row r="14" spans="1:102" ht="15.75" thickBot="1" x14ac:dyDescent="0.3">
      <c r="F14" s="1">
        <f>IF(B11&lt;0,0,IF(F10&lt;(-1*B3),0,SQRT(POWER(B3,2)-POWER(F10,2))))</f>
        <v>11.845460682981701</v>
      </c>
      <c r="G14" s="36">
        <f>F10</f>
        <v>1.9196513245729534</v>
      </c>
      <c r="I14" s="49" t="s">
        <v>147</v>
      </c>
      <c r="J14" s="32">
        <f ca="1">J13/J7</f>
        <v>2.9442605049014931E-2</v>
      </c>
      <c r="K14" s="33"/>
      <c r="AJ14">
        <v>1.0471975511965976</v>
      </c>
      <c r="AK14">
        <v>137.3403460462772</v>
      </c>
      <c r="AL14">
        <v>237.88045728124348</v>
      </c>
      <c r="AM14">
        <v>152.60038449586355</v>
      </c>
      <c r="AN14">
        <v>264.31161920138163</v>
      </c>
      <c r="AQ14">
        <v>12</v>
      </c>
      <c r="AR14">
        <f t="shared" si="2"/>
        <v>11.737771208805668</v>
      </c>
      <c r="AS14">
        <f t="shared" si="3"/>
        <v>2.4949402898131119</v>
      </c>
      <c r="AV14">
        <v>483.42173025462063</v>
      </c>
      <c r="AW14">
        <v>2.7414474329825959E-14</v>
      </c>
      <c r="AX14">
        <v>321.20454669415074</v>
      </c>
      <c r="AY14">
        <f t="shared" si="0"/>
        <v>321.20454669415074</v>
      </c>
      <c r="AZ14">
        <v>739.80780170266598</v>
      </c>
      <c r="BA14">
        <v>4.1953931152619833E-14</v>
      </c>
      <c r="BB14">
        <v>491.55760842926998</v>
      </c>
      <c r="BC14">
        <f t="shared" si="1"/>
        <v>491.55760842926998</v>
      </c>
      <c r="BF14">
        <v>429.21894169648482</v>
      </c>
      <c r="BG14">
        <v>67.13539581382004</v>
      </c>
      <c r="BH14">
        <v>346.16688466500949</v>
      </c>
      <c r="BI14">
        <f t="shared" si="4"/>
        <v>352.61689325634455</v>
      </c>
      <c r="BJ14">
        <v>602.95190096974386</v>
      </c>
      <c r="BK14">
        <v>94.309478440779856</v>
      </c>
      <c r="BL14">
        <v>486.28324821027098</v>
      </c>
      <c r="BM14">
        <f t="shared" si="5"/>
        <v>495.3439968483558</v>
      </c>
      <c r="BP14">
        <v>482.01773785033367</v>
      </c>
      <c r="BQ14">
        <v>-7.1053994030114668E-14</v>
      </c>
      <c r="BR14">
        <v>-319.6234149326682</v>
      </c>
      <c r="BS14">
        <f t="shared" si="6"/>
        <v>-319.6234149326682</v>
      </c>
      <c r="BT14">
        <v>741.56575053897484</v>
      </c>
      <c r="BU14">
        <v>-1.0931383696940718E-13</v>
      </c>
      <c r="BV14">
        <v>-491.72833066564334</v>
      </c>
      <c r="BW14">
        <f t="shared" si="7"/>
        <v>-491.72833066564334</v>
      </c>
    </row>
    <row r="15" spans="1:102" x14ac:dyDescent="0.25">
      <c r="F15" s="1">
        <f>IF(B11&lt;0,0,IF(F10&lt;(-1*B3),0,-1*SQRT(POWER(B3,2)-POWER(F10,2))))</f>
        <v>-11.845460682981701</v>
      </c>
      <c r="G15" s="36">
        <f>F10</f>
        <v>1.9196513245729534</v>
      </c>
      <c r="J15" s="1" t="s">
        <v>34</v>
      </c>
      <c r="K15" t="s">
        <v>76</v>
      </c>
      <c r="AJ15">
        <v>1.134464013796314</v>
      </c>
      <c r="AK15">
        <v>116.3032718866785</v>
      </c>
      <c r="AL15">
        <v>249.20172645713762</v>
      </c>
      <c r="AM15">
        <v>129.225857651865</v>
      </c>
      <c r="AN15">
        <v>276.89080717459734</v>
      </c>
      <c r="AQ15">
        <v>13</v>
      </c>
      <c r="AR15">
        <f t="shared" si="2"/>
        <v>11.692440777422823</v>
      </c>
      <c r="AS15">
        <f t="shared" si="3"/>
        <v>2.6994126521263802</v>
      </c>
      <c r="AV15">
        <v>554.0152161165513</v>
      </c>
      <c r="AW15">
        <v>2.4094941069178597E-14</v>
      </c>
      <c r="AX15">
        <v>317.94372687986828</v>
      </c>
      <c r="AY15">
        <f t="shared" si="0"/>
        <v>317.94372687986828</v>
      </c>
      <c r="AZ15">
        <v>852.33110171777116</v>
      </c>
      <c r="BA15">
        <v>3.7069140106428611E-14</v>
      </c>
      <c r="BB15">
        <v>489.14419519979731</v>
      </c>
      <c r="BC15">
        <f t="shared" si="1"/>
        <v>489.14419519979731</v>
      </c>
      <c r="BF15">
        <v>470.11921769271839</v>
      </c>
      <c r="BG15">
        <v>65.515907805683099</v>
      </c>
      <c r="BH15">
        <v>337.81639962305326</v>
      </c>
      <c r="BI15">
        <f t="shared" si="4"/>
        <v>344.11081649649606</v>
      </c>
      <c r="BJ15">
        <v>696.66124836531412</v>
      </c>
      <c r="BK15">
        <v>97.086850317884725</v>
      </c>
      <c r="BL15">
        <v>500.6040719515928</v>
      </c>
      <c r="BM15">
        <f t="shared" si="5"/>
        <v>509.9316555766693</v>
      </c>
      <c r="BP15">
        <v>554.21759766873129</v>
      </c>
      <c r="BQ15">
        <v>-6.6211583987844078E-14</v>
      </c>
      <c r="BR15">
        <v>-318.40515571445968</v>
      </c>
      <c r="BS15">
        <f t="shared" si="6"/>
        <v>-318.40515571445968</v>
      </c>
      <c r="BT15">
        <v>852.64245795189424</v>
      </c>
      <c r="BU15">
        <v>-1.0186397536591396E-13</v>
      </c>
      <c r="BV15">
        <v>-489.85408571455332</v>
      </c>
      <c r="BW15">
        <f t="shared" si="7"/>
        <v>-489.85408571455332</v>
      </c>
    </row>
    <row r="16" spans="1:102" x14ac:dyDescent="0.25">
      <c r="A16" s="2" t="s">
        <v>15</v>
      </c>
      <c r="B16">
        <f>IF(B11&lt;0,0,ATAN2(F12,G12))</f>
        <v>0.33416106453807548</v>
      </c>
      <c r="C16" t="s">
        <v>17</v>
      </c>
      <c r="E16" s="1" t="s">
        <v>46</v>
      </c>
      <c r="F16" s="1" t="s">
        <v>47</v>
      </c>
      <c r="I16" s="1" t="s">
        <v>73</v>
      </c>
      <c r="J16" s="4">
        <f ca="1">((((PI()*B3*B3)-C109)*B9)+(C35*C109))*IF(B1="Spiral",0.85,0.8)*IF(B1="Spiral",0.75,0.65)</f>
        <v>1156.326446078416</v>
      </c>
      <c r="K16" s="1">
        <f ca="1">J16/IF(B1="Spiral",0.75,0.65)</f>
        <v>1778.9637631975629</v>
      </c>
      <c r="L16">
        <f ca="1">J16/IF(B1="Spiral",0.85,0.8)</f>
        <v>1445.4080575980199</v>
      </c>
      <c r="AJ16">
        <v>1.2217304763960304</v>
      </c>
      <c r="AK16">
        <v>94.466945143338876</v>
      </c>
      <c r="AL16">
        <v>259.28933978342246</v>
      </c>
      <c r="AM16">
        <v>104.96327238148764</v>
      </c>
      <c r="AN16">
        <v>288.09926642602494</v>
      </c>
      <c r="AQ16">
        <v>14</v>
      </c>
      <c r="AR16">
        <f t="shared" si="2"/>
        <v>11.643548715311958</v>
      </c>
      <c r="AS16">
        <f t="shared" si="3"/>
        <v>2.9030627471960129</v>
      </c>
      <c r="AV16">
        <v>624.42632446080529</v>
      </c>
      <c r="AW16">
        <v>2.4615357852036345E-14</v>
      </c>
      <c r="AX16">
        <v>313.87339815276522</v>
      </c>
      <c r="AY16">
        <f t="shared" si="0"/>
        <v>313.87339815276522</v>
      </c>
      <c r="AZ16">
        <v>960.65588378585426</v>
      </c>
      <c r="BA16">
        <v>3.7869781310825146E-14</v>
      </c>
      <c r="BB16">
        <v>482.88215100425418</v>
      </c>
      <c r="BC16">
        <f t="shared" si="1"/>
        <v>482.88215100425418</v>
      </c>
      <c r="BF16">
        <v>519.42687190015772</v>
      </c>
      <c r="BG16">
        <v>63.766055248085678</v>
      </c>
      <c r="BH16">
        <v>328.79372237294177</v>
      </c>
      <c r="BI16">
        <f t="shared" si="4"/>
        <v>334.92002280209675</v>
      </c>
      <c r="BJ16">
        <v>799.11826446178111</v>
      </c>
      <c r="BK16">
        <v>98.101623458593352</v>
      </c>
      <c r="BL16">
        <v>505.83649595837193</v>
      </c>
      <c r="BM16">
        <f t="shared" si="5"/>
        <v>515.26157354168731</v>
      </c>
      <c r="BP16">
        <v>625.10324896726354</v>
      </c>
      <c r="BQ16">
        <v>-6.7089380881985802E-14</v>
      </c>
      <c r="BR16">
        <v>-314.80443634029928</v>
      </c>
      <c r="BS16">
        <f t="shared" si="6"/>
        <v>-314.80443634029928</v>
      </c>
      <c r="BT16">
        <v>961.69730610348233</v>
      </c>
      <c r="BU16">
        <v>-1.03214432126132E-13</v>
      </c>
      <c r="BV16">
        <v>-484.31451744661427</v>
      </c>
      <c r="BW16">
        <f t="shared" si="7"/>
        <v>-484.31451744661427</v>
      </c>
    </row>
    <row r="17" spans="1:75" x14ac:dyDescent="0.25">
      <c r="A17" s="2" t="s">
        <v>16</v>
      </c>
      <c r="B17">
        <f>IF(B11&lt;0,0,IF(B16&lt;0,(2*PI())+ATAN2(F13,G13),ATAN2(F13,G13)))</f>
        <v>2.8074315890517179</v>
      </c>
      <c r="C17" t="s">
        <v>17</v>
      </c>
      <c r="E17" s="7" t="e">
        <f>IF(B2="Whitney",F12*COS(-1*$B$10)+G12*SIN(-1*$B$10),NA())</f>
        <v>#N/A</v>
      </c>
      <c r="F17" s="7">
        <f>-1*F12*SIN(-1*$B$10)+G12*COS(-1*$B$10)</f>
        <v>3.9357210596583627</v>
      </c>
      <c r="G17" s="7">
        <f>F14*COS(-1*$B$10)+G14*SIN(-1*$B$10)</f>
        <v>11.845460682981701</v>
      </c>
      <c r="H17" s="7">
        <f>-1*F14*SIN(-1*$B$10)+G14*COS(-1*$B$10)</f>
        <v>1.9196513245729534</v>
      </c>
      <c r="I17" s="1" t="s">
        <v>74</v>
      </c>
      <c r="J17" s="4">
        <f ca="1">-1*C109*C35*0.9</f>
        <v>-291.59999999999997</v>
      </c>
      <c r="K17" s="1">
        <f ca="1">J17/0.9</f>
        <v>-323.99999999999994</v>
      </c>
      <c r="AJ17">
        <v>1.3089969389957468</v>
      </c>
      <c r="AK17">
        <v>71.73793580048131</v>
      </c>
      <c r="AL17">
        <v>268.06673079349872</v>
      </c>
      <c r="AM17">
        <v>79.708817556090338</v>
      </c>
      <c r="AN17">
        <v>297.85192310388749</v>
      </c>
      <c r="AQ17">
        <v>15</v>
      </c>
      <c r="AR17">
        <f t="shared" si="2"/>
        <v>11.59110991546882</v>
      </c>
      <c r="AS17">
        <f t="shared" si="3"/>
        <v>3.1058285412302489</v>
      </c>
      <c r="AV17">
        <v>692.40991660165776</v>
      </c>
      <c r="AW17">
        <v>2.4969284372750516E-14</v>
      </c>
      <c r="AX17">
        <v>307.08519043758469</v>
      </c>
      <c r="AY17">
        <f t="shared" si="0"/>
        <v>307.08519043758469</v>
      </c>
      <c r="AZ17">
        <v>1065.2460255410119</v>
      </c>
      <c r="BA17">
        <v>3.8414283650385407E-14</v>
      </c>
      <c r="BB17">
        <v>472.43875451936105</v>
      </c>
      <c r="BC17">
        <f t="shared" si="1"/>
        <v>472.43875451936105</v>
      </c>
      <c r="BF17">
        <v>585.86234664956851</v>
      </c>
      <c r="BG17">
        <v>63.643662208183038</v>
      </c>
      <c r="BH17">
        <v>328.16263312048119</v>
      </c>
      <c r="BI17">
        <f t="shared" si="4"/>
        <v>334.27717468567437</v>
      </c>
      <c r="BJ17">
        <v>901.32668715318232</v>
      </c>
      <c r="BK17">
        <v>97.913326474127743</v>
      </c>
      <c r="BL17">
        <v>504.86558941612486</v>
      </c>
      <c r="BM17">
        <f t="shared" si="5"/>
        <v>514.27257643949895</v>
      </c>
      <c r="BP17">
        <v>693.52177467438889</v>
      </c>
      <c r="BQ17">
        <v>-5.9759091174387834E-14</v>
      </c>
      <c r="BR17">
        <v>-308.42560303974653</v>
      </c>
      <c r="BS17">
        <f t="shared" si="6"/>
        <v>-308.42560303974653</v>
      </c>
      <c r="BT17">
        <v>1066.9565764221368</v>
      </c>
      <c r="BU17">
        <v>-9.1937063345212047E-14</v>
      </c>
      <c r="BV17">
        <v>-474.50092775345621</v>
      </c>
      <c r="BW17">
        <f t="shared" si="7"/>
        <v>-474.50092775345621</v>
      </c>
    </row>
    <row r="18" spans="1:75" x14ac:dyDescent="0.25">
      <c r="C18" s="1"/>
      <c r="D18" s="1"/>
      <c r="E18" s="7" t="e">
        <f>IF(B2="Whitney",F13*COS(-1*$B$10)+G13*SIN(-1*$B$10),NA())</f>
        <v>#N/A</v>
      </c>
      <c r="F18" s="7">
        <f>-1*F13*SIN(-1*$B$10)+G13*COS(-1*$B$10)</f>
        <v>3.9357210596583627</v>
      </c>
      <c r="G18" s="7">
        <f>F15*COS(-1*$B$10)+G15*SIN(-1*$B$10)</f>
        <v>-11.845460682981701</v>
      </c>
      <c r="H18" s="7">
        <f>-1*F15*SIN(-1*$B$10)+G15*COS(-1*$B$10)</f>
        <v>1.9196513245729534</v>
      </c>
      <c r="AJ18">
        <v>1.3962634015954631</v>
      </c>
      <c r="AK18">
        <v>48.434403526893206</v>
      </c>
      <c r="AL18">
        <v>274.68515216609683</v>
      </c>
      <c r="AM18">
        <v>53.816003918770228</v>
      </c>
      <c r="AN18">
        <v>305.20572462899645</v>
      </c>
      <c r="AQ18">
        <v>16</v>
      </c>
      <c r="AR18">
        <f t="shared" si="2"/>
        <v>11.535140351259827</v>
      </c>
      <c r="AS18">
        <f t="shared" si="3"/>
        <v>3.3076482698039902</v>
      </c>
      <c r="AV18">
        <v>758.1177725133831</v>
      </c>
      <c r="AW18">
        <v>1.8223107045133499E-14</v>
      </c>
      <c r="AX18">
        <v>297.48406361893024</v>
      </c>
      <c r="AY18">
        <f t="shared" si="0"/>
        <v>297.48406361893024</v>
      </c>
      <c r="AZ18">
        <v>1166.3350346359739</v>
      </c>
      <c r="BA18">
        <v>2.8035549300205381E-14</v>
      </c>
      <c r="BB18">
        <v>457.66779018296955</v>
      </c>
      <c r="BC18">
        <f t="shared" si="1"/>
        <v>457.66779018296955</v>
      </c>
      <c r="BF18">
        <v>649.92660665434062</v>
      </c>
      <c r="BG18">
        <v>63.068059468780206</v>
      </c>
      <c r="BH18">
        <v>325.19468163589784</v>
      </c>
      <c r="BI18">
        <f t="shared" si="4"/>
        <v>331.25392237591774</v>
      </c>
      <c r="BJ18">
        <v>999.88708716052395</v>
      </c>
      <c r="BK18">
        <v>97.027783798123394</v>
      </c>
      <c r="BL18">
        <v>500.29951020907356</v>
      </c>
      <c r="BM18">
        <f t="shared" si="5"/>
        <v>509.62141903987344</v>
      </c>
      <c r="BP18">
        <v>758.59756311466629</v>
      </c>
      <c r="BQ18">
        <v>-6.410778068405648E-14</v>
      </c>
      <c r="BR18">
        <v>-298.58000690628035</v>
      </c>
      <c r="BS18">
        <f t="shared" si="6"/>
        <v>-298.58000690628035</v>
      </c>
      <c r="BT18">
        <v>1167.0731740225635</v>
      </c>
      <c r="BU18">
        <v>-9.8627354898548431E-14</v>
      </c>
      <c r="BV18">
        <v>-459.3538567788928</v>
      </c>
      <c r="BW18">
        <f t="shared" si="7"/>
        <v>-459.3538567788928</v>
      </c>
    </row>
    <row r="19" spans="1:75" x14ac:dyDescent="0.25">
      <c r="A19" t="s">
        <v>138</v>
      </c>
      <c r="C19" s="1">
        <f ca="1">IF(B2="Whitney",((B13*B3)-(B13*MIN(J37:J108)))/(B13-(C35/F35)),MAX(((B13*B3)-(B13*MIN(J37:J108)))/(B13-(C35/F35)),((B13*B3)-(B13*(-1*B3)))/(B13-B128)))</f>
        <v>78.79684512131567</v>
      </c>
      <c r="D19" t="s">
        <v>0</v>
      </c>
      <c r="L19">
        <f>IF(B16=0,(($B$3*$B$3*B16)/2),(($F$11*$F$11)/(2*TAN(B16)))+(($B$3*$B$3*B16)/2))</f>
        <v>46.367715277140171</v>
      </c>
      <c r="M19">
        <f>IF(B16=0,-1*POWER($B$3,3)*COS(B16)*(1/3),(POWER($F$11,3)/(3*TAN(B16)))-(POWER($B$3,3)*COS(B16)*(1/3)))</f>
        <v>-485.6066621187623</v>
      </c>
      <c r="N19">
        <f>IF(B16=0,POWER($B$3,3)*SIN(B16)*(1/3),(POWER($F$11,3)/(6*POWER(SIN(B16),2)))+(POWER($B$3,3)*SIN(B16)*(1/3)))</f>
        <v>283.37191629540212</v>
      </c>
      <c r="AJ19">
        <v>1.4835298641951795</v>
      </c>
      <c r="AK19">
        <v>24.272612784711061</v>
      </c>
      <c r="AL19">
        <v>276.43614788922173</v>
      </c>
      <c r="AM19">
        <v>26.969569760790066</v>
      </c>
      <c r="AN19">
        <v>307.15127543246859</v>
      </c>
      <c r="AQ19">
        <v>17</v>
      </c>
      <c r="AR19">
        <f t="shared" si="2"/>
        <v>11.475657071556425</v>
      </c>
      <c r="AS19">
        <f t="shared" si="3"/>
        <v>3.5084604566728412</v>
      </c>
      <c r="AV19">
        <v>819.70225637040278</v>
      </c>
      <c r="AW19">
        <v>1.8056140483423336E-14</v>
      </c>
      <c r="AX19">
        <v>285.33398447491732</v>
      </c>
      <c r="AY19">
        <f t="shared" si="0"/>
        <v>285.33398447491732</v>
      </c>
      <c r="AZ19">
        <v>1261.0803944160043</v>
      </c>
      <c r="BA19">
        <v>2.7778677666805131E-14</v>
      </c>
      <c r="BB19">
        <v>438.97536073064202</v>
      </c>
      <c r="BC19">
        <f t="shared" si="1"/>
        <v>438.97536073064202</v>
      </c>
      <c r="BF19">
        <v>710.54031180899585</v>
      </c>
      <c r="BG19">
        <v>62.048074315494169</v>
      </c>
      <c r="BH19">
        <v>319.93538318926682</v>
      </c>
      <c r="BI19">
        <f t="shared" si="4"/>
        <v>325.89662922884622</v>
      </c>
      <c r="BJ19">
        <v>1093.138941244609</v>
      </c>
      <c r="BK19">
        <v>95.458575869991023</v>
      </c>
      <c r="BL19">
        <v>492.20828182964124</v>
      </c>
      <c r="BM19">
        <f t="shared" si="5"/>
        <v>501.37942958284037</v>
      </c>
      <c r="BP19">
        <v>821.2512701334183</v>
      </c>
      <c r="BQ19">
        <v>-6.0220528574181473E-14</v>
      </c>
      <c r="BR19">
        <v>-285.80472328164365</v>
      </c>
      <c r="BS19">
        <f t="shared" si="6"/>
        <v>-285.80472328164365</v>
      </c>
      <c r="BT19">
        <v>1263.4634925129512</v>
      </c>
      <c r="BU19">
        <v>-9.2646967037202262E-14</v>
      </c>
      <c r="BV19">
        <v>-439.69957427945172</v>
      </c>
      <c r="BW19">
        <f t="shared" si="7"/>
        <v>-439.69957427945172</v>
      </c>
    </row>
    <row r="20" spans="1:75" x14ac:dyDescent="0.25">
      <c r="L20">
        <f>IF(B17=0,(($B$3*$B$3*B17)/2),(($F$11*$F$11)/(2*TAN(B17)))+(($B$3*$B$3*B17)/2))</f>
        <v>179.82695578132493</v>
      </c>
      <c r="M20">
        <f>IF(B17=0,-1*POWER($B$3,3)*COS(B17)*(1/3),(POWER($F$11,3)/(3*TAN(B17)))-(POWER($B$3,3)*COS(B17)*(1/3)))</f>
        <v>485.6066621187623</v>
      </c>
      <c r="N20">
        <f>IF(B17=0,POWER($B$3,3)*SIN(B17)*(1/3),(POWER($F$11,3)/(6*POWER(SIN(B17),2)))+(POWER($B$3,3)*SIN(B17)*(1/3)))</f>
        <v>283.37191629540212</v>
      </c>
      <c r="AJ20">
        <v>1.5707963267948959</v>
      </c>
      <c r="AK20">
        <v>-8.771410383846108E-2</v>
      </c>
      <c r="AL20">
        <v>275.96187736039411</v>
      </c>
      <c r="AM20">
        <v>-9.7460115376067857E-2</v>
      </c>
      <c r="AN20">
        <v>306.6243081782157</v>
      </c>
      <c r="AQ20">
        <v>18</v>
      </c>
      <c r="AR20">
        <f t="shared" si="2"/>
        <v>11.412678195541842</v>
      </c>
      <c r="AS20">
        <f t="shared" si="3"/>
        <v>3.7082039324993685</v>
      </c>
      <c r="AV20">
        <v>880.62874382249186</v>
      </c>
      <c r="AW20">
        <v>1.8673738145095849E-14</v>
      </c>
      <c r="AX20">
        <v>270.28419037939597</v>
      </c>
      <c r="AY20">
        <f t="shared" si="0"/>
        <v>270.28419037939597</v>
      </c>
      <c r="AZ20">
        <v>1354.8134520346027</v>
      </c>
      <c r="BA20">
        <v>2.8728827915532072E-14</v>
      </c>
      <c r="BB20">
        <v>415.82183135291683</v>
      </c>
      <c r="BC20">
        <f t="shared" si="1"/>
        <v>415.82183135291683</v>
      </c>
      <c r="BF20">
        <v>771.20065268846031</v>
      </c>
      <c r="BG20">
        <v>60.578678363641437</v>
      </c>
      <c r="BH20">
        <v>312.35881031252592</v>
      </c>
      <c r="BI20">
        <f t="shared" si="4"/>
        <v>318.17888467360945</v>
      </c>
      <c r="BJ20">
        <v>1186.4625425976312</v>
      </c>
      <c r="BK20">
        <v>93.19796671329452</v>
      </c>
      <c r="BL20">
        <v>480.55201586542449</v>
      </c>
      <c r="BM20">
        <f t="shared" si="5"/>
        <v>489.50597642093766</v>
      </c>
      <c r="BP20">
        <v>881.7116521901545</v>
      </c>
      <c r="BQ20">
        <v>-5.2768758307882139E-14</v>
      </c>
      <c r="BR20">
        <v>-270.38758493400292</v>
      </c>
      <c r="BS20">
        <f t="shared" si="6"/>
        <v>-270.38758493400292</v>
      </c>
      <c r="BT20">
        <v>1356.4794649079299</v>
      </c>
      <c r="BU20">
        <v>-8.1182705089049446E-14</v>
      </c>
      <c r="BV20">
        <v>-415.98089989846602</v>
      </c>
      <c r="BW20">
        <f t="shared" si="7"/>
        <v>-415.98089989846602</v>
      </c>
    </row>
    <row r="21" spans="1:75" x14ac:dyDescent="0.25">
      <c r="L21">
        <f>L20-L19</f>
        <v>133.45924050418475</v>
      </c>
      <c r="M21">
        <f>M20-M19</f>
        <v>971.2133242375246</v>
      </c>
      <c r="N21">
        <f>N20-N19</f>
        <v>0</v>
      </c>
      <c r="AJ21">
        <v>1.6580627893946123</v>
      </c>
      <c r="AK21">
        <v>-24.057316165294541</v>
      </c>
      <c r="AL21">
        <v>273.95108515880622</v>
      </c>
      <c r="AM21">
        <v>-26.730351294771712</v>
      </c>
      <c r="AN21">
        <v>304.39009462089581</v>
      </c>
      <c r="AQ21">
        <v>19</v>
      </c>
      <c r="AR21">
        <f t="shared" si="2"/>
        <v>11.346222907191802</v>
      </c>
      <c r="AS21">
        <f t="shared" si="3"/>
        <v>3.9068178534858804</v>
      </c>
      <c r="AV21">
        <v>939.17292348705746</v>
      </c>
      <c r="AW21">
        <v>1.7985774041521351E-14</v>
      </c>
      <c r="AX21">
        <v>252.77053455296141</v>
      </c>
      <c r="AY21">
        <f t="shared" si="0"/>
        <v>252.77053455296141</v>
      </c>
      <c r="AZ21">
        <v>1444.8814207493192</v>
      </c>
      <c r="BA21">
        <v>2.7670421602340538E-14</v>
      </c>
      <c r="BB21">
        <v>388.87774546609444</v>
      </c>
      <c r="BC21">
        <f t="shared" si="1"/>
        <v>388.87774546609444</v>
      </c>
      <c r="BF21">
        <v>830.27998113665569</v>
      </c>
      <c r="BG21">
        <v>58.642764828113819</v>
      </c>
      <c r="BH21">
        <v>302.3767561449618</v>
      </c>
      <c r="BI21">
        <f t="shared" si="4"/>
        <v>308.01083832137328</v>
      </c>
      <c r="BJ21">
        <v>1277.3538171333164</v>
      </c>
      <c r="BK21">
        <v>90.219638197098178</v>
      </c>
      <c r="BL21">
        <v>465.19500945378735</v>
      </c>
      <c r="BM21">
        <f t="shared" si="5"/>
        <v>473.86282818672811</v>
      </c>
      <c r="BP21">
        <v>939.82401313074865</v>
      </c>
      <c r="BQ21">
        <v>-4.641118474918566E-14</v>
      </c>
      <c r="BR21">
        <v>-252.54727056810611</v>
      </c>
      <c r="BS21">
        <f t="shared" si="6"/>
        <v>-252.54727056810611</v>
      </c>
      <c r="BT21">
        <v>1445.8830971242287</v>
      </c>
      <c r="BU21">
        <v>-7.1401822691054854E-14</v>
      </c>
      <c r="BV21">
        <v>-388.53426241247092</v>
      </c>
      <c r="BW21">
        <f t="shared" si="7"/>
        <v>-388.53426241247092</v>
      </c>
    </row>
    <row r="22" spans="1:75" x14ac:dyDescent="0.25">
      <c r="A22" s="35" t="s">
        <v>71</v>
      </c>
      <c r="L22">
        <f>L21*B9</f>
        <v>567.20177214278522</v>
      </c>
      <c r="M22">
        <f>M21*B9</f>
        <v>4127.6566280094794</v>
      </c>
      <c r="N22">
        <f>N21*B9</f>
        <v>0</v>
      </c>
      <c r="AJ22">
        <v>1.7453292519943286</v>
      </c>
      <c r="AK22">
        <v>-47.697801622163055</v>
      </c>
      <c r="AL22">
        <v>270.50767517550668</v>
      </c>
      <c r="AM22">
        <v>-52.997557357958947</v>
      </c>
      <c r="AN22">
        <v>300.56408352834075</v>
      </c>
      <c r="AQ22">
        <v>20</v>
      </c>
      <c r="AR22">
        <f t="shared" si="2"/>
        <v>11.276311449430901</v>
      </c>
      <c r="AS22">
        <f t="shared" si="3"/>
        <v>4.1042417199080248</v>
      </c>
      <c r="AV22">
        <v>995.10002646514772</v>
      </c>
      <c r="AW22">
        <v>1.2742120139898764E-14</v>
      </c>
      <c r="AX22">
        <v>233.14120576150972</v>
      </c>
      <c r="AY22">
        <f t="shared" si="0"/>
        <v>233.14120576150972</v>
      </c>
      <c r="AZ22">
        <v>1530.9231176386888</v>
      </c>
      <c r="BA22">
        <v>1.9603261753690406E-14</v>
      </c>
      <c r="BB22">
        <v>358.67877809463033</v>
      </c>
      <c r="BC22">
        <f t="shared" si="1"/>
        <v>358.67877809463033</v>
      </c>
      <c r="BF22">
        <v>887.78584971419843</v>
      </c>
      <c r="BG22">
        <v>56.240566632147527</v>
      </c>
      <c r="BH22">
        <v>289.99042169701067</v>
      </c>
      <c r="BI22">
        <f t="shared" si="4"/>
        <v>295.39371356058871</v>
      </c>
      <c r="BJ22">
        <v>1365.8243841756898</v>
      </c>
      <c r="BK22">
        <v>86.523948664842351</v>
      </c>
      <c r="BL22">
        <v>446.13911030309333</v>
      </c>
      <c r="BM22">
        <f t="shared" si="5"/>
        <v>454.45186701629024</v>
      </c>
      <c r="BP22">
        <v>993.64861790482348</v>
      </c>
      <c r="BQ22">
        <v>-4.2869861453336461E-14</v>
      </c>
      <c r="BR22">
        <v>-233.27709814309262</v>
      </c>
      <c r="BS22">
        <f t="shared" si="6"/>
        <v>-233.27709814309262</v>
      </c>
      <c r="BT22">
        <v>1528.690181392036</v>
      </c>
      <c r="BU22">
        <v>-6.5953633005133018E-14</v>
      </c>
      <c r="BV22">
        <v>-358.88784329706556</v>
      </c>
      <c r="BW22">
        <f t="shared" si="7"/>
        <v>-358.88784329706556</v>
      </c>
    </row>
    <row r="23" spans="1:75" x14ac:dyDescent="0.25">
      <c r="B23" s="1"/>
      <c r="C23" s="1"/>
      <c r="D23" s="1"/>
      <c r="E23" s="1"/>
      <c r="F23" s="1"/>
      <c r="G23" s="1"/>
      <c r="H23" s="1" t="s">
        <v>34</v>
      </c>
      <c r="I23" s="1" t="s">
        <v>35</v>
      </c>
      <c r="J23" s="1" t="s">
        <v>36</v>
      </c>
      <c r="AJ23">
        <v>1.832595714594045</v>
      </c>
      <c r="AK23">
        <v>-71.090306933796384</v>
      </c>
      <c r="AL23">
        <v>265.65789990290722</v>
      </c>
      <c r="AM23">
        <v>-78.98922992644043</v>
      </c>
      <c r="AN23">
        <v>295.17544433656354</v>
      </c>
      <c r="AQ23">
        <v>21</v>
      </c>
      <c r="AR23">
        <f t="shared" si="2"/>
        <v>11.202965117966421</v>
      </c>
      <c r="AS23">
        <f t="shared" si="3"/>
        <v>4.3004153945436032</v>
      </c>
      <c r="AV23">
        <v>1048.0714190254682</v>
      </c>
      <c r="AW23">
        <v>2.26022363394292E-14</v>
      </c>
      <c r="AX23">
        <v>211.89764240142912</v>
      </c>
      <c r="AY23">
        <f t="shared" si="0"/>
        <v>211.89764240142912</v>
      </c>
      <c r="AZ23">
        <v>1612.4175677314895</v>
      </c>
      <c r="BA23">
        <v>3.4772671291429539E-14</v>
      </c>
      <c r="BB23">
        <v>325.99637292527558</v>
      </c>
      <c r="BC23">
        <f t="shared" si="1"/>
        <v>325.99637292527558</v>
      </c>
      <c r="BF23">
        <v>942.01323788390084</v>
      </c>
      <c r="BG23">
        <v>53.468989523018301</v>
      </c>
      <c r="BH23">
        <v>275.69947722806307</v>
      </c>
      <c r="BI23">
        <f t="shared" si="4"/>
        <v>280.83649083486267</v>
      </c>
      <c r="BJ23">
        <v>1449.2511352060012</v>
      </c>
      <c r="BK23">
        <v>82.259983881566612</v>
      </c>
      <c r="BL23">
        <v>424.15304188932777</v>
      </c>
      <c r="BM23">
        <f t="shared" si="5"/>
        <v>432.05613974594257</v>
      </c>
      <c r="BP23">
        <v>1046.0074695998489</v>
      </c>
      <c r="BQ23">
        <v>-4.2013446122866355E-14</v>
      </c>
      <c r="BR23">
        <v>-211.86236625853505</v>
      </c>
      <c r="BS23">
        <f t="shared" si="6"/>
        <v>-211.86236625853505</v>
      </c>
      <c r="BT23">
        <v>1609.2422609228445</v>
      </c>
      <c r="BU23">
        <v>-6.4636070958255927E-14</v>
      </c>
      <c r="BV23">
        <v>-325.94210193620773</v>
      </c>
      <c r="BW23">
        <f t="shared" si="7"/>
        <v>-325.94210193620773</v>
      </c>
    </row>
    <row r="24" spans="1:75" x14ac:dyDescent="0.25">
      <c r="A24" s="1" t="s">
        <v>23</v>
      </c>
      <c r="B24" s="1"/>
      <c r="C24" s="1"/>
      <c r="D24" s="1"/>
      <c r="E24" s="1"/>
      <c r="F24" s="1"/>
      <c r="G24" s="1"/>
      <c r="H24" s="1">
        <f>IF(F11&lt;(-1*B3),B9*POWER(B3,2)*(2*PI())*(1/2),B9*POWER(B3,2)*(B17-B16)*(1/2))</f>
        <v>756.82078050117468</v>
      </c>
      <c r="I24" s="1">
        <f>IF(F11&lt;(-1*B3),0,(1/3)*B9*POWER(B3,3)*((COS(B16)-COS(B17))))</f>
        <v>4625.1816443479111</v>
      </c>
      <c r="J24" s="1">
        <f>IF(F11&lt;(-1*B3),0,(1/3)*B9*POWER(B3,3)*((SIN(B17)-SIN(B16))))</f>
        <v>-1.3589129821411914E-13</v>
      </c>
      <c r="L24">
        <f>(((POWER(B3,2)-POWER(F11,2))*TAN(B17))+((POWER(F11,2)-POWER(B3,2))*TAN(B16)))/(2*TAN(B16)*TAN(B17))</f>
        <v>370.15326144143592</v>
      </c>
      <c r="AJ24">
        <v>1.9198621771937614</v>
      </c>
      <c r="AK24">
        <v>-94.302096551106729</v>
      </c>
      <c r="AL24">
        <v>259.34933976415556</v>
      </c>
      <c r="AM24">
        <v>-104.78010727900747</v>
      </c>
      <c r="AN24">
        <v>288.16593307128397</v>
      </c>
      <c r="AQ24">
        <v>22</v>
      </c>
      <c r="AR24">
        <f t="shared" si="2"/>
        <v>11.126206254801449</v>
      </c>
      <c r="AS24">
        <f t="shared" si="3"/>
        <v>4.4952791209909444</v>
      </c>
      <c r="AV24">
        <v>1097.586343430436</v>
      </c>
      <c r="AW24">
        <v>1.085497385843706E-14</v>
      </c>
      <c r="AX24">
        <v>189.76848792925895</v>
      </c>
      <c r="AY24">
        <f t="shared" si="0"/>
        <v>189.76848792925895</v>
      </c>
      <c r="AZ24">
        <v>1688.594374508363</v>
      </c>
      <c r="BA24">
        <v>1.669995978221086E-14</v>
      </c>
      <c r="BB24">
        <v>291.95151989116761</v>
      </c>
      <c r="BC24">
        <f t="shared" si="1"/>
        <v>291.95151989116761</v>
      </c>
      <c r="BF24">
        <v>995.75232943907042</v>
      </c>
      <c r="BG24">
        <v>50.125715781001254</v>
      </c>
      <c r="BH24">
        <v>258.46072199578754</v>
      </c>
      <c r="BI24">
        <f t="shared" si="4"/>
        <v>263.27653180095922</v>
      </c>
      <c r="BJ24">
        <v>1531.9266606754929</v>
      </c>
      <c r="BK24">
        <v>77.116485816925007</v>
      </c>
      <c r="BL24">
        <v>397.63187999351925</v>
      </c>
      <c r="BM24">
        <f t="shared" si="5"/>
        <v>405.0408181553218</v>
      </c>
      <c r="BP24">
        <v>1094.9743282704428</v>
      </c>
      <c r="BQ24">
        <v>-3.9456652311781944E-14</v>
      </c>
      <c r="BR24">
        <v>-189.57226171114507</v>
      </c>
      <c r="BS24">
        <f t="shared" si="6"/>
        <v>-189.57226171114507</v>
      </c>
      <c r="BT24">
        <v>1684.5758896468351</v>
      </c>
      <c r="BU24">
        <v>-6.070254201812606E-14</v>
      </c>
      <c r="BV24">
        <v>-291.64963340176166</v>
      </c>
      <c r="BW24">
        <f t="shared" si="7"/>
        <v>-291.64963340176166</v>
      </c>
    </row>
    <row r="25" spans="1:75" x14ac:dyDescent="0.25">
      <c r="A25" s="1" t="s">
        <v>24</v>
      </c>
      <c r="B25" s="1" t="s">
        <v>28</v>
      </c>
      <c r="C25" s="1" t="s">
        <v>29</v>
      </c>
      <c r="D25" s="1" t="s">
        <v>30</v>
      </c>
      <c r="E25" s="1" t="s">
        <v>31</v>
      </c>
      <c r="F25" s="1" t="s">
        <v>32</v>
      </c>
      <c r="G25" s="1" t="s">
        <v>33</v>
      </c>
      <c r="H25" s="1" t="s">
        <v>34</v>
      </c>
      <c r="I25" s="1" t="s">
        <v>35</v>
      </c>
      <c r="J25" s="1" t="s">
        <v>36</v>
      </c>
      <c r="L25">
        <f>B9*L24</f>
        <v>1573.1513611261025</v>
      </c>
      <c r="AJ25">
        <v>2.007128639793478</v>
      </c>
      <c r="AK25">
        <v>-117.35552604245343</v>
      </c>
      <c r="AL25">
        <v>251.46328578646904</v>
      </c>
      <c r="AM25">
        <v>-130.39502893605936</v>
      </c>
      <c r="AN25">
        <v>279.40365087385447</v>
      </c>
      <c r="AQ25">
        <v>23</v>
      </c>
      <c r="AR25">
        <f t="shared" si="2"/>
        <v>11.046058241429284</v>
      </c>
      <c r="AS25">
        <f t="shared" si="3"/>
        <v>4.688773541871285</v>
      </c>
      <c r="AV25">
        <v>1140.764289440586</v>
      </c>
      <c r="AW25">
        <v>8.0363331571396428E-15</v>
      </c>
      <c r="AX25">
        <v>168.88723985913384</v>
      </c>
      <c r="AY25">
        <f t="shared" si="0"/>
        <v>168.88723985913384</v>
      </c>
      <c r="AZ25">
        <v>1755.0219837547477</v>
      </c>
      <c r="BA25">
        <v>1.2363589472522527E-14</v>
      </c>
      <c r="BB25">
        <v>259.8265228602059</v>
      </c>
      <c r="BC25">
        <f t="shared" si="1"/>
        <v>259.8265228602059</v>
      </c>
      <c r="BF25">
        <v>1047.7469150191882</v>
      </c>
      <c r="BG25">
        <v>46.37626552931458</v>
      </c>
      <c r="BH25">
        <v>239.12761913552831</v>
      </c>
      <c r="BI25">
        <f t="shared" si="4"/>
        <v>243.58320187950517</v>
      </c>
      <c r="BJ25">
        <v>1611.9183307987512</v>
      </c>
      <c r="BK25">
        <v>71.348100814330124</v>
      </c>
      <c r="BL25">
        <v>367.88864482388971</v>
      </c>
      <c r="BM25">
        <f t="shared" si="5"/>
        <v>374.74338750693107</v>
      </c>
      <c r="BP25">
        <v>1139.6352402528664</v>
      </c>
      <c r="BQ25">
        <v>-2.4648531678440684E-14</v>
      </c>
      <c r="BR25">
        <v>-167.63448053045758</v>
      </c>
      <c r="BS25">
        <f t="shared" si="6"/>
        <v>-167.63448053045758</v>
      </c>
      <c r="BT25">
        <v>1753.2849850044099</v>
      </c>
      <c r="BU25">
        <v>-3.7920817966831821E-14</v>
      </c>
      <c r="BV25">
        <v>-257.89920081608858</v>
      </c>
      <c r="BW25">
        <f t="shared" si="7"/>
        <v>-257.89920081608858</v>
      </c>
    </row>
    <row r="26" spans="1:75" x14ac:dyDescent="0.25">
      <c r="A26" s="1" t="s">
        <v>25</v>
      </c>
      <c r="B26" s="1">
        <v>0</v>
      </c>
      <c r="C26" s="1">
        <v>0</v>
      </c>
      <c r="D26" s="9">
        <f>F12</f>
        <v>11.336229520460568</v>
      </c>
      <c r="E26" s="9">
        <f>G12</f>
        <v>3.9357210596583627</v>
      </c>
      <c r="F26" s="7">
        <f>IF(AND(C26=0,E26=0,B26=0,D26=0),0,$B$9)</f>
        <v>4.25</v>
      </c>
      <c r="G26" s="7">
        <f>IF(AND(C26=0,E26=0,B26=0,D26=0),0,$B$9)</f>
        <v>4.25</v>
      </c>
      <c r="H26" s="7">
        <f>(1/6)*(E26-C26)*((F26*((2*B26)+D26))+(G26*(B26+(2*D26))))</f>
        <v>94.809504179194647</v>
      </c>
      <c r="I26" s="7">
        <f>((1/12)*(E26-C26)*(F26*B26*((3*C26)+E26)+F26*D26*(C26+E26)+G26*B26*(C26+E26)+G26*D26*(C26+(3*E26))))</f>
        <v>248.76250816921595</v>
      </c>
      <c r="J26" s="7">
        <f t="shared" ref="J26" si="8">((-1/24)*(E26-C26)*(B26*B26*((3*F26)+G26)+2*B26*D26*(F26+G26)+D26*D26*(F26+(3*G26))))</f>
        <v>-358.26076669880536</v>
      </c>
      <c r="AJ26">
        <v>2.0943951023931944</v>
      </c>
      <c r="AK26">
        <v>-139.46130669966982</v>
      </c>
      <c r="AL26">
        <v>241.5540688937744</v>
      </c>
      <c r="AM26">
        <v>-154.95700744407756</v>
      </c>
      <c r="AN26">
        <v>268.39340988197154</v>
      </c>
      <c r="AQ26">
        <v>24</v>
      </c>
      <c r="AR26">
        <f t="shared" si="2"/>
        <v>10.962545491711211</v>
      </c>
      <c r="AS26">
        <f t="shared" si="3"/>
        <v>4.8808397169096027</v>
      </c>
      <c r="AV26">
        <v>1178.902834125133</v>
      </c>
      <c r="AW26">
        <v>2.1463046092577783E-14</v>
      </c>
      <c r="AX26">
        <v>149.3202226949978</v>
      </c>
      <c r="AY26">
        <f t="shared" si="0"/>
        <v>149.3202226949978</v>
      </c>
      <c r="AZ26">
        <v>1813.69666788482</v>
      </c>
      <c r="BA26">
        <v>3.3020070911658125E-14</v>
      </c>
      <c r="BB26">
        <v>229.72341953076582</v>
      </c>
      <c r="BC26">
        <f t="shared" si="1"/>
        <v>229.72341953076582</v>
      </c>
      <c r="BF26">
        <v>1097.8529064606726</v>
      </c>
      <c r="BG26">
        <v>42.257972132083296</v>
      </c>
      <c r="BH26">
        <v>217.89266880605442</v>
      </c>
      <c r="BI26">
        <f t="shared" si="4"/>
        <v>221.95258801856951</v>
      </c>
      <c r="BJ26">
        <v>1689.0044714779576</v>
      </c>
      <c r="BK26">
        <v>65.012264818589685</v>
      </c>
      <c r="BL26">
        <v>335.21949047085292</v>
      </c>
      <c r="BM26">
        <f t="shared" si="5"/>
        <v>341.46552002856845</v>
      </c>
      <c r="BP26">
        <v>1178.405358000304</v>
      </c>
      <c r="BQ26">
        <v>-2.7222880438171113E-14</v>
      </c>
      <c r="BR26">
        <v>-148.13377828676599</v>
      </c>
      <c r="BS26">
        <f t="shared" si="6"/>
        <v>-148.13377828676599</v>
      </c>
      <c r="BT26">
        <v>1812.9313200004676</v>
      </c>
      <c r="BU26">
        <v>-4.1881354520263249E-14</v>
      </c>
      <c r="BV26">
        <v>-227.89812044117843</v>
      </c>
      <c r="BW26">
        <f t="shared" si="7"/>
        <v>-227.89812044117843</v>
      </c>
    </row>
    <row r="27" spans="1:75" x14ac:dyDescent="0.25">
      <c r="A27" s="1" t="s">
        <v>27</v>
      </c>
      <c r="B27" s="9">
        <f>D26</f>
        <v>11.336229520460568</v>
      </c>
      <c r="C27" s="9">
        <f>E26</f>
        <v>3.9357210596583627</v>
      </c>
      <c r="D27" s="1">
        <f>F13</f>
        <v>-11.336229520460568</v>
      </c>
      <c r="E27" s="9">
        <f>G13</f>
        <v>3.9357210596583627</v>
      </c>
      <c r="F27" s="7">
        <f>IF(AND(C27=0,E27=0,B27=0,D27=0),0,$B$9)</f>
        <v>4.25</v>
      </c>
      <c r="G27" s="7">
        <f>IF(AND(C27=0,E27=0,B27=0,D27=0),0,$B$9)</f>
        <v>4.25</v>
      </c>
      <c r="H27" s="7">
        <f t="shared" ref="H27:H28" si="9">(1/6)*(E27-C27)*((F27*((2*B27)+D27))+(G27*(B27+(2*D27))))</f>
        <v>0</v>
      </c>
      <c r="I27" s="7">
        <f t="shared" ref="I27:I28" si="10">((1/12)*(E27-C27)*(F27*B27*((3*C27)+E27)+F27*D27*(C27+E27)+G27*B27*(C27+E27)+G27*D27*(C27+(3*E27))))</f>
        <v>0</v>
      </c>
      <c r="J27" s="7">
        <f t="shared" ref="J27:J28" si="11">((-1/24)*(E27-C27)*(B27*B27*((3*F27)+G27)+2*B27*D27*(F27+G27)+D27*D27*(F27+(3*G27))))</f>
        <v>0</v>
      </c>
      <c r="AJ27">
        <v>2.1816615649929108</v>
      </c>
      <c r="AK27">
        <v>-159.09583058896155</v>
      </c>
      <c r="AL27">
        <v>227.36450972048627</v>
      </c>
      <c r="AM27">
        <v>-176.77314509884616</v>
      </c>
      <c r="AN27">
        <v>252.62723302276251</v>
      </c>
      <c r="AQ27">
        <v>25</v>
      </c>
      <c r="AR27">
        <f t="shared" si="2"/>
        <v>10.875693444439799</v>
      </c>
      <c r="AS27">
        <f t="shared" si="3"/>
        <v>5.0714191408883931</v>
      </c>
      <c r="AV27">
        <v>1211.6586743177252</v>
      </c>
      <c r="AW27">
        <v>8.876143631795931E-15</v>
      </c>
      <c r="AX27">
        <v>132.33317103589354</v>
      </c>
      <c r="AY27">
        <f t="shared" si="0"/>
        <v>132.33317103589354</v>
      </c>
      <c r="AZ27">
        <v>1864.0902681811156</v>
      </c>
      <c r="BA27">
        <v>1.3655605587378354E-14</v>
      </c>
      <c r="BB27">
        <v>203.58949390137468</v>
      </c>
      <c r="BC27">
        <f t="shared" si="1"/>
        <v>203.58949390137468</v>
      </c>
      <c r="BF27">
        <v>1144.2612784825428</v>
      </c>
      <c r="BG27">
        <v>37.97289792831122</v>
      </c>
      <c r="BH27">
        <v>195.79775494285471</v>
      </c>
      <c r="BI27">
        <f t="shared" si="4"/>
        <v>199.44598721893638</v>
      </c>
      <c r="BJ27">
        <v>1760.4019668962196</v>
      </c>
      <c r="BK27">
        <v>58.419842966632643</v>
      </c>
      <c r="BL27">
        <v>301.22731529669954</v>
      </c>
      <c r="BM27">
        <f t="shared" si="5"/>
        <v>306.83998033682519</v>
      </c>
      <c r="BP27">
        <v>1210.0070335946373</v>
      </c>
      <c r="BQ27">
        <v>-2.5881457609155417E-14</v>
      </c>
      <c r="BR27">
        <v>-132.45713611720336</v>
      </c>
      <c r="BS27">
        <f t="shared" si="6"/>
        <v>-132.45713611720336</v>
      </c>
      <c r="BT27">
        <v>1861.549282453288</v>
      </c>
      <c r="BU27">
        <v>-3.9817627091008332E-14</v>
      </c>
      <c r="BV27">
        <v>-203.7802094110821</v>
      </c>
      <c r="BW27">
        <f t="shared" si="7"/>
        <v>-203.7802094110821</v>
      </c>
    </row>
    <row r="28" spans="1:75" ht="15.75" thickBot="1" x14ac:dyDescent="0.3">
      <c r="A28" s="1" t="s">
        <v>26</v>
      </c>
      <c r="B28" s="1">
        <f>D27</f>
        <v>-11.336229520460568</v>
      </c>
      <c r="C28" s="9">
        <f>E27</f>
        <v>3.9357210596583627</v>
      </c>
      <c r="D28" s="1">
        <v>0</v>
      </c>
      <c r="E28" s="1">
        <v>0</v>
      </c>
      <c r="F28" s="7">
        <f>IF(AND(C28=0,E28=0,B28=0,D28=0),0,$B$9)</f>
        <v>4.25</v>
      </c>
      <c r="G28" s="7">
        <f>IF(AND(C28=0,E28=0,B28=0,D28=0),0,$B$9)</f>
        <v>4.25</v>
      </c>
      <c r="H28" s="11">
        <f t="shared" si="9"/>
        <v>94.809504179194647</v>
      </c>
      <c r="I28" s="11">
        <f t="shared" si="10"/>
        <v>248.76250816921595</v>
      </c>
      <c r="J28" s="11">
        <f t="shared" si="11"/>
        <v>358.26076669880536</v>
      </c>
      <c r="AJ28">
        <v>2.2689280275926271</v>
      </c>
      <c r="AK28">
        <v>-177.45206841492612</v>
      </c>
      <c r="AL28">
        <v>211.34268112546877</v>
      </c>
      <c r="AM28">
        <v>-197.16896490547344</v>
      </c>
      <c r="AN28">
        <v>234.82520125052085</v>
      </c>
      <c r="AQ28">
        <v>26</v>
      </c>
      <c r="AR28">
        <f t="shared" si="2"/>
        <v>10.785528555590005</v>
      </c>
      <c r="AS28">
        <f t="shared" si="3"/>
        <v>5.2604537614689288</v>
      </c>
      <c r="AV28">
        <v>1239.0257837089682</v>
      </c>
      <c r="AW28">
        <v>8.7805375879023551E-15</v>
      </c>
      <c r="AX28">
        <v>118.20654546928175</v>
      </c>
      <c r="AY28">
        <f t="shared" si="0"/>
        <v>118.20654546928175</v>
      </c>
      <c r="AZ28">
        <v>1906.1935133984125</v>
      </c>
      <c r="BA28">
        <v>1.3508519366003623E-14</v>
      </c>
      <c r="BB28">
        <v>181.856223798895</v>
      </c>
      <c r="BC28">
        <f t="shared" si="1"/>
        <v>181.856223798895</v>
      </c>
      <c r="BF28">
        <v>1190.0179002542197</v>
      </c>
      <c r="BG28">
        <v>33.274947568306686</v>
      </c>
      <c r="BH28">
        <v>171.57394839908125</v>
      </c>
      <c r="BI28">
        <f t="shared" si="4"/>
        <v>174.77082681307013</v>
      </c>
      <c r="BJ28">
        <v>1830.7967696218764</v>
      </c>
      <c r="BK28">
        <v>51.192227028164133</v>
      </c>
      <c r="BL28">
        <v>263.95992061397112</v>
      </c>
      <c r="BM28">
        <f t="shared" si="5"/>
        <v>268.87819509703093</v>
      </c>
      <c r="BP28">
        <v>1238.6041170846463</v>
      </c>
      <c r="BQ28">
        <v>-2.9354771984880971E-14</v>
      </c>
      <c r="BR28">
        <v>-117.84817093820989</v>
      </c>
      <c r="BS28">
        <f t="shared" si="6"/>
        <v>-117.84817093820989</v>
      </c>
      <c r="BT28">
        <v>1905.5447955148404</v>
      </c>
      <c r="BU28">
        <v>-4.5161187669047645E-14</v>
      </c>
      <c r="BV28">
        <v>-181.30487836647674</v>
      </c>
      <c r="BW28">
        <f t="shared" si="7"/>
        <v>-181.30487836647674</v>
      </c>
    </row>
    <row r="29" spans="1:75" ht="15.75" thickTop="1" x14ac:dyDescent="0.25">
      <c r="A29" s="1"/>
      <c r="B29" s="1"/>
      <c r="C29" s="1"/>
      <c r="D29" s="1"/>
      <c r="E29" s="1"/>
      <c r="F29" s="1"/>
      <c r="G29" s="1"/>
      <c r="H29" s="7">
        <f>SUM(H26:H28)</f>
        <v>189.61900835838929</v>
      </c>
      <c r="I29" s="7">
        <f t="shared" ref="I29:J29" si="12">SUM(I26:I28)</f>
        <v>497.5250163384319</v>
      </c>
      <c r="J29" s="7">
        <f t="shared" si="12"/>
        <v>0</v>
      </c>
      <c r="AJ29">
        <v>2.3561944901923435</v>
      </c>
      <c r="AK29">
        <v>-194.521336565019</v>
      </c>
      <c r="AL29">
        <v>194.39496171892847</v>
      </c>
      <c r="AM29">
        <v>-216.13481840557665</v>
      </c>
      <c r="AN29">
        <v>215.99440190992053</v>
      </c>
      <c r="AQ29">
        <v>27</v>
      </c>
      <c r="AR29">
        <f t="shared" si="2"/>
        <v>10.692078290260415</v>
      </c>
      <c r="AS29">
        <f t="shared" si="3"/>
        <v>5.447885996874561</v>
      </c>
      <c r="AV29">
        <v>1263.4289677625459</v>
      </c>
      <c r="AW29">
        <v>1.4148241325396838E-14</v>
      </c>
      <c r="AX29">
        <v>105.30470810266375</v>
      </c>
      <c r="AY29">
        <f t="shared" si="0"/>
        <v>105.30470810266375</v>
      </c>
      <c r="AZ29">
        <v>1943.7368734808397</v>
      </c>
      <c r="BA29">
        <v>2.1766525115995135E-14</v>
      </c>
      <c r="BB29">
        <v>162.0072432348673</v>
      </c>
      <c r="BC29">
        <f t="shared" si="1"/>
        <v>162.0072432348673</v>
      </c>
      <c r="BF29">
        <v>1233.2239545700893</v>
      </c>
      <c r="BG29">
        <v>28.393431021366283</v>
      </c>
      <c r="BH29">
        <v>146.40362870391994</v>
      </c>
      <c r="BI29">
        <f t="shared" si="4"/>
        <v>149.13151720156387</v>
      </c>
      <c r="BJ29">
        <v>1897.2676224155218</v>
      </c>
      <c r="BK29">
        <v>43.68220157133274</v>
      </c>
      <c r="BL29">
        <v>225.2363518521845</v>
      </c>
      <c r="BM29">
        <f t="shared" si="5"/>
        <v>229.4331033870213</v>
      </c>
      <c r="BP29">
        <v>1263.4123582898378</v>
      </c>
      <c r="BQ29">
        <v>-1.7768084234342498E-14</v>
      </c>
      <c r="BR29">
        <v>-105.06260645556429</v>
      </c>
      <c r="BS29">
        <f t="shared" si="6"/>
        <v>-105.06260645556429</v>
      </c>
      <c r="BT29">
        <v>1943.7113204459042</v>
      </c>
      <c r="BU29">
        <v>-2.7335514206680765E-14</v>
      </c>
      <c r="BV29">
        <v>-161.6347791624066</v>
      </c>
      <c r="BW29">
        <f t="shared" si="7"/>
        <v>-161.6347791624066</v>
      </c>
    </row>
    <row r="30" spans="1:75" x14ac:dyDescent="0.25">
      <c r="A30" s="1"/>
      <c r="B30" s="1"/>
      <c r="C30" s="1"/>
      <c r="D30" s="2" t="s">
        <v>145</v>
      </c>
      <c r="E30" s="8">
        <v>90</v>
      </c>
      <c r="F30" s="1" t="s">
        <v>45</v>
      </c>
      <c r="G30" s="1"/>
      <c r="H30" s="7"/>
      <c r="I30" s="1"/>
      <c r="J30" s="1"/>
      <c r="L30">
        <f>((I31*COS(-1*B10))+(J31*SIN(-1*B10)))</f>
        <v>4127.6566280094794</v>
      </c>
      <c r="N30">
        <v>-3.0000000000000001E-3</v>
      </c>
      <c r="O30">
        <f>0.002</f>
        <v>2E-3</v>
      </c>
      <c r="AJ30">
        <v>2.4434609527920599</v>
      </c>
      <c r="AK30">
        <v>-210.417617809576</v>
      </c>
      <c r="AL30">
        <v>176.56134549721756</v>
      </c>
      <c r="AM30">
        <v>-233.79735312175112</v>
      </c>
      <c r="AN30">
        <v>196.17927277468618</v>
      </c>
      <c r="AQ30">
        <v>28</v>
      </c>
      <c r="AR30">
        <f t="shared" si="2"/>
        <v>10.595371114307124</v>
      </c>
      <c r="AS30">
        <f t="shared" si="3"/>
        <v>5.6336587534306899</v>
      </c>
      <c r="AV30">
        <v>1284.6598459148599</v>
      </c>
      <c r="AW30">
        <v>8.8655918866398159E-9</v>
      </c>
      <c r="AX30">
        <v>93.965280020394331</v>
      </c>
      <c r="AY30">
        <f t="shared" si="0"/>
        <v>93.965280020394331</v>
      </c>
      <c r="AZ30">
        <v>1976.3997629459384</v>
      </c>
      <c r="BA30">
        <v>1.3639372133292025E-8</v>
      </c>
      <c r="BB30">
        <v>144.56196926214511</v>
      </c>
      <c r="BC30">
        <f t="shared" si="1"/>
        <v>144.56196926214511</v>
      </c>
      <c r="BF30">
        <v>1271.8657876131731</v>
      </c>
      <c r="BG30">
        <v>23.63164498525536</v>
      </c>
      <c r="BH30">
        <v>121.85066945522296</v>
      </c>
      <c r="BI30">
        <f t="shared" si="4"/>
        <v>124.12107110154645</v>
      </c>
      <c r="BJ30">
        <v>1956.7165963279585</v>
      </c>
      <c r="BK30">
        <v>36.35637690039286</v>
      </c>
      <c r="BL30">
        <v>187.4625683926507</v>
      </c>
      <c r="BM30">
        <f t="shared" si="5"/>
        <v>190.95549400237914</v>
      </c>
      <c r="BP30">
        <v>1285.0202105710785</v>
      </c>
      <c r="BQ30">
        <v>1.4461803571245922E-14</v>
      </c>
      <c r="BR30">
        <v>-93.831409973212331</v>
      </c>
      <c r="BS30">
        <f t="shared" si="6"/>
        <v>-93.831409973212331</v>
      </c>
      <c r="BT30">
        <v>1976.9541701093515</v>
      </c>
      <c r="BU30">
        <v>2.224892857114757E-14</v>
      </c>
      <c r="BV30">
        <v>-144.35601534340358</v>
      </c>
      <c r="BW30">
        <f t="shared" si="7"/>
        <v>-144.35601534340358</v>
      </c>
    </row>
    <row r="31" spans="1:75" x14ac:dyDescent="0.25">
      <c r="A31" s="2" t="s">
        <v>83</v>
      </c>
      <c r="B31" s="5">
        <v>9</v>
      </c>
      <c r="C31" s="1"/>
      <c r="D31" s="2" t="s">
        <v>146</v>
      </c>
      <c r="E31" s="8">
        <v>2.375</v>
      </c>
      <c r="F31" s="1"/>
      <c r="G31" s="1" t="s">
        <v>72</v>
      </c>
      <c r="H31" s="7">
        <f>H24-H29</f>
        <v>567.20177214278533</v>
      </c>
      <c r="I31" s="7">
        <f>(I24-I29)</f>
        <v>4127.6566280094794</v>
      </c>
      <c r="J31" s="7">
        <f t="shared" ref="J31" si="13">J24-J29</f>
        <v>-1.3589129821411914E-13</v>
      </c>
      <c r="L31">
        <f>(-1*(I31)*SIN(-1*B10))+((J31)*COS(-1*B10))</f>
        <v>-1.3589129821411914E-13</v>
      </c>
      <c r="N31">
        <f ca="1">((B13*MIN(J37:J108))-(N30*B3))/(B13-N30)</f>
        <v>1.6832870232647337</v>
      </c>
      <c r="O31">
        <f ca="1">((B13*MAX(J37:J108))-(O30*B3))/(B13-O30)</f>
        <v>3.5624999999999996</v>
      </c>
      <c r="AJ31">
        <v>2.5307274153917763</v>
      </c>
      <c r="AK31">
        <v>-225.21994105916187</v>
      </c>
      <c r="AL31">
        <v>157.80978952540346</v>
      </c>
      <c r="AM31">
        <v>-250.2443789546243</v>
      </c>
      <c r="AN31">
        <v>175.34421058378163</v>
      </c>
      <c r="AQ31">
        <v>29</v>
      </c>
      <c r="AR31">
        <f t="shared" si="2"/>
        <v>10.495436485672748</v>
      </c>
      <c r="AS31">
        <f t="shared" si="3"/>
        <v>5.8177154429560449</v>
      </c>
      <c r="AV31">
        <v>1303.1986569599871</v>
      </c>
      <c r="AW31">
        <v>8.2225050391728924E-15</v>
      </c>
      <c r="AX31">
        <v>83.965114544905148</v>
      </c>
      <c r="AY31">
        <f t="shared" si="0"/>
        <v>83.965114544905148</v>
      </c>
      <c r="AZ31">
        <v>2004.9210107076724</v>
      </c>
      <c r="BA31">
        <v>1.2650007752573679E-14</v>
      </c>
      <c r="BB31">
        <v>129.17709929985406</v>
      </c>
      <c r="BC31">
        <f t="shared" si="1"/>
        <v>129.17709929985406</v>
      </c>
      <c r="BF31">
        <v>1307.234026756865</v>
      </c>
      <c r="BG31">
        <v>18.931646732474277</v>
      </c>
      <c r="BH31">
        <v>97.616303464320467</v>
      </c>
      <c r="BI31">
        <f t="shared" si="4"/>
        <v>99.435154498001907</v>
      </c>
      <c r="BJ31">
        <v>2011.1292719336384</v>
      </c>
      <c r="BK31">
        <v>29.125610357652732</v>
      </c>
      <c r="BL31">
        <v>150.17892840664686</v>
      </c>
      <c r="BM31">
        <f t="shared" si="5"/>
        <v>152.97716076615677</v>
      </c>
      <c r="BP31">
        <v>1303.9107330062163</v>
      </c>
      <c r="BQ31">
        <v>-2.0042945962633848E-14</v>
      </c>
      <c r="BR31">
        <v>-83.932240311473947</v>
      </c>
      <c r="BS31">
        <f t="shared" si="6"/>
        <v>-83.932240311473947</v>
      </c>
      <c r="BT31">
        <v>2006.0165123172558</v>
      </c>
      <c r="BU31">
        <v>-3.083530148097515E-14</v>
      </c>
      <c r="BV31">
        <v>-129.12652355611377</v>
      </c>
      <c r="BW31">
        <f t="shared" si="7"/>
        <v>-129.12652355611377</v>
      </c>
    </row>
    <row r="32" spans="1:75" x14ac:dyDescent="0.25">
      <c r="A32" s="2" t="s">
        <v>84</v>
      </c>
      <c r="B32" s="37">
        <f ca="1">C109/(PI()*B3*B3)</f>
        <v>1.193662073189215E-2</v>
      </c>
      <c r="D32" t="s">
        <v>45</v>
      </c>
      <c r="E32" s="14">
        <f>360/B31</f>
        <v>40</v>
      </c>
      <c r="N32">
        <f ca="1">B3-N31</f>
        <v>10.316712976735266</v>
      </c>
      <c r="O32">
        <f ca="1">B3-O31</f>
        <v>8.4375</v>
      </c>
      <c r="AJ32">
        <v>2.6179938779914926</v>
      </c>
      <c r="AK32">
        <v>-238.94613921822824</v>
      </c>
      <c r="AL32">
        <v>138.05690132239189</v>
      </c>
      <c r="AM32">
        <v>-265.49571024247581</v>
      </c>
      <c r="AN32">
        <v>153.39655702487988</v>
      </c>
      <c r="AQ32">
        <v>30</v>
      </c>
      <c r="AR32">
        <f t="shared" si="2"/>
        <v>10.392304845413264</v>
      </c>
      <c r="AS32">
        <f t="shared" si="3"/>
        <v>5.9999999999999991</v>
      </c>
      <c r="AV32">
        <v>1319.442072237548</v>
      </c>
      <c r="AW32">
        <v>7.5279434717330682E-16</v>
      </c>
      <c r="AX32">
        <v>75.118529199800506</v>
      </c>
      <c r="AY32">
        <f t="shared" si="0"/>
        <v>75.118529199800506</v>
      </c>
      <c r="AZ32">
        <v>2029.9108803654585</v>
      </c>
      <c r="BA32">
        <v>1.158145149497395E-15</v>
      </c>
      <c r="BB32">
        <v>115.56696799969308</v>
      </c>
      <c r="BC32">
        <f t="shared" si="1"/>
        <v>115.56696799969308</v>
      </c>
      <c r="BF32">
        <v>1340.3738056828568</v>
      </c>
      <c r="BG32">
        <v>14.185425632404078</v>
      </c>
      <c r="BH32">
        <v>73.143600917083475</v>
      </c>
      <c r="BI32">
        <f t="shared" si="4"/>
        <v>74.506460494980175</v>
      </c>
      <c r="BJ32">
        <v>2062.1135472043948</v>
      </c>
      <c r="BK32">
        <v>21.82373174216012</v>
      </c>
      <c r="BL32">
        <v>112.52861679551303</v>
      </c>
      <c r="BM32">
        <f t="shared" si="5"/>
        <v>114.62532383843103</v>
      </c>
      <c r="BP32">
        <v>1320.4830521171748</v>
      </c>
      <c r="BQ32">
        <v>-1.8434548315948172E-14</v>
      </c>
      <c r="BR32">
        <v>-75.180116489300687</v>
      </c>
      <c r="BS32">
        <f t="shared" si="6"/>
        <v>-75.180116489300687</v>
      </c>
      <c r="BT32">
        <v>2031.5123878725765</v>
      </c>
      <c r="BU32">
        <v>-2.8360843562997187E-14</v>
      </c>
      <c r="BV32">
        <v>-115.6617176758472</v>
      </c>
      <c r="BW32">
        <f t="shared" si="7"/>
        <v>-115.6617176758472</v>
      </c>
    </row>
    <row r="33" spans="1:75" x14ac:dyDescent="0.25">
      <c r="D33" s="2" t="s">
        <v>13</v>
      </c>
      <c r="E33" s="14">
        <f>(B3-E31)*COS(RADIANS(E32))</f>
        <v>7.3731777650201638</v>
      </c>
      <c r="I33">
        <f>C35/F35</f>
        <v>2.0689655172413794E-3</v>
      </c>
      <c r="AJ33">
        <v>2.705260340591209</v>
      </c>
      <c r="AK33">
        <v>-251.53703298873188</v>
      </c>
      <c r="AL33">
        <v>117.1973746568284</v>
      </c>
      <c r="AM33">
        <v>-279.48559220970208</v>
      </c>
      <c r="AN33">
        <v>130.21930517425378</v>
      </c>
      <c r="AQ33">
        <v>31</v>
      </c>
      <c r="AR33">
        <f t="shared" si="2"/>
        <v>10.286007608425347</v>
      </c>
      <c r="AS33">
        <f t="shared" si="3"/>
        <v>6.1804568989206494</v>
      </c>
      <c r="AV33">
        <v>1333.7197167437432</v>
      </c>
      <c r="AW33">
        <v>-8.6742522829375323E-15</v>
      </c>
      <c r="AX33">
        <v>67.270054970780265</v>
      </c>
      <c r="AY33">
        <f t="shared" si="0"/>
        <v>67.270054970780265</v>
      </c>
      <c r="AZ33">
        <v>2051.8764872980664</v>
      </c>
      <c r="BA33">
        <v>-1.3345003512211587E-14</v>
      </c>
      <c r="BB33">
        <v>103.49239226273886</v>
      </c>
      <c r="BC33">
        <f t="shared" si="1"/>
        <v>103.49239226273886</v>
      </c>
      <c r="BF33">
        <v>1368.7977858585352</v>
      </c>
      <c r="BG33">
        <v>9.8566776766804907</v>
      </c>
      <c r="BH33">
        <v>50.823494270383769</v>
      </c>
      <c r="BI33">
        <f t="shared" si="4"/>
        <v>51.770470972106324</v>
      </c>
      <c r="BJ33">
        <v>2105.8427474746695</v>
      </c>
      <c r="BK33">
        <v>15.16411950258537</v>
      </c>
      <c r="BL33">
        <v>78.189991185205798</v>
      </c>
      <c r="BM33">
        <f t="shared" si="5"/>
        <v>79.646878418625107</v>
      </c>
      <c r="BP33">
        <v>1335.0689401613974</v>
      </c>
      <c r="BQ33">
        <v>-1.0949778505155691E-14</v>
      </c>
      <c r="BR33">
        <v>-67.420183229577958</v>
      </c>
      <c r="BS33">
        <f t="shared" si="6"/>
        <v>-67.420183229577958</v>
      </c>
      <c r="BT33">
        <v>2053.952215632919</v>
      </c>
      <c r="BU33">
        <v>-1.6845813084854907E-14</v>
      </c>
      <c r="BV33">
        <v>-103.72335881473532</v>
      </c>
      <c r="BW33">
        <f t="shared" si="7"/>
        <v>-103.72335881473532</v>
      </c>
    </row>
    <row r="34" spans="1:75" x14ac:dyDescent="0.25">
      <c r="A34" t="s">
        <v>37</v>
      </c>
      <c r="D34" s="2" t="s">
        <v>14</v>
      </c>
      <c r="E34" s="14">
        <f>(B3-E31)*SIN(RADIANS(E32))</f>
        <v>6.1868307432329406</v>
      </c>
      <c r="Z34" t="str">
        <f>"Mx vs My @ Pu = " &amp;AI1&amp;" Kips"</f>
        <v>Mx vs My @ Pu = 100 Kips</v>
      </c>
      <c r="AJ34">
        <v>2.7925268031909254</v>
      </c>
      <c r="AK34">
        <v>-262.10152158168</v>
      </c>
      <c r="AL34">
        <v>95.397152211612777</v>
      </c>
      <c r="AM34">
        <v>-291.22391286853332</v>
      </c>
      <c r="AN34">
        <v>105.99683579068086</v>
      </c>
      <c r="AQ34">
        <v>32</v>
      </c>
      <c r="AR34">
        <f t="shared" si="2"/>
        <v>10.176577153877112</v>
      </c>
      <c r="AS34">
        <f t="shared" si="3"/>
        <v>6.3590311707984588</v>
      </c>
      <c r="AV34">
        <v>1346.3070400445702</v>
      </c>
      <c r="AW34">
        <v>7.5419075181777147E-15</v>
      </c>
      <c r="AX34">
        <v>60.288765028386663</v>
      </c>
      <c r="AY34">
        <f t="shared" si="0"/>
        <v>60.288765028386663</v>
      </c>
      <c r="AZ34">
        <v>2071.2416000685694</v>
      </c>
      <c r="BA34">
        <v>1.1602934643350329E-14</v>
      </c>
      <c r="BB34">
        <v>92.751946197517938</v>
      </c>
      <c r="BC34">
        <f t="shared" si="1"/>
        <v>92.751946197517938</v>
      </c>
      <c r="BF34">
        <v>1390.7337663873377</v>
      </c>
      <c r="BG34">
        <v>6.2991654727103148</v>
      </c>
      <c r="BH34">
        <v>32.480071968662557</v>
      </c>
      <c r="BI34">
        <f t="shared" si="4"/>
        <v>33.08526198690415</v>
      </c>
      <c r="BJ34">
        <v>2139.5904098266733</v>
      </c>
      <c r="BK34">
        <v>9.6910238041697152</v>
      </c>
      <c r="BL34">
        <v>49.969341490250088</v>
      </c>
      <c r="BM34">
        <f t="shared" si="5"/>
        <v>50.900403056775616</v>
      </c>
      <c r="BP34">
        <v>1347.8864729471086</v>
      </c>
      <c r="BQ34">
        <v>-9.5813178316556609E-15</v>
      </c>
      <c r="BR34">
        <v>-60.514174413792041</v>
      </c>
      <c r="BS34">
        <f t="shared" si="6"/>
        <v>-60.514174413792041</v>
      </c>
      <c r="BT34">
        <v>2073.6714968417054</v>
      </c>
      <c r="BU34">
        <v>-1.4740488971777939E-14</v>
      </c>
      <c r="BV34">
        <v>-93.09872986737237</v>
      </c>
      <c r="BW34">
        <f t="shared" si="7"/>
        <v>-93.09872986737237</v>
      </c>
    </row>
    <row r="35" spans="1:75" x14ac:dyDescent="0.25">
      <c r="B35" s="1" t="s">
        <v>54</v>
      </c>
      <c r="C35" s="8">
        <v>60</v>
      </c>
      <c r="D35" s="1" t="s">
        <v>2</v>
      </c>
      <c r="E35" s="1" t="s">
        <v>55</v>
      </c>
      <c r="F35" s="8">
        <v>29000</v>
      </c>
      <c r="G35" s="1" t="s">
        <v>2</v>
      </c>
      <c r="Q35" s="1" t="s">
        <v>39</v>
      </c>
      <c r="R35" s="1" t="s">
        <v>40</v>
      </c>
      <c r="S35" s="1" t="s">
        <v>41</v>
      </c>
      <c r="U35" s="1" t="s">
        <v>118</v>
      </c>
      <c r="X35" t="s">
        <v>119</v>
      </c>
      <c r="AJ35">
        <v>2.8797932657906418</v>
      </c>
      <c r="AK35">
        <v>-268.02156667685557</v>
      </c>
      <c r="AL35">
        <v>71.906490578476408</v>
      </c>
      <c r="AM35">
        <v>-297.80174075206173</v>
      </c>
      <c r="AN35">
        <v>79.896100642751563</v>
      </c>
      <c r="AQ35">
        <v>33</v>
      </c>
      <c r="AR35">
        <f t="shared" si="2"/>
        <v>10.064046815345089</v>
      </c>
      <c r="AS35">
        <f t="shared" si="3"/>
        <v>6.5356684201803255</v>
      </c>
      <c r="AV35">
        <v>1357.4354248966029</v>
      </c>
      <c r="AW35">
        <v>-5.36963939614697E-16</v>
      </c>
      <c r="AX35">
        <v>54.063802621637343</v>
      </c>
      <c r="AY35">
        <f t="shared" si="0"/>
        <v>54.063802621637343</v>
      </c>
      <c r="AZ35">
        <v>2088.3621921486197</v>
      </c>
      <c r="BA35">
        <v>-8.2609836863799531E-16</v>
      </c>
      <c r="BB35">
        <v>83.175080956365136</v>
      </c>
      <c r="BC35">
        <f t="shared" si="1"/>
        <v>83.175080956365136</v>
      </c>
      <c r="BF35">
        <v>1401.3991724766656</v>
      </c>
      <c r="BG35">
        <v>4.6044100627944955</v>
      </c>
      <c r="BH35">
        <v>23.741489386284112</v>
      </c>
      <c r="BI35">
        <f t="shared" si="4"/>
        <v>24.18385639854414</v>
      </c>
      <c r="BJ35">
        <v>2155.9987268871778</v>
      </c>
      <c r="BK35">
        <v>7.0837077889146078</v>
      </c>
      <c r="BL35">
        <v>36.52536828659094</v>
      </c>
      <c r="BM35">
        <f t="shared" si="5"/>
        <v>37.205932920837135</v>
      </c>
      <c r="BP35">
        <v>1358.6507107190505</v>
      </c>
      <c r="BQ35">
        <v>-1.1515190470201066E-14</v>
      </c>
      <c r="BR35">
        <v>-54.282843135836252</v>
      </c>
      <c r="BS35">
        <f t="shared" si="6"/>
        <v>-54.282843135836252</v>
      </c>
      <c r="BT35">
        <v>2090.2318626446931</v>
      </c>
      <c r="BU35">
        <v>-1.7715677646463176E-14</v>
      </c>
      <c r="BV35">
        <v>-83.512066362824996</v>
      </c>
      <c r="BW35">
        <f t="shared" si="7"/>
        <v>-83.512066362824996</v>
      </c>
    </row>
    <row r="36" spans="1:75" x14ac:dyDescent="0.25">
      <c r="B36" s="1" t="s">
        <v>38</v>
      </c>
      <c r="C36" t="s">
        <v>42</v>
      </c>
      <c r="D36" s="1" t="s">
        <v>13</v>
      </c>
      <c r="E36" s="1" t="s">
        <v>14</v>
      </c>
      <c r="G36" s="1" t="s">
        <v>43</v>
      </c>
      <c r="H36" s="1" t="s">
        <v>44</v>
      </c>
      <c r="I36" s="1" t="s">
        <v>46</v>
      </c>
      <c r="J36" s="1" t="s">
        <v>47</v>
      </c>
      <c r="K36" s="1" t="s">
        <v>48</v>
      </c>
      <c r="L36" s="1" t="s">
        <v>49</v>
      </c>
      <c r="M36" s="1" t="s">
        <v>50</v>
      </c>
      <c r="N36" s="1" t="s">
        <v>51</v>
      </c>
      <c r="O36" s="1" t="s">
        <v>52</v>
      </c>
      <c r="P36" s="1" t="s">
        <v>53</v>
      </c>
      <c r="Q36" s="1">
        <v>0</v>
      </c>
      <c r="R36" s="7">
        <v>0</v>
      </c>
      <c r="S36" s="7">
        <v>0</v>
      </c>
      <c r="Z36">
        <v>0</v>
      </c>
      <c r="AA36">
        <v>0</v>
      </c>
      <c r="AJ36">
        <v>2.9670597283903581</v>
      </c>
      <c r="AK36">
        <v>-271.78462775460741</v>
      </c>
      <c r="AL36">
        <v>47.833895579669175</v>
      </c>
      <c r="AM36">
        <v>-301.98291972734154</v>
      </c>
      <c r="AN36">
        <v>53.148772866299083</v>
      </c>
      <c r="AQ36">
        <v>34</v>
      </c>
      <c r="AR36">
        <f t="shared" si="2"/>
        <v>9.9484508706604995</v>
      </c>
      <c r="AS36">
        <f t="shared" si="3"/>
        <v>6.7103148416489624</v>
      </c>
      <c r="AV36">
        <v>1367.3001866162774</v>
      </c>
      <c r="AW36">
        <v>7.5895634864100317E-15</v>
      </c>
      <c r="AX36">
        <v>48.50082766812092</v>
      </c>
      <c r="AY36">
        <f t="shared" si="0"/>
        <v>48.50082766812092</v>
      </c>
      <c r="AZ36">
        <v>2103.5387486404265</v>
      </c>
      <c r="BA36">
        <v>1.1676251517553894E-14</v>
      </c>
      <c r="BB36">
        <v>74.616657950955258</v>
      </c>
      <c r="BC36">
        <f t="shared" si="1"/>
        <v>74.616657950955258</v>
      </c>
      <c r="BF36">
        <v>1404.2641746687138</v>
      </c>
      <c r="BG36">
        <v>4.3410334221461895</v>
      </c>
      <c r="BH36">
        <v>22.383453582941279</v>
      </c>
      <c r="BI36">
        <f t="shared" si="4"/>
        <v>22.800516780807339</v>
      </c>
      <c r="BJ36">
        <v>2160.4064225672519</v>
      </c>
      <c r="BK36">
        <v>6.6785129571479835</v>
      </c>
      <c r="BL36">
        <v>34.436082435294274</v>
      </c>
      <c r="BM36">
        <f t="shared" si="5"/>
        <v>35.077718124318984</v>
      </c>
      <c r="BP36">
        <v>1368.1721807936642</v>
      </c>
      <c r="BQ36">
        <v>-7.4127485542010037E-15</v>
      </c>
      <c r="BR36">
        <v>-48.713866901309657</v>
      </c>
      <c r="BS36">
        <f t="shared" si="6"/>
        <v>-48.713866901309657</v>
      </c>
      <c r="BT36">
        <v>2104.8802781440986</v>
      </c>
      <c r="BU36">
        <v>-1.140422854492462E-14</v>
      </c>
      <c r="BV36">
        <v>-74.94441061739947</v>
      </c>
      <c r="BW36">
        <f t="shared" si="7"/>
        <v>-74.94441061739947</v>
      </c>
    </row>
    <row r="37" spans="1:75" x14ac:dyDescent="0.25">
      <c r="A37">
        <v>1</v>
      </c>
      <c r="B37" s="5">
        <v>7</v>
      </c>
      <c r="C37" s="1">
        <f t="shared" ref="C37:C68" ca="1" si="14">IF(A37&lt;=$B$31,OFFSET($Q$36,MATCH(B37,$Q$36:$Q$47,0)-1,2),0)</f>
        <v>0.6</v>
      </c>
      <c r="D37" s="46">
        <f ca="1">IF($E$32*(A37-1)&gt;=360,0,(($B$3-F37)*COS(RADIANS(($E$32*(A37-1))+$E$30))))</f>
        <v>5.6280257147364732E-16</v>
      </c>
      <c r="E37" s="46">
        <f ca="1">IF($E$32*(A37-1)&gt;=360,0,($B$3-F37)*SIN(RADIANS(($E$32*(A37-1))+$E$30)))</f>
        <v>9.1875</v>
      </c>
      <c r="F37" s="1">
        <f ca="1">$E$31+(OFFSET($Q$36,MATCH(B37,$Q$36:$Q$47,0)-1,1)/2)</f>
        <v>2.8125</v>
      </c>
      <c r="G37">
        <f ca="1">IF(C37=0,NA(),D37)</f>
        <v>5.6280257147364732E-16</v>
      </c>
      <c r="H37">
        <f ca="1">IF(C37=0,NA(),E37)</f>
        <v>9.1875</v>
      </c>
      <c r="I37" s="7">
        <f ca="1">D37*COS($B$10)+E37*SIN($B$10)</f>
        <v>5.6280257147364732E-16</v>
      </c>
      <c r="J37" s="7">
        <f ca="1">-1*D37*SIN($B$10)+E37*COS($B$10)</f>
        <v>9.1875</v>
      </c>
      <c r="K37">
        <f ca="1">IF(B37=0,0,$B$3-J37)</f>
        <v>2.8125</v>
      </c>
      <c r="L37" s="15">
        <f ca="1">IF($B$11&lt;=0,-1,IF(C37=0,0,(($B$11-K37)/$B$11)*$B$13)*IF($B$11&lt;0,-1,1))</f>
        <v>2.1629753819361261E-3</v>
      </c>
      <c r="M37" s="9">
        <f t="shared" ref="M37:M68" ca="1" si="15">IF(AND(L37&gt;0,K37&lt;=$B$12),MIN((L37*F$35),C$35)-IF($B$2="Whitney",$B$9,B151),MAX(L37*F$35,-1*C$35))</f>
        <v>55.75</v>
      </c>
      <c r="N37" s="7">
        <f ca="1">M37*C37</f>
        <v>33.449999999999996</v>
      </c>
      <c r="O37" s="7">
        <f ca="1">N37*J37</f>
        <v>307.32187499999998</v>
      </c>
      <c r="P37" s="7">
        <f ca="1">N37*I37</f>
        <v>1.88257460157935E-14</v>
      </c>
      <c r="Q37" s="1">
        <v>3</v>
      </c>
      <c r="R37" s="7">
        <v>0.375</v>
      </c>
      <c r="S37" s="7">
        <v>0.11</v>
      </c>
      <c r="U37" t="e">
        <f ca="1">IF(AND(N37&lt;0,C37&gt;0),D37,NA())</f>
        <v>#N/A</v>
      </c>
      <c r="V37" t="e">
        <f ca="1">IF(AND(N37&lt;0,C37&gt;0),E37,NA())</f>
        <v>#N/A</v>
      </c>
      <c r="X37">
        <f ca="1">IF(AND(N37&gt;=0,C37&gt;0),D37,NA())</f>
        <v>5.6280257147364732E-16</v>
      </c>
      <c r="Y37">
        <f ca="1">IF(AND(N37&gt;=0,C37&gt;0),E37,NA())</f>
        <v>9.1875</v>
      </c>
      <c r="Z37" s="10">
        <f>J10</f>
        <v>10</v>
      </c>
      <c r="AA37" s="10">
        <f>J11</f>
        <v>0</v>
      </c>
      <c r="AJ37">
        <v>3.0543261909900745</v>
      </c>
      <c r="AK37">
        <v>-273.96666172212616</v>
      </c>
      <c r="AL37">
        <v>23.879275231452457</v>
      </c>
      <c r="AM37">
        <v>-304.40740191347351</v>
      </c>
      <c r="AN37">
        <v>26.532528034947173</v>
      </c>
      <c r="AQ37">
        <v>35</v>
      </c>
      <c r="AR37">
        <f t="shared" si="2"/>
        <v>9.8298245314679011</v>
      </c>
      <c r="AS37">
        <f t="shared" si="3"/>
        <v>6.8829172362125526</v>
      </c>
      <c r="AV37">
        <v>1376.0669482484923</v>
      </c>
      <c r="AW37">
        <v>2.6658723861715263E-15</v>
      </c>
      <c r="AX37">
        <v>43.51917313351818</v>
      </c>
      <c r="AY37">
        <f t="shared" si="0"/>
        <v>43.51917313351818</v>
      </c>
      <c r="AZ37">
        <v>2117.0260742284495</v>
      </c>
      <c r="BA37">
        <v>4.1013421325715786E-15</v>
      </c>
      <c r="BB37">
        <v>66.95257405156643</v>
      </c>
      <c r="BC37">
        <f t="shared" si="1"/>
        <v>66.95257405156643</v>
      </c>
      <c r="BF37">
        <v>1406.9685829997177</v>
      </c>
      <c r="BG37">
        <v>4.0930409828224059</v>
      </c>
      <c r="BH37">
        <v>21.104742567678105</v>
      </c>
      <c r="BI37">
        <f t="shared" si="4"/>
        <v>21.497979982664141</v>
      </c>
      <c r="BJ37">
        <v>2164.5670507687964</v>
      </c>
      <c r="BK37">
        <v>6.2969861274190855</v>
      </c>
      <c r="BL37">
        <v>32.468834719504777</v>
      </c>
      <c r="BM37">
        <f t="shared" si="5"/>
        <v>33.073815357944831</v>
      </c>
      <c r="BP37">
        <v>1376.6146285840982</v>
      </c>
      <c r="BQ37">
        <v>-1.2654251296736629E-14</v>
      </c>
      <c r="BR37">
        <v>-43.726529532539175</v>
      </c>
      <c r="BS37">
        <f t="shared" si="6"/>
        <v>-43.726529532539175</v>
      </c>
      <c r="BT37">
        <v>2117.868659360151</v>
      </c>
      <c r="BU37">
        <v>-1.9468078918056351E-14</v>
      </c>
      <c r="BV37">
        <v>-67.271583896214111</v>
      </c>
      <c r="BW37">
        <f t="shared" si="7"/>
        <v>-67.271583896214111</v>
      </c>
    </row>
    <row r="38" spans="1:75" x14ac:dyDescent="0.25">
      <c r="A38">
        <v>2</v>
      </c>
      <c r="B38" s="5">
        <v>7</v>
      </c>
      <c r="C38" s="1">
        <f t="shared" ca="1" si="14"/>
        <v>0.6</v>
      </c>
      <c r="D38" s="46">
        <f t="shared" ref="D38:D101" ca="1" si="16">IF($E$32*(A38-1)&gt;=360,0,(($B$3-F38)*COS(RADIANS(($E$32*(A38-1))+$E$30))))</f>
        <v>-5.9056111639950801</v>
      </c>
      <c r="E38" s="46">
        <f t="shared" ref="E38:E101" ca="1" si="17">IF($E$32*(A38-1)&gt;=360,0,($B$3-F38)*SIN(RADIANS(($E$32*(A38-1))+$E$30)))</f>
        <v>7.0380333211556101</v>
      </c>
      <c r="F38" s="1">
        <f t="shared" ref="F38:F101" ca="1" si="18">$E$31+(OFFSET($Q$36,MATCH(B38,$Q$36:$Q$47,0)-1,1)/2)</f>
        <v>2.8125</v>
      </c>
      <c r="G38">
        <f t="shared" ref="G38:G101" ca="1" si="19">IF(C38=0,NA(),D38)</f>
        <v>-5.9056111639950801</v>
      </c>
      <c r="H38">
        <f t="shared" ref="H38:H101" ca="1" si="20">IF(C38=0,NA(),E38)</f>
        <v>7.0380333211556101</v>
      </c>
      <c r="I38" s="7">
        <f t="shared" ref="I38:I101" ca="1" si="21">D38*COS($B$10)+E38*SIN($B$10)</f>
        <v>-5.9056111639950801</v>
      </c>
      <c r="J38" s="7">
        <f t="shared" ref="J38:J101" ca="1" si="22">-1*D38*SIN($B$10)+E38*COS($B$10)</f>
        <v>7.0380333211556101</v>
      </c>
      <c r="K38">
        <f t="shared" ref="K38:K101" ca="1" si="23">IF(B38=0,0,$B$3-J38)</f>
        <v>4.9619666788443899</v>
      </c>
      <c r="L38" s="15">
        <f t="shared" ref="L38:L101" ca="1" si="24">IF($B$11&lt;=0,-1,IF(C38=0,0,(($B$11-K38)/$B$11)*$B$13)*IF($B$11&lt;0,-1,1))</f>
        <v>1.5232752838380823E-3</v>
      </c>
      <c r="M38" s="9">
        <f t="shared" ca="1" si="15"/>
        <v>40.234470534062808</v>
      </c>
      <c r="N38" s="7">
        <f t="shared" ref="N38:N101" ca="1" si="25">M38*C38</f>
        <v>24.140682320437683</v>
      </c>
      <c r="O38" s="7">
        <f t="shared" ref="O38:O101" ca="1" si="26">N38*J38</f>
        <v>169.90292656667256</v>
      </c>
      <c r="P38" s="7">
        <f t="shared" ref="P38:P101" ca="1" si="27">N38*I38</f>
        <v>-142.56548301803545</v>
      </c>
      <c r="Q38" s="1">
        <v>4</v>
      </c>
      <c r="R38" s="7">
        <v>0.5</v>
      </c>
      <c r="S38" s="7">
        <v>0.2</v>
      </c>
      <c r="U38" t="e">
        <f t="shared" ref="U38:U101" ca="1" si="28">IF(AND(N38&lt;0,C38&gt;0),D38,NA())</f>
        <v>#N/A</v>
      </c>
      <c r="V38" t="e">
        <f t="shared" ref="V38:V101" ca="1" si="29">IF(AND(N38&lt;0,C38&gt;0),E38,NA())</f>
        <v>#N/A</v>
      </c>
      <c r="X38">
        <f t="shared" ref="X38:X101" ca="1" si="30">IF(AND(N38&gt;=0,C38&gt;0),D38,NA())</f>
        <v>-5.9056111639950801</v>
      </c>
      <c r="Y38">
        <f t="shared" ref="Y38:Y101" ca="1" si="31">IF(AND(N38&gt;=0,C38&gt;0),E38,NA())</f>
        <v>7.0380333211556101</v>
      </c>
      <c r="Z38" s="10">
        <f ca="1">J4</f>
        <v>339.64385907267308</v>
      </c>
      <c r="AA38" s="10">
        <f ca="1">J5</f>
        <v>-2.2940453726202812E-14</v>
      </c>
      <c r="AJ38">
        <v>3.1415926535897909</v>
      </c>
      <c r="AK38">
        <v>-274.68069209259897</v>
      </c>
      <c r="AL38">
        <v>6.52092632942522E-13</v>
      </c>
      <c r="AM38">
        <v>-305.20076899177661</v>
      </c>
      <c r="AN38">
        <v>7.2454736993613557E-13</v>
      </c>
      <c r="AQ38">
        <v>36</v>
      </c>
      <c r="AR38">
        <f t="shared" si="2"/>
        <v>9.7082039324993694</v>
      </c>
      <c r="AS38">
        <f t="shared" si="3"/>
        <v>7.0534230275096776</v>
      </c>
      <c r="AV38">
        <v>1383.8767551431699</v>
      </c>
      <c r="AW38">
        <v>3.3118353652373776E-9</v>
      </c>
      <c r="AX38">
        <v>39.049554156086081</v>
      </c>
      <c r="AY38">
        <f t="shared" si="0"/>
        <v>39.049554156086081</v>
      </c>
      <c r="AZ38">
        <v>2129.0411617587229</v>
      </c>
      <c r="BA38">
        <v>5.0951313311344272E-9</v>
      </c>
      <c r="BB38">
        <v>60.076237163209356</v>
      </c>
      <c r="BC38">
        <f t="shared" si="1"/>
        <v>60.076237163209356</v>
      </c>
      <c r="BF38">
        <v>1409.5264439482055</v>
      </c>
      <c r="BG38">
        <v>3.8592300228133931</v>
      </c>
      <c r="BH38">
        <v>19.899154805131545</v>
      </c>
      <c r="BI38">
        <f t="shared" si="4"/>
        <v>20.269928917674431</v>
      </c>
      <c r="BJ38">
        <v>2168.5022214587775</v>
      </c>
      <c r="BK38">
        <v>5.9372769581744507</v>
      </c>
      <c r="BL38">
        <v>30.61408431558699</v>
      </c>
      <c r="BM38">
        <f t="shared" si="5"/>
        <v>31.184506027191429</v>
      </c>
      <c r="BP38">
        <v>1384.117569713598</v>
      </c>
      <c r="BQ38">
        <v>-7.3108319227992723E-15</v>
      </c>
      <c r="BR38">
        <v>-39.251521614057026</v>
      </c>
      <c r="BS38">
        <f t="shared" si="6"/>
        <v>-39.251521614057026</v>
      </c>
      <c r="BT38">
        <v>2129.4116457132277</v>
      </c>
      <c r="BU38">
        <v>-1.1247433727383496E-14</v>
      </c>
      <c r="BV38">
        <v>-60.386956329318501</v>
      </c>
      <c r="BW38">
        <f t="shared" si="7"/>
        <v>-60.386956329318501</v>
      </c>
    </row>
    <row r="39" spans="1:75" x14ac:dyDescent="0.25">
      <c r="A39">
        <v>3</v>
      </c>
      <c r="B39" s="5">
        <v>7</v>
      </c>
      <c r="C39" s="1">
        <f t="shared" ca="1" si="14"/>
        <v>0.6</v>
      </c>
      <c r="D39" s="46">
        <f t="shared" ca="1" si="16"/>
        <v>-9.0479212307996608</v>
      </c>
      <c r="E39" s="46">
        <f t="shared" ca="1" si="17"/>
        <v>1.5953926323149219</v>
      </c>
      <c r="F39" s="1">
        <f t="shared" ca="1" si="18"/>
        <v>2.8125</v>
      </c>
      <c r="G39">
        <f t="shared" ca="1" si="19"/>
        <v>-9.0479212307996608</v>
      </c>
      <c r="H39">
        <f t="shared" ca="1" si="20"/>
        <v>1.5953926323149219</v>
      </c>
      <c r="I39" s="7">
        <f t="shared" ca="1" si="21"/>
        <v>-9.0479212307996608</v>
      </c>
      <c r="J39" s="7">
        <f t="shared" ca="1" si="22"/>
        <v>1.5953926323149219</v>
      </c>
      <c r="K39">
        <f t="shared" ca="1" si="23"/>
        <v>10.404607367685077</v>
      </c>
      <c r="L39" s="15">
        <f t="shared" ca="1" si="24"/>
        <v>-9.6502225081304701E-5</v>
      </c>
      <c r="M39" s="9">
        <f t="shared" ca="1" si="15"/>
        <v>-2.7985645273578363</v>
      </c>
      <c r="N39" s="7">
        <f t="shared" ca="1" si="25"/>
        <v>-1.6791387164147018</v>
      </c>
      <c r="O39" s="7">
        <f t="shared" ca="1" si="26"/>
        <v>-2.6788855368027504</v>
      </c>
      <c r="P39" s="7">
        <f t="shared" ca="1" si="27"/>
        <v>15.192714841706271</v>
      </c>
      <c r="Q39" s="1">
        <v>5</v>
      </c>
      <c r="R39" s="7">
        <v>0.625</v>
      </c>
      <c r="S39" s="7">
        <v>0.31</v>
      </c>
      <c r="U39">
        <f t="shared" ca="1" si="28"/>
        <v>-9.0479212307996608</v>
      </c>
      <c r="V39">
        <f t="shared" ca="1" si="29"/>
        <v>1.5953926323149219</v>
      </c>
      <c r="X39" t="e">
        <f t="shared" ca="1" si="30"/>
        <v>#N/A</v>
      </c>
      <c r="Y39" t="e">
        <f t="shared" ca="1" si="31"/>
        <v>#N/A</v>
      </c>
      <c r="AJ39">
        <v>3.2288591161895073</v>
      </c>
      <c r="AK39">
        <v>-273.96666172216038</v>
      </c>
      <c r="AL39">
        <v>-23.879275231455928</v>
      </c>
      <c r="AM39">
        <v>-304.40740191351153</v>
      </c>
      <c r="AN39">
        <v>-26.532528034951032</v>
      </c>
      <c r="AQ39">
        <v>37</v>
      </c>
      <c r="AR39">
        <f t="shared" si="2"/>
        <v>9.583626120567514</v>
      </c>
      <c r="AS39">
        <f t="shared" si="3"/>
        <v>7.2217802778245792</v>
      </c>
      <c r="AV39">
        <v>1390.8502038772619</v>
      </c>
      <c r="AW39">
        <v>1.1841393773545248E-15</v>
      </c>
      <c r="AX39">
        <v>35.032210831749289</v>
      </c>
      <c r="AY39">
        <f t="shared" si="0"/>
        <v>35.032210831749289</v>
      </c>
      <c r="AZ39">
        <v>2139.7695444265569</v>
      </c>
      <c r="BA39">
        <v>1.8217528882377304E-15</v>
      </c>
      <c r="BB39">
        <v>53.895708971921984</v>
      </c>
      <c r="BC39">
        <f t="shared" si="1"/>
        <v>53.895708971921984</v>
      </c>
      <c r="BF39">
        <v>1411.9504772912626</v>
      </c>
      <c r="BG39">
        <v>3.6385526478216139</v>
      </c>
      <c r="BH39">
        <v>18.761287083037207</v>
      </c>
      <c r="BI39">
        <f t="shared" si="4"/>
        <v>19.110859697645953</v>
      </c>
      <c r="BJ39">
        <v>2172.2315035250194</v>
      </c>
      <c r="BK39">
        <v>5.5977733043409446</v>
      </c>
      <c r="BL39">
        <v>28.86351858928801</v>
      </c>
      <c r="BM39">
        <f t="shared" si="5"/>
        <v>29.401322611763007</v>
      </c>
      <c r="BP39">
        <v>1390.8002309644567</v>
      </c>
      <c r="BQ39">
        <v>-7.2391323230639398E-15</v>
      </c>
      <c r="BR39">
        <v>-35.229061133892337</v>
      </c>
      <c r="BS39">
        <f t="shared" si="6"/>
        <v>-35.229061133892337</v>
      </c>
      <c r="BT39">
        <v>2139.692663022241</v>
      </c>
      <c r="BU39">
        <v>-1.1137126650867599E-14</v>
      </c>
      <c r="BV39">
        <v>-54.198555590603597</v>
      </c>
      <c r="BW39">
        <f t="shared" si="7"/>
        <v>-54.198555590603597</v>
      </c>
    </row>
    <row r="40" spans="1:75" x14ac:dyDescent="0.25">
      <c r="A40">
        <v>4</v>
      </c>
      <c r="B40" s="5">
        <v>7</v>
      </c>
      <c r="C40" s="1">
        <f t="shared" ca="1" si="14"/>
        <v>0.6</v>
      </c>
      <c r="D40" s="46">
        <f t="shared" ca="1" si="16"/>
        <v>-7.9566083972695294</v>
      </c>
      <c r="E40" s="46">
        <f t="shared" ca="1" si="17"/>
        <v>-4.5937500000000009</v>
      </c>
      <c r="F40" s="1">
        <f t="shared" ca="1" si="18"/>
        <v>2.8125</v>
      </c>
      <c r="G40">
        <f t="shared" ca="1" si="19"/>
        <v>-7.9566083972695294</v>
      </c>
      <c r="H40">
        <f t="shared" ca="1" si="20"/>
        <v>-4.5937500000000009</v>
      </c>
      <c r="I40" s="7">
        <f t="shared" ca="1" si="21"/>
        <v>-7.9566083972695294</v>
      </c>
      <c r="J40" s="7">
        <f t="shared" ca="1" si="22"/>
        <v>-4.5937500000000009</v>
      </c>
      <c r="K40">
        <f t="shared" ca="1" si="23"/>
        <v>16.59375</v>
      </c>
      <c r="L40" s="15">
        <f t="shared" ca="1" si="24"/>
        <v>-1.9384452465768555E-3</v>
      </c>
      <c r="M40" s="9">
        <f t="shared" ca="1" si="15"/>
        <v>-56.214912150728807</v>
      </c>
      <c r="N40" s="7">
        <f t="shared" ca="1" si="25"/>
        <v>-33.728947290437283</v>
      </c>
      <c r="O40" s="7">
        <f t="shared" ca="1" si="26"/>
        <v>154.94235161544628</v>
      </c>
      <c r="P40" s="7">
        <f t="shared" ca="1" si="27"/>
        <v>268.3680252421546</v>
      </c>
      <c r="Q40" s="1">
        <v>6</v>
      </c>
      <c r="R40" s="7">
        <v>0.75</v>
      </c>
      <c r="S40" s="7">
        <v>0.44</v>
      </c>
      <c r="U40">
        <f t="shared" ca="1" si="28"/>
        <v>-7.9566083972695294</v>
      </c>
      <c r="V40">
        <f t="shared" ca="1" si="29"/>
        <v>-4.5937500000000009</v>
      </c>
      <c r="X40" t="e">
        <f t="shared" ca="1" si="30"/>
        <v>#N/A</v>
      </c>
      <c r="Y40" t="e">
        <f t="shared" ca="1" si="31"/>
        <v>#N/A</v>
      </c>
      <c r="AJ40">
        <v>3.3161255787892236</v>
      </c>
      <c r="AK40">
        <v>-271.78462775469086</v>
      </c>
      <c r="AL40">
        <v>-47.833895579691742</v>
      </c>
      <c r="AM40">
        <v>-301.98291972743431</v>
      </c>
      <c r="AN40">
        <v>-53.148772866324158</v>
      </c>
      <c r="AQ40">
        <v>38</v>
      </c>
      <c r="AR40">
        <f t="shared" si="2"/>
        <v>9.4561290432806633</v>
      </c>
      <c r="AS40">
        <f t="shared" si="3"/>
        <v>7.3879377039078999</v>
      </c>
      <c r="AV40">
        <v>1397.0907951076524</v>
      </c>
      <c r="AW40">
        <v>2.5148160568188768E-9</v>
      </c>
      <c r="AX40">
        <v>31.41539362149409</v>
      </c>
      <c r="AY40">
        <f t="shared" si="0"/>
        <v>31.41539362149409</v>
      </c>
      <c r="AZ40">
        <v>2149.3704540117728</v>
      </c>
      <c r="BA40">
        <v>3.8689477797213485E-9</v>
      </c>
      <c r="BB40">
        <v>48.331374802298598</v>
      </c>
      <c r="BC40">
        <f t="shared" si="1"/>
        <v>48.331374802298598</v>
      </c>
      <c r="BF40">
        <v>1414.252320813966</v>
      </c>
      <c r="BG40">
        <v>3.4301051425724465</v>
      </c>
      <c r="BH40">
        <v>17.686479635920524</v>
      </c>
      <c r="BI40">
        <f t="shared" si="4"/>
        <v>18.016025732689588</v>
      </c>
      <c r="BJ40">
        <v>2175.7728012522552</v>
      </c>
      <c r="BK40">
        <v>5.2770848347268409</v>
      </c>
      <c r="BL40">
        <v>27.209968670646958</v>
      </c>
      <c r="BM40">
        <f t="shared" si="5"/>
        <v>27.716962665676284</v>
      </c>
      <c r="BP40">
        <v>1396.7648827846408</v>
      </c>
      <c r="BQ40">
        <v>1.5553510040639201E-14</v>
      </c>
      <c r="BR40">
        <v>-31.607378595872724</v>
      </c>
      <c r="BS40">
        <f t="shared" si="6"/>
        <v>-31.607378595872724</v>
      </c>
      <c r="BT40">
        <v>2148.8690504379088</v>
      </c>
      <c r="BU40">
        <v>2.3928476985598771E-14</v>
      </c>
      <c r="BV40">
        <v>-48.626736301342653</v>
      </c>
      <c r="BW40">
        <f t="shared" si="7"/>
        <v>-48.626736301342653</v>
      </c>
    </row>
    <row r="41" spans="1:75" x14ac:dyDescent="0.25">
      <c r="A41">
        <v>5</v>
      </c>
      <c r="B41" s="5">
        <v>7</v>
      </c>
      <c r="C41" s="1">
        <f t="shared" ca="1" si="14"/>
        <v>0.6</v>
      </c>
      <c r="D41" s="46">
        <f t="shared" ca="1" si="16"/>
        <v>-3.1423100668045798</v>
      </c>
      <c r="E41" s="46">
        <f t="shared" ca="1" si="17"/>
        <v>-8.6334259534705335</v>
      </c>
      <c r="F41" s="1">
        <f t="shared" ca="1" si="18"/>
        <v>2.8125</v>
      </c>
      <c r="G41">
        <f t="shared" ca="1" si="19"/>
        <v>-3.1423100668045798</v>
      </c>
      <c r="H41">
        <f t="shared" ca="1" si="20"/>
        <v>-8.6334259534705335</v>
      </c>
      <c r="I41" s="7">
        <f t="shared" ca="1" si="21"/>
        <v>-3.1423100668045798</v>
      </c>
      <c r="J41" s="7">
        <f t="shared" ca="1" si="22"/>
        <v>-8.6334259534705335</v>
      </c>
      <c r="K41">
        <f t="shared" ca="1" si="23"/>
        <v>20.633425953470535</v>
      </c>
      <c r="L41" s="15">
        <f t="shared" ca="1" si="24"/>
        <v>-3.1406881699743636E-3</v>
      </c>
      <c r="M41" s="9">
        <f t="shared" ca="1" si="15"/>
        <v>-60</v>
      </c>
      <c r="N41" s="7">
        <f t="shared" ca="1" si="25"/>
        <v>-36</v>
      </c>
      <c r="O41" s="7">
        <f t="shared" ca="1" si="26"/>
        <v>310.80333432493921</v>
      </c>
      <c r="P41" s="7">
        <f t="shared" ca="1" si="27"/>
        <v>113.12316240496487</v>
      </c>
      <c r="Q41" s="1">
        <v>7</v>
      </c>
      <c r="R41" s="7">
        <v>0.875</v>
      </c>
      <c r="S41" s="7">
        <v>0.6</v>
      </c>
      <c r="U41">
        <f t="shared" ca="1" si="28"/>
        <v>-3.1423100668045798</v>
      </c>
      <c r="V41">
        <f t="shared" ca="1" si="29"/>
        <v>-8.6334259534705335</v>
      </c>
      <c r="X41" t="e">
        <f t="shared" ca="1" si="30"/>
        <v>#N/A</v>
      </c>
      <c r="Y41" t="e">
        <f t="shared" ca="1" si="31"/>
        <v>#N/A</v>
      </c>
      <c r="AJ41">
        <v>3.40339204138894</v>
      </c>
      <c r="AK41">
        <v>-268.02156667685432</v>
      </c>
      <c r="AL41">
        <v>-71.90649057847456</v>
      </c>
      <c r="AM41">
        <v>-297.80174075206037</v>
      </c>
      <c r="AN41">
        <v>-79.896100642749516</v>
      </c>
      <c r="AQ41">
        <v>39</v>
      </c>
      <c r="AR41">
        <f t="shared" si="2"/>
        <v>9.3257515374836508</v>
      </c>
      <c r="AS41">
        <f t="shared" si="3"/>
        <v>7.5518446925980491</v>
      </c>
      <c r="AV41">
        <v>1402.6876713492125</v>
      </c>
      <c r="AW41">
        <v>-9.2387832907430123E-15</v>
      </c>
      <c r="AX41">
        <v>28.154121247540896</v>
      </c>
      <c r="AY41">
        <f t="shared" si="0"/>
        <v>28.154121247540896</v>
      </c>
      <c r="AZ41">
        <v>2157.9810328449421</v>
      </c>
      <c r="BA41">
        <v>-1.4213512754989249E-14</v>
      </c>
      <c r="BB41">
        <v>43.314032688524456</v>
      </c>
      <c r="BC41">
        <f t="shared" si="1"/>
        <v>43.314032688524456</v>
      </c>
      <c r="BF41">
        <v>1416.4427681738609</v>
      </c>
      <c r="BG41">
        <v>3.2331235538134258</v>
      </c>
      <c r="BH41">
        <v>16.670793320306991</v>
      </c>
      <c r="BI41">
        <f t="shared" si="4"/>
        <v>16.981414482975655</v>
      </c>
      <c r="BJ41">
        <v>2179.1427202674781</v>
      </c>
      <c r="BK41">
        <v>4.9740362366360396</v>
      </c>
      <c r="BL41">
        <v>25.647374338933833</v>
      </c>
      <c r="BM41">
        <f t="shared" si="5"/>
        <v>26.125253050731779</v>
      </c>
      <c r="BP41">
        <v>1402.0995597452293</v>
      </c>
      <c r="BQ41">
        <v>-9.8269048662556318E-15</v>
      </c>
      <c r="BR41">
        <v>-28.341474662096939</v>
      </c>
      <c r="BS41">
        <f t="shared" si="6"/>
        <v>-28.341474662096939</v>
      </c>
      <c r="BT41">
        <v>2157.0762457618912</v>
      </c>
      <c r="BU41">
        <v>-1.5118315178854817E-14</v>
      </c>
      <c r="BV41">
        <v>-43.602268710918366</v>
      </c>
      <c r="BW41">
        <f t="shared" si="7"/>
        <v>-43.602268710918366</v>
      </c>
    </row>
    <row r="42" spans="1:75" x14ac:dyDescent="0.25">
      <c r="A42">
        <v>6</v>
      </c>
      <c r="B42" s="5">
        <v>7</v>
      </c>
      <c r="C42" s="1">
        <f t="shared" ca="1" si="14"/>
        <v>0.6</v>
      </c>
      <c r="D42" s="46">
        <f t="shared" ca="1" si="16"/>
        <v>3.1423100668045838</v>
      </c>
      <c r="E42" s="46">
        <f t="shared" ca="1" si="17"/>
        <v>-8.6334259534705335</v>
      </c>
      <c r="F42" s="1">
        <f t="shared" ca="1" si="18"/>
        <v>2.8125</v>
      </c>
      <c r="G42">
        <f t="shared" ca="1" si="19"/>
        <v>3.1423100668045838</v>
      </c>
      <c r="H42">
        <f t="shared" ca="1" si="20"/>
        <v>-8.6334259534705335</v>
      </c>
      <c r="I42" s="7">
        <f t="shared" ca="1" si="21"/>
        <v>3.1423100668045838</v>
      </c>
      <c r="J42" s="7">
        <f t="shared" ca="1" si="22"/>
        <v>-8.6334259534705335</v>
      </c>
      <c r="K42">
        <f t="shared" ca="1" si="23"/>
        <v>20.633425953470535</v>
      </c>
      <c r="L42" s="15">
        <f t="shared" ca="1" si="24"/>
        <v>-3.1406881699743636E-3</v>
      </c>
      <c r="M42" s="9">
        <f t="shared" ca="1" si="15"/>
        <v>-60</v>
      </c>
      <c r="N42" s="7">
        <f t="shared" ca="1" si="25"/>
        <v>-36</v>
      </c>
      <c r="O42" s="7">
        <f t="shared" ca="1" si="26"/>
        <v>310.80333432493921</v>
      </c>
      <c r="P42" s="7">
        <f t="shared" ca="1" si="27"/>
        <v>-113.12316240496502</v>
      </c>
      <c r="Q42" s="1">
        <v>8</v>
      </c>
      <c r="R42" s="7">
        <v>1</v>
      </c>
      <c r="S42" s="7">
        <v>0.79</v>
      </c>
      <c r="U42">
        <f t="shared" ca="1" si="28"/>
        <v>3.1423100668045838</v>
      </c>
      <c r="V42">
        <f t="shared" ca="1" si="29"/>
        <v>-8.6334259534705335</v>
      </c>
      <c r="X42" t="e">
        <f t="shared" ca="1" si="30"/>
        <v>#N/A</v>
      </c>
      <c r="Y42" t="e">
        <f t="shared" ca="1" si="31"/>
        <v>#N/A</v>
      </c>
      <c r="AJ42">
        <v>3.4906585039886564</v>
      </c>
      <c r="AK42">
        <v>-262.10152158168046</v>
      </c>
      <c r="AL42">
        <v>-95.397152211611527</v>
      </c>
      <c r="AM42">
        <v>-291.22391286853383</v>
      </c>
      <c r="AN42">
        <v>-105.99683579067947</v>
      </c>
      <c r="AQ42">
        <v>40</v>
      </c>
      <c r="AR42">
        <f t="shared" si="2"/>
        <v>9.1925333174277366</v>
      </c>
      <c r="AS42">
        <f t="shared" si="3"/>
        <v>7.713451316238471</v>
      </c>
      <c r="AV42">
        <v>1407.7178642422768</v>
      </c>
      <c r="AW42">
        <v>1.8579986597688206E-9</v>
      </c>
      <c r="AX42">
        <v>25.209156656699097</v>
      </c>
      <c r="AY42">
        <f t="shared" si="0"/>
        <v>25.209156656699097</v>
      </c>
      <c r="AZ42">
        <v>2165.7197911419644</v>
      </c>
      <c r="BA42">
        <v>2.8584594765674162E-9</v>
      </c>
      <c r="BB42">
        <v>38.783317933383223</v>
      </c>
      <c r="BC42">
        <f t="shared" si="1"/>
        <v>38.783317933383223</v>
      </c>
      <c r="BF42">
        <v>1418.5320163947663</v>
      </c>
      <c r="BG42">
        <v>3.0469868549172507</v>
      </c>
      <c r="BH42">
        <v>15.711025970667079</v>
      </c>
      <c r="BI42">
        <f t="shared" si="4"/>
        <v>16.003764118013422</v>
      </c>
      <c r="BJ42">
        <v>2182.3569482996404</v>
      </c>
      <c r="BK42">
        <v>4.6876720844880779</v>
      </c>
      <c r="BL42">
        <v>24.170809185641659</v>
      </c>
      <c r="BM42">
        <f t="shared" si="5"/>
        <v>24.621175566174493</v>
      </c>
      <c r="BP42">
        <v>1406.8802930012737</v>
      </c>
      <c r="BQ42">
        <v>4.8834269603770963E-15</v>
      </c>
      <c r="BR42">
        <v>-25.392095897422333</v>
      </c>
      <c r="BS42">
        <f t="shared" si="6"/>
        <v>-25.392095897422333</v>
      </c>
      <c r="BT42">
        <v>2164.4312200019594</v>
      </c>
      <c r="BU42">
        <v>7.5129645544263022E-15</v>
      </c>
      <c r="BV42">
        <v>-39.064762919111281</v>
      </c>
      <c r="BW42">
        <f t="shared" si="7"/>
        <v>-39.064762919111281</v>
      </c>
    </row>
    <row r="43" spans="1:75" x14ac:dyDescent="0.25">
      <c r="A43">
        <v>7</v>
      </c>
      <c r="B43" s="5">
        <v>7</v>
      </c>
      <c r="C43" s="1">
        <f t="shared" ca="1" si="14"/>
        <v>0.6</v>
      </c>
      <c r="D43" s="46">
        <f t="shared" ca="1" si="16"/>
        <v>7.9566083972695276</v>
      </c>
      <c r="E43" s="46">
        <f t="shared" ca="1" si="17"/>
        <v>-4.5937500000000044</v>
      </c>
      <c r="F43" s="1">
        <f t="shared" ca="1" si="18"/>
        <v>2.8125</v>
      </c>
      <c r="G43">
        <f t="shared" ca="1" si="19"/>
        <v>7.9566083972695276</v>
      </c>
      <c r="H43">
        <f t="shared" ca="1" si="20"/>
        <v>-4.5937500000000044</v>
      </c>
      <c r="I43" s="7">
        <f t="shared" ca="1" si="21"/>
        <v>7.9566083972695276</v>
      </c>
      <c r="J43" s="7">
        <f t="shared" ca="1" si="22"/>
        <v>-4.5937500000000044</v>
      </c>
      <c r="K43">
        <f t="shared" ca="1" si="23"/>
        <v>16.593750000000004</v>
      </c>
      <c r="L43" s="15">
        <f t="shared" ca="1" si="24"/>
        <v>-1.9384452465768566E-3</v>
      </c>
      <c r="M43" s="9">
        <f t="shared" ca="1" si="15"/>
        <v>-56.214912150728843</v>
      </c>
      <c r="N43" s="7">
        <f t="shared" ca="1" si="25"/>
        <v>-33.728947290437304</v>
      </c>
      <c r="O43" s="7">
        <f t="shared" ca="1" si="26"/>
        <v>154.94235161544651</v>
      </c>
      <c r="P43" s="7">
        <f t="shared" ca="1" si="27"/>
        <v>-268.36802524215472</v>
      </c>
      <c r="Q43" s="1">
        <v>9</v>
      </c>
      <c r="R43" s="7">
        <v>1.1279999999999999</v>
      </c>
      <c r="S43" s="7">
        <v>1</v>
      </c>
      <c r="U43">
        <f t="shared" ca="1" si="28"/>
        <v>7.9566083972695276</v>
      </c>
      <c r="V43">
        <f t="shared" ca="1" si="29"/>
        <v>-4.5937500000000044</v>
      </c>
      <c r="X43" t="e">
        <f t="shared" ca="1" si="30"/>
        <v>#N/A</v>
      </c>
      <c r="Y43" t="e">
        <f t="shared" ca="1" si="31"/>
        <v>#N/A</v>
      </c>
      <c r="AJ43">
        <v>3.5779249665883728</v>
      </c>
      <c r="AK43">
        <v>-251.53703298873387</v>
      </c>
      <c r="AL43">
        <v>-117.19737465682753</v>
      </c>
      <c r="AM43">
        <v>-279.48559220970429</v>
      </c>
      <c r="AN43">
        <v>-130.21930517425281</v>
      </c>
      <c r="AQ43">
        <v>41</v>
      </c>
      <c r="AR43">
        <f t="shared" si="2"/>
        <v>9.0565149626732637</v>
      </c>
      <c r="AS43">
        <f t="shared" si="3"/>
        <v>7.8727083478860873</v>
      </c>
      <c r="AV43">
        <v>1412.2481483466559</v>
      </c>
      <c r="AW43">
        <v>1.5730628180309254E-9</v>
      </c>
      <c r="AX43">
        <v>22.546158531383075</v>
      </c>
      <c r="AY43">
        <f t="shared" si="0"/>
        <v>22.546158531383075</v>
      </c>
      <c r="AZ43">
        <v>2172.6894589948552</v>
      </c>
      <c r="BA43">
        <v>2.4200966431245005E-9</v>
      </c>
      <c r="BB43">
        <v>34.686397740589342</v>
      </c>
      <c r="BC43">
        <f t="shared" si="1"/>
        <v>34.686397740589342</v>
      </c>
      <c r="BF43">
        <v>1420.3984244715941</v>
      </c>
      <c r="BG43">
        <v>2.8683741759973831</v>
      </c>
      <c r="BH43">
        <v>14.790054336583717</v>
      </c>
      <c r="BI43">
        <f t="shared" si="4"/>
        <v>15.065632336301967</v>
      </c>
      <c r="BJ43">
        <v>2185.2283453409141</v>
      </c>
      <c r="BK43">
        <v>4.4128833476882816</v>
      </c>
      <c r="BL43">
        <v>22.753929748590334</v>
      </c>
      <c r="BM43">
        <f t="shared" si="5"/>
        <v>23.177895902003026</v>
      </c>
      <c r="BP43">
        <v>1411.1729513779881</v>
      </c>
      <c r="BQ43">
        <v>-9.241258339659101E-15</v>
      </c>
      <c r="BR43">
        <v>-22.724886091035682</v>
      </c>
      <c r="BS43">
        <f t="shared" si="6"/>
        <v>-22.724886091035682</v>
      </c>
      <c r="BT43">
        <v>2171.0353098122891</v>
      </c>
      <c r="BU43">
        <v>-1.4217320522552462E-14</v>
      </c>
      <c r="BV43">
        <v>-34.961363216977972</v>
      </c>
      <c r="BW43">
        <f t="shared" si="7"/>
        <v>-34.961363216977972</v>
      </c>
    </row>
    <row r="44" spans="1:75" x14ac:dyDescent="0.25">
      <c r="A44">
        <v>8</v>
      </c>
      <c r="B44" s="5">
        <v>7</v>
      </c>
      <c r="C44" s="1">
        <f t="shared" ca="1" si="14"/>
        <v>0.6</v>
      </c>
      <c r="D44" s="46">
        <f t="shared" ca="1" si="16"/>
        <v>9.0479212307996626</v>
      </c>
      <c r="E44" s="46">
        <f t="shared" ca="1" si="17"/>
        <v>1.5953926323149186</v>
      </c>
      <c r="F44" s="1">
        <f t="shared" ca="1" si="18"/>
        <v>2.8125</v>
      </c>
      <c r="G44">
        <f t="shared" ca="1" si="19"/>
        <v>9.0479212307996626</v>
      </c>
      <c r="H44">
        <f t="shared" ca="1" si="20"/>
        <v>1.5953926323149186</v>
      </c>
      <c r="I44" s="7">
        <f t="shared" ca="1" si="21"/>
        <v>9.0479212307996626</v>
      </c>
      <c r="J44" s="7">
        <f t="shared" ca="1" si="22"/>
        <v>1.5953926323149186</v>
      </c>
      <c r="K44">
        <f t="shared" ca="1" si="23"/>
        <v>10.404607367685081</v>
      </c>
      <c r="L44" s="15">
        <f t="shared" ca="1" si="24"/>
        <v>-9.6502225081305758E-5</v>
      </c>
      <c r="M44" s="9">
        <f t="shared" ca="1" si="15"/>
        <v>-2.798564527357867</v>
      </c>
      <c r="N44" s="7">
        <f t="shared" ca="1" si="25"/>
        <v>-1.6791387164147202</v>
      </c>
      <c r="O44" s="7">
        <f t="shared" ca="1" si="26"/>
        <v>-2.678885536802774</v>
      </c>
      <c r="P44" s="7">
        <f t="shared" ca="1" si="27"/>
        <v>-15.192714841706442</v>
      </c>
      <c r="Q44" s="1">
        <v>10</v>
      </c>
      <c r="R44" s="7">
        <v>1.27</v>
      </c>
      <c r="S44" s="7">
        <v>1.27</v>
      </c>
      <c r="U44">
        <f t="shared" ca="1" si="28"/>
        <v>9.0479212307996626</v>
      </c>
      <c r="V44">
        <f t="shared" ca="1" si="29"/>
        <v>1.5953926323149186</v>
      </c>
      <c r="X44" t="e">
        <f t="shared" ca="1" si="30"/>
        <v>#N/A</v>
      </c>
      <c r="Y44" t="e">
        <f t="shared" ca="1" si="31"/>
        <v>#N/A</v>
      </c>
      <c r="AJ44">
        <v>3.6651914291880892</v>
      </c>
      <c r="AK44">
        <v>-238.94613921822813</v>
      </c>
      <c r="AL44">
        <v>-138.05690132239079</v>
      </c>
      <c r="AM44">
        <v>-265.4957102424757</v>
      </c>
      <c r="AN44">
        <v>-153.39655702487866</v>
      </c>
      <c r="AQ44">
        <v>42</v>
      </c>
      <c r="AR44">
        <f t="shared" si="2"/>
        <v>8.9177379057287318</v>
      </c>
      <c r="AS44">
        <f t="shared" si="3"/>
        <v>8.0295672763062989</v>
      </c>
      <c r="AV44">
        <v>1416.184189102617</v>
      </c>
      <c r="AW44">
        <v>-2.6956711987606602E-14</v>
      </c>
      <c r="AX44">
        <v>20.155234861787459</v>
      </c>
      <c r="AY44">
        <f t="shared" si="0"/>
        <v>20.155234861787459</v>
      </c>
      <c r="AZ44">
        <v>2178.7449063117183</v>
      </c>
      <c r="BA44">
        <v>-4.1471864596317847E-14</v>
      </c>
      <c r="BB44">
        <v>31.008053633519168</v>
      </c>
      <c r="BC44">
        <f t="shared" si="1"/>
        <v>31.008053633519168</v>
      </c>
      <c r="BF44">
        <v>1422.0050686220598</v>
      </c>
      <c r="BG44">
        <v>2.6949018721443143</v>
      </c>
      <c r="BH44">
        <v>13.895587773065124</v>
      </c>
      <c r="BI44">
        <f t="shared" si="4"/>
        <v>14.154499484596547</v>
      </c>
      <c r="BJ44">
        <v>2187.7001055723995</v>
      </c>
      <c r="BK44">
        <v>4.1460028802220217</v>
      </c>
      <c r="BL44">
        <v>21.377827343177113</v>
      </c>
      <c r="BM44">
        <f t="shared" si="5"/>
        <v>21.776153053225457</v>
      </c>
      <c r="BP44">
        <v>1415.0347668260536</v>
      </c>
      <c r="BQ44">
        <v>-8.6524125668014097E-15</v>
      </c>
      <c r="BR44">
        <v>-20.309679714312576</v>
      </c>
      <c r="BS44">
        <f t="shared" si="6"/>
        <v>-20.309679714312576</v>
      </c>
      <c r="BT44">
        <v>2176.9765643477745</v>
      </c>
      <c r="BU44">
        <v>-1.3311403948925245E-14</v>
      </c>
      <c r="BV44">
        <v>-31.245661098942424</v>
      </c>
      <c r="BW44">
        <f t="shared" si="7"/>
        <v>-31.245661098942424</v>
      </c>
    </row>
    <row r="45" spans="1:75" x14ac:dyDescent="0.25">
      <c r="A45">
        <v>9</v>
      </c>
      <c r="B45" s="5">
        <v>7</v>
      </c>
      <c r="C45" s="1">
        <f t="shared" ca="1" si="14"/>
        <v>0.6</v>
      </c>
      <c r="D45" s="46">
        <f t="shared" ca="1" si="16"/>
        <v>5.9056111639950828</v>
      </c>
      <c r="E45" s="46">
        <f t="shared" ca="1" si="17"/>
        <v>7.0380333211556083</v>
      </c>
      <c r="F45" s="1">
        <f t="shared" ca="1" si="18"/>
        <v>2.8125</v>
      </c>
      <c r="G45">
        <f t="shared" ca="1" si="19"/>
        <v>5.9056111639950828</v>
      </c>
      <c r="H45">
        <f t="shared" ca="1" si="20"/>
        <v>7.0380333211556083</v>
      </c>
      <c r="I45" s="7">
        <f t="shared" ca="1" si="21"/>
        <v>5.9056111639950828</v>
      </c>
      <c r="J45" s="7">
        <f t="shared" ca="1" si="22"/>
        <v>7.0380333211556083</v>
      </c>
      <c r="K45">
        <f t="shared" ca="1" si="23"/>
        <v>4.9619666788443917</v>
      </c>
      <c r="L45" s="15">
        <f t="shared" ca="1" si="24"/>
        <v>1.5232752838380817E-3</v>
      </c>
      <c r="M45" s="9">
        <f t="shared" ca="1" si="15"/>
        <v>40.234470534062794</v>
      </c>
      <c r="N45" s="7">
        <f t="shared" ca="1" si="25"/>
        <v>24.140682320437676</v>
      </c>
      <c r="O45" s="7">
        <f t="shared" ca="1" si="26"/>
        <v>169.90292656667245</v>
      </c>
      <c r="P45" s="7">
        <f t="shared" ca="1" si="27"/>
        <v>142.56548301803545</v>
      </c>
      <c r="Q45" s="1">
        <v>11</v>
      </c>
      <c r="R45" s="7">
        <v>1.41</v>
      </c>
      <c r="S45" s="7">
        <v>1.56</v>
      </c>
      <c r="U45" t="e">
        <f t="shared" ca="1" si="28"/>
        <v>#N/A</v>
      </c>
      <c r="V45" t="e">
        <f t="shared" ca="1" si="29"/>
        <v>#N/A</v>
      </c>
      <c r="X45">
        <f t="shared" ca="1" si="30"/>
        <v>5.9056111639950828</v>
      </c>
      <c r="Y45">
        <f t="shared" ca="1" si="31"/>
        <v>7.0380333211556083</v>
      </c>
      <c r="AJ45">
        <v>3.7524578917878055</v>
      </c>
      <c r="AK45">
        <v>-225.219941059164</v>
      </c>
      <c r="AL45">
        <v>-157.8097895254032</v>
      </c>
      <c r="AM45">
        <v>-250.24437895462665</v>
      </c>
      <c r="AN45">
        <v>-175.34421058378135</v>
      </c>
      <c r="AQ45">
        <v>43</v>
      </c>
      <c r="AR45">
        <f t="shared" si="2"/>
        <v>8.7762444194300464</v>
      </c>
      <c r="AS45">
        <f t="shared" si="3"/>
        <v>8.1839803207499813</v>
      </c>
      <c r="AV45">
        <v>1419.3950717229993</v>
      </c>
      <c r="AW45">
        <v>1.1047142931767886E-15</v>
      </c>
      <c r="AX45">
        <v>18.033966230797486</v>
      </c>
      <c r="AY45">
        <f t="shared" si="0"/>
        <v>18.033966230797486</v>
      </c>
      <c r="AZ45">
        <v>2183.6847257276913</v>
      </c>
      <c r="BA45">
        <v>1.6995604510412132E-15</v>
      </c>
      <c r="BB45">
        <v>27.744563431996131</v>
      </c>
      <c r="BC45">
        <f t="shared" si="1"/>
        <v>27.744563431996131</v>
      </c>
      <c r="BF45">
        <v>1423.538311074255</v>
      </c>
      <c r="BG45">
        <v>2.5295181016311883</v>
      </c>
      <c r="BH45">
        <v>13.042827705984315</v>
      </c>
      <c r="BI45">
        <f t="shared" si="4"/>
        <v>13.28585023227614</v>
      </c>
      <c r="BJ45">
        <v>2190.0589401142383</v>
      </c>
      <c r="BK45">
        <v>3.8915663102018279</v>
      </c>
      <c r="BL45">
        <v>20.065888778437408</v>
      </c>
      <c r="BM45">
        <f t="shared" si="5"/>
        <v>20.439769588117137</v>
      </c>
      <c r="BP45">
        <v>1418.5156039871986</v>
      </c>
      <c r="BQ45">
        <v>-7.9484649374062148E-15</v>
      </c>
      <c r="BR45">
        <v>-18.119911055807151</v>
      </c>
      <c r="BS45">
        <f t="shared" si="6"/>
        <v>-18.119911055807151</v>
      </c>
      <c r="BT45">
        <v>2182.3316984418439</v>
      </c>
      <c r="BU45">
        <v>-1.2228407596009561E-14</v>
      </c>
      <c r="BV45">
        <v>-27.876786239703307</v>
      </c>
      <c r="BW45">
        <f t="shared" si="7"/>
        <v>-27.876786239703307</v>
      </c>
    </row>
    <row r="46" spans="1:75" x14ac:dyDescent="0.25">
      <c r="A46">
        <v>10</v>
      </c>
      <c r="B46" s="5">
        <v>7</v>
      </c>
      <c r="C46" s="1">
        <f t="shared" ca="1" si="14"/>
        <v>0</v>
      </c>
      <c r="D46" s="46">
        <f t="shared" si="16"/>
        <v>0</v>
      </c>
      <c r="E46" s="46">
        <f t="shared" si="17"/>
        <v>0</v>
      </c>
      <c r="F46" s="1">
        <f t="shared" ca="1" si="18"/>
        <v>2.8125</v>
      </c>
      <c r="G46" t="e">
        <f t="shared" ca="1" si="19"/>
        <v>#N/A</v>
      </c>
      <c r="H46" t="e">
        <f t="shared" ca="1" si="20"/>
        <v>#N/A</v>
      </c>
      <c r="I46" s="7">
        <f t="shared" si="21"/>
        <v>0</v>
      </c>
      <c r="J46" s="7">
        <f t="shared" si="22"/>
        <v>0</v>
      </c>
      <c r="K46">
        <f t="shared" si="23"/>
        <v>12</v>
      </c>
      <c r="L46" s="15">
        <f t="shared" ca="1" si="24"/>
        <v>0</v>
      </c>
      <c r="M46" s="9">
        <f t="shared" ca="1" si="15"/>
        <v>0</v>
      </c>
      <c r="N46" s="7">
        <f t="shared" ca="1" si="25"/>
        <v>0</v>
      </c>
      <c r="O46" s="7">
        <f t="shared" ca="1" si="26"/>
        <v>0</v>
      </c>
      <c r="P46" s="7">
        <f t="shared" ca="1" si="27"/>
        <v>0</v>
      </c>
      <c r="Q46" s="1">
        <v>14</v>
      </c>
      <c r="R46" s="7">
        <v>1.6930000000000001</v>
      </c>
      <c r="S46" s="7">
        <v>2.25</v>
      </c>
      <c r="U46" t="e">
        <f t="shared" ca="1" si="28"/>
        <v>#N/A</v>
      </c>
      <c r="V46" t="e">
        <f t="shared" ca="1" si="29"/>
        <v>#N/A</v>
      </c>
      <c r="X46" t="e">
        <f t="shared" ca="1" si="30"/>
        <v>#N/A</v>
      </c>
      <c r="Y46" t="e">
        <f t="shared" ca="1" si="31"/>
        <v>#N/A</v>
      </c>
      <c r="AJ46">
        <v>3.8397243543875219</v>
      </c>
      <c r="AK46">
        <v>-210.41761780961096</v>
      </c>
      <c r="AL46">
        <v>-176.5613454972453</v>
      </c>
      <c r="AM46">
        <v>-233.79735312178994</v>
      </c>
      <c r="AN46">
        <v>-196.17927277471699</v>
      </c>
      <c r="AQ46">
        <v>44</v>
      </c>
      <c r="AR46">
        <f t="shared" si="2"/>
        <v>8.6320776040638147</v>
      </c>
      <c r="AS46">
        <f t="shared" si="3"/>
        <v>8.335900445507967</v>
      </c>
      <c r="AV46">
        <v>1422.2804802554324</v>
      </c>
      <c r="AW46">
        <v>-1.4500657387489104E-14</v>
      </c>
      <c r="AX46">
        <v>16.111645746005735</v>
      </c>
      <c r="AY46">
        <f t="shared" si="0"/>
        <v>16.111645746005735</v>
      </c>
      <c r="AZ46">
        <v>2188.1238157775883</v>
      </c>
      <c r="BA46">
        <v>-2.2308703673060159E-14</v>
      </c>
      <c r="BB46">
        <v>24.787147301547282</v>
      </c>
      <c r="BC46">
        <f t="shared" si="1"/>
        <v>24.787147301547282</v>
      </c>
      <c r="BF46">
        <v>1425.00348761753</v>
      </c>
      <c r="BG46">
        <v>2.3716788445619637</v>
      </c>
      <c r="BH46">
        <v>12.228969035978226</v>
      </c>
      <c r="BI46">
        <f t="shared" si="4"/>
        <v>12.456827213406189</v>
      </c>
      <c r="BJ46">
        <v>2192.3130578731229</v>
      </c>
      <c r="BK46">
        <v>3.6487366839414825</v>
      </c>
      <c r="BL46">
        <v>18.813798516889577</v>
      </c>
      <c r="BM46">
        <f t="shared" si="5"/>
        <v>19.164349559086443</v>
      </c>
      <c r="BP46">
        <v>1421.6590212637425</v>
      </c>
      <c r="BQ46">
        <v>-8.2924108601750074E-16</v>
      </c>
      <c r="BR46">
        <v>-16.132117975878966</v>
      </c>
      <c r="BS46">
        <f t="shared" si="6"/>
        <v>-16.132117975878966</v>
      </c>
      <c r="BT46">
        <v>2187.1677250211424</v>
      </c>
      <c r="BU46">
        <v>-1.2757555169500011E-15</v>
      </c>
      <c r="BV46">
        <v>-24.818643039813793</v>
      </c>
      <c r="BW46">
        <f t="shared" si="7"/>
        <v>-24.818643039813793</v>
      </c>
    </row>
    <row r="47" spans="1:75" x14ac:dyDescent="0.25">
      <c r="A47">
        <v>11</v>
      </c>
      <c r="B47" s="5">
        <v>7</v>
      </c>
      <c r="C47" s="1">
        <f t="shared" ca="1" si="14"/>
        <v>0</v>
      </c>
      <c r="D47" s="46">
        <f t="shared" si="16"/>
        <v>0</v>
      </c>
      <c r="E47" s="46">
        <f t="shared" si="17"/>
        <v>0</v>
      </c>
      <c r="F47" s="1">
        <f t="shared" ca="1" si="18"/>
        <v>2.8125</v>
      </c>
      <c r="G47" t="e">
        <f t="shared" ca="1" si="19"/>
        <v>#N/A</v>
      </c>
      <c r="H47" t="e">
        <f t="shared" ca="1" si="20"/>
        <v>#N/A</v>
      </c>
      <c r="I47" s="7">
        <f t="shared" si="21"/>
        <v>0</v>
      </c>
      <c r="J47" s="7">
        <f t="shared" si="22"/>
        <v>0</v>
      </c>
      <c r="K47">
        <f t="shared" si="23"/>
        <v>12</v>
      </c>
      <c r="L47" s="15">
        <f t="shared" ca="1" si="24"/>
        <v>0</v>
      </c>
      <c r="M47" s="9">
        <f t="shared" ca="1" si="15"/>
        <v>0</v>
      </c>
      <c r="N47" s="7">
        <f t="shared" ca="1" si="25"/>
        <v>0</v>
      </c>
      <c r="O47" s="7">
        <f t="shared" ca="1" si="26"/>
        <v>0</v>
      </c>
      <c r="P47" s="7">
        <f t="shared" ca="1" si="27"/>
        <v>0</v>
      </c>
      <c r="Q47" s="1">
        <v>18</v>
      </c>
      <c r="R47" s="7">
        <v>2.2570000000000001</v>
      </c>
      <c r="S47" s="7">
        <v>4</v>
      </c>
      <c r="U47" t="e">
        <f t="shared" ca="1" si="28"/>
        <v>#N/A</v>
      </c>
      <c r="V47" t="e">
        <f t="shared" ca="1" si="29"/>
        <v>#N/A</v>
      </c>
      <c r="X47" t="e">
        <f t="shared" ca="1" si="30"/>
        <v>#N/A</v>
      </c>
      <c r="Y47" t="e">
        <f t="shared" ca="1" si="31"/>
        <v>#N/A</v>
      </c>
      <c r="AJ47">
        <v>3.9269908169872383</v>
      </c>
      <c r="AK47">
        <v>-194.52133656504336</v>
      </c>
      <c r="AL47">
        <v>-194.39496171895351</v>
      </c>
      <c r="AM47">
        <v>-216.13481840560371</v>
      </c>
      <c r="AN47">
        <v>-215.99440190994835</v>
      </c>
      <c r="AQ47">
        <v>45</v>
      </c>
      <c r="AR47">
        <f t="shared" si="2"/>
        <v>8.4852813742385713</v>
      </c>
      <c r="AS47">
        <f t="shared" si="3"/>
        <v>8.4852813742385695</v>
      </c>
      <c r="AV47">
        <v>1424.877708109372</v>
      </c>
      <c r="AW47">
        <v>-1.0118940968750408E-14</v>
      </c>
      <c r="AX47">
        <v>14.367702399817809</v>
      </c>
      <c r="AY47">
        <f t="shared" si="0"/>
        <v>14.367702399817809</v>
      </c>
      <c r="AZ47">
        <v>2192.1195509374952</v>
      </c>
      <c r="BA47">
        <v>-1.5567601490385243E-14</v>
      </c>
      <c r="BB47">
        <v>22.104157538181244</v>
      </c>
      <c r="BC47">
        <f t="shared" si="1"/>
        <v>22.104157538181244</v>
      </c>
      <c r="BF47">
        <v>1426.4055773264845</v>
      </c>
      <c r="BG47">
        <v>2.2208917602921892</v>
      </c>
      <c r="BH47">
        <v>11.451473134093074</v>
      </c>
      <c r="BI47">
        <f t="shared" si="4"/>
        <v>11.664844497540001</v>
      </c>
      <c r="BJ47">
        <v>2194.4701189638222</v>
      </c>
      <c r="BK47">
        <v>3.4167565542956755</v>
      </c>
      <c r="BL47">
        <v>17.617650975527805</v>
      </c>
      <c r="BM47">
        <f t="shared" si="5"/>
        <v>17.945914611599996</v>
      </c>
      <c r="BP47">
        <v>1424.5031611981899</v>
      </c>
      <c r="BQ47">
        <v>1.9858938481690011E-15</v>
      </c>
      <c r="BR47">
        <v>-14.325523429283844</v>
      </c>
      <c r="BS47">
        <f t="shared" si="6"/>
        <v>-14.325523429283844</v>
      </c>
      <c r="BT47">
        <v>2191.543324920292</v>
      </c>
      <c r="BU47">
        <v>3.0552213048753861E-15</v>
      </c>
      <c r="BV47">
        <v>-22.039266814282836</v>
      </c>
      <c r="BW47">
        <f t="shared" si="7"/>
        <v>-22.039266814282836</v>
      </c>
    </row>
    <row r="48" spans="1:75" x14ac:dyDescent="0.25">
      <c r="A48">
        <v>12</v>
      </c>
      <c r="B48" s="5">
        <v>7</v>
      </c>
      <c r="C48" s="1">
        <f t="shared" ca="1" si="14"/>
        <v>0</v>
      </c>
      <c r="D48" s="46">
        <f t="shared" si="16"/>
        <v>0</v>
      </c>
      <c r="E48" s="46">
        <f t="shared" si="17"/>
        <v>0</v>
      </c>
      <c r="F48" s="1">
        <f t="shared" ca="1" si="18"/>
        <v>2.8125</v>
      </c>
      <c r="G48" t="e">
        <f t="shared" ca="1" si="19"/>
        <v>#N/A</v>
      </c>
      <c r="H48" t="e">
        <f t="shared" ca="1" si="20"/>
        <v>#N/A</v>
      </c>
      <c r="I48" s="7">
        <f t="shared" si="21"/>
        <v>0</v>
      </c>
      <c r="J48" s="7">
        <f t="shared" si="22"/>
        <v>0</v>
      </c>
      <c r="K48">
        <f t="shared" si="23"/>
        <v>12</v>
      </c>
      <c r="L48" s="15">
        <f t="shared" ca="1" si="24"/>
        <v>0</v>
      </c>
      <c r="M48" s="9">
        <f t="shared" ca="1" si="15"/>
        <v>0</v>
      </c>
      <c r="N48" s="7">
        <f t="shared" ca="1" si="25"/>
        <v>0</v>
      </c>
      <c r="O48" s="7">
        <f t="shared" ca="1" si="26"/>
        <v>0</v>
      </c>
      <c r="P48" s="7">
        <f t="shared" ca="1" si="27"/>
        <v>0</v>
      </c>
      <c r="U48" t="e">
        <f t="shared" ca="1" si="28"/>
        <v>#N/A</v>
      </c>
      <c r="V48" t="e">
        <f t="shared" ca="1" si="29"/>
        <v>#N/A</v>
      </c>
      <c r="X48" t="e">
        <f t="shared" ca="1" si="30"/>
        <v>#N/A</v>
      </c>
      <c r="Y48" t="e">
        <f t="shared" ca="1" si="31"/>
        <v>#N/A</v>
      </c>
      <c r="AJ48">
        <v>4.0142572795869551</v>
      </c>
      <c r="AK48">
        <v>-177.45206841492762</v>
      </c>
      <c r="AL48">
        <v>-211.34268112546866</v>
      </c>
      <c r="AM48">
        <v>-197.16896490547512</v>
      </c>
      <c r="AN48">
        <v>-234.82520125052073</v>
      </c>
      <c r="AQ48">
        <v>46</v>
      </c>
      <c r="AR48">
        <f t="shared" si="2"/>
        <v>8.335900445507967</v>
      </c>
      <c r="AS48">
        <f t="shared" si="3"/>
        <v>8.632077604063813</v>
      </c>
      <c r="AV48">
        <v>1427.2195319082343</v>
      </c>
      <c r="AW48">
        <v>-2.0554821665971945E-15</v>
      </c>
      <c r="AX48">
        <v>12.783868332870012</v>
      </c>
      <c r="AY48">
        <f t="shared" si="0"/>
        <v>12.783868332870012</v>
      </c>
      <c r="AZ48">
        <v>2195.7223567818987</v>
      </c>
      <c r="BA48">
        <v>-3.1622802563033758E-15</v>
      </c>
      <c r="BB48">
        <v>19.667489742876942</v>
      </c>
      <c r="BC48">
        <f t="shared" si="1"/>
        <v>19.667489742876942</v>
      </c>
      <c r="BF48">
        <v>1427.7492973472295</v>
      </c>
      <c r="BG48">
        <v>2.0767124222930984</v>
      </c>
      <c r="BH48">
        <v>10.708048421902044</v>
      </c>
      <c r="BI48">
        <f t="shared" si="4"/>
        <v>10.907567808210285</v>
      </c>
      <c r="BJ48">
        <v>2196.5373805341992</v>
      </c>
      <c r="BK48">
        <v>3.1949421881432283</v>
      </c>
      <c r="BL48">
        <v>16.473920649080068</v>
      </c>
      <c r="BM48">
        <f t="shared" si="5"/>
        <v>16.780873551092746</v>
      </c>
      <c r="BP48">
        <v>1427.0815004795377</v>
      </c>
      <c r="BQ48">
        <v>-3.8700505797269119E-15</v>
      </c>
      <c r="BR48">
        <v>-12.681681198584158</v>
      </c>
      <c r="BS48">
        <f t="shared" si="6"/>
        <v>-12.681681198584158</v>
      </c>
      <c r="BT48">
        <v>2195.51000073775</v>
      </c>
      <c r="BU48">
        <v>-5.9539239688106332E-15</v>
      </c>
      <c r="BV48">
        <v>-19.510278767052551</v>
      </c>
      <c r="BW48">
        <f t="shared" si="7"/>
        <v>-19.510278767052551</v>
      </c>
    </row>
    <row r="49" spans="1:75" x14ac:dyDescent="0.25">
      <c r="A49">
        <v>13</v>
      </c>
      <c r="B49" s="5">
        <v>7</v>
      </c>
      <c r="C49" s="1">
        <f t="shared" ca="1" si="14"/>
        <v>0</v>
      </c>
      <c r="D49" s="46">
        <f t="shared" si="16"/>
        <v>0</v>
      </c>
      <c r="E49" s="46">
        <f t="shared" si="17"/>
        <v>0</v>
      </c>
      <c r="F49" s="1">
        <f t="shared" ca="1" si="18"/>
        <v>2.8125</v>
      </c>
      <c r="G49" t="e">
        <f t="shared" ca="1" si="19"/>
        <v>#N/A</v>
      </c>
      <c r="H49" t="e">
        <f t="shared" ca="1" si="20"/>
        <v>#N/A</v>
      </c>
      <c r="I49" s="7">
        <f t="shared" si="21"/>
        <v>0</v>
      </c>
      <c r="J49" s="7">
        <f t="shared" si="22"/>
        <v>0</v>
      </c>
      <c r="K49">
        <f t="shared" si="23"/>
        <v>12</v>
      </c>
      <c r="L49" s="15">
        <f t="shared" ca="1" si="24"/>
        <v>0</v>
      </c>
      <c r="M49" s="9">
        <f t="shared" ca="1" si="15"/>
        <v>0</v>
      </c>
      <c r="N49" s="7">
        <f t="shared" ca="1" si="25"/>
        <v>0</v>
      </c>
      <c r="O49" s="7">
        <f t="shared" ca="1" si="26"/>
        <v>0</v>
      </c>
      <c r="P49" s="7">
        <f t="shared" ca="1" si="27"/>
        <v>0</v>
      </c>
      <c r="U49" t="e">
        <f t="shared" ca="1" si="28"/>
        <v>#N/A</v>
      </c>
      <c r="V49" t="e">
        <f t="shared" ca="1" si="29"/>
        <v>#N/A</v>
      </c>
      <c r="X49" t="e">
        <f t="shared" ca="1" si="30"/>
        <v>#N/A</v>
      </c>
      <c r="Y49" t="e">
        <f t="shared" ca="1" si="31"/>
        <v>#N/A</v>
      </c>
      <c r="AJ49">
        <v>4.1015237421866715</v>
      </c>
      <c r="AK49">
        <v>-159.09583058896189</v>
      </c>
      <c r="AL49">
        <v>-227.36450972048442</v>
      </c>
      <c r="AM49">
        <v>-176.77314509884653</v>
      </c>
      <c r="AN49">
        <v>-252.62723302276046</v>
      </c>
      <c r="AQ49">
        <v>47</v>
      </c>
      <c r="AR49">
        <f t="shared" si="2"/>
        <v>8.1839803207499813</v>
      </c>
      <c r="AS49">
        <f t="shared" si="3"/>
        <v>8.7762444194300464</v>
      </c>
      <c r="AV49">
        <v>1429.3347540994951</v>
      </c>
      <c r="AW49">
        <v>-4.3428019827334456E-15</v>
      </c>
      <c r="AX49">
        <v>11.343890787069141</v>
      </c>
      <c r="AY49">
        <f t="shared" si="0"/>
        <v>11.343890787069141</v>
      </c>
      <c r="AZ49">
        <v>2198.976544768454</v>
      </c>
      <c r="BA49">
        <v>-6.6812338195899162E-15</v>
      </c>
      <c r="BB49">
        <v>17.452139672414063</v>
      </c>
      <c r="BC49">
        <f t="shared" si="1"/>
        <v>17.452139672414063</v>
      </c>
      <c r="BF49">
        <v>1429.0392202991552</v>
      </c>
      <c r="BG49">
        <v>1.938742320838996</v>
      </c>
      <c r="BH49">
        <v>9.9966400863952156</v>
      </c>
      <c r="BI49">
        <f t="shared" si="4"/>
        <v>10.182904045680482</v>
      </c>
      <c r="BJ49">
        <v>2198.5218773833158</v>
      </c>
      <c r="BK49">
        <v>2.9826804935984552</v>
      </c>
      <c r="BL49">
        <v>15.379446286761869</v>
      </c>
      <c r="BM49">
        <f t="shared" si="5"/>
        <v>15.666006224123818</v>
      </c>
      <c r="BP49">
        <v>1429.4234840089766</v>
      </c>
      <c r="BQ49">
        <v>-5.1583192464020349E-16</v>
      </c>
      <c r="BR49">
        <v>-11.184174876761121</v>
      </c>
      <c r="BS49">
        <f t="shared" si="6"/>
        <v>-11.184174876761121</v>
      </c>
      <c r="BT49">
        <v>2199.1130523215024</v>
      </c>
      <c r="BU49">
        <v>-7.9358757636954377E-16</v>
      </c>
      <c r="BV49">
        <v>-17.206422887324802</v>
      </c>
      <c r="BW49">
        <f t="shared" si="7"/>
        <v>-17.206422887324802</v>
      </c>
    </row>
    <row r="50" spans="1:75" x14ac:dyDescent="0.25">
      <c r="A50">
        <v>14</v>
      </c>
      <c r="B50" s="5">
        <v>7</v>
      </c>
      <c r="C50" s="1">
        <f t="shared" ca="1" si="14"/>
        <v>0</v>
      </c>
      <c r="D50" s="46">
        <f t="shared" si="16"/>
        <v>0</v>
      </c>
      <c r="E50" s="46">
        <f t="shared" si="17"/>
        <v>0</v>
      </c>
      <c r="F50" s="1">
        <f t="shared" ca="1" si="18"/>
        <v>2.8125</v>
      </c>
      <c r="G50" t="e">
        <f t="shared" ca="1" si="19"/>
        <v>#N/A</v>
      </c>
      <c r="H50" t="e">
        <f t="shared" ca="1" si="20"/>
        <v>#N/A</v>
      </c>
      <c r="I50" s="7">
        <f t="shared" si="21"/>
        <v>0</v>
      </c>
      <c r="J50" s="7">
        <f t="shared" si="22"/>
        <v>0</v>
      </c>
      <c r="K50">
        <f t="shared" si="23"/>
        <v>12</v>
      </c>
      <c r="L50" s="15">
        <f t="shared" ca="1" si="24"/>
        <v>0</v>
      </c>
      <c r="M50" s="9">
        <f t="shared" ca="1" si="15"/>
        <v>0</v>
      </c>
      <c r="N50" s="7">
        <f t="shared" ca="1" si="25"/>
        <v>0</v>
      </c>
      <c r="O50" s="7">
        <f t="shared" ca="1" si="26"/>
        <v>0</v>
      </c>
      <c r="P50" s="7">
        <f t="shared" ca="1" si="27"/>
        <v>0</v>
      </c>
      <c r="U50" t="e">
        <f t="shared" ca="1" si="28"/>
        <v>#N/A</v>
      </c>
      <c r="V50" t="e">
        <f t="shared" ca="1" si="29"/>
        <v>#N/A</v>
      </c>
      <c r="X50" t="e">
        <f t="shared" ca="1" si="30"/>
        <v>#N/A</v>
      </c>
      <c r="Y50" t="e">
        <f t="shared" ca="1" si="31"/>
        <v>#N/A</v>
      </c>
      <c r="AJ50">
        <v>4.1887902047863879</v>
      </c>
      <c r="AK50">
        <v>-139.46130669967056</v>
      </c>
      <c r="AL50">
        <v>-241.55406889377352</v>
      </c>
      <c r="AM50">
        <v>-154.95700744407839</v>
      </c>
      <c r="AN50">
        <v>-268.39340988197057</v>
      </c>
      <c r="AQ50">
        <v>48</v>
      </c>
      <c r="AR50">
        <f t="shared" si="2"/>
        <v>8.0295672763062989</v>
      </c>
      <c r="AS50">
        <f t="shared" si="3"/>
        <v>8.9177379057287318</v>
      </c>
      <c r="AV50">
        <v>1431.2487350640026</v>
      </c>
      <c r="AW50">
        <v>-1.0650703844011234E-9</v>
      </c>
      <c r="AX50">
        <v>10.033276916138515</v>
      </c>
      <c r="AY50">
        <f t="shared" si="0"/>
        <v>10.033276916138515</v>
      </c>
      <c r="AZ50">
        <v>2201.9211308676963</v>
      </c>
      <c r="BA50">
        <v>-1.6385698221555744E-9</v>
      </c>
      <c r="BB50">
        <v>15.4358106402131</v>
      </c>
      <c r="BC50">
        <f t="shared" si="1"/>
        <v>15.4358106402131</v>
      </c>
      <c r="BF50">
        <v>1430.2799384677378</v>
      </c>
      <c r="BG50">
        <v>1.8066295066568652</v>
      </c>
      <c r="BH50">
        <v>9.3154333936995037</v>
      </c>
      <c r="BI50">
        <f t="shared" si="4"/>
        <v>9.48900466259634</v>
      </c>
      <c r="BJ50">
        <v>2200.4306745657505</v>
      </c>
      <c r="BK50">
        <v>2.779430010241331</v>
      </c>
      <c r="BL50">
        <v>14.331435990306929</v>
      </c>
      <c r="BM50">
        <f t="shared" si="5"/>
        <v>14.598468711686678</v>
      </c>
      <c r="BP50">
        <v>1431.5550628097026</v>
      </c>
      <c r="BQ50">
        <v>-6.3309594079201336E-10</v>
      </c>
      <c r="BR50">
        <v>-9.8183611935211594</v>
      </c>
      <c r="BS50">
        <f t="shared" si="6"/>
        <v>-9.8183611935211594</v>
      </c>
      <c r="BT50">
        <v>2202.3924043226193</v>
      </c>
      <c r="BU50">
        <v>-9.7399375506463583E-10</v>
      </c>
      <c r="BV50">
        <v>-15.105171066955629</v>
      </c>
      <c r="BW50">
        <f t="shared" si="7"/>
        <v>-15.105171066955629</v>
      </c>
    </row>
    <row r="51" spans="1:75" x14ac:dyDescent="0.25">
      <c r="A51">
        <v>15</v>
      </c>
      <c r="B51" s="5">
        <v>7</v>
      </c>
      <c r="C51" s="1">
        <f t="shared" ca="1" si="14"/>
        <v>0</v>
      </c>
      <c r="D51" s="46">
        <f t="shared" si="16"/>
        <v>0</v>
      </c>
      <c r="E51" s="46">
        <f t="shared" si="17"/>
        <v>0</v>
      </c>
      <c r="F51" s="1">
        <f t="shared" ca="1" si="18"/>
        <v>2.8125</v>
      </c>
      <c r="G51" t="e">
        <f t="shared" ca="1" si="19"/>
        <v>#N/A</v>
      </c>
      <c r="H51" t="e">
        <f t="shared" ca="1" si="20"/>
        <v>#N/A</v>
      </c>
      <c r="I51" s="7">
        <f t="shared" si="21"/>
        <v>0</v>
      </c>
      <c r="J51" s="7">
        <f t="shared" si="22"/>
        <v>0</v>
      </c>
      <c r="K51">
        <f t="shared" si="23"/>
        <v>12</v>
      </c>
      <c r="L51" s="15">
        <f t="shared" ca="1" si="24"/>
        <v>0</v>
      </c>
      <c r="M51" s="9">
        <f t="shared" ca="1" si="15"/>
        <v>0</v>
      </c>
      <c r="N51" s="7">
        <f t="shared" ca="1" si="25"/>
        <v>0</v>
      </c>
      <c r="O51" s="7">
        <f t="shared" ca="1" si="26"/>
        <v>0</v>
      </c>
      <c r="P51" s="7">
        <f t="shared" ca="1" si="27"/>
        <v>0</v>
      </c>
      <c r="U51" t="e">
        <f t="shared" ca="1" si="28"/>
        <v>#N/A</v>
      </c>
      <c r="V51" t="e">
        <f t="shared" ca="1" si="29"/>
        <v>#N/A</v>
      </c>
      <c r="X51" t="e">
        <f t="shared" ca="1" si="30"/>
        <v>#N/A</v>
      </c>
      <c r="Y51" t="e">
        <f t="shared" ca="1" si="31"/>
        <v>#N/A</v>
      </c>
      <c r="AJ51">
        <v>4.2760566673861042</v>
      </c>
      <c r="AK51">
        <v>-117.35552604245484</v>
      </c>
      <c r="AL51">
        <v>-251.46328578646904</v>
      </c>
      <c r="AM51">
        <v>-130.39502893606092</v>
      </c>
      <c r="AN51">
        <v>-279.40365087385447</v>
      </c>
      <c r="AQ51">
        <v>49</v>
      </c>
      <c r="AR51">
        <f t="shared" si="2"/>
        <v>7.8727083478860873</v>
      </c>
      <c r="AS51">
        <f t="shared" si="3"/>
        <v>9.0565149626732637</v>
      </c>
      <c r="AV51">
        <v>1432.9838458495522</v>
      </c>
      <c r="AW51">
        <v>-1.1081425372422165E-14</v>
      </c>
      <c r="AX51">
        <v>8.8390754956551305</v>
      </c>
      <c r="AY51">
        <f t="shared" si="0"/>
        <v>8.8390754956551305</v>
      </c>
      <c r="AZ51">
        <v>2204.590532076234</v>
      </c>
      <c r="BA51">
        <v>-1.7048346726803331E-14</v>
      </c>
      <c r="BB51">
        <v>13.598577685623278</v>
      </c>
      <c r="BC51">
        <f t="shared" si="1"/>
        <v>13.598577685623278</v>
      </c>
      <c r="BF51">
        <v>1431.4763225094093</v>
      </c>
      <c r="BG51">
        <v>1.6800738216003852</v>
      </c>
      <c r="BH51">
        <v>8.6628806426270533</v>
      </c>
      <c r="BI51">
        <f t="shared" si="4"/>
        <v>8.8242931203824728</v>
      </c>
      <c r="BJ51">
        <v>2202.2712653990911</v>
      </c>
      <c r="BK51">
        <v>2.5847289563082847</v>
      </c>
      <c r="BL51">
        <v>13.327508680964696</v>
      </c>
      <c r="BM51">
        <f t="shared" si="5"/>
        <v>13.575835569819187</v>
      </c>
      <c r="BP51">
        <v>1433.4991518747972</v>
      </c>
      <c r="BQ51">
        <v>-3.5630492728413791E-17</v>
      </c>
      <c r="BR51">
        <v>-8.5711504170839401</v>
      </c>
      <c r="BS51">
        <f t="shared" si="6"/>
        <v>-8.5711504170839401</v>
      </c>
      <c r="BT51">
        <v>2205.3833105766112</v>
      </c>
      <c r="BU51">
        <v>-5.481614265909814E-17</v>
      </c>
      <c r="BV51">
        <v>-13.186385257052216</v>
      </c>
      <c r="BW51">
        <f t="shared" si="7"/>
        <v>-13.186385257052216</v>
      </c>
    </row>
    <row r="52" spans="1:75" x14ac:dyDescent="0.25">
      <c r="A52">
        <v>16</v>
      </c>
      <c r="B52" s="5">
        <v>7</v>
      </c>
      <c r="C52" s="1">
        <f t="shared" ca="1" si="14"/>
        <v>0</v>
      </c>
      <c r="D52" s="46">
        <f t="shared" si="16"/>
        <v>0</v>
      </c>
      <c r="E52" s="46">
        <f t="shared" si="17"/>
        <v>0</v>
      </c>
      <c r="F52" s="1">
        <f t="shared" ca="1" si="18"/>
        <v>2.8125</v>
      </c>
      <c r="G52" t="e">
        <f t="shared" ca="1" si="19"/>
        <v>#N/A</v>
      </c>
      <c r="H52" t="e">
        <f t="shared" ca="1" si="20"/>
        <v>#N/A</v>
      </c>
      <c r="I52" s="7">
        <f t="shared" si="21"/>
        <v>0</v>
      </c>
      <c r="J52" s="7">
        <f t="shared" si="22"/>
        <v>0</v>
      </c>
      <c r="K52">
        <f t="shared" si="23"/>
        <v>12</v>
      </c>
      <c r="L52" s="15">
        <f t="shared" ca="1" si="24"/>
        <v>0</v>
      </c>
      <c r="M52" s="9">
        <f t="shared" ca="1" si="15"/>
        <v>0</v>
      </c>
      <c r="N52" s="7">
        <f t="shared" ca="1" si="25"/>
        <v>0</v>
      </c>
      <c r="O52" s="7">
        <f t="shared" ca="1" si="26"/>
        <v>0</v>
      </c>
      <c r="P52" s="7">
        <f t="shared" ca="1" si="27"/>
        <v>0</v>
      </c>
      <c r="U52" t="e">
        <f t="shared" ca="1" si="28"/>
        <v>#N/A</v>
      </c>
      <c r="V52" t="e">
        <f t="shared" ca="1" si="29"/>
        <v>#N/A</v>
      </c>
      <c r="X52" t="e">
        <f t="shared" ca="1" si="30"/>
        <v>#N/A</v>
      </c>
      <c r="Y52" t="e">
        <f t="shared" ca="1" si="31"/>
        <v>#N/A</v>
      </c>
      <c r="AJ52">
        <v>4.3633231299858206</v>
      </c>
      <c r="AK52">
        <v>-94.302096551130646</v>
      </c>
      <c r="AL52">
        <v>-259.34933976420211</v>
      </c>
      <c r="AM52">
        <v>-104.78010727903404</v>
      </c>
      <c r="AN52">
        <v>-288.1659330713357</v>
      </c>
      <c r="AQ52">
        <v>50</v>
      </c>
      <c r="AR52">
        <f t="shared" si="2"/>
        <v>7.7134513162384728</v>
      </c>
      <c r="AS52">
        <f t="shared" si="3"/>
        <v>9.1925333174277366</v>
      </c>
      <c r="AV52">
        <v>1434.5598545846462</v>
      </c>
      <c r="AW52">
        <v>-1.064783248926841E-15</v>
      </c>
      <c r="AX52">
        <v>7.7496895985902015</v>
      </c>
      <c r="AY52">
        <f t="shared" si="0"/>
        <v>7.7496895985902015</v>
      </c>
      <c r="AZ52">
        <v>2207.0151608994556</v>
      </c>
      <c r="BA52">
        <v>-1.6381280752720631E-15</v>
      </c>
      <c r="BB52">
        <v>11.922599382446464</v>
      </c>
      <c r="BC52">
        <f t="shared" si="1"/>
        <v>11.922599382446464</v>
      </c>
      <c r="BF52">
        <v>1432.6339763328062</v>
      </c>
      <c r="BG52">
        <v>1.5588412035206023</v>
      </c>
      <c r="BH52">
        <v>8.0377749556531111</v>
      </c>
      <c r="BI52">
        <f t="shared" si="4"/>
        <v>8.1875400539794576</v>
      </c>
      <c r="BJ52">
        <v>2204.0522712812403</v>
      </c>
      <c r="BK52">
        <v>2.3982172361855421</v>
      </c>
      <c r="BL52">
        <v>12.365807624081709</v>
      </c>
      <c r="BM52">
        <f t="shared" si="5"/>
        <v>12.596215467660704</v>
      </c>
      <c r="BP52">
        <v>1435.2760211018763</v>
      </c>
      <c r="BQ52">
        <v>-2.9050875162985791E-15</v>
      </c>
      <c r="BR52">
        <v>-7.4308178736150676</v>
      </c>
      <c r="BS52">
        <f t="shared" si="6"/>
        <v>-7.4308178736150676</v>
      </c>
      <c r="BT52">
        <v>2208.116955541348</v>
      </c>
      <c r="BU52">
        <v>-4.4693654096901216E-15</v>
      </c>
      <c r="BV52">
        <v>-11.432027497869335</v>
      </c>
      <c r="BW52">
        <f t="shared" si="7"/>
        <v>-11.432027497869335</v>
      </c>
    </row>
    <row r="53" spans="1:75" x14ac:dyDescent="0.25">
      <c r="A53">
        <v>17</v>
      </c>
      <c r="B53" s="5">
        <v>7</v>
      </c>
      <c r="C53" s="1">
        <f t="shared" ca="1" si="14"/>
        <v>0</v>
      </c>
      <c r="D53" s="46">
        <f t="shared" si="16"/>
        <v>0</v>
      </c>
      <c r="E53" s="46">
        <f t="shared" si="17"/>
        <v>0</v>
      </c>
      <c r="F53" s="1">
        <f t="shared" ca="1" si="18"/>
        <v>2.8125</v>
      </c>
      <c r="G53" t="e">
        <f t="shared" ca="1" si="19"/>
        <v>#N/A</v>
      </c>
      <c r="H53" t="e">
        <f t="shared" ca="1" si="20"/>
        <v>#N/A</v>
      </c>
      <c r="I53" s="7">
        <f t="shared" si="21"/>
        <v>0</v>
      </c>
      <c r="J53" s="7">
        <f t="shared" si="22"/>
        <v>0</v>
      </c>
      <c r="K53">
        <f t="shared" si="23"/>
        <v>12</v>
      </c>
      <c r="L53" s="15">
        <f t="shared" ca="1" si="24"/>
        <v>0</v>
      </c>
      <c r="M53" s="9">
        <f t="shared" ca="1" si="15"/>
        <v>0</v>
      </c>
      <c r="N53" s="7">
        <f t="shared" ca="1" si="25"/>
        <v>0</v>
      </c>
      <c r="O53" s="7">
        <f t="shared" ca="1" si="26"/>
        <v>0</v>
      </c>
      <c r="P53" s="7">
        <f t="shared" ca="1" si="27"/>
        <v>0</v>
      </c>
      <c r="U53" t="e">
        <f t="shared" ca="1" si="28"/>
        <v>#N/A</v>
      </c>
      <c r="V53" t="e">
        <f t="shared" ca="1" si="29"/>
        <v>#N/A</v>
      </c>
      <c r="X53" t="e">
        <f t="shared" ca="1" si="30"/>
        <v>#N/A</v>
      </c>
      <c r="Y53" t="e">
        <f t="shared" ca="1" si="31"/>
        <v>#N/A</v>
      </c>
      <c r="AJ53">
        <v>4.450589592585537</v>
      </c>
      <c r="AK53">
        <v>-71.090306933786579</v>
      </c>
      <c r="AL53">
        <v>-265.65789990287345</v>
      </c>
      <c r="AM53">
        <v>-78.98922992642953</v>
      </c>
      <c r="AN53">
        <v>-295.17544433652603</v>
      </c>
      <c r="AQ53">
        <v>51</v>
      </c>
      <c r="AR53">
        <f t="shared" si="2"/>
        <v>7.55184469259805</v>
      </c>
      <c r="AS53">
        <f t="shared" si="3"/>
        <v>9.3257515374836508</v>
      </c>
      <c r="AV53">
        <v>1435.9942572808329</v>
      </c>
      <c r="AW53">
        <v>-5.5459547944303305E-15</v>
      </c>
      <c r="AX53">
        <v>6.7547153524833128</v>
      </c>
      <c r="AY53">
        <f t="shared" si="0"/>
        <v>6.7547153524833128</v>
      </c>
      <c r="AZ53">
        <v>2209.2219342782046</v>
      </c>
      <c r="BA53">
        <v>-8.5322381452774309E-15</v>
      </c>
      <c r="BB53">
        <v>10.391869773051249</v>
      </c>
      <c r="BC53">
        <f t="shared" si="1"/>
        <v>10.391869773051249</v>
      </c>
      <c r="BF53">
        <v>1433.760123101453</v>
      </c>
      <c r="BG53">
        <v>1.4427981702522099</v>
      </c>
      <c r="BH53">
        <v>7.4394280653629608</v>
      </c>
      <c r="BI53">
        <f t="shared" si="4"/>
        <v>7.5780443717223784</v>
      </c>
      <c r="BJ53">
        <v>2205.784804771466</v>
      </c>
      <c r="BK53">
        <v>2.2196894926957076</v>
      </c>
      <c r="BL53">
        <v>11.445273946712247</v>
      </c>
      <c r="BM53">
        <f t="shared" si="5"/>
        <v>11.658529802649811</v>
      </c>
      <c r="BP53">
        <v>1436.8590495330204</v>
      </c>
      <c r="BQ53">
        <v>3.4416671426738132E-15</v>
      </c>
      <c r="BR53">
        <v>-6.4039076791153278</v>
      </c>
      <c r="BS53">
        <f t="shared" si="6"/>
        <v>-6.4039076791153278</v>
      </c>
      <c r="BT53">
        <v>2210.5523838969543</v>
      </c>
      <c r="BU53">
        <v>5.2948725271904817E-15</v>
      </c>
      <c r="BV53">
        <v>-9.8521656601774268</v>
      </c>
      <c r="BW53">
        <f t="shared" si="7"/>
        <v>-9.8521656601774268</v>
      </c>
    </row>
    <row r="54" spans="1:75" x14ac:dyDescent="0.25">
      <c r="A54">
        <v>18</v>
      </c>
      <c r="B54" s="5">
        <v>7</v>
      </c>
      <c r="C54" s="1">
        <f t="shared" ca="1" si="14"/>
        <v>0</v>
      </c>
      <c r="D54" s="46">
        <f t="shared" si="16"/>
        <v>0</v>
      </c>
      <c r="E54" s="46">
        <f t="shared" si="17"/>
        <v>0</v>
      </c>
      <c r="F54" s="1">
        <f t="shared" ca="1" si="18"/>
        <v>2.8125</v>
      </c>
      <c r="G54" t="e">
        <f t="shared" ca="1" si="19"/>
        <v>#N/A</v>
      </c>
      <c r="H54" t="e">
        <f t="shared" ca="1" si="20"/>
        <v>#N/A</v>
      </c>
      <c r="I54" s="7">
        <f t="shared" si="21"/>
        <v>0</v>
      </c>
      <c r="J54" s="7">
        <f t="shared" si="22"/>
        <v>0</v>
      </c>
      <c r="K54">
        <f t="shared" si="23"/>
        <v>12</v>
      </c>
      <c r="L54" s="15">
        <f t="shared" ca="1" si="24"/>
        <v>0</v>
      </c>
      <c r="M54" s="9">
        <f t="shared" ca="1" si="15"/>
        <v>0</v>
      </c>
      <c r="N54" s="7">
        <f t="shared" ca="1" si="25"/>
        <v>0</v>
      </c>
      <c r="O54" s="7">
        <f t="shared" ca="1" si="26"/>
        <v>0</v>
      </c>
      <c r="P54" s="7">
        <f t="shared" ca="1" si="27"/>
        <v>0</v>
      </c>
      <c r="U54" t="e">
        <f t="shared" ca="1" si="28"/>
        <v>#N/A</v>
      </c>
      <c r="V54" t="e">
        <f t="shared" ca="1" si="29"/>
        <v>#N/A</v>
      </c>
      <c r="X54" t="e">
        <f t="shared" ca="1" si="30"/>
        <v>#N/A</v>
      </c>
      <c r="Y54" t="e">
        <f t="shared" ca="1" si="31"/>
        <v>#N/A</v>
      </c>
      <c r="AJ54">
        <v>4.5378560551852534</v>
      </c>
      <c r="AK54">
        <v>-47.69780162217198</v>
      </c>
      <c r="AL54">
        <v>-270.50767517555045</v>
      </c>
      <c r="AM54">
        <v>-52.997557357968866</v>
      </c>
      <c r="AN54">
        <v>-300.5640835283894</v>
      </c>
      <c r="AQ54">
        <v>52</v>
      </c>
      <c r="AR54">
        <f t="shared" si="2"/>
        <v>7.3879377039078999</v>
      </c>
      <c r="AS54">
        <f t="shared" si="3"/>
        <v>9.4561290432806651</v>
      </c>
      <c r="AV54">
        <v>1437.3025618414511</v>
      </c>
      <c r="AW54">
        <v>-5.8892946818856732E-15</v>
      </c>
      <c r="AX54">
        <v>5.8448027426741058</v>
      </c>
      <c r="AY54">
        <f t="shared" si="0"/>
        <v>5.8448027426741058</v>
      </c>
      <c r="AZ54">
        <v>2211.2347105253093</v>
      </c>
      <c r="BA54">
        <v>-9.060453356747189E-15</v>
      </c>
      <c r="BB54">
        <v>8.9920042194986234</v>
      </c>
      <c r="BC54">
        <f t="shared" si="1"/>
        <v>8.9920042194986234</v>
      </c>
      <c r="BF54">
        <v>1434.8655182778248</v>
      </c>
      <c r="BG54">
        <v>1.3319964183097441</v>
      </c>
      <c r="BH54">
        <v>6.8681065319096772</v>
      </c>
      <c r="BI54">
        <f t="shared" si="4"/>
        <v>6.9960776004880305</v>
      </c>
      <c r="BJ54">
        <v>2207.485412735115</v>
      </c>
      <c r="BK54">
        <v>2.0492252589380677</v>
      </c>
      <c r="BL54">
        <v>10.566317741399503</v>
      </c>
      <c r="BM54">
        <f t="shared" si="5"/>
        <v>10.763196308443124</v>
      </c>
      <c r="BP54">
        <v>1437.9491949800101</v>
      </c>
      <c r="BQ54">
        <v>5.1010181328013208E-16</v>
      </c>
      <c r="BR54">
        <v>-5.6015385640765682</v>
      </c>
      <c r="BS54">
        <f t="shared" si="6"/>
        <v>-5.6015385640765682</v>
      </c>
      <c r="BT54">
        <v>2212.229530738477</v>
      </c>
      <c r="BU54">
        <v>7.8477202043097242E-16</v>
      </c>
      <c r="BV54">
        <v>-8.6177516370408735</v>
      </c>
      <c r="BW54">
        <f t="shared" si="7"/>
        <v>-8.6177516370408735</v>
      </c>
    </row>
    <row r="55" spans="1:75" x14ac:dyDescent="0.25">
      <c r="A55">
        <v>19</v>
      </c>
      <c r="B55" s="5">
        <v>7</v>
      </c>
      <c r="C55" s="1">
        <f t="shared" ca="1" si="14"/>
        <v>0</v>
      </c>
      <c r="D55" s="46">
        <f t="shared" si="16"/>
        <v>0</v>
      </c>
      <c r="E55" s="46">
        <f t="shared" si="17"/>
        <v>0</v>
      </c>
      <c r="F55" s="1">
        <f t="shared" ca="1" si="18"/>
        <v>2.8125</v>
      </c>
      <c r="G55" t="e">
        <f t="shared" ca="1" si="19"/>
        <v>#N/A</v>
      </c>
      <c r="H55" t="e">
        <f t="shared" ca="1" si="20"/>
        <v>#N/A</v>
      </c>
      <c r="I55" s="7">
        <f t="shared" si="21"/>
        <v>0</v>
      </c>
      <c r="J55" s="7">
        <f t="shared" si="22"/>
        <v>0</v>
      </c>
      <c r="K55">
        <f t="shared" si="23"/>
        <v>12</v>
      </c>
      <c r="L55" s="15">
        <f t="shared" ca="1" si="24"/>
        <v>0</v>
      </c>
      <c r="M55" s="9">
        <f t="shared" ca="1" si="15"/>
        <v>0</v>
      </c>
      <c r="N55" s="7">
        <f t="shared" ca="1" si="25"/>
        <v>0</v>
      </c>
      <c r="O55" s="7">
        <f t="shared" ca="1" si="26"/>
        <v>0</v>
      </c>
      <c r="P55" s="7">
        <f t="shared" ca="1" si="27"/>
        <v>0</v>
      </c>
      <c r="U55" t="e">
        <f t="shared" ca="1" si="28"/>
        <v>#N/A</v>
      </c>
      <c r="V55" t="e">
        <f t="shared" ca="1" si="29"/>
        <v>#N/A</v>
      </c>
      <c r="X55" t="e">
        <f t="shared" ca="1" si="30"/>
        <v>#N/A</v>
      </c>
      <c r="Y55" t="e">
        <f t="shared" ca="1" si="31"/>
        <v>#N/A</v>
      </c>
      <c r="AJ55">
        <v>4.6251225177849697</v>
      </c>
      <c r="AK55">
        <v>-24.057316165295639</v>
      </c>
      <c r="AL55">
        <v>-273.95108515880588</v>
      </c>
      <c r="AM55">
        <v>-26.73035129477293</v>
      </c>
      <c r="AN55">
        <v>-304.39009462089541</v>
      </c>
      <c r="AQ55">
        <v>53</v>
      </c>
      <c r="AR55">
        <f t="shared" si="2"/>
        <v>7.2217802778245801</v>
      </c>
      <c r="AS55">
        <f t="shared" si="3"/>
        <v>9.583626120567514</v>
      </c>
      <c r="AV55">
        <v>1438.4985325654782</v>
      </c>
      <c r="AW55">
        <v>4.1637321463096333E-10</v>
      </c>
      <c r="AX55">
        <v>5.0115351142790026</v>
      </c>
      <c r="AY55">
        <f t="shared" si="0"/>
        <v>5.0115351142790026</v>
      </c>
      <c r="AZ55">
        <v>2213.074665485351</v>
      </c>
      <c r="BA55">
        <v>6.4057417635532817E-10</v>
      </c>
      <c r="BB55">
        <v>7.7100540219676956</v>
      </c>
      <c r="BC55">
        <f t="shared" si="1"/>
        <v>7.7100540219676956</v>
      </c>
      <c r="BF55">
        <v>1435.7074151880158</v>
      </c>
      <c r="BG55">
        <v>1.232058945974513</v>
      </c>
      <c r="BH55">
        <v>6.3528039371064793</v>
      </c>
      <c r="BI55">
        <f t="shared" si="4"/>
        <v>6.4711735496485803</v>
      </c>
      <c r="BJ55">
        <v>2208.7806387507935</v>
      </c>
      <c r="BK55">
        <v>1.8954753014992507</v>
      </c>
      <c r="BL55">
        <v>9.7735445186253518</v>
      </c>
      <c r="BM55">
        <f t="shared" si="5"/>
        <v>9.9556516148439691</v>
      </c>
      <c r="BP55">
        <v>1438.9351422208322</v>
      </c>
      <c r="BQ55">
        <v>6.4420373018744382E-16</v>
      </c>
      <c r="BR55">
        <v>-4.8718206463824547</v>
      </c>
      <c r="BS55">
        <f t="shared" si="6"/>
        <v>-4.8718206463824547</v>
      </c>
      <c r="BT55">
        <v>2213.7463726474339</v>
      </c>
      <c r="BU55">
        <v>9.9108266182683663E-16</v>
      </c>
      <c r="BV55">
        <v>-7.4951086867422374</v>
      </c>
      <c r="BW55">
        <f t="shared" si="7"/>
        <v>-7.4951086867422374</v>
      </c>
    </row>
    <row r="56" spans="1:75" x14ac:dyDescent="0.25">
      <c r="A56">
        <v>20</v>
      </c>
      <c r="B56" s="5">
        <v>7</v>
      </c>
      <c r="C56" s="1">
        <f t="shared" ca="1" si="14"/>
        <v>0</v>
      </c>
      <c r="D56" s="46">
        <f t="shared" si="16"/>
        <v>0</v>
      </c>
      <c r="E56" s="46">
        <f t="shared" si="17"/>
        <v>0</v>
      </c>
      <c r="F56" s="1">
        <f t="shared" ca="1" si="18"/>
        <v>2.8125</v>
      </c>
      <c r="G56" t="e">
        <f t="shared" ca="1" si="19"/>
        <v>#N/A</v>
      </c>
      <c r="H56" t="e">
        <f t="shared" ca="1" si="20"/>
        <v>#N/A</v>
      </c>
      <c r="I56" s="7">
        <f t="shared" si="21"/>
        <v>0</v>
      </c>
      <c r="J56" s="7">
        <f t="shared" si="22"/>
        <v>0</v>
      </c>
      <c r="K56">
        <f t="shared" si="23"/>
        <v>12</v>
      </c>
      <c r="L56" s="15">
        <f t="shared" ca="1" si="24"/>
        <v>0</v>
      </c>
      <c r="M56" s="9">
        <f t="shared" ca="1" si="15"/>
        <v>0</v>
      </c>
      <c r="N56" s="7">
        <f t="shared" ca="1" si="25"/>
        <v>0</v>
      </c>
      <c r="O56" s="7">
        <f t="shared" ca="1" si="26"/>
        <v>0</v>
      </c>
      <c r="P56" s="7">
        <f t="shared" ca="1" si="27"/>
        <v>0</v>
      </c>
      <c r="U56" t="e">
        <f t="shared" ca="1" si="28"/>
        <v>#N/A</v>
      </c>
      <c r="V56" t="e">
        <f t="shared" ca="1" si="29"/>
        <v>#N/A</v>
      </c>
      <c r="X56" t="e">
        <f t="shared" ca="1" si="30"/>
        <v>#N/A</v>
      </c>
      <c r="Y56" t="e">
        <f t="shared" ca="1" si="31"/>
        <v>#N/A</v>
      </c>
      <c r="AJ56">
        <v>4.7123889803846861</v>
      </c>
      <c r="AK56">
        <v>-8.7714103834206011E-2</v>
      </c>
      <c r="AL56">
        <v>-275.9618773604472</v>
      </c>
      <c r="AM56">
        <v>-9.7460115371340014E-2</v>
      </c>
      <c r="AN56">
        <v>-306.62430817827465</v>
      </c>
      <c r="AQ56">
        <v>54</v>
      </c>
      <c r="AR56">
        <f t="shared" si="2"/>
        <v>7.0534230275096776</v>
      </c>
      <c r="AS56">
        <f t="shared" si="3"/>
        <v>9.7082039324993694</v>
      </c>
      <c r="AV56">
        <v>1439.5944011930824</v>
      </c>
      <c r="AW56">
        <v>-1.8345136753339747E-16</v>
      </c>
      <c r="AX56">
        <v>4.247324586456827</v>
      </c>
      <c r="AY56">
        <f t="shared" si="0"/>
        <v>4.247324586456827</v>
      </c>
      <c r="AZ56">
        <v>2214.7606172201267</v>
      </c>
      <c r="BA56">
        <v>-2.8223287312830378E-16</v>
      </c>
      <c r="BB56">
        <v>6.5343455176258871</v>
      </c>
      <c r="BC56">
        <f t="shared" si="1"/>
        <v>6.5343455176258871</v>
      </c>
      <c r="BF56">
        <v>1436.481492965949</v>
      </c>
      <c r="BG56">
        <v>1.1366830584105021</v>
      </c>
      <c r="BH56">
        <v>5.86102201720339</v>
      </c>
      <c r="BI56">
        <f t="shared" si="4"/>
        <v>5.970228426234657</v>
      </c>
      <c r="BJ56">
        <v>2209.9715276399215</v>
      </c>
      <c r="BK56">
        <v>1.7487431667853879</v>
      </c>
      <c r="BL56">
        <v>9.0169569495436761</v>
      </c>
      <c r="BM56">
        <f t="shared" si="5"/>
        <v>9.1849668095917796</v>
      </c>
      <c r="BP56">
        <v>1439.8285168151062</v>
      </c>
      <c r="BQ56">
        <v>9.1217875056171297E-15</v>
      </c>
      <c r="BR56">
        <v>-4.2074454577148916</v>
      </c>
      <c r="BS56">
        <f t="shared" si="6"/>
        <v>-4.2074454577148916</v>
      </c>
      <c r="BT56">
        <v>2215.1207951001634</v>
      </c>
      <c r="BU56">
        <v>1.4033519239410969E-14</v>
      </c>
      <c r="BV56">
        <v>-6.4729930118690637</v>
      </c>
      <c r="BW56">
        <f t="shared" si="7"/>
        <v>-6.4729930118690637</v>
      </c>
    </row>
    <row r="57" spans="1:75" x14ac:dyDescent="0.25">
      <c r="A57">
        <v>21</v>
      </c>
      <c r="B57" s="5">
        <v>7</v>
      </c>
      <c r="C57" s="1">
        <f t="shared" ca="1" si="14"/>
        <v>0</v>
      </c>
      <c r="D57" s="46">
        <f t="shared" si="16"/>
        <v>0</v>
      </c>
      <c r="E57" s="46">
        <f t="shared" si="17"/>
        <v>0</v>
      </c>
      <c r="F57" s="1">
        <f t="shared" ca="1" si="18"/>
        <v>2.8125</v>
      </c>
      <c r="G57" t="e">
        <f t="shared" ca="1" si="19"/>
        <v>#N/A</v>
      </c>
      <c r="H57" t="e">
        <f t="shared" ca="1" si="20"/>
        <v>#N/A</v>
      </c>
      <c r="I57" s="7">
        <f t="shared" si="21"/>
        <v>0</v>
      </c>
      <c r="J57" s="7">
        <f t="shared" si="22"/>
        <v>0</v>
      </c>
      <c r="K57">
        <f t="shared" si="23"/>
        <v>12</v>
      </c>
      <c r="L57" s="15">
        <f t="shared" ca="1" si="24"/>
        <v>0</v>
      </c>
      <c r="M57" s="9">
        <f t="shared" ca="1" si="15"/>
        <v>0</v>
      </c>
      <c r="N57" s="7">
        <f t="shared" ca="1" si="25"/>
        <v>0</v>
      </c>
      <c r="O57" s="7">
        <f t="shared" ca="1" si="26"/>
        <v>0</v>
      </c>
      <c r="P57" s="7">
        <f t="shared" ca="1" si="27"/>
        <v>0</v>
      </c>
      <c r="U57" t="e">
        <f t="shared" ca="1" si="28"/>
        <v>#N/A</v>
      </c>
      <c r="V57" t="e">
        <f t="shared" ca="1" si="29"/>
        <v>#N/A</v>
      </c>
      <c r="X57" t="e">
        <f t="shared" ca="1" si="30"/>
        <v>#N/A</v>
      </c>
      <c r="Y57" t="e">
        <f t="shared" ca="1" si="31"/>
        <v>#N/A</v>
      </c>
      <c r="AJ57">
        <v>4.7996554429844025</v>
      </c>
      <c r="AK57">
        <v>24.272612784709345</v>
      </c>
      <c r="AL57">
        <v>-276.43614788922139</v>
      </c>
      <c r="AM57">
        <v>26.969569760788161</v>
      </c>
      <c r="AN57">
        <v>-307.1512754324682</v>
      </c>
      <c r="AQ57">
        <v>55</v>
      </c>
      <c r="AR57">
        <f t="shared" si="2"/>
        <v>6.8829172362125544</v>
      </c>
      <c r="AS57">
        <f t="shared" si="3"/>
        <v>9.8298245314679011</v>
      </c>
      <c r="AV57">
        <v>1440.6010495264748</v>
      </c>
      <c r="AW57">
        <v>-1.4271207211093065E-15</v>
      </c>
      <c r="AX57">
        <v>3.545321051405693</v>
      </c>
      <c r="AY57">
        <f t="shared" si="0"/>
        <v>3.545321051405693</v>
      </c>
      <c r="AZ57">
        <v>2216.3093069638071</v>
      </c>
      <c r="BA57">
        <v>-2.1955703401681637E-15</v>
      </c>
      <c r="BB57">
        <v>5.4543400790856813</v>
      </c>
      <c r="BC57">
        <f t="shared" si="1"/>
        <v>5.4543400790856813</v>
      </c>
      <c r="BF57">
        <v>1437.2297870344</v>
      </c>
      <c r="BG57">
        <v>1.0446403930691666</v>
      </c>
      <c r="BH57">
        <v>5.3864270261459444</v>
      </c>
      <c r="BI57">
        <f t="shared" si="4"/>
        <v>5.486790469739768</v>
      </c>
      <c r="BJ57">
        <v>2211.1227492836924</v>
      </c>
      <c r="BK57">
        <v>1.6071390662602563</v>
      </c>
      <c r="BL57">
        <v>8.2868108094552984</v>
      </c>
      <c r="BM57">
        <f t="shared" si="5"/>
        <v>8.4412161072919503</v>
      </c>
      <c r="BP57">
        <v>1440.6398032127763</v>
      </c>
      <c r="BQ57">
        <v>8.7760583549161293E-16</v>
      </c>
      <c r="BR57">
        <v>-3.6017590231343672</v>
      </c>
      <c r="BS57">
        <f t="shared" si="6"/>
        <v>-3.6017590231343672</v>
      </c>
      <c r="BT57">
        <v>2216.3689280196559</v>
      </c>
      <c r="BU57">
        <v>1.3501628238332506E-15</v>
      </c>
      <c r="BV57">
        <v>-5.5411677278990261</v>
      </c>
      <c r="BW57">
        <f t="shared" si="7"/>
        <v>-5.5411677278990261</v>
      </c>
    </row>
    <row r="58" spans="1:75" x14ac:dyDescent="0.25">
      <c r="A58">
        <v>22</v>
      </c>
      <c r="B58" s="5">
        <v>7</v>
      </c>
      <c r="C58" s="1">
        <f t="shared" ca="1" si="14"/>
        <v>0</v>
      </c>
      <c r="D58" s="46">
        <f t="shared" si="16"/>
        <v>0</v>
      </c>
      <c r="E58" s="46">
        <f t="shared" si="17"/>
        <v>0</v>
      </c>
      <c r="F58" s="1">
        <f t="shared" ca="1" si="18"/>
        <v>2.8125</v>
      </c>
      <c r="G58" t="e">
        <f t="shared" ca="1" si="19"/>
        <v>#N/A</v>
      </c>
      <c r="H58" t="e">
        <f t="shared" ca="1" si="20"/>
        <v>#N/A</v>
      </c>
      <c r="I58" s="7">
        <f t="shared" si="21"/>
        <v>0</v>
      </c>
      <c r="J58" s="7">
        <f t="shared" si="22"/>
        <v>0</v>
      </c>
      <c r="K58">
        <f t="shared" si="23"/>
        <v>12</v>
      </c>
      <c r="L58" s="15">
        <f t="shared" ca="1" si="24"/>
        <v>0</v>
      </c>
      <c r="M58" s="9">
        <f t="shared" ca="1" si="15"/>
        <v>0</v>
      </c>
      <c r="N58" s="7">
        <f t="shared" ca="1" si="25"/>
        <v>0</v>
      </c>
      <c r="O58" s="7">
        <f t="shared" ca="1" si="26"/>
        <v>0</v>
      </c>
      <c r="P58" s="7">
        <f t="shared" ca="1" si="27"/>
        <v>0</v>
      </c>
      <c r="U58" t="e">
        <f t="shared" ca="1" si="28"/>
        <v>#N/A</v>
      </c>
      <c r="V58" t="e">
        <f t="shared" ca="1" si="29"/>
        <v>#N/A</v>
      </c>
      <c r="X58" t="e">
        <f t="shared" ca="1" si="30"/>
        <v>#N/A</v>
      </c>
      <c r="Y58" t="e">
        <f t="shared" ca="1" si="31"/>
        <v>#N/A</v>
      </c>
      <c r="AJ58">
        <v>4.8869219055841189</v>
      </c>
      <c r="AK58">
        <v>48.434403526892041</v>
      </c>
      <c r="AL58">
        <v>-274.68515216609666</v>
      </c>
      <c r="AM58">
        <v>53.816003918768935</v>
      </c>
      <c r="AN58">
        <v>-305.20572462899628</v>
      </c>
      <c r="AQ58">
        <v>56</v>
      </c>
      <c r="AR58">
        <f t="shared" si="2"/>
        <v>6.7103148416489615</v>
      </c>
      <c r="AS58">
        <f t="shared" si="3"/>
        <v>9.9484508706605013</v>
      </c>
      <c r="AV58">
        <v>1441.5281678302883</v>
      </c>
      <c r="AW58">
        <v>-3.1811879009046415E-15</v>
      </c>
      <c r="AX58">
        <v>2.8993328075580189</v>
      </c>
      <c r="AY58">
        <f t="shared" si="0"/>
        <v>2.8993328075580189</v>
      </c>
      <c r="AZ58">
        <v>2217.7356428158282</v>
      </c>
      <c r="BA58">
        <v>-4.894135232160987E-15</v>
      </c>
      <c r="BB58">
        <v>4.4605120116277215</v>
      </c>
      <c r="BC58">
        <f t="shared" si="1"/>
        <v>4.4605120116277215</v>
      </c>
      <c r="BF58">
        <v>1437.954680094319</v>
      </c>
      <c r="BG58">
        <v>0.95569928001739901</v>
      </c>
      <c r="BH58">
        <v>4.9278244125897128</v>
      </c>
      <c r="BI58">
        <f t="shared" si="4"/>
        <v>5.0196428712749004</v>
      </c>
      <c r="BJ58">
        <v>2212.2379693758753</v>
      </c>
      <c r="BK58">
        <v>1.4703065846421524</v>
      </c>
      <c r="BL58">
        <v>7.5812683270610961</v>
      </c>
      <c r="BM58">
        <f t="shared" si="5"/>
        <v>7.7225274942690767</v>
      </c>
      <c r="BP58">
        <v>1441.378321772353</v>
      </c>
      <c r="BQ58">
        <v>9.4739235265526101E-15</v>
      </c>
      <c r="BR58">
        <v>-3.0487522182657707</v>
      </c>
      <c r="BS58">
        <f t="shared" si="6"/>
        <v>-3.0487522182657707</v>
      </c>
      <c r="BT58">
        <v>2217.5051104190047</v>
      </c>
      <c r="BU58">
        <v>1.4575266963927091E-14</v>
      </c>
      <c r="BV58">
        <v>-4.6903880281011858</v>
      </c>
      <c r="BW58">
        <f t="shared" si="7"/>
        <v>-4.6903880281011858</v>
      </c>
    </row>
    <row r="59" spans="1:75" x14ac:dyDescent="0.25">
      <c r="A59">
        <v>23</v>
      </c>
      <c r="B59" s="5">
        <v>7</v>
      </c>
      <c r="C59" s="1">
        <f t="shared" ca="1" si="14"/>
        <v>0</v>
      </c>
      <c r="D59" s="46">
        <f t="shared" si="16"/>
        <v>0</v>
      </c>
      <c r="E59" s="46">
        <f t="shared" si="17"/>
        <v>0</v>
      </c>
      <c r="F59" s="1">
        <f t="shared" ca="1" si="18"/>
        <v>2.8125</v>
      </c>
      <c r="G59" t="e">
        <f t="shared" ca="1" si="19"/>
        <v>#N/A</v>
      </c>
      <c r="H59" t="e">
        <f t="shared" ca="1" si="20"/>
        <v>#N/A</v>
      </c>
      <c r="I59" s="7">
        <f t="shared" si="21"/>
        <v>0</v>
      </c>
      <c r="J59" s="7">
        <f t="shared" si="22"/>
        <v>0</v>
      </c>
      <c r="K59">
        <f t="shared" si="23"/>
        <v>12</v>
      </c>
      <c r="L59" s="15">
        <f t="shared" ca="1" si="24"/>
        <v>0</v>
      </c>
      <c r="M59" s="9">
        <f t="shared" ca="1" si="15"/>
        <v>0</v>
      </c>
      <c r="N59" s="7">
        <f t="shared" ca="1" si="25"/>
        <v>0</v>
      </c>
      <c r="O59" s="7">
        <f t="shared" ca="1" si="26"/>
        <v>0</v>
      </c>
      <c r="P59" s="7">
        <f t="shared" ca="1" si="27"/>
        <v>0</v>
      </c>
      <c r="U59" t="e">
        <f t="shared" ca="1" si="28"/>
        <v>#N/A</v>
      </c>
      <c r="V59" t="e">
        <f t="shared" ca="1" si="29"/>
        <v>#N/A</v>
      </c>
      <c r="X59" t="e">
        <f t="shared" ca="1" si="30"/>
        <v>#N/A</v>
      </c>
      <c r="Y59" t="e">
        <f t="shared" ca="1" si="31"/>
        <v>#N/A</v>
      </c>
      <c r="AJ59">
        <v>4.9741883681838353</v>
      </c>
      <c r="AK59">
        <v>71.737935800479761</v>
      </c>
      <c r="AL59">
        <v>-268.066730793499</v>
      </c>
      <c r="AM59">
        <v>79.708817556088619</v>
      </c>
      <c r="AN59">
        <v>-297.85192310388777</v>
      </c>
      <c r="AQ59">
        <v>57</v>
      </c>
      <c r="AR59">
        <f t="shared" si="2"/>
        <v>6.5356684201803255</v>
      </c>
      <c r="AS59">
        <f t="shared" si="3"/>
        <v>10.064046815345089</v>
      </c>
      <c r="AV59">
        <v>1442.3843925340209</v>
      </c>
      <c r="AW59">
        <v>-4.0402579151237864E-11</v>
      </c>
      <c r="AX59">
        <v>2.3037571874284164</v>
      </c>
      <c r="AY59">
        <f t="shared" si="0"/>
        <v>2.3037571874284164</v>
      </c>
      <c r="AZ59">
        <v>2219.0529115908012</v>
      </c>
      <c r="BA59">
        <v>-6.2157814078827482E-11</v>
      </c>
      <c r="BB59">
        <v>3.5442418268129483</v>
      </c>
      <c r="BC59">
        <f t="shared" si="1"/>
        <v>3.5442418268129483</v>
      </c>
      <c r="BF59">
        <v>1438.6590438432497</v>
      </c>
      <c r="BG59">
        <v>0.86961166119223499</v>
      </c>
      <c r="BH59">
        <v>4.4839351254149653</v>
      </c>
      <c r="BI59">
        <f t="shared" si="4"/>
        <v>4.5674827476643678</v>
      </c>
      <c r="BJ59">
        <v>2213.3216059126917</v>
      </c>
      <c r="BK59">
        <v>1.3378640941419</v>
      </c>
      <c r="BL59">
        <v>6.8983617314076389</v>
      </c>
      <c r="BM59">
        <f t="shared" si="5"/>
        <v>7.0268965348682579</v>
      </c>
      <c r="BP59">
        <v>1442.052364136475</v>
      </c>
      <c r="BQ59">
        <v>1.4826495520840738E-14</v>
      </c>
      <c r="BR59">
        <v>-2.5429925471310759</v>
      </c>
      <c r="BS59">
        <f t="shared" si="6"/>
        <v>-2.5429925471310759</v>
      </c>
      <c r="BT59">
        <v>2218.5420986714998</v>
      </c>
      <c r="BU59">
        <v>2.2809993108985751E-14</v>
      </c>
      <c r="BV59">
        <v>-3.9122962263555014</v>
      </c>
      <c r="BW59">
        <f t="shared" si="7"/>
        <v>-3.9122962263555014</v>
      </c>
    </row>
    <row r="60" spans="1:75" x14ac:dyDescent="0.25">
      <c r="A60">
        <v>24</v>
      </c>
      <c r="B60" s="5">
        <v>7</v>
      </c>
      <c r="C60" s="1">
        <f t="shared" ca="1" si="14"/>
        <v>0</v>
      </c>
      <c r="D60" s="46">
        <f t="shared" si="16"/>
        <v>0</v>
      </c>
      <c r="E60" s="46">
        <f t="shared" si="17"/>
        <v>0</v>
      </c>
      <c r="F60" s="1">
        <f t="shared" ca="1" si="18"/>
        <v>2.8125</v>
      </c>
      <c r="G60" t="e">
        <f t="shared" ca="1" si="19"/>
        <v>#N/A</v>
      </c>
      <c r="H60" t="e">
        <f t="shared" ca="1" si="20"/>
        <v>#N/A</v>
      </c>
      <c r="I60" s="7">
        <f t="shared" si="21"/>
        <v>0</v>
      </c>
      <c r="J60" s="7">
        <f t="shared" si="22"/>
        <v>0</v>
      </c>
      <c r="K60">
        <f t="shared" si="23"/>
        <v>12</v>
      </c>
      <c r="L60" s="15">
        <f t="shared" ca="1" si="24"/>
        <v>0</v>
      </c>
      <c r="M60" s="9">
        <f t="shared" ca="1" si="15"/>
        <v>0</v>
      </c>
      <c r="N60" s="7">
        <f t="shared" ca="1" si="25"/>
        <v>0</v>
      </c>
      <c r="O60" s="7">
        <f t="shared" ca="1" si="26"/>
        <v>0</v>
      </c>
      <c r="P60" s="7">
        <f t="shared" ca="1" si="27"/>
        <v>0</v>
      </c>
      <c r="U60" t="e">
        <f t="shared" ca="1" si="28"/>
        <v>#N/A</v>
      </c>
      <c r="V60" t="e">
        <f t="shared" ca="1" si="29"/>
        <v>#N/A</v>
      </c>
      <c r="X60" t="e">
        <f t="shared" ca="1" si="30"/>
        <v>#N/A</v>
      </c>
      <c r="Y60" t="e">
        <f t="shared" ca="1" si="31"/>
        <v>#N/A</v>
      </c>
      <c r="AJ60">
        <v>5.0614548307835516</v>
      </c>
      <c r="AK60">
        <v>94.466945143350316</v>
      </c>
      <c r="AL60">
        <v>-259.28933978347351</v>
      </c>
      <c r="AM60">
        <v>104.96327238150035</v>
      </c>
      <c r="AN60">
        <v>-288.09926642608167</v>
      </c>
      <c r="AQ60">
        <v>58</v>
      </c>
      <c r="AR60">
        <f t="shared" si="2"/>
        <v>6.3590311707984588</v>
      </c>
      <c r="AS60">
        <f t="shared" si="3"/>
        <v>10.176577153877112</v>
      </c>
      <c r="AV60">
        <v>1443.159428022811</v>
      </c>
      <c r="AW60">
        <v>4.917256925714616E-11</v>
      </c>
      <c r="AX60">
        <v>1.7662152119579353</v>
      </c>
      <c r="AY60">
        <f t="shared" si="0"/>
        <v>1.7662152119579353</v>
      </c>
      <c r="AZ60">
        <v>2220.2452738812476</v>
      </c>
      <c r="BA60">
        <v>7.5650106549455628E-11</v>
      </c>
      <c r="BB60">
        <v>2.7172541722429773</v>
      </c>
      <c r="BC60">
        <f t="shared" si="1"/>
        <v>2.7172541722429773</v>
      </c>
      <c r="BF60">
        <v>1439.3468439271564</v>
      </c>
      <c r="BG60">
        <v>0.78608406199477632</v>
      </c>
      <c r="BH60">
        <v>4.0532459426013583</v>
      </c>
      <c r="BI60">
        <f t="shared" si="4"/>
        <v>4.1287686813063988</v>
      </c>
      <c r="BJ60">
        <v>2214.3797598879328</v>
      </c>
      <c r="BK60">
        <v>1.2093600953765788</v>
      </c>
      <c r="BL60">
        <v>6.2357629886174744</v>
      </c>
      <c r="BM60">
        <f t="shared" si="5"/>
        <v>6.3519518173944602</v>
      </c>
      <c r="BP60">
        <v>1442.6693111022396</v>
      </c>
      <c r="BQ60">
        <v>2.4288026828888467E-14</v>
      </c>
      <c r="BR60">
        <v>-2.0795644176482617</v>
      </c>
      <c r="BS60">
        <f t="shared" si="6"/>
        <v>-2.0795644176482617</v>
      </c>
      <c r="BT60">
        <v>2219.4912478495994</v>
      </c>
      <c r="BU60">
        <v>3.7366195121366868E-14</v>
      </c>
      <c r="BV60">
        <v>-3.1993298733050177</v>
      </c>
      <c r="BW60">
        <f t="shared" si="7"/>
        <v>-3.1993298733050177</v>
      </c>
    </row>
    <row r="61" spans="1:75" x14ac:dyDescent="0.25">
      <c r="A61">
        <v>25</v>
      </c>
      <c r="B61" s="5">
        <v>7</v>
      </c>
      <c r="C61" s="1">
        <f t="shared" ca="1" si="14"/>
        <v>0</v>
      </c>
      <c r="D61" s="46">
        <f t="shared" si="16"/>
        <v>0</v>
      </c>
      <c r="E61" s="46">
        <f t="shared" si="17"/>
        <v>0</v>
      </c>
      <c r="F61" s="1">
        <f t="shared" ca="1" si="18"/>
        <v>2.8125</v>
      </c>
      <c r="G61" t="e">
        <f t="shared" ca="1" si="19"/>
        <v>#N/A</v>
      </c>
      <c r="H61" t="e">
        <f t="shared" ca="1" si="20"/>
        <v>#N/A</v>
      </c>
      <c r="I61" s="7">
        <f t="shared" si="21"/>
        <v>0</v>
      </c>
      <c r="J61" s="7">
        <f t="shared" si="22"/>
        <v>0</v>
      </c>
      <c r="K61">
        <f t="shared" si="23"/>
        <v>12</v>
      </c>
      <c r="L61" s="15">
        <f t="shared" ca="1" si="24"/>
        <v>0</v>
      </c>
      <c r="M61" s="9">
        <f t="shared" ca="1" si="15"/>
        <v>0</v>
      </c>
      <c r="N61" s="7">
        <f t="shared" ca="1" si="25"/>
        <v>0</v>
      </c>
      <c r="O61" s="7">
        <f t="shared" ca="1" si="26"/>
        <v>0</v>
      </c>
      <c r="P61" s="7">
        <f t="shared" ca="1" si="27"/>
        <v>0</v>
      </c>
      <c r="U61" t="e">
        <f t="shared" ca="1" si="28"/>
        <v>#N/A</v>
      </c>
      <c r="V61" t="e">
        <f t="shared" ca="1" si="29"/>
        <v>#N/A</v>
      </c>
      <c r="X61" t="e">
        <f t="shared" ca="1" si="30"/>
        <v>#N/A</v>
      </c>
      <c r="Y61" t="e">
        <f t="shared" ca="1" si="31"/>
        <v>#N/A</v>
      </c>
      <c r="AJ61">
        <v>5.148721293383268</v>
      </c>
      <c r="AK61">
        <v>116.30327188667853</v>
      </c>
      <c r="AL61">
        <v>-249.20172645714098</v>
      </c>
      <c r="AM61">
        <v>129.22585765186503</v>
      </c>
      <c r="AN61">
        <v>-276.89080717460109</v>
      </c>
      <c r="AQ61">
        <v>59</v>
      </c>
      <c r="AR61">
        <f t="shared" si="2"/>
        <v>6.1804568989206494</v>
      </c>
      <c r="AS61">
        <f t="shared" si="3"/>
        <v>10.286007608425347</v>
      </c>
      <c r="AV61">
        <v>1443.6959250222149</v>
      </c>
      <c r="AW61">
        <v>-9.0879044685832082E-15</v>
      </c>
      <c r="AX61">
        <v>1.3720062041293373</v>
      </c>
      <c r="AY61">
        <f t="shared" si="0"/>
        <v>1.3720062041293373</v>
      </c>
      <c r="AZ61">
        <v>2221.0706538803306</v>
      </c>
      <c r="BA61">
        <v>-1.3981391490128013E-14</v>
      </c>
      <c r="BB61">
        <v>2.1107787755835958</v>
      </c>
      <c r="BC61">
        <f t="shared" si="1"/>
        <v>2.1107787755835958</v>
      </c>
      <c r="BF61">
        <v>1440.0246588418115</v>
      </c>
      <c r="BG61">
        <v>0.7047078445243028</v>
      </c>
      <c r="BH61">
        <v>3.633649823328466</v>
      </c>
      <c r="BI61">
        <f t="shared" si="4"/>
        <v>3.7013543716738444</v>
      </c>
      <c r="BJ61">
        <v>2215.4225520643254</v>
      </c>
      <c r="BK61">
        <v>1.0841659146527736</v>
      </c>
      <c r="BL61">
        <v>5.5902304974284087</v>
      </c>
      <c r="BM61">
        <f t="shared" si="5"/>
        <v>5.6943913410366838</v>
      </c>
      <c r="BP61">
        <v>1443.235735454273</v>
      </c>
      <c r="BQ61">
        <v>-1.6950693612127182E-10</v>
      </c>
      <c r="BR61">
        <v>-1.654016760149863</v>
      </c>
      <c r="BS61">
        <f t="shared" si="6"/>
        <v>-1.654016760149863</v>
      </c>
      <c r="BT61">
        <v>2220.3626699296506</v>
      </c>
      <c r="BU61">
        <v>-2.6077990172503354E-10</v>
      </c>
      <c r="BV61">
        <v>-2.5446411694613276</v>
      </c>
      <c r="BW61">
        <f t="shared" si="7"/>
        <v>-2.5446411694613276</v>
      </c>
    </row>
    <row r="62" spans="1:75" x14ac:dyDescent="0.25">
      <c r="A62">
        <v>26</v>
      </c>
      <c r="B62" s="5">
        <v>7</v>
      </c>
      <c r="C62" s="1">
        <f t="shared" ca="1" si="14"/>
        <v>0</v>
      </c>
      <c r="D62" s="46">
        <f t="shared" si="16"/>
        <v>0</v>
      </c>
      <c r="E62" s="46">
        <f t="shared" si="17"/>
        <v>0</v>
      </c>
      <c r="F62" s="1">
        <f t="shared" ca="1" si="18"/>
        <v>2.8125</v>
      </c>
      <c r="G62" t="e">
        <f t="shared" ca="1" si="19"/>
        <v>#N/A</v>
      </c>
      <c r="H62" t="e">
        <f t="shared" ca="1" si="20"/>
        <v>#N/A</v>
      </c>
      <c r="I62" s="7">
        <f t="shared" si="21"/>
        <v>0</v>
      </c>
      <c r="J62" s="7">
        <f t="shared" si="22"/>
        <v>0</v>
      </c>
      <c r="K62">
        <f t="shared" si="23"/>
        <v>12</v>
      </c>
      <c r="L62" s="15">
        <f t="shared" ca="1" si="24"/>
        <v>0</v>
      </c>
      <c r="M62" s="9">
        <f t="shared" ca="1" si="15"/>
        <v>0</v>
      </c>
      <c r="N62" s="7">
        <f t="shared" ca="1" si="25"/>
        <v>0</v>
      </c>
      <c r="O62" s="7">
        <f t="shared" ca="1" si="26"/>
        <v>0</v>
      </c>
      <c r="P62" s="7">
        <f t="shared" ca="1" si="27"/>
        <v>0</v>
      </c>
      <c r="U62" t="e">
        <f t="shared" ca="1" si="28"/>
        <v>#N/A</v>
      </c>
      <c r="V62" t="e">
        <f t="shared" ca="1" si="29"/>
        <v>#N/A</v>
      </c>
      <c r="X62" t="e">
        <f t="shared" ca="1" si="30"/>
        <v>#N/A</v>
      </c>
      <c r="Y62" t="e">
        <f t="shared" ca="1" si="31"/>
        <v>#N/A</v>
      </c>
      <c r="AJ62">
        <v>5.2359877559829844</v>
      </c>
      <c r="AK62">
        <v>137.34034604627612</v>
      </c>
      <c r="AL62">
        <v>-237.88045728124405</v>
      </c>
      <c r="AM62">
        <v>152.60038449586236</v>
      </c>
      <c r="AN62">
        <v>-264.31161920138226</v>
      </c>
      <c r="AQ62">
        <v>60</v>
      </c>
      <c r="AR62">
        <f t="shared" si="2"/>
        <v>6.0000000000000018</v>
      </c>
      <c r="AS62">
        <f t="shared" si="3"/>
        <v>10.392304845413264</v>
      </c>
      <c r="AV62">
        <v>1444.03505644804</v>
      </c>
      <c r="AW62">
        <v>-1.8229946802125774E-14</v>
      </c>
      <c r="AX62">
        <v>1.1028277987006823</v>
      </c>
      <c r="AY62">
        <f t="shared" si="0"/>
        <v>1.1028277987006823</v>
      </c>
      <c r="AZ62">
        <v>2221.5923945354461</v>
      </c>
      <c r="BA62">
        <v>-2.804607200327042E-14</v>
      </c>
      <c r="BB62">
        <v>1.6966581518472035</v>
      </c>
      <c r="BC62">
        <f t="shared" si="1"/>
        <v>1.6966581518472035</v>
      </c>
      <c r="BF62">
        <v>1440.7064165160882</v>
      </c>
      <c r="BG62">
        <v>0.62475024244345012</v>
      </c>
      <c r="BH62">
        <v>3.2213684375990566</v>
      </c>
      <c r="BI62">
        <f t="shared" si="4"/>
        <v>3.2813910885769979</v>
      </c>
      <c r="BJ62">
        <v>2216.4714100247511</v>
      </c>
      <c r="BK62">
        <v>0.96115421914376942</v>
      </c>
      <c r="BL62">
        <v>4.955951442460087</v>
      </c>
      <c r="BM62">
        <f t="shared" si="5"/>
        <v>5.0482939824261512</v>
      </c>
      <c r="BP62">
        <v>1443.7574918449136</v>
      </c>
      <c r="BQ62">
        <v>-1.1032912978409238E-10</v>
      </c>
      <c r="BR62">
        <v>-1.2623170114589166</v>
      </c>
      <c r="BS62">
        <f t="shared" si="6"/>
        <v>-1.2623170114589166</v>
      </c>
      <c r="BT62">
        <v>2221.1653720690979</v>
      </c>
      <c r="BU62">
        <v>-1.697371227447575E-10</v>
      </c>
      <c r="BV62">
        <v>-1.9420261714752562</v>
      </c>
      <c r="BW62">
        <f t="shared" si="7"/>
        <v>-1.9420261714752562</v>
      </c>
    </row>
    <row r="63" spans="1:75" x14ac:dyDescent="0.25">
      <c r="A63">
        <v>27</v>
      </c>
      <c r="B63" s="5">
        <v>0</v>
      </c>
      <c r="C63" s="1">
        <f t="shared" ca="1" si="14"/>
        <v>0</v>
      </c>
      <c r="D63" s="46">
        <f t="shared" si="16"/>
        <v>0</v>
      </c>
      <c r="E63" s="46">
        <f t="shared" si="17"/>
        <v>0</v>
      </c>
      <c r="F63" s="1">
        <f t="shared" ca="1" si="18"/>
        <v>2.375</v>
      </c>
      <c r="G63" t="e">
        <f t="shared" ca="1" si="19"/>
        <v>#N/A</v>
      </c>
      <c r="H63" t="e">
        <f t="shared" ca="1" si="20"/>
        <v>#N/A</v>
      </c>
      <c r="I63" s="7">
        <f t="shared" si="21"/>
        <v>0</v>
      </c>
      <c r="J63" s="7">
        <f t="shared" si="22"/>
        <v>0</v>
      </c>
      <c r="K63">
        <f t="shared" si="23"/>
        <v>0</v>
      </c>
      <c r="L63" s="15">
        <f t="shared" ca="1" si="24"/>
        <v>0</v>
      </c>
      <c r="M63" s="9">
        <f t="shared" ca="1" si="15"/>
        <v>0</v>
      </c>
      <c r="N63" s="7">
        <f t="shared" ca="1" si="25"/>
        <v>0</v>
      </c>
      <c r="O63" s="7">
        <f t="shared" ca="1" si="26"/>
        <v>0</v>
      </c>
      <c r="P63" s="7">
        <f t="shared" ca="1" si="27"/>
        <v>0</v>
      </c>
      <c r="U63" t="e">
        <f t="shared" ca="1" si="28"/>
        <v>#N/A</v>
      </c>
      <c r="V63" t="e">
        <f t="shared" ca="1" si="29"/>
        <v>#N/A</v>
      </c>
      <c r="X63" t="e">
        <f t="shared" ca="1" si="30"/>
        <v>#N/A</v>
      </c>
      <c r="Y63" t="e">
        <f t="shared" ca="1" si="31"/>
        <v>#N/A</v>
      </c>
      <c r="AJ63">
        <v>5.3232542185827008</v>
      </c>
      <c r="AK63">
        <v>157.66338983545955</v>
      </c>
      <c r="AL63">
        <v>-225.3224512256534</v>
      </c>
      <c r="AM63">
        <v>175.18154426162172</v>
      </c>
      <c r="AN63">
        <v>-250.35827913961487</v>
      </c>
      <c r="AQ63">
        <v>61</v>
      </c>
      <c r="AR63">
        <f t="shared" si="2"/>
        <v>5.8177154429560449</v>
      </c>
      <c r="AS63">
        <f t="shared" si="3"/>
        <v>10.495436485672748</v>
      </c>
      <c r="AV63">
        <v>1444.3405760111721</v>
      </c>
      <c r="AW63">
        <v>-1.3349192345940864E-14</v>
      </c>
      <c r="AX63">
        <v>0.85992724921400165</v>
      </c>
      <c r="AY63">
        <f t="shared" si="0"/>
        <v>0.85992724921400165</v>
      </c>
      <c r="AZ63">
        <v>2222.0624246325724</v>
      </c>
      <c r="BA63">
        <v>-2.0537218993755174E-14</v>
      </c>
      <c r="BB63">
        <v>1.3229649987907717</v>
      </c>
      <c r="BC63">
        <f t="shared" si="1"/>
        <v>1.3229649987907717</v>
      </c>
      <c r="BF63">
        <v>1441.4352756051685</v>
      </c>
      <c r="BG63">
        <v>0.54423093993246174</v>
      </c>
      <c r="BH63">
        <v>2.8061907840268199</v>
      </c>
      <c r="BI63">
        <f t="shared" si="4"/>
        <v>2.8584775724739959</v>
      </c>
      <c r="BJ63">
        <v>2217.5927317002593</v>
      </c>
      <c r="BK63">
        <v>0.83727836912686415</v>
      </c>
      <c r="BL63">
        <v>4.3172165908104922</v>
      </c>
      <c r="BM63">
        <f t="shared" si="5"/>
        <v>4.3976578038061476</v>
      </c>
      <c r="BP63">
        <v>1444.2397954860182</v>
      </c>
      <c r="BQ63">
        <v>1.2332485691663632E-14</v>
      </c>
      <c r="BR63">
        <v>-0.90081063573484721</v>
      </c>
      <c r="BS63">
        <f t="shared" si="6"/>
        <v>-0.90081063573484721</v>
      </c>
      <c r="BT63">
        <v>2221.9073776707974</v>
      </c>
      <c r="BU63">
        <v>1.8973054910251742E-14</v>
      </c>
      <c r="BV63">
        <v>-1.3858625165151495</v>
      </c>
      <c r="BW63">
        <f t="shared" si="7"/>
        <v>-1.3858625165151495</v>
      </c>
    </row>
    <row r="64" spans="1:75" x14ac:dyDescent="0.25">
      <c r="A64">
        <v>28</v>
      </c>
      <c r="B64" s="5">
        <v>0</v>
      </c>
      <c r="C64" s="1">
        <f t="shared" ca="1" si="14"/>
        <v>0</v>
      </c>
      <c r="D64" s="46">
        <f t="shared" si="16"/>
        <v>0</v>
      </c>
      <c r="E64" s="46">
        <f t="shared" si="17"/>
        <v>0</v>
      </c>
      <c r="F64" s="1">
        <f t="shared" ca="1" si="18"/>
        <v>2.375</v>
      </c>
      <c r="G64" t="e">
        <f t="shared" ca="1" si="19"/>
        <v>#N/A</v>
      </c>
      <c r="H64" t="e">
        <f t="shared" ca="1" si="20"/>
        <v>#N/A</v>
      </c>
      <c r="I64" s="7">
        <f t="shared" si="21"/>
        <v>0</v>
      </c>
      <c r="J64" s="7">
        <f t="shared" si="22"/>
        <v>0</v>
      </c>
      <c r="K64">
        <f t="shared" si="23"/>
        <v>0</v>
      </c>
      <c r="L64" s="15">
        <f t="shared" ca="1" si="24"/>
        <v>0</v>
      </c>
      <c r="M64" s="9">
        <f t="shared" ca="1" si="15"/>
        <v>0</v>
      </c>
      <c r="N64" s="7">
        <f t="shared" ca="1" si="25"/>
        <v>0</v>
      </c>
      <c r="O64" s="7">
        <f t="shared" ca="1" si="26"/>
        <v>0</v>
      </c>
      <c r="P64" s="7">
        <f t="shared" ca="1" si="27"/>
        <v>0</v>
      </c>
      <c r="U64" t="e">
        <f t="shared" ca="1" si="28"/>
        <v>#N/A</v>
      </c>
      <c r="V64" t="e">
        <f t="shared" ca="1" si="29"/>
        <v>#N/A</v>
      </c>
      <c r="X64" t="e">
        <f t="shared" ca="1" si="30"/>
        <v>#N/A</v>
      </c>
      <c r="Y64" t="e">
        <f t="shared" ca="1" si="31"/>
        <v>#N/A</v>
      </c>
      <c r="AJ64">
        <v>5.4105206811824171</v>
      </c>
      <c r="AK64">
        <v>177.31768261130654</v>
      </c>
      <c r="AL64">
        <v>-211.45544420379153</v>
      </c>
      <c r="AM64">
        <v>197.01964734589615</v>
      </c>
      <c r="AN64">
        <v>-234.95049355976835</v>
      </c>
      <c r="AQ64">
        <v>62</v>
      </c>
      <c r="AR64">
        <f t="shared" si="2"/>
        <v>5.6336587534306908</v>
      </c>
      <c r="AS64">
        <f t="shared" si="3"/>
        <v>10.595371114307122</v>
      </c>
      <c r="AV64">
        <v>1444.6168125352056</v>
      </c>
      <c r="AW64">
        <v>-2.1003954497170845E-14</v>
      </c>
      <c r="AX64">
        <v>0.64020067035445938</v>
      </c>
      <c r="AY64">
        <f t="shared" si="0"/>
        <v>0.64020067035445938</v>
      </c>
      <c r="AZ64">
        <v>2222.4874039003162</v>
      </c>
      <c r="BA64">
        <v>-3.2313776149493608E-14</v>
      </c>
      <c r="BB64">
        <v>0.98492410823762977</v>
      </c>
      <c r="BC64">
        <f t="shared" si="1"/>
        <v>0.98492410823762977</v>
      </c>
      <c r="BF64">
        <v>1441.8446483602925</v>
      </c>
      <c r="BG64">
        <v>0.48844801768005763</v>
      </c>
      <c r="BH64">
        <v>2.5185600896985485</v>
      </c>
      <c r="BI64">
        <f t="shared" si="4"/>
        <v>2.5654875543252862</v>
      </c>
      <c r="BJ64">
        <v>2218.2225359389113</v>
      </c>
      <c r="BK64">
        <v>0.75145848873855015</v>
      </c>
      <c r="BL64">
        <v>3.874707830305459</v>
      </c>
      <c r="BM64">
        <f t="shared" si="5"/>
        <v>3.9469039297312092</v>
      </c>
      <c r="BP64">
        <v>1444.7394620273274</v>
      </c>
      <c r="BQ64">
        <v>-4.7662028028009707E-11</v>
      </c>
      <c r="BR64">
        <v>-0.54280523364801769</v>
      </c>
      <c r="BS64">
        <f t="shared" si="6"/>
        <v>-0.54280523364801769</v>
      </c>
      <c r="BT64">
        <v>2222.6760954266574</v>
      </c>
      <c r="BU64">
        <v>-7.332619696616878E-11</v>
      </c>
      <c r="BV64">
        <v>-0.83508497484310407</v>
      </c>
      <c r="BW64">
        <f t="shared" si="7"/>
        <v>-0.83508497484310407</v>
      </c>
    </row>
    <row r="65" spans="1:75" x14ac:dyDescent="0.25">
      <c r="A65">
        <v>29</v>
      </c>
      <c r="B65" s="5">
        <v>0</v>
      </c>
      <c r="C65" s="1">
        <f t="shared" ca="1" si="14"/>
        <v>0</v>
      </c>
      <c r="D65" s="46">
        <f t="shared" si="16"/>
        <v>0</v>
      </c>
      <c r="E65" s="46">
        <f t="shared" si="17"/>
        <v>0</v>
      </c>
      <c r="F65" s="1">
        <f t="shared" ca="1" si="18"/>
        <v>2.375</v>
      </c>
      <c r="G65" t="e">
        <f t="shared" ca="1" si="19"/>
        <v>#N/A</v>
      </c>
      <c r="H65" t="e">
        <f t="shared" ca="1" si="20"/>
        <v>#N/A</v>
      </c>
      <c r="I65" s="7">
        <f t="shared" si="21"/>
        <v>0</v>
      </c>
      <c r="J65" s="7">
        <f t="shared" si="22"/>
        <v>0</v>
      </c>
      <c r="K65">
        <f t="shared" si="23"/>
        <v>0</v>
      </c>
      <c r="L65" s="15">
        <f t="shared" ca="1" si="24"/>
        <v>0</v>
      </c>
      <c r="M65" s="9">
        <f t="shared" ca="1" si="15"/>
        <v>0</v>
      </c>
      <c r="N65" s="7">
        <f t="shared" ca="1" si="25"/>
        <v>0</v>
      </c>
      <c r="O65" s="7">
        <f t="shared" ca="1" si="26"/>
        <v>0</v>
      </c>
      <c r="P65" s="7">
        <f t="shared" ca="1" si="27"/>
        <v>0</v>
      </c>
      <c r="U65" t="e">
        <f t="shared" ca="1" si="28"/>
        <v>#N/A</v>
      </c>
      <c r="V65" t="e">
        <f t="shared" ca="1" si="29"/>
        <v>#N/A</v>
      </c>
      <c r="X65" t="e">
        <f t="shared" ca="1" si="30"/>
        <v>#N/A</v>
      </c>
      <c r="Y65" t="e">
        <f t="shared" ca="1" si="31"/>
        <v>#N/A</v>
      </c>
      <c r="AJ65">
        <v>5.4977871437821335</v>
      </c>
      <c r="AK65">
        <v>196.28363087637211</v>
      </c>
      <c r="AL65">
        <v>-196.16024021502375</v>
      </c>
      <c r="AM65">
        <v>218.09292319596901</v>
      </c>
      <c r="AN65">
        <v>-217.9558224611375</v>
      </c>
      <c r="AQ65">
        <v>63</v>
      </c>
      <c r="AR65">
        <f t="shared" si="2"/>
        <v>5.4478859968745619</v>
      </c>
      <c r="AS65">
        <f t="shared" si="3"/>
        <v>10.692078290260413</v>
      </c>
      <c r="AV65">
        <v>1444.8676461683065</v>
      </c>
      <c r="AW65">
        <v>-1.5154654658615939E-14</v>
      </c>
      <c r="AX65">
        <v>0.44081785178844918</v>
      </c>
      <c r="AY65">
        <f t="shared" si="0"/>
        <v>0.44081785178844918</v>
      </c>
      <c r="AZ65">
        <v>2222.8733017973946</v>
      </c>
      <c r="BA65">
        <v>-2.3314853320947596E-14</v>
      </c>
      <c r="BB65">
        <v>0.67818131044376795</v>
      </c>
      <c r="BC65">
        <f t="shared" si="1"/>
        <v>0.67818131044376795</v>
      </c>
      <c r="BF65">
        <v>1442.2379997346795</v>
      </c>
      <c r="BG65">
        <v>0.43461693030392129</v>
      </c>
      <c r="BH65">
        <v>2.2409935456880832</v>
      </c>
      <c r="BI65">
        <f t="shared" si="4"/>
        <v>2.2827492082842675</v>
      </c>
      <c r="BJ65">
        <v>2218.827691899507</v>
      </c>
      <c r="BK65">
        <v>0.66864143123680198</v>
      </c>
      <c r="BL65">
        <v>3.4476823779816663</v>
      </c>
      <c r="BM65">
        <f t="shared" si="5"/>
        <v>3.511921858898873</v>
      </c>
      <c r="BP65">
        <v>1445.0050082192149</v>
      </c>
      <c r="BQ65">
        <v>-3.6187608465354515E-11</v>
      </c>
      <c r="BR65">
        <v>-0.33322325153473298</v>
      </c>
      <c r="BS65">
        <f t="shared" si="6"/>
        <v>-0.33322325153473298</v>
      </c>
      <c r="BT65">
        <v>2223.0846280295614</v>
      </c>
      <c r="BU65">
        <v>-5.56732437928531E-11</v>
      </c>
      <c r="BV65">
        <v>-0.51265115620728152</v>
      </c>
      <c r="BW65">
        <f t="shared" si="7"/>
        <v>-0.51265115620728152</v>
      </c>
    </row>
    <row r="66" spans="1:75" x14ac:dyDescent="0.25">
      <c r="A66">
        <v>30</v>
      </c>
      <c r="B66" s="5">
        <v>0</v>
      </c>
      <c r="C66" s="1">
        <f t="shared" ca="1" si="14"/>
        <v>0</v>
      </c>
      <c r="D66" s="46">
        <f t="shared" si="16"/>
        <v>0</v>
      </c>
      <c r="E66" s="46">
        <f t="shared" si="17"/>
        <v>0</v>
      </c>
      <c r="F66" s="1">
        <f t="shared" ca="1" si="18"/>
        <v>2.375</v>
      </c>
      <c r="G66" t="e">
        <f t="shared" ca="1" si="19"/>
        <v>#N/A</v>
      </c>
      <c r="H66" t="e">
        <f t="shared" ca="1" si="20"/>
        <v>#N/A</v>
      </c>
      <c r="I66" s="7">
        <f t="shared" si="21"/>
        <v>0</v>
      </c>
      <c r="J66" s="7">
        <f t="shared" si="22"/>
        <v>0</v>
      </c>
      <c r="K66">
        <f t="shared" si="23"/>
        <v>0</v>
      </c>
      <c r="L66" s="15">
        <f t="shared" ca="1" si="24"/>
        <v>0</v>
      </c>
      <c r="M66" s="9">
        <f t="shared" ca="1" si="15"/>
        <v>0</v>
      </c>
      <c r="N66" s="7">
        <f t="shared" ca="1" si="25"/>
        <v>0</v>
      </c>
      <c r="O66" s="7">
        <f t="shared" ca="1" si="26"/>
        <v>0</v>
      </c>
      <c r="P66" s="7">
        <f t="shared" ca="1" si="27"/>
        <v>0</v>
      </c>
      <c r="U66" t="e">
        <f t="shared" ca="1" si="28"/>
        <v>#N/A</v>
      </c>
      <c r="V66" t="e">
        <f t="shared" ca="1" si="29"/>
        <v>#N/A</v>
      </c>
      <c r="X66" t="e">
        <f t="shared" ca="1" si="30"/>
        <v>#N/A</v>
      </c>
      <c r="Y66" t="e">
        <f t="shared" ca="1" si="31"/>
        <v>#N/A</v>
      </c>
      <c r="AJ66">
        <v>5.5850536063818499</v>
      </c>
      <c r="AK66">
        <v>213.66711805478664</v>
      </c>
      <c r="AL66">
        <v>-179.28799995448529</v>
      </c>
      <c r="AM66">
        <v>237.40790894976294</v>
      </c>
      <c r="AN66">
        <v>-199.20888883831697</v>
      </c>
      <c r="AQ66">
        <v>64</v>
      </c>
      <c r="AR66">
        <f t="shared" si="2"/>
        <v>5.2604537614689297</v>
      </c>
      <c r="AS66">
        <f t="shared" si="3"/>
        <v>10.785528555590005</v>
      </c>
      <c r="AV66">
        <v>1445.096515845167</v>
      </c>
      <c r="AW66">
        <v>-1.5006204304836903E-14</v>
      </c>
      <c r="AX66">
        <v>0.25922153594798336</v>
      </c>
      <c r="AY66">
        <f t="shared" ref="AY66:AY77" si="32">SQRT(POWER(AW66,2)+POWER(AX66,2))</f>
        <v>0.25922153594798336</v>
      </c>
      <c r="AZ66">
        <v>2223.2254089925646</v>
      </c>
      <c r="BA66">
        <v>-2.3086468161287542E-14</v>
      </c>
      <c r="BB66">
        <v>0.39880236299689747</v>
      </c>
      <c r="BC66">
        <f t="shared" ref="BC66:BC77" si="33">SQRT(POWER(BA66,2)+POWER(BB66,2))</f>
        <v>0.39880236299689747</v>
      </c>
      <c r="BF66">
        <v>1442.6199307027523</v>
      </c>
      <c r="BG66">
        <v>0.38236903290599317</v>
      </c>
      <c r="BH66">
        <v>1.9715903249896451</v>
      </c>
      <c r="BI66">
        <f t="shared" si="4"/>
        <v>2.0083262899534624</v>
      </c>
      <c r="BJ66">
        <v>2219.4152780042341</v>
      </c>
      <c r="BK66">
        <v>0.58826005062460485</v>
      </c>
      <c r="BL66">
        <v>3.0332158845994539</v>
      </c>
      <c r="BM66">
        <f t="shared" si="5"/>
        <v>3.0897327537745576</v>
      </c>
      <c r="BP66">
        <v>1445.2575846546533</v>
      </c>
      <c r="BQ66">
        <v>9.3011555622609754E-15</v>
      </c>
      <c r="BR66">
        <v>-0.13590487557433342</v>
      </c>
      <c r="BS66">
        <f t="shared" si="6"/>
        <v>-0.13590487557433342</v>
      </c>
      <c r="BT66">
        <v>2223.4732071610051</v>
      </c>
      <c r="BU66">
        <v>1.4309470095786115E-14</v>
      </c>
      <c r="BV66">
        <v>-0.20908442396051294</v>
      </c>
      <c r="BW66">
        <f t="shared" si="7"/>
        <v>-0.20908442396051294</v>
      </c>
    </row>
    <row r="67" spans="1:75" x14ac:dyDescent="0.25">
      <c r="A67">
        <v>31</v>
      </c>
      <c r="B67" s="5">
        <v>0</v>
      </c>
      <c r="C67" s="1">
        <f t="shared" ca="1" si="14"/>
        <v>0</v>
      </c>
      <c r="D67" s="46">
        <f t="shared" si="16"/>
        <v>0</v>
      </c>
      <c r="E67" s="46">
        <f t="shared" si="17"/>
        <v>0</v>
      </c>
      <c r="F67" s="1">
        <f t="shared" ca="1" si="18"/>
        <v>2.375</v>
      </c>
      <c r="G67" t="e">
        <f t="shared" ca="1" si="19"/>
        <v>#N/A</v>
      </c>
      <c r="H67" t="e">
        <f t="shared" ca="1" si="20"/>
        <v>#N/A</v>
      </c>
      <c r="I67" s="7">
        <f t="shared" si="21"/>
        <v>0</v>
      </c>
      <c r="J67" s="7">
        <f t="shared" si="22"/>
        <v>0</v>
      </c>
      <c r="K67">
        <f t="shared" si="23"/>
        <v>0</v>
      </c>
      <c r="L67" s="15">
        <f t="shared" ca="1" si="24"/>
        <v>0</v>
      </c>
      <c r="M67" s="9">
        <f t="shared" ca="1" si="15"/>
        <v>0</v>
      </c>
      <c r="N67" s="7">
        <f t="shared" ca="1" si="25"/>
        <v>0</v>
      </c>
      <c r="O67" s="7">
        <f t="shared" ca="1" si="26"/>
        <v>0</v>
      </c>
      <c r="P67" s="7">
        <f t="shared" ca="1" si="27"/>
        <v>0</v>
      </c>
      <c r="U67" t="e">
        <f t="shared" ca="1" si="28"/>
        <v>#N/A</v>
      </c>
      <c r="V67" t="e">
        <f t="shared" ca="1" si="29"/>
        <v>#N/A</v>
      </c>
      <c r="X67" t="e">
        <f t="shared" ca="1" si="30"/>
        <v>#N/A</v>
      </c>
      <c r="Y67" t="e">
        <f t="shared" ca="1" si="31"/>
        <v>#N/A</v>
      </c>
      <c r="AJ67">
        <v>5.6723200689815663</v>
      </c>
      <c r="AK67">
        <v>227.26442020402195</v>
      </c>
      <c r="AL67">
        <v>-159.2387732323941</v>
      </c>
      <c r="AM67">
        <v>252.51602244891328</v>
      </c>
      <c r="AN67">
        <v>-176.93197025821567</v>
      </c>
      <c r="AQ67">
        <v>65</v>
      </c>
      <c r="AR67">
        <f t="shared" ref="AR67:AR130" si="34">$B$3*COS(RADIANS(AQ67))</f>
        <v>5.0714191408883931</v>
      </c>
      <c r="AS67">
        <f t="shared" ref="AS67:AS130" si="35">$B$3*SIN(RADIANS(AQ67))</f>
        <v>10.875693444439799</v>
      </c>
      <c r="AV67">
        <v>1445.3033966377745</v>
      </c>
      <c r="AW67">
        <v>-1.3852143373202878E-14</v>
      </c>
      <c r="AX67">
        <v>9.5452997869509851E-2</v>
      </c>
      <c r="AY67">
        <f t="shared" si="32"/>
        <v>9.5452997869509851E-2</v>
      </c>
      <c r="AZ67">
        <v>2223.5436871350375</v>
      </c>
      <c r="BA67">
        <v>-2.1310989804927504E-14</v>
      </c>
      <c r="BB67">
        <v>0.14685076595309207</v>
      </c>
      <c r="BC67">
        <f t="shared" si="33"/>
        <v>0.14685076595309207</v>
      </c>
      <c r="BF67">
        <v>1442.9915183662931</v>
      </c>
      <c r="BG67">
        <v>0.33156958686153781</v>
      </c>
      <c r="BH67">
        <v>1.7096556822548161</v>
      </c>
      <c r="BI67">
        <f t="shared" ref="BI67:BI77" si="36">SQRT(POWER(BG67,2)+POWER(BH67,2))</f>
        <v>1.7415111090078386</v>
      </c>
      <c r="BJ67">
        <v>2219.9869513327585</v>
      </c>
      <c r="BK67">
        <v>0.51010705671005818</v>
      </c>
      <c r="BL67">
        <v>2.6302395111612555</v>
      </c>
      <c r="BM67">
        <f t="shared" ref="BM67:BM77" si="37">SQRT(POWER(BK67,2)+POWER(BL67,2))</f>
        <v>2.6792478600120591</v>
      </c>
      <c r="BP67">
        <v>1445.303286308967</v>
      </c>
      <c r="BQ67">
        <v>1.0785879997531237E-14</v>
      </c>
      <c r="BR67">
        <v>-9.5537468362626332E-2</v>
      </c>
      <c r="BS67">
        <f t="shared" ref="BS67:BS77" si="38">SQRT(POWER(BQ67,2)+POWER(BR67,2))*-1</f>
        <v>-9.5537468362626332E-2</v>
      </c>
      <c r="BT67">
        <v>2223.5435173984106</v>
      </c>
      <c r="BU67">
        <v>1.659366153466344E-14</v>
      </c>
      <c r="BV67">
        <v>-0.14698072055788666</v>
      </c>
      <c r="BW67">
        <f t="shared" ref="BW67:BW77" si="39">SQRT(POWER(BU67,2)+POWER(BV67,2))*-1</f>
        <v>-0.14698072055788666</v>
      </c>
    </row>
    <row r="68" spans="1:75" x14ac:dyDescent="0.25">
      <c r="A68">
        <v>32</v>
      </c>
      <c r="B68" s="5">
        <v>0</v>
      </c>
      <c r="C68" s="1">
        <f t="shared" ca="1" si="14"/>
        <v>0</v>
      </c>
      <c r="D68" s="46">
        <f t="shared" si="16"/>
        <v>0</v>
      </c>
      <c r="E68" s="46">
        <f t="shared" si="17"/>
        <v>0</v>
      </c>
      <c r="F68" s="1">
        <f t="shared" ca="1" si="18"/>
        <v>2.375</v>
      </c>
      <c r="G68" t="e">
        <f t="shared" ca="1" si="19"/>
        <v>#N/A</v>
      </c>
      <c r="H68" t="e">
        <f t="shared" ca="1" si="20"/>
        <v>#N/A</v>
      </c>
      <c r="I68" s="7">
        <f t="shared" si="21"/>
        <v>0</v>
      </c>
      <c r="J68" s="7">
        <f t="shared" si="22"/>
        <v>0</v>
      </c>
      <c r="K68">
        <f t="shared" si="23"/>
        <v>0</v>
      </c>
      <c r="L68" s="15">
        <f t="shared" ca="1" si="24"/>
        <v>0</v>
      </c>
      <c r="M68" s="9">
        <f t="shared" ca="1" si="15"/>
        <v>0</v>
      </c>
      <c r="N68" s="7">
        <f t="shared" ca="1" si="25"/>
        <v>0</v>
      </c>
      <c r="O68" s="7">
        <f t="shared" ca="1" si="26"/>
        <v>0</v>
      </c>
      <c r="P68" s="7">
        <f t="shared" ca="1" si="27"/>
        <v>0</v>
      </c>
      <c r="U68" t="e">
        <f t="shared" ca="1" si="28"/>
        <v>#N/A</v>
      </c>
      <c r="V68" t="e">
        <f t="shared" ca="1" si="29"/>
        <v>#N/A</v>
      </c>
      <c r="X68" t="e">
        <f t="shared" ca="1" si="30"/>
        <v>#N/A</v>
      </c>
      <c r="Y68" t="e">
        <f t="shared" ca="1" si="31"/>
        <v>#N/A</v>
      </c>
      <c r="AJ68">
        <v>5.7595865315812826</v>
      </c>
      <c r="AK68">
        <v>239.03385332213566</v>
      </c>
      <c r="AL68">
        <v>-137.90497603805485</v>
      </c>
      <c r="AM68">
        <v>265.5931703579285</v>
      </c>
      <c r="AN68">
        <v>-153.22775115339428</v>
      </c>
      <c r="AQ68">
        <v>66</v>
      </c>
      <c r="AR68">
        <f t="shared" si="34"/>
        <v>4.8808397169096027</v>
      </c>
      <c r="AS68">
        <f t="shared" si="35"/>
        <v>10.962545491711211</v>
      </c>
      <c r="AV68">
        <v>1445.3376164758513</v>
      </c>
      <c r="AW68">
        <v>-1.6928078688056926E-14</v>
      </c>
      <c r="AX68">
        <v>6.4849246166904281E-2</v>
      </c>
      <c r="AY68">
        <f t="shared" si="32"/>
        <v>6.4849246166904281E-2</v>
      </c>
      <c r="AZ68">
        <v>2223.5963330397713</v>
      </c>
      <c r="BA68">
        <v>-2.6043197981626038E-14</v>
      </c>
      <c r="BB68">
        <v>9.9768071026006586E-2</v>
      </c>
      <c r="BC68">
        <f t="shared" si="33"/>
        <v>9.9768071026006586E-2</v>
      </c>
      <c r="BF68">
        <v>1443.3543653485517</v>
      </c>
      <c r="BG68">
        <v>0.28202657812810383</v>
      </c>
      <c r="BH68">
        <v>1.4541995428584882</v>
      </c>
      <c r="BI68">
        <f t="shared" si="36"/>
        <v>1.481295143183992</v>
      </c>
      <c r="BJ68">
        <v>2220.5451774593103</v>
      </c>
      <c r="BK68">
        <v>0.4338870432740059</v>
      </c>
      <c r="BL68">
        <v>2.2372300659361355</v>
      </c>
      <c r="BM68">
        <f t="shared" si="37"/>
        <v>2.2789156048984491</v>
      </c>
      <c r="BP68">
        <v>1445.3376132316137</v>
      </c>
      <c r="BQ68">
        <v>1.2676036406717398E-14</v>
      </c>
      <c r="BR68">
        <v>-6.4851730036424415E-2</v>
      </c>
      <c r="BS68">
        <f t="shared" si="38"/>
        <v>-6.4851730036424415E-2</v>
      </c>
      <c r="BT68">
        <v>2223.5963280486362</v>
      </c>
      <c r="BU68">
        <v>1.950159447187292E-14</v>
      </c>
      <c r="BV68">
        <v>-9.9771892363729867E-2</v>
      </c>
      <c r="BW68">
        <f t="shared" si="39"/>
        <v>-9.9771892363729867E-2</v>
      </c>
    </row>
    <row r="69" spans="1:75" x14ac:dyDescent="0.25">
      <c r="A69">
        <v>33</v>
      </c>
      <c r="B69" s="5">
        <v>0</v>
      </c>
      <c r="C69" s="1">
        <f t="shared" ref="C69:C100" ca="1" si="40">IF(A69&lt;=$B$31,OFFSET($Q$36,MATCH(B69,$Q$36:$Q$47,0)-1,2),0)</f>
        <v>0</v>
      </c>
      <c r="D69" s="46">
        <f t="shared" si="16"/>
        <v>0</v>
      </c>
      <c r="E69" s="46">
        <f t="shared" si="17"/>
        <v>0</v>
      </c>
      <c r="F69" s="1">
        <f t="shared" ca="1" si="18"/>
        <v>2.375</v>
      </c>
      <c r="G69" t="e">
        <f t="shared" ca="1" si="19"/>
        <v>#N/A</v>
      </c>
      <c r="H69" t="e">
        <f t="shared" ca="1" si="20"/>
        <v>#N/A</v>
      </c>
      <c r="I69" s="7">
        <f t="shared" si="21"/>
        <v>0</v>
      </c>
      <c r="J69" s="7">
        <f t="shared" si="22"/>
        <v>0</v>
      </c>
      <c r="K69">
        <f t="shared" si="23"/>
        <v>0</v>
      </c>
      <c r="L69" s="15">
        <f t="shared" ca="1" si="24"/>
        <v>0</v>
      </c>
      <c r="M69" s="9">
        <f t="shared" ref="M69:M100" ca="1" si="41">IF(AND(L69&gt;0,K69&lt;=$B$12),MIN((L69*F$35),C$35)-IF($B$2="Whitney",$B$9,B183),MAX(L69*F$35,-1*C$35))</f>
        <v>0</v>
      </c>
      <c r="N69" s="7">
        <f t="shared" ca="1" si="25"/>
        <v>0</v>
      </c>
      <c r="O69" s="7">
        <f t="shared" ca="1" si="26"/>
        <v>0</v>
      </c>
      <c r="P69" s="7">
        <f t="shared" ca="1" si="27"/>
        <v>0</v>
      </c>
      <c r="U69" t="e">
        <f t="shared" ca="1" si="28"/>
        <v>#N/A</v>
      </c>
      <c r="V69" t="e">
        <f t="shared" ca="1" si="29"/>
        <v>#N/A</v>
      </c>
      <c r="X69" t="e">
        <f t="shared" ca="1" si="30"/>
        <v>#N/A</v>
      </c>
      <c r="Y69" t="e">
        <f t="shared" ca="1" si="31"/>
        <v>#N/A</v>
      </c>
      <c r="AJ69">
        <v>5.846852994180999</v>
      </c>
      <c r="AK69">
        <v>249.27725722448699</v>
      </c>
      <c r="AL69">
        <v>-116.14129563338521</v>
      </c>
      <c r="AM69">
        <v>276.97473024942997</v>
      </c>
      <c r="AN69">
        <v>-129.04588403709468</v>
      </c>
      <c r="AQ69">
        <v>67</v>
      </c>
      <c r="AR69">
        <f t="shared" si="34"/>
        <v>4.688773541871285</v>
      </c>
      <c r="AS69">
        <f t="shared" si="35"/>
        <v>11.046058241429284</v>
      </c>
      <c r="AV69">
        <v>1445.3626883703648</v>
      </c>
      <c r="AW69">
        <v>-9.2381502436102271E-15</v>
      </c>
      <c r="AX69">
        <v>4.2164703492398703E-2</v>
      </c>
      <c r="AY69">
        <f t="shared" si="32"/>
        <v>4.2164703492398703E-2</v>
      </c>
      <c r="AZ69">
        <v>2223.6349051851766</v>
      </c>
      <c r="BA69">
        <v>-1.4212538836323426E-14</v>
      </c>
      <c r="BB69">
        <v>6.486877460369031E-2</v>
      </c>
      <c r="BC69">
        <f t="shared" si="33"/>
        <v>6.486877460369031E-2</v>
      </c>
      <c r="BF69">
        <v>1443.7116714575366</v>
      </c>
      <c r="BG69">
        <v>0.23337334523851896</v>
      </c>
      <c r="BH69">
        <v>1.2033313108341661</v>
      </c>
      <c r="BI69">
        <f t="shared" si="36"/>
        <v>1.2257525696084384</v>
      </c>
      <c r="BJ69">
        <v>2221.0948791654409</v>
      </c>
      <c r="BK69">
        <v>0.35903591575156762</v>
      </c>
      <c r="BL69">
        <v>1.8512789397448708</v>
      </c>
      <c r="BM69">
        <f t="shared" si="37"/>
        <v>1.8857731840129819</v>
      </c>
      <c r="BP69">
        <v>1445.3626883703648</v>
      </c>
      <c r="BQ69">
        <v>4.6360239814565126E-15</v>
      </c>
      <c r="BR69">
        <v>-4.2164703492366375E-2</v>
      </c>
      <c r="BS69">
        <f t="shared" si="38"/>
        <v>-4.2164703492366375E-2</v>
      </c>
      <c r="BT69">
        <v>2223.6349051851766</v>
      </c>
      <c r="BU69">
        <v>7.1323445868561726E-15</v>
      </c>
      <c r="BV69">
        <v>-6.4868774603640572E-2</v>
      </c>
      <c r="BW69">
        <f t="shared" si="39"/>
        <v>-6.4868774603640572E-2</v>
      </c>
    </row>
    <row r="70" spans="1:75" x14ac:dyDescent="0.25">
      <c r="A70">
        <v>34</v>
      </c>
      <c r="B70" s="5">
        <v>0</v>
      </c>
      <c r="C70" s="1">
        <f t="shared" ca="1" si="40"/>
        <v>0</v>
      </c>
      <c r="D70" s="46">
        <f t="shared" si="16"/>
        <v>0</v>
      </c>
      <c r="E70" s="46">
        <f t="shared" si="17"/>
        <v>0</v>
      </c>
      <c r="F70" s="1">
        <f t="shared" ca="1" si="18"/>
        <v>2.375</v>
      </c>
      <c r="G70" t="e">
        <f t="shared" ca="1" si="19"/>
        <v>#N/A</v>
      </c>
      <c r="H70" t="e">
        <f t="shared" ca="1" si="20"/>
        <v>#N/A</v>
      </c>
      <c r="I70" s="7">
        <f t="shared" si="21"/>
        <v>0</v>
      </c>
      <c r="J70" s="7">
        <f t="shared" si="22"/>
        <v>0</v>
      </c>
      <c r="K70">
        <f t="shared" si="23"/>
        <v>0</v>
      </c>
      <c r="L70" s="15">
        <f t="shared" ca="1" si="24"/>
        <v>0</v>
      </c>
      <c r="M70" s="9">
        <f t="shared" ca="1" si="41"/>
        <v>0</v>
      </c>
      <c r="N70" s="7">
        <f t="shared" ca="1" si="25"/>
        <v>0</v>
      </c>
      <c r="O70" s="7">
        <f t="shared" ca="1" si="26"/>
        <v>0</v>
      </c>
      <c r="P70" s="7">
        <f t="shared" ca="1" si="27"/>
        <v>0</v>
      </c>
      <c r="U70" t="e">
        <f t="shared" ca="1" si="28"/>
        <v>#N/A</v>
      </c>
      <c r="V70" t="e">
        <f t="shared" ca="1" si="29"/>
        <v>#N/A</v>
      </c>
      <c r="X70" t="e">
        <f t="shared" ca="1" si="30"/>
        <v>#N/A</v>
      </c>
      <c r="Y70" t="e">
        <f t="shared" ca="1" si="31"/>
        <v>#N/A</v>
      </c>
      <c r="AJ70">
        <v>5.9341194567807154</v>
      </c>
      <c r="AK70">
        <v>258.1154194317815</v>
      </c>
      <c r="AL70">
        <v>-93.9463296783061</v>
      </c>
      <c r="AM70">
        <v>286.79491047975722</v>
      </c>
      <c r="AN70">
        <v>-104.38481075367343</v>
      </c>
      <c r="AQ70">
        <v>68</v>
      </c>
      <c r="AR70">
        <f t="shared" si="34"/>
        <v>4.4952791209909435</v>
      </c>
      <c r="AS70">
        <f t="shared" si="35"/>
        <v>11.126206254801449</v>
      </c>
      <c r="AV70">
        <v>1445.3803928682348</v>
      </c>
      <c r="AW70">
        <v>2.5830085455259896E-19</v>
      </c>
      <c r="AX70">
        <v>2.5953466565831203E-2</v>
      </c>
      <c r="AY70">
        <f t="shared" si="32"/>
        <v>2.5953466565831203E-2</v>
      </c>
      <c r="AZ70">
        <v>2223.6621428742073</v>
      </c>
      <c r="BA70">
        <v>3.9738593008092148E-19</v>
      </c>
      <c r="BB70">
        <v>3.9928410101278775E-2</v>
      </c>
      <c r="BC70">
        <f t="shared" si="33"/>
        <v>3.9928410101278775E-2</v>
      </c>
      <c r="BF70">
        <v>1444.0735573002059</v>
      </c>
      <c r="BG70">
        <v>0.18449085854959335</v>
      </c>
      <c r="BH70">
        <v>0.95128098977065245</v>
      </c>
      <c r="BI70">
        <f t="shared" si="36"/>
        <v>0.96900588150299605</v>
      </c>
      <c r="BJ70">
        <v>2221.6516266157014</v>
      </c>
      <c r="BK70">
        <v>0.28383209007629745</v>
      </c>
      <c r="BL70">
        <v>1.463509215031773</v>
      </c>
      <c r="BM70">
        <f t="shared" si="37"/>
        <v>1.4907782792353783</v>
      </c>
      <c r="BP70">
        <v>1445.3803928682348</v>
      </c>
      <c r="BQ70">
        <v>7.7023743166344052E-15</v>
      </c>
      <c r="BR70">
        <v>-2.5953466565798874E-2</v>
      </c>
      <c r="BS70">
        <f t="shared" si="38"/>
        <v>-2.5953466565798874E-2</v>
      </c>
      <c r="BT70">
        <v>2223.6621428742073</v>
      </c>
      <c r="BU70">
        <v>1.1849806640976007E-14</v>
      </c>
      <c r="BV70">
        <v>-3.9928410101229037E-2</v>
      </c>
      <c r="BW70">
        <f t="shared" si="39"/>
        <v>-3.9928410101229037E-2</v>
      </c>
    </row>
    <row r="71" spans="1:75" x14ac:dyDescent="0.25">
      <c r="A71">
        <v>35</v>
      </c>
      <c r="B71" s="5">
        <v>0</v>
      </c>
      <c r="C71" s="1">
        <f t="shared" ca="1" si="40"/>
        <v>0</v>
      </c>
      <c r="D71" s="46">
        <f t="shared" si="16"/>
        <v>0</v>
      </c>
      <c r="E71" s="46">
        <f t="shared" si="17"/>
        <v>0</v>
      </c>
      <c r="F71" s="1">
        <f t="shared" ca="1" si="18"/>
        <v>2.375</v>
      </c>
      <c r="G71" t="e">
        <f t="shared" ca="1" si="19"/>
        <v>#N/A</v>
      </c>
      <c r="H71" t="e">
        <f t="shared" ca="1" si="20"/>
        <v>#N/A</v>
      </c>
      <c r="I71" s="7">
        <f t="shared" si="21"/>
        <v>0</v>
      </c>
      <c r="J71" s="7">
        <f t="shared" si="22"/>
        <v>0</v>
      </c>
      <c r="K71">
        <f t="shared" si="23"/>
        <v>0</v>
      </c>
      <c r="L71" s="15">
        <f t="shared" ca="1" si="24"/>
        <v>0</v>
      </c>
      <c r="M71" s="9">
        <f t="shared" ca="1" si="41"/>
        <v>0</v>
      </c>
      <c r="N71" s="7">
        <f t="shared" ca="1" si="25"/>
        <v>0</v>
      </c>
      <c r="O71" s="7">
        <f t="shared" ca="1" si="26"/>
        <v>0</v>
      </c>
      <c r="P71" s="7">
        <f t="shared" ca="1" si="27"/>
        <v>0</v>
      </c>
      <c r="U71" t="e">
        <f t="shared" ca="1" si="28"/>
        <v>#N/A</v>
      </c>
      <c r="V71" t="e">
        <f t="shared" ca="1" si="29"/>
        <v>#N/A</v>
      </c>
      <c r="X71" t="e">
        <f t="shared" ca="1" si="30"/>
        <v>#N/A</v>
      </c>
      <c r="Y71" t="e">
        <f t="shared" ca="1" si="31"/>
        <v>#N/A</v>
      </c>
      <c r="AJ71">
        <v>6.0213859193804318</v>
      </c>
      <c r="AK71">
        <v>265.61164349880448</v>
      </c>
      <c r="AL71">
        <v>-71.262938183946886</v>
      </c>
      <c r="AM71">
        <v>295.12404833200497</v>
      </c>
      <c r="AN71">
        <v>-79.181042426607647</v>
      </c>
      <c r="AQ71">
        <v>69</v>
      </c>
      <c r="AR71">
        <f t="shared" si="34"/>
        <v>4.3004153945436041</v>
      </c>
      <c r="AS71">
        <f t="shared" si="35"/>
        <v>11.202965117966421</v>
      </c>
      <c r="AV71">
        <v>1445.3923564335093</v>
      </c>
      <c r="AW71">
        <v>-9.3101155564908658E-15</v>
      </c>
      <c r="AX71">
        <v>1.4867960224605119E-2</v>
      </c>
      <c r="AY71">
        <f t="shared" si="32"/>
        <v>1.4867960224605119E-2</v>
      </c>
      <c r="AZ71">
        <v>2223.6805483592452</v>
      </c>
      <c r="BA71">
        <v>-1.4323254702293638E-14</v>
      </c>
      <c r="BB71">
        <v>2.2873784960930951E-2</v>
      </c>
      <c r="BC71">
        <f t="shared" si="33"/>
        <v>2.2873784960930951E-2</v>
      </c>
      <c r="BF71">
        <v>1444.5783244024688</v>
      </c>
      <c r="BG71">
        <v>0.12094920289453517</v>
      </c>
      <c r="BH71">
        <v>0.62364432742495202</v>
      </c>
      <c r="BI71">
        <f t="shared" si="36"/>
        <v>0.63526447784379081</v>
      </c>
      <c r="BJ71">
        <v>2222.4281913884133</v>
      </c>
      <c r="BK71">
        <v>0.18607569676082333</v>
      </c>
      <c r="BL71">
        <v>0.95945281142300309</v>
      </c>
      <c r="BM71">
        <f t="shared" si="37"/>
        <v>0.97732996591352428</v>
      </c>
      <c r="BP71">
        <v>1445.3923564335093</v>
      </c>
      <c r="BQ71">
        <v>6.2292141259880334E-15</v>
      </c>
      <c r="BR71">
        <v>-1.4867960224575866E-2</v>
      </c>
      <c r="BS71">
        <f t="shared" si="38"/>
        <v>-1.4867960224575866E-2</v>
      </c>
      <c r="BT71">
        <v>2223.6805483592452</v>
      </c>
      <c r="BU71">
        <v>9.5834063476738976E-15</v>
      </c>
      <c r="BV71">
        <v>-2.2873784960885948E-2</v>
      </c>
      <c r="BW71">
        <f t="shared" si="39"/>
        <v>-2.2873784960885948E-2</v>
      </c>
    </row>
    <row r="72" spans="1:75" x14ac:dyDescent="0.25">
      <c r="A72">
        <v>36</v>
      </c>
      <c r="B72" s="5">
        <v>0</v>
      </c>
      <c r="C72" s="1">
        <f t="shared" ca="1" si="40"/>
        <v>0</v>
      </c>
      <c r="D72" s="46">
        <f t="shared" si="16"/>
        <v>0</v>
      </c>
      <c r="E72" s="46">
        <f t="shared" si="17"/>
        <v>0</v>
      </c>
      <c r="F72" s="1">
        <f t="shared" ca="1" si="18"/>
        <v>2.375</v>
      </c>
      <c r="G72" t="e">
        <f t="shared" ca="1" si="19"/>
        <v>#N/A</v>
      </c>
      <c r="H72" t="e">
        <f t="shared" ca="1" si="20"/>
        <v>#N/A</v>
      </c>
      <c r="I72" s="7">
        <f t="shared" si="21"/>
        <v>0</v>
      </c>
      <c r="J72" s="7">
        <f t="shared" si="22"/>
        <v>0</v>
      </c>
      <c r="K72">
        <f t="shared" si="23"/>
        <v>0</v>
      </c>
      <c r="L72" s="15">
        <f t="shared" ca="1" si="24"/>
        <v>0</v>
      </c>
      <c r="M72" s="9">
        <f t="shared" ca="1" si="41"/>
        <v>0</v>
      </c>
      <c r="N72" s="7">
        <f t="shared" ca="1" si="25"/>
        <v>0</v>
      </c>
      <c r="O72" s="7">
        <f t="shared" ca="1" si="26"/>
        <v>0</v>
      </c>
      <c r="P72" s="7">
        <f t="shared" ca="1" si="27"/>
        <v>0</v>
      </c>
      <c r="U72" t="e">
        <f t="shared" ca="1" si="28"/>
        <v>#N/A</v>
      </c>
      <c r="V72" t="e">
        <f t="shared" ca="1" si="29"/>
        <v>#N/A</v>
      </c>
      <c r="X72" t="e">
        <f t="shared" ca="1" si="30"/>
        <v>#N/A</v>
      </c>
      <c r="Y72" t="e">
        <f t="shared" ca="1" si="31"/>
        <v>#N/A</v>
      </c>
      <c r="AJ72">
        <v>6.1086523819801481</v>
      </c>
      <c r="AK72">
        <v>271.75416496608602</v>
      </c>
      <c r="AL72">
        <v>-48.006658638691626</v>
      </c>
      <c r="AM72">
        <v>301.94907218454</v>
      </c>
      <c r="AN72">
        <v>-53.340731820768468</v>
      </c>
      <c r="AQ72">
        <v>70</v>
      </c>
      <c r="AR72">
        <f t="shared" si="34"/>
        <v>4.1042417199080257</v>
      </c>
      <c r="AS72">
        <f t="shared" si="35"/>
        <v>11.276311449430899</v>
      </c>
      <c r="AV72">
        <v>1445.3999797868819</v>
      </c>
      <c r="AW72">
        <v>-1.0775536239942621E-14</v>
      </c>
      <c r="AX72">
        <v>7.7202880738012451E-3</v>
      </c>
      <c r="AY72">
        <f t="shared" si="32"/>
        <v>7.7202880738012451E-3</v>
      </c>
      <c r="AZ72">
        <v>2223.6922765952027</v>
      </c>
      <c r="BA72">
        <v>-1.6577748061450187E-14</v>
      </c>
      <c r="BB72">
        <v>1.187736626738653E-2</v>
      </c>
      <c r="BC72">
        <f t="shared" si="33"/>
        <v>1.187736626738653E-2</v>
      </c>
      <c r="BF72">
        <v>1444.7406037725534</v>
      </c>
      <c r="BG72">
        <v>9.7293935736642301E-2</v>
      </c>
      <c r="BH72">
        <v>0.50167185583619922</v>
      </c>
      <c r="BI72">
        <f t="shared" si="36"/>
        <v>0.51101933512271547</v>
      </c>
      <c r="BJ72">
        <v>2222.6778519577742</v>
      </c>
      <c r="BK72">
        <v>0.14968297805637276</v>
      </c>
      <c r="BL72">
        <v>0.77180285513261415</v>
      </c>
      <c r="BM72">
        <f t="shared" si="37"/>
        <v>0.78618359249648517</v>
      </c>
      <c r="BP72">
        <v>1445.3999797868819</v>
      </c>
      <c r="BQ72">
        <v>7.6959146894347386E-15</v>
      </c>
      <c r="BR72">
        <v>-7.7202880737689151E-3</v>
      </c>
      <c r="BS72">
        <f t="shared" si="38"/>
        <v>-7.7202880737689151E-3</v>
      </c>
      <c r="BT72">
        <v>2223.6922765952027</v>
      </c>
      <c r="BU72">
        <v>1.183986875297652E-14</v>
      </c>
      <c r="BV72">
        <v>-1.1877366267336792E-2</v>
      </c>
      <c r="BW72">
        <f t="shared" si="39"/>
        <v>-1.1877366267336792E-2</v>
      </c>
    </row>
    <row r="73" spans="1:75" x14ac:dyDescent="0.25">
      <c r="A73">
        <v>37</v>
      </c>
      <c r="B73" s="5">
        <v>0</v>
      </c>
      <c r="C73" s="1">
        <f t="shared" ca="1" si="40"/>
        <v>0</v>
      </c>
      <c r="D73" s="46">
        <f t="shared" si="16"/>
        <v>0</v>
      </c>
      <c r="E73" s="46">
        <f t="shared" si="17"/>
        <v>0</v>
      </c>
      <c r="F73" s="1">
        <f t="shared" ca="1" si="18"/>
        <v>2.375</v>
      </c>
      <c r="G73" t="e">
        <f t="shared" ca="1" si="19"/>
        <v>#N/A</v>
      </c>
      <c r="H73" t="e">
        <f t="shared" ca="1" si="20"/>
        <v>#N/A</v>
      </c>
      <c r="I73" s="7">
        <f t="shared" si="21"/>
        <v>0</v>
      </c>
      <c r="J73" s="7">
        <f t="shared" si="22"/>
        <v>0</v>
      </c>
      <c r="K73">
        <f t="shared" si="23"/>
        <v>0</v>
      </c>
      <c r="L73" s="15">
        <f t="shared" ca="1" si="24"/>
        <v>0</v>
      </c>
      <c r="M73" s="9">
        <f t="shared" ca="1" si="41"/>
        <v>0</v>
      </c>
      <c r="N73" s="7">
        <f t="shared" ca="1" si="25"/>
        <v>0</v>
      </c>
      <c r="O73" s="7">
        <f t="shared" ca="1" si="26"/>
        <v>0</v>
      </c>
      <c r="P73" s="7">
        <f t="shared" ca="1" si="27"/>
        <v>0</v>
      </c>
      <c r="U73" t="e">
        <f t="shared" ca="1" si="28"/>
        <v>#N/A</v>
      </c>
      <c r="V73" t="e">
        <f t="shared" ca="1" si="29"/>
        <v>#N/A</v>
      </c>
      <c r="X73" t="e">
        <f t="shared" ca="1" si="30"/>
        <v>#N/A</v>
      </c>
      <c r="Y73" t="e">
        <f t="shared" ca="1" si="31"/>
        <v>#N/A</v>
      </c>
      <c r="AJ73">
        <v>6.1959188445798645</v>
      </c>
      <c r="AK73">
        <v>276.45135663141525</v>
      </c>
      <c r="AL73">
        <v>-24.098776065984868</v>
      </c>
      <c r="AM73">
        <v>307.1681740349058</v>
      </c>
      <c r="AN73">
        <v>-26.776417851094298</v>
      </c>
      <c r="AQ73">
        <v>71</v>
      </c>
      <c r="AR73">
        <f t="shared" si="34"/>
        <v>3.9068178534858813</v>
      </c>
      <c r="AS73">
        <f t="shared" si="35"/>
        <v>11.346222907191802</v>
      </c>
      <c r="AV73">
        <v>1445.4044536648385</v>
      </c>
      <c r="AW73">
        <v>-9.2368185906983742E-15</v>
      </c>
      <c r="AX73">
        <v>3.4762172456062235E-3</v>
      </c>
      <c r="AY73">
        <f t="shared" si="32"/>
        <v>3.4762172456062235E-3</v>
      </c>
      <c r="AZ73">
        <v>2223.6991594843666</v>
      </c>
      <c r="BA73">
        <v>-1.4210490139535959E-14</v>
      </c>
      <c r="BB73">
        <v>5.3480265317018818E-3</v>
      </c>
      <c r="BC73">
        <f t="shared" si="33"/>
        <v>5.3480265317018818E-3</v>
      </c>
      <c r="BF73">
        <v>1444.8983119631055</v>
      </c>
      <c r="BG73">
        <v>7.4305003839213374E-2</v>
      </c>
      <c r="BH73">
        <v>0.38313517566481764</v>
      </c>
      <c r="BI73">
        <f t="shared" si="36"/>
        <v>0.39027400173116344</v>
      </c>
      <c r="BJ73">
        <v>2222.9204799432391</v>
      </c>
      <c r="BK73">
        <v>0.11431539052186672</v>
      </c>
      <c r="BL73">
        <v>0.5894387317920271</v>
      </c>
      <c r="BM73">
        <f t="shared" si="37"/>
        <v>0.60042154112486679</v>
      </c>
      <c r="BP73">
        <v>1445.4044536648385</v>
      </c>
      <c r="BQ73">
        <v>4.618262872681416E-15</v>
      </c>
      <c r="BR73">
        <v>-3.4762172455785121E-3</v>
      </c>
      <c r="BS73">
        <f t="shared" si="38"/>
        <v>-3.4762172455785121E-3</v>
      </c>
      <c r="BT73">
        <v>2223.6991594843666</v>
      </c>
      <c r="BU73">
        <v>7.1050198041252555E-15</v>
      </c>
      <c r="BV73">
        <v>-5.3480265316592493E-3</v>
      </c>
      <c r="BW73">
        <f t="shared" si="39"/>
        <v>-5.3480265316592493E-3</v>
      </c>
    </row>
    <row r="74" spans="1:75" x14ac:dyDescent="0.25">
      <c r="A74">
        <v>38</v>
      </c>
      <c r="B74" s="5">
        <v>0</v>
      </c>
      <c r="C74" s="1">
        <f t="shared" ca="1" si="40"/>
        <v>0</v>
      </c>
      <c r="D74" s="46">
        <f t="shared" si="16"/>
        <v>0</v>
      </c>
      <c r="E74" s="46">
        <f t="shared" si="17"/>
        <v>0</v>
      </c>
      <c r="F74" s="1">
        <f t="shared" ca="1" si="18"/>
        <v>2.375</v>
      </c>
      <c r="G74" t="e">
        <f t="shared" ca="1" si="19"/>
        <v>#N/A</v>
      </c>
      <c r="H74" t="e">
        <f t="shared" ca="1" si="20"/>
        <v>#N/A</v>
      </c>
      <c r="I74" s="7">
        <f t="shared" si="21"/>
        <v>0</v>
      </c>
      <c r="J74" s="7">
        <f t="shared" si="22"/>
        <v>0</v>
      </c>
      <c r="K74">
        <f t="shared" si="23"/>
        <v>0</v>
      </c>
      <c r="L74" s="15">
        <f t="shared" ca="1" si="24"/>
        <v>0</v>
      </c>
      <c r="M74" s="9">
        <f t="shared" ca="1" si="41"/>
        <v>0</v>
      </c>
      <c r="N74" s="7">
        <f t="shared" ca="1" si="25"/>
        <v>0</v>
      </c>
      <c r="O74" s="7">
        <f t="shared" ca="1" si="26"/>
        <v>0</v>
      </c>
      <c r="P74" s="7">
        <f t="shared" ca="1" si="27"/>
        <v>0</v>
      </c>
      <c r="U74" t="e">
        <f t="shared" ca="1" si="28"/>
        <v>#N/A</v>
      </c>
      <c r="V74" t="e">
        <f t="shared" ca="1" si="29"/>
        <v>#N/A</v>
      </c>
      <c r="X74" t="e">
        <f t="shared" ca="1" si="30"/>
        <v>#N/A</v>
      </c>
      <c r="Y74" t="e">
        <f t="shared" ca="1" si="31"/>
        <v>#N/A</v>
      </c>
      <c r="AJ74">
        <v>6.2831853071795809</v>
      </c>
      <c r="AK74">
        <v>278.92261339934004</v>
      </c>
      <c r="AL74">
        <v>-1.3021446551322682E-12</v>
      </c>
      <c r="AM74">
        <v>309.91401488815558</v>
      </c>
      <c r="AN74">
        <v>-1.446827394591409E-12</v>
      </c>
      <c r="AQ74">
        <v>72</v>
      </c>
      <c r="AR74">
        <f t="shared" si="34"/>
        <v>3.7082039324993694</v>
      </c>
      <c r="AS74">
        <f t="shared" si="35"/>
        <v>11.412678195541842</v>
      </c>
      <c r="AV74">
        <v>1445.4067743038265</v>
      </c>
      <c r="AW74">
        <v>-6.1578377329723761E-15</v>
      </c>
      <c r="AX74">
        <v>1.2491576182369376E-3</v>
      </c>
      <c r="AY74">
        <f t="shared" si="32"/>
        <v>1.2491576182369376E-3</v>
      </c>
      <c r="AZ74">
        <v>2223.7027296981946</v>
      </c>
      <c r="BA74">
        <v>-9.4735965122651942E-15</v>
      </c>
      <c r="BB74">
        <v>1.9217809511337502E-3</v>
      </c>
      <c r="BC74">
        <f t="shared" si="33"/>
        <v>1.9217809511337502E-3</v>
      </c>
      <c r="BF74">
        <v>1445.0516394369677</v>
      </c>
      <c r="BG74">
        <v>5.1954643583458929E-2</v>
      </c>
      <c r="BH74">
        <v>0.26789113118465646</v>
      </c>
      <c r="BI74">
        <f t="shared" si="36"/>
        <v>0.27288265455554161</v>
      </c>
      <c r="BJ74">
        <v>2223.1563683645654</v>
      </c>
      <c r="BK74">
        <v>7.993022089762912E-2</v>
      </c>
      <c r="BL74">
        <v>0.4121402018225484</v>
      </c>
      <c r="BM74">
        <f t="shared" si="37"/>
        <v>0.41981946854698715</v>
      </c>
      <c r="BP74">
        <v>1445.4067743038265</v>
      </c>
      <c r="BQ74">
        <v>6.1580234562856153E-15</v>
      </c>
      <c r="BR74">
        <v>-1.2491576182107659E-3</v>
      </c>
      <c r="BS74">
        <f t="shared" si="38"/>
        <v>-1.2491576182107659E-3</v>
      </c>
      <c r="BT74">
        <v>2223.7027296981946</v>
      </c>
      <c r="BU74">
        <v>9.4738822404394078E-15</v>
      </c>
      <c r="BV74">
        <v>-1.921780951093486E-3</v>
      </c>
      <c r="BW74">
        <f t="shared" si="39"/>
        <v>-1.921780951093486E-3</v>
      </c>
    </row>
    <row r="75" spans="1:75" x14ac:dyDescent="0.25">
      <c r="A75">
        <v>39</v>
      </c>
      <c r="B75" s="5">
        <v>0</v>
      </c>
      <c r="C75" s="1">
        <f t="shared" ca="1" si="40"/>
        <v>0</v>
      </c>
      <c r="D75" s="46">
        <f t="shared" si="16"/>
        <v>0</v>
      </c>
      <c r="E75" s="46">
        <f t="shared" si="17"/>
        <v>0</v>
      </c>
      <c r="F75" s="1">
        <f t="shared" ca="1" si="18"/>
        <v>2.375</v>
      </c>
      <c r="G75" t="e">
        <f t="shared" ca="1" si="19"/>
        <v>#N/A</v>
      </c>
      <c r="H75" t="e">
        <f t="shared" ca="1" si="20"/>
        <v>#N/A</v>
      </c>
      <c r="I75" s="7">
        <f t="shared" si="21"/>
        <v>0</v>
      </c>
      <c r="J75" s="7">
        <f t="shared" si="22"/>
        <v>0</v>
      </c>
      <c r="K75">
        <f t="shared" si="23"/>
        <v>0</v>
      </c>
      <c r="L75" s="15">
        <f t="shared" ca="1" si="24"/>
        <v>0</v>
      </c>
      <c r="M75" s="9">
        <f t="shared" ca="1" si="41"/>
        <v>0</v>
      </c>
      <c r="N75" s="7">
        <f t="shared" ca="1" si="25"/>
        <v>0</v>
      </c>
      <c r="O75" s="7">
        <f t="shared" ca="1" si="26"/>
        <v>0</v>
      </c>
      <c r="P75" s="7">
        <f t="shared" ca="1" si="27"/>
        <v>0</v>
      </c>
      <c r="U75" t="e">
        <f t="shared" ca="1" si="28"/>
        <v>#N/A</v>
      </c>
      <c r="V75" t="e">
        <f t="shared" ca="1" si="29"/>
        <v>#N/A</v>
      </c>
      <c r="X75" t="e">
        <f t="shared" ca="1" si="30"/>
        <v>#N/A</v>
      </c>
      <c r="Y75" t="e">
        <f t="shared" ca="1" si="31"/>
        <v>#N/A</v>
      </c>
      <c r="AJ75">
        <v>6.3704517697792973</v>
      </c>
      <c r="AK75">
        <v>278.92261339933998</v>
      </c>
      <c r="AL75">
        <v>-8.9127696790038068E-14</v>
      </c>
      <c r="AM75">
        <v>309.91401488815552</v>
      </c>
      <c r="AN75">
        <v>-9.9030774211153409E-14</v>
      </c>
      <c r="AQ75">
        <v>73</v>
      </c>
      <c r="AR75">
        <f t="shared" si="34"/>
        <v>3.5084604566728412</v>
      </c>
      <c r="AS75">
        <f t="shared" si="35"/>
        <v>11.475657071556425</v>
      </c>
      <c r="AV75">
        <v>1445.4077549037452</v>
      </c>
      <c r="AW75">
        <v>-6.1580387897735145E-15</v>
      </c>
      <c r="AX75">
        <v>2.9732189235299886E-4</v>
      </c>
      <c r="AY75">
        <f t="shared" si="32"/>
        <v>2.9732189235299886E-4</v>
      </c>
      <c r="AZ75">
        <v>2223.704238313454</v>
      </c>
      <c r="BA75">
        <v>-9.4739058304207911E-15</v>
      </c>
      <c r="BB75">
        <v>4.5741829592769052E-4</v>
      </c>
      <c r="BC75">
        <f t="shared" si="33"/>
        <v>4.5741829592769052E-4</v>
      </c>
      <c r="BF75">
        <v>1445.2007662211261</v>
      </c>
      <c r="BG75">
        <v>3.0216612948718753E-2</v>
      </c>
      <c r="BH75">
        <v>0.15580441039784687</v>
      </c>
      <c r="BI75">
        <f t="shared" si="36"/>
        <v>0.15870746043432668</v>
      </c>
      <c r="BJ75">
        <v>2223.3857941863475</v>
      </c>
      <c r="BK75">
        <v>4.6487096844182695E-2</v>
      </c>
      <c r="BL75">
        <v>0.23969909291976441</v>
      </c>
      <c r="BM75">
        <f t="shared" si="37"/>
        <v>0.24416532374511798</v>
      </c>
      <c r="BP75">
        <v>1445.4077549037452</v>
      </c>
      <c r="BQ75">
        <v>1.5395966380352834E-15</v>
      </c>
      <c r="BR75">
        <v>-2.9732189231759017E-4</v>
      </c>
      <c r="BS75">
        <f t="shared" si="38"/>
        <v>-2.9732189231759017E-4</v>
      </c>
      <c r="BT75">
        <v>2223.704238313454</v>
      </c>
      <c r="BU75">
        <v>2.3686102123619742E-15</v>
      </c>
      <c r="BV75">
        <v>-4.5741829587321565E-4</v>
      </c>
      <c r="BW75">
        <f t="shared" si="39"/>
        <v>-4.5741829587321565E-4</v>
      </c>
    </row>
    <row r="76" spans="1:75" x14ac:dyDescent="0.25">
      <c r="A76">
        <v>40</v>
      </c>
      <c r="B76" s="5">
        <v>0</v>
      </c>
      <c r="C76" s="1">
        <f t="shared" ca="1" si="40"/>
        <v>0</v>
      </c>
      <c r="D76" s="46">
        <f t="shared" si="16"/>
        <v>0</v>
      </c>
      <c r="E76" s="46">
        <f t="shared" si="17"/>
        <v>0</v>
      </c>
      <c r="F76" s="1">
        <f t="shared" ca="1" si="18"/>
        <v>2.375</v>
      </c>
      <c r="G76" t="e">
        <f t="shared" ca="1" si="19"/>
        <v>#N/A</v>
      </c>
      <c r="H76" t="e">
        <f t="shared" ca="1" si="20"/>
        <v>#N/A</v>
      </c>
      <c r="I76" s="7">
        <f t="shared" si="21"/>
        <v>0</v>
      </c>
      <c r="J76" s="7">
        <f t="shared" si="22"/>
        <v>0</v>
      </c>
      <c r="K76">
        <f t="shared" si="23"/>
        <v>0</v>
      </c>
      <c r="L76" s="15">
        <f t="shared" ca="1" si="24"/>
        <v>0</v>
      </c>
      <c r="M76" s="9">
        <f t="shared" ca="1" si="41"/>
        <v>0</v>
      </c>
      <c r="N76" s="7">
        <f t="shared" ca="1" si="25"/>
        <v>0</v>
      </c>
      <c r="O76" s="7">
        <f t="shared" ca="1" si="26"/>
        <v>0</v>
      </c>
      <c r="P76" s="7">
        <f t="shared" ca="1" si="27"/>
        <v>0</v>
      </c>
      <c r="U76" t="e">
        <f t="shared" ca="1" si="28"/>
        <v>#N/A</v>
      </c>
      <c r="V76" t="e">
        <f t="shared" ca="1" si="29"/>
        <v>#N/A</v>
      </c>
      <c r="X76" t="e">
        <f t="shared" ca="1" si="30"/>
        <v>#N/A</v>
      </c>
      <c r="Y76" t="e">
        <f t="shared" ca="1" si="31"/>
        <v>#N/A</v>
      </c>
      <c r="AJ76" t="e">
        <v>#N/A</v>
      </c>
      <c r="AK76" t="e">
        <v>#N/A</v>
      </c>
      <c r="AL76" t="e">
        <v>#N/A</v>
      </c>
      <c r="AM76" t="e">
        <v>#N/A</v>
      </c>
      <c r="AN76" t="e">
        <v>#N/A</v>
      </c>
      <c r="AQ76">
        <v>74</v>
      </c>
      <c r="AR76">
        <f t="shared" si="34"/>
        <v>3.3076482698039902</v>
      </c>
      <c r="AS76">
        <f t="shared" si="35"/>
        <v>11.535140351259827</v>
      </c>
      <c r="AV76">
        <v>1445.4080315031933</v>
      </c>
      <c r="AW76">
        <v>-6.5978498588830307E-16</v>
      </c>
      <c r="AX76">
        <v>2.5863063988686009E-5</v>
      </c>
      <c r="AY76">
        <f t="shared" si="32"/>
        <v>2.5863063988686009E-5</v>
      </c>
      <c r="AZ76">
        <v>2223.7046638510665</v>
      </c>
      <c r="BA76">
        <v>-1.0150538244435431E-15</v>
      </c>
      <c r="BB76">
        <v>3.9789329213363088E-5</v>
      </c>
      <c r="BC76">
        <f t="shared" si="33"/>
        <v>3.9789329213363088E-5</v>
      </c>
      <c r="BF76">
        <v>1445.4080575980197</v>
      </c>
      <c r="BG76">
        <v>1.6251248161062081E-14</v>
      </c>
      <c r="BH76">
        <v>1.3316379595329819E-14</v>
      </c>
      <c r="BI76">
        <f t="shared" si="36"/>
        <v>2.1010212571969374E-14</v>
      </c>
      <c r="BJ76">
        <v>2223.7047039969534</v>
      </c>
      <c r="BK76">
        <v>2.5001920247787817E-14</v>
      </c>
      <c r="BL76">
        <v>2.0486737838968953E-14</v>
      </c>
      <c r="BM76">
        <f t="shared" si="37"/>
        <v>3.232340395687596E-14</v>
      </c>
      <c r="BP76">
        <v>1445.4080315031933</v>
      </c>
      <c r="BQ76">
        <v>1.7319408858577724E-15</v>
      </c>
      <c r="BR76">
        <v>-2.5863063959435333E-5</v>
      </c>
      <c r="BS76">
        <f t="shared" si="38"/>
        <v>-2.5863063959435333E-5</v>
      </c>
      <c r="BT76">
        <v>2223.7046638510665</v>
      </c>
      <c r="BU76">
        <v>2.6645244397811883E-15</v>
      </c>
      <c r="BV76">
        <v>-3.978932916836205E-5</v>
      </c>
      <c r="BW76">
        <f t="shared" si="39"/>
        <v>-3.978932916836205E-5</v>
      </c>
    </row>
    <row r="77" spans="1:75" x14ac:dyDescent="0.25">
      <c r="A77">
        <v>41</v>
      </c>
      <c r="B77" s="5">
        <v>0</v>
      </c>
      <c r="C77" s="1">
        <f t="shared" ca="1" si="40"/>
        <v>0</v>
      </c>
      <c r="D77" s="46">
        <f t="shared" si="16"/>
        <v>0</v>
      </c>
      <c r="E77" s="46">
        <f t="shared" si="17"/>
        <v>0</v>
      </c>
      <c r="F77" s="1">
        <f t="shared" ca="1" si="18"/>
        <v>2.375</v>
      </c>
      <c r="G77" t="e">
        <f t="shared" ca="1" si="19"/>
        <v>#N/A</v>
      </c>
      <c r="H77" t="e">
        <f t="shared" ca="1" si="20"/>
        <v>#N/A</v>
      </c>
      <c r="I77" s="7">
        <f t="shared" si="21"/>
        <v>0</v>
      </c>
      <c r="J77" s="7">
        <f t="shared" si="22"/>
        <v>0</v>
      </c>
      <c r="K77">
        <f t="shared" si="23"/>
        <v>0</v>
      </c>
      <c r="L77" s="15">
        <f t="shared" ca="1" si="24"/>
        <v>0</v>
      </c>
      <c r="M77" s="9">
        <f t="shared" ca="1" si="41"/>
        <v>0</v>
      </c>
      <c r="N77" s="7">
        <f t="shared" ca="1" si="25"/>
        <v>0</v>
      </c>
      <c r="O77" s="7">
        <f t="shared" ca="1" si="26"/>
        <v>0</v>
      </c>
      <c r="P77" s="7">
        <f t="shared" ca="1" si="27"/>
        <v>0</v>
      </c>
      <c r="U77" t="e">
        <f t="shared" ca="1" si="28"/>
        <v>#N/A</v>
      </c>
      <c r="V77" t="e">
        <f t="shared" ca="1" si="29"/>
        <v>#N/A</v>
      </c>
      <c r="X77" t="e">
        <f t="shared" ca="1" si="30"/>
        <v>#N/A</v>
      </c>
      <c r="Y77" t="e">
        <f t="shared" ca="1" si="31"/>
        <v>#N/A</v>
      </c>
      <c r="AJ77" t="e">
        <v>#N/A</v>
      </c>
      <c r="AK77" t="e">
        <v>#N/A</v>
      </c>
      <c r="AL77" t="e">
        <v>#N/A</v>
      </c>
      <c r="AM77" t="e">
        <v>#N/A</v>
      </c>
      <c r="AN77" t="e">
        <v>#N/A</v>
      </c>
      <c r="AQ77">
        <v>75</v>
      </c>
      <c r="AR77">
        <f t="shared" si="34"/>
        <v>3.1058285412302489</v>
      </c>
      <c r="AS77">
        <f t="shared" si="35"/>
        <v>11.59110991546882</v>
      </c>
      <c r="AV77">
        <v>1445.4080575980195</v>
      </c>
      <c r="AW77">
        <v>-3.0790185216271009E-15</v>
      </c>
      <c r="AX77">
        <v>-1.6934601868949054E-14</v>
      </c>
      <c r="AY77">
        <f t="shared" si="32"/>
        <v>1.7212236795847759E-14</v>
      </c>
      <c r="AZ77">
        <v>2223.704703996953</v>
      </c>
      <c r="BA77">
        <v>-4.736951571734001E-15</v>
      </c>
      <c r="BB77">
        <v>-2.6053233644537006E-14</v>
      </c>
      <c r="BC77">
        <f t="shared" si="33"/>
        <v>2.6480364301304244E-14</v>
      </c>
      <c r="BF77">
        <v>0</v>
      </c>
      <c r="BG77">
        <v>0</v>
      </c>
      <c r="BH77">
        <v>0</v>
      </c>
      <c r="BI77">
        <f t="shared" si="36"/>
        <v>0</v>
      </c>
      <c r="BJ77">
        <v>0</v>
      </c>
      <c r="BK77">
        <v>0</v>
      </c>
      <c r="BL77">
        <v>0</v>
      </c>
      <c r="BM77">
        <f t="shared" si="37"/>
        <v>0</v>
      </c>
      <c r="BP77">
        <v>1445.4080575980195</v>
      </c>
      <c r="BQ77">
        <v>-1.5395092608135524E-15</v>
      </c>
      <c r="BR77">
        <v>-1.5395092608135506E-14</v>
      </c>
      <c r="BS77">
        <f t="shared" si="38"/>
        <v>-1.5471876588739944E-14</v>
      </c>
      <c r="BT77">
        <v>2223.704703996953</v>
      </c>
      <c r="BU77">
        <v>-2.3684757858670036E-15</v>
      </c>
      <c r="BV77">
        <v>-2.3684757858670007E-14</v>
      </c>
      <c r="BW77">
        <f t="shared" si="39"/>
        <v>-2.3802887059599913E-14</v>
      </c>
    </row>
    <row r="78" spans="1:75" x14ac:dyDescent="0.25">
      <c r="A78">
        <v>42</v>
      </c>
      <c r="B78" s="5">
        <v>0</v>
      </c>
      <c r="C78" s="1">
        <f t="shared" ca="1" si="40"/>
        <v>0</v>
      </c>
      <c r="D78" s="46">
        <f t="shared" si="16"/>
        <v>0</v>
      </c>
      <c r="E78" s="46">
        <f t="shared" si="17"/>
        <v>0</v>
      </c>
      <c r="F78" s="1">
        <f t="shared" ca="1" si="18"/>
        <v>2.375</v>
      </c>
      <c r="G78" t="e">
        <f t="shared" ca="1" si="19"/>
        <v>#N/A</v>
      </c>
      <c r="H78" t="e">
        <f t="shared" ca="1" si="20"/>
        <v>#N/A</v>
      </c>
      <c r="I78" s="7">
        <f t="shared" si="21"/>
        <v>0</v>
      </c>
      <c r="J78" s="7">
        <f t="shared" si="22"/>
        <v>0</v>
      </c>
      <c r="K78">
        <f t="shared" si="23"/>
        <v>0</v>
      </c>
      <c r="L78" s="15">
        <f t="shared" ca="1" si="24"/>
        <v>0</v>
      </c>
      <c r="M78" s="9">
        <f t="shared" ca="1" si="41"/>
        <v>0</v>
      </c>
      <c r="N78" s="7">
        <f t="shared" ca="1" si="25"/>
        <v>0</v>
      </c>
      <c r="O78" s="7">
        <f t="shared" ca="1" si="26"/>
        <v>0</v>
      </c>
      <c r="P78" s="7">
        <f t="shared" ca="1" si="27"/>
        <v>0</v>
      </c>
      <c r="U78" t="e">
        <f t="shared" ca="1" si="28"/>
        <v>#N/A</v>
      </c>
      <c r="V78" t="e">
        <f t="shared" ca="1" si="29"/>
        <v>#N/A</v>
      </c>
      <c r="X78" t="e">
        <f t="shared" ca="1" si="30"/>
        <v>#N/A</v>
      </c>
      <c r="Y78" t="e">
        <f t="shared" ca="1" si="31"/>
        <v>#N/A</v>
      </c>
      <c r="AJ78" t="e">
        <v>#N/A</v>
      </c>
      <c r="AK78" t="e">
        <v>#N/A</v>
      </c>
      <c r="AL78" t="e">
        <v>#N/A</v>
      </c>
      <c r="AM78" t="e">
        <v>#N/A</v>
      </c>
      <c r="AN78" t="e">
        <v>#N/A</v>
      </c>
      <c r="AQ78">
        <v>76</v>
      </c>
      <c r="AR78">
        <f t="shared" si="34"/>
        <v>2.903062747196012</v>
      </c>
      <c r="AS78">
        <f t="shared" si="35"/>
        <v>11.643548715311958</v>
      </c>
    </row>
    <row r="79" spans="1:75" x14ac:dyDescent="0.25">
      <c r="A79">
        <v>43</v>
      </c>
      <c r="B79" s="5">
        <v>0</v>
      </c>
      <c r="C79" s="1">
        <f t="shared" ca="1" si="40"/>
        <v>0</v>
      </c>
      <c r="D79" s="46">
        <f t="shared" si="16"/>
        <v>0</v>
      </c>
      <c r="E79" s="46">
        <f t="shared" si="17"/>
        <v>0</v>
      </c>
      <c r="F79" s="1">
        <f t="shared" ca="1" si="18"/>
        <v>2.375</v>
      </c>
      <c r="G79" t="e">
        <f t="shared" ca="1" si="19"/>
        <v>#N/A</v>
      </c>
      <c r="H79" t="e">
        <f t="shared" ca="1" si="20"/>
        <v>#N/A</v>
      </c>
      <c r="I79" s="7">
        <f t="shared" si="21"/>
        <v>0</v>
      </c>
      <c r="J79" s="7">
        <f t="shared" si="22"/>
        <v>0</v>
      </c>
      <c r="K79">
        <f t="shared" si="23"/>
        <v>0</v>
      </c>
      <c r="L79" s="15">
        <f t="shared" ca="1" si="24"/>
        <v>0</v>
      </c>
      <c r="M79" s="9">
        <f t="shared" ca="1" si="41"/>
        <v>0</v>
      </c>
      <c r="N79" s="7">
        <f t="shared" ca="1" si="25"/>
        <v>0</v>
      </c>
      <c r="O79" s="7">
        <f t="shared" ca="1" si="26"/>
        <v>0</v>
      </c>
      <c r="P79" s="7">
        <f t="shared" ca="1" si="27"/>
        <v>0</v>
      </c>
      <c r="U79" t="e">
        <f t="shared" ca="1" si="28"/>
        <v>#N/A</v>
      </c>
      <c r="V79" t="e">
        <f t="shared" ca="1" si="29"/>
        <v>#N/A</v>
      </c>
      <c r="X79" t="e">
        <f t="shared" ca="1" si="30"/>
        <v>#N/A</v>
      </c>
      <c r="Y79" t="e">
        <f t="shared" ca="1" si="31"/>
        <v>#N/A</v>
      </c>
      <c r="AJ79" t="e">
        <v>#N/A</v>
      </c>
      <c r="AK79" t="e">
        <v>#N/A</v>
      </c>
      <c r="AL79" t="e">
        <v>#N/A</v>
      </c>
      <c r="AM79" t="e">
        <v>#N/A</v>
      </c>
      <c r="AN79" t="e">
        <v>#N/A</v>
      </c>
      <c r="AQ79">
        <v>77</v>
      </c>
      <c r="AR79">
        <f t="shared" si="34"/>
        <v>2.6994126521263793</v>
      </c>
      <c r="AS79">
        <f t="shared" si="35"/>
        <v>11.692440777422823</v>
      </c>
    </row>
    <row r="80" spans="1:75" x14ac:dyDescent="0.25">
      <c r="A80">
        <v>44</v>
      </c>
      <c r="B80" s="5">
        <v>0</v>
      </c>
      <c r="C80" s="1">
        <f t="shared" ca="1" si="40"/>
        <v>0</v>
      </c>
      <c r="D80" s="46">
        <f t="shared" si="16"/>
        <v>0</v>
      </c>
      <c r="E80" s="46">
        <f t="shared" si="17"/>
        <v>0</v>
      </c>
      <c r="F80" s="1">
        <f t="shared" ca="1" si="18"/>
        <v>2.375</v>
      </c>
      <c r="G80" t="e">
        <f t="shared" ca="1" si="19"/>
        <v>#N/A</v>
      </c>
      <c r="H80" t="e">
        <f t="shared" ca="1" si="20"/>
        <v>#N/A</v>
      </c>
      <c r="I80" s="7">
        <f t="shared" si="21"/>
        <v>0</v>
      </c>
      <c r="J80" s="7">
        <f t="shared" si="22"/>
        <v>0</v>
      </c>
      <c r="K80">
        <f t="shared" si="23"/>
        <v>0</v>
      </c>
      <c r="L80" s="15">
        <f t="shared" ca="1" si="24"/>
        <v>0</v>
      </c>
      <c r="M80" s="9">
        <f t="shared" ca="1" si="41"/>
        <v>0</v>
      </c>
      <c r="N80" s="7">
        <f t="shared" ca="1" si="25"/>
        <v>0</v>
      </c>
      <c r="O80" s="7">
        <f t="shared" ca="1" si="26"/>
        <v>0</v>
      </c>
      <c r="P80" s="7">
        <f t="shared" ca="1" si="27"/>
        <v>0</v>
      </c>
      <c r="U80" t="e">
        <f t="shared" ca="1" si="28"/>
        <v>#N/A</v>
      </c>
      <c r="V80" t="e">
        <f t="shared" ca="1" si="29"/>
        <v>#N/A</v>
      </c>
      <c r="X80" t="e">
        <f t="shared" ca="1" si="30"/>
        <v>#N/A</v>
      </c>
      <c r="Y80" t="e">
        <f t="shared" ca="1" si="31"/>
        <v>#N/A</v>
      </c>
      <c r="AJ80" t="e">
        <v>#N/A</v>
      </c>
      <c r="AK80" t="e">
        <v>#N/A</v>
      </c>
      <c r="AL80" t="e">
        <v>#N/A</v>
      </c>
      <c r="AM80" t="e">
        <v>#N/A</v>
      </c>
      <c r="AN80" t="e">
        <v>#N/A</v>
      </c>
      <c r="AQ80">
        <v>78</v>
      </c>
      <c r="AR80">
        <f t="shared" si="34"/>
        <v>2.4949402898131137</v>
      </c>
      <c r="AS80">
        <f t="shared" si="35"/>
        <v>11.737771208805666</v>
      </c>
    </row>
    <row r="81" spans="1:45" x14ac:dyDescent="0.25">
      <c r="A81">
        <v>45</v>
      </c>
      <c r="B81" s="5">
        <v>0</v>
      </c>
      <c r="C81" s="1">
        <f t="shared" ca="1" si="40"/>
        <v>0</v>
      </c>
      <c r="D81" s="46">
        <f t="shared" si="16"/>
        <v>0</v>
      </c>
      <c r="E81" s="46">
        <f t="shared" si="17"/>
        <v>0</v>
      </c>
      <c r="F81" s="1">
        <f t="shared" ca="1" si="18"/>
        <v>2.375</v>
      </c>
      <c r="G81" t="e">
        <f t="shared" ca="1" si="19"/>
        <v>#N/A</v>
      </c>
      <c r="H81" t="e">
        <f t="shared" ca="1" si="20"/>
        <v>#N/A</v>
      </c>
      <c r="I81" s="7">
        <f t="shared" si="21"/>
        <v>0</v>
      </c>
      <c r="J81" s="7">
        <f t="shared" si="22"/>
        <v>0</v>
      </c>
      <c r="K81">
        <f t="shared" si="23"/>
        <v>0</v>
      </c>
      <c r="L81" s="15">
        <f t="shared" ca="1" si="24"/>
        <v>0</v>
      </c>
      <c r="M81" s="9">
        <f t="shared" ca="1" si="41"/>
        <v>0</v>
      </c>
      <c r="N81" s="7">
        <f t="shared" ca="1" si="25"/>
        <v>0</v>
      </c>
      <c r="O81" s="7">
        <f t="shared" ca="1" si="26"/>
        <v>0</v>
      </c>
      <c r="P81" s="7">
        <f t="shared" ca="1" si="27"/>
        <v>0</v>
      </c>
      <c r="U81" t="e">
        <f t="shared" ca="1" si="28"/>
        <v>#N/A</v>
      </c>
      <c r="V81" t="e">
        <f t="shared" ca="1" si="29"/>
        <v>#N/A</v>
      </c>
      <c r="X81" t="e">
        <f t="shared" ca="1" si="30"/>
        <v>#N/A</v>
      </c>
      <c r="Y81" t="e">
        <f t="shared" ca="1" si="31"/>
        <v>#N/A</v>
      </c>
      <c r="AJ81" t="e">
        <v>#N/A</v>
      </c>
      <c r="AK81" t="e">
        <v>#N/A</v>
      </c>
      <c r="AL81" t="e">
        <v>#N/A</v>
      </c>
      <c r="AM81" t="e">
        <v>#N/A</v>
      </c>
      <c r="AN81" t="e">
        <v>#N/A</v>
      </c>
      <c r="AQ81">
        <v>79</v>
      </c>
      <c r="AR81">
        <f t="shared" si="34"/>
        <v>2.2897079445185389</v>
      </c>
      <c r="AS81">
        <f t="shared" si="35"/>
        <v>11.779526201371969</v>
      </c>
    </row>
    <row r="82" spans="1:45" x14ac:dyDescent="0.25">
      <c r="A82">
        <v>46</v>
      </c>
      <c r="B82" s="5">
        <v>0</v>
      </c>
      <c r="C82" s="1">
        <f t="shared" ca="1" si="40"/>
        <v>0</v>
      </c>
      <c r="D82" s="46">
        <f t="shared" si="16"/>
        <v>0</v>
      </c>
      <c r="E82" s="46">
        <f t="shared" si="17"/>
        <v>0</v>
      </c>
      <c r="F82" s="1">
        <f t="shared" ca="1" si="18"/>
        <v>2.375</v>
      </c>
      <c r="G82" t="e">
        <f t="shared" ca="1" si="19"/>
        <v>#N/A</v>
      </c>
      <c r="H82" t="e">
        <f t="shared" ca="1" si="20"/>
        <v>#N/A</v>
      </c>
      <c r="I82" s="7">
        <f t="shared" si="21"/>
        <v>0</v>
      </c>
      <c r="J82" s="7">
        <f t="shared" si="22"/>
        <v>0</v>
      </c>
      <c r="K82">
        <f t="shared" si="23"/>
        <v>0</v>
      </c>
      <c r="L82" s="15">
        <f t="shared" ca="1" si="24"/>
        <v>0</v>
      </c>
      <c r="M82" s="9">
        <f t="shared" ca="1" si="41"/>
        <v>0</v>
      </c>
      <c r="N82" s="7">
        <f t="shared" ca="1" si="25"/>
        <v>0</v>
      </c>
      <c r="O82" s="7">
        <f t="shared" ca="1" si="26"/>
        <v>0</v>
      </c>
      <c r="P82" s="7">
        <f t="shared" ca="1" si="27"/>
        <v>0</v>
      </c>
      <c r="U82" t="e">
        <f t="shared" ca="1" si="28"/>
        <v>#N/A</v>
      </c>
      <c r="V82" t="e">
        <f t="shared" ca="1" si="29"/>
        <v>#N/A</v>
      </c>
      <c r="X82" t="e">
        <f t="shared" ca="1" si="30"/>
        <v>#N/A</v>
      </c>
      <c r="Y82" t="e">
        <f t="shared" ca="1" si="31"/>
        <v>#N/A</v>
      </c>
      <c r="AJ82" t="e">
        <v>#N/A</v>
      </c>
      <c r="AK82" t="e">
        <v>#N/A</v>
      </c>
      <c r="AL82" t="e">
        <v>#N/A</v>
      </c>
      <c r="AM82" t="e">
        <v>#N/A</v>
      </c>
      <c r="AN82" t="e">
        <v>#N/A</v>
      </c>
      <c r="AQ82">
        <v>80</v>
      </c>
      <c r="AR82">
        <f t="shared" si="34"/>
        <v>2.083778132003165</v>
      </c>
      <c r="AS82">
        <f t="shared" si="35"/>
        <v>11.817693036146496</v>
      </c>
    </row>
    <row r="83" spans="1:45" x14ac:dyDescent="0.25">
      <c r="A83">
        <v>47</v>
      </c>
      <c r="B83" s="5">
        <v>0</v>
      </c>
      <c r="C83" s="1">
        <f t="shared" ca="1" si="40"/>
        <v>0</v>
      </c>
      <c r="D83" s="46">
        <f t="shared" si="16"/>
        <v>0</v>
      </c>
      <c r="E83" s="46">
        <f t="shared" si="17"/>
        <v>0</v>
      </c>
      <c r="F83" s="1">
        <f t="shared" ca="1" si="18"/>
        <v>2.375</v>
      </c>
      <c r="G83" t="e">
        <f t="shared" ca="1" si="19"/>
        <v>#N/A</v>
      </c>
      <c r="H83" t="e">
        <f t="shared" ca="1" si="20"/>
        <v>#N/A</v>
      </c>
      <c r="I83" s="7">
        <f t="shared" si="21"/>
        <v>0</v>
      </c>
      <c r="J83" s="7">
        <f t="shared" si="22"/>
        <v>0</v>
      </c>
      <c r="K83">
        <f t="shared" si="23"/>
        <v>0</v>
      </c>
      <c r="L83" s="15">
        <f t="shared" ca="1" si="24"/>
        <v>0</v>
      </c>
      <c r="M83" s="9">
        <f t="shared" ca="1" si="41"/>
        <v>0</v>
      </c>
      <c r="N83" s="7">
        <f t="shared" ca="1" si="25"/>
        <v>0</v>
      </c>
      <c r="O83" s="7">
        <f t="shared" ca="1" si="26"/>
        <v>0</v>
      </c>
      <c r="P83" s="7">
        <f t="shared" ca="1" si="27"/>
        <v>0</v>
      </c>
      <c r="U83" t="e">
        <f t="shared" ca="1" si="28"/>
        <v>#N/A</v>
      </c>
      <c r="V83" t="e">
        <f t="shared" ca="1" si="29"/>
        <v>#N/A</v>
      </c>
      <c r="X83" t="e">
        <f t="shared" ca="1" si="30"/>
        <v>#N/A</v>
      </c>
      <c r="Y83" t="e">
        <f t="shared" ca="1" si="31"/>
        <v>#N/A</v>
      </c>
      <c r="AJ83" t="e">
        <v>#N/A</v>
      </c>
      <c r="AK83" t="e">
        <v>#N/A</v>
      </c>
      <c r="AL83" t="e">
        <v>#N/A</v>
      </c>
      <c r="AM83" t="e">
        <v>#N/A</v>
      </c>
      <c r="AN83" t="e">
        <v>#N/A</v>
      </c>
      <c r="AQ83">
        <v>81</v>
      </c>
      <c r="AR83">
        <f t="shared" si="34"/>
        <v>1.877213580482771</v>
      </c>
      <c r="AS83">
        <f t="shared" si="35"/>
        <v>11.852260087141653</v>
      </c>
    </row>
    <row r="84" spans="1:45" x14ac:dyDescent="0.25">
      <c r="A84">
        <v>48</v>
      </c>
      <c r="B84" s="5">
        <v>0</v>
      </c>
      <c r="C84" s="1">
        <f t="shared" ca="1" si="40"/>
        <v>0</v>
      </c>
      <c r="D84" s="46">
        <f t="shared" si="16"/>
        <v>0</v>
      </c>
      <c r="E84" s="46">
        <f t="shared" si="17"/>
        <v>0</v>
      </c>
      <c r="F84" s="1">
        <f t="shared" ca="1" si="18"/>
        <v>2.375</v>
      </c>
      <c r="G84" t="e">
        <f t="shared" ca="1" si="19"/>
        <v>#N/A</v>
      </c>
      <c r="H84" t="e">
        <f t="shared" ca="1" si="20"/>
        <v>#N/A</v>
      </c>
      <c r="I84" s="7">
        <f t="shared" si="21"/>
        <v>0</v>
      </c>
      <c r="J84" s="7">
        <f t="shared" si="22"/>
        <v>0</v>
      </c>
      <c r="K84">
        <f t="shared" si="23"/>
        <v>0</v>
      </c>
      <c r="L84" s="15">
        <f t="shared" ca="1" si="24"/>
        <v>0</v>
      </c>
      <c r="M84" s="9">
        <f t="shared" ca="1" si="41"/>
        <v>0</v>
      </c>
      <c r="N84" s="7">
        <f t="shared" ca="1" si="25"/>
        <v>0</v>
      </c>
      <c r="O84" s="7">
        <f t="shared" ca="1" si="26"/>
        <v>0</v>
      </c>
      <c r="P84" s="7">
        <f t="shared" ca="1" si="27"/>
        <v>0</v>
      </c>
      <c r="U84" t="e">
        <f t="shared" ca="1" si="28"/>
        <v>#N/A</v>
      </c>
      <c r="V84" t="e">
        <f t="shared" ca="1" si="29"/>
        <v>#N/A</v>
      </c>
      <c r="X84" t="e">
        <f t="shared" ca="1" si="30"/>
        <v>#N/A</v>
      </c>
      <c r="Y84" t="e">
        <f t="shared" ca="1" si="31"/>
        <v>#N/A</v>
      </c>
      <c r="AJ84" t="e">
        <v>#N/A</v>
      </c>
      <c r="AK84" t="e">
        <v>#N/A</v>
      </c>
      <c r="AL84" t="e">
        <v>#N/A</v>
      </c>
      <c r="AM84" t="e">
        <v>#N/A</v>
      </c>
      <c r="AN84" t="e">
        <v>#N/A</v>
      </c>
      <c r="AQ84">
        <v>82</v>
      </c>
      <c r="AR84">
        <f t="shared" si="34"/>
        <v>1.6700772115207856</v>
      </c>
      <c r="AS84">
        <f t="shared" si="35"/>
        <v>11.883216824898845</v>
      </c>
    </row>
    <row r="85" spans="1:45" x14ac:dyDescent="0.25">
      <c r="A85">
        <v>49</v>
      </c>
      <c r="B85" s="5">
        <v>0</v>
      </c>
      <c r="C85" s="1">
        <f t="shared" ca="1" si="40"/>
        <v>0</v>
      </c>
      <c r="D85" s="46">
        <f t="shared" si="16"/>
        <v>0</v>
      </c>
      <c r="E85" s="46">
        <f t="shared" si="17"/>
        <v>0</v>
      </c>
      <c r="F85" s="1">
        <f t="shared" ca="1" si="18"/>
        <v>2.375</v>
      </c>
      <c r="G85" t="e">
        <f t="shared" ca="1" si="19"/>
        <v>#N/A</v>
      </c>
      <c r="H85" t="e">
        <f t="shared" ca="1" si="20"/>
        <v>#N/A</v>
      </c>
      <c r="I85" s="7">
        <f t="shared" si="21"/>
        <v>0</v>
      </c>
      <c r="J85" s="7">
        <f t="shared" si="22"/>
        <v>0</v>
      </c>
      <c r="K85">
        <f t="shared" si="23"/>
        <v>0</v>
      </c>
      <c r="L85" s="15">
        <f t="shared" ca="1" si="24"/>
        <v>0</v>
      </c>
      <c r="M85" s="9">
        <f t="shared" ca="1" si="41"/>
        <v>0</v>
      </c>
      <c r="N85" s="7">
        <f t="shared" ca="1" si="25"/>
        <v>0</v>
      </c>
      <c r="O85" s="7">
        <f t="shared" ca="1" si="26"/>
        <v>0</v>
      </c>
      <c r="P85" s="7">
        <f t="shared" ca="1" si="27"/>
        <v>0</v>
      </c>
      <c r="U85" t="e">
        <f t="shared" ca="1" si="28"/>
        <v>#N/A</v>
      </c>
      <c r="V85" t="e">
        <f t="shared" ca="1" si="29"/>
        <v>#N/A</v>
      </c>
      <c r="X85" t="e">
        <f t="shared" ca="1" si="30"/>
        <v>#N/A</v>
      </c>
      <c r="Y85" t="e">
        <f t="shared" ca="1" si="31"/>
        <v>#N/A</v>
      </c>
      <c r="AJ85" t="e">
        <v>#N/A</v>
      </c>
      <c r="AK85" t="e">
        <v>#N/A</v>
      </c>
      <c r="AL85" t="e">
        <v>#N/A</v>
      </c>
      <c r="AM85" t="e">
        <v>#N/A</v>
      </c>
      <c r="AN85" t="e">
        <v>#N/A</v>
      </c>
      <c r="AQ85">
        <v>83</v>
      </c>
      <c r="AR85">
        <f t="shared" si="34"/>
        <v>1.4624321208617699</v>
      </c>
      <c r="AS85">
        <f t="shared" si="35"/>
        <v>11.910553819695863</v>
      </c>
    </row>
    <row r="86" spans="1:45" x14ac:dyDescent="0.25">
      <c r="A86">
        <v>50</v>
      </c>
      <c r="B86" s="5">
        <v>0</v>
      </c>
      <c r="C86" s="1">
        <f t="shared" ca="1" si="40"/>
        <v>0</v>
      </c>
      <c r="D86" s="46">
        <f t="shared" si="16"/>
        <v>0</v>
      </c>
      <c r="E86" s="46">
        <f t="shared" si="17"/>
        <v>0</v>
      </c>
      <c r="F86" s="1">
        <f t="shared" ca="1" si="18"/>
        <v>2.375</v>
      </c>
      <c r="G86" t="e">
        <f t="shared" ca="1" si="19"/>
        <v>#N/A</v>
      </c>
      <c r="H86" t="e">
        <f t="shared" ca="1" si="20"/>
        <v>#N/A</v>
      </c>
      <c r="I86" s="7">
        <f t="shared" si="21"/>
        <v>0</v>
      </c>
      <c r="J86" s="7">
        <f t="shared" si="22"/>
        <v>0</v>
      </c>
      <c r="K86">
        <f t="shared" si="23"/>
        <v>0</v>
      </c>
      <c r="L86" s="15">
        <f t="shared" ca="1" si="24"/>
        <v>0</v>
      </c>
      <c r="M86" s="9">
        <f t="shared" ca="1" si="41"/>
        <v>0</v>
      </c>
      <c r="N86" s="7">
        <f t="shared" ca="1" si="25"/>
        <v>0</v>
      </c>
      <c r="O86" s="7">
        <f t="shared" ca="1" si="26"/>
        <v>0</v>
      </c>
      <c r="P86" s="7">
        <f t="shared" ca="1" si="27"/>
        <v>0</v>
      </c>
      <c r="U86" t="e">
        <f t="shared" ca="1" si="28"/>
        <v>#N/A</v>
      </c>
      <c r="V86" t="e">
        <f t="shared" ca="1" si="29"/>
        <v>#N/A</v>
      </c>
      <c r="X86" t="e">
        <f t="shared" ca="1" si="30"/>
        <v>#N/A</v>
      </c>
      <c r="Y86" t="e">
        <f t="shared" ca="1" si="31"/>
        <v>#N/A</v>
      </c>
      <c r="AJ86" t="e">
        <v>#N/A</v>
      </c>
      <c r="AK86" t="e">
        <v>#N/A</v>
      </c>
      <c r="AL86" t="e">
        <v>#N/A</v>
      </c>
      <c r="AM86" t="e">
        <v>#N/A</v>
      </c>
      <c r="AN86" t="e">
        <v>#N/A</v>
      </c>
      <c r="AQ86">
        <v>84</v>
      </c>
      <c r="AR86">
        <f t="shared" si="34"/>
        <v>1.2543415592118414</v>
      </c>
      <c r="AS86">
        <f t="shared" si="35"/>
        <v>11.934262744419279</v>
      </c>
    </row>
    <row r="87" spans="1:45" x14ac:dyDescent="0.25">
      <c r="A87">
        <v>51</v>
      </c>
      <c r="B87" s="5">
        <v>0</v>
      </c>
      <c r="C87" s="1">
        <f t="shared" ca="1" si="40"/>
        <v>0</v>
      </c>
      <c r="D87" s="46">
        <f t="shared" si="16"/>
        <v>0</v>
      </c>
      <c r="E87" s="46">
        <f t="shared" si="17"/>
        <v>0</v>
      </c>
      <c r="F87" s="1">
        <f t="shared" ca="1" si="18"/>
        <v>2.375</v>
      </c>
      <c r="G87" t="e">
        <f t="shared" ca="1" si="19"/>
        <v>#N/A</v>
      </c>
      <c r="H87" t="e">
        <f t="shared" ca="1" si="20"/>
        <v>#N/A</v>
      </c>
      <c r="I87" s="7">
        <f t="shared" si="21"/>
        <v>0</v>
      </c>
      <c r="J87" s="7">
        <f t="shared" si="22"/>
        <v>0</v>
      </c>
      <c r="K87">
        <f t="shared" si="23"/>
        <v>0</v>
      </c>
      <c r="L87" s="15">
        <f t="shared" ca="1" si="24"/>
        <v>0</v>
      </c>
      <c r="M87" s="9">
        <f t="shared" ca="1" si="41"/>
        <v>0</v>
      </c>
      <c r="N87" s="7">
        <f t="shared" ca="1" si="25"/>
        <v>0</v>
      </c>
      <c r="O87" s="7">
        <f t="shared" ca="1" si="26"/>
        <v>0</v>
      </c>
      <c r="P87" s="7">
        <f t="shared" ca="1" si="27"/>
        <v>0</v>
      </c>
      <c r="U87" t="e">
        <f t="shared" ca="1" si="28"/>
        <v>#N/A</v>
      </c>
      <c r="V87" t="e">
        <f t="shared" ca="1" si="29"/>
        <v>#N/A</v>
      </c>
      <c r="X87" t="e">
        <f t="shared" ca="1" si="30"/>
        <v>#N/A</v>
      </c>
      <c r="Y87" t="e">
        <f t="shared" ca="1" si="31"/>
        <v>#N/A</v>
      </c>
      <c r="AJ87" t="e">
        <v>#N/A</v>
      </c>
      <c r="AK87" t="e">
        <v>#N/A</v>
      </c>
      <c r="AL87" t="e">
        <v>#N/A</v>
      </c>
      <c r="AM87" t="e">
        <v>#N/A</v>
      </c>
      <c r="AN87" t="e">
        <v>#N/A</v>
      </c>
      <c r="AQ87">
        <v>85</v>
      </c>
      <c r="AR87">
        <f t="shared" si="34"/>
        <v>1.0458689129718977</v>
      </c>
      <c r="AS87">
        <f t="shared" si="35"/>
        <v>11.954336377100947</v>
      </c>
    </row>
    <row r="88" spans="1:45" x14ac:dyDescent="0.25">
      <c r="A88">
        <v>52</v>
      </c>
      <c r="B88" s="5">
        <v>0</v>
      </c>
      <c r="C88" s="1">
        <f t="shared" ca="1" si="40"/>
        <v>0</v>
      </c>
      <c r="D88" s="46">
        <f t="shared" si="16"/>
        <v>0</v>
      </c>
      <c r="E88" s="46">
        <f t="shared" si="17"/>
        <v>0</v>
      </c>
      <c r="F88" s="1">
        <f t="shared" ca="1" si="18"/>
        <v>2.375</v>
      </c>
      <c r="G88" t="e">
        <f t="shared" ca="1" si="19"/>
        <v>#N/A</v>
      </c>
      <c r="H88" t="e">
        <f t="shared" ca="1" si="20"/>
        <v>#N/A</v>
      </c>
      <c r="I88" s="7">
        <f t="shared" si="21"/>
        <v>0</v>
      </c>
      <c r="J88" s="7">
        <f t="shared" si="22"/>
        <v>0</v>
      </c>
      <c r="K88">
        <f t="shared" si="23"/>
        <v>0</v>
      </c>
      <c r="L88" s="15">
        <f t="shared" ca="1" si="24"/>
        <v>0</v>
      </c>
      <c r="M88" s="9">
        <f t="shared" ca="1" si="41"/>
        <v>0</v>
      </c>
      <c r="N88" s="7">
        <f t="shared" ca="1" si="25"/>
        <v>0</v>
      </c>
      <c r="O88" s="7">
        <f t="shared" ca="1" si="26"/>
        <v>0</v>
      </c>
      <c r="P88" s="7">
        <f t="shared" ca="1" si="27"/>
        <v>0</v>
      </c>
      <c r="U88" t="e">
        <f t="shared" ca="1" si="28"/>
        <v>#N/A</v>
      </c>
      <c r="V88" t="e">
        <f t="shared" ca="1" si="29"/>
        <v>#N/A</v>
      </c>
      <c r="X88" t="e">
        <f t="shared" ca="1" si="30"/>
        <v>#N/A</v>
      </c>
      <c r="Y88" t="e">
        <f t="shared" ca="1" si="31"/>
        <v>#N/A</v>
      </c>
      <c r="AJ88" t="e">
        <v>#N/A</v>
      </c>
      <c r="AK88" t="e">
        <v>#N/A</v>
      </c>
      <c r="AL88" t="e">
        <v>#N/A</v>
      </c>
      <c r="AM88" t="e">
        <v>#N/A</v>
      </c>
      <c r="AN88" t="e">
        <v>#N/A</v>
      </c>
      <c r="AQ88">
        <v>86</v>
      </c>
      <c r="AR88">
        <f t="shared" si="34"/>
        <v>0.83707768492950274</v>
      </c>
      <c r="AS88">
        <f t="shared" si="35"/>
        <v>11.970768603117889</v>
      </c>
    </row>
    <row r="89" spans="1:45" x14ac:dyDescent="0.25">
      <c r="A89">
        <v>53</v>
      </c>
      <c r="B89" s="5">
        <v>0</v>
      </c>
      <c r="C89" s="1">
        <f t="shared" ca="1" si="40"/>
        <v>0</v>
      </c>
      <c r="D89" s="46">
        <f t="shared" si="16"/>
        <v>0</v>
      </c>
      <c r="E89" s="46">
        <f t="shared" si="17"/>
        <v>0</v>
      </c>
      <c r="F89" s="1">
        <f t="shared" ca="1" si="18"/>
        <v>2.375</v>
      </c>
      <c r="G89" t="e">
        <f t="shared" ca="1" si="19"/>
        <v>#N/A</v>
      </c>
      <c r="H89" t="e">
        <f t="shared" ca="1" si="20"/>
        <v>#N/A</v>
      </c>
      <c r="I89" s="7">
        <f t="shared" si="21"/>
        <v>0</v>
      </c>
      <c r="J89" s="7">
        <f t="shared" si="22"/>
        <v>0</v>
      </c>
      <c r="K89">
        <f t="shared" si="23"/>
        <v>0</v>
      </c>
      <c r="L89" s="15">
        <f t="shared" ca="1" si="24"/>
        <v>0</v>
      </c>
      <c r="M89" s="9">
        <f t="shared" ca="1" si="41"/>
        <v>0</v>
      </c>
      <c r="N89" s="7">
        <f t="shared" ca="1" si="25"/>
        <v>0</v>
      </c>
      <c r="O89" s="7">
        <f t="shared" ca="1" si="26"/>
        <v>0</v>
      </c>
      <c r="P89" s="7">
        <f t="shared" ca="1" si="27"/>
        <v>0</v>
      </c>
      <c r="U89" t="e">
        <f t="shared" ca="1" si="28"/>
        <v>#N/A</v>
      </c>
      <c r="V89" t="e">
        <f t="shared" ca="1" si="29"/>
        <v>#N/A</v>
      </c>
      <c r="X89" t="e">
        <f t="shared" ca="1" si="30"/>
        <v>#N/A</v>
      </c>
      <c r="Y89" t="e">
        <f t="shared" ca="1" si="31"/>
        <v>#N/A</v>
      </c>
      <c r="AJ89" t="e">
        <v>#N/A</v>
      </c>
      <c r="AK89" t="e">
        <v>#N/A</v>
      </c>
      <c r="AL89" t="e">
        <v>#N/A</v>
      </c>
      <c r="AM89" t="e">
        <v>#N/A</v>
      </c>
      <c r="AN89" t="e">
        <v>#N/A</v>
      </c>
      <c r="AQ89">
        <v>87</v>
      </c>
      <c r="AR89">
        <f t="shared" si="34"/>
        <v>0.62803147491532763</v>
      </c>
      <c r="AS89">
        <f t="shared" si="35"/>
        <v>11.983554417054886</v>
      </c>
    </row>
    <row r="90" spans="1:45" x14ac:dyDescent="0.25">
      <c r="A90">
        <v>54</v>
      </c>
      <c r="B90" s="5">
        <v>0</v>
      </c>
      <c r="C90" s="1">
        <f t="shared" ca="1" si="40"/>
        <v>0</v>
      </c>
      <c r="D90" s="46">
        <f t="shared" si="16"/>
        <v>0</v>
      </c>
      <c r="E90" s="46">
        <f t="shared" si="17"/>
        <v>0</v>
      </c>
      <c r="F90" s="1">
        <f t="shared" ca="1" si="18"/>
        <v>2.375</v>
      </c>
      <c r="G90" t="e">
        <f t="shared" ca="1" si="19"/>
        <v>#N/A</v>
      </c>
      <c r="H90" t="e">
        <f t="shared" ca="1" si="20"/>
        <v>#N/A</v>
      </c>
      <c r="I90" s="7">
        <f t="shared" si="21"/>
        <v>0</v>
      </c>
      <c r="J90" s="7">
        <f t="shared" si="22"/>
        <v>0</v>
      </c>
      <c r="K90">
        <f t="shared" si="23"/>
        <v>0</v>
      </c>
      <c r="L90" s="15">
        <f t="shared" ca="1" si="24"/>
        <v>0</v>
      </c>
      <c r="M90" s="9">
        <f t="shared" ca="1" si="41"/>
        <v>0</v>
      </c>
      <c r="N90" s="7">
        <f t="shared" ca="1" si="25"/>
        <v>0</v>
      </c>
      <c r="O90" s="7">
        <f t="shared" ca="1" si="26"/>
        <v>0</v>
      </c>
      <c r="P90" s="7">
        <f t="shared" ca="1" si="27"/>
        <v>0</v>
      </c>
      <c r="U90" t="e">
        <f t="shared" ca="1" si="28"/>
        <v>#N/A</v>
      </c>
      <c r="V90" t="e">
        <f t="shared" ca="1" si="29"/>
        <v>#N/A</v>
      </c>
      <c r="X90" t="e">
        <f t="shared" ca="1" si="30"/>
        <v>#N/A</v>
      </c>
      <c r="Y90" t="e">
        <f t="shared" ca="1" si="31"/>
        <v>#N/A</v>
      </c>
      <c r="AJ90" t="e">
        <v>#N/A</v>
      </c>
      <c r="AK90" t="e">
        <v>#N/A</v>
      </c>
      <c r="AL90" t="e">
        <v>#N/A</v>
      </c>
      <c r="AM90" t="e">
        <v>#N/A</v>
      </c>
      <c r="AN90" t="e">
        <v>#N/A</v>
      </c>
      <c r="AQ90">
        <v>88</v>
      </c>
      <c r="AR90">
        <f t="shared" si="34"/>
        <v>0.41879396043001293</v>
      </c>
      <c r="AS90">
        <f t="shared" si="35"/>
        <v>11.992689924229149</v>
      </c>
    </row>
    <row r="91" spans="1:45" x14ac:dyDescent="0.25">
      <c r="A91">
        <v>55</v>
      </c>
      <c r="B91" s="5">
        <v>0</v>
      </c>
      <c r="C91" s="1">
        <f t="shared" ca="1" si="40"/>
        <v>0</v>
      </c>
      <c r="D91" s="46">
        <f t="shared" si="16"/>
        <v>0</v>
      </c>
      <c r="E91" s="46">
        <f t="shared" si="17"/>
        <v>0</v>
      </c>
      <c r="F91" s="1">
        <f t="shared" ca="1" si="18"/>
        <v>2.375</v>
      </c>
      <c r="G91" t="e">
        <f t="shared" ca="1" si="19"/>
        <v>#N/A</v>
      </c>
      <c r="H91" t="e">
        <f t="shared" ca="1" si="20"/>
        <v>#N/A</v>
      </c>
      <c r="I91" s="7">
        <f t="shared" si="21"/>
        <v>0</v>
      </c>
      <c r="J91" s="7">
        <f t="shared" si="22"/>
        <v>0</v>
      </c>
      <c r="K91">
        <f t="shared" si="23"/>
        <v>0</v>
      </c>
      <c r="L91" s="15">
        <f t="shared" ca="1" si="24"/>
        <v>0</v>
      </c>
      <c r="M91" s="9">
        <f t="shared" ca="1" si="41"/>
        <v>0</v>
      </c>
      <c r="N91" s="7">
        <f t="shared" ca="1" si="25"/>
        <v>0</v>
      </c>
      <c r="O91" s="7">
        <f t="shared" ca="1" si="26"/>
        <v>0</v>
      </c>
      <c r="P91" s="7">
        <f t="shared" ca="1" si="27"/>
        <v>0</v>
      </c>
      <c r="U91" t="e">
        <f t="shared" ca="1" si="28"/>
        <v>#N/A</v>
      </c>
      <c r="V91" t="e">
        <f t="shared" ca="1" si="29"/>
        <v>#N/A</v>
      </c>
      <c r="X91" t="e">
        <f t="shared" ca="1" si="30"/>
        <v>#N/A</v>
      </c>
      <c r="Y91" t="e">
        <f t="shared" ca="1" si="31"/>
        <v>#N/A</v>
      </c>
      <c r="AJ91" t="e">
        <v>#N/A</v>
      </c>
      <c r="AK91" t="e">
        <v>#N/A</v>
      </c>
      <c r="AL91" t="e">
        <v>#N/A</v>
      </c>
      <c r="AM91" t="e">
        <v>#N/A</v>
      </c>
      <c r="AN91" t="e">
        <v>#N/A</v>
      </c>
      <c r="AQ91">
        <v>89</v>
      </c>
      <c r="AR91">
        <f t="shared" si="34"/>
        <v>0.20942887724740317</v>
      </c>
      <c r="AS91">
        <f t="shared" si="35"/>
        <v>11.998172341876696</v>
      </c>
    </row>
    <row r="92" spans="1:45" x14ac:dyDescent="0.25">
      <c r="A92">
        <v>56</v>
      </c>
      <c r="B92" s="5">
        <v>0</v>
      </c>
      <c r="C92" s="1">
        <f t="shared" ca="1" si="40"/>
        <v>0</v>
      </c>
      <c r="D92" s="46">
        <f t="shared" si="16"/>
        <v>0</v>
      </c>
      <c r="E92" s="46">
        <f t="shared" si="17"/>
        <v>0</v>
      </c>
      <c r="F92" s="1">
        <f t="shared" ca="1" si="18"/>
        <v>2.375</v>
      </c>
      <c r="G92" t="e">
        <f t="shared" ca="1" si="19"/>
        <v>#N/A</v>
      </c>
      <c r="H92" t="e">
        <f t="shared" ca="1" si="20"/>
        <v>#N/A</v>
      </c>
      <c r="I92" s="7">
        <f t="shared" si="21"/>
        <v>0</v>
      </c>
      <c r="J92" s="7">
        <f t="shared" si="22"/>
        <v>0</v>
      </c>
      <c r="K92">
        <f t="shared" si="23"/>
        <v>0</v>
      </c>
      <c r="L92" s="15">
        <f t="shared" ca="1" si="24"/>
        <v>0</v>
      </c>
      <c r="M92" s="9">
        <f t="shared" ca="1" si="41"/>
        <v>0</v>
      </c>
      <c r="N92" s="7">
        <f t="shared" ca="1" si="25"/>
        <v>0</v>
      </c>
      <c r="O92" s="7">
        <f t="shared" ca="1" si="26"/>
        <v>0</v>
      </c>
      <c r="P92" s="7">
        <f t="shared" ca="1" si="27"/>
        <v>0</v>
      </c>
      <c r="U92" t="e">
        <f t="shared" ca="1" si="28"/>
        <v>#N/A</v>
      </c>
      <c r="V92" t="e">
        <f t="shared" ca="1" si="29"/>
        <v>#N/A</v>
      </c>
      <c r="X92" t="e">
        <f t="shared" ca="1" si="30"/>
        <v>#N/A</v>
      </c>
      <c r="Y92" t="e">
        <f t="shared" ca="1" si="31"/>
        <v>#N/A</v>
      </c>
      <c r="AJ92" t="e">
        <v>#N/A</v>
      </c>
      <c r="AK92" t="e">
        <v>#N/A</v>
      </c>
      <c r="AL92" t="e">
        <v>#N/A</v>
      </c>
      <c r="AM92" t="e">
        <v>#N/A</v>
      </c>
      <c r="AN92" t="e">
        <v>#N/A</v>
      </c>
      <c r="AQ92">
        <v>90</v>
      </c>
      <c r="AR92">
        <f t="shared" si="34"/>
        <v>7.3508907294517201E-16</v>
      </c>
      <c r="AS92">
        <f t="shared" si="35"/>
        <v>12</v>
      </c>
    </row>
    <row r="93" spans="1:45" x14ac:dyDescent="0.25">
      <c r="A93">
        <v>57</v>
      </c>
      <c r="B93" s="5">
        <v>0</v>
      </c>
      <c r="C93" s="1">
        <f t="shared" ca="1" si="40"/>
        <v>0</v>
      </c>
      <c r="D93" s="46">
        <f t="shared" si="16"/>
        <v>0</v>
      </c>
      <c r="E93" s="46">
        <f t="shared" si="17"/>
        <v>0</v>
      </c>
      <c r="F93" s="1">
        <f t="shared" ca="1" si="18"/>
        <v>2.375</v>
      </c>
      <c r="G93" t="e">
        <f t="shared" ca="1" si="19"/>
        <v>#N/A</v>
      </c>
      <c r="H93" t="e">
        <f t="shared" ca="1" si="20"/>
        <v>#N/A</v>
      </c>
      <c r="I93" s="7">
        <f t="shared" si="21"/>
        <v>0</v>
      </c>
      <c r="J93" s="7">
        <f t="shared" si="22"/>
        <v>0</v>
      </c>
      <c r="K93">
        <f t="shared" si="23"/>
        <v>0</v>
      </c>
      <c r="L93" s="15">
        <f t="shared" ca="1" si="24"/>
        <v>0</v>
      </c>
      <c r="M93" s="9">
        <f t="shared" ca="1" si="41"/>
        <v>0</v>
      </c>
      <c r="N93" s="7">
        <f t="shared" ca="1" si="25"/>
        <v>0</v>
      </c>
      <c r="O93" s="7">
        <f t="shared" ca="1" si="26"/>
        <v>0</v>
      </c>
      <c r="P93" s="7">
        <f t="shared" ca="1" si="27"/>
        <v>0</v>
      </c>
      <c r="U93" t="e">
        <f t="shared" ca="1" si="28"/>
        <v>#N/A</v>
      </c>
      <c r="V93" t="e">
        <f t="shared" ca="1" si="29"/>
        <v>#N/A</v>
      </c>
      <c r="X93" t="e">
        <f t="shared" ca="1" si="30"/>
        <v>#N/A</v>
      </c>
      <c r="Y93" t="e">
        <f t="shared" ca="1" si="31"/>
        <v>#N/A</v>
      </c>
      <c r="AJ93" t="e">
        <v>#N/A</v>
      </c>
      <c r="AK93" t="e">
        <v>#N/A</v>
      </c>
      <c r="AL93" t="e">
        <v>#N/A</v>
      </c>
      <c r="AM93" t="e">
        <v>#N/A</v>
      </c>
      <c r="AN93" t="e">
        <v>#N/A</v>
      </c>
      <c r="AQ93">
        <v>91</v>
      </c>
      <c r="AR93">
        <f t="shared" si="34"/>
        <v>-0.20942887724740172</v>
      </c>
      <c r="AS93">
        <f t="shared" si="35"/>
        <v>11.998172341876696</v>
      </c>
    </row>
    <row r="94" spans="1:45" x14ac:dyDescent="0.25">
      <c r="A94">
        <v>58</v>
      </c>
      <c r="B94" s="5">
        <v>0</v>
      </c>
      <c r="C94" s="1">
        <f t="shared" ca="1" si="40"/>
        <v>0</v>
      </c>
      <c r="D94" s="46">
        <f t="shared" si="16"/>
        <v>0</v>
      </c>
      <c r="E94" s="46">
        <f t="shared" si="17"/>
        <v>0</v>
      </c>
      <c r="F94" s="1">
        <f t="shared" ca="1" si="18"/>
        <v>2.375</v>
      </c>
      <c r="G94" t="e">
        <f t="shared" ca="1" si="19"/>
        <v>#N/A</v>
      </c>
      <c r="H94" t="e">
        <f t="shared" ca="1" si="20"/>
        <v>#N/A</v>
      </c>
      <c r="I94" s="7">
        <f t="shared" si="21"/>
        <v>0</v>
      </c>
      <c r="J94" s="7">
        <f t="shared" si="22"/>
        <v>0</v>
      </c>
      <c r="K94">
        <f t="shared" si="23"/>
        <v>0</v>
      </c>
      <c r="L94" s="15">
        <f t="shared" ca="1" si="24"/>
        <v>0</v>
      </c>
      <c r="M94" s="9">
        <f t="shared" ca="1" si="41"/>
        <v>0</v>
      </c>
      <c r="N94" s="7">
        <f t="shared" ca="1" si="25"/>
        <v>0</v>
      </c>
      <c r="O94" s="7">
        <f t="shared" ca="1" si="26"/>
        <v>0</v>
      </c>
      <c r="P94" s="7">
        <f t="shared" ca="1" si="27"/>
        <v>0</v>
      </c>
      <c r="U94" t="e">
        <f t="shared" ca="1" si="28"/>
        <v>#N/A</v>
      </c>
      <c r="V94" t="e">
        <f t="shared" ca="1" si="29"/>
        <v>#N/A</v>
      </c>
      <c r="X94" t="e">
        <f t="shared" ca="1" si="30"/>
        <v>#N/A</v>
      </c>
      <c r="Y94" t="e">
        <f t="shared" ca="1" si="31"/>
        <v>#N/A</v>
      </c>
      <c r="AJ94" t="e">
        <v>#N/A</v>
      </c>
      <c r="AK94" t="e">
        <v>#N/A</v>
      </c>
      <c r="AL94" t="e">
        <v>#N/A</v>
      </c>
      <c r="AM94" t="e">
        <v>#N/A</v>
      </c>
      <c r="AN94" t="e">
        <v>#N/A</v>
      </c>
      <c r="AQ94">
        <v>92</v>
      </c>
      <c r="AR94">
        <f t="shared" si="34"/>
        <v>-0.41879396043001149</v>
      </c>
      <c r="AS94">
        <f t="shared" si="35"/>
        <v>11.992689924229149</v>
      </c>
    </row>
    <row r="95" spans="1:45" x14ac:dyDescent="0.25">
      <c r="A95">
        <v>59</v>
      </c>
      <c r="B95" s="5">
        <v>0</v>
      </c>
      <c r="C95" s="1">
        <f t="shared" ca="1" si="40"/>
        <v>0</v>
      </c>
      <c r="D95" s="46">
        <f t="shared" si="16"/>
        <v>0</v>
      </c>
      <c r="E95" s="46">
        <f t="shared" si="17"/>
        <v>0</v>
      </c>
      <c r="F95" s="1">
        <f t="shared" ca="1" si="18"/>
        <v>2.375</v>
      </c>
      <c r="G95" t="e">
        <f t="shared" ca="1" si="19"/>
        <v>#N/A</v>
      </c>
      <c r="H95" t="e">
        <f t="shared" ca="1" si="20"/>
        <v>#N/A</v>
      </c>
      <c r="I95" s="7">
        <f t="shared" si="21"/>
        <v>0</v>
      </c>
      <c r="J95" s="7">
        <f t="shared" si="22"/>
        <v>0</v>
      </c>
      <c r="K95">
        <f t="shared" si="23"/>
        <v>0</v>
      </c>
      <c r="L95" s="15">
        <f t="shared" ca="1" si="24"/>
        <v>0</v>
      </c>
      <c r="M95" s="9">
        <f t="shared" ca="1" si="41"/>
        <v>0</v>
      </c>
      <c r="N95" s="7">
        <f t="shared" ca="1" si="25"/>
        <v>0</v>
      </c>
      <c r="O95" s="7">
        <f t="shared" ca="1" si="26"/>
        <v>0</v>
      </c>
      <c r="P95" s="7">
        <f t="shared" ca="1" si="27"/>
        <v>0</v>
      </c>
      <c r="U95" t="e">
        <f t="shared" ca="1" si="28"/>
        <v>#N/A</v>
      </c>
      <c r="V95" t="e">
        <f t="shared" ca="1" si="29"/>
        <v>#N/A</v>
      </c>
      <c r="X95" t="e">
        <f t="shared" ca="1" si="30"/>
        <v>#N/A</v>
      </c>
      <c r="Y95" t="e">
        <f t="shared" ca="1" si="31"/>
        <v>#N/A</v>
      </c>
      <c r="AJ95" t="e">
        <v>#N/A</v>
      </c>
      <c r="AK95" t="e">
        <v>#N/A</v>
      </c>
      <c r="AL95" t="e">
        <v>#N/A</v>
      </c>
      <c r="AM95" t="e">
        <v>#N/A</v>
      </c>
      <c r="AN95" t="e">
        <v>#N/A</v>
      </c>
      <c r="AQ95">
        <v>93</v>
      </c>
      <c r="AR95">
        <f t="shared" si="34"/>
        <v>-0.62803147491532607</v>
      </c>
      <c r="AS95">
        <f t="shared" si="35"/>
        <v>11.983554417054886</v>
      </c>
    </row>
    <row r="96" spans="1:45" x14ac:dyDescent="0.25">
      <c r="A96">
        <v>60</v>
      </c>
      <c r="B96" s="5">
        <v>0</v>
      </c>
      <c r="C96" s="1">
        <f t="shared" ca="1" si="40"/>
        <v>0</v>
      </c>
      <c r="D96" s="46">
        <f t="shared" si="16"/>
        <v>0</v>
      </c>
      <c r="E96" s="46">
        <f t="shared" si="17"/>
        <v>0</v>
      </c>
      <c r="F96" s="1">
        <f t="shared" ca="1" si="18"/>
        <v>2.375</v>
      </c>
      <c r="G96" t="e">
        <f t="shared" ca="1" si="19"/>
        <v>#N/A</v>
      </c>
      <c r="H96" t="e">
        <f t="shared" ca="1" si="20"/>
        <v>#N/A</v>
      </c>
      <c r="I96" s="7">
        <f t="shared" si="21"/>
        <v>0</v>
      </c>
      <c r="J96" s="7">
        <f t="shared" si="22"/>
        <v>0</v>
      </c>
      <c r="K96">
        <f t="shared" si="23"/>
        <v>0</v>
      </c>
      <c r="L96" s="15">
        <f t="shared" ca="1" si="24"/>
        <v>0</v>
      </c>
      <c r="M96" s="9">
        <f t="shared" ca="1" si="41"/>
        <v>0</v>
      </c>
      <c r="N96" s="7">
        <f t="shared" ca="1" si="25"/>
        <v>0</v>
      </c>
      <c r="O96" s="7">
        <f t="shared" ca="1" si="26"/>
        <v>0</v>
      </c>
      <c r="P96" s="7">
        <f t="shared" ca="1" si="27"/>
        <v>0</v>
      </c>
      <c r="U96" t="e">
        <f t="shared" ca="1" si="28"/>
        <v>#N/A</v>
      </c>
      <c r="V96" t="e">
        <f t="shared" ca="1" si="29"/>
        <v>#N/A</v>
      </c>
      <c r="X96" t="e">
        <f t="shared" ca="1" si="30"/>
        <v>#N/A</v>
      </c>
      <c r="Y96" t="e">
        <f t="shared" ca="1" si="31"/>
        <v>#N/A</v>
      </c>
      <c r="AJ96" t="e">
        <v>#N/A</v>
      </c>
      <c r="AK96" t="e">
        <v>#N/A</v>
      </c>
      <c r="AL96" t="e">
        <v>#N/A</v>
      </c>
      <c r="AM96" t="e">
        <v>#N/A</v>
      </c>
      <c r="AN96" t="e">
        <v>#N/A</v>
      </c>
      <c r="AQ96">
        <v>94</v>
      </c>
      <c r="AR96">
        <f t="shared" si="34"/>
        <v>-0.83707768492950396</v>
      </c>
      <c r="AS96">
        <f t="shared" si="35"/>
        <v>11.970768603117889</v>
      </c>
    </row>
    <row r="97" spans="1:71" x14ac:dyDescent="0.25">
      <c r="A97">
        <v>61</v>
      </c>
      <c r="B97" s="5">
        <v>0</v>
      </c>
      <c r="C97" s="1">
        <f t="shared" ca="1" si="40"/>
        <v>0</v>
      </c>
      <c r="D97" s="46">
        <f t="shared" si="16"/>
        <v>0</v>
      </c>
      <c r="E97" s="46">
        <f t="shared" si="17"/>
        <v>0</v>
      </c>
      <c r="F97" s="1">
        <f t="shared" ca="1" si="18"/>
        <v>2.375</v>
      </c>
      <c r="G97" t="e">
        <f t="shared" ca="1" si="19"/>
        <v>#N/A</v>
      </c>
      <c r="H97" t="e">
        <f t="shared" ca="1" si="20"/>
        <v>#N/A</v>
      </c>
      <c r="I97" s="7">
        <f t="shared" si="21"/>
        <v>0</v>
      </c>
      <c r="J97" s="7">
        <f t="shared" si="22"/>
        <v>0</v>
      </c>
      <c r="K97">
        <f t="shared" si="23"/>
        <v>0</v>
      </c>
      <c r="L97" s="15">
        <f t="shared" ca="1" si="24"/>
        <v>0</v>
      </c>
      <c r="M97" s="9">
        <f t="shared" ca="1" si="41"/>
        <v>0</v>
      </c>
      <c r="N97" s="7">
        <f t="shared" ca="1" si="25"/>
        <v>0</v>
      </c>
      <c r="O97" s="7">
        <f t="shared" ca="1" si="26"/>
        <v>0</v>
      </c>
      <c r="P97" s="7">
        <f t="shared" ca="1" si="27"/>
        <v>0</v>
      </c>
      <c r="U97" t="e">
        <f t="shared" ca="1" si="28"/>
        <v>#N/A</v>
      </c>
      <c r="V97" t="e">
        <f t="shared" ca="1" si="29"/>
        <v>#N/A</v>
      </c>
      <c r="X97" t="e">
        <f t="shared" ca="1" si="30"/>
        <v>#N/A</v>
      </c>
      <c r="Y97" t="e">
        <f t="shared" ca="1" si="31"/>
        <v>#N/A</v>
      </c>
      <c r="AJ97" t="e">
        <v>#N/A</v>
      </c>
      <c r="AK97" t="e">
        <v>#N/A</v>
      </c>
      <c r="AL97" t="e">
        <v>#N/A</v>
      </c>
      <c r="AM97" t="e">
        <v>#N/A</v>
      </c>
      <c r="AN97" t="e">
        <v>#N/A</v>
      </c>
      <c r="AQ97">
        <v>95</v>
      </c>
      <c r="AR97">
        <f t="shared" si="34"/>
        <v>-1.0458689129718988</v>
      </c>
      <c r="AS97">
        <f t="shared" si="35"/>
        <v>11.954336377100947</v>
      </c>
    </row>
    <row r="98" spans="1:71" x14ac:dyDescent="0.25">
      <c r="A98">
        <v>62</v>
      </c>
      <c r="B98" s="5">
        <v>0</v>
      </c>
      <c r="C98" s="1">
        <f t="shared" ca="1" si="40"/>
        <v>0</v>
      </c>
      <c r="D98" s="46">
        <f t="shared" si="16"/>
        <v>0</v>
      </c>
      <c r="E98" s="46">
        <f t="shared" si="17"/>
        <v>0</v>
      </c>
      <c r="F98" s="1">
        <f t="shared" ca="1" si="18"/>
        <v>2.375</v>
      </c>
      <c r="G98" t="e">
        <f t="shared" ca="1" si="19"/>
        <v>#N/A</v>
      </c>
      <c r="H98" t="e">
        <f t="shared" ca="1" si="20"/>
        <v>#N/A</v>
      </c>
      <c r="I98" s="7">
        <f t="shared" si="21"/>
        <v>0</v>
      </c>
      <c r="J98" s="7">
        <f t="shared" si="22"/>
        <v>0</v>
      </c>
      <c r="K98">
        <f t="shared" si="23"/>
        <v>0</v>
      </c>
      <c r="L98" s="15">
        <f t="shared" ca="1" si="24"/>
        <v>0</v>
      </c>
      <c r="M98" s="9">
        <f t="shared" ca="1" si="41"/>
        <v>0</v>
      </c>
      <c r="N98" s="7">
        <f t="shared" ca="1" si="25"/>
        <v>0</v>
      </c>
      <c r="O98" s="7">
        <f t="shared" ca="1" si="26"/>
        <v>0</v>
      </c>
      <c r="P98" s="7">
        <f t="shared" ca="1" si="27"/>
        <v>0</v>
      </c>
      <c r="U98" t="e">
        <f t="shared" ca="1" si="28"/>
        <v>#N/A</v>
      </c>
      <c r="V98" t="e">
        <f t="shared" ca="1" si="29"/>
        <v>#N/A</v>
      </c>
      <c r="X98" t="e">
        <f t="shared" ca="1" si="30"/>
        <v>#N/A</v>
      </c>
      <c r="Y98" t="e">
        <f t="shared" ca="1" si="31"/>
        <v>#N/A</v>
      </c>
      <c r="AJ98" t="e">
        <v>#N/A</v>
      </c>
      <c r="AK98" t="e">
        <v>#N/A</v>
      </c>
      <c r="AL98" t="e">
        <v>#N/A</v>
      </c>
      <c r="AM98" t="e">
        <v>#N/A</v>
      </c>
      <c r="AN98" t="e">
        <v>#N/A</v>
      </c>
      <c r="AQ98">
        <v>96</v>
      </c>
      <c r="AR98">
        <f t="shared" si="34"/>
        <v>-1.2543415592118428</v>
      </c>
      <c r="AS98">
        <f t="shared" si="35"/>
        <v>11.934262744419279</v>
      </c>
    </row>
    <row r="99" spans="1:71" x14ac:dyDescent="0.25">
      <c r="A99">
        <v>63</v>
      </c>
      <c r="B99" s="5">
        <v>0</v>
      </c>
      <c r="C99" s="1">
        <f t="shared" ca="1" si="40"/>
        <v>0</v>
      </c>
      <c r="D99" s="46">
        <f t="shared" si="16"/>
        <v>0</v>
      </c>
      <c r="E99" s="46">
        <f t="shared" si="17"/>
        <v>0</v>
      </c>
      <c r="F99" s="1">
        <f t="shared" ca="1" si="18"/>
        <v>2.375</v>
      </c>
      <c r="G99" t="e">
        <f t="shared" ca="1" si="19"/>
        <v>#N/A</v>
      </c>
      <c r="H99" t="e">
        <f t="shared" ca="1" si="20"/>
        <v>#N/A</v>
      </c>
      <c r="I99" s="7">
        <f t="shared" si="21"/>
        <v>0</v>
      </c>
      <c r="J99" s="7">
        <f t="shared" si="22"/>
        <v>0</v>
      </c>
      <c r="K99">
        <f t="shared" si="23"/>
        <v>0</v>
      </c>
      <c r="L99" s="15">
        <f t="shared" ca="1" si="24"/>
        <v>0</v>
      </c>
      <c r="M99" s="9">
        <f t="shared" ca="1" si="41"/>
        <v>0</v>
      </c>
      <c r="N99" s="7">
        <f t="shared" ca="1" si="25"/>
        <v>0</v>
      </c>
      <c r="O99" s="7">
        <f t="shared" ca="1" si="26"/>
        <v>0</v>
      </c>
      <c r="P99" s="7">
        <f t="shared" ca="1" si="27"/>
        <v>0</v>
      </c>
      <c r="U99" t="e">
        <f t="shared" ca="1" si="28"/>
        <v>#N/A</v>
      </c>
      <c r="V99" t="e">
        <f t="shared" ca="1" si="29"/>
        <v>#N/A</v>
      </c>
      <c r="X99" t="e">
        <f t="shared" ca="1" si="30"/>
        <v>#N/A</v>
      </c>
      <c r="Y99" t="e">
        <f t="shared" ca="1" si="31"/>
        <v>#N/A</v>
      </c>
      <c r="AJ99" t="e">
        <v>#N/A</v>
      </c>
      <c r="AK99" t="e">
        <v>#N/A</v>
      </c>
      <c r="AL99" t="e">
        <v>#N/A</v>
      </c>
      <c r="AM99" t="e">
        <v>#N/A</v>
      </c>
      <c r="AN99" t="e">
        <v>#N/A</v>
      </c>
      <c r="AQ99">
        <v>97</v>
      </c>
      <c r="AR99">
        <f t="shared" si="34"/>
        <v>-1.4624321208617683</v>
      </c>
      <c r="AS99">
        <f t="shared" si="35"/>
        <v>11.910553819695865</v>
      </c>
    </row>
    <row r="100" spans="1:71" x14ac:dyDescent="0.25">
      <c r="A100">
        <v>64</v>
      </c>
      <c r="B100" s="5">
        <v>0</v>
      </c>
      <c r="C100" s="1">
        <f t="shared" ca="1" si="40"/>
        <v>0</v>
      </c>
      <c r="D100" s="46">
        <f t="shared" si="16"/>
        <v>0</v>
      </c>
      <c r="E100" s="46">
        <f t="shared" si="17"/>
        <v>0</v>
      </c>
      <c r="F100" s="1">
        <f t="shared" ca="1" si="18"/>
        <v>2.375</v>
      </c>
      <c r="G100" t="e">
        <f t="shared" ca="1" si="19"/>
        <v>#N/A</v>
      </c>
      <c r="H100" t="e">
        <f t="shared" ca="1" si="20"/>
        <v>#N/A</v>
      </c>
      <c r="I100" s="7">
        <f t="shared" si="21"/>
        <v>0</v>
      </c>
      <c r="J100" s="7">
        <f t="shared" si="22"/>
        <v>0</v>
      </c>
      <c r="K100">
        <f t="shared" si="23"/>
        <v>0</v>
      </c>
      <c r="L100" s="15">
        <f t="shared" ca="1" si="24"/>
        <v>0</v>
      </c>
      <c r="M100" s="9">
        <f t="shared" ca="1" si="41"/>
        <v>0</v>
      </c>
      <c r="N100" s="7">
        <f t="shared" ca="1" si="25"/>
        <v>0</v>
      </c>
      <c r="O100" s="7">
        <f t="shared" ca="1" si="26"/>
        <v>0</v>
      </c>
      <c r="P100" s="7">
        <f t="shared" ca="1" si="27"/>
        <v>0</v>
      </c>
      <c r="U100" t="e">
        <f t="shared" ca="1" si="28"/>
        <v>#N/A</v>
      </c>
      <c r="V100" t="e">
        <f t="shared" ca="1" si="29"/>
        <v>#N/A</v>
      </c>
      <c r="X100" t="e">
        <f t="shared" ca="1" si="30"/>
        <v>#N/A</v>
      </c>
      <c r="Y100" t="e">
        <f t="shared" ca="1" si="31"/>
        <v>#N/A</v>
      </c>
      <c r="AJ100" t="e">
        <v>#N/A</v>
      </c>
      <c r="AK100" t="e">
        <v>#N/A</v>
      </c>
      <c r="AL100" t="e">
        <v>#N/A</v>
      </c>
      <c r="AM100" t="e">
        <v>#N/A</v>
      </c>
      <c r="AN100" t="e">
        <v>#N/A</v>
      </c>
      <c r="AQ100">
        <v>98</v>
      </c>
      <c r="AR100">
        <f t="shared" si="34"/>
        <v>-1.6700772115207843</v>
      </c>
      <c r="AS100">
        <f t="shared" si="35"/>
        <v>11.883216824898845</v>
      </c>
    </row>
    <row r="101" spans="1:71" x14ac:dyDescent="0.25">
      <c r="A101">
        <v>65</v>
      </c>
      <c r="B101" s="5">
        <v>0</v>
      </c>
      <c r="C101" s="1">
        <f t="shared" ref="C101:C108" ca="1" si="42">IF(A101&lt;=$B$31,OFFSET($Q$36,MATCH(B101,$Q$36:$Q$47,0)-1,2),0)</f>
        <v>0</v>
      </c>
      <c r="D101" s="46">
        <f t="shared" si="16"/>
        <v>0</v>
      </c>
      <c r="E101" s="46">
        <f t="shared" si="17"/>
        <v>0</v>
      </c>
      <c r="F101" s="1">
        <f t="shared" ca="1" si="18"/>
        <v>2.375</v>
      </c>
      <c r="G101" t="e">
        <f t="shared" ca="1" si="19"/>
        <v>#N/A</v>
      </c>
      <c r="H101" t="e">
        <f t="shared" ca="1" si="20"/>
        <v>#N/A</v>
      </c>
      <c r="I101" s="7">
        <f t="shared" si="21"/>
        <v>0</v>
      </c>
      <c r="J101" s="7">
        <f t="shared" si="22"/>
        <v>0</v>
      </c>
      <c r="K101">
        <f t="shared" si="23"/>
        <v>0</v>
      </c>
      <c r="L101" s="15">
        <f t="shared" ca="1" si="24"/>
        <v>0</v>
      </c>
      <c r="M101" s="9">
        <f t="shared" ref="M101:M108" ca="1" si="43">IF(AND(L101&gt;0,K101&lt;=$B$12),MIN((L101*F$35),C$35)-IF($B$2="Whitney",$B$9,B215),MAX(L101*F$35,-1*C$35))</f>
        <v>0</v>
      </c>
      <c r="N101" s="7">
        <f t="shared" ca="1" si="25"/>
        <v>0</v>
      </c>
      <c r="O101" s="7">
        <f t="shared" ca="1" si="26"/>
        <v>0</v>
      </c>
      <c r="P101" s="7">
        <f t="shared" ca="1" si="27"/>
        <v>0</v>
      </c>
      <c r="U101" t="e">
        <f t="shared" ca="1" si="28"/>
        <v>#N/A</v>
      </c>
      <c r="V101" t="e">
        <f t="shared" ca="1" si="29"/>
        <v>#N/A</v>
      </c>
      <c r="X101" t="e">
        <f t="shared" ca="1" si="30"/>
        <v>#N/A</v>
      </c>
      <c r="Y101" t="e">
        <f t="shared" ca="1" si="31"/>
        <v>#N/A</v>
      </c>
      <c r="AJ101" t="e">
        <v>#N/A</v>
      </c>
      <c r="AK101" t="e">
        <v>#N/A</v>
      </c>
      <c r="AL101" t="e">
        <v>#N/A</v>
      </c>
      <c r="AM101" t="e">
        <v>#N/A</v>
      </c>
      <c r="AN101" t="e">
        <v>#N/A</v>
      </c>
      <c r="AQ101">
        <v>99</v>
      </c>
      <c r="AR101">
        <f t="shared" si="34"/>
        <v>-1.8772135804827697</v>
      </c>
      <c r="AS101">
        <f t="shared" si="35"/>
        <v>11.852260087141653</v>
      </c>
    </row>
    <row r="102" spans="1:71" x14ac:dyDescent="0.25">
      <c r="A102">
        <v>66</v>
      </c>
      <c r="B102" s="5">
        <v>0</v>
      </c>
      <c r="C102" s="1">
        <f t="shared" ca="1" si="42"/>
        <v>0</v>
      </c>
      <c r="D102" s="46">
        <f t="shared" ref="D102:D108" si="44">IF($E$32*(A102-1)&gt;=360,0,(($B$3-F102)*COS(RADIANS(($E$32*(A102-1))+$E$30))))</f>
        <v>0</v>
      </c>
      <c r="E102" s="46">
        <f t="shared" ref="E102:E108" si="45">IF($E$32*(A102-1)&gt;=360,0,($B$3-F102)*SIN(RADIANS(($E$32*(A102-1))+$E$30)))</f>
        <v>0</v>
      </c>
      <c r="F102" s="1">
        <f t="shared" ref="F102:F108" ca="1" si="46">$E$31+(OFFSET($Q$36,MATCH(B102,$Q$36:$Q$47,0)-1,1)/2)</f>
        <v>2.375</v>
      </c>
      <c r="G102" t="e">
        <f t="shared" ref="G102:G108" ca="1" si="47">IF(C102=0,NA(),D102)</f>
        <v>#N/A</v>
      </c>
      <c r="H102" t="e">
        <f t="shared" ref="H102:H108" ca="1" si="48">IF(C102=0,NA(),E102)</f>
        <v>#N/A</v>
      </c>
      <c r="I102" s="7">
        <f t="shared" ref="I102:I108" si="49">D102*COS($B$10)+E102*SIN($B$10)</f>
        <v>0</v>
      </c>
      <c r="J102" s="7">
        <f t="shared" ref="J102:J108" si="50">-1*D102*SIN($B$10)+E102*COS($B$10)</f>
        <v>0</v>
      </c>
      <c r="K102">
        <f t="shared" ref="K102:K108" si="51">IF(B102=0,0,$B$3-J102)</f>
        <v>0</v>
      </c>
      <c r="L102" s="15">
        <f t="shared" ref="L102:L108" ca="1" si="52">IF($B$11&lt;=0,-1,IF(C102=0,0,(($B$11-K102)/$B$11)*$B$13)*IF($B$11&lt;0,-1,1))</f>
        <v>0</v>
      </c>
      <c r="M102" s="9">
        <f t="shared" ca="1" si="43"/>
        <v>0</v>
      </c>
      <c r="N102" s="7">
        <f t="shared" ref="N102:N108" ca="1" si="53">M102*C102</f>
        <v>0</v>
      </c>
      <c r="O102" s="7">
        <f t="shared" ref="O102:O108" ca="1" si="54">N102*J102</f>
        <v>0</v>
      </c>
      <c r="P102" s="7">
        <f t="shared" ref="P102:P108" ca="1" si="55">N102*I102</f>
        <v>0</v>
      </c>
      <c r="U102" t="e">
        <f t="shared" ref="U102:U108" ca="1" si="56">IF(AND(N102&lt;0,C102&gt;0),D102,NA())</f>
        <v>#N/A</v>
      </c>
      <c r="V102" t="e">
        <f t="shared" ref="V102:V108" ca="1" si="57">IF(AND(N102&lt;0,C102&gt;0),E102,NA())</f>
        <v>#N/A</v>
      </c>
      <c r="X102" t="e">
        <f t="shared" ref="X102:X108" ca="1" si="58">IF(AND(N102&gt;=0,C102&gt;0),D102,NA())</f>
        <v>#N/A</v>
      </c>
      <c r="Y102" t="e">
        <f t="shared" ref="Y102:Y108" ca="1" si="59">IF(AND(N102&gt;=0,C102&gt;0),E102,NA())</f>
        <v>#N/A</v>
      </c>
      <c r="AJ102" t="e">
        <v>#N/A</v>
      </c>
      <c r="AK102" t="e">
        <v>#N/A</v>
      </c>
      <c r="AL102" t="e">
        <v>#N/A</v>
      </c>
      <c r="AM102" t="e">
        <v>#N/A</v>
      </c>
      <c r="AN102" t="e">
        <v>#N/A</v>
      </c>
      <c r="AQ102">
        <v>100</v>
      </c>
      <c r="AR102">
        <f t="shared" si="34"/>
        <v>-2.0837781320031636</v>
      </c>
      <c r="AS102">
        <f t="shared" si="35"/>
        <v>11.817693036146496</v>
      </c>
    </row>
    <row r="103" spans="1:71" x14ac:dyDescent="0.25">
      <c r="A103">
        <v>67</v>
      </c>
      <c r="B103" s="5">
        <v>0</v>
      </c>
      <c r="C103" s="1">
        <f t="shared" ca="1" si="42"/>
        <v>0</v>
      </c>
      <c r="D103" s="46">
        <f t="shared" si="44"/>
        <v>0</v>
      </c>
      <c r="E103" s="46">
        <f t="shared" si="45"/>
        <v>0</v>
      </c>
      <c r="F103" s="1">
        <f t="shared" ca="1" si="46"/>
        <v>2.375</v>
      </c>
      <c r="G103" t="e">
        <f t="shared" ca="1" si="47"/>
        <v>#N/A</v>
      </c>
      <c r="H103" t="e">
        <f t="shared" ca="1" si="48"/>
        <v>#N/A</v>
      </c>
      <c r="I103" s="7">
        <f t="shared" si="49"/>
        <v>0</v>
      </c>
      <c r="J103" s="7">
        <f t="shared" si="50"/>
        <v>0</v>
      </c>
      <c r="K103">
        <f t="shared" si="51"/>
        <v>0</v>
      </c>
      <c r="L103" s="15">
        <f t="shared" ca="1" si="52"/>
        <v>0</v>
      </c>
      <c r="M103" s="9">
        <f t="shared" ca="1" si="43"/>
        <v>0</v>
      </c>
      <c r="N103" s="7">
        <f t="shared" ca="1" si="53"/>
        <v>0</v>
      </c>
      <c r="O103" s="7">
        <f t="shared" ca="1" si="54"/>
        <v>0</v>
      </c>
      <c r="P103" s="7">
        <f t="shared" ca="1" si="55"/>
        <v>0</v>
      </c>
      <c r="U103" t="e">
        <f t="shared" ca="1" si="56"/>
        <v>#N/A</v>
      </c>
      <c r="V103" t="e">
        <f t="shared" ca="1" si="57"/>
        <v>#N/A</v>
      </c>
      <c r="X103" t="e">
        <f t="shared" ca="1" si="58"/>
        <v>#N/A</v>
      </c>
      <c r="Y103" t="e">
        <f t="shared" ca="1" si="59"/>
        <v>#N/A</v>
      </c>
      <c r="AJ103" t="e">
        <v>#N/A</v>
      </c>
      <c r="AK103" t="e">
        <v>#N/A</v>
      </c>
      <c r="AL103" t="e">
        <v>#N/A</v>
      </c>
      <c r="AM103" t="e">
        <v>#N/A</v>
      </c>
      <c r="AN103" t="e">
        <v>#N/A</v>
      </c>
      <c r="AQ103">
        <v>101</v>
      </c>
      <c r="AR103">
        <f t="shared" si="34"/>
        <v>-2.2897079445185375</v>
      </c>
      <c r="AS103">
        <f t="shared" si="35"/>
        <v>11.779526201371969</v>
      </c>
    </row>
    <row r="104" spans="1:71" x14ac:dyDescent="0.25">
      <c r="A104">
        <v>68</v>
      </c>
      <c r="B104" s="5">
        <v>0</v>
      </c>
      <c r="C104" s="1">
        <f t="shared" ca="1" si="42"/>
        <v>0</v>
      </c>
      <c r="D104" s="46">
        <f t="shared" si="44"/>
        <v>0</v>
      </c>
      <c r="E104" s="46">
        <f t="shared" si="45"/>
        <v>0</v>
      </c>
      <c r="F104" s="1">
        <f t="shared" ca="1" si="46"/>
        <v>2.375</v>
      </c>
      <c r="G104" t="e">
        <f t="shared" ca="1" si="47"/>
        <v>#N/A</v>
      </c>
      <c r="H104" t="e">
        <f t="shared" ca="1" si="48"/>
        <v>#N/A</v>
      </c>
      <c r="I104" s="7">
        <f t="shared" si="49"/>
        <v>0</v>
      </c>
      <c r="J104" s="7">
        <f t="shared" si="50"/>
        <v>0</v>
      </c>
      <c r="K104">
        <f t="shared" si="51"/>
        <v>0</v>
      </c>
      <c r="L104" s="15">
        <f t="shared" ca="1" si="52"/>
        <v>0</v>
      </c>
      <c r="M104" s="9">
        <f t="shared" ca="1" si="43"/>
        <v>0</v>
      </c>
      <c r="N104" s="7">
        <f t="shared" ca="1" si="53"/>
        <v>0</v>
      </c>
      <c r="O104" s="7">
        <f t="shared" ca="1" si="54"/>
        <v>0</v>
      </c>
      <c r="P104" s="7">
        <f t="shared" ca="1" si="55"/>
        <v>0</v>
      </c>
      <c r="U104" t="e">
        <f t="shared" ca="1" si="56"/>
        <v>#N/A</v>
      </c>
      <c r="V104" t="e">
        <f t="shared" ca="1" si="57"/>
        <v>#N/A</v>
      </c>
      <c r="X104" t="e">
        <f t="shared" ca="1" si="58"/>
        <v>#N/A</v>
      </c>
      <c r="Y104" t="e">
        <f t="shared" ca="1" si="59"/>
        <v>#N/A</v>
      </c>
      <c r="AJ104" t="e">
        <v>#N/A</v>
      </c>
      <c r="AK104" t="e">
        <v>#N/A</v>
      </c>
      <c r="AL104" t="e">
        <v>#N/A</v>
      </c>
      <c r="AM104" t="e">
        <v>#N/A</v>
      </c>
      <c r="AN104" t="e">
        <v>#N/A</v>
      </c>
      <c r="AQ104">
        <v>102</v>
      </c>
      <c r="AR104">
        <f t="shared" si="34"/>
        <v>-2.4949402898131119</v>
      </c>
      <c r="AS104">
        <f t="shared" si="35"/>
        <v>11.737771208805668</v>
      </c>
      <c r="AV104">
        <v>1156.326446078416</v>
      </c>
      <c r="AW104">
        <v>1.6400979409153985E-14</v>
      </c>
      <c r="AX104">
        <v>160.92849827626284</v>
      </c>
      <c r="AY104">
        <f t="shared" ref="AY104:AY105" si="60">SQRT(POWER(AW104,2)+POWER(AX104,2))</f>
        <v>160.92849827626284</v>
      </c>
      <c r="BF104">
        <v>1156.326446078416</v>
      </c>
      <c r="BG104">
        <v>36.779746262540044</v>
      </c>
      <c r="BH104">
        <v>189.64556666622201</v>
      </c>
      <c r="BI104">
        <f t="shared" ref="BI104:BI105" si="61">SQRT(POWER(BG104,2)+POWER(BH104,2))</f>
        <v>193.17916733252912</v>
      </c>
      <c r="BP104">
        <v>1156.326446078416</v>
      </c>
      <c r="BQ104">
        <v>-2.6188807882463411E-14</v>
      </c>
      <c r="BR104">
        <v>-159.26138739528514</v>
      </c>
      <c r="BS104">
        <f t="shared" ref="BS104" si="62">SQRT(POWER(BQ104,2)+POWER(BR104,2))*-1</f>
        <v>-159.26138739528514</v>
      </c>
    </row>
    <row r="105" spans="1:71" x14ac:dyDescent="0.25">
      <c r="A105">
        <v>69</v>
      </c>
      <c r="B105" s="5">
        <v>0</v>
      </c>
      <c r="C105" s="1">
        <f t="shared" ca="1" si="42"/>
        <v>0</v>
      </c>
      <c r="D105" s="46">
        <f t="shared" si="44"/>
        <v>0</v>
      </c>
      <c r="E105" s="46">
        <f t="shared" si="45"/>
        <v>0</v>
      </c>
      <c r="F105" s="1">
        <f t="shared" ca="1" si="46"/>
        <v>2.375</v>
      </c>
      <c r="G105" t="e">
        <f t="shared" ca="1" si="47"/>
        <v>#N/A</v>
      </c>
      <c r="H105" t="e">
        <f t="shared" ca="1" si="48"/>
        <v>#N/A</v>
      </c>
      <c r="I105" s="7">
        <f t="shared" si="49"/>
        <v>0</v>
      </c>
      <c r="J105" s="7">
        <f t="shared" si="50"/>
        <v>0</v>
      </c>
      <c r="K105">
        <f t="shared" si="51"/>
        <v>0</v>
      </c>
      <c r="L105" s="15">
        <f t="shared" ca="1" si="52"/>
        <v>0</v>
      </c>
      <c r="M105" s="9">
        <f t="shared" ca="1" si="43"/>
        <v>0</v>
      </c>
      <c r="N105" s="7">
        <f t="shared" ca="1" si="53"/>
        <v>0</v>
      </c>
      <c r="O105" s="7">
        <f t="shared" ca="1" si="54"/>
        <v>0</v>
      </c>
      <c r="P105" s="7">
        <f t="shared" ca="1" si="55"/>
        <v>0</v>
      </c>
      <c r="U105" t="e">
        <f t="shared" ca="1" si="56"/>
        <v>#N/A</v>
      </c>
      <c r="V105" t="e">
        <f t="shared" ca="1" si="57"/>
        <v>#N/A</v>
      </c>
      <c r="X105" t="e">
        <f t="shared" ca="1" si="58"/>
        <v>#N/A</v>
      </c>
      <c r="Y105" t="e">
        <f t="shared" ca="1" si="59"/>
        <v>#N/A</v>
      </c>
      <c r="AJ105" t="e">
        <v>#N/A</v>
      </c>
      <c r="AK105" t="e">
        <v>#N/A</v>
      </c>
      <c r="AL105" t="e">
        <v>#N/A</v>
      </c>
      <c r="AM105" t="e">
        <v>#N/A</v>
      </c>
      <c r="AN105" t="e">
        <v>#N/A</v>
      </c>
      <c r="AQ105">
        <v>103</v>
      </c>
      <c r="AR105">
        <f t="shared" si="34"/>
        <v>-2.6994126521263802</v>
      </c>
      <c r="AS105">
        <f t="shared" si="35"/>
        <v>11.692440777422823</v>
      </c>
      <c r="AV105">
        <f>AV104</f>
        <v>1156.326446078416</v>
      </c>
      <c r="AW105">
        <v>0</v>
      </c>
      <c r="AX105">
        <v>0</v>
      </c>
      <c r="AY105">
        <f t="shared" si="60"/>
        <v>0</v>
      </c>
      <c r="BF105">
        <f>BF104</f>
        <v>1156.326446078416</v>
      </c>
      <c r="BG105">
        <v>0</v>
      </c>
      <c r="BH105">
        <v>0</v>
      </c>
      <c r="BI105">
        <f t="shared" si="61"/>
        <v>0</v>
      </c>
      <c r="BP105">
        <f>BP104</f>
        <v>1156.326446078416</v>
      </c>
      <c r="BQ105">
        <v>0</v>
      </c>
      <c r="BR105">
        <v>0</v>
      </c>
      <c r="BS105">
        <v>0</v>
      </c>
    </row>
    <row r="106" spans="1:71" x14ac:dyDescent="0.25">
      <c r="A106">
        <v>70</v>
      </c>
      <c r="B106" s="5">
        <v>0</v>
      </c>
      <c r="C106" s="1">
        <f t="shared" ca="1" si="42"/>
        <v>0</v>
      </c>
      <c r="D106" s="46">
        <f t="shared" si="44"/>
        <v>0</v>
      </c>
      <c r="E106" s="46">
        <f t="shared" si="45"/>
        <v>0</v>
      </c>
      <c r="F106" s="1">
        <f t="shared" ca="1" si="46"/>
        <v>2.375</v>
      </c>
      <c r="G106" t="e">
        <f t="shared" ca="1" si="47"/>
        <v>#N/A</v>
      </c>
      <c r="H106" t="e">
        <f t="shared" ca="1" si="48"/>
        <v>#N/A</v>
      </c>
      <c r="I106" s="7">
        <f t="shared" si="49"/>
        <v>0</v>
      </c>
      <c r="J106" s="7">
        <f t="shared" si="50"/>
        <v>0</v>
      </c>
      <c r="K106">
        <f t="shared" si="51"/>
        <v>0</v>
      </c>
      <c r="L106" s="15">
        <f t="shared" ca="1" si="52"/>
        <v>0</v>
      </c>
      <c r="M106" s="9">
        <f t="shared" ca="1" si="43"/>
        <v>0</v>
      </c>
      <c r="N106" s="7">
        <f t="shared" ca="1" si="53"/>
        <v>0</v>
      </c>
      <c r="O106" s="7">
        <f t="shared" ca="1" si="54"/>
        <v>0</v>
      </c>
      <c r="P106" s="7">
        <f t="shared" ca="1" si="55"/>
        <v>0</v>
      </c>
      <c r="U106" t="e">
        <f t="shared" ca="1" si="56"/>
        <v>#N/A</v>
      </c>
      <c r="V106" t="e">
        <f t="shared" ca="1" si="57"/>
        <v>#N/A</v>
      </c>
      <c r="X106" t="e">
        <f t="shared" ca="1" si="58"/>
        <v>#N/A</v>
      </c>
      <c r="Y106" t="e">
        <f t="shared" ca="1" si="59"/>
        <v>#N/A</v>
      </c>
      <c r="AJ106" t="e">
        <v>#N/A</v>
      </c>
      <c r="AK106" t="e">
        <v>#N/A</v>
      </c>
      <c r="AL106" t="e">
        <v>#N/A</v>
      </c>
      <c r="AM106" t="e">
        <v>#N/A</v>
      </c>
      <c r="AN106" t="e">
        <v>#N/A</v>
      </c>
      <c r="AQ106">
        <v>104</v>
      </c>
      <c r="AR106">
        <f t="shared" si="34"/>
        <v>-2.9030627471960133</v>
      </c>
      <c r="AS106">
        <f t="shared" si="35"/>
        <v>11.643548715311958</v>
      </c>
    </row>
    <row r="107" spans="1:71" x14ac:dyDescent="0.25">
      <c r="A107">
        <v>71</v>
      </c>
      <c r="B107" s="5">
        <v>0</v>
      </c>
      <c r="C107" s="1">
        <f t="shared" ca="1" si="42"/>
        <v>0</v>
      </c>
      <c r="D107" s="46">
        <f t="shared" si="44"/>
        <v>0</v>
      </c>
      <c r="E107" s="46">
        <f t="shared" si="45"/>
        <v>0</v>
      </c>
      <c r="F107" s="1">
        <f t="shared" ca="1" si="46"/>
        <v>2.375</v>
      </c>
      <c r="G107" t="e">
        <f t="shared" ca="1" si="47"/>
        <v>#N/A</v>
      </c>
      <c r="H107" t="e">
        <f t="shared" ca="1" si="48"/>
        <v>#N/A</v>
      </c>
      <c r="I107" s="7">
        <f t="shared" si="49"/>
        <v>0</v>
      </c>
      <c r="J107" s="7">
        <f t="shared" si="50"/>
        <v>0</v>
      </c>
      <c r="K107">
        <f t="shared" si="51"/>
        <v>0</v>
      </c>
      <c r="L107" s="15">
        <f t="shared" ca="1" si="52"/>
        <v>0</v>
      </c>
      <c r="M107" s="9">
        <f t="shared" ca="1" si="43"/>
        <v>0</v>
      </c>
      <c r="N107" s="7">
        <f t="shared" ca="1" si="53"/>
        <v>0</v>
      </c>
      <c r="O107" s="7">
        <f t="shared" ca="1" si="54"/>
        <v>0</v>
      </c>
      <c r="P107" s="7">
        <f t="shared" ca="1" si="55"/>
        <v>0</v>
      </c>
      <c r="U107" t="e">
        <f t="shared" ca="1" si="56"/>
        <v>#N/A</v>
      </c>
      <c r="V107" t="e">
        <f t="shared" ca="1" si="57"/>
        <v>#N/A</v>
      </c>
      <c r="X107" t="e">
        <f t="shared" ca="1" si="58"/>
        <v>#N/A</v>
      </c>
      <c r="Y107" t="e">
        <f t="shared" ca="1" si="59"/>
        <v>#N/A</v>
      </c>
      <c r="AJ107" t="e">
        <v>#N/A</v>
      </c>
      <c r="AK107" t="e">
        <v>#N/A</v>
      </c>
      <c r="AL107" t="e">
        <v>#N/A</v>
      </c>
      <c r="AM107" t="e">
        <v>#N/A</v>
      </c>
      <c r="AN107" t="e">
        <v>#N/A</v>
      </c>
      <c r="AQ107">
        <v>105</v>
      </c>
      <c r="AR107">
        <f t="shared" si="34"/>
        <v>-3.1058285412302502</v>
      </c>
      <c r="AS107">
        <f t="shared" si="35"/>
        <v>11.59110991546882</v>
      </c>
    </row>
    <row r="108" spans="1:71" ht="15.75" thickBot="1" x14ac:dyDescent="0.3">
      <c r="A108">
        <v>72</v>
      </c>
      <c r="B108" s="5">
        <v>0</v>
      </c>
      <c r="C108" s="12">
        <f t="shared" ca="1" si="42"/>
        <v>0</v>
      </c>
      <c r="D108" s="46">
        <f t="shared" si="44"/>
        <v>0</v>
      </c>
      <c r="E108" s="46">
        <f t="shared" si="45"/>
        <v>0</v>
      </c>
      <c r="F108" s="1">
        <f t="shared" ca="1" si="46"/>
        <v>2.375</v>
      </c>
      <c r="G108" t="e">
        <f t="shared" ca="1" si="47"/>
        <v>#N/A</v>
      </c>
      <c r="H108" t="e">
        <f t="shared" ca="1" si="48"/>
        <v>#N/A</v>
      </c>
      <c r="I108" s="7">
        <f t="shared" si="49"/>
        <v>0</v>
      </c>
      <c r="J108" s="7">
        <f t="shared" si="50"/>
        <v>0</v>
      </c>
      <c r="K108">
        <f t="shared" si="51"/>
        <v>0</v>
      </c>
      <c r="L108" s="15">
        <f t="shared" ca="1" si="52"/>
        <v>0</v>
      </c>
      <c r="M108" s="9">
        <f t="shared" ca="1" si="43"/>
        <v>0</v>
      </c>
      <c r="N108" s="7">
        <f t="shared" ca="1" si="53"/>
        <v>0</v>
      </c>
      <c r="O108" s="7">
        <f t="shared" ca="1" si="54"/>
        <v>0</v>
      </c>
      <c r="P108" s="7">
        <f t="shared" ca="1" si="55"/>
        <v>0</v>
      </c>
      <c r="U108" t="e">
        <f t="shared" ca="1" si="56"/>
        <v>#N/A</v>
      </c>
      <c r="V108" t="e">
        <f t="shared" ca="1" si="57"/>
        <v>#N/A</v>
      </c>
      <c r="X108" t="e">
        <f t="shared" ca="1" si="58"/>
        <v>#N/A</v>
      </c>
      <c r="Y108" t="e">
        <f t="shared" ca="1" si="59"/>
        <v>#N/A</v>
      </c>
      <c r="AJ108" t="e">
        <v>#N/A</v>
      </c>
      <c r="AK108" t="e">
        <v>#N/A</v>
      </c>
      <c r="AL108" t="e">
        <v>#N/A</v>
      </c>
      <c r="AM108" t="e">
        <v>#N/A</v>
      </c>
      <c r="AN108" t="e">
        <v>#N/A</v>
      </c>
      <c r="AQ108">
        <v>106</v>
      </c>
      <c r="AR108">
        <f t="shared" si="34"/>
        <v>-3.3076482698039884</v>
      </c>
      <c r="AS108">
        <f t="shared" si="35"/>
        <v>11.535140351259827</v>
      </c>
    </row>
    <row r="109" spans="1:71" ht="15.75" thickTop="1" x14ac:dyDescent="0.25">
      <c r="C109" s="13">
        <f ca="1">SUM(C37:C108)</f>
        <v>5.3999999999999995</v>
      </c>
      <c r="L109" s="15">
        <f ca="1">MIN(L37:L108)</f>
        <v>-3.1406881699743636E-3</v>
      </c>
      <c r="M109" s="9"/>
      <c r="N109" s="7">
        <f ca="1">SUM(N37:N108)</f>
        <v>-61.084807372828664</v>
      </c>
      <c r="O109" s="7">
        <f t="shared" ref="O109:P109" ca="1" si="63">SUM(O37:O108)</f>
        <v>1573.261328940511</v>
      </c>
      <c r="P109" s="7">
        <f t="shared" ca="1" si="63"/>
        <v>-3.694822225952521E-13</v>
      </c>
      <c r="AJ109" t="e">
        <v>#N/A</v>
      </c>
      <c r="AK109" t="e">
        <v>#N/A</v>
      </c>
      <c r="AL109" t="e">
        <v>#N/A</v>
      </c>
      <c r="AM109" t="e">
        <v>#N/A</v>
      </c>
      <c r="AN109" t="e">
        <v>#N/A</v>
      </c>
      <c r="AQ109">
        <v>107</v>
      </c>
      <c r="AR109">
        <f t="shared" si="34"/>
        <v>-3.5084604566728399</v>
      </c>
      <c r="AS109">
        <f t="shared" si="35"/>
        <v>11.475657071556427</v>
      </c>
    </row>
    <row r="110" spans="1:71" x14ac:dyDescent="0.25">
      <c r="M110" s="9"/>
      <c r="AJ110" t="e">
        <v>#N/A</v>
      </c>
      <c r="AK110" t="e">
        <v>#N/A</v>
      </c>
      <c r="AL110" t="e">
        <v>#N/A</v>
      </c>
      <c r="AM110" t="e">
        <v>#N/A</v>
      </c>
      <c r="AN110" t="e">
        <v>#N/A</v>
      </c>
      <c r="AQ110">
        <v>108</v>
      </c>
      <c r="AR110">
        <f t="shared" si="34"/>
        <v>-3.7082039324993681</v>
      </c>
      <c r="AS110">
        <f t="shared" si="35"/>
        <v>11.412678195541844</v>
      </c>
    </row>
    <row r="111" spans="1:71" x14ac:dyDescent="0.25">
      <c r="M111" s="9"/>
      <c r="AJ111" t="e">
        <v>#N/A</v>
      </c>
      <c r="AK111" t="e">
        <v>#N/A</v>
      </c>
      <c r="AL111" t="e">
        <v>#N/A</v>
      </c>
      <c r="AM111" t="e">
        <v>#N/A</v>
      </c>
      <c r="AN111" t="e">
        <v>#N/A</v>
      </c>
      <c r="AQ111">
        <v>109</v>
      </c>
      <c r="AR111">
        <f t="shared" si="34"/>
        <v>-3.9068178534858795</v>
      </c>
      <c r="AS111">
        <f t="shared" si="35"/>
        <v>11.346222907191802</v>
      </c>
    </row>
    <row r="112" spans="1:71" x14ac:dyDescent="0.25">
      <c r="A112" t="s">
        <v>21</v>
      </c>
      <c r="B112" s="10">
        <f ca="1">H31+N109</f>
        <v>506.11696476995667</v>
      </c>
      <c r="M112" s="9"/>
      <c r="AJ112" t="e">
        <v>#N/A</v>
      </c>
      <c r="AK112" t="e">
        <v>#N/A</v>
      </c>
      <c r="AL112" t="e">
        <v>#N/A</v>
      </c>
      <c r="AM112" t="e">
        <v>#N/A</v>
      </c>
      <c r="AN112" t="e">
        <v>#N/A</v>
      </c>
      <c r="AQ112">
        <v>110</v>
      </c>
      <c r="AR112">
        <f t="shared" si="34"/>
        <v>-4.1042417199080248</v>
      </c>
      <c r="AS112">
        <f t="shared" si="35"/>
        <v>11.276311449430901</v>
      </c>
    </row>
    <row r="113" spans="1:45" x14ac:dyDescent="0.25">
      <c r="A113" t="s">
        <v>56</v>
      </c>
      <c r="B113" s="10">
        <f ca="1">I31+O109</f>
        <v>5700.9179569499902</v>
      </c>
      <c r="M113" s="9"/>
      <c r="AJ113" t="e">
        <v>#N/A</v>
      </c>
      <c r="AK113" t="e">
        <v>#N/A</v>
      </c>
      <c r="AL113" t="e">
        <v>#N/A</v>
      </c>
      <c r="AM113" t="e">
        <v>#N/A</v>
      </c>
      <c r="AN113" t="e">
        <v>#N/A</v>
      </c>
      <c r="AQ113">
        <v>111</v>
      </c>
      <c r="AR113">
        <f t="shared" si="34"/>
        <v>-4.3004153945436032</v>
      </c>
      <c r="AS113">
        <f t="shared" si="35"/>
        <v>11.202965117966421</v>
      </c>
    </row>
    <row r="114" spans="1:45" x14ac:dyDescent="0.25">
      <c r="A114" t="s">
        <v>57</v>
      </c>
      <c r="B114" s="10">
        <f ca="1">J31+P109</f>
        <v>-5.0537352080937126E-13</v>
      </c>
      <c r="M114" s="9"/>
      <c r="AJ114" t="e">
        <v>#N/A</v>
      </c>
      <c r="AK114" t="e">
        <v>#N/A</v>
      </c>
      <c r="AL114" t="e">
        <v>#N/A</v>
      </c>
      <c r="AM114" t="e">
        <v>#N/A</v>
      </c>
      <c r="AN114" t="e">
        <v>#N/A</v>
      </c>
      <c r="AQ114">
        <v>112</v>
      </c>
      <c r="AR114">
        <f t="shared" si="34"/>
        <v>-4.4952791209909453</v>
      </c>
      <c r="AS114">
        <f t="shared" si="35"/>
        <v>11.126206254801449</v>
      </c>
    </row>
    <row r="115" spans="1:45" x14ac:dyDescent="0.25">
      <c r="M115" s="9"/>
      <c r="AJ115" t="e">
        <v>#N/A</v>
      </c>
      <c r="AK115" t="e">
        <v>#N/A</v>
      </c>
      <c r="AL115" t="e">
        <v>#N/A</v>
      </c>
      <c r="AM115" t="e">
        <v>#N/A</v>
      </c>
      <c r="AN115" t="e">
        <v>#N/A</v>
      </c>
      <c r="AQ115">
        <v>113</v>
      </c>
      <c r="AR115">
        <f t="shared" si="34"/>
        <v>-4.688773541871285</v>
      </c>
      <c r="AS115">
        <f t="shared" si="35"/>
        <v>11.046058241429282</v>
      </c>
    </row>
    <row r="116" spans="1:45" x14ac:dyDescent="0.25">
      <c r="A116" s="2" t="s">
        <v>58</v>
      </c>
      <c r="B116">
        <f ca="1">((B113*COS(-1*B10))+(B114*SIN(-1*B10)))</f>
        <v>5700.9179569499902</v>
      </c>
      <c r="C116" t="s">
        <v>59</v>
      </c>
      <c r="M116" s="9"/>
      <c r="AJ116" t="e">
        <v>#N/A</v>
      </c>
      <c r="AK116" t="e">
        <v>#N/A</v>
      </c>
      <c r="AL116" t="e">
        <v>#N/A</v>
      </c>
      <c r="AM116" t="e">
        <v>#N/A</v>
      </c>
      <c r="AN116" t="e">
        <v>#N/A</v>
      </c>
      <c r="AQ116">
        <v>114</v>
      </c>
      <c r="AR116">
        <f t="shared" si="34"/>
        <v>-4.8808397169096036</v>
      </c>
      <c r="AS116">
        <f t="shared" si="35"/>
        <v>10.962545491711211</v>
      </c>
    </row>
    <row r="117" spans="1:45" x14ac:dyDescent="0.25">
      <c r="A117" s="2" t="s">
        <v>60</v>
      </c>
      <c r="B117">
        <f ca="1">(-1*(B113)*SIN(-1*B10))+((B114)*COS(-1*B10))</f>
        <v>-5.0537352080937126E-13</v>
      </c>
      <c r="C117" t="s">
        <v>59</v>
      </c>
      <c r="M117" s="9"/>
      <c r="AJ117" t="e">
        <v>#N/A</v>
      </c>
      <c r="AK117" t="e">
        <v>#N/A</v>
      </c>
      <c r="AL117" t="e">
        <v>#N/A</v>
      </c>
      <c r="AM117" t="e">
        <v>#N/A</v>
      </c>
      <c r="AN117" t="e">
        <v>#N/A</v>
      </c>
      <c r="AQ117">
        <v>115</v>
      </c>
      <c r="AR117">
        <f t="shared" si="34"/>
        <v>-5.0714191408883922</v>
      </c>
      <c r="AS117">
        <f t="shared" si="35"/>
        <v>10.875693444439801</v>
      </c>
    </row>
    <row r="118" spans="1:45" x14ac:dyDescent="0.25">
      <c r="M118" s="9"/>
      <c r="AJ118" t="e">
        <v>#N/A</v>
      </c>
      <c r="AK118" t="e">
        <v>#N/A</v>
      </c>
      <c r="AL118" t="e">
        <v>#N/A</v>
      </c>
      <c r="AM118" t="e">
        <v>#N/A</v>
      </c>
      <c r="AN118" t="e">
        <v>#N/A</v>
      </c>
      <c r="AQ118">
        <v>116</v>
      </c>
      <c r="AR118">
        <f t="shared" si="34"/>
        <v>-5.2604537614689306</v>
      </c>
      <c r="AS118">
        <f t="shared" si="35"/>
        <v>10.785528555590004</v>
      </c>
    </row>
    <row r="119" spans="1:45" x14ac:dyDescent="0.25">
      <c r="M119" s="9"/>
      <c r="AJ119" t="e">
        <v>#N/A</v>
      </c>
      <c r="AK119" t="e">
        <v>#N/A</v>
      </c>
      <c r="AL119" t="e">
        <v>#N/A</v>
      </c>
      <c r="AM119" t="e">
        <v>#N/A</v>
      </c>
      <c r="AN119" t="e">
        <v>#N/A</v>
      </c>
      <c r="AQ119">
        <v>117</v>
      </c>
      <c r="AR119">
        <f t="shared" si="34"/>
        <v>-5.4478859968745601</v>
      </c>
      <c r="AS119">
        <f t="shared" si="35"/>
        <v>10.692078290260415</v>
      </c>
    </row>
    <row r="120" spans="1:45" x14ac:dyDescent="0.25">
      <c r="A120" t="s">
        <v>108</v>
      </c>
      <c r="M120" s="9"/>
      <c r="AJ120" t="e">
        <v>#N/A</v>
      </c>
      <c r="AK120" t="e">
        <v>#N/A</v>
      </c>
      <c r="AL120" t="e">
        <v>#N/A</v>
      </c>
      <c r="AM120" t="e">
        <v>#N/A</v>
      </c>
      <c r="AN120" t="e">
        <v>#N/A</v>
      </c>
      <c r="AQ120">
        <v>118</v>
      </c>
      <c r="AR120">
        <f t="shared" si="34"/>
        <v>-5.6336587534306908</v>
      </c>
      <c r="AS120">
        <f t="shared" si="35"/>
        <v>10.595371114307122</v>
      </c>
    </row>
    <row r="121" spans="1:45" ht="18" x14ac:dyDescent="0.35">
      <c r="A121" t="s">
        <v>86</v>
      </c>
      <c r="B121" t="s">
        <v>87</v>
      </c>
      <c r="M121" s="9"/>
      <c r="AJ121" t="e">
        <v>#N/A</v>
      </c>
      <c r="AK121" t="e">
        <v>#N/A</v>
      </c>
      <c r="AL121" t="e">
        <v>#N/A</v>
      </c>
      <c r="AM121" t="e">
        <v>#N/A</v>
      </c>
      <c r="AN121" t="e">
        <v>#N/A</v>
      </c>
      <c r="AQ121">
        <v>119</v>
      </c>
      <c r="AR121">
        <f t="shared" si="34"/>
        <v>-5.817715442956044</v>
      </c>
      <c r="AS121">
        <f t="shared" si="35"/>
        <v>10.49543648567275</v>
      </c>
    </row>
    <row r="122" spans="1:45" ht="18" x14ac:dyDescent="0.35">
      <c r="A122" t="s">
        <v>88</v>
      </c>
      <c r="B122" t="s">
        <v>89</v>
      </c>
      <c r="M122" s="9"/>
      <c r="AJ122" t="e">
        <v>#N/A</v>
      </c>
      <c r="AK122" t="e">
        <v>#N/A</v>
      </c>
      <c r="AL122" t="e">
        <v>#N/A</v>
      </c>
      <c r="AM122" t="e">
        <v>#N/A</v>
      </c>
      <c r="AN122" t="e">
        <v>#N/A</v>
      </c>
      <c r="AQ122">
        <v>120</v>
      </c>
      <c r="AR122">
        <f t="shared" si="34"/>
        <v>-5.9999999999999973</v>
      </c>
      <c r="AS122">
        <f t="shared" si="35"/>
        <v>10.392304845413264</v>
      </c>
    </row>
    <row r="123" spans="1:45" ht="18" x14ac:dyDescent="0.35">
      <c r="A123" t="s">
        <v>90</v>
      </c>
      <c r="M123" s="9"/>
      <c r="AJ123" t="e">
        <v>#N/A</v>
      </c>
      <c r="AK123" t="e">
        <v>#N/A</v>
      </c>
      <c r="AL123" t="e">
        <v>#N/A</v>
      </c>
      <c r="AM123" t="e">
        <v>#N/A</v>
      </c>
      <c r="AN123" t="e">
        <v>#N/A</v>
      </c>
      <c r="AQ123">
        <v>121</v>
      </c>
      <c r="AR123">
        <f t="shared" si="34"/>
        <v>-6.1804568989206512</v>
      </c>
      <c r="AS123">
        <f t="shared" si="35"/>
        <v>10.286007608425347</v>
      </c>
    </row>
    <row r="124" spans="1:45" ht="18.75" x14ac:dyDescent="0.35">
      <c r="A124" t="s">
        <v>91</v>
      </c>
      <c r="B124" t="s">
        <v>92</v>
      </c>
      <c r="M124" s="9"/>
      <c r="AJ124" t="e">
        <v>#N/A</v>
      </c>
      <c r="AK124" t="e">
        <v>#N/A</v>
      </c>
      <c r="AL124" t="e">
        <v>#N/A</v>
      </c>
      <c r="AM124" t="e">
        <v>#N/A</v>
      </c>
      <c r="AN124" t="e">
        <v>#N/A</v>
      </c>
      <c r="AQ124">
        <v>122</v>
      </c>
      <c r="AR124">
        <f t="shared" si="34"/>
        <v>-6.3590311707984579</v>
      </c>
      <c r="AS124">
        <f t="shared" si="35"/>
        <v>10.176577153877112</v>
      </c>
    </row>
    <row r="125" spans="1:45" x14ac:dyDescent="0.25">
      <c r="M125" s="9"/>
      <c r="AJ125" t="e">
        <v>#N/A</v>
      </c>
      <c r="AK125" t="e">
        <v>#N/A</v>
      </c>
      <c r="AL125" t="e">
        <v>#N/A</v>
      </c>
      <c r="AM125" t="e">
        <v>#N/A</v>
      </c>
      <c r="AN125" t="e">
        <v>#N/A</v>
      </c>
      <c r="AQ125">
        <v>123</v>
      </c>
      <c r="AR125">
        <f t="shared" si="34"/>
        <v>-6.5356684201803255</v>
      </c>
      <c r="AS125">
        <f t="shared" si="35"/>
        <v>10.064046815345087</v>
      </c>
    </row>
    <row r="126" spans="1:45" x14ac:dyDescent="0.25">
      <c r="A126" t="s">
        <v>93</v>
      </c>
      <c r="B126" s="4">
        <f>B5*1000</f>
        <v>5000</v>
      </c>
      <c r="C126" t="s">
        <v>94</v>
      </c>
      <c r="M126" s="9"/>
      <c r="AJ126" t="e">
        <v>#N/A</v>
      </c>
      <c r="AK126" t="e">
        <v>#N/A</v>
      </c>
      <c r="AL126" t="e">
        <v>#N/A</v>
      </c>
      <c r="AM126" t="e">
        <v>#N/A</v>
      </c>
      <c r="AN126" t="e">
        <v>#N/A</v>
      </c>
      <c r="AQ126">
        <v>124</v>
      </c>
      <c r="AR126">
        <f t="shared" si="34"/>
        <v>-6.7103148416489606</v>
      </c>
      <c r="AS126">
        <f t="shared" si="35"/>
        <v>9.9484508706605013</v>
      </c>
    </row>
    <row r="127" spans="1:45" x14ac:dyDescent="0.25">
      <c r="A127" t="s">
        <v>3</v>
      </c>
      <c r="B127" s="4">
        <f>B7*1000</f>
        <v>4074280.688047891</v>
      </c>
      <c r="C127" t="s">
        <v>94</v>
      </c>
      <c r="M127" s="9"/>
      <c r="AJ127" t="e">
        <v>#N/A</v>
      </c>
      <c r="AK127" t="e">
        <v>#N/A</v>
      </c>
      <c r="AL127" t="e">
        <v>#N/A</v>
      </c>
      <c r="AM127" t="e">
        <v>#N/A</v>
      </c>
      <c r="AN127" t="e">
        <v>#N/A</v>
      </c>
      <c r="AQ127">
        <v>125</v>
      </c>
      <c r="AR127">
        <f t="shared" si="34"/>
        <v>-6.8829172362125544</v>
      </c>
      <c r="AS127">
        <f t="shared" si="35"/>
        <v>9.8298245314678994</v>
      </c>
    </row>
    <row r="128" spans="1:45" ht="18" x14ac:dyDescent="0.35">
      <c r="A128" t="s">
        <v>86</v>
      </c>
      <c r="B128" s="1">
        <f>(2*0.85*B126)/B127</f>
        <v>2.0862578331765852E-3</v>
      </c>
      <c r="C128" t="s">
        <v>95</v>
      </c>
      <c r="M128" s="9"/>
      <c r="AJ128" t="e">
        <v>#N/A</v>
      </c>
      <c r="AK128" t="e">
        <v>#N/A</v>
      </c>
      <c r="AL128" t="e">
        <v>#N/A</v>
      </c>
      <c r="AM128" t="e">
        <v>#N/A</v>
      </c>
      <c r="AN128" t="e">
        <v>#N/A</v>
      </c>
      <c r="AQ128">
        <v>126</v>
      </c>
      <c r="AR128">
        <f t="shared" si="34"/>
        <v>-7.0534230275096768</v>
      </c>
      <c r="AS128">
        <f t="shared" si="35"/>
        <v>9.7082039324993694</v>
      </c>
    </row>
    <row r="129" spans="1:45" ht="18" x14ac:dyDescent="0.35">
      <c r="A129" t="s">
        <v>96</v>
      </c>
      <c r="B129" s="1">
        <v>3.0000000000000001E-3</v>
      </c>
      <c r="C129" t="s">
        <v>95</v>
      </c>
      <c r="M129" s="9"/>
      <c r="AJ129" t="e">
        <v>#N/A</v>
      </c>
      <c r="AK129" t="e">
        <v>#N/A</v>
      </c>
      <c r="AL129" t="e">
        <v>#N/A</v>
      </c>
      <c r="AM129" t="e">
        <v>#N/A</v>
      </c>
      <c r="AN129" t="e">
        <v>#N/A</v>
      </c>
      <c r="AQ129">
        <v>127</v>
      </c>
      <c r="AR129">
        <f t="shared" si="34"/>
        <v>-7.2217802778245801</v>
      </c>
      <c r="AS129">
        <f t="shared" si="35"/>
        <v>9.5836261205675122</v>
      </c>
    </row>
    <row r="130" spans="1:45" ht="18" x14ac:dyDescent="0.35">
      <c r="A130" t="s">
        <v>97</v>
      </c>
      <c r="B130" s="1">
        <f>B129/B128</f>
        <v>1.4379814193110203</v>
      </c>
      <c r="C130" t="s">
        <v>98</v>
      </c>
      <c r="M130" s="9"/>
      <c r="Q130">
        <f>1.80832-SIN(1.80832)</f>
        <v>0.83639637458165028</v>
      </c>
      <c r="AJ130" t="e">
        <v>#N/A</v>
      </c>
      <c r="AK130" t="e">
        <v>#N/A</v>
      </c>
      <c r="AL130" t="e">
        <v>#N/A</v>
      </c>
      <c r="AM130" t="e">
        <v>#N/A</v>
      </c>
      <c r="AN130" t="e">
        <v>#N/A</v>
      </c>
      <c r="AQ130">
        <v>128</v>
      </c>
      <c r="AR130">
        <f t="shared" si="34"/>
        <v>-7.3879377039078999</v>
      </c>
      <c r="AS130">
        <f t="shared" si="35"/>
        <v>9.4561290432806651</v>
      </c>
    </row>
    <row r="131" spans="1:45" ht="18" x14ac:dyDescent="0.35">
      <c r="A131" t="s">
        <v>99</v>
      </c>
      <c r="B131" s="7">
        <f>B3</f>
        <v>12</v>
      </c>
      <c r="C131" t="s">
        <v>0</v>
      </c>
      <c r="M131" s="9"/>
      <c r="AJ131" t="e">
        <v>#N/A</v>
      </c>
      <c r="AK131" t="e">
        <v>#N/A</v>
      </c>
      <c r="AL131" t="e">
        <v>#N/A</v>
      </c>
      <c r="AM131" t="e">
        <v>#N/A</v>
      </c>
      <c r="AN131" t="e">
        <v>#N/A</v>
      </c>
      <c r="AQ131">
        <v>129</v>
      </c>
      <c r="AR131">
        <f t="shared" ref="AR131:AR194" si="64">$B$3*COS(RADIANS(AQ131))</f>
        <v>-7.5518446925980474</v>
      </c>
      <c r="AS131">
        <f t="shared" ref="AS131:AS194" si="65">$B$3*SIN(RADIANS(AQ131))</f>
        <v>9.3257515374836526</v>
      </c>
    </row>
    <row r="132" spans="1:45" x14ac:dyDescent="0.25">
      <c r="B132" s="1"/>
      <c r="M132" s="9"/>
      <c r="AJ132" t="e">
        <v>#N/A</v>
      </c>
      <c r="AK132" t="e">
        <v>#N/A</v>
      </c>
      <c r="AL132" t="e">
        <v>#N/A</v>
      </c>
      <c r="AM132" t="e">
        <v>#N/A</v>
      </c>
      <c r="AN132" t="e">
        <v>#N/A</v>
      </c>
      <c r="AQ132">
        <v>130</v>
      </c>
      <c r="AR132">
        <f t="shared" si="64"/>
        <v>-7.7134513162384728</v>
      </c>
      <c r="AS132">
        <f t="shared" si="65"/>
        <v>9.1925333174277366</v>
      </c>
    </row>
    <row r="133" spans="1:45" x14ac:dyDescent="0.25">
      <c r="A133" t="s">
        <v>100</v>
      </c>
      <c r="B133" s="9">
        <f>B11</f>
        <v>10.080348675427047</v>
      </c>
      <c r="C133" t="s">
        <v>0</v>
      </c>
      <c r="D133" t="s">
        <v>101</v>
      </c>
      <c r="J133" s="1" t="s">
        <v>112</v>
      </c>
      <c r="K133" t="s">
        <v>113</v>
      </c>
      <c r="M133" s="9"/>
      <c r="AJ133" t="e">
        <v>#N/A</v>
      </c>
      <c r="AK133" t="e">
        <v>#N/A</v>
      </c>
      <c r="AL133" t="e">
        <v>#N/A</v>
      </c>
      <c r="AM133" t="e">
        <v>#N/A</v>
      </c>
      <c r="AN133" t="e">
        <v>#N/A</v>
      </c>
      <c r="AQ133">
        <v>131</v>
      </c>
      <c r="AR133">
        <f t="shared" si="64"/>
        <v>-7.8727083478860855</v>
      </c>
      <c r="AS133">
        <f t="shared" si="65"/>
        <v>9.0565149626732655</v>
      </c>
    </row>
    <row r="134" spans="1:45" ht="18" x14ac:dyDescent="0.35">
      <c r="A134" t="s">
        <v>102</v>
      </c>
      <c r="B134" s="1">
        <f>(((B128/B129)*B133)-B133)*-1</f>
        <v>3.0702798803400837</v>
      </c>
      <c r="C134" t="s">
        <v>0</v>
      </c>
      <c r="D134" t="s">
        <v>103</v>
      </c>
      <c r="M134" s="9"/>
      <c r="AJ134" t="e">
        <v>#N/A</v>
      </c>
      <c r="AK134" t="e">
        <v>#N/A</v>
      </c>
      <c r="AL134" t="e">
        <v>#N/A</v>
      </c>
      <c r="AM134" t="e">
        <v>#N/A</v>
      </c>
      <c r="AN134" t="e">
        <v>#N/A</v>
      </c>
      <c r="AQ134">
        <v>132</v>
      </c>
      <c r="AR134">
        <f t="shared" si="64"/>
        <v>-8.0295672763062989</v>
      </c>
      <c r="AS134">
        <f t="shared" si="65"/>
        <v>8.9177379057287318</v>
      </c>
    </row>
    <row r="135" spans="1:45" x14ac:dyDescent="0.25">
      <c r="A135" t="s">
        <v>104</v>
      </c>
      <c r="B135" s="1">
        <f>B131-B134</f>
        <v>8.9297201196599154</v>
      </c>
      <c r="C135" t="s">
        <v>0</v>
      </c>
      <c r="D135" t="s">
        <v>105</v>
      </c>
      <c r="J135">
        <f>IF(B11&lt;=0,0,IF(B135&lt;(-1*$B$3),0,SQRT(POWER($B$3,2)-POWER(B135,2))))</f>
        <v>8.0162396785862704</v>
      </c>
      <c r="K135">
        <f>-1*J135</f>
        <v>-8.0162396785862704</v>
      </c>
      <c r="M135" s="9"/>
      <c r="N135">
        <f>B135/0.8</f>
        <v>11.162150149574893</v>
      </c>
      <c r="AJ135" t="e">
        <v>#N/A</v>
      </c>
      <c r="AK135" t="e">
        <v>#N/A</v>
      </c>
      <c r="AL135" t="e">
        <v>#N/A</v>
      </c>
      <c r="AM135" t="e">
        <v>#N/A</v>
      </c>
      <c r="AN135" t="e">
        <v>#N/A</v>
      </c>
      <c r="AQ135">
        <v>133</v>
      </c>
      <c r="AR135">
        <f t="shared" si="64"/>
        <v>-8.1839803207499813</v>
      </c>
      <c r="AS135">
        <f t="shared" si="65"/>
        <v>8.7762444194300464</v>
      </c>
    </row>
    <row r="136" spans="1:45" x14ac:dyDescent="0.25">
      <c r="A136" t="s">
        <v>106</v>
      </c>
      <c r="B136" s="1">
        <f>B131-B133</f>
        <v>1.9196513245729534</v>
      </c>
      <c r="C136" t="s">
        <v>0</v>
      </c>
      <c r="D136" t="s">
        <v>107</v>
      </c>
      <c r="J136">
        <f>IF(B11&lt;=0,0,IF(B136&lt;(-1*$B$3),0,SQRT(POWER($B$3,2)-POWER(B136,2))))</f>
        <v>11.845460682981701</v>
      </c>
      <c r="K136">
        <f>-1*J136</f>
        <v>-11.845460682981701</v>
      </c>
      <c r="M136" s="9"/>
      <c r="AJ136" t="e">
        <v>#N/A</v>
      </c>
      <c r="AK136" t="e">
        <v>#N/A</v>
      </c>
      <c r="AL136" t="e">
        <v>#N/A</v>
      </c>
      <c r="AM136" t="e">
        <v>#N/A</v>
      </c>
      <c r="AN136" t="e">
        <v>#N/A</v>
      </c>
      <c r="AQ136">
        <v>134</v>
      </c>
      <c r="AR136">
        <f t="shared" si="64"/>
        <v>-8.3359004455079688</v>
      </c>
      <c r="AS136">
        <f t="shared" si="65"/>
        <v>8.632077604063813</v>
      </c>
    </row>
    <row r="137" spans="1:45" x14ac:dyDescent="0.25">
      <c r="B137" s="9"/>
      <c r="M137" s="9"/>
      <c r="AJ137" t="e">
        <v>#N/A</v>
      </c>
      <c r="AK137" t="e">
        <v>#N/A</v>
      </c>
      <c r="AL137" t="e">
        <v>#N/A</v>
      </c>
      <c r="AM137" t="e">
        <v>#N/A</v>
      </c>
      <c r="AN137" t="e">
        <v>#N/A</v>
      </c>
      <c r="AQ137">
        <v>135</v>
      </c>
      <c r="AR137">
        <f t="shared" si="64"/>
        <v>-8.4852813742385695</v>
      </c>
      <c r="AS137">
        <f t="shared" si="65"/>
        <v>8.4852813742385713</v>
      </c>
    </row>
    <row r="138" spans="1:45" x14ac:dyDescent="0.25">
      <c r="M138" s="9"/>
      <c r="AJ138" t="e">
        <v>#N/A</v>
      </c>
      <c r="AK138" t="e">
        <v>#N/A</v>
      </c>
      <c r="AL138" t="e">
        <v>#N/A</v>
      </c>
      <c r="AM138" t="e">
        <v>#N/A</v>
      </c>
      <c r="AN138" t="e">
        <v>#N/A</v>
      </c>
      <c r="AQ138">
        <v>136</v>
      </c>
      <c r="AR138">
        <f t="shared" si="64"/>
        <v>-8.6320776040638147</v>
      </c>
      <c r="AS138">
        <f t="shared" si="65"/>
        <v>8.3359004455079653</v>
      </c>
    </row>
    <row r="139" spans="1:45" ht="15.75" thickBot="1" x14ac:dyDescent="0.3">
      <c r="A139" t="s">
        <v>109</v>
      </c>
      <c r="E139" t="s">
        <v>124</v>
      </c>
      <c r="J139" s="1"/>
      <c r="K139" s="1"/>
      <c r="L139" s="1" t="s">
        <v>115</v>
      </c>
      <c r="M139" s="9"/>
      <c r="N139" s="1"/>
      <c r="O139" s="1" t="s">
        <v>116</v>
      </c>
      <c r="P139" s="1"/>
      <c r="Q139" s="1"/>
      <c r="R139" s="1" t="s">
        <v>117</v>
      </c>
      <c r="S139" s="1"/>
      <c r="AJ139" t="e">
        <v>#N/A</v>
      </c>
      <c r="AK139" t="e">
        <v>#N/A</v>
      </c>
      <c r="AL139" t="e">
        <v>#N/A</v>
      </c>
      <c r="AM139" t="e">
        <v>#N/A</v>
      </c>
      <c r="AN139" t="e">
        <v>#N/A</v>
      </c>
      <c r="AQ139">
        <v>137</v>
      </c>
      <c r="AR139">
        <f t="shared" si="64"/>
        <v>-8.7762444194300464</v>
      </c>
      <c r="AS139">
        <f t="shared" si="65"/>
        <v>8.1839803207499831</v>
      </c>
    </row>
    <row r="140" spans="1:45" x14ac:dyDescent="0.25">
      <c r="A140" t="s">
        <v>110</v>
      </c>
      <c r="B140">
        <f>ATAN2(J136,B136)</f>
        <v>0.16066121751937959</v>
      </c>
      <c r="C140" t="s">
        <v>17</v>
      </c>
      <c r="D140">
        <f>B140/(2*PI())</f>
        <v>2.5570026931371479E-2</v>
      </c>
      <c r="E140" s="1" t="s">
        <v>120</v>
      </c>
      <c r="F140" s="1">
        <f>((-2*B129*0.85*B126*B136)/(B133*B128))-((POWER(B129,2)*0.85*B126*POWER(B136,2))/(POWER(B133,2)*POWER(B128,2)))</f>
        <v>-2646.3622254044913</v>
      </c>
      <c r="G140" s="1"/>
      <c r="I140" t="s">
        <v>125</v>
      </c>
      <c r="J140" s="1">
        <f>((-1*F142*POWER(B3,4)*SIN(8*PI()*D140))/32)+((F140*POWER(B3,2)*SIN(4*PI()*D140))/4)-((F141*POWER(B3,3)*POWER(COS(2*PI()*D140),3))/3)+((PI()*F142*POWER(B3,4)*D140)/4)+(PI()*F140*POWER(B3,2)*D140)</f>
        <v>-918878.27246869053</v>
      </c>
      <c r="K140" s="1">
        <f>((-1*F142*POWER(B3,4)*SIN(8*PI()*D145))/32)+((F140*POWER(B3,2)*SIN(4*PI()*D145))/4)-((F141*POWER(B3,3)*POWER(COS(2*PI()*D145),3))/3)+((PI()*F142*POWER(B3,4)*D145)/4)+(PI()*F140*POWER(B3,2)*D145)</f>
        <v>-719959.42755113263</v>
      </c>
      <c r="L140" s="19">
        <f>K140-J140</f>
        <v>198918.8449175579</v>
      </c>
      <c r="M140" s="9">
        <f>((-1*F141*POWER(B3,4)*SIN(8*PI()*D140))/32)+((F142*POWER(B3,5)*POWER(COS(2*PI()*D140),5))/5)-((F142*POWER(B3,5)*POWER(COS(2*PI()*D140),3))/3)-((F140*POWER(B3,3)*POWER(COS(2*PI()*D140),3))/3)+((PI()*F141*POWER(B3,4)*D140)/4)</f>
        <v>4375432.5328623783</v>
      </c>
      <c r="N140" s="1">
        <f>((-1*F141*POWER(B3,4)*SIN(8*PI()*D145))/32)+((F142*POWER(B3,5)*POWER(COS(2*PI()*D145),5))/5)-((F142*POWER(B3,5)*POWER(COS(2*PI()*D145),3))/3)-((F140*POWER(B3,3)*POWER(COS(2*PI()*D145),3))/3)+((PI()*F141*POWER(B3,4)*D145)/4)</f>
        <v>5594218.6098568626</v>
      </c>
      <c r="O140" s="42">
        <f>N140-M140</f>
        <v>1218786.0769944843</v>
      </c>
      <c r="P140" s="1">
        <f>(((-1*F142*POWER(B3,5)*POWER(SIN(2*PI()*D140),5))/5)-((F141*POWER(B3,4)*POWER(SIN(2*PI()*D140),4))/4)+((F142*POWER(B3,5)*POWER(SIN(2*PI()*D140),3))/3)-((F140*POWER(B3,3)*POWER(SIN(2*PI()*D140),3))/3)+((F141*POWER(B3,4)*POWER(SIN(2*PI()*D140),2))/2)+(F140*POWER(B3,3)*SIN(2*PI()*D140)))*0.5</f>
        <v>-174818.05038282872</v>
      </c>
      <c r="Q140" s="1">
        <f>(((-1*F142*POWER(B3,5)*POWER(SIN(2*PI()*D145),5))/5)-((F141*POWER(B3,4)*POWER(SIN(2*PI()*D145),4))/4)+((F142*POWER(B3,5)*POWER(SIN(2*PI()*D145),3))/3)-((F140*POWER(B3,3)*POWER(SIN(2*PI()*D145),3))/3)+((F141*POWER(B3,4)*POWER(SIN(2*PI()*D145),2))/2)+(F140*POWER(B3,3)*SIN(2*PI()*D145)))*0.5</f>
        <v>831983.18876401684</v>
      </c>
      <c r="R140" s="19">
        <f>Q140-P140</f>
        <v>1006801.2391468455</v>
      </c>
      <c r="S140" s="1"/>
      <c r="AJ140" t="e">
        <v>#N/A</v>
      </c>
      <c r="AK140" t="e">
        <v>#N/A</v>
      </c>
      <c r="AL140" t="e">
        <v>#N/A</v>
      </c>
      <c r="AM140" t="e">
        <v>#N/A</v>
      </c>
      <c r="AN140" t="e">
        <v>#N/A</v>
      </c>
      <c r="AQ140">
        <v>138</v>
      </c>
      <c r="AR140">
        <f t="shared" si="64"/>
        <v>-8.9177379057287283</v>
      </c>
      <c r="AS140">
        <f t="shared" si="65"/>
        <v>8.0295672763063006</v>
      </c>
    </row>
    <row r="141" spans="1:45" x14ac:dyDescent="0.25">
      <c r="A141" t="s">
        <v>111</v>
      </c>
      <c r="B141">
        <f>IF(B140&lt;0,(2*PI())+ATAN2(K136,B136),ATAN2(K136,B136))</f>
        <v>2.9809314360704136</v>
      </c>
      <c r="C141" t="s">
        <v>17</v>
      </c>
      <c r="D141">
        <f>B141/(2*PI())</f>
        <v>0.47442997306862855</v>
      </c>
      <c r="E141" s="1" t="s">
        <v>121</v>
      </c>
      <c r="F141" s="1">
        <f>((2*POWER(B129,2)*0.85*B126*B136)/(POWER(B133,2)*POWER(B128,2)))+((2*B129*0.85*B126)/(B133*B128))</f>
        <v>1544.5864221928459</v>
      </c>
      <c r="G141" s="1" t="s">
        <v>14</v>
      </c>
      <c r="I141" t="s">
        <v>126</v>
      </c>
      <c r="J141" s="1">
        <f>((-1*F142*POWER(B3,4)*SIN(8*PI()*D146))/32)+((F140*POWER(B3,2)*SIN(4*PI()*D146))/4)-((F141*POWER(B3,3)*POWER(COS(2*PI()*D146),3))/3)+((PI()*F142*POWER(B3,4)*D146)/4)+(PI()*F140*POWER(B3,2)*D146)</f>
        <v>-582887.47173168068</v>
      </c>
      <c r="K141" s="1">
        <f>((-1*F142*POWER(B3,4)*SIN(8*PI()*D141))/32)+((F140*POWER(B3,2)*SIN(4*PI()*D141))/4)-((F141*POWER(B3,3)*POWER(COS(2*PI()*D141),3))/3)+((PI()*F142*POWER(B3,4)*D141)/4)+(PI()*F140*POWER(B3,2)*D141)</f>
        <v>-383968.62681412289</v>
      </c>
      <c r="L141" s="41">
        <f>K141-J141</f>
        <v>198918.84491755778</v>
      </c>
      <c r="M141" s="9">
        <f>((-1*F141*POWER(B3,4)*SIN(8*PI()*D146))/32)+((F142*POWER(B3,5)*POWER(COS(2*PI()*D146),5))/5)-((F142*POWER(B3,5)*POWER(COS(2*PI()*D146),3))/3)-((F140*POWER(B3,3)*POWER(COS(2*PI()*D146),3))/3)+((PI()*F141*POWER(B3,4)*D146)/4)</f>
        <v>6983361.2269573016</v>
      </c>
      <c r="N141" s="1">
        <f>((-1*F141*POWER(B3,4)*SIN(8*PI()*D141))/32)+((F142*POWER(B3,5)*POWER(COS(2*PI()*D141),5))/5)-((F142*POWER(B3,5)*POWER(COS(2*PI()*D141),3))/3)-((F140*POWER(B3,3)*POWER(COS(2*PI()*D141),3))/3)+((PI()*F141*POWER(B3,4)*D141)/4)</f>
        <v>8202147.3039517859</v>
      </c>
      <c r="O141" s="43">
        <f>N141-M141</f>
        <v>1218786.0769944843</v>
      </c>
      <c r="P141" s="1">
        <f>(((-1*F142*POWER(B3,5)*POWER(SIN(2*PI()*D146),5))/5)-((F141*POWER(B3,4)*POWER(SIN(2*PI()*D146),4))/4)+((F142*POWER(B3,5)*POWER(SIN(2*PI()*D146),3))/3)-((F140*POWER(B3,3)*POWER(SIN(2*PI()*D146),3))/3)+((F141*POWER(B3,4)*POWER(SIN(2*PI()*D146),2))/2)+(F140*POWER(B3,3)*SIN(2*PI()*D146)))*0.5</f>
        <v>831983.18876401661</v>
      </c>
      <c r="Q141" s="1">
        <f>(((-1*F142*POWER(B3,5)*POWER(SIN(2*PI()*D141),5))/5)-((F141*POWER(B3,4)*POWER(SIN(2*PI()*D141),4))/4)+((F142*POWER(B3,5)*POWER(SIN(2*PI()*D141),3))/3)-((F140*POWER(B3,3)*POWER(SIN(2*PI()*D141),3))/3)+((F141*POWER(B3,4)*POWER(SIN(2*PI()*D141),2))/2)+(F140*POWER(B3,3)*SIN(2*PI()*D141)))*0.5</f>
        <v>-174818.05038282875</v>
      </c>
      <c r="R141" s="41">
        <f>Q141-P141</f>
        <v>-1006801.2391468454</v>
      </c>
      <c r="S141" s="1"/>
      <c r="AJ141" t="e">
        <v>#N/A</v>
      </c>
      <c r="AK141" t="e">
        <v>#N/A</v>
      </c>
      <c r="AL141" t="e">
        <v>#N/A</v>
      </c>
      <c r="AM141" t="e">
        <v>#N/A</v>
      </c>
      <c r="AN141" t="e">
        <v>#N/A</v>
      </c>
      <c r="AQ141">
        <v>139</v>
      </c>
      <c r="AR141">
        <f t="shared" si="64"/>
        <v>-9.0565149626732637</v>
      </c>
      <c r="AS141">
        <f t="shared" si="65"/>
        <v>7.8727083478860873</v>
      </c>
    </row>
    <row r="142" spans="1:45" x14ac:dyDescent="0.25">
      <c r="E142" s="1" t="s">
        <v>122</v>
      </c>
      <c r="F142" s="1">
        <f>(-1*POWER(B129,2)*0.85*B126)/(POWER(B133,2)*POWER(B128,2))</f>
        <v>-86.485712961610162</v>
      </c>
      <c r="G142" s="9" t="s">
        <v>123</v>
      </c>
      <c r="J142" s="1"/>
      <c r="K142" s="1"/>
      <c r="L142" s="41">
        <f>L140+L141</f>
        <v>397837.68983511569</v>
      </c>
      <c r="M142" s="9"/>
      <c r="N142" s="1"/>
      <c r="O142" s="43">
        <f>O140+O141</f>
        <v>2437572.1539889686</v>
      </c>
      <c r="P142" s="1"/>
      <c r="Q142" s="1"/>
      <c r="R142" s="41">
        <f>R140+R141</f>
        <v>0</v>
      </c>
      <c r="S142" s="1"/>
      <c r="AJ142" t="e">
        <v>#N/A</v>
      </c>
      <c r="AK142" t="e">
        <v>#N/A</v>
      </c>
      <c r="AL142" t="e">
        <v>#N/A</v>
      </c>
      <c r="AM142" t="e">
        <v>#N/A</v>
      </c>
      <c r="AN142" t="e">
        <v>#N/A</v>
      </c>
      <c r="AQ142">
        <v>140</v>
      </c>
      <c r="AR142">
        <f t="shared" si="64"/>
        <v>-9.1925333174277348</v>
      </c>
      <c r="AS142">
        <f t="shared" si="65"/>
        <v>7.7134513162384737</v>
      </c>
    </row>
    <row r="143" spans="1:45" x14ac:dyDescent="0.25">
      <c r="F143" s="1">
        <f>F140+(F141*B136)+(F142*(POWER(B136,2)))</f>
        <v>0</v>
      </c>
      <c r="J143" s="1"/>
      <c r="K143" s="1"/>
      <c r="L143" s="41"/>
      <c r="M143" s="9"/>
      <c r="N143" s="1"/>
      <c r="O143" s="41"/>
      <c r="P143" s="1"/>
      <c r="Q143" s="1"/>
      <c r="R143" s="41"/>
      <c r="S143" s="1"/>
      <c r="AJ143" t="e">
        <v>#N/A</v>
      </c>
      <c r="AK143" t="e">
        <v>#N/A</v>
      </c>
      <c r="AL143" t="e">
        <v>#N/A</v>
      </c>
      <c r="AM143" t="e">
        <v>#N/A</v>
      </c>
      <c r="AN143" t="e">
        <v>#N/A</v>
      </c>
      <c r="AQ143">
        <v>141</v>
      </c>
      <c r="AR143">
        <f t="shared" si="64"/>
        <v>-9.3257515374836508</v>
      </c>
      <c r="AS143">
        <f t="shared" si="65"/>
        <v>7.5518446925980491</v>
      </c>
    </row>
    <row r="144" spans="1:45" x14ac:dyDescent="0.25">
      <c r="A144" t="s">
        <v>114</v>
      </c>
      <c r="B144" s="1"/>
      <c r="C144" s="1"/>
      <c r="E144" s="1"/>
      <c r="F144" s="1">
        <f>F140+(F141*B135)+(F142*POWER(B135,2))</f>
        <v>4250.0000000000027</v>
      </c>
      <c r="G144" s="1"/>
      <c r="H144" s="1"/>
      <c r="I144" s="1"/>
      <c r="J144" s="1"/>
      <c r="K144" s="1"/>
      <c r="L144" s="41"/>
      <c r="M144" s="1"/>
      <c r="N144" s="1"/>
      <c r="O144" s="41"/>
      <c r="P144" s="1"/>
      <c r="Q144" s="1"/>
      <c r="R144" s="41"/>
      <c r="S144" s="1"/>
      <c r="AJ144" t="e">
        <v>#N/A</v>
      </c>
      <c r="AK144" t="e">
        <v>#N/A</v>
      </c>
      <c r="AL144" t="e">
        <v>#N/A</v>
      </c>
      <c r="AM144" t="e">
        <v>#N/A</v>
      </c>
      <c r="AN144" t="e">
        <v>#N/A</v>
      </c>
      <c r="AQ144">
        <v>142</v>
      </c>
      <c r="AR144">
        <f t="shared" si="64"/>
        <v>-9.4561290432806633</v>
      </c>
      <c r="AS144">
        <f t="shared" si="65"/>
        <v>7.3879377039079008</v>
      </c>
    </row>
    <row r="145" spans="1:45" x14ac:dyDescent="0.25">
      <c r="A145" t="s">
        <v>110</v>
      </c>
      <c r="B145">
        <f>ATAN2(J135,B135)</f>
        <v>0.83925154162541293</v>
      </c>
      <c r="C145" t="s">
        <v>17</v>
      </c>
      <c r="D145">
        <f>B145/(2*PI())</f>
        <v>0.13357103134717804</v>
      </c>
      <c r="E145" s="1"/>
      <c r="F145" s="1"/>
      <c r="G145" s="1"/>
      <c r="J145" s="1">
        <f>(0.2125*B126*POWER(B3,2)*SIN(4*PI()*D145))+(0.85*PI()*B126*POWER(B3,2)*D145)</f>
        <v>408924.37231388828</v>
      </c>
      <c r="K145" s="1">
        <f>(0.2125*B126*POWER(B3,2)*SIN(4*PI()*D146))+(0.85*PI()*B126*POWER(B3,2)*D146)</f>
        <v>552402.9796845885</v>
      </c>
      <c r="L145" s="41">
        <f>K145-J145</f>
        <v>143478.60737070022</v>
      </c>
      <c r="M145" s="9">
        <f>(-1*17*B126*POWER(B3,3)*POWER(COS(2*PI()*D145),3))/60</f>
        <v>-729759.49869962118</v>
      </c>
      <c r="N145" s="1">
        <f>(-1*17*B126*POWER(B3,3)*POWER(COS(2*PI()*D146),3))/60</f>
        <v>729759.49869962118</v>
      </c>
      <c r="O145" s="43">
        <f>N145-M145</f>
        <v>1459518.9973992424</v>
      </c>
      <c r="P145" s="1">
        <f>((17*B126*POWER(B3,3)*SIN(2*PI()*D145))/20)-((17*B126*POWER(B3,3)*POWER(SIN(2*PI()*D145),3))/60)</f>
        <v>4456244.1270519933</v>
      </c>
      <c r="Q145" s="1">
        <f>((17*B126*POWER(B3,3)*SIN(2*PI()*D146))/20)-((17*B126*POWER(B3,3)*POWER(SIN(2*PI()*D146),3))/60)</f>
        <v>4456244.1270519942</v>
      </c>
      <c r="R145" s="41">
        <f>Q145-P145</f>
        <v>0</v>
      </c>
      <c r="S145" s="1"/>
      <c r="AJ145" t="e">
        <v>#N/A</v>
      </c>
      <c r="AK145" t="e">
        <v>#N/A</v>
      </c>
      <c r="AL145" t="e">
        <v>#N/A</v>
      </c>
      <c r="AM145" t="e">
        <v>#N/A</v>
      </c>
      <c r="AN145" t="e">
        <v>#N/A</v>
      </c>
      <c r="AQ145">
        <v>143</v>
      </c>
      <c r="AR145">
        <f t="shared" si="64"/>
        <v>-9.5836261205675157</v>
      </c>
      <c r="AS145">
        <f t="shared" si="65"/>
        <v>7.2217802778245783</v>
      </c>
    </row>
    <row r="146" spans="1:45" x14ac:dyDescent="0.25">
      <c r="A146" t="s">
        <v>111</v>
      </c>
      <c r="B146">
        <f>IF(B145&lt;0,(2*PI())+ATAN2(K135,B135),ATAN2(K135,B135))</f>
        <v>2.3023411119643802</v>
      </c>
      <c r="C146" t="s">
        <v>17</v>
      </c>
      <c r="D146">
        <f>B146/(2*PI())</f>
        <v>0.36642896865282198</v>
      </c>
      <c r="E146" s="1"/>
      <c r="F146" s="1"/>
      <c r="G146" s="1"/>
      <c r="J146" s="1"/>
      <c r="K146" s="1"/>
      <c r="L146" s="41"/>
      <c r="M146" s="9"/>
      <c r="N146" s="1"/>
      <c r="O146" s="41"/>
      <c r="P146" s="1"/>
      <c r="Q146" s="1"/>
      <c r="R146" s="41"/>
      <c r="S146" s="1"/>
      <c r="AJ146" t="e">
        <v>#N/A</v>
      </c>
      <c r="AK146" t="e">
        <v>#N/A</v>
      </c>
      <c r="AL146" t="e">
        <v>#N/A</v>
      </c>
      <c r="AM146" t="e">
        <v>#N/A</v>
      </c>
      <c r="AN146" t="e">
        <v>#N/A</v>
      </c>
      <c r="AQ146">
        <v>144</v>
      </c>
      <c r="AR146">
        <f t="shared" si="64"/>
        <v>-9.7082039324993676</v>
      </c>
      <c r="AS146">
        <f t="shared" si="65"/>
        <v>7.0534230275096785</v>
      </c>
    </row>
    <row r="147" spans="1:45" ht="15.75" thickBot="1" x14ac:dyDescent="0.3">
      <c r="B147" s="38"/>
      <c r="C147" s="38"/>
      <c r="E147" s="1"/>
      <c r="F147" s="1"/>
      <c r="G147" s="1"/>
      <c r="J147" s="1"/>
      <c r="K147" s="1"/>
      <c r="L147" s="44">
        <f>(L142+L145)/1000</f>
        <v>541.31629720581589</v>
      </c>
      <c r="M147" s="40" t="s">
        <v>22</v>
      </c>
      <c r="N147" s="1"/>
      <c r="O147" s="45">
        <f>(O142+O145)/1000</f>
        <v>3897.0911513882111</v>
      </c>
      <c r="P147" s="35" t="s">
        <v>59</v>
      </c>
      <c r="Q147" s="1"/>
      <c r="R147" s="44">
        <f>(R145+R142)/1000</f>
        <v>0</v>
      </c>
      <c r="S147" s="35" t="s">
        <v>59</v>
      </c>
      <c r="V147" s="10">
        <f>857.9-L147</f>
        <v>316.58370279418409</v>
      </c>
      <c r="Y147" s="10"/>
      <c r="AB147" s="10"/>
      <c r="AJ147" t="e">
        <v>#N/A</v>
      </c>
      <c r="AK147" t="e">
        <v>#N/A</v>
      </c>
      <c r="AL147" t="e">
        <v>#N/A</v>
      </c>
      <c r="AM147" t="e">
        <v>#N/A</v>
      </c>
      <c r="AN147" t="e">
        <v>#N/A</v>
      </c>
      <c r="AQ147">
        <v>145</v>
      </c>
      <c r="AR147">
        <f t="shared" si="64"/>
        <v>-9.8298245314679029</v>
      </c>
      <c r="AS147">
        <f t="shared" si="65"/>
        <v>6.8829172362125508</v>
      </c>
    </row>
    <row r="148" spans="1:45" x14ac:dyDescent="0.25">
      <c r="C148" s="38"/>
      <c r="E148" s="39"/>
      <c r="F148" s="1"/>
      <c r="G148" s="1"/>
      <c r="M148" s="9"/>
      <c r="AJ148" t="e">
        <v>#N/A</v>
      </c>
      <c r="AK148" t="e">
        <v>#N/A</v>
      </c>
      <c r="AL148" t="e">
        <v>#N/A</v>
      </c>
      <c r="AM148" t="e">
        <v>#N/A</v>
      </c>
      <c r="AN148" t="e">
        <v>#N/A</v>
      </c>
      <c r="AQ148">
        <v>146</v>
      </c>
      <c r="AR148">
        <f t="shared" si="64"/>
        <v>-9.9484508706604995</v>
      </c>
      <c r="AS148">
        <f t="shared" si="65"/>
        <v>6.7103148416489624</v>
      </c>
    </row>
    <row r="149" spans="1:45" x14ac:dyDescent="0.25">
      <c r="C149" s="38"/>
      <c r="E149" s="39"/>
      <c r="F149" s="1"/>
      <c r="G149" s="1"/>
      <c r="J149" t="s">
        <v>130</v>
      </c>
      <c r="L149" s="10">
        <f ca="1">N109</f>
        <v>-61.084807372828664</v>
      </c>
      <c r="O149" s="10">
        <f ca="1">O109</f>
        <v>1573.261328940511</v>
      </c>
      <c r="R149" s="10">
        <f ca="1">P109</f>
        <v>-3.694822225952521E-13</v>
      </c>
      <c r="V149" s="10"/>
      <c r="Y149" s="10"/>
      <c r="AB149" s="10"/>
      <c r="AJ149" t="e">
        <v>#N/A</v>
      </c>
      <c r="AK149" t="e">
        <v>#N/A</v>
      </c>
      <c r="AL149" t="e">
        <v>#N/A</v>
      </c>
      <c r="AM149" t="e">
        <v>#N/A</v>
      </c>
      <c r="AN149" t="e">
        <v>#N/A</v>
      </c>
      <c r="AQ149">
        <v>147</v>
      </c>
      <c r="AR149">
        <f t="shared" si="64"/>
        <v>-10.064046815345087</v>
      </c>
      <c r="AS149">
        <f t="shared" si="65"/>
        <v>6.5356684201803272</v>
      </c>
    </row>
    <row r="150" spans="1:45" x14ac:dyDescent="0.25">
      <c r="A150" t="s">
        <v>128</v>
      </c>
      <c r="B150" t="s">
        <v>129</v>
      </c>
      <c r="AJ150" t="e">
        <v>#N/A</v>
      </c>
      <c r="AK150" t="e">
        <v>#N/A</v>
      </c>
      <c r="AL150" t="e">
        <v>#N/A</v>
      </c>
      <c r="AM150" t="e">
        <v>#N/A</v>
      </c>
      <c r="AN150" t="e">
        <v>#N/A</v>
      </c>
      <c r="AQ150">
        <v>148</v>
      </c>
      <c r="AR150">
        <f t="shared" si="64"/>
        <v>-10.176577153877112</v>
      </c>
      <c r="AS150">
        <f t="shared" si="65"/>
        <v>6.3590311707984588</v>
      </c>
    </row>
    <row r="151" spans="1:45" x14ac:dyDescent="0.25">
      <c r="A151" s="15">
        <f ca="1">L37</f>
        <v>2.1629753819361261E-3</v>
      </c>
      <c r="B151">
        <f ca="1">IF(AND(A151&gt;0,A151&lt;$B$128),(0.85*$B$126)*((2*(A151/$B$128))-POWER(A151/$B$128,2)),IF(A151&gt;0,0.85*$B$126,0))/1000</f>
        <v>4.25</v>
      </c>
      <c r="J151" t="s">
        <v>131</v>
      </c>
      <c r="L151" s="10">
        <f ca="1">L147+L149</f>
        <v>480.23148983298722</v>
      </c>
      <c r="O151" s="36">
        <f ca="1">O147+O149</f>
        <v>5470.3524803287219</v>
      </c>
      <c r="R151" s="10">
        <f ca="1">R147+R149</f>
        <v>-3.694822225952521E-13</v>
      </c>
      <c r="V151" s="10"/>
      <c r="Y151" s="36"/>
      <c r="AB151" s="10"/>
      <c r="AJ151" t="e">
        <v>#N/A</v>
      </c>
      <c r="AK151" t="e">
        <v>#N/A</v>
      </c>
      <c r="AL151" t="e">
        <v>#N/A</v>
      </c>
      <c r="AM151" t="e">
        <v>#N/A</v>
      </c>
      <c r="AN151" t="e">
        <v>#N/A</v>
      </c>
      <c r="AQ151">
        <v>149</v>
      </c>
      <c r="AR151">
        <f t="shared" si="64"/>
        <v>-10.286007608425347</v>
      </c>
      <c r="AS151">
        <f t="shared" si="65"/>
        <v>6.180456898920653</v>
      </c>
    </row>
    <row r="152" spans="1:45" x14ac:dyDescent="0.25">
      <c r="A152" s="15">
        <f t="shared" ref="A152:A215" ca="1" si="66">L38</f>
        <v>1.5232752838380823E-3</v>
      </c>
      <c r="B152">
        <f t="shared" ref="B152:B215" ca="1" si="67">IF(AND(A152&gt;0,A152&lt;$B$128),(0.85*$B$126)*((2*(A152/$B$128))-POWER(A152/$B$128,2)),IF(A152&gt;0,0.85*$B$126,0))/1000</f>
        <v>3.9405126972415765</v>
      </c>
      <c r="M152" s="9"/>
      <c r="W152" s="9"/>
      <c r="AJ152" t="e">
        <v>#N/A</v>
      </c>
      <c r="AK152" t="e">
        <v>#N/A</v>
      </c>
      <c r="AL152" t="e">
        <v>#N/A</v>
      </c>
      <c r="AM152" t="e">
        <v>#N/A</v>
      </c>
      <c r="AN152" t="e">
        <v>#N/A</v>
      </c>
      <c r="AQ152">
        <v>150</v>
      </c>
      <c r="AR152">
        <f t="shared" si="64"/>
        <v>-10.392304845413264</v>
      </c>
      <c r="AS152">
        <f t="shared" si="65"/>
        <v>5.9999999999999991</v>
      </c>
    </row>
    <row r="153" spans="1:45" x14ac:dyDescent="0.25">
      <c r="A153" s="15">
        <f t="shared" ca="1" si="66"/>
        <v>-9.6502225081304701E-5</v>
      </c>
      <c r="B153">
        <f t="shared" ca="1" si="67"/>
        <v>0</v>
      </c>
      <c r="J153" t="s">
        <v>132</v>
      </c>
      <c r="L153" s="10">
        <f ca="1">L151</f>
        <v>480.23148983298722</v>
      </c>
      <c r="M153" s="9"/>
      <c r="O153">
        <f ca="1">((O151*COS(-1*B10))+(R151*SIN(-1*B10)))</f>
        <v>5470.3524803287219</v>
      </c>
      <c r="R153">
        <f ca="1">(-1*(O151)*SIN(-1*B10))+((R151)*COS(-1*B10))</f>
        <v>-3.694822225952521E-13</v>
      </c>
      <c r="V153" s="10"/>
      <c r="W153" s="9"/>
      <c r="AJ153" t="e">
        <v>#N/A</v>
      </c>
      <c r="AK153" t="e">
        <v>#N/A</v>
      </c>
      <c r="AL153" t="e">
        <v>#N/A</v>
      </c>
      <c r="AM153" t="e">
        <v>#N/A</v>
      </c>
      <c r="AN153" t="e">
        <v>#N/A</v>
      </c>
      <c r="AQ153">
        <v>151</v>
      </c>
      <c r="AR153">
        <f t="shared" si="64"/>
        <v>-10.495436485672748</v>
      </c>
      <c r="AS153">
        <f t="shared" si="65"/>
        <v>5.8177154429560458</v>
      </c>
    </row>
    <row r="154" spans="1:45" x14ac:dyDescent="0.25">
      <c r="A154" s="15">
        <f t="shared" ca="1" si="66"/>
        <v>-1.9384452465768555E-3</v>
      </c>
      <c r="B154">
        <f t="shared" ca="1" si="67"/>
        <v>0</v>
      </c>
      <c r="E154" s="38"/>
      <c r="M154" s="9"/>
      <c r="AJ154" t="e">
        <v>#N/A</v>
      </c>
      <c r="AK154" t="e">
        <v>#N/A</v>
      </c>
      <c r="AL154" t="e">
        <v>#N/A</v>
      </c>
      <c r="AM154" t="e">
        <v>#N/A</v>
      </c>
      <c r="AN154" t="e">
        <v>#N/A</v>
      </c>
      <c r="AQ154">
        <v>152</v>
      </c>
      <c r="AR154">
        <f t="shared" si="64"/>
        <v>-10.595371114307124</v>
      </c>
      <c r="AS154">
        <f t="shared" si="65"/>
        <v>5.6336587534306881</v>
      </c>
    </row>
    <row r="155" spans="1:45" x14ac:dyDescent="0.25">
      <c r="A155" s="15">
        <f t="shared" ca="1" si="66"/>
        <v>-3.1406881699743636E-3</v>
      </c>
      <c r="B155">
        <f t="shared" ca="1" si="67"/>
        <v>0</v>
      </c>
      <c r="E155" s="38"/>
      <c r="M155" s="9"/>
      <c r="AJ155" t="e">
        <v>#N/A</v>
      </c>
      <c r="AK155" t="e">
        <v>#N/A</v>
      </c>
      <c r="AL155" t="e">
        <v>#N/A</v>
      </c>
      <c r="AM155" t="e">
        <v>#N/A</v>
      </c>
      <c r="AN155" t="e">
        <v>#N/A</v>
      </c>
      <c r="AQ155">
        <v>153</v>
      </c>
      <c r="AR155">
        <f t="shared" si="64"/>
        <v>-10.692078290260413</v>
      </c>
      <c r="AS155">
        <f t="shared" si="65"/>
        <v>5.4478859968745628</v>
      </c>
    </row>
    <row r="156" spans="1:45" x14ac:dyDescent="0.25">
      <c r="A156" s="15">
        <f t="shared" ca="1" si="66"/>
        <v>-3.1406881699743636E-3</v>
      </c>
      <c r="B156">
        <f t="shared" ca="1" si="67"/>
        <v>0</v>
      </c>
      <c r="E156" s="38"/>
      <c r="M156" s="9"/>
      <c r="AJ156" t="e">
        <v>#N/A</v>
      </c>
      <c r="AK156" t="e">
        <v>#N/A</v>
      </c>
      <c r="AL156" t="e">
        <v>#N/A</v>
      </c>
      <c r="AM156" t="e">
        <v>#N/A</v>
      </c>
      <c r="AN156" t="e">
        <v>#N/A</v>
      </c>
      <c r="AQ156">
        <v>154</v>
      </c>
      <c r="AR156">
        <f t="shared" si="64"/>
        <v>-10.785528555590005</v>
      </c>
      <c r="AS156">
        <f t="shared" si="65"/>
        <v>5.2604537614689271</v>
      </c>
    </row>
    <row r="157" spans="1:45" x14ac:dyDescent="0.25">
      <c r="A157" s="15">
        <f t="shared" ca="1" si="66"/>
        <v>-1.9384452465768566E-3</v>
      </c>
      <c r="B157">
        <f t="shared" ca="1" si="67"/>
        <v>0</v>
      </c>
      <c r="E157" s="38"/>
      <c r="M157" s="9"/>
      <c r="AJ157" t="e">
        <v>#N/A</v>
      </c>
      <c r="AK157" t="e">
        <v>#N/A</v>
      </c>
      <c r="AL157" t="e">
        <v>#N/A</v>
      </c>
      <c r="AM157" t="e">
        <v>#N/A</v>
      </c>
      <c r="AN157" t="e">
        <v>#N/A</v>
      </c>
      <c r="AQ157">
        <v>155</v>
      </c>
      <c r="AR157">
        <f t="shared" si="64"/>
        <v>-10.875693444439799</v>
      </c>
      <c r="AS157">
        <f t="shared" si="65"/>
        <v>5.071419140888394</v>
      </c>
    </row>
    <row r="158" spans="1:45" x14ac:dyDescent="0.25">
      <c r="A158" s="15">
        <f t="shared" ca="1" si="66"/>
        <v>-9.6502225081305758E-5</v>
      </c>
      <c r="B158">
        <f t="shared" ca="1" si="67"/>
        <v>0</v>
      </c>
      <c r="E158" s="38"/>
      <c r="M158" s="9"/>
      <c r="AJ158" t="e">
        <v>#N/A</v>
      </c>
      <c r="AK158" t="e">
        <v>#N/A</v>
      </c>
      <c r="AL158" t="e">
        <v>#N/A</v>
      </c>
      <c r="AM158" t="e">
        <v>#N/A</v>
      </c>
      <c r="AN158" t="e">
        <v>#N/A</v>
      </c>
      <c r="AQ158">
        <v>156</v>
      </c>
      <c r="AR158">
        <f t="shared" si="64"/>
        <v>-10.962545491711209</v>
      </c>
      <c r="AS158">
        <f t="shared" si="65"/>
        <v>4.8808397169096054</v>
      </c>
    </row>
    <row r="159" spans="1:45" x14ac:dyDescent="0.25">
      <c r="A159" s="15">
        <f t="shared" ca="1" si="66"/>
        <v>1.5232752838380817E-3</v>
      </c>
      <c r="B159">
        <f t="shared" ca="1" si="67"/>
        <v>3.940512697241576</v>
      </c>
      <c r="E159" s="1"/>
      <c r="M159" s="9"/>
      <c r="AJ159" t="e">
        <v>#N/A</v>
      </c>
      <c r="AK159" t="e">
        <v>#N/A</v>
      </c>
      <c r="AL159" t="e">
        <v>#N/A</v>
      </c>
      <c r="AM159" t="e">
        <v>#N/A</v>
      </c>
      <c r="AN159" t="e">
        <v>#N/A</v>
      </c>
      <c r="AQ159">
        <v>157</v>
      </c>
      <c r="AR159">
        <f t="shared" si="64"/>
        <v>-11.046058241429284</v>
      </c>
      <c r="AS159">
        <f t="shared" si="65"/>
        <v>4.688773541871285</v>
      </c>
    </row>
    <row r="160" spans="1:45" x14ac:dyDescent="0.25">
      <c r="A160" s="15">
        <f t="shared" ca="1" si="66"/>
        <v>0</v>
      </c>
      <c r="B160">
        <f t="shared" ca="1" si="67"/>
        <v>0</v>
      </c>
      <c r="M160" s="9"/>
      <c r="AJ160" t="e">
        <v>#N/A</v>
      </c>
      <c r="AK160" t="e">
        <v>#N/A</v>
      </c>
      <c r="AL160" t="e">
        <v>#N/A</v>
      </c>
      <c r="AM160" t="e">
        <v>#N/A</v>
      </c>
      <c r="AN160" t="e">
        <v>#N/A</v>
      </c>
      <c r="AQ160">
        <v>158</v>
      </c>
      <c r="AR160">
        <f t="shared" si="64"/>
        <v>-11.126206254801447</v>
      </c>
      <c r="AS160">
        <f t="shared" si="65"/>
        <v>4.4952791209909471</v>
      </c>
    </row>
    <row r="161" spans="1:45" x14ac:dyDescent="0.25">
      <c r="A161" s="15">
        <f t="shared" ca="1" si="66"/>
        <v>0</v>
      </c>
      <c r="B161">
        <f t="shared" ca="1" si="67"/>
        <v>0</v>
      </c>
      <c r="M161" s="9"/>
      <c r="N161" s="1"/>
      <c r="O161" s="1"/>
      <c r="S161" s="1"/>
      <c r="T161" s="1"/>
      <c r="U161" s="1"/>
      <c r="AB161" s="1"/>
      <c r="AC161" s="1"/>
      <c r="AD161" s="1"/>
      <c r="AE161" s="1"/>
      <c r="AF161" s="1"/>
      <c r="AG161" s="1"/>
      <c r="AJ161" t="e">
        <v>#N/A</v>
      </c>
      <c r="AK161" t="e">
        <v>#N/A</v>
      </c>
      <c r="AL161" t="e">
        <v>#N/A</v>
      </c>
      <c r="AM161" t="e">
        <v>#N/A</v>
      </c>
      <c r="AN161" t="e">
        <v>#N/A</v>
      </c>
      <c r="AQ161">
        <v>159</v>
      </c>
      <c r="AR161">
        <f t="shared" si="64"/>
        <v>-11.202965117966421</v>
      </c>
      <c r="AS161">
        <f t="shared" si="65"/>
        <v>4.3004153945436023</v>
      </c>
    </row>
    <row r="162" spans="1:45" x14ac:dyDescent="0.25">
      <c r="A162" s="15">
        <f t="shared" ca="1" si="66"/>
        <v>0</v>
      </c>
      <c r="B162">
        <f t="shared" ca="1" si="67"/>
        <v>0</v>
      </c>
      <c r="M162" s="7"/>
      <c r="N162" s="7"/>
      <c r="O162" s="7"/>
      <c r="Q162" s="7"/>
      <c r="R162" s="7"/>
      <c r="S162" s="7"/>
      <c r="T162" s="7"/>
      <c r="U162" s="7"/>
      <c r="Y162" s="10"/>
      <c r="Z162" s="10"/>
      <c r="AA162" s="10"/>
      <c r="AB162" s="7"/>
      <c r="AC162" s="7"/>
      <c r="AD162" s="7"/>
      <c r="AE162" s="10"/>
      <c r="AF162" s="10"/>
      <c r="AG162" s="10"/>
      <c r="AJ162" t="e">
        <v>#N/A</v>
      </c>
      <c r="AK162" t="e">
        <v>#N/A</v>
      </c>
      <c r="AL162" t="e">
        <v>#N/A</v>
      </c>
      <c r="AM162" t="e">
        <v>#N/A</v>
      </c>
      <c r="AN162" t="e">
        <v>#N/A</v>
      </c>
      <c r="AQ162">
        <v>160</v>
      </c>
      <c r="AR162">
        <f t="shared" si="64"/>
        <v>-11.276311449430899</v>
      </c>
      <c r="AS162">
        <f t="shared" si="65"/>
        <v>4.1042417199080266</v>
      </c>
    </row>
    <row r="163" spans="1:45" x14ac:dyDescent="0.25">
      <c r="A163" s="15">
        <f t="shared" ca="1" si="66"/>
        <v>0</v>
      </c>
      <c r="B163">
        <f t="shared" ca="1" si="67"/>
        <v>0</v>
      </c>
      <c r="M163" s="7"/>
      <c r="N163" s="7"/>
      <c r="O163" s="7"/>
      <c r="Q163" s="7"/>
      <c r="R163" s="7"/>
      <c r="S163" s="7"/>
      <c r="T163" s="7"/>
      <c r="U163" s="7"/>
      <c r="Y163" s="10"/>
      <c r="Z163" s="10"/>
      <c r="AA163" s="10"/>
      <c r="AB163" s="7"/>
      <c r="AC163" s="7"/>
      <c r="AD163" s="7"/>
      <c r="AE163" s="10"/>
      <c r="AF163" s="10"/>
      <c r="AG163" s="10"/>
      <c r="AJ163" t="e">
        <v>#N/A</v>
      </c>
      <c r="AK163" t="e">
        <v>#N/A</v>
      </c>
      <c r="AL163" t="e">
        <v>#N/A</v>
      </c>
      <c r="AM163" t="e">
        <v>#N/A</v>
      </c>
      <c r="AN163" t="e">
        <v>#N/A</v>
      </c>
      <c r="AQ163">
        <v>161</v>
      </c>
      <c r="AR163">
        <f t="shared" si="64"/>
        <v>-11.346222907191802</v>
      </c>
      <c r="AS163">
        <f t="shared" si="65"/>
        <v>3.9068178534858791</v>
      </c>
    </row>
    <row r="164" spans="1:45" x14ac:dyDescent="0.25">
      <c r="A164" s="15">
        <f t="shared" ca="1" si="66"/>
        <v>0</v>
      </c>
      <c r="B164">
        <f t="shared" ca="1" si="67"/>
        <v>0</v>
      </c>
      <c r="M164" s="7"/>
      <c r="N164" s="7"/>
      <c r="O164" s="7"/>
      <c r="Q164" s="7"/>
      <c r="R164" s="7"/>
      <c r="S164" s="7"/>
      <c r="T164" s="7"/>
      <c r="U164" s="7"/>
      <c r="Y164" s="10"/>
      <c r="Z164" s="10"/>
      <c r="AA164" s="10"/>
      <c r="AB164" s="7"/>
      <c r="AC164" s="7"/>
      <c r="AD164" s="7"/>
      <c r="AE164" s="10"/>
      <c r="AF164" s="10"/>
      <c r="AG164" s="10"/>
      <c r="AJ164" t="e">
        <v>#N/A</v>
      </c>
      <c r="AK164" t="e">
        <v>#N/A</v>
      </c>
      <c r="AL164" t="e">
        <v>#N/A</v>
      </c>
      <c r="AM164" t="e">
        <v>#N/A</v>
      </c>
      <c r="AN164" t="e">
        <v>#N/A</v>
      </c>
      <c r="AQ164">
        <v>162</v>
      </c>
      <c r="AR164">
        <f t="shared" si="64"/>
        <v>-11.412678195541842</v>
      </c>
      <c r="AS164">
        <f t="shared" si="65"/>
        <v>3.7082039324993703</v>
      </c>
    </row>
    <row r="165" spans="1:45" x14ac:dyDescent="0.25">
      <c r="A165" s="15">
        <f t="shared" ca="1" si="66"/>
        <v>0</v>
      </c>
      <c r="B165">
        <f t="shared" ca="1" si="67"/>
        <v>0</v>
      </c>
      <c r="M165" s="7"/>
      <c r="N165" s="7"/>
      <c r="O165" s="7"/>
      <c r="Q165" s="7"/>
      <c r="R165" s="7"/>
      <c r="S165" s="7"/>
      <c r="T165" s="7"/>
      <c r="U165" s="7"/>
      <c r="Y165" s="10"/>
      <c r="Z165" s="10"/>
      <c r="AA165" s="10"/>
      <c r="AB165" s="7"/>
      <c r="AC165" s="7"/>
      <c r="AD165" s="7"/>
      <c r="AE165" s="10"/>
      <c r="AF165" s="10"/>
      <c r="AG165" s="10"/>
      <c r="AJ165" t="e">
        <v>#N/A</v>
      </c>
      <c r="AK165" t="e">
        <v>#N/A</v>
      </c>
      <c r="AL165" t="e">
        <v>#N/A</v>
      </c>
      <c r="AM165" t="e">
        <v>#N/A</v>
      </c>
      <c r="AN165" t="e">
        <v>#N/A</v>
      </c>
      <c r="AQ165">
        <v>163</v>
      </c>
      <c r="AR165">
        <f t="shared" si="64"/>
        <v>-11.475657071556427</v>
      </c>
      <c r="AS165">
        <f t="shared" si="65"/>
        <v>3.5084604566728395</v>
      </c>
    </row>
    <row r="166" spans="1:45" x14ac:dyDescent="0.25">
      <c r="A166" s="15">
        <f t="shared" ca="1" si="66"/>
        <v>0</v>
      </c>
      <c r="B166">
        <f t="shared" ca="1" si="67"/>
        <v>0</v>
      </c>
      <c r="M166" s="7"/>
      <c r="N166" s="7"/>
      <c r="O166" s="7"/>
      <c r="Q166" s="7"/>
      <c r="R166" s="7"/>
      <c r="S166" s="7"/>
      <c r="T166" s="7"/>
      <c r="U166" s="7"/>
      <c r="Y166" s="10"/>
      <c r="Z166" s="10"/>
      <c r="AA166" s="10"/>
      <c r="AB166" s="7"/>
      <c r="AC166" s="7"/>
      <c r="AD166" s="7"/>
      <c r="AE166" s="10"/>
      <c r="AF166" s="10"/>
      <c r="AG166" s="10"/>
      <c r="AJ166" t="e">
        <v>#N/A</v>
      </c>
      <c r="AK166" t="e">
        <v>#N/A</v>
      </c>
      <c r="AL166" t="e">
        <v>#N/A</v>
      </c>
      <c r="AM166" t="e">
        <v>#N/A</v>
      </c>
      <c r="AN166" t="e">
        <v>#N/A</v>
      </c>
      <c r="AQ166">
        <v>164</v>
      </c>
      <c r="AR166">
        <f t="shared" si="64"/>
        <v>-11.535140351259827</v>
      </c>
      <c r="AS166">
        <f t="shared" si="65"/>
        <v>3.3076482698039906</v>
      </c>
    </row>
    <row r="167" spans="1:45" x14ac:dyDescent="0.25">
      <c r="A167" s="15">
        <f t="shared" ca="1" si="66"/>
        <v>0</v>
      </c>
      <c r="B167">
        <f t="shared" ca="1" si="67"/>
        <v>0</v>
      </c>
      <c r="M167" s="7"/>
      <c r="N167" s="7"/>
      <c r="O167" s="7"/>
      <c r="Q167" s="7"/>
      <c r="R167" s="7"/>
      <c r="S167" s="7"/>
      <c r="T167" s="7"/>
      <c r="U167" s="7"/>
      <c r="Y167" s="10"/>
      <c r="Z167" s="10"/>
      <c r="AA167" s="10"/>
      <c r="AB167" s="7"/>
      <c r="AC167" s="7"/>
      <c r="AD167" s="7"/>
      <c r="AE167" s="10"/>
      <c r="AF167" s="10"/>
      <c r="AG167" s="10"/>
      <c r="AJ167" t="e">
        <v>#N/A</v>
      </c>
      <c r="AK167" t="e">
        <v>#N/A</v>
      </c>
      <c r="AL167" t="e">
        <v>#N/A</v>
      </c>
      <c r="AM167" t="e">
        <v>#N/A</v>
      </c>
      <c r="AN167" t="e">
        <v>#N/A</v>
      </c>
      <c r="AQ167">
        <v>165</v>
      </c>
      <c r="AR167">
        <f t="shared" si="64"/>
        <v>-11.591109915468818</v>
      </c>
      <c r="AS167">
        <f t="shared" si="65"/>
        <v>3.1058285412302524</v>
      </c>
    </row>
    <row r="168" spans="1:45" x14ac:dyDescent="0.25">
      <c r="A168" s="15">
        <f t="shared" ca="1" si="66"/>
        <v>0</v>
      </c>
      <c r="B168">
        <f t="shared" ca="1" si="67"/>
        <v>0</v>
      </c>
      <c r="M168" s="7"/>
      <c r="N168" s="7"/>
      <c r="O168" s="7"/>
      <c r="Q168" s="7"/>
      <c r="R168" s="7"/>
      <c r="S168" s="7"/>
      <c r="T168" s="7"/>
      <c r="U168" s="7"/>
      <c r="Y168" s="10"/>
      <c r="Z168" s="10"/>
      <c r="AA168" s="10"/>
      <c r="AB168" s="7"/>
      <c r="AC168" s="7"/>
      <c r="AD168" s="7"/>
      <c r="AE168" s="10"/>
      <c r="AF168" s="10"/>
      <c r="AG168" s="10"/>
      <c r="AJ168" t="e">
        <v>#N/A</v>
      </c>
      <c r="AK168" t="e">
        <v>#N/A</v>
      </c>
      <c r="AL168" t="e">
        <v>#N/A</v>
      </c>
      <c r="AM168" t="e">
        <v>#N/A</v>
      </c>
      <c r="AN168" t="e">
        <v>#N/A</v>
      </c>
      <c r="AQ168">
        <v>166</v>
      </c>
      <c r="AR168">
        <f t="shared" si="64"/>
        <v>-11.643548715311958</v>
      </c>
      <c r="AS168">
        <f t="shared" si="65"/>
        <v>2.9030627471960129</v>
      </c>
    </row>
    <row r="169" spans="1:45" x14ac:dyDescent="0.25">
      <c r="A169" s="15">
        <f t="shared" ca="1" si="66"/>
        <v>0</v>
      </c>
      <c r="B169">
        <f t="shared" ca="1" si="67"/>
        <v>0</v>
      </c>
      <c r="M169" s="7"/>
      <c r="N169" s="7"/>
      <c r="O169" s="7"/>
      <c r="Q169" s="7"/>
      <c r="R169" s="7"/>
      <c r="S169" s="7"/>
      <c r="T169" s="7"/>
      <c r="U169" s="7"/>
      <c r="Y169" s="10"/>
      <c r="Z169" s="10"/>
      <c r="AA169" s="10"/>
      <c r="AB169" s="7"/>
      <c r="AC169" s="7"/>
      <c r="AD169" s="7"/>
      <c r="AE169" s="10"/>
      <c r="AF169" s="10"/>
      <c r="AG169" s="10"/>
      <c r="AJ169" t="e">
        <v>#N/A</v>
      </c>
      <c r="AK169" t="e">
        <v>#N/A</v>
      </c>
      <c r="AL169" t="e">
        <v>#N/A</v>
      </c>
      <c r="AM169" t="e">
        <v>#N/A</v>
      </c>
      <c r="AN169" t="e">
        <v>#N/A</v>
      </c>
      <c r="AQ169">
        <v>167</v>
      </c>
      <c r="AR169">
        <f t="shared" si="64"/>
        <v>-11.692440777422821</v>
      </c>
      <c r="AS169">
        <f t="shared" si="65"/>
        <v>2.6994126521263824</v>
      </c>
    </row>
    <row r="170" spans="1:45" x14ac:dyDescent="0.25">
      <c r="A170" s="15">
        <f t="shared" ca="1" si="66"/>
        <v>0</v>
      </c>
      <c r="B170">
        <f t="shared" ca="1" si="67"/>
        <v>0</v>
      </c>
      <c r="M170" s="7"/>
      <c r="N170" s="7"/>
      <c r="O170" s="7"/>
      <c r="Q170" s="7"/>
      <c r="R170" s="7"/>
      <c r="S170" s="7"/>
      <c r="T170" s="7"/>
      <c r="U170" s="7"/>
      <c r="Y170" s="10"/>
      <c r="Z170" s="10"/>
      <c r="AA170" s="10"/>
      <c r="AB170" s="7"/>
      <c r="AC170" s="7"/>
      <c r="AD170" s="7"/>
      <c r="AE170" s="10"/>
      <c r="AF170" s="10"/>
      <c r="AG170" s="10"/>
      <c r="AJ170" t="e">
        <v>#N/A</v>
      </c>
      <c r="AK170" t="e">
        <v>#N/A</v>
      </c>
      <c r="AL170" t="e">
        <v>#N/A</v>
      </c>
      <c r="AM170" t="e">
        <v>#N/A</v>
      </c>
      <c r="AN170" t="e">
        <v>#N/A</v>
      </c>
      <c r="AQ170">
        <v>168</v>
      </c>
      <c r="AR170">
        <f t="shared" si="64"/>
        <v>-11.737771208805668</v>
      </c>
      <c r="AS170">
        <f t="shared" si="65"/>
        <v>2.4949402898131119</v>
      </c>
    </row>
    <row r="171" spans="1:45" x14ac:dyDescent="0.25">
      <c r="A171" s="15">
        <f t="shared" ca="1" si="66"/>
        <v>0</v>
      </c>
      <c r="B171">
        <f t="shared" ca="1" si="67"/>
        <v>0</v>
      </c>
      <c r="M171" s="7"/>
      <c r="N171" s="7"/>
      <c r="O171" s="7"/>
      <c r="Q171" s="7"/>
      <c r="R171" s="7"/>
      <c r="S171" s="7"/>
      <c r="T171" s="7"/>
      <c r="U171" s="7"/>
      <c r="Y171" s="10"/>
      <c r="Z171" s="10"/>
      <c r="AA171" s="10"/>
      <c r="AB171" s="7"/>
      <c r="AC171" s="7"/>
      <c r="AD171" s="7"/>
      <c r="AE171" s="10"/>
      <c r="AF171" s="10"/>
      <c r="AG171" s="10"/>
      <c r="AJ171" t="e">
        <v>#N/A</v>
      </c>
      <c r="AK171" t="e">
        <v>#N/A</v>
      </c>
      <c r="AL171" t="e">
        <v>#N/A</v>
      </c>
      <c r="AM171" t="e">
        <v>#N/A</v>
      </c>
      <c r="AN171" t="e">
        <v>#N/A</v>
      </c>
      <c r="AQ171">
        <v>169</v>
      </c>
      <c r="AR171">
        <f t="shared" si="64"/>
        <v>-11.779526201371969</v>
      </c>
      <c r="AS171">
        <f t="shared" si="65"/>
        <v>2.2897079445185398</v>
      </c>
    </row>
    <row r="172" spans="1:45" x14ac:dyDescent="0.25">
      <c r="A172" s="15">
        <f t="shared" ca="1" si="66"/>
        <v>0</v>
      </c>
      <c r="B172">
        <f t="shared" ca="1" si="67"/>
        <v>0</v>
      </c>
      <c r="M172" s="7"/>
      <c r="N172" s="7"/>
      <c r="O172" s="7"/>
      <c r="Q172" s="7"/>
      <c r="R172" s="7"/>
      <c r="S172" s="7"/>
      <c r="T172" s="7"/>
      <c r="U172" s="7"/>
      <c r="Y172" s="10"/>
      <c r="Z172" s="10"/>
      <c r="AA172" s="10"/>
      <c r="AB172" s="7"/>
      <c r="AC172" s="7"/>
      <c r="AD172" s="7"/>
      <c r="AE172" s="10"/>
      <c r="AF172" s="10"/>
      <c r="AG172" s="10"/>
      <c r="AJ172" t="e">
        <v>#N/A</v>
      </c>
      <c r="AK172" t="e">
        <v>#N/A</v>
      </c>
      <c r="AL172" t="e">
        <v>#N/A</v>
      </c>
      <c r="AM172" t="e">
        <v>#N/A</v>
      </c>
      <c r="AN172" t="e">
        <v>#N/A</v>
      </c>
      <c r="AQ172">
        <v>170</v>
      </c>
      <c r="AR172">
        <f t="shared" si="64"/>
        <v>-11.817693036146496</v>
      </c>
      <c r="AS172">
        <f t="shared" si="65"/>
        <v>2.0837781320031632</v>
      </c>
    </row>
    <row r="173" spans="1:45" x14ac:dyDescent="0.25">
      <c r="A173" s="15">
        <f t="shared" ca="1" si="66"/>
        <v>0</v>
      </c>
      <c r="B173">
        <f t="shared" ca="1" si="67"/>
        <v>0</v>
      </c>
      <c r="M173" s="7"/>
      <c r="N173" s="7"/>
      <c r="O173" s="7"/>
      <c r="Q173" s="7"/>
      <c r="R173" s="7"/>
      <c r="S173" s="7"/>
      <c r="T173" s="7"/>
      <c r="U173" s="7"/>
      <c r="Y173" s="10"/>
      <c r="Z173" s="10"/>
      <c r="AA173" s="10"/>
      <c r="AB173" s="7"/>
      <c r="AC173" s="7"/>
      <c r="AD173" s="7"/>
      <c r="AE173" s="10"/>
      <c r="AF173" s="10"/>
      <c r="AG173" s="10"/>
      <c r="AJ173" t="e">
        <v>#N/A</v>
      </c>
      <c r="AK173" t="e">
        <v>#N/A</v>
      </c>
      <c r="AL173" t="e">
        <v>#N/A</v>
      </c>
      <c r="AM173" t="e">
        <v>#N/A</v>
      </c>
      <c r="AN173" t="e">
        <v>#N/A</v>
      </c>
      <c r="AQ173">
        <v>171</v>
      </c>
      <c r="AR173">
        <f t="shared" si="64"/>
        <v>-11.852260087141651</v>
      </c>
      <c r="AS173">
        <f t="shared" si="65"/>
        <v>1.8772135804827719</v>
      </c>
    </row>
    <row r="174" spans="1:45" x14ac:dyDescent="0.25">
      <c r="A174" s="15">
        <f t="shared" ca="1" si="66"/>
        <v>0</v>
      </c>
      <c r="B174">
        <f t="shared" ca="1" si="67"/>
        <v>0</v>
      </c>
      <c r="M174" s="7"/>
      <c r="N174" s="7"/>
      <c r="O174" s="7"/>
      <c r="Q174" s="7"/>
      <c r="R174" s="7"/>
      <c r="S174" s="7"/>
      <c r="T174" s="7"/>
      <c r="U174" s="7"/>
      <c r="Y174" s="10"/>
      <c r="Z174" s="10"/>
      <c r="AA174" s="10"/>
      <c r="AB174" s="7"/>
      <c r="AC174" s="7"/>
      <c r="AD174" s="7"/>
      <c r="AE174" s="10"/>
      <c r="AF174" s="10"/>
      <c r="AG174" s="10"/>
      <c r="AJ174" t="e">
        <v>#N/A</v>
      </c>
      <c r="AK174" t="e">
        <v>#N/A</v>
      </c>
      <c r="AL174" t="e">
        <v>#N/A</v>
      </c>
      <c r="AM174" t="e">
        <v>#N/A</v>
      </c>
      <c r="AN174" t="e">
        <v>#N/A</v>
      </c>
      <c r="AQ174">
        <v>172</v>
      </c>
      <c r="AR174">
        <f t="shared" si="64"/>
        <v>-11.883216824898845</v>
      </c>
      <c r="AS174">
        <f t="shared" si="65"/>
        <v>1.670077211520784</v>
      </c>
    </row>
    <row r="175" spans="1:45" x14ac:dyDescent="0.25">
      <c r="A175" s="15">
        <f t="shared" ca="1" si="66"/>
        <v>0</v>
      </c>
      <c r="B175">
        <f t="shared" ca="1" si="67"/>
        <v>0</v>
      </c>
      <c r="M175" s="7"/>
      <c r="N175" s="7"/>
      <c r="O175" s="7"/>
      <c r="Q175" s="7"/>
      <c r="R175" s="7"/>
      <c r="S175" s="7"/>
      <c r="T175" s="7"/>
      <c r="U175" s="7"/>
      <c r="Y175" s="10"/>
      <c r="Z175" s="10"/>
      <c r="AA175" s="10"/>
      <c r="AB175" s="7"/>
      <c r="AC175" s="7"/>
      <c r="AD175" s="7"/>
      <c r="AE175" s="10"/>
      <c r="AF175" s="10"/>
      <c r="AG175" s="10"/>
      <c r="AJ175" t="e">
        <v>#N/A</v>
      </c>
      <c r="AK175" t="e">
        <v>#N/A</v>
      </c>
      <c r="AL175" t="e">
        <v>#N/A</v>
      </c>
      <c r="AM175" t="e">
        <v>#N/A</v>
      </c>
      <c r="AN175" t="e">
        <v>#N/A</v>
      </c>
      <c r="AQ175">
        <v>173</v>
      </c>
      <c r="AR175">
        <f t="shared" si="64"/>
        <v>-11.910553819695863</v>
      </c>
      <c r="AS175">
        <f t="shared" si="65"/>
        <v>1.4624321208617705</v>
      </c>
    </row>
    <row r="176" spans="1:45" x14ac:dyDescent="0.25">
      <c r="A176" s="15">
        <f t="shared" ca="1" si="66"/>
        <v>0</v>
      </c>
      <c r="B176">
        <f t="shared" ca="1" si="67"/>
        <v>0</v>
      </c>
      <c r="M176" s="7"/>
      <c r="N176" s="7"/>
      <c r="O176" s="7"/>
      <c r="Q176" s="7"/>
      <c r="R176" s="7"/>
      <c r="S176" s="7"/>
      <c r="T176" s="7"/>
      <c r="U176" s="7"/>
      <c r="Y176" s="10"/>
      <c r="Z176" s="10"/>
      <c r="AA176" s="10"/>
      <c r="AB176" s="7"/>
      <c r="AC176" s="7"/>
      <c r="AD176" s="7"/>
      <c r="AE176" s="10"/>
      <c r="AF176" s="10"/>
      <c r="AG176" s="10"/>
      <c r="AJ176" t="e">
        <v>#N/A</v>
      </c>
      <c r="AK176" t="e">
        <v>#N/A</v>
      </c>
      <c r="AL176" t="e">
        <v>#N/A</v>
      </c>
      <c r="AM176" t="e">
        <v>#N/A</v>
      </c>
      <c r="AN176" t="e">
        <v>#N/A</v>
      </c>
      <c r="AQ176">
        <v>174</v>
      </c>
      <c r="AR176">
        <f t="shared" si="64"/>
        <v>-11.934262744419279</v>
      </c>
      <c r="AS176">
        <f t="shared" si="65"/>
        <v>1.2543415592118448</v>
      </c>
    </row>
    <row r="177" spans="1:45" x14ac:dyDescent="0.25">
      <c r="A177" s="15">
        <f t="shared" ca="1" si="66"/>
        <v>0</v>
      </c>
      <c r="B177">
        <f t="shared" ca="1" si="67"/>
        <v>0</v>
      </c>
      <c r="M177" s="7"/>
      <c r="N177" s="7"/>
      <c r="O177" s="7"/>
      <c r="Q177" s="7"/>
      <c r="R177" s="7"/>
      <c r="S177" s="7"/>
      <c r="T177" s="7"/>
      <c r="U177" s="7"/>
      <c r="Y177" s="10"/>
      <c r="Z177" s="10"/>
      <c r="AA177" s="10"/>
      <c r="AB177" s="7"/>
      <c r="AC177" s="7"/>
      <c r="AD177" s="7"/>
      <c r="AE177" s="10"/>
      <c r="AF177" s="10"/>
      <c r="AG177" s="10"/>
      <c r="AJ177" t="e">
        <v>#N/A</v>
      </c>
      <c r="AK177" t="e">
        <v>#N/A</v>
      </c>
      <c r="AL177" t="e">
        <v>#N/A</v>
      </c>
      <c r="AM177" t="e">
        <v>#N/A</v>
      </c>
      <c r="AN177" t="e">
        <v>#N/A</v>
      </c>
      <c r="AQ177">
        <v>175</v>
      </c>
      <c r="AR177">
        <f t="shared" si="64"/>
        <v>-11.954336377100947</v>
      </c>
      <c r="AS177">
        <f t="shared" si="65"/>
        <v>1.0458689129718983</v>
      </c>
    </row>
    <row r="178" spans="1:45" x14ac:dyDescent="0.25">
      <c r="A178" s="15">
        <f t="shared" ca="1" si="66"/>
        <v>0</v>
      </c>
      <c r="B178">
        <f t="shared" ca="1" si="67"/>
        <v>0</v>
      </c>
      <c r="M178" s="7"/>
      <c r="N178" s="7"/>
      <c r="O178" s="7"/>
      <c r="Q178" s="7"/>
      <c r="R178" s="7"/>
      <c r="S178" s="7"/>
      <c r="T178" s="7"/>
      <c r="U178" s="7"/>
      <c r="Y178" s="10"/>
      <c r="Z178" s="10"/>
      <c r="AA178" s="10"/>
      <c r="AB178" s="7"/>
      <c r="AC178" s="7"/>
      <c r="AD178" s="7"/>
      <c r="AE178" s="10"/>
      <c r="AF178" s="10"/>
      <c r="AG178" s="10"/>
      <c r="AJ178" t="e">
        <v>#N/A</v>
      </c>
      <c r="AK178" t="e">
        <v>#N/A</v>
      </c>
      <c r="AL178" t="e">
        <v>#N/A</v>
      </c>
      <c r="AM178" t="e">
        <v>#N/A</v>
      </c>
      <c r="AN178" t="e">
        <v>#N/A</v>
      </c>
      <c r="AQ178">
        <v>176</v>
      </c>
      <c r="AR178">
        <f t="shared" si="64"/>
        <v>-11.970768603117889</v>
      </c>
      <c r="AS178">
        <f t="shared" si="65"/>
        <v>0.83707768492950629</v>
      </c>
    </row>
    <row r="179" spans="1:45" x14ac:dyDescent="0.25">
      <c r="A179" s="15">
        <f t="shared" ca="1" si="66"/>
        <v>0</v>
      </c>
      <c r="B179">
        <f t="shared" ca="1" si="67"/>
        <v>0</v>
      </c>
      <c r="M179" s="7"/>
      <c r="N179" s="7"/>
      <c r="O179" s="7"/>
      <c r="Q179" s="7"/>
      <c r="R179" s="7"/>
      <c r="S179" s="7"/>
      <c r="T179" s="7"/>
      <c r="U179" s="7"/>
      <c r="Y179" s="10"/>
      <c r="Z179" s="10"/>
      <c r="AA179" s="10"/>
      <c r="AB179" s="7"/>
      <c r="AC179" s="7"/>
      <c r="AD179" s="7"/>
      <c r="AE179" s="10"/>
      <c r="AF179" s="10"/>
      <c r="AG179" s="10"/>
      <c r="AJ179" t="e">
        <v>#N/A</v>
      </c>
      <c r="AK179" t="e">
        <v>#N/A</v>
      </c>
      <c r="AL179" t="e">
        <v>#N/A</v>
      </c>
      <c r="AM179" t="e">
        <v>#N/A</v>
      </c>
      <c r="AN179" t="e">
        <v>#N/A</v>
      </c>
      <c r="AQ179">
        <v>177</v>
      </c>
      <c r="AR179">
        <f t="shared" si="64"/>
        <v>-11.983554417054886</v>
      </c>
      <c r="AS179">
        <f t="shared" si="65"/>
        <v>0.62803147491532574</v>
      </c>
    </row>
    <row r="180" spans="1:45" x14ac:dyDescent="0.25">
      <c r="A180" s="15">
        <f t="shared" ca="1" si="66"/>
        <v>0</v>
      </c>
      <c r="B180">
        <f t="shared" ca="1" si="67"/>
        <v>0</v>
      </c>
      <c r="M180" s="7"/>
      <c r="N180" s="7"/>
      <c r="O180" s="7"/>
      <c r="Q180" s="7"/>
      <c r="R180" s="7"/>
      <c r="S180" s="7"/>
      <c r="T180" s="7"/>
      <c r="U180" s="7"/>
      <c r="Y180" s="10"/>
      <c r="Z180" s="10"/>
      <c r="AA180" s="10"/>
      <c r="AB180" s="7"/>
      <c r="AC180" s="7"/>
      <c r="AD180" s="7"/>
      <c r="AE180" s="10"/>
      <c r="AF180" s="10"/>
      <c r="AG180" s="10"/>
      <c r="AJ180" t="e">
        <v>#N/A</v>
      </c>
      <c r="AK180" t="e">
        <v>#N/A</v>
      </c>
      <c r="AL180" t="e">
        <v>#N/A</v>
      </c>
      <c r="AM180" t="e">
        <v>#N/A</v>
      </c>
      <c r="AN180" t="e">
        <v>#N/A</v>
      </c>
      <c r="AQ180">
        <v>178</v>
      </c>
      <c r="AR180">
        <f t="shared" si="64"/>
        <v>-11.992689924229149</v>
      </c>
      <c r="AS180">
        <f t="shared" si="65"/>
        <v>0.41879396043001371</v>
      </c>
    </row>
    <row r="181" spans="1:45" x14ac:dyDescent="0.25">
      <c r="A181" s="15">
        <f t="shared" ca="1" si="66"/>
        <v>0</v>
      </c>
      <c r="B181">
        <f t="shared" ca="1" si="67"/>
        <v>0</v>
      </c>
      <c r="M181" s="7"/>
      <c r="N181" s="7"/>
      <c r="O181" s="7"/>
      <c r="Q181" s="7"/>
      <c r="R181" s="7"/>
      <c r="S181" s="7"/>
      <c r="T181" s="7"/>
      <c r="U181" s="7"/>
      <c r="Y181" s="10"/>
      <c r="Z181" s="10"/>
      <c r="AA181" s="10"/>
      <c r="AB181" s="7"/>
      <c r="AC181" s="7"/>
      <c r="AD181" s="7"/>
      <c r="AE181" s="10"/>
      <c r="AF181" s="10"/>
      <c r="AG181" s="10"/>
      <c r="AJ181" t="e">
        <v>#N/A</v>
      </c>
      <c r="AK181" t="e">
        <v>#N/A</v>
      </c>
      <c r="AL181" t="e">
        <v>#N/A</v>
      </c>
      <c r="AM181" t="e">
        <v>#N/A</v>
      </c>
      <c r="AN181" t="e">
        <v>#N/A</v>
      </c>
      <c r="AQ181">
        <v>179</v>
      </c>
      <c r="AR181">
        <f t="shared" si="64"/>
        <v>-11.998172341876696</v>
      </c>
      <c r="AS181">
        <f t="shared" si="65"/>
        <v>0.20942887724740128</v>
      </c>
    </row>
    <row r="182" spans="1:45" x14ac:dyDescent="0.25">
      <c r="A182" s="15">
        <f t="shared" ca="1" si="66"/>
        <v>0</v>
      </c>
      <c r="B182">
        <f t="shared" ca="1" si="67"/>
        <v>0</v>
      </c>
      <c r="M182" s="7"/>
      <c r="N182" s="7"/>
      <c r="O182" s="7"/>
      <c r="Q182" s="7"/>
      <c r="R182" s="7"/>
      <c r="S182" s="7"/>
      <c r="T182" s="7"/>
      <c r="U182" s="7"/>
      <c r="Y182" s="10"/>
      <c r="Z182" s="10"/>
      <c r="AA182" s="10"/>
      <c r="AB182" s="7"/>
      <c r="AC182" s="7"/>
      <c r="AD182" s="7"/>
      <c r="AE182" s="10"/>
      <c r="AF182" s="10"/>
      <c r="AG182" s="10"/>
      <c r="AJ182" t="e">
        <v>#N/A</v>
      </c>
      <c r="AK182" t="e">
        <v>#N/A</v>
      </c>
      <c r="AL182" t="e">
        <v>#N/A</v>
      </c>
      <c r="AM182" t="e">
        <v>#N/A</v>
      </c>
      <c r="AN182" t="e">
        <v>#N/A</v>
      </c>
      <c r="AQ182">
        <v>180</v>
      </c>
      <c r="AR182">
        <f t="shared" si="64"/>
        <v>-12</v>
      </c>
      <c r="AS182">
        <f t="shared" si="65"/>
        <v>1.470178145890344E-15</v>
      </c>
    </row>
    <row r="183" spans="1:45" x14ac:dyDescent="0.25">
      <c r="A183" s="15">
        <f t="shared" ca="1" si="66"/>
        <v>0</v>
      </c>
      <c r="B183">
        <f t="shared" ca="1" si="67"/>
        <v>0</v>
      </c>
      <c r="M183" s="7"/>
      <c r="N183" s="7"/>
      <c r="O183" s="7"/>
      <c r="Q183" s="7"/>
      <c r="R183" s="7"/>
      <c r="S183" s="7"/>
      <c r="T183" s="7"/>
      <c r="U183" s="7"/>
      <c r="Y183" s="10"/>
      <c r="Z183" s="10"/>
      <c r="AA183" s="10"/>
      <c r="AB183" s="7"/>
      <c r="AC183" s="7"/>
      <c r="AD183" s="7"/>
      <c r="AE183" s="10"/>
      <c r="AF183" s="10"/>
      <c r="AG183" s="10"/>
      <c r="AJ183" t="e">
        <v>#N/A</v>
      </c>
      <c r="AK183" t="e">
        <v>#N/A</v>
      </c>
      <c r="AL183" t="e">
        <v>#N/A</v>
      </c>
      <c r="AM183" t="e">
        <v>#N/A</v>
      </c>
      <c r="AN183" t="e">
        <v>#N/A</v>
      </c>
      <c r="AQ183">
        <v>181</v>
      </c>
      <c r="AR183">
        <f t="shared" si="64"/>
        <v>-11.998172341876696</v>
      </c>
      <c r="AS183">
        <f t="shared" si="65"/>
        <v>-0.20942887724740364</v>
      </c>
    </row>
    <row r="184" spans="1:45" x14ac:dyDescent="0.25">
      <c r="A184" s="15">
        <f t="shared" ca="1" si="66"/>
        <v>0</v>
      </c>
      <c r="B184">
        <f t="shared" ca="1" si="67"/>
        <v>0</v>
      </c>
      <c r="M184" s="7"/>
      <c r="N184" s="7"/>
      <c r="O184" s="7"/>
      <c r="Q184" s="7"/>
      <c r="R184" s="7"/>
      <c r="S184" s="7"/>
      <c r="T184" s="7"/>
      <c r="U184" s="7"/>
      <c r="Y184" s="10"/>
      <c r="Z184" s="10"/>
      <c r="AA184" s="10"/>
      <c r="AB184" s="7"/>
      <c r="AC184" s="7"/>
      <c r="AD184" s="7"/>
      <c r="AE184" s="10"/>
      <c r="AF184" s="10"/>
      <c r="AG184" s="10"/>
      <c r="AJ184" t="e">
        <v>#N/A</v>
      </c>
      <c r="AK184" t="e">
        <v>#N/A</v>
      </c>
      <c r="AL184" t="e">
        <v>#N/A</v>
      </c>
      <c r="AM184" t="e">
        <v>#N/A</v>
      </c>
      <c r="AN184" t="e">
        <v>#N/A</v>
      </c>
      <c r="AQ184">
        <v>182</v>
      </c>
      <c r="AR184">
        <f t="shared" si="64"/>
        <v>-11.992689924229149</v>
      </c>
      <c r="AS184">
        <f t="shared" si="65"/>
        <v>-0.41879396043001083</v>
      </c>
    </row>
    <row r="185" spans="1:45" x14ac:dyDescent="0.25">
      <c r="A185" s="15">
        <f t="shared" ca="1" si="66"/>
        <v>0</v>
      </c>
      <c r="B185">
        <f t="shared" ca="1" si="67"/>
        <v>0</v>
      </c>
      <c r="M185" s="7"/>
      <c r="N185" s="7"/>
      <c r="O185" s="7"/>
      <c r="Q185" s="7"/>
      <c r="R185" s="7"/>
      <c r="S185" s="7"/>
      <c r="T185" s="7"/>
      <c r="U185" s="7"/>
      <c r="Y185" s="10"/>
      <c r="Z185" s="10"/>
      <c r="AA185" s="10"/>
      <c r="AB185" s="7"/>
      <c r="AC185" s="7"/>
      <c r="AD185" s="7"/>
      <c r="AE185" s="10"/>
      <c r="AF185" s="10"/>
      <c r="AG185" s="10"/>
      <c r="AJ185" t="e">
        <v>#N/A</v>
      </c>
      <c r="AK185" t="e">
        <v>#N/A</v>
      </c>
      <c r="AL185" t="e">
        <v>#N/A</v>
      </c>
      <c r="AM185" t="e">
        <v>#N/A</v>
      </c>
      <c r="AN185" t="e">
        <v>#N/A</v>
      </c>
      <c r="AQ185">
        <v>183</v>
      </c>
      <c r="AR185">
        <f t="shared" si="64"/>
        <v>-11.983554417054886</v>
      </c>
      <c r="AS185">
        <f t="shared" si="65"/>
        <v>-0.62803147491532263</v>
      </c>
    </row>
    <row r="186" spans="1:45" x14ac:dyDescent="0.25">
      <c r="A186" s="15">
        <f t="shared" ca="1" si="66"/>
        <v>0</v>
      </c>
      <c r="B186">
        <f t="shared" ca="1" si="67"/>
        <v>0</v>
      </c>
      <c r="M186" s="7"/>
      <c r="N186" s="7"/>
      <c r="O186" s="7"/>
      <c r="Q186" s="7"/>
      <c r="R186" s="7"/>
      <c r="S186" s="7"/>
      <c r="T186" s="7"/>
      <c r="U186" s="7"/>
      <c r="Y186" s="10"/>
      <c r="Z186" s="10"/>
      <c r="AA186" s="10"/>
      <c r="AB186" s="7"/>
      <c r="AC186" s="7"/>
      <c r="AD186" s="7"/>
      <c r="AE186" s="10"/>
      <c r="AF186" s="10"/>
      <c r="AG186" s="10"/>
      <c r="AJ186" t="e">
        <v>#N/A</v>
      </c>
      <c r="AK186" t="e">
        <v>#N/A</v>
      </c>
      <c r="AL186" t="e">
        <v>#N/A</v>
      </c>
      <c r="AM186" t="e">
        <v>#N/A</v>
      </c>
      <c r="AN186" t="e">
        <v>#N/A</v>
      </c>
      <c r="AQ186">
        <v>184</v>
      </c>
      <c r="AR186">
        <f t="shared" si="64"/>
        <v>-11.970768603117889</v>
      </c>
      <c r="AS186">
        <f t="shared" si="65"/>
        <v>-0.8370776849295033</v>
      </c>
    </row>
    <row r="187" spans="1:45" x14ac:dyDescent="0.25">
      <c r="A187" s="15">
        <f t="shared" ca="1" si="66"/>
        <v>0</v>
      </c>
      <c r="B187">
        <f t="shared" ca="1" si="67"/>
        <v>0</v>
      </c>
      <c r="M187" s="7"/>
      <c r="N187" s="7"/>
      <c r="O187" s="7"/>
      <c r="Q187" s="7"/>
      <c r="R187" s="7"/>
      <c r="S187" s="7"/>
      <c r="T187" s="7"/>
      <c r="U187" s="7"/>
      <c r="Y187" s="10"/>
      <c r="Z187" s="10"/>
      <c r="AA187" s="10"/>
      <c r="AB187" s="7"/>
      <c r="AC187" s="7"/>
      <c r="AD187" s="7"/>
      <c r="AE187" s="10"/>
      <c r="AF187" s="10"/>
      <c r="AG187" s="10"/>
      <c r="AJ187" t="e">
        <v>#N/A</v>
      </c>
      <c r="AK187" t="e">
        <v>#N/A</v>
      </c>
      <c r="AL187" t="e">
        <v>#N/A</v>
      </c>
      <c r="AM187" t="e">
        <v>#N/A</v>
      </c>
      <c r="AN187" t="e">
        <v>#N/A</v>
      </c>
      <c r="AQ187">
        <v>185</v>
      </c>
      <c r="AR187">
        <f t="shared" si="64"/>
        <v>-11.954336377100947</v>
      </c>
      <c r="AS187">
        <f t="shared" si="65"/>
        <v>-1.0458689129718954</v>
      </c>
    </row>
    <row r="188" spans="1:45" x14ac:dyDescent="0.25">
      <c r="A188" s="15">
        <f t="shared" ca="1" si="66"/>
        <v>0</v>
      </c>
      <c r="B188">
        <f t="shared" ca="1" si="67"/>
        <v>0</v>
      </c>
      <c r="M188" s="7"/>
      <c r="N188" s="7"/>
      <c r="O188" s="7"/>
      <c r="Q188" s="7"/>
      <c r="R188" s="7"/>
      <c r="S188" s="7"/>
      <c r="T188" s="7"/>
      <c r="U188" s="7"/>
      <c r="Y188" s="10"/>
      <c r="Z188" s="10"/>
      <c r="AA188" s="10"/>
      <c r="AB188" s="7"/>
      <c r="AC188" s="7"/>
      <c r="AD188" s="7"/>
      <c r="AE188" s="10"/>
      <c r="AF188" s="10"/>
      <c r="AG188" s="10"/>
      <c r="AJ188" t="e">
        <v>#N/A</v>
      </c>
      <c r="AK188" t="e">
        <v>#N/A</v>
      </c>
      <c r="AL188" t="e">
        <v>#N/A</v>
      </c>
      <c r="AM188" t="e">
        <v>#N/A</v>
      </c>
      <c r="AN188" t="e">
        <v>#N/A</v>
      </c>
      <c r="AQ188">
        <v>186</v>
      </c>
      <c r="AR188">
        <f t="shared" si="64"/>
        <v>-11.934262744419279</v>
      </c>
      <c r="AS188">
        <f t="shared" si="65"/>
        <v>-1.2543415592118419</v>
      </c>
    </row>
    <row r="189" spans="1:45" x14ac:dyDescent="0.25">
      <c r="A189" s="15">
        <f t="shared" ca="1" si="66"/>
        <v>0</v>
      </c>
      <c r="B189">
        <f t="shared" ca="1" si="67"/>
        <v>0</v>
      </c>
      <c r="M189" s="7"/>
      <c r="N189" s="7"/>
      <c r="O189" s="7"/>
      <c r="Q189" s="7"/>
      <c r="R189" s="7"/>
      <c r="S189" s="7"/>
      <c r="T189" s="7"/>
      <c r="U189" s="7"/>
      <c r="Y189" s="10"/>
      <c r="Z189" s="10"/>
      <c r="AA189" s="10"/>
      <c r="AB189" s="7"/>
      <c r="AC189" s="7"/>
      <c r="AD189" s="7"/>
      <c r="AE189" s="10"/>
      <c r="AF189" s="10"/>
      <c r="AG189" s="10"/>
      <c r="AJ189" t="e">
        <v>#N/A</v>
      </c>
      <c r="AK189" t="e">
        <v>#N/A</v>
      </c>
      <c r="AL189" t="e">
        <v>#N/A</v>
      </c>
      <c r="AM189" t="e">
        <v>#N/A</v>
      </c>
      <c r="AN189" t="e">
        <v>#N/A</v>
      </c>
      <c r="AQ189">
        <v>187</v>
      </c>
      <c r="AR189">
        <f t="shared" si="64"/>
        <v>-11.910553819695865</v>
      </c>
      <c r="AS189">
        <f t="shared" si="65"/>
        <v>-1.4624321208617677</v>
      </c>
    </row>
    <row r="190" spans="1:45" x14ac:dyDescent="0.25">
      <c r="A190" s="15">
        <f t="shared" ca="1" si="66"/>
        <v>0</v>
      </c>
      <c r="B190">
        <f t="shared" ca="1" si="67"/>
        <v>0</v>
      </c>
      <c r="M190" s="7"/>
      <c r="N190" s="7"/>
      <c r="O190" s="7"/>
      <c r="Q190" s="7"/>
      <c r="R190" s="7"/>
      <c r="S190" s="7"/>
      <c r="T190" s="7"/>
      <c r="U190" s="7"/>
      <c r="Y190" s="10"/>
      <c r="Z190" s="10"/>
      <c r="AA190" s="10"/>
      <c r="AB190" s="7"/>
      <c r="AC190" s="7"/>
      <c r="AD190" s="7"/>
      <c r="AE190" s="10"/>
      <c r="AF190" s="10"/>
      <c r="AG190" s="10"/>
      <c r="AJ190" t="e">
        <v>#N/A</v>
      </c>
      <c r="AK190" t="e">
        <v>#N/A</v>
      </c>
      <c r="AL190" t="e">
        <v>#N/A</v>
      </c>
      <c r="AM190" t="e">
        <v>#N/A</v>
      </c>
      <c r="AN190" t="e">
        <v>#N/A</v>
      </c>
      <c r="AQ190">
        <v>188</v>
      </c>
      <c r="AR190">
        <f t="shared" si="64"/>
        <v>-11.883216824898843</v>
      </c>
      <c r="AS190">
        <f t="shared" si="65"/>
        <v>-1.6700772115207863</v>
      </c>
    </row>
    <row r="191" spans="1:45" x14ac:dyDescent="0.25">
      <c r="A191" s="15">
        <f t="shared" ca="1" si="66"/>
        <v>0</v>
      </c>
      <c r="B191">
        <f t="shared" ca="1" si="67"/>
        <v>0</v>
      </c>
      <c r="M191" s="7"/>
      <c r="N191" s="7"/>
      <c r="O191" s="7"/>
      <c r="Q191" s="7"/>
      <c r="R191" s="7"/>
      <c r="S191" s="7"/>
      <c r="T191" s="7"/>
      <c r="U191" s="7"/>
      <c r="Y191" s="10"/>
      <c r="Z191" s="10"/>
      <c r="AA191" s="10"/>
      <c r="AB191" s="7"/>
      <c r="AC191" s="7"/>
      <c r="AD191" s="7"/>
      <c r="AE191" s="10"/>
      <c r="AF191" s="10"/>
      <c r="AG191" s="10"/>
      <c r="AJ191" t="e">
        <v>#N/A</v>
      </c>
      <c r="AK191" t="e">
        <v>#N/A</v>
      </c>
      <c r="AL191" t="e">
        <v>#N/A</v>
      </c>
      <c r="AM191" t="e">
        <v>#N/A</v>
      </c>
      <c r="AN191" t="e">
        <v>#N/A</v>
      </c>
      <c r="AQ191">
        <v>189</v>
      </c>
      <c r="AR191">
        <f t="shared" si="64"/>
        <v>-11.852260087141653</v>
      </c>
      <c r="AS191">
        <f t="shared" si="65"/>
        <v>-1.8772135804827688</v>
      </c>
    </row>
    <row r="192" spans="1:45" x14ac:dyDescent="0.25">
      <c r="A192" s="15">
        <f t="shared" ca="1" si="66"/>
        <v>0</v>
      </c>
      <c r="B192">
        <f t="shared" ca="1" si="67"/>
        <v>0</v>
      </c>
      <c r="M192" s="7"/>
      <c r="N192" s="7"/>
      <c r="O192" s="7"/>
      <c r="Q192" s="7"/>
      <c r="R192" s="7"/>
      <c r="S192" s="7"/>
      <c r="T192" s="7"/>
      <c r="U192" s="7"/>
      <c r="Y192" s="10"/>
      <c r="Z192" s="10"/>
      <c r="AA192" s="10"/>
      <c r="AB192" s="7"/>
      <c r="AC192" s="7"/>
      <c r="AD192" s="7"/>
      <c r="AE192" s="10"/>
      <c r="AF192" s="10"/>
      <c r="AG192" s="10"/>
      <c r="AJ192" t="e">
        <v>#N/A</v>
      </c>
      <c r="AK192" t="e">
        <v>#N/A</v>
      </c>
      <c r="AL192" t="e">
        <v>#N/A</v>
      </c>
      <c r="AM192" t="e">
        <v>#N/A</v>
      </c>
      <c r="AN192" t="e">
        <v>#N/A</v>
      </c>
      <c r="AQ192">
        <v>190</v>
      </c>
      <c r="AR192">
        <f t="shared" si="64"/>
        <v>-11.817693036146496</v>
      </c>
      <c r="AS192">
        <f t="shared" si="65"/>
        <v>-2.0837781320031654</v>
      </c>
    </row>
    <row r="193" spans="1:45" x14ac:dyDescent="0.25">
      <c r="A193" s="15">
        <f t="shared" ca="1" si="66"/>
        <v>0</v>
      </c>
      <c r="B193">
        <f t="shared" ca="1" si="67"/>
        <v>0</v>
      </c>
      <c r="M193" s="7"/>
      <c r="N193" s="7"/>
      <c r="O193" s="7"/>
      <c r="Q193" s="7"/>
      <c r="R193" s="7"/>
      <c r="S193" s="7"/>
      <c r="T193" s="7"/>
      <c r="U193" s="7"/>
      <c r="Y193" s="10"/>
      <c r="Z193" s="10"/>
      <c r="AA193" s="10"/>
      <c r="AB193" s="7"/>
      <c r="AC193" s="7"/>
      <c r="AD193" s="7"/>
      <c r="AE193" s="10"/>
      <c r="AF193" s="10"/>
      <c r="AG193" s="10"/>
      <c r="AJ193" t="e">
        <v>#N/A</v>
      </c>
      <c r="AK193" t="e">
        <v>#N/A</v>
      </c>
      <c r="AL193" t="e">
        <v>#N/A</v>
      </c>
      <c r="AM193" t="e">
        <v>#N/A</v>
      </c>
      <c r="AN193" t="e">
        <v>#N/A</v>
      </c>
      <c r="AQ193">
        <v>191</v>
      </c>
      <c r="AR193">
        <f t="shared" si="64"/>
        <v>-11.779526201371969</v>
      </c>
      <c r="AS193">
        <f t="shared" si="65"/>
        <v>-2.2897079445185367</v>
      </c>
    </row>
    <row r="194" spans="1:45" x14ac:dyDescent="0.25">
      <c r="A194" s="15">
        <f t="shared" ca="1" si="66"/>
        <v>0</v>
      </c>
      <c r="B194">
        <f t="shared" ca="1" si="67"/>
        <v>0</v>
      </c>
      <c r="M194" s="7"/>
      <c r="N194" s="7"/>
      <c r="O194" s="7"/>
      <c r="Q194" s="7"/>
      <c r="R194" s="7"/>
      <c r="S194" s="7"/>
      <c r="T194" s="7"/>
      <c r="U194" s="7"/>
      <c r="Y194" s="10"/>
      <c r="Z194" s="10"/>
      <c r="AA194" s="10"/>
      <c r="AB194" s="7"/>
      <c r="AC194" s="7"/>
      <c r="AD194" s="7"/>
      <c r="AE194" s="10"/>
      <c r="AF194" s="10"/>
      <c r="AG194" s="10"/>
      <c r="AJ194" t="e">
        <v>#N/A</v>
      </c>
      <c r="AK194" t="e">
        <v>#N/A</v>
      </c>
      <c r="AL194" t="e">
        <v>#N/A</v>
      </c>
      <c r="AM194" t="e">
        <v>#N/A</v>
      </c>
      <c r="AN194" t="e">
        <v>#N/A</v>
      </c>
      <c r="AQ194">
        <v>192</v>
      </c>
      <c r="AR194">
        <f t="shared" si="64"/>
        <v>-11.737771208805666</v>
      </c>
      <c r="AS194">
        <f t="shared" si="65"/>
        <v>-2.4949402898131141</v>
      </c>
    </row>
    <row r="195" spans="1:45" x14ac:dyDescent="0.25">
      <c r="A195" s="15">
        <f t="shared" ca="1" si="66"/>
        <v>0</v>
      </c>
      <c r="B195">
        <f t="shared" ca="1" si="67"/>
        <v>0</v>
      </c>
      <c r="M195" s="7"/>
      <c r="N195" s="7"/>
      <c r="O195" s="7"/>
      <c r="Q195" s="7"/>
      <c r="R195" s="7"/>
      <c r="S195" s="7"/>
      <c r="T195" s="7"/>
      <c r="U195" s="7"/>
      <c r="Y195" s="10"/>
      <c r="Z195" s="10"/>
      <c r="AA195" s="10"/>
      <c r="AB195" s="7"/>
      <c r="AC195" s="7"/>
      <c r="AD195" s="7"/>
      <c r="AE195" s="10"/>
      <c r="AF195" s="10"/>
      <c r="AG195" s="10"/>
      <c r="AJ195" t="e">
        <v>#N/A</v>
      </c>
      <c r="AK195" t="e">
        <v>#N/A</v>
      </c>
      <c r="AL195" t="e">
        <v>#N/A</v>
      </c>
      <c r="AM195" t="e">
        <v>#N/A</v>
      </c>
      <c r="AN195" t="e">
        <v>#N/A</v>
      </c>
      <c r="AQ195">
        <v>193</v>
      </c>
      <c r="AR195">
        <f t="shared" ref="AR195:AR258" si="68">$B$3*COS(RADIANS(AQ195))</f>
        <v>-11.692440777422823</v>
      </c>
      <c r="AS195">
        <f t="shared" ref="AS195:AS258" si="69">$B$3*SIN(RADIANS(AQ195))</f>
        <v>-2.6994126521263797</v>
      </c>
    </row>
    <row r="196" spans="1:45" x14ac:dyDescent="0.25">
      <c r="A196" s="15">
        <f t="shared" ca="1" si="66"/>
        <v>0</v>
      </c>
      <c r="B196">
        <f t="shared" ca="1" si="67"/>
        <v>0</v>
      </c>
      <c r="M196" s="7"/>
      <c r="N196" s="7"/>
      <c r="O196" s="7"/>
      <c r="Q196" s="7"/>
      <c r="R196" s="7"/>
      <c r="S196" s="7"/>
      <c r="T196" s="7"/>
      <c r="U196" s="7"/>
      <c r="Y196" s="10"/>
      <c r="Z196" s="10"/>
      <c r="AA196" s="10"/>
      <c r="AB196" s="7"/>
      <c r="AC196" s="7"/>
      <c r="AD196" s="7"/>
      <c r="AE196" s="10"/>
      <c r="AF196" s="10"/>
      <c r="AG196" s="10"/>
      <c r="AJ196" t="e">
        <v>#N/A</v>
      </c>
      <c r="AK196" t="e">
        <v>#N/A</v>
      </c>
      <c r="AL196" t="e">
        <v>#N/A</v>
      </c>
      <c r="AM196" t="e">
        <v>#N/A</v>
      </c>
      <c r="AN196" t="e">
        <v>#N/A</v>
      </c>
      <c r="AQ196">
        <v>194</v>
      </c>
      <c r="AR196">
        <f t="shared" si="68"/>
        <v>-11.643548715311958</v>
      </c>
      <c r="AS196">
        <f t="shared" si="69"/>
        <v>-2.9030627471960102</v>
      </c>
    </row>
    <row r="197" spans="1:45" x14ac:dyDescent="0.25">
      <c r="A197" s="15">
        <f t="shared" ca="1" si="66"/>
        <v>0</v>
      </c>
      <c r="B197">
        <f t="shared" ca="1" si="67"/>
        <v>0</v>
      </c>
      <c r="M197" s="7"/>
      <c r="N197" s="7"/>
      <c r="O197" s="7"/>
      <c r="Q197" s="7"/>
      <c r="R197" s="7"/>
      <c r="S197" s="7"/>
      <c r="T197" s="7"/>
      <c r="U197" s="7"/>
      <c r="Y197" s="10"/>
      <c r="Z197" s="10"/>
      <c r="AA197" s="10"/>
      <c r="AB197" s="7"/>
      <c r="AC197" s="7"/>
      <c r="AD197" s="7"/>
      <c r="AE197" s="10"/>
      <c r="AF197" s="10"/>
      <c r="AG197" s="10"/>
      <c r="AJ197" t="e">
        <v>#N/A</v>
      </c>
      <c r="AK197" t="e">
        <v>#N/A</v>
      </c>
      <c r="AL197" t="e">
        <v>#N/A</v>
      </c>
      <c r="AM197" t="e">
        <v>#N/A</v>
      </c>
      <c r="AN197" t="e">
        <v>#N/A</v>
      </c>
      <c r="AQ197">
        <v>195</v>
      </c>
      <c r="AR197">
        <f t="shared" si="68"/>
        <v>-11.59110991546882</v>
      </c>
      <c r="AS197">
        <f t="shared" si="69"/>
        <v>-3.1058285412302498</v>
      </c>
    </row>
    <row r="198" spans="1:45" x14ac:dyDescent="0.25">
      <c r="A198" s="15">
        <f t="shared" ca="1" si="66"/>
        <v>0</v>
      </c>
      <c r="B198">
        <f t="shared" ca="1" si="67"/>
        <v>0</v>
      </c>
      <c r="M198" s="7"/>
      <c r="N198" s="7"/>
      <c r="O198" s="7"/>
      <c r="Q198" s="7"/>
      <c r="R198" s="7"/>
      <c r="S198" s="7"/>
      <c r="T198" s="7"/>
      <c r="U198" s="7"/>
      <c r="Y198" s="10"/>
      <c r="Z198" s="10"/>
      <c r="AA198" s="10"/>
      <c r="AB198" s="7"/>
      <c r="AC198" s="7"/>
      <c r="AD198" s="7"/>
      <c r="AE198" s="10"/>
      <c r="AF198" s="10"/>
      <c r="AG198" s="10"/>
      <c r="AJ198" t="e">
        <v>#N/A</v>
      </c>
      <c r="AK198" t="e">
        <v>#N/A</v>
      </c>
      <c r="AL198" t="e">
        <v>#N/A</v>
      </c>
      <c r="AM198" t="e">
        <v>#N/A</v>
      </c>
      <c r="AN198" t="e">
        <v>#N/A</v>
      </c>
      <c r="AQ198">
        <v>196</v>
      </c>
      <c r="AR198">
        <f t="shared" si="68"/>
        <v>-11.535140351259827</v>
      </c>
      <c r="AS198">
        <f t="shared" si="69"/>
        <v>-3.307648269803988</v>
      </c>
    </row>
    <row r="199" spans="1:45" x14ac:dyDescent="0.25">
      <c r="A199" s="15">
        <f t="shared" ca="1" si="66"/>
        <v>0</v>
      </c>
      <c r="B199">
        <f t="shared" ca="1" si="67"/>
        <v>0</v>
      </c>
      <c r="M199" s="7"/>
      <c r="N199" s="7"/>
      <c r="O199" s="7"/>
      <c r="Q199" s="7"/>
      <c r="R199" s="7"/>
      <c r="S199" s="7"/>
      <c r="T199" s="7"/>
      <c r="U199" s="7"/>
      <c r="Y199" s="10"/>
      <c r="Z199" s="10"/>
      <c r="AA199" s="10"/>
      <c r="AB199" s="7"/>
      <c r="AC199" s="7"/>
      <c r="AD199" s="7"/>
      <c r="AE199" s="10"/>
      <c r="AF199" s="10"/>
      <c r="AG199" s="10"/>
      <c r="AJ199" t="e">
        <v>#N/A</v>
      </c>
      <c r="AK199" t="e">
        <v>#N/A</v>
      </c>
      <c r="AL199" t="e">
        <v>#N/A</v>
      </c>
      <c r="AM199" t="e">
        <v>#N/A</v>
      </c>
      <c r="AN199" t="e">
        <v>#N/A</v>
      </c>
      <c r="AQ199">
        <v>197</v>
      </c>
      <c r="AR199">
        <f t="shared" si="68"/>
        <v>-11.475657071556425</v>
      </c>
      <c r="AS199">
        <f t="shared" si="69"/>
        <v>-3.5084604566728412</v>
      </c>
    </row>
    <row r="200" spans="1:45" x14ac:dyDescent="0.25">
      <c r="A200" s="15">
        <f t="shared" ca="1" si="66"/>
        <v>0</v>
      </c>
      <c r="B200">
        <f t="shared" ca="1" si="67"/>
        <v>0</v>
      </c>
      <c r="M200" s="7"/>
      <c r="N200" s="7"/>
      <c r="O200" s="7"/>
      <c r="Q200" s="7"/>
      <c r="R200" s="7"/>
      <c r="S200" s="7"/>
      <c r="T200" s="7"/>
      <c r="U200" s="7"/>
      <c r="Y200" s="10"/>
      <c r="Z200" s="10"/>
      <c r="AA200" s="10"/>
      <c r="AB200" s="7"/>
      <c r="AC200" s="7"/>
      <c r="AD200" s="7"/>
      <c r="AE200" s="10"/>
      <c r="AF200" s="10"/>
      <c r="AG200" s="10"/>
      <c r="AJ200" t="e">
        <v>#N/A</v>
      </c>
      <c r="AK200" t="e">
        <v>#N/A</v>
      </c>
      <c r="AL200" t="e">
        <v>#N/A</v>
      </c>
      <c r="AM200" t="e">
        <v>#N/A</v>
      </c>
      <c r="AN200" t="e">
        <v>#N/A</v>
      </c>
      <c r="AQ200">
        <v>198</v>
      </c>
      <c r="AR200">
        <f t="shared" si="68"/>
        <v>-11.412678195541844</v>
      </c>
      <c r="AS200">
        <f t="shared" si="69"/>
        <v>-3.7082039324993676</v>
      </c>
    </row>
    <row r="201" spans="1:45" x14ac:dyDescent="0.25">
      <c r="A201" s="15">
        <f t="shared" ca="1" si="66"/>
        <v>0</v>
      </c>
      <c r="B201">
        <f t="shared" ca="1" si="67"/>
        <v>0</v>
      </c>
      <c r="M201" s="7"/>
      <c r="N201" s="7"/>
      <c r="O201" s="7"/>
      <c r="Q201" s="7"/>
      <c r="R201" s="7"/>
      <c r="S201" s="7"/>
      <c r="T201" s="7"/>
      <c r="U201" s="7"/>
      <c r="Y201" s="10"/>
      <c r="Z201" s="10"/>
      <c r="AA201" s="10"/>
      <c r="AB201" s="7"/>
      <c r="AC201" s="7"/>
      <c r="AD201" s="7"/>
      <c r="AE201" s="10"/>
      <c r="AF201" s="10"/>
      <c r="AG201" s="10"/>
      <c r="AJ201" t="e">
        <v>#N/A</v>
      </c>
      <c r="AK201" t="e">
        <v>#N/A</v>
      </c>
      <c r="AL201" t="e">
        <v>#N/A</v>
      </c>
      <c r="AM201" t="e">
        <v>#N/A</v>
      </c>
      <c r="AN201" t="e">
        <v>#N/A</v>
      </c>
      <c r="AQ201">
        <v>199</v>
      </c>
      <c r="AR201">
        <f t="shared" si="68"/>
        <v>-11.346222907191802</v>
      </c>
      <c r="AS201">
        <f t="shared" si="69"/>
        <v>-3.9068178534858813</v>
      </c>
    </row>
    <row r="202" spans="1:45" x14ac:dyDescent="0.25">
      <c r="A202" s="15">
        <f t="shared" ca="1" si="66"/>
        <v>0</v>
      </c>
      <c r="B202">
        <f t="shared" ca="1" si="67"/>
        <v>0</v>
      </c>
      <c r="M202" s="7"/>
      <c r="N202" s="7"/>
      <c r="O202" s="7"/>
      <c r="Q202" s="7"/>
      <c r="R202" s="7"/>
      <c r="S202" s="7"/>
      <c r="T202" s="7"/>
      <c r="U202" s="7"/>
      <c r="Y202" s="10"/>
      <c r="Z202" s="10"/>
      <c r="AA202" s="10"/>
      <c r="AB202" s="7"/>
      <c r="AC202" s="7"/>
      <c r="AD202" s="7"/>
      <c r="AE202" s="10"/>
      <c r="AF202" s="10"/>
      <c r="AG202" s="10"/>
      <c r="AJ202" t="e">
        <v>#N/A</v>
      </c>
      <c r="AK202" t="e">
        <v>#N/A</v>
      </c>
      <c r="AL202" t="e">
        <v>#N/A</v>
      </c>
      <c r="AM202" t="e">
        <v>#N/A</v>
      </c>
      <c r="AN202" t="e">
        <v>#N/A</v>
      </c>
      <c r="AQ202">
        <v>200</v>
      </c>
      <c r="AR202">
        <f t="shared" si="68"/>
        <v>-11.276311449430901</v>
      </c>
      <c r="AS202">
        <f t="shared" si="69"/>
        <v>-4.1042417199080239</v>
      </c>
    </row>
    <row r="203" spans="1:45" x14ac:dyDescent="0.25">
      <c r="A203" s="15">
        <f t="shared" ca="1" si="66"/>
        <v>0</v>
      </c>
      <c r="B203">
        <f t="shared" ca="1" si="67"/>
        <v>0</v>
      </c>
      <c r="M203" s="7"/>
      <c r="N203" s="7"/>
      <c r="O203" s="7"/>
      <c r="Q203" s="7"/>
      <c r="R203" s="7"/>
      <c r="S203" s="7"/>
      <c r="T203" s="7"/>
      <c r="U203" s="7"/>
      <c r="Y203" s="10"/>
      <c r="Z203" s="10"/>
      <c r="AA203" s="10"/>
      <c r="AB203" s="7"/>
      <c r="AC203" s="7"/>
      <c r="AD203" s="7"/>
      <c r="AE203" s="10"/>
      <c r="AF203" s="10"/>
      <c r="AG203" s="10"/>
      <c r="AJ203" t="e">
        <v>#N/A</v>
      </c>
      <c r="AK203" t="e">
        <v>#N/A</v>
      </c>
      <c r="AL203" t="e">
        <v>#N/A</v>
      </c>
      <c r="AM203" t="e">
        <v>#N/A</v>
      </c>
      <c r="AN203" t="e">
        <v>#N/A</v>
      </c>
      <c r="AQ203">
        <v>201</v>
      </c>
      <c r="AR203">
        <f t="shared" si="68"/>
        <v>-11.202965117966421</v>
      </c>
      <c r="AS203">
        <f t="shared" si="69"/>
        <v>-4.300415394543605</v>
      </c>
    </row>
    <row r="204" spans="1:45" x14ac:dyDescent="0.25">
      <c r="A204" s="15">
        <f t="shared" ca="1" si="66"/>
        <v>0</v>
      </c>
      <c r="B204">
        <f t="shared" ca="1" si="67"/>
        <v>0</v>
      </c>
      <c r="M204" s="7"/>
      <c r="N204" s="7"/>
      <c r="O204" s="7"/>
      <c r="Q204" s="7"/>
      <c r="R204" s="7"/>
      <c r="S204" s="7"/>
      <c r="T204" s="7"/>
      <c r="U204" s="7"/>
      <c r="Y204" s="10"/>
      <c r="Z204" s="10"/>
      <c r="AA204" s="10"/>
      <c r="AB204" s="7"/>
      <c r="AC204" s="7"/>
      <c r="AD204" s="7"/>
      <c r="AE204" s="10"/>
      <c r="AF204" s="10"/>
      <c r="AG204" s="10"/>
      <c r="AJ204" t="e">
        <v>#N/A</v>
      </c>
      <c r="AK204" t="e">
        <v>#N/A</v>
      </c>
      <c r="AL204" t="e">
        <v>#N/A</v>
      </c>
      <c r="AM204" t="e">
        <v>#N/A</v>
      </c>
      <c r="AN204" t="e">
        <v>#N/A</v>
      </c>
      <c r="AQ204">
        <v>202</v>
      </c>
      <c r="AR204">
        <f t="shared" si="68"/>
        <v>-11.126206254801449</v>
      </c>
      <c r="AS204">
        <f t="shared" si="69"/>
        <v>-4.4952791209909444</v>
      </c>
    </row>
    <row r="205" spans="1:45" x14ac:dyDescent="0.25">
      <c r="A205" s="15">
        <f t="shared" ca="1" si="66"/>
        <v>0</v>
      </c>
      <c r="B205">
        <f t="shared" ca="1" si="67"/>
        <v>0</v>
      </c>
      <c r="M205" s="7"/>
      <c r="N205" s="7"/>
      <c r="O205" s="7"/>
      <c r="Q205" s="7"/>
      <c r="R205" s="7"/>
      <c r="S205" s="7"/>
      <c r="T205" s="7"/>
      <c r="U205" s="7"/>
      <c r="Y205" s="10"/>
      <c r="Z205" s="10"/>
      <c r="AA205" s="10"/>
      <c r="AB205" s="7"/>
      <c r="AC205" s="7"/>
      <c r="AD205" s="7"/>
      <c r="AE205" s="10"/>
      <c r="AF205" s="10"/>
      <c r="AG205" s="10"/>
      <c r="AJ205" t="e">
        <v>#N/A</v>
      </c>
      <c r="AK205" t="e">
        <v>#N/A</v>
      </c>
      <c r="AL205" t="e">
        <v>#N/A</v>
      </c>
      <c r="AM205" t="e">
        <v>#N/A</v>
      </c>
      <c r="AN205" t="e">
        <v>#N/A</v>
      </c>
      <c r="AQ205">
        <v>203</v>
      </c>
      <c r="AR205">
        <f t="shared" si="68"/>
        <v>-11.046058241429284</v>
      </c>
      <c r="AS205">
        <f t="shared" si="69"/>
        <v>-4.6887735418712824</v>
      </c>
    </row>
    <row r="206" spans="1:45" x14ac:dyDescent="0.25">
      <c r="A206" s="15">
        <f t="shared" ca="1" si="66"/>
        <v>0</v>
      </c>
      <c r="B206">
        <f t="shared" ca="1" si="67"/>
        <v>0</v>
      </c>
      <c r="M206" s="7"/>
      <c r="N206" s="7"/>
      <c r="O206" s="7"/>
      <c r="Q206" s="7"/>
      <c r="R206" s="7"/>
      <c r="S206" s="7"/>
      <c r="T206" s="7"/>
      <c r="U206" s="7"/>
      <c r="Y206" s="10"/>
      <c r="Z206" s="10"/>
      <c r="AA206" s="10"/>
      <c r="AB206" s="7"/>
      <c r="AC206" s="7"/>
      <c r="AD206" s="7"/>
      <c r="AE206" s="10"/>
      <c r="AF206" s="10"/>
      <c r="AG206" s="10"/>
      <c r="AJ206" t="e">
        <v>#N/A</v>
      </c>
      <c r="AK206" t="e">
        <v>#N/A</v>
      </c>
      <c r="AL206" t="e">
        <v>#N/A</v>
      </c>
      <c r="AM206" t="e">
        <v>#N/A</v>
      </c>
      <c r="AN206" t="e">
        <v>#N/A</v>
      </c>
      <c r="AQ206">
        <v>204</v>
      </c>
      <c r="AR206">
        <f t="shared" si="68"/>
        <v>-10.962545491711211</v>
      </c>
      <c r="AS206">
        <f t="shared" si="69"/>
        <v>-4.8808397169096027</v>
      </c>
    </row>
    <row r="207" spans="1:45" x14ac:dyDescent="0.25">
      <c r="A207" s="15">
        <f t="shared" ca="1" si="66"/>
        <v>0</v>
      </c>
      <c r="B207">
        <f t="shared" ca="1" si="67"/>
        <v>0</v>
      </c>
      <c r="M207" s="7"/>
      <c r="N207" s="7"/>
      <c r="O207" s="7"/>
      <c r="Q207" s="7"/>
      <c r="R207" s="7"/>
      <c r="S207" s="7"/>
      <c r="T207" s="7"/>
      <c r="U207" s="7"/>
      <c r="Y207" s="10"/>
      <c r="Z207" s="10"/>
      <c r="AA207" s="10"/>
      <c r="AB207" s="7"/>
      <c r="AC207" s="7"/>
      <c r="AD207" s="7"/>
      <c r="AE207" s="10"/>
      <c r="AF207" s="10"/>
      <c r="AG207" s="10"/>
      <c r="AJ207" t="e">
        <v>#N/A</v>
      </c>
      <c r="AK207" t="e">
        <v>#N/A</v>
      </c>
      <c r="AL207" t="e">
        <v>#N/A</v>
      </c>
      <c r="AM207" t="e">
        <v>#N/A</v>
      </c>
      <c r="AN207" t="e">
        <v>#N/A</v>
      </c>
      <c r="AQ207">
        <v>205</v>
      </c>
      <c r="AR207">
        <f t="shared" si="68"/>
        <v>-10.875693444439801</v>
      </c>
      <c r="AS207">
        <f t="shared" si="69"/>
        <v>-5.0714191408883913</v>
      </c>
    </row>
    <row r="208" spans="1:45" x14ac:dyDescent="0.25">
      <c r="A208" s="15">
        <f t="shared" ca="1" si="66"/>
        <v>0</v>
      </c>
      <c r="B208">
        <f t="shared" ca="1" si="67"/>
        <v>0</v>
      </c>
      <c r="M208" s="7"/>
      <c r="N208" s="7"/>
      <c r="O208" s="7"/>
      <c r="Q208" s="7"/>
      <c r="R208" s="7"/>
      <c r="S208" s="7"/>
      <c r="T208" s="7"/>
      <c r="U208" s="7"/>
      <c r="Y208" s="10"/>
      <c r="Z208" s="10"/>
      <c r="AA208" s="10"/>
      <c r="AB208" s="7"/>
      <c r="AC208" s="7"/>
      <c r="AD208" s="7"/>
      <c r="AE208" s="10"/>
      <c r="AF208" s="10"/>
      <c r="AG208" s="10"/>
      <c r="AJ208" t="e">
        <v>#N/A</v>
      </c>
      <c r="AK208" t="e">
        <v>#N/A</v>
      </c>
      <c r="AL208" t="e">
        <v>#N/A</v>
      </c>
      <c r="AM208" t="e">
        <v>#N/A</v>
      </c>
      <c r="AN208" t="e">
        <v>#N/A</v>
      </c>
      <c r="AQ208">
        <v>206</v>
      </c>
      <c r="AR208">
        <f t="shared" si="68"/>
        <v>-10.785528555590004</v>
      </c>
      <c r="AS208">
        <f t="shared" si="69"/>
        <v>-5.2604537614689297</v>
      </c>
    </row>
    <row r="209" spans="1:45" x14ac:dyDescent="0.25">
      <c r="A209" s="15">
        <f t="shared" ca="1" si="66"/>
        <v>0</v>
      </c>
      <c r="B209">
        <f t="shared" ca="1" si="67"/>
        <v>0</v>
      </c>
      <c r="M209" s="7"/>
      <c r="N209" s="7"/>
      <c r="O209" s="7"/>
      <c r="Q209" s="7"/>
      <c r="R209" s="7"/>
      <c r="S209" s="7"/>
      <c r="T209" s="7"/>
      <c r="U209" s="7"/>
      <c r="Y209" s="10"/>
      <c r="Z209" s="10"/>
      <c r="AA209" s="10"/>
      <c r="AB209" s="7"/>
      <c r="AC209" s="7"/>
      <c r="AD209" s="7"/>
      <c r="AE209" s="10"/>
      <c r="AF209" s="10"/>
      <c r="AG209" s="10"/>
      <c r="AJ209" t="e">
        <v>#N/A</v>
      </c>
      <c r="AK209" t="e">
        <v>#N/A</v>
      </c>
      <c r="AL209" t="e">
        <v>#N/A</v>
      </c>
      <c r="AM209" t="e">
        <v>#N/A</v>
      </c>
      <c r="AN209" t="e">
        <v>#N/A</v>
      </c>
      <c r="AQ209">
        <v>207</v>
      </c>
      <c r="AR209">
        <f t="shared" si="68"/>
        <v>-10.692078290260415</v>
      </c>
      <c r="AS209">
        <f t="shared" si="69"/>
        <v>-5.4478859968745601</v>
      </c>
    </row>
    <row r="210" spans="1:45" x14ac:dyDescent="0.25">
      <c r="A210" s="15">
        <f t="shared" ca="1" si="66"/>
        <v>0</v>
      </c>
      <c r="B210">
        <f t="shared" ca="1" si="67"/>
        <v>0</v>
      </c>
      <c r="M210" s="7"/>
      <c r="N210" s="7"/>
      <c r="O210" s="7"/>
      <c r="Q210" s="7"/>
      <c r="R210" s="7"/>
      <c r="S210" s="7"/>
      <c r="T210" s="7"/>
      <c r="U210" s="7"/>
      <c r="Y210" s="10"/>
      <c r="Z210" s="10"/>
      <c r="AA210" s="10"/>
      <c r="AB210" s="7"/>
      <c r="AC210" s="7"/>
      <c r="AD210" s="7"/>
      <c r="AE210" s="10"/>
      <c r="AF210" s="10"/>
      <c r="AG210" s="10"/>
      <c r="AJ210" t="e">
        <v>#N/A</v>
      </c>
      <c r="AK210" t="e">
        <v>#N/A</v>
      </c>
      <c r="AL210" t="e">
        <v>#N/A</v>
      </c>
      <c r="AM210" t="e">
        <v>#N/A</v>
      </c>
      <c r="AN210" t="e">
        <v>#N/A</v>
      </c>
      <c r="AQ210">
        <v>208</v>
      </c>
      <c r="AR210">
        <f t="shared" si="68"/>
        <v>-10.595371114307122</v>
      </c>
      <c r="AS210">
        <f t="shared" si="69"/>
        <v>-5.6336587534306908</v>
      </c>
    </row>
    <row r="211" spans="1:45" x14ac:dyDescent="0.25">
      <c r="A211" s="15">
        <f t="shared" ca="1" si="66"/>
        <v>0</v>
      </c>
      <c r="B211">
        <f t="shared" ca="1" si="67"/>
        <v>0</v>
      </c>
      <c r="M211" s="7"/>
      <c r="N211" s="7"/>
      <c r="O211" s="7"/>
      <c r="Q211" s="7"/>
      <c r="R211" s="7"/>
      <c r="S211" s="7"/>
      <c r="T211" s="7"/>
      <c r="U211" s="7"/>
      <c r="Y211" s="10"/>
      <c r="Z211" s="10"/>
      <c r="AA211" s="10"/>
      <c r="AB211" s="7"/>
      <c r="AC211" s="7"/>
      <c r="AD211" s="7"/>
      <c r="AE211" s="10"/>
      <c r="AF211" s="10"/>
      <c r="AG211" s="10"/>
      <c r="AJ211" t="e">
        <v>#N/A</v>
      </c>
      <c r="AK211" t="e">
        <v>#N/A</v>
      </c>
      <c r="AL211" t="e">
        <v>#N/A</v>
      </c>
      <c r="AM211" t="e">
        <v>#N/A</v>
      </c>
      <c r="AN211" t="e">
        <v>#N/A</v>
      </c>
      <c r="AQ211">
        <v>209</v>
      </c>
      <c r="AR211">
        <f t="shared" si="68"/>
        <v>-10.49543648567275</v>
      </c>
      <c r="AS211">
        <f t="shared" si="69"/>
        <v>-5.8177154429560431</v>
      </c>
    </row>
    <row r="212" spans="1:45" x14ac:dyDescent="0.25">
      <c r="A212" s="15">
        <f t="shared" ca="1" si="66"/>
        <v>0</v>
      </c>
      <c r="B212">
        <f t="shared" ca="1" si="67"/>
        <v>0</v>
      </c>
      <c r="M212" s="7"/>
      <c r="N212" s="7"/>
      <c r="O212" s="7"/>
      <c r="Q212" s="7"/>
      <c r="R212" s="7"/>
      <c r="S212" s="7"/>
      <c r="T212" s="7"/>
      <c r="U212" s="7"/>
      <c r="Y212" s="10"/>
      <c r="Z212" s="10"/>
      <c r="AA212" s="10"/>
      <c r="AB212" s="7"/>
      <c r="AC212" s="7"/>
      <c r="AD212" s="7"/>
      <c r="AE212" s="10"/>
      <c r="AF212" s="10"/>
      <c r="AG212" s="10"/>
      <c r="AJ212" t="e">
        <v>#N/A</v>
      </c>
      <c r="AK212" t="e">
        <v>#N/A</v>
      </c>
      <c r="AL212" t="e">
        <v>#N/A</v>
      </c>
      <c r="AM212" t="e">
        <v>#N/A</v>
      </c>
      <c r="AN212" t="e">
        <v>#N/A</v>
      </c>
      <c r="AQ212">
        <v>210</v>
      </c>
      <c r="AR212">
        <f t="shared" si="68"/>
        <v>-10.392304845413264</v>
      </c>
      <c r="AS212">
        <f t="shared" si="69"/>
        <v>-6.0000000000000018</v>
      </c>
    </row>
    <row r="213" spans="1:45" x14ac:dyDescent="0.25">
      <c r="A213" s="15">
        <f t="shared" ca="1" si="66"/>
        <v>0</v>
      </c>
      <c r="B213">
        <f t="shared" ca="1" si="67"/>
        <v>0</v>
      </c>
      <c r="M213" s="7"/>
      <c r="N213" s="7"/>
      <c r="O213" s="7"/>
      <c r="Q213" s="7"/>
      <c r="R213" s="7"/>
      <c r="S213" s="7"/>
      <c r="T213" s="7"/>
      <c r="U213" s="7"/>
      <c r="Y213" s="10"/>
      <c r="Z213" s="10"/>
      <c r="AA213" s="10"/>
      <c r="AB213" s="7"/>
      <c r="AC213" s="7"/>
      <c r="AD213" s="7"/>
      <c r="AE213" s="10"/>
      <c r="AF213" s="10"/>
      <c r="AG213" s="10"/>
      <c r="AJ213" t="e">
        <v>#N/A</v>
      </c>
      <c r="AK213" t="e">
        <v>#N/A</v>
      </c>
      <c r="AL213" t="e">
        <v>#N/A</v>
      </c>
      <c r="AM213" t="e">
        <v>#N/A</v>
      </c>
      <c r="AN213" t="e">
        <v>#N/A</v>
      </c>
      <c r="AQ213">
        <v>211</v>
      </c>
      <c r="AR213">
        <f t="shared" si="68"/>
        <v>-10.286007608425347</v>
      </c>
      <c r="AS213">
        <f t="shared" si="69"/>
        <v>-6.1804568989206494</v>
      </c>
    </row>
    <row r="214" spans="1:45" x14ac:dyDescent="0.25">
      <c r="A214" s="15">
        <f t="shared" ca="1" si="66"/>
        <v>0</v>
      </c>
      <c r="B214">
        <f t="shared" ca="1" si="67"/>
        <v>0</v>
      </c>
      <c r="M214" s="7"/>
      <c r="N214" s="7"/>
      <c r="O214" s="7"/>
      <c r="Q214" s="7"/>
      <c r="R214" s="7"/>
      <c r="S214" s="7"/>
      <c r="T214" s="7"/>
      <c r="U214" s="7"/>
      <c r="Y214" s="10"/>
      <c r="Z214" s="10"/>
      <c r="AA214" s="10"/>
      <c r="AB214" s="7"/>
      <c r="AC214" s="7"/>
      <c r="AD214" s="7"/>
      <c r="AE214" s="10"/>
      <c r="AF214" s="10"/>
      <c r="AG214" s="10"/>
      <c r="AJ214" t="e">
        <v>#N/A</v>
      </c>
      <c r="AK214" t="e">
        <v>#N/A</v>
      </c>
      <c r="AL214" t="e">
        <v>#N/A</v>
      </c>
      <c r="AM214" t="e">
        <v>#N/A</v>
      </c>
      <c r="AN214" t="e">
        <v>#N/A</v>
      </c>
      <c r="AQ214">
        <v>212</v>
      </c>
      <c r="AR214">
        <f t="shared" si="68"/>
        <v>-10.176577153877112</v>
      </c>
      <c r="AS214">
        <f t="shared" si="69"/>
        <v>-6.3590311707984579</v>
      </c>
    </row>
    <row r="215" spans="1:45" x14ac:dyDescent="0.25">
      <c r="A215" s="15">
        <f t="shared" ca="1" si="66"/>
        <v>0</v>
      </c>
      <c r="B215">
        <f t="shared" ca="1" si="67"/>
        <v>0</v>
      </c>
      <c r="M215" s="7"/>
      <c r="N215" s="7"/>
      <c r="O215" s="7"/>
      <c r="Q215" s="7"/>
      <c r="R215" s="7"/>
      <c r="S215" s="7"/>
      <c r="T215" s="7"/>
      <c r="U215" s="7"/>
      <c r="Y215" s="10"/>
      <c r="Z215" s="10"/>
      <c r="AA215" s="10"/>
      <c r="AB215" s="7"/>
      <c r="AC215" s="7"/>
      <c r="AD215" s="7"/>
      <c r="AE215" s="10"/>
      <c r="AF215" s="10"/>
      <c r="AG215" s="10"/>
      <c r="AJ215" t="e">
        <v>#N/A</v>
      </c>
      <c r="AK215" t="e">
        <v>#N/A</v>
      </c>
      <c r="AL215" t="e">
        <v>#N/A</v>
      </c>
      <c r="AM215" t="e">
        <v>#N/A</v>
      </c>
      <c r="AN215" t="e">
        <v>#N/A</v>
      </c>
      <c r="AQ215">
        <v>213</v>
      </c>
      <c r="AR215">
        <f t="shared" si="68"/>
        <v>-10.064046815345089</v>
      </c>
      <c r="AS215">
        <f t="shared" si="69"/>
        <v>-6.5356684201803255</v>
      </c>
    </row>
    <row r="216" spans="1:45" x14ac:dyDescent="0.25">
      <c r="A216" s="15">
        <f t="shared" ref="A216:A222" ca="1" si="70">L102</f>
        <v>0</v>
      </c>
      <c r="B216">
        <f t="shared" ref="B216:B222" ca="1" si="71">IF(AND(A216&gt;0,A216&lt;$B$128),(0.85*$B$126)*((2*(A216/$B$128))-POWER(A216/$B$128,2)),IF(A216&gt;0,0.85*$B$126,0))/1000</f>
        <v>0</v>
      </c>
      <c r="M216" s="7"/>
      <c r="N216" s="7"/>
      <c r="O216" s="7"/>
      <c r="Q216" s="7"/>
      <c r="R216" s="7"/>
      <c r="S216" s="7"/>
      <c r="T216" s="7"/>
      <c r="U216" s="7"/>
      <c r="Y216" s="10"/>
      <c r="Z216" s="10"/>
      <c r="AA216" s="10"/>
      <c r="AB216" s="7"/>
      <c r="AC216" s="7"/>
      <c r="AD216" s="7"/>
      <c r="AE216" s="10"/>
      <c r="AF216" s="10"/>
      <c r="AG216" s="10"/>
      <c r="AJ216" t="e">
        <v>#N/A</v>
      </c>
      <c r="AK216" t="e">
        <v>#N/A</v>
      </c>
      <c r="AL216" t="e">
        <v>#N/A</v>
      </c>
      <c r="AM216" t="e">
        <v>#N/A</v>
      </c>
      <c r="AN216" t="e">
        <v>#N/A</v>
      </c>
      <c r="AQ216">
        <v>214</v>
      </c>
      <c r="AR216">
        <f t="shared" si="68"/>
        <v>-9.9484508706605013</v>
      </c>
      <c r="AS216">
        <f t="shared" si="69"/>
        <v>-6.7103148416489606</v>
      </c>
    </row>
    <row r="217" spans="1:45" x14ac:dyDescent="0.25">
      <c r="A217" s="15">
        <f t="shared" ca="1" si="70"/>
        <v>0</v>
      </c>
      <c r="B217">
        <f t="shared" ca="1" si="71"/>
        <v>0</v>
      </c>
      <c r="M217" s="7"/>
      <c r="N217" s="7"/>
      <c r="O217" s="7"/>
      <c r="Q217" s="7"/>
      <c r="R217" s="7"/>
      <c r="S217" s="7"/>
      <c r="T217" s="7"/>
      <c r="U217" s="7"/>
      <c r="Y217" s="10"/>
      <c r="Z217" s="10"/>
      <c r="AA217" s="10"/>
      <c r="AB217" s="7"/>
      <c r="AC217" s="7"/>
      <c r="AD217" s="7"/>
      <c r="AE217" s="10"/>
      <c r="AF217" s="10"/>
      <c r="AG217" s="10"/>
      <c r="AJ217" t="e">
        <v>#N/A</v>
      </c>
      <c r="AK217" t="e">
        <v>#N/A</v>
      </c>
      <c r="AL217" t="e">
        <v>#N/A</v>
      </c>
      <c r="AM217" t="e">
        <v>#N/A</v>
      </c>
      <c r="AN217" t="e">
        <v>#N/A</v>
      </c>
      <c r="AQ217">
        <v>215</v>
      </c>
      <c r="AR217">
        <f t="shared" si="68"/>
        <v>-9.8298245314679011</v>
      </c>
      <c r="AS217">
        <f t="shared" si="69"/>
        <v>-6.8829172362125544</v>
      </c>
    </row>
    <row r="218" spans="1:45" x14ac:dyDescent="0.25">
      <c r="A218" s="15">
        <f t="shared" ca="1" si="70"/>
        <v>0</v>
      </c>
      <c r="B218">
        <f t="shared" ca="1" si="71"/>
        <v>0</v>
      </c>
      <c r="M218" s="7"/>
      <c r="N218" s="7"/>
      <c r="O218" s="7"/>
      <c r="Q218" s="7"/>
      <c r="R218" s="7"/>
      <c r="S218" s="7"/>
      <c r="T218" s="7"/>
      <c r="U218" s="7"/>
      <c r="Y218" s="10"/>
      <c r="Z218" s="10"/>
      <c r="AA218" s="10"/>
      <c r="AB218" s="7"/>
      <c r="AC218" s="7"/>
      <c r="AD218" s="7"/>
      <c r="AE218" s="10"/>
      <c r="AF218" s="10"/>
      <c r="AG218" s="10"/>
      <c r="AJ218" t="e">
        <v>#N/A</v>
      </c>
      <c r="AK218" t="e">
        <v>#N/A</v>
      </c>
      <c r="AL218" t="e">
        <v>#N/A</v>
      </c>
      <c r="AM218" t="e">
        <v>#N/A</v>
      </c>
      <c r="AN218" t="e">
        <v>#N/A</v>
      </c>
      <c r="AQ218">
        <v>216</v>
      </c>
      <c r="AR218">
        <f t="shared" si="68"/>
        <v>-9.7082039324993712</v>
      </c>
      <c r="AS218">
        <f t="shared" si="69"/>
        <v>-7.0534230275096768</v>
      </c>
    </row>
    <row r="219" spans="1:45" x14ac:dyDescent="0.25">
      <c r="A219" s="15">
        <f t="shared" ca="1" si="70"/>
        <v>0</v>
      </c>
      <c r="B219">
        <f t="shared" ca="1" si="71"/>
        <v>0</v>
      </c>
      <c r="M219" s="7"/>
      <c r="N219" s="7"/>
      <c r="O219" s="7"/>
      <c r="Q219" s="7"/>
      <c r="R219" s="7"/>
      <c r="S219" s="7"/>
      <c r="T219" s="7"/>
      <c r="U219" s="7"/>
      <c r="Y219" s="10"/>
      <c r="Z219" s="10"/>
      <c r="AA219" s="10"/>
      <c r="AB219" s="7"/>
      <c r="AC219" s="7"/>
      <c r="AD219" s="7"/>
      <c r="AE219" s="10"/>
      <c r="AF219" s="10"/>
      <c r="AG219" s="10"/>
      <c r="AJ219" t="e">
        <v>#N/A</v>
      </c>
      <c r="AK219" t="e">
        <v>#N/A</v>
      </c>
      <c r="AL219" t="e">
        <v>#N/A</v>
      </c>
      <c r="AM219" t="e">
        <v>#N/A</v>
      </c>
      <c r="AN219" t="e">
        <v>#N/A</v>
      </c>
      <c r="AQ219">
        <v>217</v>
      </c>
      <c r="AR219">
        <f t="shared" si="68"/>
        <v>-9.583626120567514</v>
      </c>
      <c r="AS219">
        <f t="shared" si="69"/>
        <v>-7.2217802778245801</v>
      </c>
    </row>
    <row r="220" spans="1:45" x14ac:dyDescent="0.25">
      <c r="A220" s="15">
        <f t="shared" ca="1" si="70"/>
        <v>0</v>
      </c>
      <c r="B220">
        <f t="shared" ca="1" si="71"/>
        <v>0</v>
      </c>
      <c r="M220" s="7"/>
      <c r="N220" s="7"/>
      <c r="O220" s="7"/>
      <c r="Q220" s="7"/>
      <c r="R220" s="7"/>
      <c r="S220" s="7"/>
      <c r="T220" s="7"/>
      <c r="U220" s="7"/>
      <c r="Y220" s="10"/>
      <c r="Z220" s="10"/>
      <c r="AA220" s="10"/>
      <c r="AB220" s="7"/>
      <c r="AC220" s="7"/>
      <c r="AD220" s="7"/>
      <c r="AE220" s="10"/>
      <c r="AF220" s="10"/>
      <c r="AG220" s="10"/>
      <c r="AJ220" t="e">
        <v>#N/A</v>
      </c>
      <c r="AK220" t="e">
        <v>#N/A</v>
      </c>
      <c r="AL220" t="e">
        <v>#N/A</v>
      </c>
      <c r="AM220" t="e">
        <v>#N/A</v>
      </c>
      <c r="AN220" t="e">
        <v>#N/A</v>
      </c>
      <c r="AQ220">
        <v>218</v>
      </c>
      <c r="AR220">
        <f t="shared" si="68"/>
        <v>-9.4561290432806651</v>
      </c>
      <c r="AS220">
        <f t="shared" si="69"/>
        <v>-7.3879377039078982</v>
      </c>
    </row>
    <row r="221" spans="1:45" x14ac:dyDescent="0.25">
      <c r="A221" s="15">
        <f t="shared" ca="1" si="70"/>
        <v>0</v>
      </c>
      <c r="B221">
        <f t="shared" ca="1" si="71"/>
        <v>0</v>
      </c>
      <c r="M221" s="7"/>
      <c r="N221" s="7"/>
      <c r="O221" s="7"/>
      <c r="Q221" s="7"/>
      <c r="R221" s="7"/>
      <c r="S221" s="7"/>
      <c r="T221" s="7"/>
      <c r="U221" s="7"/>
      <c r="Y221" s="10"/>
      <c r="Z221" s="10"/>
      <c r="AA221" s="10"/>
      <c r="AB221" s="7"/>
      <c r="AC221" s="7"/>
      <c r="AD221" s="7"/>
      <c r="AE221" s="10"/>
      <c r="AF221" s="10"/>
      <c r="AG221" s="10"/>
      <c r="AJ221" t="e">
        <v>#N/A</v>
      </c>
      <c r="AK221" t="e">
        <v>#N/A</v>
      </c>
      <c r="AL221" t="e">
        <v>#N/A</v>
      </c>
      <c r="AM221" t="e">
        <v>#N/A</v>
      </c>
      <c r="AN221" t="e">
        <v>#N/A</v>
      </c>
      <c r="AQ221">
        <v>219</v>
      </c>
      <c r="AR221">
        <f t="shared" si="68"/>
        <v>-9.325751537483649</v>
      </c>
      <c r="AS221">
        <f t="shared" si="69"/>
        <v>-7.5518446925980509</v>
      </c>
    </row>
    <row r="222" spans="1:45" x14ac:dyDescent="0.25">
      <c r="A222" s="15">
        <f t="shared" ca="1" si="70"/>
        <v>0</v>
      </c>
      <c r="B222">
        <f t="shared" ca="1" si="71"/>
        <v>0</v>
      </c>
      <c r="M222" s="7"/>
      <c r="N222" s="7"/>
      <c r="O222" s="7"/>
      <c r="Q222" s="7"/>
      <c r="R222" s="7"/>
      <c r="S222" s="7"/>
      <c r="T222" s="7"/>
      <c r="U222" s="7"/>
      <c r="Y222" s="10"/>
      <c r="Z222" s="10"/>
      <c r="AA222" s="10"/>
      <c r="AB222" s="7"/>
      <c r="AC222" s="7"/>
      <c r="AD222" s="7"/>
      <c r="AE222" s="10"/>
      <c r="AF222" s="10"/>
      <c r="AG222" s="10"/>
      <c r="AJ222" t="e">
        <v>#N/A</v>
      </c>
      <c r="AK222" t="e">
        <v>#N/A</v>
      </c>
      <c r="AL222" t="e">
        <v>#N/A</v>
      </c>
      <c r="AM222" t="e">
        <v>#N/A</v>
      </c>
      <c r="AN222" t="e">
        <v>#N/A</v>
      </c>
      <c r="AQ222">
        <v>220</v>
      </c>
      <c r="AR222">
        <f t="shared" si="68"/>
        <v>-9.1925333174277366</v>
      </c>
      <c r="AS222">
        <f t="shared" si="69"/>
        <v>-7.713451316238471</v>
      </c>
    </row>
    <row r="223" spans="1:45" x14ac:dyDescent="0.25">
      <c r="A223" s="15"/>
      <c r="M223" s="7"/>
      <c r="N223" s="7"/>
      <c r="O223" s="7"/>
      <c r="Q223" s="7"/>
      <c r="R223" s="7"/>
      <c r="S223" s="7"/>
      <c r="T223" s="7"/>
      <c r="U223" s="7"/>
      <c r="Y223" s="10"/>
      <c r="Z223" s="10"/>
      <c r="AA223" s="10"/>
      <c r="AB223" s="7"/>
      <c r="AC223" s="7"/>
      <c r="AD223" s="7"/>
      <c r="AE223" s="10"/>
      <c r="AF223" s="10"/>
      <c r="AG223" s="10"/>
      <c r="AJ223" t="e">
        <v>#N/A</v>
      </c>
      <c r="AK223" t="e">
        <v>#N/A</v>
      </c>
      <c r="AL223" t="e">
        <v>#N/A</v>
      </c>
      <c r="AM223" t="e">
        <v>#N/A</v>
      </c>
      <c r="AN223" t="e">
        <v>#N/A</v>
      </c>
      <c r="AQ223">
        <v>221</v>
      </c>
      <c r="AR223">
        <f t="shared" si="68"/>
        <v>-9.0565149626732655</v>
      </c>
      <c r="AS223">
        <f t="shared" si="69"/>
        <v>-7.8727083478860846</v>
      </c>
    </row>
    <row r="224" spans="1:45" x14ac:dyDescent="0.25">
      <c r="A224" s="15"/>
      <c r="M224" s="7"/>
      <c r="N224" s="7"/>
      <c r="O224" s="7"/>
      <c r="Q224" s="7"/>
      <c r="R224" s="7"/>
      <c r="S224" s="7"/>
      <c r="T224" s="7"/>
      <c r="U224" s="7"/>
      <c r="Y224" s="10"/>
      <c r="Z224" s="10"/>
      <c r="AA224" s="10"/>
      <c r="AB224" s="7"/>
      <c r="AC224" s="7"/>
      <c r="AD224" s="7"/>
      <c r="AE224" s="10"/>
      <c r="AF224" s="10"/>
      <c r="AG224" s="10"/>
      <c r="AJ224" t="e">
        <v>#N/A</v>
      </c>
      <c r="AK224" t="e">
        <v>#N/A</v>
      </c>
      <c r="AL224" t="e">
        <v>#N/A</v>
      </c>
      <c r="AM224" t="e">
        <v>#N/A</v>
      </c>
      <c r="AN224" t="e">
        <v>#N/A</v>
      </c>
      <c r="AQ224">
        <v>222</v>
      </c>
      <c r="AR224">
        <f t="shared" si="68"/>
        <v>-8.9177379057287318</v>
      </c>
      <c r="AS224">
        <f t="shared" si="69"/>
        <v>-8.0295672763062989</v>
      </c>
    </row>
    <row r="225" spans="13:45" x14ac:dyDescent="0.25">
      <c r="M225" s="7"/>
      <c r="N225" s="7"/>
      <c r="O225" s="7"/>
      <c r="Q225" s="7"/>
      <c r="R225" s="7"/>
      <c r="S225" s="7"/>
      <c r="T225" s="7"/>
      <c r="U225" s="7"/>
      <c r="Y225" s="10"/>
      <c r="Z225" s="10"/>
      <c r="AA225" s="10"/>
      <c r="AB225" s="7"/>
      <c r="AC225" s="7"/>
      <c r="AD225" s="7"/>
      <c r="AE225" s="10"/>
      <c r="AF225" s="10"/>
      <c r="AG225" s="10"/>
      <c r="AJ225" t="e">
        <v>#N/A</v>
      </c>
      <c r="AK225" t="e">
        <v>#N/A</v>
      </c>
      <c r="AL225" t="e">
        <v>#N/A</v>
      </c>
      <c r="AM225" t="e">
        <v>#N/A</v>
      </c>
      <c r="AN225" t="e">
        <v>#N/A</v>
      </c>
      <c r="AQ225">
        <v>223</v>
      </c>
      <c r="AR225">
        <f t="shared" si="68"/>
        <v>-8.7762444194300464</v>
      </c>
      <c r="AS225">
        <f t="shared" si="69"/>
        <v>-8.1839803207499813</v>
      </c>
    </row>
    <row r="226" spans="13:45" x14ac:dyDescent="0.25">
      <c r="M226" s="7"/>
      <c r="N226" s="7"/>
      <c r="O226" s="7"/>
      <c r="Q226" s="7"/>
      <c r="R226" s="7"/>
      <c r="S226" s="7"/>
      <c r="T226" s="7"/>
      <c r="U226" s="7"/>
      <c r="Y226" s="10"/>
      <c r="Z226" s="10"/>
      <c r="AA226" s="10"/>
      <c r="AB226" s="7"/>
      <c r="AC226" s="7"/>
      <c r="AD226" s="7"/>
      <c r="AE226" s="10"/>
      <c r="AF226" s="10"/>
      <c r="AG226" s="10"/>
      <c r="AJ226" t="e">
        <v>#N/A</v>
      </c>
      <c r="AK226" t="e">
        <v>#N/A</v>
      </c>
      <c r="AL226" t="e">
        <v>#N/A</v>
      </c>
      <c r="AM226" t="e">
        <v>#N/A</v>
      </c>
      <c r="AN226" t="e">
        <v>#N/A</v>
      </c>
      <c r="AQ226">
        <v>224</v>
      </c>
      <c r="AR226">
        <f t="shared" si="68"/>
        <v>-8.632077604063813</v>
      </c>
      <c r="AS226">
        <f t="shared" si="69"/>
        <v>-8.3359004455079688</v>
      </c>
    </row>
    <row r="227" spans="13:45" x14ac:dyDescent="0.25">
      <c r="M227" s="7"/>
      <c r="N227" s="7"/>
      <c r="O227" s="7"/>
      <c r="Q227" s="7"/>
      <c r="R227" s="7"/>
      <c r="S227" s="7"/>
      <c r="T227" s="7"/>
      <c r="U227" s="7"/>
      <c r="Y227" s="10"/>
      <c r="Z227" s="10"/>
      <c r="AA227" s="10"/>
      <c r="AB227" s="7"/>
      <c r="AC227" s="7"/>
      <c r="AD227" s="7"/>
      <c r="AE227" s="10"/>
      <c r="AF227" s="10"/>
      <c r="AG227" s="10"/>
      <c r="AJ227" t="e">
        <v>#N/A</v>
      </c>
      <c r="AK227" t="e">
        <v>#N/A</v>
      </c>
      <c r="AL227" t="e">
        <v>#N/A</v>
      </c>
      <c r="AM227" t="e">
        <v>#N/A</v>
      </c>
      <c r="AN227" t="e">
        <v>#N/A</v>
      </c>
      <c r="AQ227">
        <v>225</v>
      </c>
      <c r="AR227">
        <f t="shared" si="68"/>
        <v>-8.4852813742385713</v>
      </c>
      <c r="AS227">
        <f t="shared" si="69"/>
        <v>-8.4852813742385695</v>
      </c>
    </row>
    <row r="228" spans="13:45" x14ac:dyDescent="0.25">
      <c r="M228" s="7"/>
      <c r="N228" s="7"/>
      <c r="O228" s="7"/>
      <c r="Q228" s="7"/>
      <c r="R228" s="7"/>
      <c r="S228" s="7"/>
      <c r="T228" s="7"/>
      <c r="U228" s="7"/>
      <c r="Y228" s="10"/>
      <c r="Z228" s="10"/>
      <c r="AA228" s="10"/>
      <c r="AB228" s="7"/>
      <c r="AC228" s="7"/>
      <c r="AD228" s="7"/>
      <c r="AE228" s="10"/>
      <c r="AF228" s="10"/>
      <c r="AG228" s="10"/>
      <c r="AJ228" t="e">
        <v>#N/A</v>
      </c>
      <c r="AK228" t="e">
        <v>#N/A</v>
      </c>
      <c r="AL228" t="e">
        <v>#N/A</v>
      </c>
      <c r="AM228" t="e">
        <v>#N/A</v>
      </c>
      <c r="AN228" t="e">
        <v>#N/A</v>
      </c>
      <c r="AQ228">
        <v>226</v>
      </c>
      <c r="AR228">
        <f t="shared" si="68"/>
        <v>-8.335900445507967</v>
      </c>
      <c r="AS228">
        <f t="shared" si="69"/>
        <v>-8.6320776040638147</v>
      </c>
    </row>
    <row r="229" spans="13:45" x14ac:dyDescent="0.25">
      <c r="M229" s="7"/>
      <c r="N229" s="7"/>
      <c r="O229" s="7"/>
      <c r="Q229" s="7"/>
      <c r="R229" s="7"/>
      <c r="S229" s="7"/>
      <c r="T229" s="7"/>
      <c r="U229" s="7"/>
      <c r="Y229" s="10"/>
      <c r="Z229" s="10"/>
      <c r="AA229" s="10"/>
      <c r="AB229" s="7"/>
      <c r="AC229" s="7"/>
      <c r="AD229" s="7"/>
      <c r="AE229" s="10"/>
      <c r="AF229" s="10"/>
      <c r="AG229" s="10"/>
      <c r="AJ229" t="e">
        <v>#N/A</v>
      </c>
      <c r="AK229" t="e">
        <v>#N/A</v>
      </c>
      <c r="AL229" t="e">
        <v>#N/A</v>
      </c>
      <c r="AM229" t="e">
        <v>#N/A</v>
      </c>
      <c r="AN229" t="e">
        <v>#N/A</v>
      </c>
      <c r="AQ229">
        <v>227</v>
      </c>
      <c r="AR229">
        <f t="shared" si="68"/>
        <v>-8.1839803207499831</v>
      </c>
      <c r="AS229">
        <f t="shared" si="69"/>
        <v>-8.7762444194300464</v>
      </c>
    </row>
    <row r="230" spans="13:45" x14ac:dyDescent="0.25">
      <c r="M230" s="7"/>
      <c r="N230" s="7"/>
      <c r="O230" s="7"/>
      <c r="Q230" s="7"/>
      <c r="R230" s="7"/>
      <c r="S230" s="7"/>
      <c r="T230" s="7"/>
      <c r="U230" s="7"/>
      <c r="Y230" s="10"/>
      <c r="Z230" s="10"/>
      <c r="AA230" s="10"/>
      <c r="AB230" s="7"/>
      <c r="AC230" s="7"/>
      <c r="AD230" s="7"/>
      <c r="AE230" s="10"/>
      <c r="AF230" s="10"/>
      <c r="AG230" s="10"/>
      <c r="AJ230" t="e">
        <v>#N/A</v>
      </c>
      <c r="AK230" t="e">
        <v>#N/A</v>
      </c>
      <c r="AL230" t="e">
        <v>#N/A</v>
      </c>
      <c r="AM230" t="e">
        <v>#N/A</v>
      </c>
      <c r="AN230" t="e">
        <v>#N/A</v>
      </c>
      <c r="AQ230">
        <v>228</v>
      </c>
      <c r="AR230">
        <f t="shared" si="68"/>
        <v>-8.0295672763062971</v>
      </c>
      <c r="AS230">
        <f t="shared" si="69"/>
        <v>-8.9177379057287318</v>
      </c>
    </row>
    <row r="231" spans="13:45" x14ac:dyDescent="0.25">
      <c r="M231" s="7"/>
      <c r="N231" s="7"/>
      <c r="O231" s="7"/>
      <c r="Q231" s="7"/>
      <c r="R231" s="7"/>
      <c r="S231" s="7"/>
      <c r="T231" s="7"/>
      <c r="U231" s="7"/>
      <c r="Y231" s="10"/>
      <c r="Z231" s="10"/>
      <c r="AA231" s="10"/>
      <c r="AB231" s="7"/>
      <c r="AC231" s="7"/>
      <c r="AD231" s="7"/>
      <c r="AE231" s="10"/>
      <c r="AF231" s="10"/>
      <c r="AG231" s="10"/>
      <c r="AJ231" t="e">
        <v>#N/A</v>
      </c>
      <c r="AK231" t="e">
        <v>#N/A</v>
      </c>
      <c r="AL231" t="e">
        <v>#N/A</v>
      </c>
      <c r="AM231" t="e">
        <v>#N/A</v>
      </c>
      <c r="AN231" t="e">
        <v>#N/A</v>
      </c>
      <c r="AQ231">
        <v>229</v>
      </c>
      <c r="AR231">
        <f t="shared" si="68"/>
        <v>-7.8727083478860873</v>
      </c>
      <c r="AS231">
        <f t="shared" si="69"/>
        <v>-9.0565149626732637</v>
      </c>
    </row>
    <row r="232" spans="13:45" x14ac:dyDescent="0.25">
      <c r="M232" s="7"/>
      <c r="N232" s="7"/>
      <c r="O232" s="7"/>
      <c r="Q232" s="7"/>
      <c r="R232" s="7"/>
      <c r="S232" s="7"/>
      <c r="T232" s="7"/>
      <c r="U232" s="7"/>
      <c r="Y232" s="10"/>
      <c r="Z232" s="10"/>
      <c r="AA232" s="10"/>
      <c r="AB232" s="7"/>
      <c r="AC232" s="7"/>
      <c r="AD232" s="7"/>
      <c r="AE232" s="10"/>
      <c r="AF232" s="10"/>
      <c r="AG232" s="10"/>
      <c r="AJ232" t="e">
        <v>#N/A</v>
      </c>
      <c r="AK232" t="e">
        <v>#N/A</v>
      </c>
      <c r="AL232" t="e">
        <v>#N/A</v>
      </c>
      <c r="AM232" t="e">
        <v>#N/A</v>
      </c>
      <c r="AN232" t="e">
        <v>#N/A</v>
      </c>
      <c r="AQ232">
        <v>230</v>
      </c>
      <c r="AR232">
        <f t="shared" si="68"/>
        <v>-7.7134513162384737</v>
      </c>
      <c r="AS232">
        <f t="shared" si="69"/>
        <v>-9.1925333174277348</v>
      </c>
    </row>
    <row r="233" spans="13:45" x14ac:dyDescent="0.25">
      <c r="M233" s="7"/>
      <c r="N233" s="7"/>
      <c r="O233" s="7"/>
      <c r="Q233" s="7"/>
      <c r="R233" s="7"/>
      <c r="S233" s="7"/>
      <c r="T233" s="7"/>
      <c r="U233" s="7"/>
      <c r="Y233" s="10"/>
      <c r="Z233" s="10"/>
      <c r="AA233" s="10"/>
      <c r="AB233" s="7"/>
      <c r="AC233" s="7"/>
      <c r="AD233" s="7"/>
      <c r="AE233" s="10"/>
      <c r="AF233" s="10"/>
      <c r="AG233" s="10"/>
      <c r="AJ233" t="e">
        <v>#N/A</v>
      </c>
      <c r="AK233" t="e">
        <v>#N/A</v>
      </c>
      <c r="AL233" t="e">
        <v>#N/A</v>
      </c>
      <c r="AM233" t="e">
        <v>#N/A</v>
      </c>
      <c r="AN233" t="e">
        <v>#N/A</v>
      </c>
      <c r="AQ233">
        <v>231</v>
      </c>
      <c r="AR233">
        <f t="shared" si="68"/>
        <v>-7.5518446925980545</v>
      </c>
      <c r="AS233">
        <f t="shared" si="69"/>
        <v>-9.3257515374836473</v>
      </c>
    </row>
    <row r="234" spans="13:45" x14ac:dyDescent="0.25">
      <c r="M234" s="7"/>
      <c r="N234" s="7"/>
      <c r="O234" s="7"/>
      <c r="Q234" s="7"/>
      <c r="R234" s="7"/>
      <c r="S234" s="7"/>
      <c r="T234" s="7"/>
      <c r="U234" s="7"/>
      <c r="Y234" s="10"/>
      <c r="Z234" s="10"/>
      <c r="AA234" s="10"/>
      <c r="AB234" s="7"/>
      <c r="AC234" s="7"/>
      <c r="AD234" s="7"/>
      <c r="AE234" s="10"/>
      <c r="AF234" s="10"/>
      <c r="AG234" s="10"/>
      <c r="AJ234" t="e">
        <v>#N/A</v>
      </c>
      <c r="AK234" t="e">
        <v>#N/A</v>
      </c>
      <c r="AL234" t="e">
        <v>#N/A</v>
      </c>
      <c r="AM234" t="e">
        <v>#N/A</v>
      </c>
      <c r="AN234" t="e">
        <v>#N/A</v>
      </c>
      <c r="AQ234">
        <v>232</v>
      </c>
      <c r="AR234">
        <f t="shared" si="68"/>
        <v>-7.3879377039078964</v>
      </c>
      <c r="AS234">
        <f t="shared" si="69"/>
        <v>-9.4561290432806651</v>
      </c>
    </row>
    <row r="235" spans="13:45" x14ac:dyDescent="0.25">
      <c r="M235" s="7"/>
      <c r="N235" s="7"/>
      <c r="O235" s="7"/>
      <c r="Q235" s="7"/>
      <c r="R235" s="7"/>
      <c r="S235" s="7"/>
      <c r="T235" s="7"/>
      <c r="U235" s="7"/>
      <c r="Y235" s="10"/>
      <c r="Z235" s="10"/>
      <c r="AA235" s="10"/>
      <c r="AB235" s="7"/>
      <c r="AC235" s="7"/>
      <c r="AD235" s="7"/>
      <c r="AE235" s="10"/>
      <c r="AF235" s="10"/>
      <c r="AG235" s="10"/>
      <c r="AJ235" t="e">
        <v>#N/A</v>
      </c>
      <c r="AK235" t="e">
        <v>#N/A</v>
      </c>
      <c r="AL235" t="e">
        <v>#N/A</v>
      </c>
      <c r="AM235" t="e">
        <v>#N/A</v>
      </c>
      <c r="AN235" t="e">
        <v>#N/A</v>
      </c>
      <c r="AQ235">
        <v>233</v>
      </c>
      <c r="AR235">
        <f t="shared" si="68"/>
        <v>-7.2217802778245792</v>
      </c>
      <c r="AS235">
        <f t="shared" si="69"/>
        <v>-9.583626120567514</v>
      </c>
    </row>
    <row r="236" spans="13:45" x14ac:dyDescent="0.25">
      <c r="M236" s="7"/>
      <c r="N236" s="7"/>
      <c r="O236" s="7"/>
      <c r="Q236" s="7"/>
      <c r="R236" s="7"/>
      <c r="S236" s="7"/>
      <c r="T236" s="7"/>
      <c r="U236" s="7"/>
      <c r="Y236" s="10"/>
      <c r="Z236" s="10"/>
      <c r="AA236" s="10"/>
      <c r="AB236" s="7"/>
      <c r="AC236" s="7"/>
      <c r="AD236" s="7"/>
      <c r="AE236" s="10"/>
      <c r="AF236" s="10"/>
      <c r="AG236" s="10"/>
      <c r="AJ236" t="e">
        <v>#N/A</v>
      </c>
      <c r="AK236" t="e">
        <v>#N/A</v>
      </c>
      <c r="AL236" t="e">
        <v>#N/A</v>
      </c>
      <c r="AM236" t="e">
        <v>#N/A</v>
      </c>
      <c r="AN236" t="e">
        <v>#N/A</v>
      </c>
      <c r="AQ236">
        <v>234</v>
      </c>
      <c r="AR236">
        <f t="shared" si="68"/>
        <v>-7.0534230275096785</v>
      </c>
      <c r="AS236">
        <f t="shared" si="69"/>
        <v>-9.7082039324993676</v>
      </c>
    </row>
    <row r="237" spans="13:45" x14ac:dyDescent="0.25">
      <c r="M237" s="7"/>
      <c r="N237" s="7"/>
      <c r="O237" s="7"/>
      <c r="Q237" s="7"/>
      <c r="R237" s="7"/>
      <c r="S237" s="7"/>
      <c r="T237" s="7"/>
      <c r="U237" s="7"/>
      <c r="Y237" s="10"/>
      <c r="Z237" s="10"/>
      <c r="AA237" s="10"/>
      <c r="AB237" s="7"/>
      <c r="AC237" s="7"/>
      <c r="AD237" s="7"/>
      <c r="AE237" s="10"/>
      <c r="AF237" s="10"/>
      <c r="AG237" s="10"/>
      <c r="AJ237" t="e">
        <v>#N/A</v>
      </c>
      <c r="AK237" t="e">
        <v>#N/A</v>
      </c>
      <c r="AL237" t="e">
        <v>#N/A</v>
      </c>
      <c r="AM237" t="e">
        <v>#N/A</v>
      </c>
      <c r="AN237" t="e">
        <v>#N/A</v>
      </c>
      <c r="AQ237">
        <v>235</v>
      </c>
      <c r="AR237">
        <f t="shared" si="68"/>
        <v>-6.8829172362125561</v>
      </c>
      <c r="AS237">
        <f t="shared" si="69"/>
        <v>-9.8298245314678994</v>
      </c>
    </row>
    <row r="238" spans="13:45" x14ac:dyDescent="0.25">
      <c r="M238" s="7"/>
      <c r="N238" s="7"/>
      <c r="O238" s="7"/>
      <c r="Q238" s="7"/>
      <c r="R238" s="7"/>
      <c r="S238" s="7"/>
      <c r="T238" s="7"/>
      <c r="U238" s="7"/>
      <c r="Y238" s="10"/>
      <c r="Z238" s="10"/>
      <c r="AA238" s="10"/>
      <c r="AB238" s="7"/>
      <c r="AC238" s="7"/>
      <c r="AD238" s="7"/>
      <c r="AE238" s="10"/>
      <c r="AF238" s="10"/>
      <c r="AG238" s="10"/>
      <c r="AJ238" t="e">
        <v>#N/A</v>
      </c>
      <c r="AK238" t="e">
        <v>#N/A</v>
      </c>
      <c r="AL238" t="e">
        <v>#N/A</v>
      </c>
      <c r="AM238" t="e">
        <v>#N/A</v>
      </c>
      <c r="AN238" t="e">
        <v>#N/A</v>
      </c>
      <c r="AQ238">
        <v>236</v>
      </c>
      <c r="AR238">
        <f t="shared" si="68"/>
        <v>-6.7103148416489589</v>
      </c>
      <c r="AS238">
        <f t="shared" si="69"/>
        <v>-9.9484508706605013</v>
      </c>
    </row>
    <row r="239" spans="13:45" x14ac:dyDescent="0.25">
      <c r="M239" s="7"/>
      <c r="N239" s="7"/>
      <c r="O239" s="7"/>
      <c r="Q239" s="7"/>
      <c r="R239" s="7"/>
      <c r="S239" s="7"/>
      <c r="T239" s="7"/>
      <c r="U239" s="7"/>
      <c r="Y239" s="10"/>
      <c r="Z239" s="10"/>
      <c r="AA239" s="10"/>
      <c r="AB239" s="7"/>
      <c r="AC239" s="7"/>
      <c r="AD239" s="7"/>
      <c r="AE239" s="10"/>
      <c r="AF239" s="10"/>
      <c r="AG239" s="10"/>
      <c r="AJ239" t="e">
        <v>#N/A</v>
      </c>
      <c r="AK239" t="e">
        <v>#N/A</v>
      </c>
      <c r="AL239" t="e">
        <v>#N/A</v>
      </c>
      <c r="AM239" t="e">
        <v>#N/A</v>
      </c>
      <c r="AN239" t="e">
        <v>#N/A</v>
      </c>
      <c r="AQ239">
        <v>237</v>
      </c>
      <c r="AR239">
        <f t="shared" si="68"/>
        <v>-6.5356684201803237</v>
      </c>
      <c r="AS239">
        <f t="shared" si="69"/>
        <v>-10.064046815345089</v>
      </c>
    </row>
    <row r="240" spans="13:45" x14ac:dyDescent="0.25">
      <c r="M240" s="7"/>
      <c r="N240" s="7"/>
      <c r="O240" s="7"/>
      <c r="Q240" s="7"/>
      <c r="R240" s="7"/>
      <c r="S240" s="7"/>
      <c r="T240" s="7"/>
      <c r="U240" s="7"/>
      <c r="Y240" s="10"/>
      <c r="Z240" s="10"/>
      <c r="AA240" s="10"/>
      <c r="AB240" s="7"/>
      <c r="AC240" s="7"/>
      <c r="AD240" s="7"/>
      <c r="AE240" s="10"/>
      <c r="AF240" s="10"/>
      <c r="AG240" s="10"/>
      <c r="AJ240" t="e">
        <v>#N/A</v>
      </c>
      <c r="AK240" t="e">
        <v>#N/A</v>
      </c>
      <c r="AL240" t="e">
        <v>#N/A</v>
      </c>
      <c r="AM240" t="e">
        <v>#N/A</v>
      </c>
      <c r="AN240" t="e">
        <v>#N/A</v>
      </c>
      <c r="AQ240">
        <v>238</v>
      </c>
      <c r="AR240">
        <f t="shared" si="68"/>
        <v>-6.3590311707984597</v>
      </c>
      <c r="AS240">
        <f t="shared" si="69"/>
        <v>-10.176577153877112</v>
      </c>
    </row>
    <row r="241" spans="13:45" x14ac:dyDescent="0.25">
      <c r="M241" s="7"/>
      <c r="N241" s="7"/>
      <c r="O241" s="7"/>
      <c r="Q241" s="7"/>
      <c r="R241" s="7"/>
      <c r="S241" s="7"/>
      <c r="T241" s="7"/>
      <c r="U241" s="7"/>
      <c r="Y241" s="10"/>
      <c r="Z241" s="10"/>
      <c r="AA241" s="10"/>
      <c r="AB241" s="7"/>
      <c r="AC241" s="7"/>
      <c r="AD241" s="7"/>
      <c r="AE241" s="10"/>
      <c r="AF241" s="10"/>
      <c r="AG241" s="10"/>
      <c r="AJ241" t="e">
        <v>#N/A</v>
      </c>
      <c r="AK241" t="e">
        <v>#N/A</v>
      </c>
      <c r="AL241" t="e">
        <v>#N/A</v>
      </c>
      <c r="AM241" t="e">
        <v>#N/A</v>
      </c>
      <c r="AN241" t="e">
        <v>#N/A</v>
      </c>
      <c r="AQ241">
        <v>239</v>
      </c>
      <c r="AR241">
        <f t="shared" si="68"/>
        <v>-6.1804568989206539</v>
      </c>
      <c r="AS241">
        <f t="shared" si="69"/>
        <v>-10.286007608425345</v>
      </c>
    </row>
    <row r="242" spans="13:45" x14ac:dyDescent="0.25">
      <c r="M242" s="7"/>
      <c r="N242" s="7"/>
      <c r="O242" s="7"/>
      <c r="Q242" s="7"/>
      <c r="R242" s="7"/>
      <c r="S242" s="7"/>
      <c r="T242" s="7"/>
      <c r="U242" s="7"/>
      <c r="Y242" s="10"/>
      <c r="Z242" s="10"/>
      <c r="AA242" s="10"/>
      <c r="AB242" s="7"/>
      <c r="AC242" s="7"/>
      <c r="AD242" s="7"/>
      <c r="AE242" s="10"/>
      <c r="AF242" s="10"/>
      <c r="AG242" s="10"/>
      <c r="AJ242" t="e">
        <v>#N/A</v>
      </c>
      <c r="AK242" t="e">
        <v>#N/A</v>
      </c>
      <c r="AL242" t="e">
        <v>#N/A</v>
      </c>
      <c r="AM242" t="e">
        <v>#N/A</v>
      </c>
      <c r="AN242" t="e">
        <v>#N/A</v>
      </c>
      <c r="AQ242">
        <v>240</v>
      </c>
      <c r="AR242">
        <f t="shared" si="68"/>
        <v>-6.0000000000000053</v>
      </c>
      <c r="AS242">
        <f t="shared" si="69"/>
        <v>-10.39230484541326</v>
      </c>
    </row>
    <row r="243" spans="13:45" x14ac:dyDescent="0.25">
      <c r="M243" s="7"/>
      <c r="N243" s="7"/>
      <c r="O243" s="7"/>
      <c r="Q243" s="7"/>
      <c r="R243" s="7"/>
      <c r="S243" s="7"/>
      <c r="T243" s="7"/>
      <c r="U243" s="7"/>
      <c r="Y243" s="10"/>
      <c r="Z243" s="10"/>
      <c r="AA243" s="10"/>
      <c r="AB243" s="7"/>
      <c r="AC243" s="7"/>
      <c r="AD243" s="7"/>
      <c r="AE243" s="10"/>
      <c r="AF243" s="10"/>
      <c r="AG243" s="10"/>
      <c r="AJ243" t="e">
        <v>#N/A</v>
      </c>
      <c r="AK243" t="e">
        <v>#N/A</v>
      </c>
      <c r="AL243" t="e">
        <v>#N/A</v>
      </c>
      <c r="AM243" t="e">
        <v>#N/A</v>
      </c>
      <c r="AN243" t="e">
        <v>#N/A</v>
      </c>
      <c r="AQ243">
        <v>241</v>
      </c>
      <c r="AR243">
        <f t="shared" si="68"/>
        <v>-5.8177154429560423</v>
      </c>
      <c r="AS243">
        <f t="shared" si="69"/>
        <v>-10.495436485672752</v>
      </c>
    </row>
    <row r="244" spans="13:45" x14ac:dyDescent="0.25">
      <c r="M244" s="7"/>
      <c r="N244" s="7"/>
      <c r="O244" s="7"/>
      <c r="Q244" s="7"/>
      <c r="R244" s="7"/>
      <c r="S244" s="7"/>
      <c r="T244" s="7"/>
      <c r="U244" s="7"/>
      <c r="Y244" s="10"/>
      <c r="Z244" s="10"/>
      <c r="AA244" s="10"/>
      <c r="AB244" s="7"/>
      <c r="AC244" s="7"/>
      <c r="AD244" s="7"/>
      <c r="AE244" s="10"/>
      <c r="AF244" s="10"/>
      <c r="AG244" s="10"/>
      <c r="AJ244" t="e">
        <v>#N/A</v>
      </c>
      <c r="AK244" t="e">
        <v>#N/A</v>
      </c>
      <c r="AL244" t="e">
        <v>#N/A</v>
      </c>
      <c r="AM244" t="e">
        <v>#N/A</v>
      </c>
      <c r="AN244" t="e">
        <v>#N/A</v>
      </c>
      <c r="AQ244">
        <v>242</v>
      </c>
      <c r="AR244">
        <f t="shared" si="68"/>
        <v>-5.633658753430689</v>
      </c>
      <c r="AS244">
        <f t="shared" si="69"/>
        <v>-10.595371114307124</v>
      </c>
    </row>
    <row r="245" spans="13:45" x14ac:dyDescent="0.25">
      <c r="M245" s="7"/>
      <c r="N245" s="7"/>
      <c r="O245" s="7"/>
      <c r="Q245" s="7"/>
      <c r="R245" s="7"/>
      <c r="S245" s="7"/>
      <c r="T245" s="7"/>
      <c r="U245" s="7"/>
      <c r="Y245" s="10"/>
      <c r="Z245" s="10"/>
      <c r="AA245" s="10"/>
      <c r="AB245" s="7"/>
      <c r="AC245" s="7"/>
      <c r="AD245" s="7"/>
      <c r="AE245" s="10"/>
      <c r="AF245" s="10"/>
      <c r="AG245" s="10"/>
      <c r="AJ245" t="e">
        <v>#N/A</v>
      </c>
      <c r="AK245" t="e">
        <v>#N/A</v>
      </c>
      <c r="AL245" t="e">
        <v>#N/A</v>
      </c>
      <c r="AM245" t="e">
        <v>#N/A</v>
      </c>
      <c r="AN245" t="e">
        <v>#N/A</v>
      </c>
      <c r="AQ245">
        <v>243</v>
      </c>
      <c r="AR245">
        <f t="shared" si="68"/>
        <v>-5.4478859968745628</v>
      </c>
      <c r="AS245">
        <f t="shared" si="69"/>
        <v>-10.692078290260413</v>
      </c>
    </row>
    <row r="246" spans="13:45" x14ac:dyDescent="0.25">
      <c r="M246" s="7"/>
      <c r="N246" s="7"/>
      <c r="O246" s="7"/>
      <c r="Q246" s="7"/>
      <c r="R246" s="7"/>
      <c r="S246" s="7"/>
      <c r="T246" s="7"/>
      <c r="U246" s="7"/>
      <c r="Y246" s="10"/>
      <c r="Z246" s="10"/>
      <c r="AA246" s="10"/>
      <c r="AB246" s="7"/>
      <c r="AC246" s="7"/>
      <c r="AD246" s="7"/>
      <c r="AE246" s="10"/>
      <c r="AF246" s="10"/>
      <c r="AG246" s="10"/>
      <c r="AJ246" t="e">
        <v>#N/A</v>
      </c>
      <c r="AK246" t="e">
        <v>#N/A</v>
      </c>
      <c r="AL246" t="e">
        <v>#N/A</v>
      </c>
      <c r="AM246" t="e">
        <v>#N/A</v>
      </c>
      <c r="AN246" t="e">
        <v>#N/A</v>
      </c>
      <c r="AQ246">
        <v>244</v>
      </c>
      <c r="AR246">
        <f t="shared" si="68"/>
        <v>-5.2604537614689324</v>
      </c>
      <c r="AS246">
        <f t="shared" si="69"/>
        <v>-10.785528555590002</v>
      </c>
    </row>
    <row r="247" spans="13:45" x14ac:dyDescent="0.25">
      <c r="M247" s="7"/>
      <c r="N247" s="7"/>
      <c r="O247" s="7"/>
      <c r="Q247" s="7"/>
      <c r="R247" s="7"/>
      <c r="S247" s="7"/>
      <c r="T247" s="7"/>
      <c r="U247" s="7"/>
      <c r="Y247" s="10"/>
      <c r="Z247" s="10"/>
      <c r="AA247" s="10"/>
      <c r="AB247" s="7"/>
      <c r="AC247" s="7"/>
      <c r="AD247" s="7"/>
      <c r="AE247" s="10"/>
      <c r="AF247" s="10"/>
      <c r="AG247" s="10"/>
      <c r="AJ247" t="e">
        <v>#N/A</v>
      </c>
      <c r="AK247" t="e">
        <v>#N/A</v>
      </c>
      <c r="AL247" t="e">
        <v>#N/A</v>
      </c>
      <c r="AM247" t="e">
        <v>#N/A</v>
      </c>
      <c r="AN247" t="e">
        <v>#N/A</v>
      </c>
      <c r="AQ247">
        <v>245</v>
      </c>
      <c r="AR247">
        <f t="shared" si="68"/>
        <v>-5.0714191408883895</v>
      </c>
      <c r="AS247">
        <f t="shared" si="69"/>
        <v>-10.875693444439801</v>
      </c>
    </row>
    <row r="248" spans="13:45" x14ac:dyDescent="0.25">
      <c r="M248" s="7"/>
      <c r="N248" s="7"/>
      <c r="O248" s="7"/>
      <c r="Q248" s="7"/>
      <c r="R248" s="7"/>
      <c r="S248" s="7"/>
      <c r="T248" s="7"/>
      <c r="U248" s="7"/>
      <c r="Y248" s="10"/>
      <c r="Z248" s="10"/>
      <c r="AA248" s="10"/>
      <c r="AB248" s="7"/>
      <c r="AC248" s="7"/>
      <c r="AD248" s="7"/>
      <c r="AE248" s="10"/>
      <c r="AF248" s="10"/>
      <c r="AG248" s="10"/>
      <c r="AJ248" t="e">
        <v>#N/A</v>
      </c>
      <c r="AK248" t="e">
        <v>#N/A</v>
      </c>
      <c r="AL248" t="e">
        <v>#N/A</v>
      </c>
      <c r="AM248" t="e">
        <v>#N/A</v>
      </c>
      <c r="AN248" t="e">
        <v>#N/A</v>
      </c>
      <c r="AQ248">
        <v>246</v>
      </c>
      <c r="AR248">
        <f t="shared" si="68"/>
        <v>-4.8808397169096009</v>
      </c>
      <c r="AS248">
        <f t="shared" si="69"/>
        <v>-10.962545491711211</v>
      </c>
    </row>
    <row r="249" spans="13:45" x14ac:dyDescent="0.25">
      <c r="M249" s="7"/>
      <c r="N249" s="7"/>
      <c r="O249" s="7"/>
      <c r="Q249" s="7"/>
      <c r="R249" s="7"/>
      <c r="S249" s="7"/>
      <c r="T249" s="7"/>
      <c r="U249" s="7"/>
      <c r="Y249" s="10"/>
      <c r="Z249" s="10"/>
      <c r="AA249" s="10"/>
      <c r="AB249" s="7"/>
      <c r="AC249" s="7"/>
      <c r="AD249" s="7"/>
      <c r="AE249" s="10"/>
      <c r="AF249" s="10"/>
      <c r="AG249" s="10"/>
      <c r="AJ249" t="e">
        <v>#N/A</v>
      </c>
      <c r="AK249" t="e">
        <v>#N/A</v>
      </c>
      <c r="AL249" t="e">
        <v>#N/A</v>
      </c>
      <c r="AM249" t="e">
        <v>#N/A</v>
      </c>
      <c r="AN249" t="e">
        <v>#N/A</v>
      </c>
      <c r="AQ249">
        <v>247</v>
      </c>
      <c r="AR249">
        <f t="shared" si="68"/>
        <v>-4.6887735418712859</v>
      </c>
      <c r="AS249">
        <f t="shared" si="69"/>
        <v>-11.046058241429282</v>
      </c>
    </row>
    <row r="250" spans="13:45" x14ac:dyDescent="0.25">
      <c r="M250" s="7"/>
      <c r="N250" s="7"/>
      <c r="O250" s="7"/>
      <c r="Q250" s="7"/>
      <c r="R250" s="7"/>
      <c r="S250" s="7"/>
      <c r="T250" s="7"/>
      <c r="U250" s="7"/>
      <c r="Y250" s="10"/>
      <c r="Z250" s="10"/>
      <c r="AA250" s="10"/>
      <c r="AB250" s="7"/>
      <c r="AC250" s="7"/>
      <c r="AD250" s="7"/>
      <c r="AE250" s="10"/>
      <c r="AF250" s="10"/>
      <c r="AG250" s="10"/>
      <c r="AJ250" t="e">
        <v>#N/A</v>
      </c>
      <c r="AK250" t="e">
        <v>#N/A</v>
      </c>
      <c r="AL250" t="e">
        <v>#N/A</v>
      </c>
      <c r="AM250" t="e">
        <v>#N/A</v>
      </c>
      <c r="AN250" t="e">
        <v>#N/A</v>
      </c>
      <c r="AQ250">
        <v>248</v>
      </c>
      <c r="AR250">
        <f t="shared" si="68"/>
        <v>-4.4952791209909471</v>
      </c>
      <c r="AS250">
        <f t="shared" si="69"/>
        <v>-11.126206254801447</v>
      </c>
    </row>
    <row r="251" spans="13:45" x14ac:dyDescent="0.25">
      <c r="M251" s="7"/>
      <c r="N251" s="7"/>
      <c r="O251" s="7"/>
      <c r="Q251" s="7"/>
      <c r="R251" s="7"/>
      <c r="S251" s="7"/>
      <c r="T251" s="7"/>
      <c r="U251" s="7"/>
      <c r="Y251" s="10"/>
      <c r="Z251" s="10"/>
      <c r="AA251" s="10"/>
      <c r="AB251" s="7"/>
      <c r="AC251" s="7"/>
      <c r="AD251" s="7"/>
      <c r="AE251" s="10"/>
      <c r="AF251" s="10"/>
      <c r="AG251" s="10"/>
      <c r="AJ251" t="e">
        <v>#N/A</v>
      </c>
      <c r="AK251" t="e">
        <v>#N/A</v>
      </c>
      <c r="AL251" t="e">
        <v>#N/A</v>
      </c>
      <c r="AM251" t="e">
        <v>#N/A</v>
      </c>
      <c r="AN251" t="e">
        <v>#N/A</v>
      </c>
      <c r="AQ251">
        <v>249</v>
      </c>
      <c r="AR251">
        <f t="shared" si="68"/>
        <v>-4.3004153945436085</v>
      </c>
      <c r="AS251">
        <f t="shared" si="69"/>
        <v>-11.20296511796642</v>
      </c>
    </row>
    <row r="252" spans="13:45" x14ac:dyDescent="0.25">
      <c r="M252" s="7"/>
      <c r="N252" s="7"/>
      <c r="O252" s="7"/>
      <c r="Q252" s="7"/>
      <c r="R252" s="7"/>
      <c r="S252" s="7"/>
      <c r="T252" s="7"/>
      <c r="U252" s="7"/>
      <c r="Y252" s="10"/>
      <c r="Z252" s="10"/>
      <c r="AA252" s="10"/>
      <c r="AB252" s="7"/>
      <c r="AC252" s="7"/>
      <c r="AD252" s="7"/>
      <c r="AE252" s="10"/>
      <c r="AF252" s="10"/>
      <c r="AG252" s="10"/>
      <c r="AJ252" t="e">
        <v>#N/A</v>
      </c>
      <c r="AK252" t="e">
        <v>#N/A</v>
      </c>
      <c r="AL252" t="e">
        <v>#N/A</v>
      </c>
      <c r="AM252" t="e">
        <v>#N/A</v>
      </c>
      <c r="AN252" t="e">
        <v>#N/A</v>
      </c>
      <c r="AQ252">
        <v>250</v>
      </c>
      <c r="AR252">
        <f t="shared" si="68"/>
        <v>-4.104241719908023</v>
      </c>
      <c r="AS252">
        <f t="shared" si="69"/>
        <v>-11.276311449430901</v>
      </c>
    </row>
    <row r="253" spans="13:45" x14ac:dyDescent="0.25">
      <c r="M253" s="7"/>
      <c r="N253" s="7"/>
      <c r="O253" s="7"/>
      <c r="Q253" s="7"/>
      <c r="R253" s="7"/>
      <c r="S253" s="7"/>
      <c r="T253" s="7"/>
      <c r="U253" s="7"/>
      <c r="Y253" s="10"/>
      <c r="Z253" s="10"/>
      <c r="AA253" s="10"/>
      <c r="AB253" s="7"/>
      <c r="AC253" s="7"/>
      <c r="AD253" s="7"/>
      <c r="AE253" s="10"/>
      <c r="AF253" s="10"/>
      <c r="AG253" s="10"/>
      <c r="AJ253" t="e">
        <v>#N/A</v>
      </c>
      <c r="AK253" t="e">
        <v>#N/A</v>
      </c>
      <c r="AL253" t="e">
        <v>#N/A</v>
      </c>
      <c r="AM253" t="e">
        <v>#N/A</v>
      </c>
      <c r="AN253" t="e">
        <v>#N/A</v>
      </c>
      <c r="AQ253">
        <v>251</v>
      </c>
      <c r="AR253">
        <f t="shared" si="68"/>
        <v>-3.9068178534858795</v>
      </c>
      <c r="AS253">
        <f t="shared" si="69"/>
        <v>-11.346222907191802</v>
      </c>
    </row>
    <row r="254" spans="13:45" x14ac:dyDescent="0.25">
      <c r="M254" s="7"/>
      <c r="N254" s="7"/>
      <c r="O254" s="7"/>
      <c r="Q254" s="7"/>
      <c r="R254" s="7"/>
      <c r="S254" s="7"/>
      <c r="T254" s="7"/>
      <c r="U254" s="7"/>
      <c r="Y254" s="10"/>
      <c r="Z254" s="10"/>
      <c r="AA254" s="10"/>
      <c r="AB254" s="7"/>
      <c r="AC254" s="7"/>
      <c r="AD254" s="7"/>
      <c r="AE254" s="10"/>
      <c r="AF254" s="10"/>
      <c r="AG254" s="10"/>
      <c r="AJ254" t="e">
        <v>#N/A</v>
      </c>
      <c r="AK254" t="e">
        <v>#N/A</v>
      </c>
      <c r="AL254" t="e">
        <v>#N/A</v>
      </c>
      <c r="AM254" t="e">
        <v>#N/A</v>
      </c>
      <c r="AN254" t="e">
        <v>#N/A</v>
      </c>
      <c r="AQ254">
        <v>252</v>
      </c>
      <c r="AR254">
        <f t="shared" si="68"/>
        <v>-3.7082039324993707</v>
      </c>
      <c r="AS254">
        <f t="shared" si="69"/>
        <v>-11.412678195541842</v>
      </c>
    </row>
    <row r="255" spans="13:45" x14ac:dyDescent="0.25">
      <c r="M255" s="7"/>
      <c r="N255" s="7"/>
      <c r="O255" s="7"/>
      <c r="Q255" s="7"/>
      <c r="R255" s="7"/>
      <c r="S255" s="7"/>
      <c r="T255" s="7"/>
      <c r="U255" s="7"/>
      <c r="Y255" s="10"/>
      <c r="Z255" s="10"/>
      <c r="AA255" s="10"/>
      <c r="AB255" s="7"/>
      <c r="AC255" s="7"/>
      <c r="AD255" s="7"/>
      <c r="AE255" s="10"/>
      <c r="AF255" s="10"/>
      <c r="AG255" s="10"/>
      <c r="AJ255" t="e">
        <v>#N/A</v>
      </c>
      <c r="AK255" t="e">
        <v>#N/A</v>
      </c>
      <c r="AL255" t="e">
        <v>#N/A</v>
      </c>
      <c r="AM255" t="e">
        <v>#N/A</v>
      </c>
      <c r="AN255" t="e">
        <v>#N/A</v>
      </c>
      <c r="AQ255">
        <v>253</v>
      </c>
      <c r="AR255">
        <f t="shared" si="68"/>
        <v>-3.5084604566728452</v>
      </c>
      <c r="AS255">
        <f t="shared" si="69"/>
        <v>-11.475657071556423</v>
      </c>
    </row>
    <row r="256" spans="13:45" x14ac:dyDescent="0.25">
      <c r="M256" s="7"/>
      <c r="N256" s="7"/>
      <c r="O256" s="7"/>
      <c r="Q256" s="7"/>
      <c r="R256" s="7"/>
      <c r="S256" s="7"/>
      <c r="T256" s="7"/>
      <c r="U256" s="7"/>
      <c r="Y256" s="10"/>
      <c r="Z256" s="10"/>
      <c r="AA256" s="10"/>
      <c r="AB256" s="7"/>
      <c r="AC256" s="7"/>
      <c r="AD256" s="7"/>
      <c r="AE256" s="10"/>
      <c r="AF256" s="10"/>
      <c r="AG256" s="10"/>
      <c r="AJ256" t="e">
        <v>#N/A</v>
      </c>
      <c r="AK256" t="e">
        <v>#N/A</v>
      </c>
      <c r="AL256" t="e">
        <v>#N/A</v>
      </c>
      <c r="AM256" t="e">
        <v>#N/A</v>
      </c>
      <c r="AN256" t="e">
        <v>#N/A</v>
      </c>
      <c r="AQ256">
        <v>254</v>
      </c>
      <c r="AR256">
        <f t="shared" si="68"/>
        <v>-3.3076482698039866</v>
      </c>
      <c r="AS256">
        <f t="shared" si="69"/>
        <v>-11.535140351259829</v>
      </c>
    </row>
    <row r="257" spans="13:45" x14ac:dyDescent="0.25">
      <c r="M257" s="7"/>
      <c r="N257" s="7"/>
      <c r="O257" s="7"/>
      <c r="Q257" s="7"/>
      <c r="R257" s="7"/>
      <c r="S257" s="7"/>
      <c r="T257" s="7"/>
      <c r="U257" s="7"/>
      <c r="Y257" s="10"/>
      <c r="Z257" s="10"/>
      <c r="AA257" s="10"/>
      <c r="AB257" s="7"/>
      <c r="AC257" s="7"/>
      <c r="AD257" s="7"/>
      <c r="AE257" s="10"/>
      <c r="AF257" s="10"/>
      <c r="AG257" s="10"/>
      <c r="AJ257" t="e">
        <v>#N/A</v>
      </c>
      <c r="AK257" t="e">
        <v>#N/A</v>
      </c>
      <c r="AL257" t="e">
        <v>#N/A</v>
      </c>
      <c r="AM257" t="e">
        <v>#N/A</v>
      </c>
      <c r="AN257" t="e">
        <v>#N/A</v>
      </c>
      <c r="AQ257">
        <v>255</v>
      </c>
      <c r="AR257">
        <f t="shared" si="68"/>
        <v>-3.1058285412302475</v>
      </c>
      <c r="AS257">
        <f t="shared" si="69"/>
        <v>-11.59110991546882</v>
      </c>
    </row>
    <row r="258" spans="13:45" x14ac:dyDescent="0.25">
      <c r="M258" s="7"/>
      <c r="N258" s="7"/>
      <c r="O258" s="7"/>
      <c r="Q258" s="7"/>
      <c r="R258" s="7"/>
      <c r="S258" s="7"/>
      <c r="T258" s="7"/>
      <c r="U258" s="7"/>
      <c r="Y258" s="10"/>
      <c r="Z258" s="10"/>
      <c r="AA258" s="10"/>
      <c r="AB258" s="7"/>
      <c r="AC258" s="7"/>
      <c r="AD258" s="7"/>
      <c r="AE258" s="10"/>
      <c r="AF258" s="10"/>
      <c r="AG258" s="10"/>
      <c r="AJ258" t="e">
        <v>#N/A</v>
      </c>
      <c r="AK258" t="e">
        <v>#N/A</v>
      </c>
      <c r="AL258" t="e">
        <v>#N/A</v>
      </c>
      <c r="AM258" t="e">
        <v>#N/A</v>
      </c>
      <c r="AN258" t="e">
        <v>#N/A</v>
      </c>
      <c r="AQ258">
        <v>256</v>
      </c>
      <c r="AR258">
        <f t="shared" si="68"/>
        <v>-2.9030627471960133</v>
      </c>
      <c r="AS258">
        <f t="shared" si="69"/>
        <v>-11.643548715311958</v>
      </c>
    </row>
    <row r="259" spans="13:45" x14ac:dyDescent="0.25">
      <c r="M259" s="7"/>
      <c r="N259" s="7"/>
      <c r="O259" s="7"/>
      <c r="Q259" s="7"/>
      <c r="R259" s="7"/>
      <c r="S259" s="7"/>
      <c r="T259" s="7"/>
      <c r="U259" s="7"/>
      <c r="Y259" s="10"/>
      <c r="Z259" s="10"/>
      <c r="AA259" s="10"/>
      <c r="AB259" s="7"/>
      <c r="AC259" s="7"/>
      <c r="AD259" s="7"/>
      <c r="AE259" s="10"/>
      <c r="AF259" s="10"/>
      <c r="AG259" s="10"/>
      <c r="AJ259" t="e">
        <v>#N/A</v>
      </c>
      <c r="AK259" t="e">
        <v>#N/A</v>
      </c>
      <c r="AL259" t="e">
        <v>#N/A</v>
      </c>
      <c r="AM259" t="e">
        <v>#N/A</v>
      </c>
      <c r="AN259" t="e">
        <v>#N/A</v>
      </c>
      <c r="AQ259">
        <v>257</v>
      </c>
      <c r="AR259">
        <f t="shared" ref="AR259:AR322" si="72">$B$3*COS(RADIANS(AQ259))</f>
        <v>-2.6994126521263828</v>
      </c>
      <c r="AS259">
        <f t="shared" ref="AS259:AS322" si="73">$B$3*SIN(RADIANS(AQ259))</f>
        <v>-11.692440777422821</v>
      </c>
    </row>
    <row r="260" spans="13:45" x14ac:dyDescent="0.25">
      <c r="M260" s="7"/>
      <c r="N260" s="7"/>
      <c r="O260" s="7"/>
      <c r="Q260" s="7"/>
      <c r="R260" s="7"/>
      <c r="S260" s="7"/>
      <c r="T260" s="7"/>
      <c r="U260" s="7"/>
      <c r="Y260" s="10"/>
      <c r="Z260" s="10"/>
      <c r="AA260" s="10"/>
      <c r="AB260" s="7"/>
      <c r="AC260" s="7"/>
      <c r="AD260" s="7"/>
      <c r="AE260" s="10"/>
      <c r="AF260" s="10"/>
      <c r="AG260" s="10"/>
      <c r="AJ260" t="e">
        <v>#N/A</v>
      </c>
      <c r="AK260" t="e">
        <v>#N/A</v>
      </c>
      <c r="AL260" t="e">
        <v>#N/A</v>
      </c>
      <c r="AM260" t="e">
        <v>#N/A</v>
      </c>
      <c r="AN260" t="e">
        <v>#N/A</v>
      </c>
      <c r="AQ260">
        <v>258</v>
      </c>
      <c r="AR260">
        <f t="shared" si="72"/>
        <v>-2.4949402898131172</v>
      </c>
      <c r="AS260">
        <f t="shared" si="73"/>
        <v>-11.737771208805666</v>
      </c>
    </row>
    <row r="261" spans="13:45" x14ac:dyDescent="0.25">
      <c r="M261" s="7"/>
      <c r="N261" s="7"/>
      <c r="O261" s="7"/>
      <c r="Q261" s="7"/>
      <c r="R261" s="7"/>
      <c r="S261" s="7"/>
      <c r="T261" s="7"/>
      <c r="U261" s="7"/>
      <c r="Y261" s="10"/>
      <c r="Z261" s="10"/>
      <c r="AA261" s="10"/>
      <c r="AB261" s="7"/>
      <c r="AC261" s="7"/>
      <c r="AD261" s="7"/>
      <c r="AE261" s="10"/>
      <c r="AF261" s="10"/>
      <c r="AG261" s="10"/>
      <c r="AJ261" t="e">
        <v>#N/A</v>
      </c>
      <c r="AK261" t="e">
        <v>#N/A</v>
      </c>
      <c r="AL261" t="e">
        <v>#N/A</v>
      </c>
      <c r="AM261" t="e">
        <v>#N/A</v>
      </c>
      <c r="AN261" t="e">
        <v>#N/A</v>
      </c>
      <c r="AQ261">
        <v>259</v>
      </c>
      <c r="AR261">
        <f t="shared" si="72"/>
        <v>-2.2897079445185353</v>
      </c>
      <c r="AS261">
        <f t="shared" si="73"/>
        <v>-11.779526201371969</v>
      </c>
    </row>
    <row r="262" spans="13:45" x14ac:dyDescent="0.25">
      <c r="M262" s="9"/>
      <c r="AE262" s="10"/>
      <c r="AF262" s="10"/>
      <c r="AG262" s="10"/>
      <c r="AJ262" t="e">
        <v>#N/A</v>
      </c>
      <c r="AK262" t="e">
        <v>#N/A</v>
      </c>
      <c r="AL262" t="e">
        <v>#N/A</v>
      </c>
      <c r="AM262" t="e">
        <v>#N/A</v>
      </c>
      <c r="AN262" t="e">
        <v>#N/A</v>
      </c>
      <c r="AQ262">
        <v>260</v>
      </c>
      <c r="AR262">
        <f t="shared" si="72"/>
        <v>-2.0837781320031641</v>
      </c>
      <c r="AS262">
        <f t="shared" si="73"/>
        <v>-11.817693036146496</v>
      </c>
    </row>
    <row r="263" spans="13:45" x14ac:dyDescent="0.25">
      <c r="M263" s="9"/>
      <c r="AE263" s="10"/>
      <c r="AF263" s="10"/>
      <c r="AG263" s="10"/>
      <c r="AJ263" t="e">
        <v>#N/A</v>
      </c>
      <c r="AK263" t="e">
        <v>#N/A</v>
      </c>
      <c r="AL263" t="e">
        <v>#N/A</v>
      </c>
      <c r="AM263" t="e">
        <v>#N/A</v>
      </c>
      <c r="AN263" t="e">
        <v>#N/A</v>
      </c>
      <c r="AQ263">
        <v>261</v>
      </c>
      <c r="AR263">
        <f t="shared" si="72"/>
        <v>-1.8772135804827723</v>
      </c>
      <c r="AS263">
        <f t="shared" si="73"/>
        <v>-11.852260087141651</v>
      </c>
    </row>
    <row r="264" spans="13:45" x14ac:dyDescent="0.25">
      <c r="M264" s="9"/>
      <c r="AJ264" t="e">
        <v>#N/A</v>
      </c>
      <c r="AK264" t="e">
        <v>#N/A</v>
      </c>
      <c r="AL264" t="e">
        <v>#N/A</v>
      </c>
      <c r="AM264" t="e">
        <v>#N/A</v>
      </c>
      <c r="AN264" t="e">
        <v>#N/A</v>
      </c>
      <c r="AQ264">
        <v>262</v>
      </c>
      <c r="AR264">
        <f t="shared" si="72"/>
        <v>-1.6700772115207898</v>
      </c>
      <c r="AS264">
        <f t="shared" si="73"/>
        <v>-11.883216824898843</v>
      </c>
    </row>
    <row r="265" spans="13:45" x14ac:dyDescent="0.25">
      <c r="M265" s="9"/>
      <c r="AJ265" t="e">
        <v>#N/A</v>
      </c>
      <c r="AK265" t="e">
        <v>#N/A</v>
      </c>
      <c r="AL265" t="e">
        <v>#N/A</v>
      </c>
      <c r="AM265" t="e">
        <v>#N/A</v>
      </c>
      <c r="AN265" t="e">
        <v>#N/A</v>
      </c>
      <c r="AQ265">
        <v>263</v>
      </c>
      <c r="AR265">
        <f t="shared" si="72"/>
        <v>-1.4624321208617661</v>
      </c>
      <c r="AS265">
        <f t="shared" si="73"/>
        <v>-11.910553819695865</v>
      </c>
    </row>
    <row r="266" spans="13:45" x14ac:dyDescent="0.25">
      <c r="M266" s="9"/>
      <c r="AJ266" t="e">
        <v>#N/A</v>
      </c>
      <c r="AK266" t="e">
        <v>#N/A</v>
      </c>
      <c r="AL266" t="e">
        <v>#N/A</v>
      </c>
      <c r="AM266" t="e">
        <v>#N/A</v>
      </c>
      <c r="AN266" t="e">
        <v>#N/A</v>
      </c>
      <c r="AQ266">
        <v>264</v>
      </c>
      <c r="AR266">
        <f t="shared" si="72"/>
        <v>-1.2543415592118403</v>
      </c>
      <c r="AS266">
        <f t="shared" si="73"/>
        <v>-11.93426274441928</v>
      </c>
    </row>
    <row r="267" spans="13:45" x14ac:dyDescent="0.25">
      <c r="M267" s="9"/>
      <c r="AJ267" t="e">
        <v>#N/A</v>
      </c>
      <c r="AK267" t="e">
        <v>#N/A</v>
      </c>
      <c r="AL267" t="e">
        <v>#N/A</v>
      </c>
      <c r="AM267" t="e">
        <v>#N/A</v>
      </c>
      <c r="AN267" t="e">
        <v>#N/A</v>
      </c>
      <c r="AQ267">
        <v>265</v>
      </c>
      <c r="AR267">
        <f t="shared" si="72"/>
        <v>-1.045868912971899</v>
      </c>
      <c r="AS267">
        <f t="shared" si="73"/>
        <v>-11.954336377100947</v>
      </c>
    </row>
    <row r="268" spans="13:45" x14ac:dyDescent="0.25">
      <c r="M268" s="9"/>
      <c r="AJ268" t="e">
        <v>#N/A</v>
      </c>
      <c r="AK268" t="e">
        <v>#N/A</v>
      </c>
      <c r="AL268" t="e">
        <v>#N/A</v>
      </c>
      <c r="AM268" t="e">
        <v>#N/A</v>
      </c>
      <c r="AN268" t="e">
        <v>#N/A</v>
      </c>
      <c r="AQ268">
        <v>266</v>
      </c>
      <c r="AR268">
        <f t="shared" si="72"/>
        <v>-0.83707768492950696</v>
      </c>
      <c r="AS268">
        <f t="shared" si="73"/>
        <v>-11.970768603117889</v>
      </c>
    </row>
    <row r="269" spans="13:45" x14ac:dyDescent="0.25">
      <c r="M269" s="9"/>
      <c r="AJ269" t="e">
        <v>#N/A</v>
      </c>
      <c r="AK269" t="e">
        <v>#N/A</v>
      </c>
      <c r="AL269" t="e">
        <v>#N/A</v>
      </c>
      <c r="AM269" t="e">
        <v>#N/A</v>
      </c>
      <c r="AN269" t="e">
        <v>#N/A</v>
      </c>
      <c r="AQ269">
        <v>267</v>
      </c>
      <c r="AR269">
        <f t="shared" si="72"/>
        <v>-0.62803147491533173</v>
      </c>
      <c r="AS269">
        <f t="shared" si="73"/>
        <v>-11.983554417054886</v>
      </c>
    </row>
    <row r="270" spans="13:45" x14ac:dyDescent="0.25">
      <c r="M270" s="9"/>
      <c r="AJ270" t="e">
        <v>#N/A</v>
      </c>
      <c r="AK270" t="e">
        <v>#N/A</v>
      </c>
      <c r="AL270" t="e">
        <v>#N/A</v>
      </c>
      <c r="AM270" t="e">
        <v>#N/A</v>
      </c>
      <c r="AN270" t="e">
        <v>#N/A</v>
      </c>
      <c r="AQ270">
        <v>268</v>
      </c>
      <c r="AR270">
        <f t="shared" si="72"/>
        <v>-0.41879396043000916</v>
      </c>
      <c r="AS270">
        <f t="shared" si="73"/>
        <v>-11.992689924229149</v>
      </c>
    </row>
    <row r="271" spans="13:45" x14ac:dyDescent="0.25">
      <c r="M271" s="9"/>
      <c r="AJ271" t="e">
        <v>#N/A</v>
      </c>
      <c r="AK271" t="e">
        <v>#N/A</v>
      </c>
      <c r="AL271" t="e">
        <v>#N/A</v>
      </c>
      <c r="AM271" t="e">
        <v>#N/A</v>
      </c>
      <c r="AN271" t="e">
        <v>#N/A</v>
      </c>
      <c r="AQ271">
        <v>269</v>
      </c>
      <c r="AR271">
        <f t="shared" si="72"/>
        <v>-0.20942887724740197</v>
      </c>
      <c r="AS271">
        <f t="shared" si="73"/>
        <v>-11.998172341876696</v>
      </c>
    </row>
    <row r="272" spans="13:45" x14ac:dyDescent="0.25">
      <c r="M272" s="9"/>
      <c r="AJ272" t="e">
        <v>#N/A</v>
      </c>
      <c r="AK272" t="e">
        <v>#N/A</v>
      </c>
      <c r="AL272" t="e">
        <v>#N/A</v>
      </c>
      <c r="AM272" t="e">
        <v>#N/A</v>
      </c>
      <c r="AN272" t="e">
        <v>#N/A</v>
      </c>
      <c r="AQ272">
        <v>270</v>
      </c>
      <c r="AR272">
        <f t="shared" si="72"/>
        <v>-2.205267218835516E-15</v>
      </c>
      <c r="AS272">
        <f t="shared" si="73"/>
        <v>-12</v>
      </c>
    </row>
    <row r="273" spans="13:45" x14ac:dyDescent="0.25">
      <c r="M273" s="9"/>
      <c r="AJ273" t="e">
        <v>#N/A</v>
      </c>
      <c r="AK273" t="e">
        <v>#N/A</v>
      </c>
      <c r="AL273" t="e">
        <v>#N/A</v>
      </c>
      <c r="AM273" t="e">
        <v>#N/A</v>
      </c>
      <c r="AN273" t="e">
        <v>#N/A</v>
      </c>
      <c r="AQ273">
        <v>271</v>
      </c>
      <c r="AR273">
        <f t="shared" si="72"/>
        <v>0.20942887724739756</v>
      </c>
      <c r="AS273">
        <f t="shared" si="73"/>
        <v>-11.998172341876696</v>
      </c>
    </row>
    <row r="274" spans="13:45" x14ac:dyDescent="0.25">
      <c r="M274" s="9"/>
      <c r="AJ274" t="e">
        <v>#N/A</v>
      </c>
      <c r="AK274" t="e">
        <v>#N/A</v>
      </c>
      <c r="AL274" t="e">
        <v>#N/A</v>
      </c>
      <c r="AM274" t="e">
        <v>#N/A</v>
      </c>
      <c r="AN274" t="e">
        <v>#N/A</v>
      </c>
      <c r="AQ274">
        <v>272</v>
      </c>
      <c r="AR274">
        <f t="shared" si="72"/>
        <v>0.41879396043001538</v>
      </c>
      <c r="AS274">
        <f t="shared" si="73"/>
        <v>-11.992689924229149</v>
      </c>
    </row>
    <row r="275" spans="13:45" x14ac:dyDescent="0.25">
      <c r="M275" s="9"/>
      <c r="AJ275" t="e">
        <v>#N/A</v>
      </c>
      <c r="AK275" t="e">
        <v>#N/A</v>
      </c>
      <c r="AL275" t="e">
        <v>#N/A</v>
      </c>
      <c r="AM275" t="e">
        <v>#N/A</v>
      </c>
      <c r="AN275" t="e">
        <v>#N/A</v>
      </c>
      <c r="AQ275">
        <v>273</v>
      </c>
      <c r="AR275">
        <f t="shared" si="72"/>
        <v>0.62803147491532729</v>
      </c>
      <c r="AS275">
        <f t="shared" si="73"/>
        <v>-11.983554417054886</v>
      </c>
    </row>
    <row r="276" spans="13:45" x14ac:dyDescent="0.25">
      <c r="M276" s="9"/>
      <c r="AJ276" t="e">
        <v>#N/A</v>
      </c>
      <c r="AK276" t="e">
        <v>#N/A</v>
      </c>
      <c r="AL276" t="e">
        <v>#N/A</v>
      </c>
      <c r="AM276" t="e">
        <v>#N/A</v>
      </c>
      <c r="AN276" t="e">
        <v>#N/A</v>
      </c>
      <c r="AQ276">
        <v>274</v>
      </c>
      <c r="AR276">
        <f t="shared" si="72"/>
        <v>0.83707768492950263</v>
      </c>
      <c r="AS276">
        <f t="shared" si="73"/>
        <v>-11.970768603117891</v>
      </c>
    </row>
    <row r="277" spans="13:45" x14ac:dyDescent="0.25">
      <c r="M277" s="9"/>
      <c r="AJ277" t="e">
        <v>#N/A</v>
      </c>
      <c r="AK277" t="e">
        <v>#N/A</v>
      </c>
      <c r="AL277" t="e">
        <v>#N/A</v>
      </c>
      <c r="AM277" t="e">
        <v>#N/A</v>
      </c>
      <c r="AN277" t="e">
        <v>#N/A</v>
      </c>
      <c r="AQ277">
        <v>275</v>
      </c>
      <c r="AR277">
        <f t="shared" si="72"/>
        <v>1.0458689129718945</v>
      </c>
      <c r="AS277">
        <f t="shared" si="73"/>
        <v>-11.954336377100947</v>
      </c>
    </row>
    <row r="278" spans="13:45" x14ac:dyDescent="0.25">
      <c r="M278" s="9"/>
      <c r="AJ278" t="e">
        <v>#N/A</v>
      </c>
      <c r="AK278" t="e">
        <v>#N/A</v>
      </c>
      <c r="AL278" t="e">
        <v>#N/A</v>
      </c>
      <c r="AM278" t="e">
        <v>#N/A</v>
      </c>
      <c r="AN278" t="e">
        <v>#N/A</v>
      </c>
      <c r="AQ278">
        <v>276</v>
      </c>
      <c r="AR278">
        <f t="shared" si="72"/>
        <v>1.2543415592118359</v>
      </c>
      <c r="AS278">
        <f t="shared" si="73"/>
        <v>-11.93426274441928</v>
      </c>
    </row>
    <row r="279" spans="13:45" x14ac:dyDescent="0.25">
      <c r="M279" s="9"/>
      <c r="AJ279" t="e">
        <v>#N/A</v>
      </c>
      <c r="AK279" t="e">
        <v>#N/A</v>
      </c>
      <c r="AL279" t="e">
        <v>#N/A</v>
      </c>
      <c r="AM279" t="e">
        <v>#N/A</v>
      </c>
      <c r="AN279" t="e">
        <v>#N/A</v>
      </c>
      <c r="AQ279">
        <v>277</v>
      </c>
      <c r="AR279">
        <f t="shared" si="72"/>
        <v>1.4624321208617723</v>
      </c>
      <c r="AS279">
        <f t="shared" si="73"/>
        <v>-11.910553819695863</v>
      </c>
    </row>
    <row r="280" spans="13:45" x14ac:dyDescent="0.25">
      <c r="M280" s="9"/>
      <c r="AJ280" t="e">
        <v>#N/A</v>
      </c>
      <c r="AK280" t="e">
        <v>#N/A</v>
      </c>
      <c r="AL280" t="e">
        <v>#N/A</v>
      </c>
      <c r="AM280" t="e">
        <v>#N/A</v>
      </c>
      <c r="AN280" t="e">
        <v>#N/A</v>
      </c>
      <c r="AQ280">
        <v>278</v>
      </c>
      <c r="AR280">
        <f t="shared" si="72"/>
        <v>1.6700772115207856</v>
      </c>
      <c r="AS280">
        <f t="shared" si="73"/>
        <v>-11.883216824898845</v>
      </c>
    </row>
    <row r="281" spans="13:45" x14ac:dyDescent="0.25">
      <c r="M281" s="9"/>
      <c r="AJ281" t="e">
        <v>#N/A</v>
      </c>
      <c r="AK281" t="e">
        <v>#N/A</v>
      </c>
      <c r="AL281" t="e">
        <v>#N/A</v>
      </c>
      <c r="AM281" t="e">
        <v>#N/A</v>
      </c>
      <c r="AN281" t="e">
        <v>#N/A</v>
      </c>
      <c r="AQ281">
        <v>279</v>
      </c>
      <c r="AR281">
        <f t="shared" si="72"/>
        <v>1.8772135804827681</v>
      </c>
      <c r="AS281">
        <f t="shared" si="73"/>
        <v>-11.852260087141653</v>
      </c>
    </row>
    <row r="282" spans="13:45" x14ac:dyDescent="0.25">
      <c r="M282" s="9"/>
      <c r="AJ282" t="e">
        <v>#N/A</v>
      </c>
      <c r="AK282" t="e">
        <v>#N/A</v>
      </c>
      <c r="AL282" t="e">
        <v>#N/A</v>
      </c>
      <c r="AM282" t="e">
        <v>#N/A</v>
      </c>
      <c r="AN282" t="e">
        <v>#N/A</v>
      </c>
      <c r="AQ282">
        <v>280</v>
      </c>
      <c r="AR282">
        <f t="shared" si="72"/>
        <v>2.0837781320031596</v>
      </c>
      <c r="AS282">
        <f t="shared" si="73"/>
        <v>-11.817693036146498</v>
      </c>
    </row>
    <row r="283" spans="13:45" x14ac:dyDescent="0.25">
      <c r="M283" s="9"/>
      <c r="AJ283" t="e">
        <v>#N/A</v>
      </c>
      <c r="AK283" t="e">
        <v>#N/A</v>
      </c>
      <c r="AL283" t="e">
        <v>#N/A</v>
      </c>
      <c r="AM283" t="e">
        <v>#N/A</v>
      </c>
      <c r="AN283" t="e">
        <v>#N/A</v>
      </c>
      <c r="AQ283">
        <v>281</v>
      </c>
      <c r="AR283">
        <f t="shared" si="72"/>
        <v>2.2897079445185415</v>
      </c>
      <c r="AS283">
        <f t="shared" si="73"/>
        <v>-11.779526201371967</v>
      </c>
    </row>
    <row r="284" spans="13:45" x14ac:dyDescent="0.25">
      <c r="M284" s="9"/>
      <c r="AJ284" t="e">
        <v>#N/A</v>
      </c>
      <c r="AK284" t="e">
        <v>#N/A</v>
      </c>
      <c r="AL284" t="e">
        <v>#N/A</v>
      </c>
      <c r="AM284" t="e">
        <v>#N/A</v>
      </c>
      <c r="AN284" t="e">
        <v>#N/A</v>
      </c>
      <c r="AQ284">
        <v>282</v>
      </c>
      <c r="AR284">
        <f t="shared" si="72"/>
        <v>2.4949402898131132</v>
      </c>
      <c r="AS284">
        <f t="shared" si="73"/>
        <v>-11.737771208805666</v>
      </c>
    </row>
    <row r="285" spans="13:45" x14ac:dyDescent="0.25">
      <c r="M285" s="9"/>
      <c r="AJ285" t="e">
        <v>#N/A</v>
      </c>
      <c r="AK285" t="e">
        <v>#N/A</v>
      </c>
      <c r="AL285" t="e">
        <v>#N/A</v>
      </c>
      <c r="AM285" t="e">
        <v>#N/A</v>
      </c>
      <c r="AN285" t="e">
        <v>#N/A</v>
      </c>
      <c r="AQ285">
        <v>283</v>
      </c>
      <c r="AR285">
        <f t="shared" si="72"/>
        <v>2.6994126521263793</v>
      </c>
      <c r="AS285">
        <f t="shared" si="73"/>
        <v>-11.692440777422823</v>
      </c>
    </row>
    <row r="286" spans="13:45" x14ac:dyDescent="0.25">
      <c r="M286" s="9"/>
      <c r="AJ286" t="e">
        <v>#N/A</v>
      </c>
      <c r="AK286" t="e">
        <v>#N/A</v>
      </c>
      <c r="AL286" t="e">
        <v>#N/A</v>
      </c>
      <c r="AM286" t="e">
        <v>#N/A</v>
      </c>
      <c r="AN286" t="e">
        <v>#N/A</v>
      </c>
      <c r="AQ286">
        <v>284</v>
      </c>
      <c r="AR286">
        <f t="shared" si="72"/>
        <v>2.9030627471960093</v>
      </c>
      <c r="AS286">
        <f t="shared" si="73"/>
        <v>-11.643548715311958</v>
      </c>
    </row>
    <row r="287" spans="13:45" x14ac:dyDescent="0.25">
      <c r="M287" s="9"/>
      <c r="AJ287" t="e">
        <v>#N/A</v>
      </c>
      <c r="AK287" t="e">
        <v>#N/A</v>
      </c>
      <c r="AL287" t="e">
        <v>#N/A</v>
      </c>
      <c r="AM287" t="e">
        <v>#N/A</v>
      </c>
      <c r="AN287" t="e">
        <v>#N/A</v>
      </c>
      <c r="AQ287">
        <v>285</v>
      </c>
      <c r="AR287">
        <f t="shared" si="72"/>
        <v>3.1058285412302435</v>
      </c>
      <c r="AS287">
        <f t="shared" si="73"/>
        <v>-11.59110991546882</v>
      </c>
    </row>
    <row r="288" spans="13:45" x14ac:dyDescent="0.25">
      <c r="M288" s="9"/>
      <c r="AJ288" t="e">
        <v>#N/A</v>
      </c>
      <c r="AK288" t="e">
        <v>#N/A</v>
      </c>
      <c r="AL288" t="e">
        <v>#N/A</v>
      </c>
      <c r="AM288" t="e">
        <v>#N/A</v>
      </c>
      <c r="AN288" t="e">
        <v>#N/A</v>
      </c>
      <c r="AQ288">
        <v>286</v>
      </c>
      <c r="AR288">
        <f t="shared" si="72"/>
        <v>3.3076482698039928</v>
      </c>
      <c r="AS288">
        <f t="shared" si="73"/>
        <v>-11.535140351259825</v>
      </c>
    </row>
    <row r="289" spans="13:45" x14ac:dyDescent="0.25">
      <c r="M289" s="9"/>
      <c r="AJ289" t="e">
        <v>#N/A</v>
      </c>
      <c r="AK289" t="e">
        <v>#N/A</v>
      </c>
      <c r="AL289" t="e">
        <v>#N/A</v>
      </c>
      <c r="AM289" t="e">
        <v>#N/A</v>
      </c>
      <c r="AN289" t="e">
        <v>#N/A</v>
      </c>
      <c r="AQ289">
        <v>287</v>
      </c>
      <c r="AR289">
        <f t="shared" si="72"/>
        <v>3.5084604566728403</v>
      </c>
      <c r="AS289">
        <f t="shared" si="73"/>
        <v>-11.475657071556425</v>
      </c>
    </row>
    <row r="290" spans="13:45" x14ac:dyDescent="0.25">
      <c r="M290" s="9"/>
      <c r="AJ290" t="e">
        <v>#N/A</v>
      </c>
      <c r="AK290" t="e">
        <v>#N/A</v>
      </c>
      <c r="AL290" t="e">
        <v>#N/A</v>
      </c>
      <c r="AM290" t="e">
        <v>#N/A</v>
      </c>
      <c r="AN290" t="e">
        <v>#N/A</v>
      </c>
      <c r="AQ290">
        <v>288</v>
      </c>
      <c r="AR290">
        <f t="shared" si="72"/>
        <v>3.7082039324993668</v>
      </c>
      <c r="AS290">
        <f t="shared" si="73"/>
        <v>-11.412678195541844</v>
      </c>
    </row>
    <row r="291" spans="13:45" x14ac:dyDescent="0.25">
      <c r="M291" s="9"/>
      <c r="AJ291" t="e">
        <v>#N/A</v>
      </c>
      <c r="AK291" t="e">
        <v>#N/A</v>
      </c>
      <c r="AL291" t="e">
        <v>#N/A</v>
      </c>
      <c r="AM291" t="e">
        <v>#N/A</v>
      </c>
      <c r="AN291" t="e">
        <v>#N/A</v>
      </c>
      <c r="AQ291">
        <v>289</v>
      </c>
      <c r="AR291">
        <f t="shared" si="72"/>
        <v>3.906817853485876</v>
      </c>
      <c r="AS291">
        <f t="shared" si="73"/>
        <v>-11.346222907191803</v>
      </c>
    </row>
    <row r="292" spans="13:45" x14ac:dyDescent="0.25">
      <c r="M292" s="9"/>
      <c r="AJ292" t="e">
        <v>#N/A</v>
      </c>
      <c r="AK292" t="e">
        <v>#N/A</v>
      </c>
      <c r="AL292" t="e">
        <v>#N/A</v>
      </c>
      <c r="AM292" t="e">
        <v>#N/A</v>
      </c>
      <c r="AN292" t="e">
        <v>#N/A</v>
      </c>
      <c r="AQ292">
        <v>290</v>
      </c>
      <c r="AR292">
        <f t="shared" si="72"/>
        <v>4.1042417199080283</v>
      </c>
      <c r="AS292">
        <f t="shared" si="73"/>
        <v>-11.276311449430899</v>
      </c>
    </row>
    <row r="293" spans="13:45" x14ac:dyDescent="0.25">
      <c r="M293" s="9"/>
      <c r="AJ293" t="e">
        <v>#N/A</v>
      </c>
      <c r="AK293" t="e">
        <v>#N/A</v>
      </c>
      <c r="AL293" t="e">
        <v>#N/A</v>
      </c>
      <c r="AM293" t="e">
        <v>#N/A</v>
      </c>
      <c r="AN293" t="e">
        <v>#N/A</v>
      </c>
      <c r="AQ293">
        <v>291</v>
      </c>
      <c r="AR293">
        <f t="shared" si="72"/>
        <v>4.3004153945436041</v>
      </c>
      <c r="AS293">
        <f t="shared" si="73"/>
        <v>-11.202965117966421</v>
      </c>
    </row>
    <row r="294" spans="13:45" x14ac:dyDescent="0.25">
      <c r="M294" s="9"/>
      <c r="AJ294" t="e">
        <v>#N/A</v>
      </c>
      <c r="AK294" t="e">
        <v>#N/A</v>
      </c>
      <c r="AL294" t="e">
        <v>#N/A</v>
      </c>
      <c r="AM294" t="e">
        <v>#N/A</v>
      </c>
      <c r="AN294" t="e">
        <v>#N/A</v>
      </c>
      <c r="AQ294">
        <v>292</v>
      </c>
      <c r="AR294">
        <f t="shared" si="72"/>
        <v>4.4952791209909435</v>
      </c>
      <c r="AS294">
        <f t="shared" si="73"/>
        <v>-11.126206254801449</v>
      </c>
    </row>
    <row r="295" spans="13:45" x14ac:dyDescent="0.25">
      <c r="M295" s="9"/>
      <c r="AJ295" t="e">
        <v>#N/A</v>
      </c>
      <c r="AK295" t="e">
        <v>#N/A</v>
      </c>
      <c r="AL295" t="e">
        <v>#N/A</v>
      </c>
      <c r="AM295" t="e">
        <v>#N/A</v>
      </c>
      <c r="AN295" t="e">
        <v>#N/A</v>
      </c>
      <c r="AQ295">
        <v>293</v>
      </c>
      <c r="AR295">
        <f t="shared" si="72"/>
        <v>4.6887735418712815</v>
      </c>
      <c r="AS295">
        <f t="shared" si="73"/>
        <v>-11.046058241429286</v>
      </c>
    </row>
    <row r="296" spans="13:45" x14ac:dyDescent="0.25">
      <c r="M296" s="9"/>
      <c r="AJ296" t="e">
        <v>#N/A</v>
      </c>
      <c r="AK296" t="e">
        <v>#N/A</v>
      </c>
      <c r="AL296" t="e">
        <v>#N/A</v>
      </c>
      <c r="AM296" t="e">
        <v>#N/A</v>
      </c>
      <c r="AN296" t="e">
        <v>#N/A</v>
      </c>
      <c r="AQ296">
        <v>294</v>
      </c>
      <c r="AR296">
        <f t="shared" si="72"/>
        <v>4.8808397169095974</v>
      </c>
      <c r="AS296">
        <f t="shared" si="73"/>
        <v>-10.962545491711213</v>
      </c>
    </row>
    <row r="297" spans="13:45" x14ac:dyDescent="0.25">
      <c r="M297" s="9"/>
      <c r="AJ297" t="e">
        <v>#N/A</v>
      </c>
      <c r="AK297" t="e">
        <v>#N/A</v>
      </c>
      <c r="AL297" t="e">
        <v>#N/A</v>
      </c>
      <c r="AM297" t="e">
        <v>#N/A</v>
      </c>
      <c r="AN297" t="e">
        <v>#N/A</v>
      </c>
      <c r="AQ297">
        <v>295</v>
      </c>
      <c r="AR297">
        <f t="shared" si="72"/>
        <v>5.0714191408883948</v>
      </c>
      <c r="AS297">
        <f t="shared" si="73"/>
        <v>-10.875693444439799</v>
      </c>
    </row>
    <row r="298" spans="13:45" x14ac:dyDescent="0.25">
      <c r="M298" s="9"/>
      <c r="AJ298" t="e">
        <v>#N/A</v>
      </c>
      <c r="AK298" t="e">
        <v>#N/A</v>
      </c>
      <c r="AL298" t="e">
        <v>#N/A</v>
      </c>
      <c r="AM298" t="e">
        <v>#N/A</v>
      </c>
      <c r="AN298" t="e">
        <v>#N/A</v>
      </c>
      <c r="AQ298">
        <v>296</v>
      </c>
      <c r="AR298">
        <f t="shared" si="72"/>
        <v>5.2604537614689288</v>
      </c>
      <c r="AS298">
        <f t="shared" si="73"/>
        <v>-10.785528555590005</v>
      </c>
    </row>
    <row r="299" spans="13:45" x14ac:dyDescent="0.25">
      <c r="M299" s="9"/>
      <c r="AJ299" t="e">
        <v>#N/A</v>
      </c>
      <c r="AK299" t="e">
        <v>#N/A</v>
      </c>
      <c r="AL299" t="e">
        <v>#N/A</v>
      </c>
      <c r="AM299" t="e">
        <v>#N/A</v>
      </c>
      <c r="AN299" t="e">
        <v>#N/A</v>
      </c>
      <c r="AQ299">
        <v>297</v>
      </c>
      <c r="AR299">
        <f t="shared" si="72"/>
        <v>5.4478859968745592</v>
      </c>
      <c r="AS299">
        <f t="shared" si="73"/>
        <v>-10.692078290260415</v>
      </c>
    </row>
    <row r="300" spans="13:45" x14ac:dyDescent="0.25">
      <c r="M300" s="9"/>
      <c r="AJ300" t="e">
        <v>#N/A</v>
      </c>
      <c r="AK300" t="e">
        <v>#N/A</v>
      </c>
      <c r="AL300" t="e">
        <v>#N/A</v>
      </c>
      <c r="AM300" t="e">
        <v>#N/A</v>
      </c>
      <c r="AN300" t="e">
        <v>#N/A</v>
      </c>
      <c r="AQ300">
        <v>298</v>
      </c>
      <c r="AR300">
        <f t="shared" si="72"/>
        <v>5.6336587534306855</v>
      </c>
      <c r="AS300">
        <f t="shared" si="73"/>
        <v>-10.595371114307126</v>
      </c>
    </row>
    <row r="301" spans="13:45" x14ac:dyDescent="0.25">
      <c r="M301" s="9"/>
      <c r="AJ301" t="e">
        <v>#N/A</v>
      </c>
      <c r="AK301" t="e">
        <v>#N/A</v>
      </c>
      <c r="AL301" t="e">
        <v>#N/A</v>
      </c>
      <c r="AM301" t="e">
        <v>#N/A</v>
      </c>
      <c r="AN301" t="e">
        <v>#N/A</v>
      </c>
      <c r="AQ301">
        <v>299</v>
      </c>
      <c r="AR301">
        <f t="shared" si="72"/>
        <v>5.8177154429560476</v>
      </c>
      <c r="AS301">
        <f t="shared" si="73"/>
        <v>-10.495436485672748</v>
      </c>
    </row>
    <row r="302" spans="13:45" x14ac:dyDescent="0.25">
      <c r="M302" s="9"/>
      <c r="AJ302" t="e">
        <v>#N/A</v>
      </c>
      <c r="AK302" t="e">
        <v>#N/A</v>
      </c>
      <c r="AL302" t="e">
        <v>#N/A</v>
      </c>
      <c r="AM302" t="e">
        <v>#N/A</v>
      </c>
      <c r="AN302" t="e">
        <v>#N/A</v>
      </c>
      <c r="AQ302">
        <v>300</v>
      </c>
      <c r="AR302">
        <f t="shared" si="72"/>
        <v>6.0000000000000018</v>
      </c>
      <c r="AS302">
        <f t="shared" si="73"/>
        <v>-10.392304845413264</v>
      </c>
    </row>
    <row r="303" spans="13:45" x14ac:dyDescent="0.25">
      <c r="M303" s="9"/>
      <c r="AJ303" t="e">
        <v>#N/A</v>
      </c>
      <c r="AK303" t="e">
        <v>#N/A</v>
      </c>
      <c r="AL303" t="e">
        <v>#N/A</v>
      </c>
      <c r="AM303" t="e">
        <v>#N/A</v>
      </c>
      <c r="AN303" t="e">
        <v>#N/A</v>
      </c>
      <c r="AQ303">
        <v>301</v>
      </c>
      <c r="AR303">
        <f t="shared" si="72"/>
        <v>6.1804568989206494</v>
      </c>
      <c r="AS303">
        <f t="shared" si="73"/>
        <v>-10.286007608425347</v>
      </c>
    </row>
    <row r="304" spans="13:45" x14ac:dyDescent="0.25">
      <c r="M304" s="9"/>
      <c r="AJ304" t="e">
        <v>#N/A</v>
      </c>
      <c r="AK304" t="e">
        <v>#N/A</v>
      </c>
      <c r="AL304" t="e">
        <v>#N/A</v>
      </c>
      <c r="AM304" t="e">
        <v>#N/A</v>
      </c>
      <c r="AN304" t="e">
        <v>#N/A</v>
      </c>
      <c r="AQ304">
        <v>302</v>
      </c>
      <c r="AR304">
        <f t="shared" si="72"/>
        <v>6.3590311707984561</v>
      </c>
      <c r="AS304">
        <f t="shared" si="73"/>
        <v>-10.176577153877114</v>
      </c>
    </row>
    <row r="305" spans="13:45" x14ac:dyDescent="0.25">
      <c r="M305" s="9"/>
      <c r="AJ305" t="e">
        <v>#N/A</v>
      </c>
      <c r="AK305" t="e">
        <v>#N/A</v>
      </c>
      <c r="AL305" t="e">
        <v>#N/A</v>
      </c>
      <c r="AM305" t="e">
        <v>#N/A</v>
      </c>
      <c r="AN305" t="e">
        <v>#N/A</v>
      </c>
      <c r="AQ305">
        <v>303</v>
      </c>
      <c r="AR305">
        <f t="shared" si="72"/>
        <v>6.5356684201803201</v>
      </c>
      <c r="AS305">
        <f t="shared" si="73"/>
        <v>-10.06404681534509</v>
      </c>
    </row>
    <row r="306" spans="13:45" x14ac:dyDescent="0.25">
      <c r="M306" s="9"/>
      <c r="AJ306" t="e">
        <v>#N/A</v>
      </c>
      <c r="AK306" t="e">
        <v>#N/A</v>
      </c>
      <c r="AL306" t="e">
        <v>#N/A</v>
      </c>
      <c r="AM306" t="e">
        <v>#N/A</v>
      </c>
      <c r="AN306" t="e">
        <v>#N/A</v>
      </c>
      <c r="AQ306">
        <v>304</v>
      </c>
      <c r="AR306">
        <f t="shared" si="72"/>
        <v>6.7103148416489642</v>
      </c>
      <c r="AS306">
        <f t="shared" si="73"/>
        <v>-9.9484508706604995</v>
      </c>
    </row>
    <row r="307" spans="13:45" x14ac:dyDescent="0.25">
      <c r="M307" s="9"/>
      <c r="AJ307" t="e">
        <v>#N/A</v>
      </c>
      <c r="AK307" t="e">
        <v>#N/A</v>
      </c>
      <c r="AL307" t="e">
        <v>#N/A</v>
      </c>
      <c r="AM307" t="e">
        <v>#N/A</v>
      </c>
      <c r="AN307" t="e">
        <v>#N/A</v>
      </c>
      <c r="AQ307">
        <v>305</v>
      </c>
      <c r="AR307">
        <f t="shared" si="72"/>
        <v>6.8829172362125526</v>
      </c>
      <c r="AS307">
        <f t="shared" si="73"/>
        <v>-9.8298245314679011</v>
      </c>
    </row>
    <row r="308" spans="13:45" x14ac:dyDescent="0.25">
      <c r="M308" s="9"/>
      <c r="AJ308" t="e">
        <v>#N/A</v>
      </c>
      <c r="AK308" t="e">
        <v>#N/A</v>
      </c>
      <c r="AL308" t="e">
        <v>#N/A</v>
      </c>
      <c r="AM308" t="e">
        <v>#N/A</v>
      </c>
      <c r="AN308" t="e">
        <v>#N/A</v>
      </c>
      <c r="AQ308">
        <v>306</v>
      </c>
      <c r="AR308">
        <f t="shared" si="72"/>
        <v>7.053423027509675</v>
      </c>
      <c r="AS308">
        <f t="shared" si="73"/>
        <v>-9.7082039324993712</v>
      </c>
    </row>
    <row r="309" spans="13:45" x14ac:dyDescent="0.25">
      <c r="M309" s="9"/>
      <c r="AJ309" t="e">
        <v>#N/A</v>
      </c>
      <c r="AK309" t="e">
        <v>#N/A</v>
      </c>
      <c r="AL309" t="e">
        <v>#N/A</v>
      </c>
      <c r="AM309" t="e">
        <v>#N/A</v>
      </c>
      <c r="AN309" t="e">
        <v>#N/A</v>
      </c>
      <c r="AQ309">
        <v>307</v>
      </c>
      <c r="AR309">
        <f t="shared" si="72"/>
        <v>7.2217802778245748</v>
      </c>
      <c r="AS309">
        <f t="shared" si="73"/>
        <v>-9.5836261205675157</v>
      </c>
    </row>
    <row r="310" spans="13:45" x14ac:dyDescent="0.25">
      <c r="M310" s="9"/>
      <c r="AJ310" t="e">
        <v>#N/A</v>
      </c>
      <c r="AK310" t="e">
        <v>#N/A</v>
      </c>
      <c r="AL310" t="e">
        <v>#N/A</v>
      </c>
      <c r="AM310" t="e">
        <v>#N/A</v>
      </c>
      <c r="AN310" t="e">
        <v>#N/A</v>
      </c>
      <c r="AQ310">
        <v>308</v>
      </c>
      <c r="AR310">
        <f t="shared" si="72"/>
        <v>7.3879377039079017</v>
      </c>
      <c r="AS310">
        <f t="shared" si="73"/>
        <v>-9.4561290432806615</v>
      </c>
    </row>
    <row r="311" spans="13:45" x14ac:dyDescent="0.25">
      <c r="M311" s="9"/>
      <c r="AJ311" t="e">
        <v>#N/A</v>
      </c>
      <c r="AK311" t="e">
        <v>#N/A</v>
      </c>
      <c r="AL311" t="e">
        <v>#N/A</v>
      </c>
      <c r="AM311" t="e">
        <v>#N/A</v>
      </c>
      <c r="AN311" t="e">
        <v>#N/A</v>
      </c>
      <c r="AQ311">
        <v>309</v>
      </c>
      <c r="AR311">
        <f t="shared" si="72"/>
        <v>7.55184469259805</v>
      </c>
      <c r="AS311">
        <f t="shared" si="73"/>
        <v>-9.325751537483649</v>
      </c>
    </row>
    <row r="312" spans="13:45" x14ac:dyDescent="0.25">
      <c r="M312" s="9"/>
      <c r="AJ312" t="e">
        <v>#N/A</v>
      </c>
      <c r="AK312" t="e">
        <v>#N/A</v>
      </c>
      <c r="AL312" t="e">
        <v>#N/A</v>
      </c>
      <c r="AM312" t="e">
        <v>#N/A</v>
      </c>
      <c r="AN312" t="e">
        <v>#N/A</v>
      </c>
      <c r="AQ312">
        <v>310</v>
      </c>
      <c r="AR312">
        <f t="shared" si="72"/>
        <v>7.713451316238471</v>
      </c>
      <c r="AS312">
        <f t="shared" si="73"/>
        <v>-9.1925333174277384</v>
      </c>
    </row>
    <row r="313" spans="13:45" x14ac:dyDescent="0.25">
      <c r="M313" s="9"/>
      <c r="AJ313" t="e">
        <v>#N/A</v>
      </c>
      <c r="AK313" t="e">
        <v>#N/A</v>
      </c>
      <c r="AL313" t="e">
        <v>#N/A</v>
      </c>
      <c r="AM313" t="e">
        <v>#N/A</v>
      </c>
      <c r="AN313" t="e">
        <v>#N/A</v>
      </c>
      <c r="AQ313">
        <v>311</v>
      </c>
      <c r="AR313">
        <f t="shared" si="72"/>
        <v>7.8727083478860846</v>
      </c>
      <c r="AS313">
        <f t="shared" si="73"/>
        <v>-9.0565149626732673</v>
      </c>
    </row>
    <row r="314" spans="13:45" x14ac:dyDescent="0.25">
      <c r="M314" s="9"/>
      <c r="AJ314" t="e">
        <v>#N/A</v>
      </c>
      <c r="AK314" t="e">
        <v>#N/A</v>
      </c>
      <c r="AL314" t="e">
        <v>#N/A</v>
      </c>
      <c r="AM314" t="e">
        <v>#N/A</v>
      </c>
      <c r="AN314" t="e">
        <v>#N/A</v>
      </c>
      <c r="AQ314">
        <v>312</v>
      </c>
      <c r="AR314">
        <f t="shared" si="72"/>
        <v>8.0295672763062935</v>
      </c>
      <c r="AS314">
        <f t="shared" si="73"/>
        <v>-8.9177379057287354</v>
      </c>
    </row>
    <row r="315" spans="13:45" x14ac:dyDescent="0.25">
      <c r="M315" s="9"/>
      <c r="AJ315" t="e">
        <v>#N/A</v>
      </c>
      <c r="AK315" t="e">
        <v>#N/A</v>
      </c>
      <c r="AL315" t="e">
        <v>#N/A</v>
      </c>
      <c r="AM315" t="e">
        <v>#N/A</v>
      </c>
      <c r="AN315" t="e">
        <v>#N/A</v>
      </c>
      <c r="AQ315">
        <v>313</v>
      </c>
      <c r="AR315">
        <f t="shared" si="72"/>
        <v>8.1839803207499831</v>
      </c>
      <c r="AS315">
        <f t="shared" si="73"/>
        <v>-8.7762444194300446</v>
      </c>
    </row>
    <row r="316" spans="13:45" x14ac:dyDescent="0.25">
      <c r="M316" s="9"/>
      <c r="AJ316" t="e">
        <v>#N/A</v>
      </c>
      <c r="AK316" t="e">
        <v>#N/A</v>
      </c>
      <c r="AL316" t="e">
        <v>#N/A</v>
      </c>
      <c r="AM316" t="e">
        <v>#N/A</v>
      </c>
      <c r="AN316" t="e">
        <v>#N/A</v>
      </c>
      <c r="AQ316">
        <v>314</v>
      </c>
      <c r="AR316">
        <f t="shared" si="72"/>
        <v>8.335900445507967</v>
      </c>
      <c r="AS316">
        <f t="shared" si="73"/>
        <v>-8.6320776040638147</v>
      </c>
    </row>
    <row r="317" spans="13:45" x14ac:dyDescent="0.25">
      <c r="M317" s="9"/>
      <c r="AJ317" t="e">
        <v>#N/A</v>
      </c>
      <c r="AK317" t="e">
        <v>#N/A</v>
      </c>
      <c r="AL317" t="e">
        <v>#N/A</v>
      </c>
      <c r="AM317" t="e">
        <v>#N/A</v>
      </c>
      <c r="AN317" t="e">
        <v>#N/A</v>
      </c>
      <c r="AQ317">
        <v>315</v>
      </c>
      <c r="AR317">
        <f t="shared" si="72"/>
        <v>8.4852813742385678</v>
      </c>
      <c r="AS317">
        <f t="shared" si="73"/>
        <v>-8.4852813742385713</v>
      </c>
    </row>
    <row r="318" spans="13:45" x14ac:dyDescent="0.25">
      <c r="M318" s="9"/>
      <c r="AJ318" t="e">
        <v>#N/A</v>
      </c>
      <c r="AK318" t="e">
        <v>#N/A</v>
      </c>
      <c r="AL318" t="e">
        <v>#N/A</v>
      </c>
      <c r="AM318" t="e">
        <v>#N/A</v>
      </c>
      <c r="AN318" t="e">
        <v>#N/A</v>
      </c>
      <c r="AQ318">
        <v>316</v>
      </c>
      <c r="AR318">
        <f t="shared" si="72"/>
        <v>8.6320776040638094</v>
      </c>
      <c r="AS318">
        <f t="shared" si="73"/>
        <v>-8.3359004455079706</v>
      </c>
    </row>
    <row r="319" spans="13:45" x14ac:dyDescent="0.25">
      <c r="M319" s="9"/>
      <c r="AJ319" t="e">
        <v>#N/A</v>
      </c>
      <c r="AK319" t="e">
        <v>#N/A</v>
      </c>
      <c r="AL319" t="e">
        <v>#N/A</v>
      </c>
      <c r="AM319" t="e">
        <v>#N/A</v>
      </c>
      <c r="AN319" t="e">
        <v>#N/A</v>
      </c>
      <c r="AQ319">
        <v>317</v>
      </c>
      <c r="AR319">
        <f t="shared" si="72"/>
        <v>8.7762444194300482</v>
      </c>
      <c r="AS319">
        <f t="shared" si="73"/>
        <v>-8.1839803207499795</v>
      </c>
    </row>
    <row r="320" spans="13:45" x14ac:dyDescent="0.25">
      <c r="M320" s="9"/>
      <c r="AJ320" t="e">
        <v>#N/A</v>
      </c>
      <c r="AK320" t="e">
        <v>#N/A</v>
      </c>
      <c r="AL320" t="e">
        <v>#N/A</v>
      </c>
      <c r="AM320" t="e">
        <v>#N/A</v>
      </c>
      <c r="AN320" t="e">
        <v>#N/A</v>
      </c>
      <c r="AQ320">
        <v>318</v>
      </c>
      <c r="AR320">
        <f t="shared" si="72"/>
        <v>8.9177379057287318</v>
      </c>
      <c r="AS320">
        <f t="shared" si="73"/>
        <v>-8.0295672763062971</v>
      </c>
    </row>
    <row r="321" spans="13:45" x14ac:dyDescent="0.25">
      <c r="M321" s="9"/>
      <c r="AJ321" t="e">
        <v>#N/A</v>
      </c>
      <c r="AK321" t="e">
        <v>#N/A</v>
      </c>
      <c r="AL321" t="e">
        <v>#N/A</v>
      </c>
      <c r="AM321" t="e">
        <v>#N/A</v>
      </c>
      <c r="AN321" t="e">
        <v>#N/A</v>
      </c>
      <c r="AQ321">
        <v>319</v>
      </c>
      <c r="AR321">
        <f t="shared" si="72"/>
        <v>9.0565149626732619</v>
      </c>
      <c r="AS321">
        <f t="shared" si="73"/>
        <v>-7.8727083478860891</v>
      </c>
    </row>
    <row r="322" spans="13:45" x14ac:dyDescent="0.25">
      <c r="M322" s="9"/>
      <c r="AJ322" t="e">
        <v>#N/A</v>
      </c>
      <c r="AK322" t="e">
        <v>#N/A</v>
      </c>
      <c r="AL322" t="e">
        <v>#N/A</v>
      </c>
      <c r="AM322" t="e">
        <v>#N/A</v>
      </c>
      <c r="AN322" t="e">
        <v>#N/A</v>
      </c>
      <c r="AQ322">
        <v>320</v>
      </c>
      <c r="AR322">
        <f t="shared" si="72"/>
        <v>9.1925333174277331</v>
      </c>
      <c r="AS322">
        <f t="shared" si="73"/>
        <v>-7.7134513162384746</v>
      </c>
    </row>
    <row r="323" spans="13:45" x14ac:dyDescent="0.25">
      <c r="M323" s="9"/>
      <c r="AJ323" t="e">
        <v>#N/A</v>
      </c>
      <c r="AK323" t="e">
        <v>#N/A</v>
      </c>
      <c r="AL323" t="e">
        <v>#N/A</v>
      </c>
      <c r="AM323" t="e">
        <v>#N/A</v>
      </c>
      <c r="AN323" t="e">
        <v>#N/A</v>
      </c>
      <c r="AQ323">
        <v>321</v>
      </c>
      <c r="AR323">
        <f t="shared" ref="AR323:AR362" si="74">$B$3*COS(RADIANS(AQ323))</f>
        <v>9.3257515374836473</v>
      </c>
      <c r="AS323">
        <f t="shared" ref="AS323:AS362" si="75">$B$3*SIN(RADIANS(AQ323))</f>
        <v>-7.5518446925980545</v>
      </c>
    </row>
    <row r="324" spans="13:45" x14ac:dyDescent="0.25">
      <c r="M324" s="9"/>
      <c r="AJ324" t="e">
        <v>#N/A</v>
      </c>
      <c r="AK324" t="e">
        <v>#N/A</v>
      </c>
      <c r="AL324" t="e">
        <v>#N/A</v>
      </c>
      <c r="AM324" t="e">
        <v>#N/A</v>
      </c>
      <c r="AN324" t="e">
        <v>#N/A</v>
      </c>
      <c r="AQ324">
        <v>322</v>
      </c>
      <c r="AR324">
        <f t="shared" si="74"/>
        <v>9.4561290432806651</v>
      </c>
      <c r="AS324">
        <f t="shared" si="75"/>
        <v>-7.3879377039078982</v>
      </c>
    </row>
    <row r="325" spans="13:45" x14ac:dyDescent="0.25">
      <c r="M325" s="9"/>
      <c r="AJ325" t="e">
        <v>#N/A</v>
      </c>
      <c r="AK325" t="e">
        <v>#N/A</v>
      </c>
      <c r="AL325" t="e">
        <v>#N/A</v>
      </c>
      <c r="AM325" t="e">
        <v>#N/A</v>
      </c>
      <c r="AN325" t="e">
        <v>#N/A</v>
      </c>
      <c r="AQ325">
        <v>323</v>
      </c>
      <c r="AR325">
        <f t="shared" si="74"/>
        <v>9.583626120567514</v>
      </c>
      <c r="AS325">
        <f t="shared" si="75"/>
        <v>-7.2217802778245792</v>
      </c>
    </row>
    <row r="326" spans="13:45" x14ac:dyDescent="0.25">
      <c r="M326" s="9"/>
      <c r="AJ326" t="e">
        <v>#N/A</v>
      </c>
      <c r="AK326" t="e">
        <v>#N/A</v>
      </c>
      <c r="AL326" t="e">
        <v>#N/A</v>
      </c>
      <c r="AM326" t="e">
        <v>#N/A</v>
      </c>
      <c r="AN326" t="e">
        <v>#N/A</v>
      </c>
      <c r="AQ326">
        <v>324</v>
      </c>
      <c r="AR326">
        <f t="shared" si="74"/>
        <v>9.7082039324993676</v>
      </c>
      <c r="AS326">
        <f t="shared" si="75"/>
        <v>-7.0534230275096803</v>
      </c>
    </row>
    <row r="327" spans="13:45" x14ac:dyDescent="0.25">
      <c r="M327" s="9"/>
      <c r="AJ327" t="e">
        <v>#N/A</v>
      </c>
      <c r="AK327" t="e">
        <v>#N/A</v>
      </c>
      <c r="AL327" t="e">
        <v>#N/A</v>
      </c>
      <c r="AM327" t="e">
        <v>#N/A</v>
      </c>
      <c r="AN327" t="e">
        <v>#N/A</v>
      </c>
      <c r="AQ327">
        <v>325</v>
      </c>
      <c r="AR327">
        <f t="shared" si="74"/>
        <v>9.8298245314678994</v>
      </c>
      <c r="AS327">
        <f t="shared" si="75"/>
        <v>-6.8829172362125579</v>
      </c>
    </row>
    <row r="328" spans="13:45" x14ac:dyDescent="0.25">
      <c r="M328" s="9"/>
      <c r="AJ328" t="e">
        <v>#N/A</v>
      </c>
      <c r="AK328" t="e">
        <v>#N/A</v>
      </c>
      <c r="AL328" t="e">
        <v>#N/A</v>
      </c>
      <c r="AM328" t="e">
        <v>#N/A</v>
      </c>
      <c r="AN328" t="e">
        <v>#N/A</v>
      </c>
      <c r="AQ328">
        <v>326</v>
      </c>
      <c r="AR328">
        <f t="shared" si="74"/>
        <v>9.9484508706605013</v>
      </c>
      <c r="AS328">
        <f t="shared" si="75"/>
        <v>-6.7103148416489589</v>
      </c>
    </row>
    <row r="329" spans="13:45" x14ac:dyDescent="0.25">
      <c r="M329" s="9"/>
      <c r="AJ329" t="e">
        <v>#N/A</v>
      </c>
      <c r="AK329" t="e">
        <v>#N/A</v>
      </c>
      <c r="AL329" t="e">
        <v>#N/A</v>
      </c>
      <c r="AM329" t="e">
        <v>#N/A</v>
      </c>
      <c r="AN329" t="e">
        <v>#N/A</v>
      </c>
      <c r="AQ329">
        <v>327</v>
      </c>
      <c r="AR329">
        <f t="shared" si="74"/>
        <v>10.064046815345089</v>
      </c>
      <c r="AS329">
        <f t="shared" si="75"/>
        <v>-6.5356684201803237</v>
      </c>
    </row>
    <row r="330" spans="13:45" x14ac:dyDescent="0.25">
      <c r="M330" s="9"/>
      <c r="AJ330" t="e">
        <v>#N/A</v>
      </c>
      <c r="AK330" t="e">
        <v>#N/A</v>
      </c>
      <c r="AL330" t="e">
        <v>#N/A</v>
      </c>
      <c r="AM330" t="e">
        <v>#N/A</v>
      </c>
      <c r="AN330" t="e">
        <v>#N/A</v>
      </c>
      <c r="AQ330">
        <v>328</v>
      </c>
      <c r="AR330">
        <f t="shared" si="74"/>
        <v>10.176577153877112</v>
      </c>
      <c r="AS330">
        <f t="shared" si="75"/>
        <v>-6.3590311707984597</v>
      </c>
    </row>
    <row r="331" spans="13:45" x14ac:dyDescent="0.25">
      <c r="M331" s="9"/>
      <c r="AJ331" t="e">
        <v>#N/A</v>
      </c>
      <c r="AK331" t="e">
        <v>#N/A</v>
      </c>
      <c r="AL331" t="e">
        <v>#N/A</v>
      </c>
      <c r="AM331" t="e">
        <v>#N/A</v>
      </c>
      <c r="AN331" t="e">
        <v>#N/A</v>
      </c>
      <c r="AQ331">
        <v>329</v>
      </c>
      <c r="AR331">
        <f t="shared" si="74"/>
        <v>10.286007608425345</v>
      </c>
      <c r="AS331">
        <f t="shared" si="75"/>
        <v>-6.1804568989206539</v>
      </c>
    </row>
    <row r="332" spans="13:45" x14ac:dyDescent="0.25">
      <c r="M332" s="9"/>
      <c r="AJ332" t="e">
        <v>#N/A</v>
      </c>
      <c r="AK332" t="e">
        <v>#N/A</v>
      </c>
      <c r="AL332" t="e">
        <v>#N/A</v>
      </c>
      <c r="AM332" t="e">
        <v>#N/A</v>
      </c>
      <c r="AN332" t="e">
        <v>#N/A</v>
      </c>
      <c r="AQ332">
        <v>330</v>
      </c>
      <c r="AR332">
        <f t="shared" si="74"/>
        <v>10.39230484541326</v>
      </c>
      <c r="AS332">
        <f t="shared" si="75"/>
        <v>-6.0000000000000053</v>
      </c>
    </row>
    <row r="333" spans="13:45" x14ac:dyDescent="0.25">
      <c r="M333" s="9"/>
      <c r="AJ333" t="e">
        <v>#N/A</v>
      </c>
      <c r="AK333" t="e">
        <v>#N/A</v>
      </c>
      <c r="AL333" t="e">
        <v>#N/A</v>
      </c>
      <c r="AM333" t="e">
        <v>#N/A</v>
      </c>
      <c r="AN333" t="e">
        <v>#N/A</v>
      </c>
      <c r="AQ333">
        <v>331</v>
      </c>
      <c r="AR333">
        <f t="shared" si="74"/>
        <v>10.49543648567275</v>
      </c>
      <c r="AS333">
        <f t="shared" si="75"/>
        <v>-5.8177154429560431</v>
      </c>
    </row>
    <row r="334" spans="13:45" x14ac:dyDescent="0.25">
      <c r="M334" s="9"/>
      <c r="AJ334" t="e">
        <v>#N/A</v>
      </c>
      <c r="AK334" t="e">
        <v>#N/A</v>
      </c>
      <c r="AL334" t="e">
        <v>#N/A</v>
      </c>
      <c r="AM334" t="e">
        <v>#N/A</v>
      </c>
      <c r="AN334" t="e">
        <v>#N/A</v>
      </c>
      <c r="AQ334">
        <v>332</v>
      </c>
      <c r="AR334">
        <f t="shared" si="74"/>
        <v>10.595371114307122</v>
      </c>
      <c r="AS334">
        <f t="shared" si="75"/>
        <v>-5.6336587534306899</v>
      </c>
    </row>
    <row r="335" spans="13:45" x14ac:dyDescent="0.25">
      <c r="M335" s="9"/>
      <c r="AJ335" t="e">
        <v>#N/A</v>
      </c>
      <c r="AK335" t="e">
        <v>#N/A</v>
      </c>
      <c r="AL335" t="e">
        <v>#N/A</v>
      </c>
      <c r="AM335" t="e">
        <v>#N/A</v>
      </c>
      <c r="AN335" t="e">
        <v>#N/A</v>
      </c>
      <c r="AQ335">
        <v>333</v>
      </c>
      <c r="AR335">
        <f t="shared" si="74"/>
        <v>10.692078290260413</v>
      </c>
      <c r="AS335">
        <f t="shared" si="75"/>
        <v>-5.4478859968745637</v>
      </c>
    </row>
    <row r="336" spans="13:45" x14ac:dyDescent="0.25">
      <c r="M336" s="9"/>
      <c r="AJ336" t="e">
        <v>#N/A</v>
      </c>
      <c r="AK336" t="e">
        <v>#N/A</v>
      </c>
      <c r="AL336" t="e">
        <v>#N/A</v>
      </c>
      <c r="AM336" t="e">
        <v>#N/A</v>
      </c>
      <c r="AN336" t="e">
        <v>#N/A</v>
      </c>
      <c r="AQ336">
        <v>334</v>
      </c>
      <c r="AR336">
        <f t="shared" si="74"/>
        <v>10.785528555590002</v>
      </c>
      <c r="AS336">
        <f t="shared" si="75"/>
        <v>-5.2604537614689333</v>
      </c>
    </row>
    <row r="337" spans="13:45" x14ac:dyDescent="0.25">
      <c r="M337" s="9"/>
      <c r="AJ337" t="e">
        <v>#N/A</v>
      </c>
      <c r="AK337" t="e">
        <v>#N/A</v>
      </c>
      <c r="AL337" t="e">
        <v>#N/A</v>
      </c>
      <c r="AM337" t="e">
        <v>#N/A</v>
      </c>
      <c r="AN337" t="e">
        <v>#N/A</v>
      </c>
      <c r="AQ337">
        <v>335</v>
      </c>
      <c r="AR337">
        <f t="shared" si="74"/>
        <v>10.875693444439801</v>
      </c>
      <c r="AS337">
        <f t="shared" si="75"/>
        <v>-5.0714191408883904</v>
      </c>
    </row>
    <row r="338" spans="13:45" x14ac:dyDescent="0.25">
      <c r="M338" s="9"/>
      <c r="AJ338" t="e">
        <v>#N/A</v>
      </c>
      <c r="AK338" t="e">
        <v>#N/A</v>
      </c>
      <c r="AL338" t="e">
        <v>#N/A</v>
      </c>
      <c r="AM338" t="e">
        <v>#N/A</v>
      </c>
      <c r="AN338" t="e">
        <v>#N/A</v>
      </c>
      <c r="AQ338">
        <v>336</v>
      </c>
      <c r="AR338">
        <f t="shared" si="74"/>
        <v>10.962545491711211</v>
      </c>
      <c r="AS338">
        <f t="shared" si="75"/>
        <v>-4.8808397169096018</v>
      </c>
    </row>
    <row r="339" spans="13:45" x14ac:dyDescent="0.25">
      <c r="M339" s="9"/>
      <c r="AJ339" t="e">
        <v>#N/A</v>
      </c>
      <c r="AK339" t="e">
        <v>#N/A</v>
      </c>
      <c r="AL339" t="e">
        <v>#N/A</v>
      </c>
      <c r="AM339" t="e">
        <v>#N/A</v>
      </c>
      <c r="AN339" t="e">
        <v>#N/A</v>
      </c>
      <c r="AQ339">
        <v>337</v>
      </c>
      <c r="AR339">
        <f t="shared" si="74"/>
        <v>11.046058241429282</v>
      </c>
      <c r="AS339">
        <f t="shared" si="75"/>
        <v>-4.6887735418712868</v>
      </c>
    </row>
    <row r="340" spans="13:45" x14ac:dyDescent="0.25">
      <c r="M340" s="9"/>
      <c r="AJ340" t="e">
        <v>#N/A</v>
      </c>
      <c r="AK340" t="e">
        <v>#N/A</v>
      </c>
      <c r="AL340" t="e">
        <v>#N/A</v>
      </c>
      <c r="AM340" t="e">
        <v>#N/A</v>
      </c>
      <c r="AN340" t="e">
        <v>#N/A</v>
      </c>
      <c r="AQ340">
        <v>338</v>
      </c>
      <c r="AR340">
        <f t="shared" si="74"/>
        <v>11.126206254801447</v>
      </c>
      <c r="AS340">
        <f t="shared" si="75"/>
        <v>-4.495279120990948</v>
      </c>
    </row>
    <row r="341" spans="13:45" x14ac:dyDescent="0.25">
      <c r="M341" s="9"/>
      <c r="AJ341" t="e">
        <v>#N/A</v>
      </c>
      <c r="AK341" t="e">
        <v>#N/A</v>
      </c>
      <c r="AL341" t="e">
        <v>#N/A</v>
      </c>
      <c r="AM341" t="e">
        <v>#N/A</v>
      </c>
      <c r="AN341" t="e">
        <v>#N/A</v>
      </c>
      <c r="AQ341">
        <v>339</v>
      </c>
      <c r="AR341">
        <f t="shared" si="74"/>
        <v>11.202965117966418</v>
      </c>
      <c r="AS341">
        <f t="shared" si="75"/>
        <v>-4.3004153945436094</v>
      </c>
    </row>
    <row r="342" spans="13:45" x14ac:dyDescent="0.25">
      <c r="M342" s="9"/>
      <c r="AJ342" t="e">
        <v>#N/A</v>
      </c>
      <c r="AK342" t="e">
        <v>#N/A</v>
      </c>
      <c r="AL342" t="e">
        <v>#N/A</v>
      </c>
      <c r="AM342" t="e">
        <v>#N/A</v>
      </c>
      <c r="AN342" t="e">
        <v>#N/A</v>
      </c>
      <c r="AQ342">
        <v>340</v>
      </c>
      <c r="AR342">
        <f t="shared" si="74"/>
        <v>11.276311449430901</v>
      </c>
      <c r="AS342">
        <f t="shared" si="75"/>
        <v>-4.104241719908023</v>
      </c>
    </row>
    <row r="343" spans="13:45" x14ac:dyDescent="0.25">
      <c r="M343" s="9"/>
      <c r="AJ343" t="e">
        <v>#N/A</v>
      </c>
      <c r="AK343" t="e">
        <v>#N/A</v>
      </c>
      <c r="AL343" t="e">
        <v>#N/A</v>
      </c>
      <c r="AM343" t="e">
        <v>#N/A</v>
      </c>
      <c r="AN343" t="e">
        <v>#N/A</v>
      </c>
      <c r="AQ343">
        <v>341</v>
      </c>
      <c r="AR343">
        <f t="shared" si="74"/>
        <v>11.346222907191802</v>
      </c>
      <c r="AS343">
        <f t="shared" si="75"/>
        <v>-3.9068178534858804</v>
      </c>
    </row>
    <row r="344" spans="13:45" x14ac:dyDescent="0.25">
      <c r="M344" s="9"/>
      <c r="AJ344" t="e">
        <v>#N/A</v>
      </c>
      <c r="AK344" t="e">
        <v>#N/A</v>
      </c>
      <c r="AL344" t="e">
        <v>#N/A</v>
      </c>
      <c r="AM344" t="e">
        <v>#N/A</v>
      </c>
      <c r="AN344" t="e">
        <v>#N/A</v>
      </c>
      <c r="AQ344">
        <v>342</v>
      </c>
      <c r="AR344">
        <f t="shared" si="74"/>
        <v>11.412678195541842</v>
      </c>
      <c r="AS344">
        <f t="shared" si="75"/>
        <v>-3.7082039324993712</v>
      </c>
    </row>
    <row r="345" spans="13:45" x14ac:dyDescent="0.25">
      <c r="M345" s="9"/>
      <c r="AJ345" t="e">
        <v>#N/A</v>
      </c>
      <c r="AK345" t="e">
        <v>#N/A</v>
      </c>
      <c r="AL345" t="e">
        <v>#N/A</v>
      </c>
      <c r="AM345" t="e">
        <v>#N/A</v>
      </c>
      <c r="AN345" t="e">
        <v>#N/A</v>
      </c>
      <c r="AQ345">
        <v>343</v>
      </c>
      <c r="AR345">
        <f t="shared" si="74"/>
        <v>11.475657071556423</v>
      </c>
      <c r="AS345">
        <f t="shared" si="75"/>
        <v>-3.5084604566728457</v>
      </c>
    </row>
    <row r="346" spans="13:45" x14ac:dyDescent="0.25">
      <c r="M346" s="9"/>
      <c r="AJ346" t="e">
        <v>#N/A</v>
      </c>
      <c r="AK346" t="e">
        <v>#N/A</v>
      </c>
      <c r="AL346" t="e">
        <v>#N/A</v>
      </c>
      <c r="AM346" t="e">
        <v>#N/A</v>
      </c>
      <c r="AN346" t="e">
        <v>#N/A</v>
      </c>
      <c r="AQ346">
        <v>344</v>
      </c>
      <c r="AR346">
        <f t="shared" si="74"/>
        <v>11.535140351259827</v>
      </c>
      <c r="AS346">
        <f t="shared" si="75"/>
        <v>-3.3076482698039875</v>
      </c>
    </row>
    <row r="347" spans="13:45" x14ac:dyDescent="0.25">
      <c r="M347" s="9"/>
      <c r="AJ347" t="e">
        <v>#N/A</v>
      </c>
      <c r="AK347" t="e">
        <v>#N/A</v>
      </c>
      <c r="AL347" t="e">
        <v>#N/A</v>
      </c>
      <c r="AM347" t="e">
        <v>#N/A</v>
      </c>
      <c r="AN347" t="e">
        <v>#N/A</v>
      </c>
      <c r="AQ347">
        <v>345</v>
      </c>
      <c r="AR347">
        <f t="shared" si="74"/>
        <v>11.59110991546882</v>
      </c>
      <c r="AS347">
        <f t="shared" si="75"/>
        <v>-3.105828541230248</v>
      </c>
    </row>
    <row r="348" spans="13:45" x14ac:dyDescent="0.25">
      <c r="M348" s="9"/>
      <c r="AJ348" t="e">
        <v>#N/A</v>
      </c>
      <c r="AK348" t="e">
        <v>#N/A</v>
      </c>
      <c r="AL348" t="e">
        <v>#N/A</v>
      </c>
      <c r="AM348" t="e">
        <v>#N/A</v>
      </c>
      <c r="AN348" t="e">
        <v>#N/A</v>
      </c>
      <c r="AQ348">
        <v>346</v>
      </c>
      <c r="AR348">
        <f t="shared" si="74"/>
        <v>11.643548715311958</v>
      </c>
      <c r="AS348">
        <f t="shared" si="75"/>
        <v>-2.9030627471960146</v>
      </c>
    </row>
    <row r="349" spans="13:45" x14ac:dyDescent="0.25">
      <c r="M349" s="9"/>
      <c r="AJ349" t="e">
        <v>#N/A</v>
      </c>
      <c r="AK349" t="e">
        <v>#N/A</v>
      </c>
      <c r="AL349" t="e">
        <v>#N/A</v>
      </c>
      <c r="AM349" t="e">
        <v>#N/A</v>
      </c>
      <c r="AN349" t="e">
        <v>#N/A</v>
      </c>
      <c r="AQ349">
        <v>347</v>
      </c>
      <c r="AR349">
        <f t="shared" si="74"/>
        <v>11.692440777422821</v>
      </c>
      <c r="AS349">
        <f t="shared" si="75"/>
        <v>-2.6994126521263841</v>
      </c>
    </row>
    <row r="350" spans="13:45" x14ac:dyDescent="0.25">
      <c r="M350" s="9"/>
      <c r="AJ350" t="e">
        <v>#N/A</v>
      </c>
      <c r="AK350" t="e">
        <v>#N/A</v>
      </c>
      <c r="AL350" t="e">
        <v>#N/A</v>
      </c>
      <c r="AM350" t="e">
        <v>#N/A</v>
      </c>
      <c r="AN350" t="e">
        <v>#N/A</v>
      </c>
      <c r="AQ350">
        <v>348</v>
      </c>
      <c r="AR350">
        <f t="shared" si="74"/>
        <v>11.737771208805666</v>
      </c>
      <c r="AS350">
        <f t="shared" si="75"/>
        <v>-2.4949402898131186</v>
      </c>
    </row>
    <row r="351" spans="13:45" x14ac:dyDescent="0.25">
      <c r="M351" s="9"/>
      <c r="AJ351" t="e">
        <v>#N/A</v>
      </c>
      <c r="AK351" t="e">
        <v>#N/A</v>
      </c>
      <c r="AL351" t="e">
        <v>#N/A</v>
      </c>
      <c r="AM351" t="e">
        <v>#N/A</v>
      </c>
      <c r="AN351" t="e">
        <v>#N/A</v>
      </c>
      <c r="AQ351">
        <v>349</v>
      </c>
      <c r="AR351">
        <f t="shared" si="74"/>
        <v>11.779526201371969</v>
      </c>
      <c r="AS351">
        <f t="shared" si="75"/>
        <v>-2.2897079445185362</v>
      </c>
    </row>
    <row r="352" spans="13:45" x14ac:dyDescent="0.25">
      <c r="M352" s="9"/>
      <c r="AJ352" t="e">
        <v>#N/A</v>
      </c>
      <c r="AK352" t="e">
        <v>#N/A</v>
      </c>
      <c r="AL352" t="e">
        <v>#N/A</v>
      </c>
      <c r="AM352" t="e">
        <v>#N/A</v>
      </c>
      <c r="AN352" t="e">
        <v>#N/A</v>
      </c>
      <c r="AQ352">
        <v>350</v>
      </c>
      <c r="AR352">
        <f t="shared" si="74"/>
        <v>11.817693036146496</v>
      </c>
      <c r="AS352">
        <f t="shared" si="75"/>
        <v>-2.0837781320031645</v>
      </c>
    </row>
    <row r="353" spans="13:45" x14ac:dyDescent="0.25">
      <c r="M353" s="9"/>
      <c r="AJ353" t="e">
        <v>#N/A</v>
      </c>
      <c r="AK353" t="e">
        <v>#N/A</v>
      </c>
      <c r="AL353" t="e">
        <v>#N/A</v>
      </c>
      <c r="AM353" t="e">
        <v>#N/A</v>
      </c>
      <c r="AN353" t="e">
        <v>#N/A</v>
      </c>
      <c r="AQ353">
        <v>351</v>
      </c>
      <c r="AR353">
        <f t="shared" si="74"/>
        <v>11.852260087141651</v>
      </c>
      <c r="AS353">
        <f t="shared" si="75"/>
        <v>-1.8772135804827734</v>
      </c>
    </row>
    <row r="354" spans="13:45" x14ac:dyDescent="0.25">
      <c r="M354" s="9"/>
      <c r="AJ354" t="e">
        <v>#N/A</v>
      </c>
      <c r="AK354" t="e">
        <v>#N/A</v>
      </c>
      <c r="AL354" t="e">
        <v>#N/A</v>
      </c>
      <c r="AM354" t="e">
        <v>#N/A</v>
      </c>
      <c r="AN354" t="e">
        <v>#N/A</v>
      </c>
      <c r="AQ354">
        <v>352</v>
      </c>
      <c r="AR354">
        <f t="shared" si="74"/>
        <v>11.883216824898843</v>
      </c>
      <c r="AS354">
        <f t="shared" si="75"/>
        <v>-1.6700772115207907</v>
      </c>
    </row>
    <row r="355" spans="13:45" x14ac:dyDescent="0.25">
      <c r="M355" s="9"/>
      <c r="AJ355" t="e">
        <v>#N/A</v>
      </c>
      <c r="AK355" t="e">
        <v>#N/A</v>
      </c>
      <c r="AL355" t="e">
        <v>#N/A</v>
      </c>
      <c r="AM355" t="e">
        <v>#N/A</v>
      </c>
      <c r="AN355" t="e">
        <v>#N/A</v>
      </c>
      <c r="AQ355">
        <v>353</v>
      </c>
      <c r="AR355">
        <f t="shared" si="74"/>
        <v>11.910553819695865</v>
      </c>
      <c r="AS355">
        <f t="shared" si="75"/>
        <v>-1.4624321208617668</v>
      </c>
    </row>
    <row r="356" spans="13:45" x14ac:dyDescent="0.25">
      <c r="M356" s="9"/>
      <c r="AJ356" t="e">
        <v>#N/A</v>
      </c>
      <c r="AK356" t="e">
        <v>#N/A</v>
      </c>
      <c r="AL356" t="e">
        <v>#N/A</v>
      </c>
      <c r="AM356" t="e">
        <v>#N/A</v>
      </c>
      <c r="AN356" t="e">
        <v>#N/A</v>
      </c>
      <c r="AQ356">
        <v>354</v>
      </c>
      <c r="AR356">
        <f t="shared" si="74"/>
        <v>11.934262744419279</v>
      </c>
      <c r="AS356">
        <f t="shared" si="75"/>
        <v>-1.254341559211841</v>
      </c>
    </row>
    <row r="357" spans="13:45" x14ac:dyDescent="0.25">
      <c r="M357" s="9"/>
      <c r="AJ357" t="e">
        <v>#N/A</v>
      </c>
      <c r="AK357" t="e">
        <v>#N/A</v>
      </c>
      <c r="AL357" t="e">
        <v>#N/A</v>
      </c>
      <c r="AM357" t="e">
        <v>#N/A</v>
      </c>
      <c r="AN357" t="e">
        <v>#N/A</v>
      </c>
      <c r="AQ357">
        <v>355</v>
      </c>
      <c r="AR357">
        <f t="shared" si="74"/>
        <v>11.954336377100947</v>
      </c>
      <c r="AS357">
        <f t="shared" si="75"/>
        <v>-1.0458689129718999</v>
      </c>
    </row>
    <row r="358" spans="13:45" x14ac:dyDescent="0.25">
      <c r="M358" s="9"/>
      <c r="AJ358" t="e">
        <v>#N/A</v>
      </c>
      <c r="AK358" t="e">
        <v>#N/A</v>
      </c>
      <c r="AL358" t="e">
        <v>#N/A</v>
      </c>
      <c r="AM358" t="e">
        <v>#N/A</v>
      </c>
      <c r="AN358" t="e">
        <v>#N/A</v>
      </c>
      <c r="AQ358">
        <v>356</v>
      </c>
      <c r="AR358">
        <f t="shared" si="74"/>
        <v>11.970768603117889</v>
      </c>
      <c r="AS358">
        <f t="shared" si="75"/>
        <v>-0.83707768492950763</v>
      </c>
    </row>
    <row r="359" spans="13:45" x14ac:dyDescent="0.25">
      <c r="M359" s="9"/>
      <c r="AJ359" t="e">
        <v>#N/A</v>
      </c>
      <c r="AK359" t="e">
        <v>#N/A</v>
      </c>
      <c r="AL359" t="e">
        <v>#N/A</v>
      </c>
      <c r="AM359" t="e">
        <v>#N/A</v>
      </c>
      <c r="AN359" t="e">
        <v>#N/A</v>
      </c>
      <c r="AQ359">
        <v>357</v>
      </c>
      <c r="AR359">
        <f t="shared" si="74"/>
        <v>11.983554417054886</v>
      </c>
      <c r="AS359">
        <f t="shared" si="75"/>
        <v>-0.6280314749153324</v>
      </c>
    </row>
    <row r="360" spans="13:45" x14ac:dyDescent="0.25">
      <c r="M360" s="9"/>
      <c r="AJ360" t="e">
        <v>#N/A</v>
      </c>
      <c r="AK360" t="e">
        <v>#N/A</v>
      </c>
      <c r="AL360" t="e">
        <v>#N/A</v>
      </c>
      <c r="AM360" t="e">
        <v>#N/A</v>
      </c>
      <c r="AN360" t="e">
        <v>#N/A</v>
      </c>
      <c r="AQ360">
        <v>358</v>
      </c>
      <c r="AR360">
        <f t="shared" si="74"/>
        <v>11.992689924229149</v>
      </c>
      <c r="AS360">
        <f t="shared" si="75"/>
        <v>-0.41879396043000988</v>
      </c>
    </row>
    <row r="361" spans="13:45" x14ac:dyDescent="0.25">
      <c r="M361" s="9"/>
      <c r="AJ361" t="e">
        <v>#N/A</v>
      </c>
      <c r="AK361" t="e">
        <v>#N/A</v>
      </c>
      <c r="AL361" t="e">
        <v>#N/A</v>
      </c>
      <c r="AM361" t="e">
        <v>#N/A</v>
      </c>
      <c r="AN361" t="e">
        <v>#N/A</v>
      </c>
      <c r="AQ361">
        <v>359</v>
      </c>
      <c r="AR361">
        <f t="shared" si="74"/>
        <v>11.998172341876696</v>
      </c>
      <c r="AS361">
        <f t="shared" si="75"/>
        <v>-0.20942887724740272</v>
      </c>
    </row>
    <row r="362" spans="13:45" x14ac:dyDescent="0.25">
      <c r="M362" s="9"/>
      <c r="AJ362" t="e">
        <v>#N/A</v>
      </c>
      <c r="AK362" t="e">
        <v>#N/A</v>
      </c>
      <c r="AL362" t="e">
        <v>#N/A</v>
      </c>
      <c r="AM362" t="e">
        <v>#N/A</v>
      </c>
      <c r="AN362" t="e">
        <v>#N/A</v>
      </c>
      <c r="AQ362">
        <v>360</v>
      </c>
      <c r="AR362">
        <f t="shared" si="74"/>
        <v>12</v>
      </c>
      <c r="AS362">
        <f t="shared" si="75"/>
        <v>-2.940356291780688E-15</v>
      </c>
    </row>
  </sheetData>
  <dataValidations count="6">
    <dataValidation type="list" allowBlank="1" showInputMessage="1" showErrorMessage="1" sqref="B4" xr:uid="{5D5B2F67-CFB4-4B1C-988B-A121E5974B75}">
      <formula1>"Density, Simple"</formula1>
    </dataValidation>
    <dataValidation type="list" allowBlank="1" showInputMessage="1" showErrorMessage="1" sqref="B37:B108" xr:uid="{B5B79F87-2FDB-4F67-9AEB-B2240EE4442D}">
      <formula1>$Q$36:$Q$47</formula1>
    </dataValidation>
    <dataValidation type="list" allowBlank="1" showInputMessage="1" showErrorMessage="1" sqref="AA2" xr:uid="{EE2138F9-5CC7-4C51-B972-1E376F0AA54A}">
      <formula1>"6,8,12,24,36,72,180,360"</formula1>
    </dataValidation>
    <dataValidation type="list" allowBlank="1" showInputMessage="1" showErrorMessage="1" sqref="B31" xr:uid="{B45BC23B-3F52-47D7-B11B-30748310E385}">
      <formula1>$A$37:$A$108</formula1>
    </dataValidation>
    <dataValidation type="list" allowBlank="1" showInputMessage="1" showErrorMessage="1" sqref="B2" xr:uid="{45924ED4-95FF-49A4-BC50-1B5A96B63671}">
      <formula1>"Whitney, PCA_Parabolic"</formula1>
    </dataValidation>
    <dataValidation type="list" allowBlank="1" showInputMessage="1" showErrorMessage="1" sqref="B1" xr:uid="{D0ECC5DB-334B-43A1-9C74-9F6B0A934D82}">
      <formula1>"Spiral,Other"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rent_na">
                <anchor moveWithCells="1" sizeWithCells="1">
                  <from>
                    <xdr:col>4</xdr:col>
                    <xdr:colOff>228600</xdr:colOff>
                    <xdr:row>3</xdr:row>
                    <xdr:rowOff>28575</xdr:rowOff>
                  </from>
                  <to>
                    <xdr:col>6</xdr:col>
                    <xdr:colOff>390525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mx_my">
                <anchor moveWithCells="1" sizeWithCells="1">
                  <from>
                    <xdr:col>28</xdr:col>
                    <xdr:colOff>142875</xdr:colOff>
                    <xdr:row>0</xdr:row>
                    <xdr:rowOff>85725</xdr:rowOff>
                  </from>
                  <to>
                    <xdr:col>30</xdr:col>
                    <xdr:colOff>533400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p_m_bare">
                <anchor moveWithCells="1" sizeWithCells="1">
                  <from>
                    <xdr:col>31</xdr:col>
                    <xdr:colOff>123825</xdr:colOff>
                    <xdr:row>0</xdr:row>
                    <xdr:rowOff>85725</xdr:rowOff>
                  </from>
                  <to>
                    <xdr:col>33</xdr:col>
                    <xdr:colOff>523875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Button 11">
              <controlPr defaultSize="0" print="0" autoFill="0" autoPict="0" macro="[0]!p_m_curve_plusminus">
                <anchor moveWithCells="1" sizeWithCells="1">
                  <from>
                    <xdr:col>32</xdr:col>
                    <xdr:colOff>95250</xdr:colOff>
                    <xdr:row>4</xdr:row>
                    <xdr:rowOff>190500</xdr:rowOff>
                  </from>
                  <to>
                    <xdr:col>34</xdr:col>
                    <xdr:colOff>504825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4</vt:i4>
      </vt:variant>
    </vt:vector>
  </HeadingPairs>
  <TitlesOfParts>
    <vt:vector size="5" baseType="lpstr">
      <vt:lpstr>circle_section</vt:lpstr>
      <vt:lpstr>Mx_vs_My</vt:lpstr>
      <vt:lpstr>P_M_Curve_Load_Side</vt:lpstr>
      <vt:lpstr>P_M_Curve_Full</vt:lpstr>
      <vt:lpstr>P_M_Curve (Whitney vs PCA)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Donald Bockoven III</dc:creator>
  <cp:lastModifiedBy>Donald Bockoven III</cp:lastModifiedBy>
  <dcterms:created xsi:type="dcterms:W3CDTF">2020-11-26T06:42:33Z</dcterms:created>
  <dcterms:modified xsi:type="dcterms:W3CDTF">2020-12-07T01:59:37Z</dcterms:modified>
</cp:coreProperties>
</file>