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7C63BD67-ADF2-4D77-9B9A-95954CD46929}" xr6:coauthVersionLast="45" xr6:coauthVersionMax="45" xr10:uidLastSave="{00000000-0000-0000-0000-000000000000}"/>
  <bookViews>
    <workbookView xWindow="240" yWindow="90" windowWidth="25170" windowHeight="16815" xr2:uid="{95B8903A-7944-4A5B-B8CD-C02474F51CAC}"/>
  </bookViews>
  <sheets>
    <sheet name="circle_sec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" l="1"/>
  <c r="E33" i="1"/>
  <c r="J13" i="1"/>
  <c r="J12" i="1"/>
  <c r="L13" i="1" s="1"/>
  <c r="L11" i="1"/>
  <c r="L10" i="1"/>
  <c r="L9" i="1"/>
  <c r="L5" i="1"/>
  <c r="L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C38" i="1"/>
  <c r="G38" i="1" s="1"/>
  <c r="C39" i="1"/>
  <c r="G39" i="1" s="1"/>
  <c r="C40" i="1"/>
  <c r="G40" i="1" s="1"/>
  <c r="C41" i="1"/>
  <c r="H41" i="1" s="1"/>
  <c r="C42" i="1"/>
  <c r="G42" i="1" s="1"/>
  <c r="C43" i="1"/>
  <c r="G43" i="1" s="1"/>
  <c r="C44" i="1"/>
  <c r="G44" i="1" s="1"/>
  <c r="C45" i="1"/>
  <c r="H45" i="1" s="1"/>
  <c r="C46" i="1"/>
  <c r="G46" i="1" s="1"/>
  <c r="C47" i="1"/>
  <c r="G47" i="1" s="1"/>
  <c r="C48" i="1"/>
  <c r="G48" i="1" s="1"/>
  <c r="C49" i="1"/>
  <c r="H49" i="1" s="1"/>
  <c r="C50" i="1"/>
  <c r="G50" i="1" s="1"/>
  <c r="C51" i="1"/>
  <c r="G51" i="1" s="1"/>
  <c r="C52" i="1"/>
  <c r="G52" i="1" s="1"/>
  <c r="C53" i="1"/>
  <c r="H53" i="1" s="1"/>
  <c r="C54" i="1"/>
  <c r="G54" i="1" s="1"/>
  <c r="C55" i="1"/>
  <c r="G55" i="1" s="1"/>
  <c r="C56" i="1"/>
  <c r="G56" i="1" s="1"/>
  <c r="C57" i="1"/>
  <c r="H57" i="1" s="1"/>
  <c r="C58" i="1"/>
  <c r="G58" i="1" s="1"/>
  <c r="C59" i="1"/>
  <c r="G59" i="1" s="1"/>
  <c r="C60" i="1"/>
  <c r="G60" i="1" s="1"/>
  <c r="C61" i="1"/>
  <c r="H61" i="1" s="1"/>
  <c r="C62" i="1"/>
  <c r="G62" i="1" s="1"/>
  <c r="C63" i="1"/>
  <c r="G63" i="1" s="1"/>
  <c r="C64" i="1"/>
  <c r="G64" i="1" s="1"/>
  <c r="C65" i="1"/>
  <c r="H65" i="1" s="1"/>
  <c r="C66" i="1"/>
  <c r="G66" i="1" s="1"/>
  <c r="C67" i="1"/>
  <c r="G67" i="1" s="1"/>
  <c r="C68" i="1"/>
  <c r="G68" i="1" s="1"/>
  <c r="C69" i="1"/>
  <c r="H69" i="1" s="1"/>
  <c r="C70" i="1"/>
  <c r="G70" i="1" s="1"/>
  <c r="C71" i="1"/>
  <c r="G71" i="1" s="1"/>
  <c r="C72" i="1"/>
  <c r="G72" i="1" s="1"/>
  <c r="C73" i="1"/>
  <c r="H73" i="1" s="1"/>
  <c r="C74" i="1"/>
  <c r="G74" i="1" s="1"/>
  <c r="C75" i="1"/>
  <c r="G75" i="1" s="1"/>
  <c r="C76" i="1"/>
  <c r="G76" i="1" s="1"/>
  <c r="C77" i="1"/>
  <c r="H77" i="1" s="1"/>
  <c r="C78" i="1"/>
  <c r="G78" i="1" s="1"/>
  <c r="C79" i="1"/>
  <c r="G79" i="1" s="1"/>
  <c r="C80" i="1"/>
  <c r="G80" i="1" s="1"/>
  <c r="C81" i="1"/>
  <c r="H81" i="1" s="1"/>
  <c r="C82" i="1"/>
  <c r="G82" i="1" s="1"/>
  <c r="C83" i="1"/>
  <c r="G83" i="1" s="1"/>
  <c r="C84" i="1"/>
  <c r="G84" i="1" s="1"/>
  <c r="C85" i="1"/>
  <c r="H85" i="1" s="1"/>
  <c r="C86" i="1"/>
  <c r="G86" i="1" s="1"/>
  <c r="C87" i="1"/>
  <c r="G87" i="1" s="1"/>
  <c r="C88" i="1"/>
  <c r="G88" i="1" s="1"/>
  <c r="C89" i="1"/>
  <c r="H89" i="1" s="1"/>
  <c r="C90" i="1"/>
  <c r="G90" i="1" s="1"/>
  <c r="C91" i="1"/>
  <c r="G91" i="1" s="1"/>
  <c r="C92" i="1"/>
  <c r="G92" i="1" s="1"/>
  <c r="C93" i="1"/>
  <c r="H93" i="1" s="1"/>
  <c r="C94" i="1"/>
  <c r="G94" i="1" s="1"/>
  <c r="C95" i="1"/>
  <c r="G95" i="1" s="1"/>
  <c r="C96" i="1"/>
  <c r="G96" i="1" s="1"/>
  <c r="C97" i="1"/>
  <c r="H97" i="1" s="1"/>
  <c r="C98" i="1"/>
  <c r="G98" i="1" s="1"/>
  <c r="C99" i="1"/>
  <c r="G99" i="1" s="1"/>
  <c r="C100" i="1"/>
  <c r="G100" i="1" s="1"/>
  <c r="C101" i="1"/>
  <c r="H101" i="1" s="1"/>
  <c r="C102" i="1"/>
  <c r="G102" i="1" s="1"/>
  <c r="C103" i="1"/>
  <c r="G103" i="1" s="1"/>
  <c r="C104" i="1"/>
  <c r="G104" i="1" s="1"/>
  <c r="C105" i="1"/>
  <c r="H105" i="1" s="1"/>
  <c r="C106" i="1"/>
  <c r="G106" i="1" s="1"/>
  <c r="C107" i="1"/>
  <c r="G107" i="1" s="1"/>
  <c r="C108" i="1"/>
  <c r="G108" i="1" s="1"/>
  <c r="C37" i="1"/>
  <c r="H37" i="1" s="1"/>
  <c r="L101" i="1" l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L37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G37" i="1"/>
  <c r="L109" i="1" l="1"/>
  <c r="J2" i="1" s="1"/>
  <c r="H21" i="1" l="1"/>
  <c r="G21" i="1"/>
  <c r="U3" i="1" l="1"/>
  <c r="V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U64" i="1"/>
  <c r="V64" i="1"/>
  <c r="U65" i="1"/>
  <c r="V65" i="1"/>
  <c r="U66" i="1"/>
  <c r="V66" i="1"/>
  <c r="U67" i="1"/>
  <c r="V67" i="1"/>
  <c r="U68" i="1"/>
  <c r="V68" i="1"/>
  <c r="U69" i="1"/>
  <c r="V69" i="1"/>
  <c r="U70" i="1"/>
  <c r="V70" i="1"/>
  <c r="U71" i="1"/>
  <c r="V71" i="1"/>
  <c r="U72" i="1"/>
  <c r="V72" i="1"/>
  <c r="U73" i="1"/>
  <c r="V73" i="1"/>
  <c r="U74" i="1"/>
  <c r="V74" i="1"/>
  <c r="U75" i="1"/>
  <c r="V75" i="1"/>
  <c r="U76" i="1"/>
  <c r="V76" i="1"/>
  <c r="U77" i="1"/>
  <c r="V77" i="1"/>
  <c r="U78" i="1"/>
  <c r="V78" i="1"/>
  <c r="U79" i="1"/>
  <c r="V79" i="1"/>
  <c r="U80" i="1"/>
  <c r="V80" i="1"/>
  <c r="U81" i="1"/>
  <c r="V81" i="1"/>
  <c r="U82" i="1"/>
  <c r="V82" i="1"/>
  <c r="U83" i="1"/>
  <c r="V83" i="1"/>
  <c r="U84" i="1"/>
  <c r="V84" i="1"/>
  <c r="U85" i="1"/>
  <c r="V85" i="1"/>
  <c r="U86" i="1"/>
  <c r="V86" i="1"/>
  <c r="U87" i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U97" i="1"/>
  <c r="V97" i="1"/>
  <c r="U98" i="1"/>
  <c r="V98" i="1"/>
  <c r="U99" i="1"/>
  <c r="V99" i="1"/>
  <c r="U100" i="1"/>
  <c r="V100" i="1"/>
  <c r="U101" i="1"/>
  <c r="V101" i="1"/>
  <c r="U102" i="1"/>
  <c r="V102" i="1"/>
  <c r="U103" i="1"/>
  <c r="V103" i="1"/>
  <c r="U104" i="1"/>
  <c r="V104" i="1"/>
  <c r="U105" i="1"/>
  <c r="V105" i="1"/>
  <c r="U106" i="1"/>
  <c r="V106" i="1"/>
  <c r="U107" i="1"/>
  <c r="V107" i="1"/>
  <c r="U108" i="1"/>
  <c r="V108" i="1"/>
  <c r="U109" i="1"/>
  <c r="V109" i="1"/>
  <c r="U110" i="1"/>
  <c r="V110" i="1"/>
  <c r="U111" i="1"/>
  <c r="V111" i="1"/>
  <c r="U112" i="1"/>
  <c r="V112" i="1"/>
  <c r="U113" i="1"/>
  <c r="V113" i="1"/>
  <c r="U114" i="1"/>
  <c r="V114" i="1"/>
  <c r="U115" i="1"/>
  <c r="V115" i="1"/>
  <c r="U116" i="1"/>
  <c r="V116" i="1"/>
  <c r="U117" i="1"/>
  <c r="V117" i="1"/>
  <c r="U118" i="1"/>
  <c r="V118" i="1"/>
  <c r="U119" i="1"/>
  <c r="V119" i="1"/>
  <c r="U120" i="1"/>
  <c r="V120" i="1"/>
  <c r="U121" i="1"/>
  <c r="V121" i="1"/>
  <c r="U122" i="1"/>
  <c r="V122" i="1"/>
  <c r="U123" i="1"/>
  <c r="V123" i="1"/>
  <c r="U124" i="1"/>
  <c r="V124" i="1"/>
  <c r="U125" i="1"/>
  <c r="V125" i="1"/>
  <c r="U126" i="1"/>
  <c r="V126" i="1"/>
  <c r="U127" i="1"/>
  <c r="V127" i="1"/>
  <c r="U128" i="1"/>
  <c r="V128" i="1"/>
  <c r="U129" i="1"/>
  <c r="V129" i="1"/>
  <c r="U130" i="1"/>
  <c r="V130" i="1"/>
  <c r="U131" i="1"/>
  <c r="V131" i="1"/>
  <c r="U132" i="1"/>
  <c r="V132" i="1"/>
  <c r="U133" i="1"/>
  <c r="V133" i="1"/>
  <c r="U134" i="1"/>
  <c r="V134" i="1"/>
  <c r="U135" i="1"/>
  <c r="V135" i="1"/>
  <c r="U136" i="1"/>
  <c r="V136" i="1"/>
  <c r="U137" i="1"/>
  <c r="V137" i="1"/>
  <c r="U138" i="1"/>
  <c r="V138" i="1"/>
  <c r="U139" i="1"/>
  <c r="V139" i="1"/>
  <c r="U140" i="1"/>
  <c r="V140" i="1"/>
  <c r="U141" i="1"/>
  <c r="V141" i="1"/>
  <c r="U142" i="1"/>
  <c r="V142" i="1"/>
  <c r="U143" i="1"/>
  <c r="V143" i="1"/>
  <c r="U144" i="1"/>
  <c r="V144" i="1"/>
  <c r="U145" i="1"/>
  <c r="V145" i="1"/>
  <c r="U146" i="1"/>
  <c r="V146" i="1"/>
  <c r="U147" i="1"/>
  <c r="V147" i="1"/>
  <c r="U148" i="1"/>
  <c r="V148" i="1"/>
  <c r="U149" i="1"/>
  <c r="V149" i="1"/>
  <c r="U150" i="1"/>
  <c r="V150" i="1"/>
  <c r="U151" i="1"/>
  <c r="V151" i="1"/>
  <c r="U152" i="1"/>
  <c r="V152" i="1"/>
  <c r="U153" i="1"/>
  <c r="V153" i="1"/>
  <c r="U154" i="1"/>
  <c r="V154" i="1"/>
  <c r="U155" i="1"/>
  <c r="V155" i="1"/>
  <c r="U156" i="1"/>
  <c r="V156" i="1"/>
  <c r="U157" i="1"/>
  <c r="V157" i="1"/>
  <c r="U158" i="1"/>
  <c r="V158" i="1"/>
  <c r="U159" i="1"/>
  <c r="V159" i="1"/>
  <c r="U160" i="1"/>
  <c r="V160" i="1"/>
  <c r="U161" i="1"/>
  <c r="V161" i="1"/>
  <c r="U162" i="1"/>
  <c r="V162" i="1"/>
  <c r="U163" i="1"/>
  <c r="V163" i="1"/>
  <c r="U164" i="1"/>
  <c r="V164" i="1"/>
  <c r="U165" i="1"/>
  <c r="V165" i="1"/>
  <c r="U166" i="1"/>
  <c r="V166" i="1"/>
  <c r="U167" i="1"/>
  <c r="V167" i="1"/>
  <c r="U168" i="1"/>
  <c r="V168" i="1"/>
  <c r="U169" i="1"/>
  <c r="V169" i="1"/>
  <c r="U170" i="1"/>
  <c r="V170" i="1"/>
  <c r="U171" i="1"/>
  <c r="V171" i="1"/>
  <c r="U172" i="1"/>
  <c r="V172" i="1"/>
  <c r="U173" i="1"/>
  <c r="V173" i="1"/>
  <c r="U174" i="1"/>
  <c r="V174" i="1"/>
  <c r="U175" i="1"/>
  <c r="V175" i="1"/>
  <c r="U176" i="1"/>
  <c r="V176" i="1"/>
  <c r="U177" i="1"/>
  <c r="V177" i="1"/>
  <c r="U178" i="1"/>
  <c r="V178" i="1"/>
  <c r="U179" i="1"/>
  <c r="V179" i="1"/>
  <c r="U180" i="1"/>
  <c r="V180" i="1"/>
  <c r="U181" i="1"/>
  <c r="V181" i="1"/>
  <c r="U182" i="1"/>
  <c r="V182" i="1"/>
  <c r="U183" i="1"/>
  <c r="V183" i="1"/>
  <c r="U184" i="1"/>
  <c r="V184" i="1"/>
  <c r="U185" i="1"/>
  <c r="V185" i="1"/>
  <c r="U186" i="1"/>
  <c r="V186" i="1"/>
  <c r="U187" i="1"/>
  <c r="V187" i="1"/>
  <c r="U188" i="1"/>
  <c r="V188" i="1"/>
  <c r="U189" i="1"/>
  <c r="V189" i="1"/>
  <c r="U190" i="1"/>
  <c r="V190" i="1"/>
  <c r="U191" i="1"/>
  <c r="V191" i="1"/>
  <c r="U192" i="1"/>
  <c r="V192" i="1"/>
  <c r="U193" i="1"/>
  <c r="V193" i="1"/>
  <c r="U194" i="1"/>
  <c r="V194" i="1"/>
  <c r="U195" i="1"/>
  <c r="V195" i="1"/>
  <c r="U196" i="1"/>
  <c r="V196" i="1"/>
  <c r="U197" i="1"/>
  <c r="V197" i="1"/>
  <c r="U198" i="1"/>
  <c r="V198" i="1"/>
  <c r="U199" i="1"/>
  <c r="V199" i="1"/>
  <c r="U200" i="1"/>
  <c r="V200" i="1"/>
  <c r="U201" i="1"/>
  <c r="V201" i="1"/>
  <c r="U202" i="1"/>
  <c r="V202" i="1"/>
  <c r="U203" i="1"/>
  <c r="V203" i="1"/>
  <c r="U204" i="1"/>
  <c r="V204" i="1"/>
  <c r="U205" i="1"/>
  <c r="V205" i="1"/>
  <c r="U206" i="1"/>
  <c r="V206" i="1"/>
  <c r="U207" i="1"/>
  <c r="V207" i="1"/>
  <c r="U208" i="1"/>
  <c r="V208" i="1"/>
  <c r="U209" i="1"/>
  <c r="V209" i="1"/>
  <c r="U210" i="1"/>
  <c r="V210" i="1"/>
  <c r="U211" i="1"/>
  <c r="V211" i="1"/>
  <c r="U212" i="1"/>
  <c r="V212" i="1"/>
  <c r="U213" i="1"/>
  <c r="V213" i="1"/>
  <c r="U214" i="1"/>
  <c r="V214" i="1"/>
  <c r="U215" i="1"/>
  <c r="V215" i="1"/>
  <c r="U216" i="1"/>
  <c r="V216" i="1"/>
  <c r="U217" i="1"/>
  <c r="V217" i="1"/>
  <c r="U218" i="1"/>
  <c r="V218" i="1"/>
  <c r="U219" i="1"/>
  <c r="V219" i="1"/>
  <c r="U220" i="1"/>
  <c r="V220" i="1"/>
  <c r="U221" i="1"/>
  <c r="V221" i="1"/>
  <c r="U222" i="1"/>
  <c r="V222" i="1"/>
  <c r="U223" i="1"/>
  <c r="V223" i="1"/>
  <c r="U224" i="1"/>
  <c r="V224" i="1"/>
  <c r="U225" i="1"/>
  <c r="V225" i="1"/>
  <c r="U226" i="1"/>
  <c r="V226" i="1"/>
  <c r="U227" i="1"/>
  <c r="V227" i="1"/>
  <c r="U228" i="1"/>
  <c r="V228" i="1"/>
  <c r="U229" i="1"/>
  <c r="V229" i="1"/>
  <c r="U230" i="1"/>
  <c r="V230" i="1"/>
  <c r="U231" i="1"/>
  <c r="V231" i="1"/>
  <c r="U232" i="1"/>
  <c r="V232" i="1"/>
  <c r="U233" i="1"/>
  <c r="V233" i="1"/>
  <c r="U234" i="1"/>
  <c r="V234" i="1"/>
  <c r="U235" i="1"/>
  <c r="V235" i="1"/>
  <c r="U236" i="1"/>
  <c r="V236" i="1"/>
  <c r="U237" i="1"/>
  <c r="V237" i="1"/>
  <c r="U238" i="1"/>
  <c r="V238" i="1"/>
  <c r="U239" i="1"/>
  <c r="V239" i="1"/>
  <c r="U240" i="1"/>
  <c r="V240" i="1"/>
  <c r="U241" i="1"/>
  <c r="V241" i="1"/>
  <c r="U242" i="1"/>
  <c r="V242" i="1"/>
  <c r="U243" i="1"/>
  <c r="V243" i="1"/>
  <c r="U244" i="1"/>
  <c r="V244" i="1"/>
  <c r="U245" i="1"/>
  <c r="V245" i="1"/>
  <c r="U246" i="1"/>
  <c r="V246" i="1"/>
  <c r="U247" i="1"/>
  <c r="V247" i="1"/>
  <c r="U248" i="1"/>
  <c r="V248" i="1"/>
  <c r="U249" i="1"/>
  <c r="V249" i="1"/>
  <c r="U250" i="1"/>
  <c r="V250" i="1"/>
  <c r="U251" i="1"/>
  <c r="V251" i="1"/>
  <c r="U252" i="1"/>
  <c r="V252" i="1"/>
  <c r="U253" i="1"/>
  <c r="V253" i="1"/>
  <c r="U254" i="1"/>
  <c r="V254" i="1"/>
  <c r="U255" i="1"/>
  <c r="V255" i="1"/>
  <c r="U256" i="1"/>
  <c r="V256" i="1"/>
  <c r="U257" i="1"/>
  <c r="V257" i="1"/>
  <c r="U258" i="1"/>
  <c r="V258" i="1"/>
  <c r="U259" i="1"/>
  <c r="V259" i="1"/>
  <c r="U260" i="1"/>
  <c r="V260" i="1"/>
  <c r="U261" i="1"/>
  <c r="V261" i="1"/>
  <c r="U262" i="1"/>
  <c r="V262" i="1"/>
  <c r="U263" i="1"/>
  <c r="V263" i="1"/>
  <c r="U264" i="1"/>
  <c r="V264" i="1"/>
  <c r="U265" i="1"/>
  <c r="V265" i="1"/>
  <c r="U266" i="1"/>
  <c r="V266" i="1"/>
  <c r="U267" i="1"/>
  <c r="V267" i="1"/>
  <c r="U268" i="1"/>
  <c r="V268" i="1"/>
  <c r="U269" i="1"/>
  <c r="V269" i="1"/>
  <c r="U270" i="1"/>
  <c r="V270" i="1"/>
  <c r="U271" i="1"/>
  <c r="V271" i="1"/>
  <c r="U272" i="1"/>
  <c r="V272" i="1"/>
  <c r="U273" i="1"/>
  <c r="V273" i="1"/>
  <c r="U274" i="1"/>
  <c r="V274" i="1"/>
  <c r="U275" i="1"/>
  <c r="V275" i="1"/>
  <c r="U276" i="1"/>
  <c r="V276" i="1"/>
  <c r="U277" i="1"/>
  <c r="V277" i="1"/>
  <c r="U278" i="1"/>
  <c r="V278" i="1"/>
  <c r="U279" i="1"/>
  <c r="V279" i="1"/>
  <c r="U280" i="1"/>
  <c r="V280" i="1"/>
  <c r="U281" i="1"/>
  <c r="V281" i="1"/>
  <c r="U282" i="1"/>
  <c r="V282" i="1"/>
  <c r="U283" i="1"/>
  <c r="V283" i="1"/>
  <c r="U284" i="1"/>
  <c r="V284" i="1"/>
  <c r="U285" i="1"/>
  <c r="V285" i="1"/>
  <c r="U286" i="1"/>
  <c r="V286" i="1"/>
  <c r="U287" i="1"/>
  <c r="V287" i="1"/>
  <c r="U288" i="1"/>
  <c r="V288" i="1"/>
  <c r="U289" i="1"/>
  <c r="V289" i="1"/>
  <c r="U290" i="1"/>
  <c r="V290" i="1"/>
  <c r="U291" i="1"/>
  <c r="V291" i="1"/>
  <c r="U292" i="1"/>
  <c r="V292" i="1"/>
  <c r="U293" i="1"/>
  <c r="V293" i="1"/>
  <c r="U294" i="1"/>
  <c r="V294" i="1"/>
  <c r="U295" i="1"/>
  <c r="V295" i="1"/>
  <c r="U296" i="1"/>
  <c r="V296" i="1"/>
  <c r="U297" i="1"/>
  <c r="V297" i="1"/>
  <c r="U298" i="1"/>
  <c r="V298" i="1"/>
  <c r="U299" i="1"/>
  <c r="V299" i="1"/>
  <c r="U300" i="1"/>
  <c r="V300" i="1"/>
  <c r="U301" i="1"/>
  <c r="V301" i="1"/>
  <c r="U302" i="1"/>
  <c r="V302" i="1"/>
  <c r="U303" i="1"/>
  <c r="V303" i="1"/>
  <c r="U304" i="1"/>
  <c r="V304" i="1"/>
  <c r="U305" i="1"/>
  <c r="V305" i="1"/>
  <c r="U306" i="1"/>
  <c r="V306" i="1"/>
  <c r="U307" i="1"/>
  <c r="V307" i="1"/>
  <c r="U308" i="1"/>
  <c r="V308" i="1"/>
  <c r="U309" i="1"/>
  <c r="V309" i="1"/>
  <c r="U310" i="1"/>
  <c r="V310" i="1"/>
  <c r="U311" i="1"/>
  <c r="V311" i="1"/>
  <c r="U312" i="1"/>
  <c r="V312" i="1"/>
  <c r="U313" i="1"/>
  <c r="V313" i="1"/>
  <c r="U314" i="1"/>
  <c r="V314" i="1"/>
  <c r="U315" i="1"/>
  <c r="V315" i="1"/>
  <c r="U316" i="1"/>
  <c r="V316" i="1"/>
  <c r="U317" i="1"/>
  <c r="V317" i="1"/>
  <c r="U318" i="1"/>
  <c r="V318" i="1"/>
  <c r="U319" i="1"/>
  <c r="V319" i="1"/>
  <c r="U320" i="1"/>
  <c r="V320" i="1"/>
  <c r="U321" i="1"/>
  <c r="V321" i="1"/>
  <c r="U322" i="1"/>
  <c r="V322" i="1"/>
  <c r="U323" i="1"/>
  <c r="V323" i="1"/>
  <c r="U324" i="1"/>
  <c r="V324" i="1"/>
  <c r="U325" i="1"/>
  <c r="V325" i="1"/>
  <c r="U326" i="1"/>
  <c r="V326" i="1"/>
  <c r="U327" i="1"/>
  <c r="V327" i="1"/>
  <c r="U328" i="1"/>
  <c r="V328" i="1"/>
  <c r="U329" i="1"/>
  <c r="V329" i="1"/>
  <c r="U330" i="1"/>
  <c r="V330" i="1"/>
  <c r="U331" i="1"/>
  <c r="V331" i="1"/>
  <c r="U332" i="1"/>
  <c r="V332" i="1"/>
  <c r="U333" i="1"/>
  <c r="V333" i="1"/>
  <c r="U334" i="1"/>
  <c r="V334" i="1"/>
  <c r="U335" i="1"/>
  <c r="V335" i="1"/>
  <c r="U336" i="1"/>
  <c r="V336" i="1"/>
  <c r="U337" i="1"/>
  <c r="V337" i="1"/>
  <c r="U338" i="1"/>
  <c r="V338" i="1"/>
  <c r="U339" i="1"/>
  <c r="V339" i="1"/>
  <c r="U340" i="1"/>
  <c r="V340" i="1"/>
  <c r="U341" i="1"/>
  <c r="V341" i="1"/>
  <c r="U342" i="1"/>
  <c r="V342" i="1"/>
  <c r="U343" i="1"/>
  <c r="V343" i="1"/>
  <c r="U344" i="1"/>
  <c r="V344" i="1"/>
  <c r="U345" i="1"/>
  <c r="V345" i="1"/>
  <c r="U346" i="1"/>
  <c r="V346" i="1"/>
  <c r="U347" i="1"/>
  <c r="V347" i="1"/>
  <c r="U348" i="1"/>
  <c r="V348" i="1"/>
  <c r="U349" i="1"/>
  <c r="V349" i="1"/>
  <c r="U350" i="1"/>
  <c r="V350" i="1"/>
  <c r="U351" i="1"/>
  <c r="V351" i="1"/>
  <c r="U352" i="1"/>
  <c r="V352" i="1"/>
  <c r="U353" i="1"/>
  <c r="V353" i="1"/>
  <c r="U354" i="1"/>
  <c r="V354" i="1"/>
  <c r="U355" i="1"/>
  <c r="V355" i="1"/>
  <c r="U356" i="1"/>
  <c r="V356" i="1"/>
  <c r="U357" i="1"/>
  <c r="V357" i="1"/>
  <c r="U358" i="1"/>
  <c r="V358" i="1"/>
  <c r="U359" i="1"/>
  <c r="V359" i="1"/>
  <c r="U360" i="1"/>
  <c r="V360" i="1"/>
  <c r="U361" i="1"/>
  <c r="V361" i="1"/>
  <c r="U362" i="1"/>
  <c r="V362" i="1"/>
  <c r="V2" i="1"/>
  <c r="U2" i="1"/>
  <c r="B12" i="1"/>
  <c r="B8" i="1"/>
  <c r="B6" i="1"/>
  <c r="B7" i="1"/>
  <c r="F11" i="1" l="1"/>
  <c r="M75" i="1"/>
  <c r="N75" i="1" s="1"/>
  <c r="M49" i="1"/>
  <c r="N49" i="1" s="1"/>
  <c r="M91" i="1"/>
  <c r="N91" i="1" s="1"/>
  <c r="M40" i="1"/>
  <c r="N40" i="1" s="1"/>
  <c r="M62" i="1"/>
  <c r="N62" i="1" s="1"/>
  <c r="M98" i="1"/>
  <c r="N98" i="1" s="1"/>
  <c r="M106" i="1"/>
  <c r="N106" i="1" s="1"/>
  <c r="M52" i="1"/>
  <c r="N52" i="1" s="1"/>
  <c r="M72" i="1"/>
  <c r="N72" i="1" s="1"/>
  <c r="M85" i="1"/>
  <c r="N85" i="1" s="1"/>
  <c r="M38" i="1"/>
  <c r="N38" i="1" s="1"/>
  <c r="M97" i="1"/>
  <c r="N97" i="1" s="1"/>
  <c r="M84" i="1"/>
  <c r="N84" i="1" s="1"/>
  <c r="M104" i="1"/>
  <c r="N104" i="1" s="1"/>
  <c r="M55" i="1"/>
  <c r="N55" i="1" s="1"/>
  <c r="M87" i="1"/>
  <c r="N87" i="1" s="1"/>
  <c r="M73" i="1"/>
  <c r="N73" i="1" s="1"/>
  <c r="M41" i="1"/>
  <c r="N41" i="1" s="1"/>
  <c r="M67" i="1"/>
  <c r="N67" i="1" s="1"/>
  <c r="M54" i="1"/>
  <c r="N54" i="1" s="1"/>
  <c r="M102" i="1"/>
  <c r="N102" i="1" s="1"/>
  <c r="M94" i="1"/>
  <c r="N94" i="1" s="1"/>
  <c r="M42" i="1"/>
  <c r="N42" i="1" s="1"/>
  <c r="M99" i="1"/>
  <c r="N99" i="1" s="1"/>
  <c r="M48" i="1"/>
  <c r="N48" i="1" s="1"/>
  <c r="M70" i="1"/>
  <c r="N70" i="1" s="1"/>
  <c r="M58" i="1"/>
  <c r="N58" i="1" s="1"/>
  <c r="M45" i="1"/>
  <c r="N45" i="1" s="1"/>
  <c r="M60" i="1"/>
  <c r="N60" i="1" s="1"/>
  <c r="M77" i="1"/>
  <c r="N77" i="1" s="1"/>
  <c r="M95" i="1"/>
  <c r="N95" i="1" s="1"/>
  <c r="M80" i="1"/>
  <c r="N80" i="1" s="1"/>
  <c r="M69" i="1"/>
  <c r="N69" i="1" s="1"/>
  <c r="M92" i="1"/>
  <c r="N92" i="1" s="1"/>
  <c r="M43" i="1"/>
  <c r="N43" i="1" s="1"/>
  <c r="M63" i="1"/>
  <c r="N63" i="1" s="1"/>
  <c r="M74" i="1"/>
  <c r="N74" i="1" s="1"/>
  <c r="M93" i="1"/>
  <c r="N93" i="1" s="1"/>
  <c r="M61" i="1"/>
  <c r="N61" i="1" s="1"/>
  <c r="M44" i="1"/>
  <c r="N44" i="1" s="1"/>
  <c r="M101" i="1"/>
  <c r="N101" i="1" s="1"/>
  <c r="M88" i="1"/>
  <c r="N88" i="1" s="1"/>
  <c r="M46" i="1"/>
  <c r="N46" i="1" s="1"/>
  <c r="M57" i="1"/>
  <c r="N57" i="1" s="1"/>
  <c r="M65" i="1"/>
  <c r="N65" i="1" s="1"/>
  <c r="M107" i="1"/>
  <c r="N107" i="1" s="1"/>
  <c r="M56" i="1"/>
  <c r="N56" i="1" s="1"/>
  <c r="M78" i="1"/>
  <c r="N78" i="1" s="1"/>
  <c r="M81" i="1"/>
  <c r="N81" i="1" s="1"/>
  <c r="M66" i="1"/>
  <c r="N66" i="1" s="1"/>
  <c r="M103" i="1"/>
  <c r="N103" i="1" s="1"/>
  <c r="M83" i="1"/>
  <c r="N83" i="1" s="1"/>
  <c r="M39" i="1"/>
  <c r="N39" i="1" s="1"/>
  <c r="M82" i="1"/>
  <c r="N82" i="1" s="1"/>
  <c r="M90" i="1"/>
  <c r="N90" i="1" s="1"/>
  <c r="M100" i="1"/>
  <c r="N100" i="1" s="1"/>
  <c r="M51" i="1"/>
  <c r="N51" i="1" s="1"/>
  <c r="M71" i="1"/>
  <c r="N71" i="1" s="1"/>
  <c r="M68" i="1"/>
  <c r="N68" i="1" s="1"/>
  <c r="M53" i="1"/>
  <c r="N53" i="1" s="1"/>
  <c r="M76" i="1"/>
  <c r="N76" i="1" s="1"/>
  <c r="M105" i="1"/>
  <c r="N105" i="1" s="1"/>
  <c r="M96" i="1"/>
  <c r="N96" i="1" s="1"/>
  <c r="M47" i="1"/>
  <c r="N47" i="1" s="1"/>
  <c r="M89" i="1"/>
  <c r="N89" i="1" s="1"/>
  <c r="M50" i="1"/>
  <c r="N50" i="1" s="1"/>
  <c r="M108" i="1"/>
  <c r="N108" i="1" s="1"/>
  <c r="M59" i="1"/>
  <c r="N59" i="1" s="1"/>
  <c r="M79" i="1"/>
  <c r="N79" i="1" s="1"/>
  <c r="M37" i="1"/>
  <c r="N37" i="1" s="1"/>
  <c r="M64" i="1"/>
  <c r="N64" i="1" s="1"/>
  <c r="M86" i="1"/>
  <c r="N86" i="1" s="1"/>
  <c r="F13" i="1" l="1"/>
  <c r="F12" i="1"/>
  <c r="D26" i="1" s="1"/>
  <c r="B27" i="1" s="1"/>
  <c r="P64" i="1"/>
  <c r="O64" i="1"/>
  <c r="P96" i="1"/>
  <c r="O96" i="1"/>
  <c r="O90" i="1"/>
  <c r="P90" i="1"/>
  <c r="O56" i="1"/>
  <c r="P56" i="1"/>
  <c r="O61" i="1"/>
  <c r="P61" i="1"/>
  <c r="O95" i="1"/>
  <c r="P95" i="1"/>
  <c r="O42" i="1"/>
  <c r="P42" i="1"/>
  <c r="O55" i="1"/>
  <c r="P55" i="1"/>
  <c r="P106" i="1"/>
  <c r="O106" i="1"/>
  <c r="O105" i="1"/>
  <c r="P105" i="1"/>
  <c r="P39" i="1"/>
  <c r="O39" i="1"/>
  <c r="O74" i="1"/>
  <c r="P74" i="1"/>
  <c r="P60" i="1"/>
  <c r="O60" i="1"/>
  <c r="P102" i="1"/>
  <c r="O102" i="1"/>
  <c r="O84" i="1"/>
  <c r="P84" i="1"/>
  <c r="O62" i="1"/>
  <c r="P62" i="1"/>
  <c r="O107" i="1"/>
  <c r="P107" i="1"/>
  <c r="P104" i="1"/>
  <c r="O104" i="1"/>
  <c r="O59" i="1"/>
  <c r="P59" i="1"/>
  <c r="O53" i="1"/>
  <c r="P53" i="1"/>
  <c r="P83" i="1"/>
  <c r="O83" i="1"/>
  <c r="P57" i="1"/>
  <c r="O57" i="1"/>
  <c r="O63" i="1"/>
  <c r="P63" i="1"/>
  <c r="P45" i="1"/>
  <c r="O45" i="1"/>
  <c r="P54" i="1"/>
  <c r="O54" i="1"/>
  <c r="P97" i="1"/>
  <c r="O97" i="1"/>
  <c r="P40" i="1"/>
  <c r="O40" i="1"/>
  <c r="P82" i="1"/>
  <c r="O82" i="1"/>
  <c r="O98" i="1"/>
  <c r="P98" i="1"/>
  <c r="O108" i="1"/>
  <c r="P108" i="1"/>
  <c r="O68" i="1"/>
  <c r="P68" i="1"/>
  <c r="O103" i="1"/>
  <c r="P103" i="1"/>
  <c r="O46" i="1"/>
  <c r="P46" i="1"/>
  <c r="O43" i="1"/>
  <c r="P43" i="1"/>
  <c r="O58" i="1"/>
  <c r="P58" i="1"/>
  <c r="O67" i="1"/>
  <c r="P67" i="1"/>
  <c r="O38" i="1"/>
  <c r="P38" i="1"/>
  <c r="O91" i="1"/>
  <c r="P91" i="1"/>
  <c r="O37" i="1"/>
  <c r="P37" i="1"/>
  <c r="N109" i="1"/>
  <c r="O77" i="1"/>
  <c r="P77" i="1"/>
  <c r="P79" i="1"/>
  <c r="O79" i="1"/>
  <c r="O50" i="1"/>
  <c r="P50" i="1"/>
  <c r="O71" i="1"/>
  <c r="P71" i="1"/>
  <c r="O66" i="1"/>
  <c r="P66" i="1"/>
  <c r="P88" i="1"/>
  <c r="O88" i="1"/>
  <c r="P92" i="1"/>
  <c r="O92" i="1"/>
  <c r="O70" i="1"/>
  <c r="P70" i="1"/>
  <c r="O41" i="1"/>
  <c r="P41" i="1"/>
  <c r="O85" i="1"/>
  <c r="P85" i="1"/>
  <c r="O49" i="1"/>
  <c r="P49" i="1"/>
  <c r="P94" i="1"/>
  <c r="O94" i="1"/>
  <c r="P76" i="1"/>
  <c r="O76" i="1"/>
  <c r="O89" i="1"/>
  <c r="P89" i="1"/>
  <c r="P51" i="1"/>
  <c r="O51" i="1"/>
  <c r="P81" i="1"/>
  <c r="O81" i="1"/>
  <c r="P101" i="1"/>
  <c r="O101" i="1"/>
  <c r="O69" i="1"/>
  <c r="P69" i="1"/>
  <c r="O48" i="1"/>
  <c r="P48" i="1"/>
  <c r="P73" i="1"/>
  <c r="O73" i="1"/>
  <c r="P72" i="1"/>
  <c r="O72" i="1"/>
  <c r="O75" i="1"/>
  <c r="P75" i="1"/>
  <c r="O93" i="1"/>
  <c r="P93" i="1"/>
  <c r="O65" i="1"/>
  <c r="P65" i="1"/>
  <c r="P86" i="1"/>
  <c r="O86" i="1"/>
  <c r="P47" i="1"/>
  <c r="O47" i="1"/>
  <c r="P100" i="1"/>
  <c r="O100" i="1"/>
  <c r="P78" i="1"/>
  <c r="O78" i="1"/>
  <c r="O44" i="1"/>
  <c r="P44" i="1"/>
  <c r="O80" i="1"/>
  <c r="P80" i="1"/>
  <c r="O99" i="1"/>
  <c r="P99" i="1"/>
  <c r="O87" i="1"/>
  <c r="P87" i="1"/>
  <c r="P52" i="1"/>
  <c r="O52" i="1"/>
  <c r="G12" i="1"/>
  <c r="E26" i="1" s="1"/>
  <c r="C27" i="1" s="1"/>
  <c r="G13" i="1"/>
  <c r="E27" i="1" s="1"/>
  <c r="C28" i="1" s="1"/>
  <c r="B16" i="1" l="1"/>
  <c r="B17" i="1" s="1"/>
  <c r="P109" i="1"/>
  <c r="O109" i="1"/>
  <c r="L17" i="1"/>
  <c r="K17" i="1"/>
  <c r="K18" i="1"/>
  <c r="L18" i="1"/>
  <c r="D27" i="1"/>
  <c r="B28" i="1" s="1"/>
  <c r="G28" i="1" s="1"/>
  <c r="F26" i="1"/>
  <c r="G26" i="1"/>
  <c r="E16" i="1" l="1"/>
  <c r="E19" i="1"/>
  <c r="J24" i="1"/>
  <c r="H24" i="1"/>
  <c r="I24" i="1"/>
  <c r="F27" i="1"/>
  <c r="F28" i="1"/>
  <c r="H28" i="1" s="1"/>
  <c r="G27" i="1"/>
  <c r="B20" i="1"/>
  <c r="E20" i="1"/>
  <c r="F20" i="1" s="1"/>
  <c r="G20" i="1" s="1"/>
  <c r="H20" i="1" s="1"/>
  <c r="E17" i="1"/>
  <c r="H26" i="1"/>
  <c r="J26" i="1"/>
  <c r="I26" i="1"/>
  <c r="J27" i="1" l="1"/>
  <c r="I27" i="1"/>
  <c r="I28" i="1"/>
  <c r="J28" i="1"/>
  <c r="H27" i="1"/>
  <c r="H29" i="1" s="1"/>
  <c r="H31" i="1" s="1"/>
  <c r="B112" i="1" s="1"/>
  <c r="J3" i="1" s="1"/>
  <c r="L3" i="1" s="1"/>
  <c r="J29" i="1" l="1"/>
  <c r="J31" i="1" s="1"/>
  <c r="B114" i="1" s="1"/>
  <c r="I29" i="1"/>
  <c r="I31" i="1" s="1"/>
  <c r="B113" i="1" s="1"/>
  <c r="B116" i="1" l="1"/>
  <c r="J4" i="1" s="1"/>
  <c r="L30" i="1"/>
  <c r="L31" i="1"/>
  <c r="B117" i="1"/>
  <c r="J5" i="1" s="1"/>
  <c r="J6" i="1" l="1"/>
  <c r="L6" i="1" s="1"/>
  <c r="J7" i="1"/>
</calcChain>
</file>

<file path=xl/sharedStrings.xml><?xml version="1.0" encoding="utf-8"?>
<sst xmlns="http://schemas.openxmlformats.org/spreadsheetml/2006/main" count="109" uniqueCount="77">
  <si>
    <t>in</t>
  </si>
  <si>
    <t>f'c</t>
  </si>
  <si>
    <t>ksi</t>
  </si>
  <si>
    <t>Ec</t>
  </si>
  <si>
    <t>Beta1</t>
  </si>
  <si>
    <t>Ec Calc:</t>
  </si>
  <si>
    <t>Density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</si>
  <si>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</si>
  <si>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</si>
  <si>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</si>
  <si>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</si>
  <si>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</si>
  <si>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</si>
  <si>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</si>
  <si>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</si>
  <si>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</si>
  <si>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</si>
  <si>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</si>
  <si>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</si>
  <si>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</si>
  <si>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</si>
  <si>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</si>
  <si>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</si>
  <si>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</si>
  <si>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</si>
  <si>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</si>
  <si>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</si>
  <si>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</si>
  <si>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</si>
  <si>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</si>
  <si>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</si>
  <si>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</si>
  <si>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</si>
  <si>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</si>
  <si>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</si>
  <si>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</si>
  <si>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</si>
  <si>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</si>
  <si>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</si>
  <si>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</si>
  <si>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</si>
  <si>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</si>
  <si>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</si>
  <si>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</si>
  <si>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</si>
  <si>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</si>
  <si>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</si>
  <si>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</si>
  <si>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</si>
  <si>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</si>
  <si>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</si>
  <si>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</si>
  <si>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</si>
  <si>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</si>
  <si>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</si>
  <si>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</si>
  <si>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</si>
  <si>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</si>
  <si>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</si>
  <si>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</si>
  <si>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</si>
  <si>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</si>
  <si>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</si>
  <si>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</si>
  <si>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</si>
  <si>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</si>
  <si>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</si>
  <si>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</si>
  <si>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</si>
  <si>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</si>
  <si>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</si>
  <si>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</si>
  <si>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</si>
  <si>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Screen:</t>
  </si>
  <si>
    <t>**Because it is a circle don't need to rotate the section only the result for the concrete</t>
  </si>
  <si>
    <t>Total:</t>
  </si>
  <si>
    <t>cover to bar center: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</si>
</sst>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"/>
    <numFmt numFmtId="167" formatCode="0.000E+00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circle_section!$U$2:$U$362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circle_section!$V$2:$V$362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1"/>
          <c:order val="1"/>
          <c:tx>
            <c:v>Whitney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circle_section!$K$17:$K$18</c:f>
              <c:numCache>
                <c:formatCode>0.000</c:formatCode>
                <c:ptCount val="2"/>
                <c:pt idx="0">
                  <c:v>1.2904668688517722</c:v>
                </c:pt>
                <c:pt idx="1">
                  <c:v>-11.930410523548463</c:v>
                </c:pt>
              </c:numCache>
            </c:numRef>
          </c:xVal>
          <c:yVal>
            <c:numRef>
              <c:f>circle_section!$L$17:$L$18</c:f>
              <c:numCache>
                <c:formatCode>0.000</c:formatCode>
                <c:ptCount val="2"/>
                <c:pt idx="0">
                  <c:v>11.930410523548463</c:v>
                </c:pt>
                <c:pt idx="1">
                  <c:v>-1.2904668688517784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2"/>
          <c:order val="2"/>
          <c:tx>
            <c:v>Reinf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circle_section!$G$37:$G$108</c:f>
              <c:numCache>
                <c:formatCode>General</c:formatCode>
                <c:ptCount val="72"/>
                <c:pt idx="0">
                  <c:v>10</c:v>
                </c:pt>
                <c:pt idx="1">
                  <c:v>7.0709999999999997</c:v>
                </c:pt>
                <c:pt idx="2">
                  <c:v>0</c:v>
                </c:pt>
                <c:pt idx="3">
                  <c:v>-7.0709999999999997</c:v>
                </c:pt>
                <c:pt idx="4">
                  <c:v>-10</c:v>
                </c:pt>
                <c:pt idx="5">
                  <c:v>-7.0709999999999997</c:v>
                </c:pt>
                <c:pt idx="6">
                  <c:v>0</c:v>
                </c:pt>
                <c:pt idx="7">
                  <c:v>7.0709999999999997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circle_section!$H$37:$H$108</c:f>
              <c:numCache>
                <c:formatCode>General</c:formatCode>
                <c:ptCount val="72"/>
                <c:pt idx="0">
                  <c:v>0</c:v>
                </c:pt>
                <c:pt idx="1">
                  <c:v>7.0709999999999997</c:v>
                </c:pt>
                <c:pt idx="2">
                  <c:v>10</c:v>
                </c:pt>
                <c:pt idx="3">
                  <c:v>7.0709999999999997</c:v>
                </c:pt>
                <c:pt idx="4">
                  <c:v>0</c:v>
                </c:pt>
                <c:pt idx="5">
                  <c:v>-7.0709999999999997</c:v>
                </c:pt>
                <c:pt idx="6">
                  <c:v>-10</c:v>
                </c:pt>
                <c:pt idx="7">
                  <c:v>-7.0709999999999997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0</xdr:row>
      <xdr:rowOff>123823</xdr:rowOff>
    </xdr:from>
    <xdr:to>
      <xdr:col>23</xdr:col>
      <xdr:colOff>9525</xdr:colOff>
      <xdr:row>29</xdr:row>
      <xdr:rowOff>85723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E34BAE-DB0D-44C8-9DFB-2C27A212B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V362"/>
  <sheetViews>
    <sheetView tabSelected="1" workbookViewId="0">
      <selection activeCell="G38" sqref="G38"/>
    </sheetView>
  </sheetViews>
  <sheetFormatPr defaultRowHeight="15" x14ac:dyDescent="0.25"/>
  <cols>
    <col min="1" max="2" width="12" bestFit="1" customWidth="1"/>
    <col min="9" max="9" width="13.28515625" bestFit="1" customWidth="1"/>
    <col min="10" max="10" width="12" bestFit="1" customWidth="1"/>
    <col min="12" max="12" width="11" customWidth="1"/>
    <col min="13" max="13" width="11.28515625" bestFit="1" customWidth="1"/>
  </cols>
  <sheetData>
    <row r="1" spans="1:22" ht="15.75" thickBot="1" x14ac:dyDescent="0.3">
      <c r="E1" s="2" t="s">
        <v>71</v>
      </c>
      <c r="F1" s="34">
        <v>1E-10</v>
      </c>
      <c r="L1">
        <v>1</v>
      </c>
      <c r="U1" t="s">
        <v>14</v>
      </c>
      <c r="V1" t="s">
        <v>15</v>
      </c>
    </row>
    <row r="2" spans="1:22" x14ac:dyDescent="0.25">
      <c r="E2" s="2" t="s">
        <v>72</v>
      </c>
      <c r="F2" s="8">
        <v>75</v>
      </c>
      <c r="G2">
        <v>137</v>
      </c>
      <c r="H2">
        <v>2</v>
      </c>
      <c r="I2" s="16" t="s">
        <v>62</v>
      </c>
      <c r="J2" s="17">
        <f ca="1">IF(ABS(L109)&lt;0.002,0.65,IF(ABS(L109)&gt;0.005,0.9,0.65+((ABS(L109)-0.002)*(250/3))))</f>
        <v>0.9</v>
      </c>
      <c r="K2" s="18"/>
      <c r="L2" s="19" t="s">
        <v>63</v>
      </c>
      <c r="T2">
        <v>0</v>
      </c>
      <c r="U2">
        <f>$B$3*COS(RADIANS(T2))</f>
        <v>12</v>
      </c>
      <c r="V2">
        <f>$B$3*SIN(RADIANS(T2))</f>
        <v>0</v>
      </c>
    </row>
    <row r="3" spans="1:22" x14ac:dyDescent="0.25">
      <c r="A3" s="2" t="s">
        <v>13</v>
      </c>
      <c r="B3" s="8">
        <v>12</v>
      </c>
      <c r="C3" t="s">
        <v>0</v>
      </c>
      <c r="E3" s="2" t="s">
        <v>73</v>
      </c>
      <c r="F3" s="8">
        <v>0</v>
      </c>
      <c r="I3" s="20" t="s">
        <v>64</v>
      </c>
      <c r="J3" s="7">
        <f ca="1">J2*B112</f>
        <v>100.00000000001413</v>
      </c>
      <c r="K3" s="21" t="s">
        <v>23</v>
      </c>
      <c r="L3" s="22">
        <f ca="1">J3-J9</f>
        <v>1.4125589586910792E-11</v>
      </c>
      <c r="T3">
        <v>1</v>
      </c>
      <c r="U3">
        <f t="shared" ref="U3:U66" si="0">$B$3*COS(RADIANS(T3))</f>
        <v>11.998172341876696</v>
      </c>
      <c r="V3">
        <f t="shared" ref="V3:V66" si="1">$B$3*SIN(RADIANS(T3))</f>
        <v>0.20942887724740214</v>
      </c>
    </row>
    <row r="4" spans="1:22" x14ac:dyDescent="0.25">
      <c r="A4" s="2" t="s">
        <v>5</v>
      </c>
      <c r="B4" s="5" t="s">
        <v>6</v>
      </c>
      <c r="I4" s="20" t="s">
        <v>65</v>
      </c>
      <c r="J4" s="7">
        <f ca="1">J2*(B116/12)</f>
        <v>189.957615382439</v>
      </c>
      <c r="K4" s="21" t="s">
        <v>66</v>
      </c>
      <c r="L4" s="23" t="str">
        <f>IF(J10=0,J4,"")</f>
        <v/>
      </c>
      <c r="T4">
        <v>2</v>
      </c>
      <c r="U4">
        <f t="shared" si="0"/>
        <v>11.992689924229149</v>
      </c>
      <c r="V4">
        <f t="shared" si="1"/>
        <v>0.4187939604300116</v>
      </c>
    </row>
    <row r="5" spans="1:22" x14ac:dyDescent="0.25">
      <c r="A5" s="2" t="s">
        <v>1</v>
      </c>
      <c r="B5" s="3">
        <v>5</v>
      </c>
      <c r="C5" t="s">
        <v>2</v>
      </c>
      <c r="I5" s="20" t="s">
        <v>67</v>
      </c>
      <c r="J5" s="7">
        <f ca="1">J2*(B117/12)</f>
        <v>-189.95761538243912</v>
      </c>
      <c r="K5" s="21" t="s">
        <v>66</v>
      </c>
      <c r="L5" s="23" t="str">
        <f>IF(J11=0,J5,"")</f>
        <v/>
      </c>
      <c r="T5">
        <v>3</v>
      </c>
      <c r="U5">
        <f t="shared" si="0"/>
        <v>11.983554417054886</v>
      </c>
      <c r="V5">
        <f t="shared" si="1"/>
        <v>0.62803147491532596</v>
      </c>
    </row>
    <row r="6" spans="1:22" ht="15.75" thickBot="1" x14ac:dyDescent="0.3">
      <c r="A6" s="2" t="s">
        <v>3</v>
      </c>
      <c r="B6" s="4">
        <f>IF(B4="Density",(POWER(145,1.5)*33*SQRT(1000*B5))/1000,(57000*SQRT(1000*B5))/1000)</f>
        <v>4074.2806880478911</v>
      </c>
      <c r="C6" t="s">
        <v>2</v>
      </c>
      <c r="I6" s="24" t="s">
        <v>68</v>
      </c>
      <c r="J6" s="25">
        <f ca="1">IF(AND(J4=0,J5=0),0,MOD(ATAN2(J4,J5),2*PI()))</f>
        <v>5.497787143782138</v>
      </c>
      <c r="K6" s="26" t="s">
        <v>18</v>
      </c>
      <c r="L6" s="27">
        <f ca="1">IF((J12-J6)=0,0,ATAN2(COS(J12-J6),SIN(J12-J6)))</f>
        <v>0</v>
      </c>
      <c r="T6">
        <v>4</v>
      </c>
      <c r="U6">
        <f t="shared" si="0"/>
        <v>11.970768603117889</v>
      </c>
      <c r="V6">
        <f t="shared" si="1"/>
        <v>0.83707768492950363</v>
      </c>
    </row>
    <row r="7" spans="1:22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69</v>
      </c>
      <c r="J7" s="7">
        <f ca="1">SQRT(POWER(J4,2)+POWER(J5,2))</f>
        <v>268.64063594989739</v>
      </c>
      <c r="K7" s="21" t="s">
        <v>66</v>
      </c>
      <c r="L7" s="28"/>
      <c r="T7">
        <v>5</v>
      </c>
      <c r="U7">
        <f t="shared" si="0"/>
        <v>11.954336377100947</v>
      </c>
      <c r="V7">
        <f t="shared" si="1"/>
        <v>1.0458689129718981</v>
      </c>
    </row>
    <row r="8" spans="1:22" x14ac:dyDescent="0.25">
      <c r="A8" s="2" t="s">
        <v>7</v>
      </c>
      <c r="B8" s="1">
        <f>0.85*B5</f>
        <v>4.25</v>
      </c>
      <c r="C8" t="s">
        <v>2</v>
      </c>
      <c r="I8" s="16" t="s">
        <v>70</v>
      </c>
      <c r="J8" s="29"/>
      <c r="K8" s="18"/>
      <c r="T8">
        <v>6</v>
      </c>
      <c r="U8">
        <f t="shared" si="0"/>
        <v>11.934262744419279</v>
      </c>
      <c r="V8">
        <f t="shared" si="1"/>
        <v>1.2543415592118417</v>
      </c>
    </row>
    <row r="9" spans="1:22" x14ac:dyDescent="0.25">
      <c r="A9" s="2"/>
      <c r="I9" s="20" t="s">
        <v>22</v>
      </c>
      <c r="J9" s="30">
        <v>100</v>
      </c>
      <c r="K9" s="21" t="s">
        <v>23</v>
      </c>
      <c r="L9" t="str">
        <f>"+ Compression"</f>
        <v>+ Compression</v>
      </c>
      <c r="T9">
        <v>7</v>
      </c>
      <c r="U9">
        <f t="shared" si="0"/>
        <v>11.910553819695863</v>
      </c>
      <c r="V9">
        <f t="shared" si="1"/>
        <v>1.4624321208617697</v>
      </c>
    </row>
    <row r="10" spans="1:22" x14ac:dyDescent="0.25">
      <c r="A10" s="2" t="s">
        <v>8</v>
      </c>
      <c r="B10" s="6">
        <v>5.497787143782138</v>
      </c>
      <c r="C10" t="s">
        <v>9</v>
      </c>
      <c r="I10" s="20" t="s">
        <v>57</v>
      </c>
      <c r="J10" s="30">
        <v>10</v>
      </c>
      <c r="K10" s="21" t="s">
        <v>66</v>
      </c>
      <c r="L10" t="str">
        <f>"+ Puts Top of Section in Compression"</f>
        <v>+ Puts Top of Section in Compression</v>
      </c>
      <c r="T10">
        <v>8</v>
      </c>
      <c r="U10">
        <f t="shared" si="0"/>
        <v>11.883216824898845</v>
      </c>
      <c r="V10">
        <f t="shared" si="1"/>
        <v>1.6700772115207854</v>
      </c>
    </row>
    <row r="11" spans="1:22" x14ac:dyDescent="0.25">
      <c r="A11" s="2" t="s">
        <v>10</v>
      </c>
      <c r="B11" s="6">
        <v>5.595529612901494</v>
      </c>
      <c r="C11" t="s">
        <v>0</v>
      </c>
      <c r="E11" t="s">
        <v>19</v>
      </c>
      <c r="F11" s="9">
        <f>B3-B12</f>
        <v>7.5235763096788055</v>
      </c>
      <c r="G11" s="1"/>
      <c r="I11" s="20" t="s">
        <v>58</v>
      </c>
      <c r="J11" s="30">
        <v>-10</v>
      </c>
      <c r="K11" s="21" t="s">
        <v>66</v>
      </c>
      <c r="L11" t="str">
        <f>"+ Puts Left of Section in Compression"</f>
        <v>+ Puts Left of Section in Compression</v>
      </c>
      <c r="T11">
        <v>9</v>
      </c>
      <c r="U11">
        <f t="shared" si="0"/>
        <v>11.852260087141653</v>
      </c>
      <c r="V11">
        <f t="shared" si="1"/>
        <v>1.8772135804827705</v>
      </c>
    </row>
    <row r="12" spans="1:22" ht="15.75" thickBot="1" x14ac:dyDescent="0.3">
      <c r="A12" s="2" t="s">
        <v>11</v>
      </c>
      <c r="B12" s="7">
        <f>B11*B7</f>
        <v>4.4764236903211945</v>
      </c>
      <c r="C12" t="s">
        <v>0</v>
      </c>
      <c r="E12" t="s">
        <v>20</v>
      </c>
      <c r="F12" s="9">
        <f>IF(F11&lt;(-1*B3),0,SQRT(POWER(B3,2)-POWER(F11,2)))</f>
        <v>9.3485720574021283</v>
      </c>
      <c r="G12" s="9">
        <f>F11</f>
        <v>7.5235763096788055</v>
      </c>
      <c r="I12" s="24" t="s">
        <v>68</v>
      </c>
      <c r="J12" s="25">
        <f>IF(AND(J10=0,J11=0),0,MOD(ATAN2(J10,J11),2*PI()))</f>
        <v>5.497787143782138</v>
      </c>
      <c r="K12" s="26" t="s">
        <v>18</v>
      </c>
      <c r="T12">
        <v>10</v>
      </c>
      <c r="U12">
        <f t="shared" si="0"/>
        <v>11.817693036146496</v>
      </c>
      <c r="V12">
        <f t="shared" si="1"/>
        <v>2.0837781320031641</v>
      </c>
    </row>
    <row r="13" spans="1:22" ht="15.75" thickBot="1" x14ac:dyDescent="0.3">
      <c r="A13" s="2" t="s">
        <v>12</v>
      </c>
      <c r="B13" s="1">
        <v>3.0000000000000001E-3</v>
      </c>
      <c r="E13" t="s">
        <v>21</v>
      </c>
      <c r="F13" s="1">
        <f>IF(F11&lt;(-1*B3),0,-1*SQRT(POWER(B3,2)-POWER(F11,2)))</f>
        <v>-9.3485720574021283</v>
      </c>
      <c r="G13" s="9">
        <f>F11</f>
        <v>7.5235763096788055</v>
      </c>
      <c r="I13" s="31" t="s">
        <v>69</v>
      </c>
      <c r="J13" s="32">
        <f>SQRT(POWER(J10,2)+POWER(J11,2))</f>
        <v>14.142135623730951</v>
      </c>
      <c r="K13" s="33" t="s">
        <v>66</v>
      </c>
      <c r="L13">
        <f>DEGREES(J12)</f>
        <v>315</v>
      </c>
      <c r="T13">
        <v>11</v>
      </c>
      <c r="U13">
        <f t="shared" si="0"/>
        <v>11.779526201371969</v>
      </c>
      <c r="V13">
        <f t="shared" si="1"/>
        <v>2.2897079445185375</v>
      </c>
    </row>
    <row r="14" spans="1:22" x14ac:dyDescent="0.25">
      <c r="T14">
        <v>12</v>
      </c>
      <c r="U14">
        <f t="shared" si="0"/>
        <v>11.737771208805668</v>
      </c>
      <c r="V14">
        <f t="shared" si="1"/>
        <v>2.4949402898131119</v>
      </c>
    </row>
    <row r="15" spans="1:22" x14ac:dyDescent="0.25">
      <c r="T15">
        <v>13</v>
      </c>
      <c r="U15">
        <f t="shared" si="0"/>
        <v>11.692440777422823</v>
      </c>
      <c r="V15">
        <f t="shared" si="1"/>
        <v>2.6994126521263802</v>
      </c>
    </row>
    <row r="16" spans="1:22" x14ac:dyDescent="0.25">
      <c r="A16" s="2" t="s">
        <v>16</v>
      </c>
      <c r="B16">
        <f>ATAN2(F12,G12)</f>
        <v>0.6776508971410462</v>
      </c>
      <c r="C16" t="s">
        <v>18</v>
      </c>
      <c r="E16">
        <f>TAN(B16)</f>
        <v>0.80478347532462935</v>
      </c>
      <c r="K16" s="1" t="s">
        <v>47</v>
      </c>
      <c r="L16" s="1" t="s">
        <v>48</v>
      </c>
      <c r="T16">
        <v>14</v>
      </c>
      <c r="U16">
        <f t="shared" si="0"/>
        <v>11.643548715311958</v>
      </c>
      <c r="V16">
        <f t="shared" si="1"/>
        <v>2.9030627471960129</v>
      </c>
    </row>
    <row r="17" spans="1:22" x14ac:dyDescent="0.25">
      <c r="A17" s="2" t="s">
        <v>17</v>
      </c>
      <c r="B17">
        <f>IF(B16&lt;0,(2*PI())+ATAN2(F13,G13),ATAN2(F13,G13))</f>
        <v>2.4639417564487469</v>
      </c>
      <c r="C17" t="s">
        <v>18</v>
      </c>
      <c r="E17">
        <f>TAN(B17)</f>
        <v>-0.80478347532462957</v>
      </c>
      <c r="K17" s="7">
        <f>F12*COS($B$10)+G12*SIN($B$10)</f>
        <v>1.2904668688517722</v>
      </c>
      <c r="L17" s="7">
        <f>-1*F12*SIN($B$10)+G12*COS($B$10)</f>
        <v>11.930410523548463</v>
      </c>
      <c r="T17">
        <v>15</v>
      </c>
      <c r="U17">
        <f t="shared" si="0"/>
        <v>11.59110991546882</v>
      </c>
      <c r="V17">
        <f t="shared" si="1"/>
        <v>3.1058285412302489</v>
      </c>
    </row>
    <row r="18" spans="1:22" x14ac:dyDescent="0.25">
      <c r="K18" s="7">
        <f>F13*COS($B$10)+G13*SIN($B$10)</f>
        <v>-11.930410523548463</v>
      </c>
      <c r="L18" s="7">
        <f>-1*F13*SIN($B$10)+G13*COS($B$10)</f>
        <v>-1.2904668688517784</v>
      </c>
      <c r="T18">
        <v>16</v>
      </c>
      <c r="U18">
        <f t="shared" si="0"/>
        <v>11.535140351259827</v>
      </c>
      <c r="V18">
        <f t="shared" si="1"/>
        <v>3.3076482698039902</v>
      </c>
    </row>
    <row r="19" spans="1:22" x14ac:dyDescent="0.25">
      <c r="E19">
        <f>B17-B16</f>
        <v>1.7862908593077007</v>
      </c>
      <c r="T19">
        <v>17</v>
      </c>
      <c r="U19">
        <f t="shared" si="0"/>
        <v>11.475657071556425</v>
      </c>
      <c r="V19">
        <f t="shared" si="1"/>
        <v>3.5084604566728412</v>
      </c>
    </row>
    <row r="20" spans="1:22" x14ac:dyDescent="0.25">
      <c r="A20" t="s">
        <v>22</v>
      </c>
      <c r="B20" s="1">
        <f>(-1*B8*(((TAN(B17)-TAN(B16))*POWER(F11,2))+(((POWER(B3,2)*B16*TAN(B16))-(POWER(B3,2)*B17*TAN(B16)))*TAN(B17))))/(2*TAN(B16)*TAN(B17))</f>
        <v>247.68254809147376</v>
      </c>
      <c r="C20" t="s">
        <v>23</v>
      </c>
      <c r="E20">
        <f>IF(ATAN2(COS(B17-B16),SIN(B17-B16))&lt;0,ATAN2(COS(B17-B16),SIN(B17-B16))+(2*PI()),ATAN2(COS(B17-B16),SIN(B17-B16)))</f>
        <v>1.7862908593077005</v>
      </c>
      <c r="F20">
        <f>SIN(E20)</f>
        <v>0.97687076750549862</v>
      </c>
      <c r="G20">
        <f>0.5*(E20-F20)*POWER(B3,2)</f>
        <v>58.278246609758533</v>
      </c>
      <c r="H20">
        <f>G20*B8</f>
        <v>247.68254809147376</v>
      </c>
      <c r="T20">
        <v>18</v>
      </c>
      <c r="U20">
        <f t="shared" si="0"/>
        <v>11.412678195541842</v>
      </c>
      <c r="V20">
        <f t="shared" si="1"/>
        <v>3.7082039324993685</v>
      </c>
    </row>
    <row r="21" spans="1:22" x14ac:dyDescent="0.25">
      <c r="G21">
        <f>PI()*POWER(B3,2)</f>
        <v>452.38934211693021</v>
      </c>
      <c r="H21">
        <f>G21*B8</f>
        <v>1922.6547039969535</v>
      </c>
      <c r="T21">
        <v>19</v>
      </c>
      <c r="U21">
        <f t="shared" si="0"/>
        <v>11.346222907191802</v>
      </c>
      <c r="V21">
        <f t="shared" si="1"/>
        <v>3.9068178534858804</v>
      </c>
    </row>
    <row r="22" spans="1:22" x14ac:dyDescent="0.25">
      <c r="A22" s="35" t="s">
        <v>74</v>
      </c>
      <c r="T22">
        <v>20</v>
      </c>
      <c r="U22">
        <f t="shared" si="0"/>
        <v>11.276311449430901</v>
      </c>
      <c r="V22">
        <f t="shared" si="1"/>
        <v>4.1042417199080248</v>
      </c>
    </row>
    <row r="23" spans="1:22" x14ac:dyDescent="0.25">
      <c r="B23" s="1"/>
      <c r="C23" s="1"/>
      <c r="D23" s="1"/>
      <c r="E23" s="1"/>
      <c r="F23" s="1"/>
      <c r="G23" s="1"/>
      <c r="H23" s="1" t="s">
        <v>35</v>
      </c>
      <c r="I23" s="1" t="s">
        <v>36</v>
      </c>
      <c r="J23" s="1" t="s">
        <v>37</v>
      </c>
      <c r="T23">
        <v>21</v>
      </c>
      <c r="U23">
        <f t="shared" si="0"/>
        <v>11.202965117966421</v>
      </c>
      <c r="V23">
        <f t="shared" si="1"/>
        <v>4.3004153945436032</v>
      </c>
    </row>
    <row r="24" spans="1:22" x14ac:dyDescent="0.25">
      <c r="A24" s="1" t="s">
        <v>24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546.60500294815643</v>
      </c>
      <c r="I24" s="1">
        <f>IF(F11&lt;(-1*B3),0,(1/3)*B8*POWER(B3,3)*((COS(B16)-COS(B17))))</f>
        <v>3814.2173994200671</v>
      </c>
      <c r="J24" s="1">
        <f>IF(F11&lt;(-1*B3),0,(1/3)*B8*POWER(B3,3)*((SIN(B17)-SIN(B16))))</f>
        <v>2.7178259642823827E-13</v>
      </c>
      <c r="T24">
        <v>22</v>
      </c>
      <c r="U24">
        <f t="shared" si="0"/>
        <v>11.126206254801449</v>
      </c>
      <c r="V24">
        <f t="shared" si="1"/>
        <v>4.4952791209909444</v>
      </c>
    </row>
    <row r="25" spans="1:22" x14ac:dyDescent="0.25">
      <c r="A25" s="1" t="s">
        <v>25</v>
      </c>
      <c r="B25" s="1" t="s">
        <v>29</v>
      </c>
      <c r="C25" s="1" t="s">
        <v>30</v>
      </c>
      <c r="D25" s="1" t="s">
        <v>31</v>
      </c>
      <c r="E25" s="1" t="s">
        <v>32</v>
      </c>
      <c r="F25" s="1" t="s">
        <v>33</v>
      </c>
      <c r="G25" s="1" t="s">
        <v>34</v>
      </c>
      <c r="H25" s="1" t="s">
        <v>35</v>
      </c>
      <c r="I25" s="1" t="s">
        <v>36</v>
      </c>
      <c r="J25" s="1" t="s">
        <v>37</v>
      </c>
      <c r="T25">
        <v>23</v>
      </c>
      <c r="U25">
        <f t="shared" si="0"/>
        <v>11.046058241429284</v>
      </c>
      <c r="V25">
        <f t="shared" si="1"/>
        <v>4.688773541871285</v>
      </c>
    </row>
    <row r="26" spans="1:22" x14ac:dyDescent="0.25">
      <c r="A26" s="1" t="s">
        <v>26</v>
      </c>
      <c r="B26" s="1">
        <v>0</v>
      </c>
      <c r="C26" s="1">
        <v>0</v>
      </c>
      <c r="D26" s="9">
        <f>F12</f>
        <v>9.3485720574021283</v>
      </c>
      <c r="E26" s="9">
        <f>G12</f>
        <v>7.5235763096788055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149.46122742834129</v>
      </c>
      <c r="I26" s="7">
        <f>((1/12)*(E26-C26)*(F26*B26*((3*C26)+E26)+F26*D26*(C26+E26)+G26*B26*(C26+E26)+G26*D26*(C26+(3*E26))))</f>
        <v>749.65529993025632</v>
      </c>
      <c r="J26" s="7">
        <f t="shared" ref="J26" si="2">((-1/24)*(E26-C26)*(B26*B26*((3*F26)+G26)+2*B26*D26*(F26+G26)+D26*D26*(F26+(3*G26))))</f>
        <v>-465.74968480053866</v>
      </c>
      <c r="T26">
        <v>24</v>
      </c>
      <c r="U26">
        <f t="shared" si="0"/>
        <v>10.962545491711211</v>
      </c>
      <c r="V26">
        <f t="shared" si="1"/>
        <v>4.8808397169096027</v>
      </c>
    </row>
    <row r="27" spans="1:22" x14ac:dyDescent="0.25">
      <c r="A27" s="1" t="s">
        <v>28</v>
      </c>
      <c r="B27" s="9">
        <f>D26</f>
        <v>9.3485720574021283</v>
      </c>
      <c r="C27" s="9">
        <f>E26</f>
        <v>7.5235763096788055</v>
      </c>
      <c r="D27" s="1">
        <f>F13</f>
        <v>-9.3485720574021283</v>
      </c>
      <c r="E27" s="9">
        <f>G13</f>
        <v>7.5235763096788055</v>
      </c>
      <c r="F27" s="7">
        <f t="shared" ref="F27:F28" si="3">IF(AND(C27=0,E27=0,B27=0,D27=0),0,$B$8)</f>
        <v>4.25</v>
      </c>
      <c r="G27" s="7">
        <f t="shared" ref="G27:G28" si="4">IF(AND(C27=0,E27=0,B27=0,D27=0),0,$B$8)</f>
        <v>4.25</v>
      </c>
      <c r="H27" s="7">
        <f t="shared" ref="H27:H28" si="5">(1/6)*(E27-C27)*((F27*((2*B27)+D27))+(G27*(B27+(2*D27))))</f>
        <v>0</v>
      </c>
      <c r="I27" s="7">
        <f t="shared" ref="I27:I28" si="6">((1/12)*(E27-C27)*(F27*B27*((3*C27)+E27)+F27*D27*(C27+E27)+G27*B27*(C27+E27)+G27*D27*(C27+(3*E27))))</f>
        <v>0</v>
      </c>
      <c r="J27" s="7">
        <f t="shared" ref="J27:J28" si="7">((-1/24)*(E27-C27)*(B27*B27*((3*F27)+G27)+2*B27*D27*(F27+G27)+D27*D27*(F27+(3*G27))))</f>
        <v>0</v>
      </c>
      <c r="T27">
        <v>25</v>
      </c>
      <c r="U27">
        <f t="shared" si="0"/>
        <v>10.875693444439799</v>
      </c>
      <c r="V27">
        <f t="shared" si="1"/>
        <v>5.0714191408883931</v>
      </c>
    </row>
    <row r="28" spans="1:22" ht="15.75" thickBot="1" x14ac:dyDescent="0.3">
      <c r="A28" s="1" t="s">
        <v>27</v>
      </c>
      <c r="B28" s="1">
        <f>D27</f>
        <v>-9.3485720574021283</v>
      </c>
      <c r="C28" s="9">
        <f>E27</f>
        <v>7.5235763096788055</v>
      </c>
      <c r="D28" s="1">
        <v>0</v>
      </c>
      <c r="E28" s="1">
        <v>0</v>
      </c>
      <c r="F28" s="7">
        <f t="shared" si="3"/>
        <v>4.25</v>
      </c>
      <c r="G28" s="7">
        <f t="shared" si="4"/>
        <v>4.25</v>
      </c>
      <c r="H28" s="11">
        <f t="shared" si="5"/>
        <v>149.46122742834129</v>
      </c>
      <c r="I28" s="11">
        <f t="shared" si="6"/>
        <v>749.65529993025632</v>
      </c>
      <c r="J28" s="11">
        <f t="shared" si="7"/>
        <v>465.74968480053866</v>
      </c>
      <c r="T28">
        <v>26</v>
      </c>
      <c r="U28">
        <f t="shared" si="0"/>
        <v>10.785528555590005</v>
      </c>
      <c r="V28">
        <f t="shared" si="1"/>
        <v>5.2604537614689288</v>
      </c>
    </row>
    <row r="29" spans="1:22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298.92245485668258</v>
      </c>
      <c r="I29" s="7">
        <f t="shared" ref="I29:J29" si="8">SUM(I26:I28)</f>
        <v>1499.3105998605126</v>
      </c>
      <c r="J29" s="7">
        <f t="shared" si="8"/>
        <v>0</v>
      </c>
      <c r="T29">
        <v>27</v>
      </c>
      <c r="U29">
        <f t="shared" si="0"/>
        <v>10.692078290260415</v>
      </c>
      <c r="V29">
        <f t="shared" si="1"/>
        <v>5.447885996874561</v>
      </c>
    </row>
    <row r="30" spans="1:22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1636.8862957834085</v>
      </c>
      <c r="T30">
        <v>28</v>
      </c>
      <c r="U30">
        <f t="shared" si="0"/>
        <v>10.595371114307124</v>
      </c>
      <c r="V30">
        <f t="shared" si="1"/>
        <v>5.6336587534306899</v>
      </c>
    </row>
    <row r="31" spans="1:22" x14ac:dyDescent="0.25">
      <c r="A31" s="1"/>
      <c r="B31" s="1"/>
      <c r="C31" s="1"/>
      <c r="D31" s="2" t="s">
        <v>76</v>
      </c>
      <c r="E31" s="8">
        <v>2</v>
      </c>
      <c r="F31" s="1"/>
      <c r="G31" s="1" t="s">
        <v>75</v>
      </c>
      <c r="H31" s="7">
        <f>H24-H29</f>
        <v>247.68254809147385</v>
      </c>
      <c r="I31" s="7">
        <f t="shared" ref="I31:J31" si="9">I24-I29</f>
        <v>2314.9067995595542</v>
      </c>
      <c r="J31" s="7">
        <f t="shared" si="9"/>
        <v>2.7178259642823827E-13</v>
      </c>
      <c r="L31">
        <f>(-1*(I31)*SIN(-1*B10))+((J31)*COS(-1*B10))</f>
        <v>-1636.886295783409</v>
      </c>
      <c r="T31">
        <v>29</v>
      </c>
      <c r="U31">
        <f t="shared" si="0"/>
        <v>10.495436485672748</v>
      </c>
      <c r="V31">
        <f t="shared" si="1"/>
        <v>5.8177154429560449</v>
      </c>
    </row>
    <row r="32" spans="1:22" x14ac:dyDescent="0.25">
      <c r="D32" t="s">
        <v>46</v>
      </c>
      <c r="E32" s="8">
        <v>135</v>
      </c>
      <c r="T32">
        <v>30</v>
      </c>
      <c r="U32">
        <f t="shared" si="0"/>
        <v>10.392304845413264</v>
      </c>
      <c r="V32">
        <f t="shared" si="1"/>
        <v>5.9999999999999991</v>
      </c>
    </row>
    <row r="33" spans="1:22" x14ac:dyDescent="0.25">
      <c r="D33" s="2" t="s">
        <v>14</v>
      </c>
      <c r="E33" s="14">
        <f>(B3-E31)*COS(RADIANS(E32))</f>
        <v>-7.0710678118654746</v>
      </c>
      <c r="T33">
        <v>31</v>
      </c>
      <c r="U33">
        <f t="shared" si="0"/>
        <v>10.286007608425347</v>
      </c>
      <c r="V33">
        <f t="shared" si="1"/>
        <v>6.1804568989206494</v>
      </c>
    </row>
    <row r="34" spans="1:22" x14ac:dyDescent="0.25">
      <c r="A34" t="s">
        <v>38</v>
      </c>
      <c r="D34" s="2" t="s">
        <v>15</v>
      </c>
      <c r="E34" s="14">
        <f>(B3-E31)*SIN(RADIANS(E32))</f>
        <v>7.0710678118654755</v>
      </c>
      <c r="T34">
        <v>32</v>
      </c>
      <c r="U34">
        <f t="shared" si="0"/>
        <v>10.176577153877112</v>
      </c>
      <c r="V34">
        <f t="shared" si="1"/>
        <v>6.3590311707984588</v>
      </c>
    </row>
    <row r="35" spans="1:22" x14ac:dyDescent="0.25">
      <c r="B35" s="1" t="s">
        <v>55</v>
      </c>
      <c r="C35" s="8">
        <v>60</v>
      </c>
      <c r="D35" s="1" t="s">
        <v>2</v>
      </c>
      <c r="E35" s="1" t="s">
        <v>56</v>
      </c>
      <c r="F35" s="8">
        <v>29000</v>
      </c>
      <c r="G35" s="1" t="s">
        <v>2</v>
      </c>
      <c r="Q35" s="1" t="s">
        <v>40</v>
      </c>
      <c r="R35" s="1" t="s">
        <v>41</v>
      </c>
      <c r="S35" s="1" t="s">
        <v>42</v>
      </c>
      <c r="T35">
        <v>33</v>
      </c>
      <c r="U35">
        <f t="shared" si="0"/>
        <v>10.064046815345089</v>
      </c>
      <c r="V35">
        <f t="shared" si="1"/>
        <v>6.5356684201803255</v>
      </c>
    </row>
    <row r="36" spans="1:22" x14ac:dyDescent="0.25">
      <c r="B36" s="1" t="s">
        <v>39</v>
      </c>
      <c r="C36" t="s">
        <v>43</v>
      </c>
      <c r="D36" s="1" t="s">
        <v>14</v>
      </c>
      <c r="E36" s="1" t="s">
        <v>15</v>
      </c>
      <c r="G36" s="1" t="s">
        <v>44</v>
      </c>
      <c r="H36" s="1" t="s">
        <v>45</v>
      </c>
      <c r="I36" s="1" t="s">
        <v>47</v>
      </c>
      <c r="J36" s="1" t="s">
        <v>48</v>
      </c>
      <c r="K36" s="1" t="s">
        <v>49</v>
      </c>
      <c r="L36" s="1" t="s">
        <v>50</v>
      </c>
      <c r="M36" s="1" t="s">
        <v>51</v>
      </c>
      <c r="N36" s="1" t="s">
        <v>52</v>
      </c>
      <c r="O36" s="1" t="s">
        <v>53</v>
      </c>
      <c r="P36" s="1" t="s">
        <v>54</v>
      </c>
      <c r="Q36" s="1">
        <v>0</v>
      </c>
      <c r="R36" s="7">
        <v>0</v>
      </c>
      <c r="S36" s="7">
        <v>0</v>
      </c>
      <c r="T36">
        <v>34</v>
      </c>
      <c r="U36">
        <f t="shared" si="0"/>
        <v>9.9484508706604995</v>
      </c>
      <c r="V36">
        <f t="shared" si="1"/>
        <v>6.7103148416489624</v>
      </c>
    </row>
    <row r="37" spans="1:22" x14ac:dyDescent="0.25">
      <c r="A37">
        <v>1</v>
      </c>
      <c r="B37" s="5">
        <v>7</v>
      </c>
      <c r="C37" s="1">
        <f t="shared" ref="C37:C68" ca="1" si="10">OFFSET($Q$36,MATCH(B37,$Q$36:$Q$47,0)-1,2)</f>
        <v>0.6</v>
      </c>
      <c r="D37" s="8">
        <v>10</v>
      </c>
      <c r="E37" s="8">
        <v>0</v>
      </c>
      <c r="G37">
        <f ca="1">IF(C37=0,NA(),D37)</f>
        <v>10</v>
      </c>
      <c r="H37">
        <f ca="1">IF(C37=0,NA(),E37)</f>
        <v>0</v>
      </c>
      <c r="I37" s="7">
        <f>D37*COS($B$10)+E37*SIN($B$10)</f>
        <v>7.0710678118654737</v>
      </c>
      <c r="J37" s="7">
        <f>-1*D37*SIN($B$10)+E37*COS($B$10)</f>
        <v>7.0710678118654773</v>
      </c>
      <c r="K37">
        <f>IF(B37=0,0,$B$3-J37)</f>
        <v>4.9289321881345227</v>
      </c>
      <c r="L37" s="15">
        <f ca="1">IF($B$11=0,-1,IF(C37=0,0,(($B$11-K37)/$B$11)*$B$13)*IF($B$11&lt;0,-1,1))</f>
        <v>3.5739106262435555E-4</v>
      </c>
      <c r="M37" s="9">
        <f ca="1">IF(AND(L37&gt;0,K37&lt;=$B$12),MIN((L37*F$35),C$35)-$B$8,MAX(L37*F$35,-1*C$35))</f>
        <v>10.364340816106312</v>
      </c>
      <c r="N37" s="7">
        <f ca="1">M37*C37</f>
        <v>6.2186044896637869</v>
      </c>
      <c r="O37" s="7">
        <f ca="1">N37*J37</f>
        <v>43.972174041583749</v>
      </c>
      <c r="P37" s="7">
        <f t="shared" ref="P37" ca="1" si="11">N37*I37*-1</f>
        <v>-43.972174041583727</v>
      </c>
      <c r="Q37" s="1">
        <v>3</v>
      </c>
      <c r="R37" s="7">
        <v>0.375</v>
      </c>
      <c r="S37" s="7">
        <v>0.11</v>
      </c>
      <c r="T37">
        <v>35</v>
      </c>
      <c r="U37">
        <f t="shared" si="0"/>
        <v>9.8298245314679011</v>
      </c>
      <c r="V37">
        <f t="shared" si="1"/>
        <v>6.8829172362125526</v>
      </c>
    </row>
    <row r="38" spans="1:22" x14ac:dyDescent="0.25">
      <c r="A38">
        <v>2</v>
      </c>
      <c r="B38" s="5">
        <v>7</v>
      </c>
      <c r="C38" s="1">
        <f t="shared" ca="1" si="10"/>
        <v>0.6</v>
      </c>
      <c r="D38" s="8">
        <v>7.0709999999999997</v>
      </c>
      <c r="E38" s="8">
        <v>7.0709999999999997</v>
      </c>
      <c r="G38">
        <f t="shared" ref="G38:G101" ca="1" si="12">IF(C38=0,NA(),D38)</f>
        <v>7.0709999999999997</v>
      </c>
      <c r="H38">
        <f t="shared" ref="H38:H101" ca="1" si="13">IF(C38=0,NA(),E38)</f>
        <v>7.0709999999999997</v>
      </c>
      <c r="I38" s="7">
        <f t="shared" ref="I38:I101" si="14">D38*COS($B$10)+E38*SIN($B$10)</f>
        <v>0</v>
      </c>
      <c r="J38" s="7">
        <f t="shared" ref="J38:J101" si="15">-1*D38*SIN($B$10)+E38*COS($B$10)</f>
        <v>9.9999040995401547</v>
      </c>
      <c r="K38">
        <f t="shared" ref="K38:K101" si="16">IF(B38=0,0,$B$3-J38)</f>
        <v>2.0000959004598453</v>
      </c>
      <c r="L38" s="15">
        <f t="shared" ref="L38:L101" ca="1" si="17">IF($B$11=0,-1,IF(C38=0,0,(($B$11-K38)/$B$11)*$B$13)*IF($B$11&lt;0,-1,1))</f>
        <v>1.9276640253060588E-3</v>
      </c>
      <c r="M38" s="9">
        <f t="shared" ref="M38:M101" ca="1" si="18">IF(AND(L38&gt;0,K38&lt;=$B$12),MIN((L38*F$35),C$35)-$B$8,MAX(L38*F$35,-1*C$35))</f>
        <v>51.652256733875703</v>
      </c>
      <c r="N38" s="7">
        <f t="shared" ref="N38:N101" ca="1" si="19">M38*C38</f>
        <v>30.991354040325419</v>
      </c>
      <c r="O38" s="7">
        <f t="shared" ref="O38:O101" ca="1" si="20">N38*J38</f>
        <v>309.91056831815047</v>
      </c>
      <c r="P38" s="7">
        <f t="shared" ref="P38:P101" ca="1" si="21">N38*I38*-1</f>
        <v>0</v>
      </c>
      <c r="Q38" s="1">
        <v>4</v>
      </c>
      <c r="R38" s="7">
        <v>0.5</v>
      </c>
      <c r="S38" s="7">
        <v>0.2</v>
      </c>
      <c r="T38">
        <v>36</v>
      </c>
      <c r="U38">
        <f t="shared" si="0"/>
        <v>9.7082039324993694</v>
      </c>
      <c r="V38">
        <f t="shared" si="1"/>
        <v>7.0534230275096776</v>
      </c>
    </row>
    <row r="39" spans="1:22" x14ac:dyDescent="0.25">
      <c r="A39">
        <v>3</v>
      </c>
      <c r="B39" s="5">
        <v>7</v>
      </c>
      <c r="C39" s="1">
        <f t="shared" ca="1" si="10"/>
        <v>0.6</v>
      </c>
      <c r="D39" s="8">
        <v>0</v>
      </c>
      <c r="E39" s="8">
        <v>10</v>
      </c>
      <c r="G39">
        <f t="shared" ca="1" si="12"/>
        <v>0</v>
      </c>
      <c r="H39">
        <f t="shared" ca="1" si="13"/>
        <v>10</v>
      </c>
      <c r="I39" s="7">
        <f t="shared" si="14"/>
        <v>-7.0710678118654773</v>
      </c>
      <c r="J39" s="7">
        <f t="shared" si="15"/>
        <v>7.0710678118654737</v>
      </c>
      <c r="K39">
        <f t="shared" si="16"/>
        <v>4.9289321881345263</v>
      </c>
      <c r="L39" s="15">
        <f t="shared" ca="1" si="17"/>
        <v>3.5739106262435365E-4</v>
      </c>
      <c r="M39" s="9">
        <f t="shared" ca="1" si="18"/>
        <v>10.364340816106257</v>
      </c>
      <c r="N39" s="7">
        <f t="shared" ca="1" si="19"/>
        <v>6.218604489663754</v>
      </c>
      <c r="O39" s="7">
        <f t="shared" ca="1" si="20"/>
        <v>43.972174041583493</v>
      </c>
      <c r="P39" s="7">
        <f t="shared" ca="1" si="21"/>
        <v>43.972174041583514</v>
      </c>
      <c r="Q39" s="1">
        <v>5</v>
      </c>
      <c r="R39" s="7">
        <v>0.625</v>
      </c>
      <c r="S39" s="7">
        <v>0.31</v>
      </c>
      <c r="T39">
        <v>37</v>
      </c>
      <c r="U39">
        <f t="shared" si="0"/>
        <v>9.583626120567514</v>
      </c>
      <c r="V39">
        <f t="shared" si="1"/>
        <v>7.2217802778245792</v>
      </c>
    </row>
    <row r="40" spans="1:22" x14ac:dyDescent="0.25">
      <c r="A40">
        <v>4</v>
      </c>
      <c r="B40" s="5">
        <v>7</v>
      </c>
      <c r="C40" s="1">
        <f t="shared" ca="1" si="10"/>
        <v>0.6</v>
      </c>
      <c r="D40" s="8">
        <v>-7.0709999999999997</v>
      </c>
      <c r="E40" s="8">
        <v>7.0709999999999997</v>
      </c>
      <c r="G40">
        <f t="shared" ca="1" si="12"/>
        <v>-7.0709999999999997</v>
      </c>
      <c r="H40">
        <f t="shared" ca="1" si="13"/>
        <v>7.0709999999999997</v>
      </c>
      <c r="I40" s="7">
        <f t="shared" si="14"/>
        <v>-9.9999040995401547</v>
      </c>
      <c r="J40" s="7">
        <f t="shared" si="15"/>
        <v>0</v>
      </c>
      <c r="K40">
        <f t="shared" si="16"/>
        <v>12</v>
      </c>
      <c r="L40" s="15">
        <f t="shared" ca="1" si="17"/>
        <v>-3.4337073504169405E-3</v>
      </c>
      <c r="M40" s="9">
        <f t="shared" ca="1" si="18"/>
        <v>-60</v>
      </c>
      <c r="N40" s="7">
        <f t="shared" ca="1" si="19"/>
        <v>-36</v>
      </c>
      <c r="O40" s="7">
        <f t="shared" ca="1" si="20"/>
        <v>0</v>
      </c>
      <c r="P40" s="7">
        <f t="shared" ca="1" si="21"/>
        <v>-359.99654758344559</v>
      </c>
      <c r="Q40" s="1">
        <v>6</v>
      </c>
      <c r="R40" s="7">
        <v>0.75</v>
      </c>
      <c r="S40" s="7">
        <v>0.44</v>
      </c>
      <c r="T40">
        <v>38</v>
      </c>
      <c r="U40">
        <f t="shared" si="0"/>
        <v>9.4561290432806633</v>
      </c>
      <c r="V40">
        <f t="shared" si="1"/>
        <v>7.3879377039078999</v>
      </c>
    </row>
    <row r="41" spans="1:22" x14ac:dyDescent="0.25">
      <c r="A41">
        <v>5</v>
      </c>
      <c r="B41" s="5">
        <v>7</v>
      </c>
      <c r="C41" s="1">
        <f t="shared" ca="1" si="10"/>
        <v>0.6</v>
      </c>
      <c r="D41" s="8">
        <v>-10</v>
      </c>
      <c r="E41" s="8">
        <v>0</v>
      </c>
      <c r="G41">
        <f t="shared" ca="1" si="12"/>
        <v>-10</v>
      </c>
      <c r="H41">
        <f t="shared" ca="1" si="13"/>
        <v>0</v>
      </c>
      <c r="I41" s="7">
        <f t="shared" si="14"/>
        <v>-7.0710678118654737</v>
      </c>
      <c r="J41" s="7">
        <f t="shared" si="15"/>
        <v>-7.0710678118654773</v>
      </c>
      <c r="K41">
        <f t="shared" si="16"/>
        <v>19.071067811865476</v>
      </c>
      <c r="L41" s="15">
        <f t="shared" ca="1" si="17"/>
        <v>-7.2248057634582358E-3</v>
      </c>
      <c r="M41" s="9">
        <f t="shared" ca="1" si="18"/>
        <v>-60</v>
      </c>
      <c r="N41" s="7">
        <f t="shared" ca="1" si="19"/>
        <v>-36</v>
      </c>
      <c r="O41" s="7">
        <f t="shared" ca="1" si="20"/>
        <v>254.55844122715718</v>
      </c>
      <c r="P41" s="7">
        <f t="shared" ca="1" si="21"/>
        <v>-254.55844122715706</v>
      </c>
      <c r="Q41" s="1">
        <v>7</v>
      </c>
      <c r="R41" s="7">
        <v>0.875</v>
      </c>
      <c r="S41" s="7">
        <v>0.6</v>
      </c>
      <c r="T41">
        <v>39</v>
      </c>
      <c r="U41">
        <f t="shared" si="0"/>
        <v>9.3257515374836508</v>
      </c>
      <c r="V41">
        <f t="shared" si="1"/>
        <v>7.5518446925980491</v>
      </c>
    </row>
    <row r="42" spans="1:22" x14ac:dyDescent="0.25">
      <c r="A42">
        <v>6</v>
      </c>
      <c r="B42" s="5">
        <v>7</v>
      </c>
      <c r="C42" s="1">
        <f t="shared" ca="1" si="10"/>
        <v>0.6</v>
      </c>
      <c r="D42" s="8">
        <v>-7.0709999999999997</v>
      </c>
      <c r="E42" s="8">
        <v>-7.0709999999999997</v>
      </c>
      <c r="G42">
        <f t="shared" ca="1" si="12"/>
        <v>-7.0709999999999997</v>
      </c>
      <c r="H42">
        <f t="shared" ca="1" si="13"/>
        <v>-7.0709999999999997</v>
      </c>
      <c r="I42" s="7">
        <f t="shared" si="14"/>
        <v>0</v>
      </c>
      <c r="J42" s="7">
        <f t="shared" si="15"/>
        <v>-9.9999040995401547</v>
      </c>
      <c r="K42">
        <f t="shared" si="16"/>
        <v>21.999904099540153</v>
      </c>
      <c r="L42" s="15">
        <f t="shared" ca="1" si="17"/>
        <v>-8.7950787261399394E-3</v>
      </c>
      <c r="M42" s="9">
        <f t="shared" ca="1" si="18"/>
        <v>-60</v>
      </c>
      <c r="N42" s="7">
        <f t="shared" ca="1" si="19"/>
        <v>-36</v>
      </c>
      <c r="O42" s="7">
        <f t="shared" ca="1" si="20"/>
        <v>359.99654758344559</v>
      </c>
      <c r="P42" s="7">
        <f t="shared" ca="1" si="21"/>
        <v>0</v>
      </c>
      <c r="Q42" s="1">
        <v>8</v>
      </c>
      <c r="R42" s="7">
        <v>1</v>
      </c>
      <c r="S42" s="7">
        <v>0.79</v>
      </c>
      <c r="T42">
        <v>40</v>
      </c>
      <c r="U42">
        <f t="shared" si="0"/>
        <v>9.1925333174277366</v>
      </c>
      <c r="V42">
        <f t="shared" si="1"/>
        <v>7.713451316238471</v>
      </c>
    </row>
    <row r="43" spans="1:22" x14ac:dyDescent="0.25">
      <c r="A43">
        <v>7</v>
      </c>
      <c r="B43" s="5">
        <v>7</v>
      </c>
      <c r="C43" s="1">
        <f t="shared" ca="1" si="10"/>
        <v>0.6</v>
      </c>
      <c r="D43" s="8">
        <v>0</v>
      </c>
      <c r="E43" s="8">
        <v>-10</v>
      </c>
      <c r="G43">
        <f t="shared" ca="1" si="12"/>
        <v>0</v>
      </c>
      <c r="H43">
        <f t="shared" ca="1" si="13"/>
        <v>-10</v>
      </c>
      <c r="I43" s="7">
        <f t="shared" si="14"/>
        <v>7.0710678118654773</v>
      </c>
      <c r="J43" s="7">
        <f t="shared" si="15"/>
        <v>-7.0710678118654737</v>
      </c>
      <c r="K43">
        <f t="shared" si="16"/>
        <v>19.071067811865476</v>
      </c>
      <c r="L43" s="15">
        <f t="shared" ca="1" si="17"/>
        <v>-7.2248057634582358E-3</v>
      </c>
      <c r="M43" s="9">
        <f t="shared" ca="1" si="18"/>
        <v>-60</v>
      </c>
      <c r="N43" s="7">
        <f t="shared" ca="1" si="19"/>
        <v>-36</v>
      </c>
      <c r="O43" s="7">
        <f t="shared" ca="1" si="20"/>
        <v>254.55844122715706</v>
      </c>
      <c r="P43" s="7">
        <f t="shared" ca="1" si="21"/>
        <v>254.55844122715718</v>
      </c>
      <c r="Q43" s="1">
        <v>9</v>
      </c>
      <c r="R43" s="7">
        <v>1.1279999999999999</v>
      </c>
      <c r="S43" s="7">
        <v>1</v>
      </c>
      <c r="T43">
        <v>41</v>
      </c>
      <c r="U43">
        <f t="shared" si="0"/>
        <v>9.0565149626732637</v>
      </c>
      <c r="V43">
        <f t="shared" si="1"/>
        <v>7.8727083478860873</v>
      </c>
    </row>
    <row r="44" spans="1:22" x14ac:dyDescent="0.25">
      <c r="A44">
        <v>8</v>
      </c>
      <c r="B44" s="5">
        <v>7</v>
      </c>
      <c r="C44" s="1">
        <f t="shared" ca="1" si="10"/>
        <v>0.6</v>
      </c>
      <c r="D44" s="8">
        <v>7.0709999999999997</v>
      </c>
      <c r="E44" s="8">
        <v>-7.0709999999999997</v>
      </c>
      <c r="G44">
        <f t="shared" ca="1" si="12"/>
        <v>7.0709999999999997</v>
      </c>
      <c r="H44">
        <f t="shared" ca="1" si="13"/>
        <v>-7.0709999999999997</v>
      </c>
      <c r="I44" s="7">
        <f t="shared" si="14"/>
        <v>9.9999040995401547</v>
      </c>
      <c r="J44" s="7">
        <f t="shared" si="15"/>
        <v>0</v>
      </c>
      <c r="K44">
        <f t="shared" si="16"/>
        <v>12</v>
      </c>
      <c r="L44" s="15">
        <f t="shared" ca="1" si="17"/>
        <v>-3.4337073504169405E-3</v>
      </c>
      <c r="M44" s="9">
        <f t="shared" ca="1" si="18"/>
        <v>-60</v>
      </c>
      <c r="N44" s="7">
        <f t="shared" ca="1" si="19"/>
        <v>-36</v>
      </c>
      <c r="O44" s="7">
        <f t="shared" ca="1" si="20"/>
        <v>0</v>
      </c>
      <c r="P44" s="7">
        <f t="shared" ca="1" si="21"/>
        <v>359.99654758344559</v>
      </c>
      <c r="Q44" s="1">
        <v>10</v>
      </c>
      <c r="R44" s="7">
        <v>1.27</v>
      </c>
      <c r="S44" s="7">
        <v>1.27</v>
      </c>
      <c r="T44">
        <v>42</v>
      </c>
      <c r="U44">
        <f t="shared" si="0"/>
        <v>8.9177379057287318</v>
      </c>
      <c r="V44">
        <f t="shared" si="1"/>
        <v>8.0295672763062989</v>
      </c>
    </row>
    <row r="45" spans="1:22" x14ac:dyDescent="0.25">
      <c r="A45">
        <v>9</v>
      </c>
      <c r="B45" s="5">
        <v>0</v>
      </c>
      <c r="C45" s="1">
        <f t="shared" ca="1" si="10"/>
        <v>0</v>
      </c>
      <c r="D45" s="8"/>
      <c r="E45" s="8"/>
      <c r="G45" t="e">
        <f t="shared" ca="1" si="12"/>
        <v>#N/A</v>
      </c>
      <c r="H45" t="e">
        <f t="shared" ca="1" si="13"/>
        <v>#N/A</v>
      </c>
      <c r="I45" s="7">
        <f t="shared" si="14"/>
        <v>0</v>
      </c>
      <c r="J45" s="7">
        <f t="shared" si="15"/>
        <v>0</v>
      </c>
      <c r="K45">
        <f t="shared" si="16"/>
        <v>0</v>
      </c>
      <c r="L45" s="15">
        <f t="shared" ca="1" si="17"/>
        <v>0</v>
      </c>
      <c r="M45" s="9">
        <f t="shared" ca="1" si="18"/>
        <v>0</v>
      </c>
      <c r="N45" s="7">
        <f t="shared" ca="1" si="19"/>
        <v>0</v>
      </c>
      <c r="O45" s="7">
        <f t="shared" ca="1" si="20"/>
        <v>0</v>
      </c>
      <c r="P45" s="7">
        <f t="shared" ca="1" si="21"/>
        <v>0</v>
      </c>
      <c r="Q45" s="1">
        <v>11</v>
      </c>
      <c r="R45" s="7">
        <v>1.41</v>
      </c>
      <c r="S45" s="7">
        <v>1.56</v>
      </c>
      <c r="T45">
        <v>43</v>
      </c>
      <c r="U45">
        <f t="shared" si="0"/>
        <v>8.7762444194300464</v>
      </c>
      <c r="V45">
        <f t="shared" si="1"/>
        <v>8.1839803207499813</v>
      </c>
    </row>
    <row r="46" spans="1:22" x14ac:dyDescent="0.25">
      <c r="A46">
        <v>10</v>
      </c>
      <c r="B46" s="5">
        <v>0</v>
      </c>
      <c r="C46" s="1">
        <f t="shared" ca="1" si="10"/>
        <v>0</v>
      </c>
      <c r="D46" s="8"/>
      <c r="E46" s="8"/>
      <c r="G46" t="e">
        <f t="shared" ca="1" si="12"/>
        <v>#N/A</v>
      </c>
      <c r="H46" t="e">
        <f t="shared" ca="1" si="13"/>
        <v>#N/A</v>
      </c>
      <c r="I46" s="7">
        <f t="shared" si="14"/>
        <v>0</v>
      </c>
      <c r="J46" s="7">
        <f t="shared" si="15"/>
        <v>0</v>
      </c>
      <c r="K46">
        <f t="shared" si="16"/>
        <v>0</v>
      </c>
      <c r="L46" s="15">
        <f t="shared" ca="1" si="17"/>
        <v>0</v>
      </c>
      <c r="M46" s="9">
        <f t="shared" ca="1" si="18"/>
        <v>0</v>
      </c>
      <c r="N46" s="7">
        <f t="shared" ca="1" si="19"/>
        <v>0</v>
      </c>
      <c r="O46" s="7">
        <f t="shared" ca="1" si="20"/>
        <v>0</v>
      </c>
      <c r="P46" s="7">
        <f t="shared" ca="1" si="21"/>
        <v>0</v>
      </c>
      <c r="Q46" s="1">
        <v>14</v>
      </c>
      <c r="R46" s="7">
        <v>1.6930000000000001</v>
      </c>
      <c r="S46" s="7">
        <v>2.25</v>
      </c>
      <c r="T46">
        <v>44</v>
      </c>
      <c r="U46">
        <f t="shared" si="0"/>
        <v>8.6320776040638147</v>
      </c>
      <c r="V46">
        <f t="shared" si="1"/>
        <v>8.335900445507967</v>
      </c>
    </row>
    <row r="47" spans="1:22" x14ac:dyDescent="0.25">
      <c r="A47">
        <v>11</v>
      </c>
      <c r="B47" s="5">
        <v>0</v>
      </c>
      <c r="C47" s="1">
        <f t="shared" ca="1" si="10"/>
        <v>0</v>
      </c>
      <c r="D47" s="8"/>
      <c r="E47" s="8"/>
      <c r="G47" t="e">
        <f t="shared" ca="1" si="12"/>
        <v>#N/A</v>
      </c>
      <c r="H47" t="e">
        <f t="shared" ca="1" si="13"/>
        <v>#N/A</v>
      </c>
      <c r="I47" s="7">
        <f t="shared" si="14"/>
        <v>0</v>
      </c>
      <c r="J47" s="7">
        <f t="shared" si="15"/>
        <v>0</v>
      </c>
      <c r="K47">
        <f t="shared" si="16"/>
        <v>0</v>
      </c>
      <c r="L47" s="15">
        <f t="shared" ca="1" si="17"/>
        <v>0</v>
      </c>
      <c r="M47" s="9">
        <f t="shared" ca="1" si="18"/>
        <v>0</v>
      </c>
      <c r="N47" s="7">
        <f t="shared" ca="1" si="19"/>
        <v>0</v>
      </c>
      <c r="O47" s="7">
        <f t="shared" ca="1" si="20"/>
        <v>0</v>
      </c>
      <c r="P47" s="7">
        <f t="shared" ca="1" si="21"/>
        <v>0</v>
      </c>
      <c r="Q47" s="1">
        <v>18</v>
      </c>
      <c r="R47" s="7">
        <v>2.2570000000000001</v>
      </c>
      <c r="S47" s="7">
        <v>4</v>
      </c>
      <c r="T47">
        <v>45</v>
      </c>
      <c r="U47">
        <f t="shared" si="0"/>
        <v>8.4852813742385713</v>
      </c>
      <c r="V47">
        <f t="shared" si="1"/>
        <v>8.4852813742385695</v>
      </c>
    </row>
    <row r="48" spans="1:22" x14ac:dyDescent="0.25">
      <c r="A48">
        <v>12</v>
      </c>
      <c r="B48" s="5">
        <v>0</v>
      </c>
      <c r="C48" s="1">
        <f t="shared" ca="1" si="10"/>
        <v>0</v>
      </c>
      <c r="D48" s="8"/>
      <c r="E48" s="8"/>
      <c r="G48" t="e">
        <f t="shared" ca="1" si="12"/>
        <v>#N/A</v>
      </c>
      <c r="H48" t="e">
        <f t="shared" ca="1" si="13"/>
        <v>#N/A</v>
      </c>
      <c r="I48" s="7">
        <f t="shared" si="14"/>
        <v>0</v>
      </c>
      <c r="J48" s="7">
        <f t="shared" si="15"/>
        <v>0</v>
      </c>
      <c r="K48">
        <f t="shared" si="16"/>
        <v>0</v>
      </c>
      <c r="L48" s="15">
        <f t="shared" ca="1" si="17"/>
        <v>0</v>
      </c>
      <c r="M48" s="9">
        <f t="shared" ca="1" si="18"/>
        <v>0</v>
      </c>
      <c r="N48" s="7">
        <f t="shared" ca="1" si="19"/>
        <v>0</v>
      </c>
      <c r="O48" s="7">
        <f t="shared" ca="1" si="20"/>
        <v>0</v>
      </c>
      <c r="P48" s="7">
        <f t="shared" ca="1" si="21"/>
        <v>0</v>
      </c>
      <c r="T48">
        <v>46</v>
      </c>
      <c r="U48">
        <f t="shared" si="0"/>
        <v>8.335900445507967</v>
      </c>
      <c r="V48">
        <f t="shared" si="1"/>
        <v>8.632077604063813</v>
      </c>
    </row>
    <row r="49" spans="1:22" x14ac:dyDescent="0.25">
      <c r="A49">
        <v>13</v>
      </c>
      <c r="B49" s="5">
        <v>0</v>
      </c>
      <c r="C49" s="1">
        <f t="shared" ca="1" si="10"/>
        <v>0</v>
      </c>
      <c r="D49" s="8"/>
      <c r="E49" s="8"/>
      <c r="G49" t="e">
        <f t="shared" ca="1" si="12"/>
        <v>#N/A</v>
      </c>
      <c r="H49" t="e">
        <f t="shared" ca="1" si="13"/>
        <v>#N/A</v>
      </c>
      <c r="I49" s="7">
        <f t="shared" si="14"/>
        <v>0</v>
      </c>
      <c r="J49" s="7">
        <f t="shared" si="15"/>
        <v>0</v>
      </c>
      <c r="K49">
        <f t="shared" si="16"/>
        <v>0</v>
      </c>
      <c r="L49" s="15">
        <f t="shared" ca="1" si="17"/>
        <v>0</v>
      </c>
      <c r="M49" s="9">
        <f t="shared" ca="1" si="18"/>
        <v>0</v>
      </c>
      <c r="N49" s="7">
        <f t="shared" ca="1" si="19"/>
        <v>0</v>
      </c>
      <c r="O49" s="7">
        <f t="shared" ca="1" si="20"/>
        <v>0</v>
      </c>
      <c r="P49" s="7">
        <f t="shared" ca="1" si="21"/>
        <v>0</v>
      </c>
      <c r="T49">
        <v>47</v>
      </c>
      <c r="U49">
        <f t="shared" si="0"/>
        <v>8.1839803207499813</v>
      </c>
      <c r="V49">
        <f t="shared" si="1"/>
        <v>8.7762444194300464</v>
      </c>
    </row>
    <row r="50" spans="1:22" x14ac:dyDescent="0.25">
      <c r="A50">
        <v>14</v>
      </c>
      <c r="B50" s="5">
        <v>0</v>
      </c>
      <c r="C50" s="1">
        <f t="shared" ca="1" si="10"/>
        <v>0</v>
      </c>
      <c r="D50" s="8"/>
      <c r="E50" s="8"/>
      <c r="G50" t="e">
        <f t="shared" ca="1" si="12"/>
        <v>#N/A</v>
      </c>
      <c r="H50" t="e">
        <f t="shared" ca="1" si="13"/>
        <v>#N/A</v>
      </c>
      <c r="I50" s="7">
        <f t="shared" si="14"/>
        <v>0</v>
      </c>
      <c r="J50" s="7">
        <f t="shared" si="15"/>
        <v>0</v>
      </c>
      <c r="K50">
        <f t="shared" si="16"/>
        <v>0</v>
      </c>
      <c r="L50" s="15">
        <f t="shared" ca="1" si="17"/>
        <v>0</v>
      </c>
      <c r="M50" s="9">
        <f t="shared" ca="1" si="18"/>
        <v>0</v>
      </c>
      <c r="N50" s="7">
        <f t="shared" ca="1" si="19"/>
        <v>0</v>
      </c>
      <c r="O50" s="7">
        <f t="shared" ca="1" si="20"/>
        <v>0</v>
      </c>
      <c r="P50" s="7">
        <f t="shared" ca="1" si="21"/>
        <v>0</v>
      </c>
      <c r="T50">
        <v>48</v>
      </c>
      <c r="U50">
        <f t="shared" si="0"/>
        <v>8.0295672763062989</v>
      </c>
      <c r="V50">
        <f t="shared" si="1"/>
        <v>8.9177379057287318</v>
      </c>
    </row>
    <row r="51" spans="1:22" x14ac:dyDescent="0.25">
      <c r="A51">
        <v>15</v>
      </c>
      <c r="B51" s="5">
        <v>0</v>
      </c>
      <c r="C51" s="1">
        <f t="shared" ca="1" si="10"/>
        <v>0</v>
      </c>
      <c r="D51" s="8"/>
      <c r="E51" s="8"/>
      <c r="G51" t="e">
        <f t="shared" ca="1" si="12"/>
        <v>#N/A</v>
      </c>
      <c r="H51" t="e">
        <f t="shared" ca="1" si="13"/>
        <v>#N/A</v>
      </c>
      <c r="I51" s="7">
        <f t="shared" si="14"/>
        <v>0</v>
      </c>
      <c r="J51" s="7">
        <f t="shared" si="15"/>
        <v>0</v>
      </c>
      <c r="K51">
        <f t="shared" si="16"/>
        <v>0</v>
      </c>
      <c r="L51" s="15">
        <f t="shared" ca="1" si="17"/>
        <v>0</v>
      </c>
      <c r="M51" s="9">
        <f t="shared" ca="1" si="18"/>
        <v>0</v>
      </c>
      <c r="N51" s="7">
        <f t="shared" ca="1" si="19"/>
        <v>0</v>
      </c>
      <c r="O51" s="7">
        <f t="shared" ca="1" si="20"/>
        <v>0</v>
      </c>
      <c r="P51" s="7">
        <f t="shared" ca="1" si="21"/>
        <v>0</v>
      </c>
      <c r="T51">
        <v>49</v>
      </c>
      <c r="U51">
        <f t="shared" si="0"/>
        <v>7.8727083478860873</v>
      </c>
      <c r="V51">
        <f t="shared" si="1"/>
        <v>9.0565149626732637</v>
      </c>
    </row>
    <row r="52" spans="1:22" x14ac:dyDescent="0.25">
      <c r="A52">
        <v>16</v>
      </c>
      <c r="B52" s="5">
        <v>0</v>
      </c>
      <c r="C52" s="1">
        <f t="shared" ca="1" si="10"/>
        <v>0</v>
      </c>
      <c r="D52" s="8"/>
      <c r="E52" s="8"/>
      <c r="G52" t="e">
        <f t="shared" ca="1" si="12"/>
        <v>#N/A</v>
      </c>
      <c r="H52" t="e">
        <f t="shared" ca="1" si="13"/>
        <v>#N/A</v>
      </c>
      <c r="I52" s="7">
        <f t="shared" si="14"/>
        <v>0</v>
      </c>
      <c r="J52" s="7">
        <f t="shared" si="15"/>
        <v>0</v>
      </c>
      <c r="K52">
        <f t="shared" si="16"/>
        <v>0</v>
      </c>
      <c r="L52" s="15">
        <f t="shared" ca="1" si="17"/>
        <v>0</v>
      </c>
      <c r="M52" s="9">
        <f t="shared" ca="1" si="18"/>
        <v>0</v>
      </c>
      <c r="N52" s="7">
        <f t="shared" ca="1" si="19"/>
        <v>0</v>
      </c>
      <c r="O52" s="7">
        <f t="shared" ca="1" si="20"/>
        <v>0</v>
      </c>
      <c r="P52" s="7">
        <f t="shared" ca="1" si="21"/>
        <v>0</v>
      </c>
      <c r="T52">
        <v>50</v>
      </c>
      <c r="U52">
        <f t="shared" si="0"/>
        <v>7.7134513162384728</v>
      </c>
      <c r="V52">
        <f t="shared" si="1"/>
        <v>9.1925333174277366</v>
      </c>
    </row>
    <row r="53" spans="1:22" x14ac:dyDescent="0.25">
      <c r="A53">
        <v>17</v>
      </c>
      <c r="B53" s="5">
        <v>0</v>
      </c>
      <c r="C53" s="1">
        <f t="shared" ca="1" si="10"/>
        <v>0</v>
      </c>
      <c r="D53" s="8"/>
      <c r="E53" s="8"/>
      <c r="G53" t="e">
        <f t="shared" ca="1" si="12"/>
        <v>#N/A</v>
      </c>
      <c r="H53" t="e">
        <f t="shared" ca="1" si="13"/>
        <v>#N/A</v>
      </c>
      <c r="I53" s="7">
        <f t="shared" si="14"/>
        <v>0</v>
      </c>
      <c r="J53" s="7">
        <f t="shared" si="15"/>
        <v>0</v>
      </c>
      <c r="K53">
        <f t="shared" si="16"/>
        <v>0</v>
      </c>
      <c r="L53" s="15">
        <f t="shared" ca="1" si="17"/>
        <v>0</v>
      </c>
      <c r="M53" s="9">
        <f t="shared" ca="1" si="18"/>
        <v>0</v>
      </c>
      <c r="N53" s="7">
        <f t="shared" ca="1" si="19"/>
        <v>0</v>
      </c>
      <c r="O53" s="7">
        <f t="shared" ca="1" si="20"/>
        <v>0</v>
      </c>
      <c r="P53" s="7">
        <f t="shared" ca="1" si="21"/>
        <v>0</v>
      </c>
      <c r="T53">
        <v>51</v>
      </c>
      <c r="U53">
        <f t="shared" si="0"/>
        <v>7.55184469259805</v>
      </c>
      <c r="V53">
        <f t="shared" si="1"/>
        <v>9.3257515374836508</v>
      </c>
    </row>
    <row r="54" spans="1:22" x14ac:dyDescent="0.25">
      <c r="A54">
        <v>18</v>
      </c>
      <c r="B54" s="5">
        <v>0</v>
      </c>
      <c r="C54" s="1">
        <f t="shared" ca="1" si="10"/>
        <v>0</v>
      </c>
      <c r="D54" s="8"/>
      <c r="E54" s="8"/>
      <c r="G54" t="e">
        <f t="shared" ca="1" si="12"/>
        <v>#N/A</v>
      </c>
      <c r="H54" t="e">
        <f t="shared" ca="1" si="13"/>
        <v>#N/A</v>
      </c>
      <c r="I54" s="7">
        <f t="shared" si="14"/>
        <v>0</v>
      </c>
      <c r="J54" s="7">
        <f t="shared" si="15"/>
        <v>0</v>
      </c>
      <c r="K54">
        <f t="shared" si="16"/>
        <v>0</v>
      </c>
      <c r="L54" s="15">
        <f t="shared" ca="1" si="17"/>
        <v>0</v>
      </c>
      <c r="M54" s="9">
        <f t="shared" ca="1" si="18"/>
        <v>0</v>
      </c>
      <c r="N54" s="7">
        <f t="shared" ca="1" si="19"/>
        <v>0</v>
      </c>
      <c r="O54" s="7">
        <f t="shared" ca="1" si="20"/>
        <v>0</v>
      </c>
      <c r="P54" s="7">
        <f t="shared" ca="1" si="21"/>
        <v>0</v>
      </c>
      <c r="T54">
        <v>52</v>
      </c>
      <c r="U54">
        <f t="shared" si="0"/>
        <v>7.3879377039078999</v>
      </c>
      <c r="V54">
        <f t="shared" si="1"/>
        <v>9.4561290432806651</v>
      </c>
    </row>
    <row r="55" spans="1:22" x14ac:dyDescent="0.25">
      <c r="A55">
        <v>19</v>
      </c>
      <c r="B55" s="5">
        <v>0</v>
      </c>
      <c r="C55" s="1">
        <f t="shared" ca="1" si="10"/>
        <v>0</v>
      </c>
      <c r="D55" s="8"/>
      <c r="E55" s="8"/>
      <c r="G55" t="e">
        <f t="shared" ca="1" si="12"/>
        <v>#N/A</v>
      </c>
      <c r="H55" t="e">
        <f t="shared" ca="1" si="13"/>
        <v>#N/A</v>
      </c>
      <c r="I55" s="7">
        <f t="shared" si="14"/>
        <v>0</v>
      </c>
      <c r="J55" s="7">
        <f t="shared" si="15"/>
        <v>0</v>
      </c>
      <c r="K55">
        <f t="shared" si="16"/>
        <v>0</v>
      </c>
      <c r="L55" s="15">
        <f t="shared" ca="1" si="17"/>
        <v>0</v>
      </c>
      <c r="M55" s="9">
        <f t="shared" ca="1" si="18"/>
        <v>0</v>
      </c>
      <c r="N55" s="7">
        <f t="shared" ca="1" si="19"/>
        <v>0</v>
      </c>
      <c r="O55" s="7">
        <f t="shared" ca="1" si="20"/>
        <v>0</v>
      </c>
      <c r="P55" s="7">
        <f t="shared" ca="1" si="21"/>
        <v>0</v>
      </c>
      <c r="T55">
        <v>53</v>
      </c>
      <c r="U55">
        <f t="shared" si="0"/>
        <v>7.2217802778245801</v>
      </c>
      <c r="V55">
        <f t="shared" si="1"/>
        <v>9.583626120567514</v>
      </c>
    </row>
    <row r="56" spans="1:22" x14ac:dyDescent="0.25">
      <c r="A56">
        <v>20</v>
      </c>
      <c r="B56" s="5">
        <v>0</v>
      </c>
      <c r="C56" s="1">
        <f t="shared" ca="1" si="10"/>
        <v>0</v>
      </c>
      <c r="D56" s="8"/>
      <c r="E56" s="8"/>
      <c r="G56" t="e">
        <f t="shared" ca="1" si="12"/>
        <v>#N/A</v>
      </c>
      <c r="H56" t="e">
        <f t="shared" ca="1" si="13"/>
        <v>#N/A</v>
      </c>
      <c r="I56" s="7">
        <f t="shared" si="14"/>
        <v>0</v>
      </c>
      <c r="J56" s="7">
        <f t="shared" si="15"/>
        <v>0</v>
      </c>
      <c r="K56">
        <f t="shared" si="16"/>
        <v>0</v>
      </c>
      <c r="L56" s="15">
        <f t="shared" ca="1" si="17"/>
        <v>0</v>
      </c>
      <c r="M56" s="9">
        <f t="shared" ca="1" si="18"/>
        <v>0</v>
      </c>
      <c r="N56" s="7">
        <f t="shared" ca="1" si="19"/>
        <v>0</v>
      </c>
      <c r="O56" s="7">
        <f t="shared" ca="1" si="20"/>
        <v>0</v>
      </c>
      <c r="P56" s="7">
        <f t="shared" ca="1" si="21"/>
        <v>0</v>
      </c>
      <c r="T56">
        <v>54</v>
      </c>
      <c r="U56">
        <f t="shared" si="0"/>
        <v>7.0534230275096776</v>
      </c>
      <c r="V56">
        <f t="shared" si="1"/>
        <v>9.7082039324993694</v>
      </c>
    </row>
    <row r="57" spans="1:22" x14ac:dyDescent="0.25">
      <c r="A57">
        <v>21</v>
      </c>
      <c r="B57" s="5">
        <v>0</v>
      </c>
      <c r="C57" s="1">
        <f t="shared" ca="1" si="10"/>
        <v>0</v>
      </c>
      <c r="D57" s="8"/>
      <c r="E57" s="8"/>
      <c r="G57" t="e">
        <f t="shared" ca="1" si="12"/>
        <v>#N/A</v>
      </c>
      <c r="H57" t="e">
        <f t="shared" ca="1" si="13"/>
        <v>#N/A</v>
      </c>
      <c r="I57" s="7">
        <f t="shared" si="14"/>
        <v>0</v>
      </c>
      <c r="J57" s="7">
        <f t="shared" si="15"/>
        <v>0</v>
      </c>
      <c r="K57">
        <f t="shared" si="16"/>
        <v>0</v>
      </c>
      <c r="L57" s="15">
        <f t="shared" ca="1" si="17"/>
        <v>0</v>
      </c>
      <c r="M57" s="9">
        <f t="shared" ca="1" si="18"/>
        <v>0</v>
      </c>
      <c r="N57" s="7">
        <f t="shared" ca="1" si="19"/>
        <v>0</v>
      </c>
      <c r="O57" s="7">
        <f t="shared" ca="1" si="20"/>
        <v>0</v>
      </c>
      <c r="P57" s="7">
        <f t="shared" ca="1" si="21"/>
        <v>0</v>
      </c>
      <c r="T57">
        <v>55</v>
      </c>
      <c r="U57">
        <f t="shared" si="0"/>
        <v>6.8829172362125544</v>
      </c>
      <c r="V57">
        <f t="shared" si="1"/>
        <v>9.8298245314679011</v>
      </c>
    </row>
    <row r="58" spans="1:22" x14ac:dyDescent="0.25">
      <c r="A58">
        <v>22</v>
      </c>
      <c r="B58" s="5">
        <v>0</v>
      </c>
      <c r="C58" s="1">
        <f t="shared" ca="1" si="10"/>
        <v>0</v>
      </c>
      <c r="D58" s="8"/>
      <c r="E58" s="8"/>
      <c r="G58" t="e">
        <f t="shared" ca="1" si="12"/>
        <v>#N/A</v>
      </c>
      <c r="H58" t="e">
        <f t="shared" ca="1" si="13"/>
        <v>#N/A</v>
      </c>
      <c r="I58" s="7">
        <f t="shared" si="14"/>
        <v>0</v>
      </c>
      <c r="J58" s="7">
        <f t="shared" si="15"/>
        <v>0</v>
      </c>
      <c r="K58">
        <f t="shared" si="16"/>
        <v>0</v>
      </c>
      <c r="L58" s="15">
        <f t="shared" ca="1" si="17"/>
        <v>0</v>
      </c>
      <c r="M58" s="9">
        <f t="shared" ca="1" si="18"/>
        <v>0</v>
      </c>
      <c r="N58" s="7">
        <f t="shared" ca="1" si="19"/>
        <v>0</v>
      </c>
      <c r="O58" s="7">
        <f t="shared" ca="1" si="20"/>
        <v>0</v>
      </c>
      <c r="P58" s="7">
        <f t="shared" ca="1" si="21"/>
        <v>0</v>
      </c>
      <c r="T58">
        <v>56</v>
      </c>
      <c r="U58">
        <f t="shared" si="0"/>
        <v>6.7103148416489615</v>
      </c>
      <c r="V58">
        <f t="shared" si="1"/>
        <v>9.9484508706605013</v>
      </c>
    </row>
    <row r="59" spans="1:22" x14ac:dyDescent="0.25">
      <c r="A59">
        <v>23</v>
      </c>
      <c r="B59" s="5">
        <v>0</v>
      </c>
      <c r="C59" s="1">
        <f t="shared" ca="1" si="10"/>
        <v>0</v>
      </c>
      <c r="D59" s="8"/>
      <c r="E59" s="8"/>
      <c r="G59" t="e">
        <f t="shared" ca="1" si="12"/>
        <v>#N/A</v>
      </c>
      <c r="H59" t="e">
        <f t="shared" ca="1" si="13"/>
        <v>#N/A</v>
      </c>
      <c r="I59" s="7">
        <f t="shared" si="14"/>
        <v>0</v>
      </c>
      <c r="J59" s="7">
        <f t="shared" si="15"/>
        <v>0</v>
      </c>
      <c r="K59">
        <f t="shared" si="16"/>
        <v>0</v>
      </c>
      <c r="L59" s="15">
        <f t="shared" ca="1" si="17"/>
        <v>0</v>
      </c>
      <c r="M59" s="9">
        <f t="shared" ca="1" si="18"/>
        <v>0</v>
      </c>
      <c r="N59" s="7">
        <f t="shared" ca="1" si="19"/>
        <v>0</v>
      </c>
      <c r="O59" s="7">
        <f t="shared" ca="1" si="20"/>
        <v>0</v>
      </c>
      <c r="P59" s="7">
        <f t="shared" ca="1" si="21"/>
        <v>0</v>
      </c>
      <c r="T59">
        <v>57</v>
      </c>
      <c r="U59">
        <f t="shared" si="0"/>
        <v>6.5356684201803255</v>
      </c>
      <c r="V59">
        <f t="shared" si="1"/>
        <v>10.064046815345089</v>
      </c>
    </row>
    <row r="60" spans="1:22" x14ac:dyDescent="0.25">
      <c r="A60">
        <v>24</v>
      </c>
      <c r="B60" s="5">
        <v>0</v>
      </c>
      <c r="C60" s="1">
        <f t="shared" ca="1" si="10"/>
        <v>0</v>
      </c>
      <c r="D60" s="8"/>
      <c r="E60" s="8"/>
      <c r="G60" t="e">
        <f t="shared" ca="1" si="12"/>
        <v>#N/A</v>
      </c>
      <c r="H60" t="e">
        <f t="shared" ca="1" si="13"/>
        <v>#N/A</v>
      </c>
      <c r="I60" s="7">
        <f t="shared" si="14"/>
        <v>0</v>
      </c>
      <c r="J60" s="7">
        <f t="shared" si="15"/>
        <v>0</v>
      </c>
      <c r="K60">
        <f t="shared" si="16"/>
        <v>0</v>
      </c>
      <c r="L60" s="15">
        <f t="shared" ca="1" si="17"/>
        <v>0</v>
      </c>
      <c r="M60" s="9">
        <f t="shared" ca="1" si="18"/>
        <v>0</v>
      </c>
      <c r="N60" s="7">
        <f t="shared" ca="1" si="19"/>
        <v>0</v>
      </c>
      <c r="O60" s="7">
        <f t="shared" ca="1" si="20"/>
        <v>0</v>
      </c>
      <c r="P60" s="7">
        <f t="shared" ca="1" si="21"/>
        <v>0</v>
      </c>
      <c r="T60">
        <v>58</v>
      </c>
      <c r="U60">
        <f t="shared" si="0"/>
        <v>6.3590311707984588</v>
      </c>
      <c r="V60">
        <f t="shared" si="1"/>
        <v>10.176577153877112</v>
      </c>
    </row>
    <row r="61" spans="1:22" x14ac:dyDescent="0.25">
      <c r="A61">
        <v>25</v>
      </c>
      <c r="B61" s="5">
        <v>0</v>
      </c>
      <c r="C61" s="1">
        <f t="shared" ca="1" si="10"/>
        <v>0</v>
      </c>
      <c r="D61" s="8"/>
      <c r="E61" s="8"/>
      <c r="G61" t="e">
        <f t="shared" ca="1" si="12"/>
        <v>#N/A</v>
      </c>
      <c r="H61" t="e">
        <f t="shared" ca="1" si="13"/>
        <v>#N/A</v>
      </c>
      <c r="I61" s="7">
        <f t="shared" si="14"/>
        <v>0</v>
      </c>
      <c r="J61" s="7">
        <f t="shared" si="15"/>
        <v>0</v>
      </c>
      <c r="K61">
        <f t="shared" si="16"/>
        <v>0</v>
      </c>
      <c r="L61" s="15">
        <f t="shared" ca="1" si="17"/>
        <v>0</v>
      </c>
      <c r="M61" s="9">
        <f t="shared" ca="1" si="18"/>
        <v>0</v>
      </c>
      <c r="N61" s="7">
        <f t="shared" ca="1" si="19"/>
        <v>0</v>
      </c>
      <c r="O61" s="7">
        <f t="shared" ca="1" si="20"/>
        <v>0</v>
      </c>
      <c r="P61" s="7">
        <f t="shared" ca="1" si="21"/>
        <v>0</v>
      </c>
      <c r="T61">
        <v>59</v>
      </c>
      <c r="U61">
        <f t="shared" si="0"/>
        <v>6.1804568989206494</v>
      </c>
      <c r="V61">
        <f t="shared" si="1"/>
        <v>10.286007608425347</v>
      </c>
    </row>
    <row r="62" spans="1:22" x14ac:dyDescent="0.25">
      <c r="A62">
        <v>26</v>
      </c>
      <c r="B62" s="5">
        <v>0</v>
      </c>
      <c r="C62" s="1">
        <f t="shared" ca="1" si="10"/>
        <v>0</v>
      </c>
      <c r="D62" s="8"/>
      <c r="E62" s="8"/>
      <c r="G62" t="e">
        <f t="shared" ca="1" si="12"/>
        <v>#N/A</v>
      </c>
      <c r="H62" t="e">
        <f t="shared" ca="1" si="13"/>
        <v>#N/A</v>
      </c>
      <c r="I62" s="7">
        <f t="shared" si="14"/>
        <v>0</v>
      </c>
      <c r="J62" s="7">
        <f t="shared" si="15"/>
        <v>0</v>
      </c>
      <c r="K62">
        <f t="shared" si="16"/>
        <v>0</v>
      </c>
      <c r="L62" s="15">
        <f t="shared" ca="1" si="17"/>
        <v>0</v>
      </c>
      <c r="M62" s="9">
        <f t="shared" ca="1" si="18"/>
        <v>0</v>
      </c>
      <c r="N62" s="7">
        <f t="shared" ca="1" si="19"/>
        <v>0</v>
      </c>
      <c r="O62" s="7">
        <f t="shared" ca="1" si="20"/>
        <v>0</v>
      </c>
      <c r="P62" s="7">
        <f t="shared" ca="1" si="21"/>
        <v>0</v>
      </c>
      <c r="T62">
        <v>60</v>
      </c>
      <c r="U62">
        <f t="shared" si="0"/>
        <v>6.0000000000000018</v>
      </c>
      <c r="V62">
        <f t="shared" si="1"/>
        <v>10.392304845413264</v>
      </c>
    </row>
    <row r="63" spans="1:22" x14ac:dyDescent="0.25">
      <c r="A63">
        <v>27</v>
      </c>
      <c r="B63" s="5">
        <v>0</v>
      </c>
      <c r="C63" s="1">
        <f t="shared" ca="1" si="10"/>
        <v>0</v>
      </c>
      <c r="D63" s="8"/>
      <c r="E63" s="8"/>
      <c r="G63" t="e">
        <f t="shared" ca="1" si="12"/>
        <v>#N/A</v>
      </c>
      <c r="H63" t="e">
        <f t="shared" ca="1" si="13"/>
        <v>#N/A</v>
      </c>
      <c r="I63" s="7">
        <f t="shared" si="14"/>
        <v>0</v>
      </c>
      <c r="J63" s="7">
        <f t="shared" si="15"/>
        <v>0</v>
      </c>
      <c r="K63">
        <f t="shared" si="16"/>
        <v>0</v>
      </c>
      <c r="L63" s="15">
        <f t="shared" ca="1" si="17"/>
        <v>0</v>
      </c>
      <c r="M63" s="9">
        <f t="shared" ca="1" si="18"/>
        <v>0</v>
      </c>
      <c r="N63" s="7">
        <f t="shared" ca="1" si="19"/>
        <v>0</v>
      </c>
      <c r="O63" s="7">
        <f t="shared" ca="1" si="20"/>
        <v>0</v>
      </c>
      <c r="P63" s="7">
        <f t="shared" ca="1" si="21"/>
        <v>0</v>
      </c>
      <c r="T63">
        <v>61</v>
      </c>
      <c r="U63">
        <f t="shared" si="0"/>
        <v>5.8177154429560449</v>
      </c>
      <c r="V63">
        <f t="shared" si="1"/>
        <v>10.495436485672748</v>
      </c>
    </row>
    <row r="64" spans="1:22" x14ac:dyDescent="0.25">
      <c r="A64">
        <v>28</v>
      </c>
      <c r="B64" s="5">
        <v>0</v>
      </c>
      <c r="C64" s="1">
        <f t="shared" ca="1" si="10"/>
        <v>0</v>
      </c>
      <c r="D64" s="8"/>
      <c r="E64" s="8"/>
      <c r="G64" t="e">
        <f t="shared" ca="1" si="12"/>
        <v>#N/A</v>
      </c>
      <c r="H64" t="e">
        <f t="shared" ca="1" si="13"/>
        <v>#N/A</v>
      </c>
      <c r="I64" s="7">
        <f t="shared" si="14"/>
        <v>0</v>
      </c>
      <c r="J64" s="7">
        <f t="shared" si="15"/>
        <v>0</v>
      </c>
      <c r="K64">
        <f t="shared" si="16"/>
        <v>0</v>
      </c>
      <c r="L64" s="15">
        <f t="shared" ca="1" si="17"/>
        <v>0</v>
      </c>
      <c r="M64" s="9">
        <f t="shared" ca="1" si="18"/>
        <v>0</v>
      </c>
      <c r="N64" s="7">
        <f t="shared" ca="1" si="19"/>
        <v>0</v>
      </c>
      <c r="O64" s="7">
        <f t="shared" ca="1" si="20"/>
        <v>0</v>
      </c>
      <c r="P64" s="7">
        <f t="shared" ca="1" si="21"/>
        <v>0</v>
      </c>
      <c r="T64">
        <v>62</v>
      </c>
      <c r="U64">
        <f t="shared" si="0"/>
        <v>5.6336587534306908</v>
      </c>
      <c r="V64">
        <f t="shared" si="1"/>
        <v>10.595371114307122</v>
      </c>
    </row>
    <row r="65" spans="1:22" x14ac:dyDescent="0.25">
      <c r="A65">
        <v>29</v>
      </c>
      <c r="B65" s="5">
        <v>0</v>
      </c>
      <c r="C65" s="1">
        <f t="shared" ca="1" si="10"/>
        <v>0</v>
      </c>
      <c r="D65" s="8"/>
      <c r="E65" s="8"/>
      <c r="G65" t="e">
        <f t="shared" ca="1" si="12"/>
        <v>#N/A</v>
      </c>
      <c r="H65" t="e">
        <f t="shared" ca="1" si="13"/>
        <v>#N/A</v>
      </c>
      <c r="I65" s="7">
        <f t="shared" si="14"/>
        <v>0</v>
      </c>
      <c r="J65" s="7">
        <f t="shared" si="15"/>
        <v>0</v>
      </c>
      <c r="K65">
        <f t="shared" si="16"/>
        <v>0</v>
      </c>
      <c r="L65" s="15">
        <f t="shared" ca="1" si="17"/>
        <v>0</v>
      </c>
      <c r="M65" s="9">
        <f t="shared" ca="1" si="18"/>
        <v>0</v>
      </c>
      <c r="N65" s="7">
        <f t="shared" ca="1" si="19"/>
        <v>0</v>
      </c>
      <c r="O65" s="7">
        <f t="shared" ca="1" si="20"/>
        <v>0</v>
      </c>
      <c r="P65" s="7">
        <f t="shared" ca="1" si="21"/>
        <v>0</v>
      </c>
      <c r="T65">
        <v>63</v>
      </c>
      <c r="U65">
        <f t="shared" si="0"/>
        <v>5.4478859968745619</v>
      </c>
      <c r="V65">
        <f t="shared" si="1"/>
        <v>10.692078290260413</v>
      </c>
    </row>
    <row r="66" spans="1:22" x14ac:dyDescent="0.25">
      <c r="A66">
        <v>30</v>
      </c>
      <c r="B66" s="5">
        <v>0</v>
      </c>
      <c r="C66" s="1">
        <f t="shared" ca="1" si="10"/>
        <v>0</v>
      </c>
      <c r="D66" s="8"/>
      <c r="E66" s="8"/>
      <c r="G66" t="e">
        <f t="shared" ca="1" si="12"/>
        <v>#N/A</v>
      </c>
      <c r="H66" t="e">
        <f t="shared" ca="1" si="13"/>
        <v>#N/A</v>
      </c>
      <c r="I66" s="7">
        <f t="shared" si="14"/>
        <v>0</v>
      </c>
      <c r="J66" s="7">
        <f t="shared" si="15"/>
        <v>0</v>
      </c>
      <c r="K66">
        <f t="shared" si="16"/>
        <v>0</v>
      </c>
      <c r="L66" s="15">
        <f t="shared" ca="1" si="17"/>
        <v>0</v>
      </c>
      <c r="M66" s="9">
        <f t="shared" ca="1" si="18"/>
        <v>0</v>
      </c>
      <c r="N66" s="7">
        <f t="shared" ca="1" si="19"/>
        <v>0</v>
      </c>
      <c r="O66" s="7">
        <f t="shared" ca="1" si="20"/>
        <v>0</v>
      </c>
      <c r="P66" s="7">
        <f t="shared" ca="1" si="21"/>
        <v>0</v>
      </c>
      <c r="T66">
        <v>64</v>
      </c>
      <c r="U66">
        <f t="shared" si="0"/>
        <v>5.2604537614689297</v>
      </c>
      <c r="V66">
        <f t="shared" si="1"/>
        <v>10.785528555590005</v>
      </c>
    </row>
    <row r="67" spans="1:22" x14ac:dyDescent="0.25">
      <c r="A67">
        <v>31</v>
      </c>
      <c r="B67" s="5">
        <v>0</v>
      </c>
      <c r="C67" s="1">
        <f t="shared" ca="1" si="10"/>
        <v>0</v>
      </c>
      <c r="D67" s="8"/>
      <c r="E67" s="8"/>
      <c r="G67" t="e">
        <f t="shared" ca="1" si="12"/>
        <v>#N/A</v>
      </c>
      <c r="H67" t="e">
        <f t="shared" ca="1" si="13"/>
        <v>#N/A</v>
      </c>
      <c r="I67" s="7">
        <f t="shared" si="14"/>
        <v>0</v>
      </c>
      <c r="J67" s="7">
        <f t="shared" si="15"/>
        <v>0</v>
      </c>
      <c r="K67">
        <f t="shared" si="16"/>
        <v>0</v>
      </c>
      <c r="L67" s="15">
        <f t="shared" ca="1" si="17"/>
        <v>0</v>
      </c>
      <c r="M67" s="9">
        <f t="shared" ca="1" si="18"/>
        <v>0</v>
      </c>
      <c r="N67" s="7">
        <f t="shared" ca="1" si="19"/>
        <v>0</v>
      </c>
      <c r="O67" s="7">
        <f t="shared" ca="1" si="20"/>
        <v>0</v>
      </c>
      <c r="P67" s="7">
        <f t="shared" ca="1" si="21"/>
        <v>0</v>
      </c>
      <c r="T67">
        <v>65</v>
      </c>
      <c r="U67">
        <f t="shared" ref="U67:U130" si="22">$B$3*COS(RADIANS(T67))</f>
        <v>5.0714191408883931</v>
      </c>
      <c r="V67">
        <f t="shared" ref="V67:V130" si="23">$B$3*SIN(RADIANS(T67))</f>
        <v>10.875693444439799</v>
      </c>
    </row>
    <row r="68" spans="1:22" x14ac:dyDescent="0.25">
      <c r="A68">
        <v>32</v>
      </c>
      <c r="B68" s="5">
        <v>0</v>
      </c>
      <c r="C68" s="1">
        <f t="shared" ca="1" si="10"/>
        <v>0</v>
      </c>
      <c r="D68" s="8"/>
      <c r="E68" s="8"/>
      <c r="G68" t="e">
        <f t="shared" ca="1" si="12"/>
        <v>#N/A</v>
      </c>
      <c r="H68" t="e">
        <f t="shared" ca="1" si="13"/>
        <v>#N/A</v>
      </c>
      <c r="I68" s="7">
        <f t="shared" si="14"/>
        <v>0</v>
      </c>
      <c r="J68" s="7">
        <f t="shared" si="15"/>
        <v>0</v>
      </c>
      <c r="K68">
        <f t="shared" si="16"/>
        <v>0</v>
      </c>
      <c r="L68" s="15">
        <f t="shared" ca="1" si="17"/>
        <v>0</v>
      </c>
      <c r="M68" s="9">
        <f t="shared" ca="1" si="18"/>
        <v>0</v>
      </c>
      <c r="N68" s="7">
        <f t="shared" ca="1" si="19"/>
        <v>0</v>
      </c>
      <c r="O68" s="7">
        <f t="shared" ca="1" si="20"/>
        <v>0</v>
      </c>
      <c r="P68" s="7">
        <f t="shared" ca="1" si="21"/>
        <v>0</v>
      </c>
      <c r="T68">
        <v>66</v>
      </c>
      <c r="U68">
        <f t="shared" si="22"/>
        <v>4.8808397169096027</v>
      </c>
      <c r="V68">
        <f t="shared" si="23"/>
        <v>10.962545491711211</v>
      </c>
    </row>
    <row r="69" spans="1:22" x14ac:dyDescent="0.25">
      <c r="A69">
        <v>33</v>
      </c>
      <c r="B69" s="5">
        <v>0</v>
      </c>
      <c r="C69" s="1">
        <f t="shared" ref="C69:C100" ca="1" si="24">OFFSET($Q$36,MATCH(B69,$Q$36:$Q$47,0)-1,2)</f>
        <v>0</v>
      </c>
      <c r="D69" s="8"/>
      <c r="E69" s="8"/>
      <c r="G69" t="e">
        <f t="shared" ca="1" si="12"/>
        <v>#N/A</v>
      </c>
      <c r="H69" t="e">
        <f t="shared" ca="1" si="13"/>
        <v>#N/A</v>
      </c>
      <c r="I69" s="7">
        <f t="shared" si="14"/>
        <v>0</v>
      </c>
      <c r="J69" s="7">
        <f t="shared" si="15"/>
        <v>0</v>
      </c>
      <c r="K69">
        <f t="shared" si="16"/>
        <v>0</v>
      </c>
      <c r="L69" s="15">
        <f t="shared" ca="1" si="17"/>
        <v>0</v>
      </c>
      <c r="M69" s="9">
        <f t="shared" ca="1" si="18"/>
        <v>0</v>
      </c>
      <c r="N69" s="7">
        <f t="shared" ca="1" si="19"/>
        <v>0</v>
      </c>
      <c r="O69" s="7">
        <f t="shared" ca="1" si="20"/>
        <v>0</v>
      </c>
      <c r="P69" s="7">
        <f t="shared" ca="1" si="21"/>
        <v>0</v>
      </c>
      <c r="T69">
        <v>67</v>
      </c>
      <c r="U69">
        <f t="shared" si="22"/>
        <v>4.688773541871285</v>
      </c>
      <c r="V69">
        <f t="shared" si="23"/>
        <v>11.046058241429284</v>
      </c>
    </row>
    <row r="70" spans="1:22" x14ac:dyDescent="0.25">
      <c r="A70">
        <v>34</v>
      </c>
      <c r="B70" s="5">
        <v>0</v>
      </c>
      <c r="C70" s="1">
        <f t="shared" ca="1" si="24"/>
        <v>0</v>
      </c>
      <c r="D70" s="8"/>
      <c r="E70" s="8"/>
      <c r="G70" t="e">
        <f t="shared" ca="1" si="12"/>
        <v>#N/A</v>
      </c>
      <c r="H70" t="e">
        <f t="shared" ca="1" si="13"/>
        <v>#N/A</v>
      </c>
      <c r="I70" s="7">
        <f t="shared" si="14"/>
        <v>0</v>
      </c>
      <c r="J70" s="7">
        <f t="shared" si="15"/>
        <v>0</v>
      </c>
      <c r="K70">
        <f t="shared" si="16"/>
        <v>0</v>
      </c>
      <c r="L70" s="15">
        <f t="shared" ca="1" si="17"/>
        <v>0</v>
      </c>
      <c r="M70" s="9">
        <f t="shared" ca="1" si="18"/>
        <v>0</v>
      </c>
      <c r="N70" s="7">
        <f t="shared" ca="1" si="19"/>
        <v>0</v>
      </c>
      <c r="O70" s="7">
        <f t="shared" ca="1" si="20"/>
        <v>0</v>
      </c>
      <c r="P70" s="7">
        <f t="shared" ca="1" si="21"/>
        <v>0</v>
      </c>
      <c r="T70">
        <v>68</v>
      </c>
      <c r="U70">
        <f t="shared" si="22"/>
        <v>4.4952791209909435</v>
      </c>
      <c r="V70">
        <f t="shared" si="23"/>
        <v>11.126206254801449</v>
      </c>
    </row>
    <row r="71" spans="1:22" x14ac:dyDescent="0.25">
      <c r="A71">
        <v>35</v>
      </c>
      <c r="B71" s="5">
        <v>0</v>
      </c>
      <c r="C71" s="1">
        <f t="shared" ca="1" si="24"/>
        <v>0</v>
      </c>
      <c r="D71" s="8"/>
      <c r="E71" s="8"/>
      <c r="G71" t="e">
        <f t="shared" ca="1" si="12"/>
        <v>#N/A</v>
      </c>
      <c r="H71" t="e">
        <f t="shared" ca="1" si="13"/>
        <v>#N/A</v>
      </c>
      <c r="I71" s="7">
        <f t="shared" si="14"/>
        <v>0</v>
      </c>
      <c r="J71" s="7">
        <f t="shared" si="15"/>
        <v>0</v>
      </c>
      <c r="K71">
        <f t="shared" si="16"/>
        <v>0</v>
      </c>
      <c r="L71" s="15">
        <f t="shared" ca="1" si="17"/>
        <v>0</v>
      </c>
      <c r="M71" s="9">
        <f t="shared" ca="1" si="18"/>
        <v>0</v>
      </c>
      <c r="N71" s="7">
        <f t="shared" ca="1" si="19"/>
        <v>0</v>
      </c>
      <c r="O71" s="7">
        <f t="shared" ca="1" si="20"/>
        <v>0</v>
      </c>
      <c r="P71" s="7">
        <f t="shared" ca="1" si="21"/>
        <v>0</v>
      </c>
      <c r="T71">
        <v>69</v>
      </c>
      <c r="U71">
        <f t="shared" si="22"/>
        <v>4.3004153945436041</v>
      </c>
      <c r="V71">
        <f t="shared" si="23"/>
        <v>11.202965117966421</v>
      </c>
    </row>
    <row r="72" spans="1:22" x14ac:dyDescent="0.25">
      <c r="A72">
        <v>36</v>
      </c>
      <c r="B72" s="5">
        <v>0</v>
      </c>
      <c r="C72" s="1">
        <f t="shared" ca="1" si="24"/>
        <v>0</v>
      </c>
      <c r="D72" s="8"/>
      <c r="E72" s="8"/>
      <c r="G72" t="e">
        <f t="shared" ca="1" si="12"/>
        <v>#N/A</v>
      </c>
      <c r="H72" t="e">
        <f t="shared" ca="1" si="13"/>
        <v>#N/A</v>
      </c>
      <c r="I72" s="7">
        <f t="shared" si="14"/>
        <v>0</v>
      </c>
      <c r="J72" s="7">
        <f t="shared" si="15"/>
        <v>0</v>
      </c>
      <c r="K72">
        <f t="shared" si="16"/>
        <v>0</v>
      </c>
      <c r="L72" s="15">
        <f t="shared" ca="1" si="17"/>
        <v>0</v>
      </c>
      <c r="M72" s="9">
        <f t="shared" ca="1" si="18"/>
        <v>0</v>
      </c>
      <c r="N72" s="7">
        <f t="shared" ca="1" si="19"/>
        <v>0</v>
      </c>
      <c r="O72" s="7">
        <f t="shared" ca="1" si="20"/>
        <v>0</v>
      </c>
      <c r="P72" s="7">
        <f t="shared" ca="1" si="21"/>
        <v>0</v>
      </c>
      <c r="T72">
        <v>70</v>
      </c>
      <c r="U72">
        <f t="shared" si="22"/>
        <v>4.1042417199080257</v>
      </c>
      <c r="V72">
        <f t="shared" si="23"/>
        <v>11.276311449430899</v>
      </c>
    </row>
    <row r="73" spans="1:22" x14ac:dyDescent="0.25">
      <c r="A73">
        <v>37</v>
      </c>
      <c r="B73" s="5">
        <v>0</v>
      </c>
      <c r="C73" s="1">
        <f t="shared" ca="1" si="24"/>
        <v>0</v>
      </c>
      <c r="D73" s="8"/>
      <c r="E73" s="8"/>
      <c r="G73" t="e">
        <f t="shared" ca="1" si="12"/>
        <v>#N/A</v>
      </c>
      <c r="H73" t="e">
        <f t="shared" ca="1" si="13"/>
        <v>#N/A</v>
      </c>
      <c r="I73" s="7">
        <f t="shared" si="14"/>
        <v>0</v>
      </c>
      <c r="J73" s="7">
        <f t="shared" si="15"/>
        <v>0</v>
      </c>
      <c r="K73">
        <f t="shared" si="16"/>
        <v>0</v>
      </c>
      <c r="L73" s="15">
        <f t="shared" ca="1" si="17"/>
        <v>0</v>
      </c>
      <c r="M73" s="9">
        <f t="shared" ca="1" si="18"/>
        <v>0</v>
      </c>
      <c r="N73" s="7">
        <f t="shared" ca="1" si="19"/>
        <v>0</v>
      </c>
      <c r="O73" s="7">
        <f t="shared" ca="1" si="20"/>
        <v>0</v>
      </c>
      <c r="P73" s="7">
        <f t="shared" ca="1" si="21"/>
        <v>0</v>
      </c>
      <c r="T73">
        <v>71</v>
      </c>
      <c r="U73">
        <f t="shared" si="22"/>
        <v>3.9068178534858813</v>
      </c>
      <c r="V73">
        <f t="shared" si="23"/>
        <v>11.346222907191802</v>
      </c>
    </row>
    <row r="74" spans="1:22" x14ac:dyDescent="0.25">
      <c r="A74">
        <v>38</v>
      </c>
      <c r="B74" s="5">
        <v>0</v>
      </c>
      <c r="C74" s="1">
        <f t="shared" ca="1" si="24"/>
        <v>0</v>
      </c>
      <c r="D74" s="8"/>
      <c r="E74" s="8"/>
      <c r="G74" t="e">
        <f t="shared" ca="1" si="12"/>
        <v>#N/A</v>
      </c>
      <c r="H74" t="e">
        <f t="shared" ca="1" si="13"/>
        <v>#N/A</v>
      </c>
      <c r="I74" s="7">
        <f t="shared" si="14"/>
        <v>0</v>
      </c>
      <c r="J74" s="7">
        <f t="shared" si="15"/>
        <v>0</v>
      </c>
      <c r="K74">
        <f t="shared" si="16"/>
        <v>0</v>
      </c>
      <c r="L74" s="15">
        <f t="shared" ca="1" si="17"/>
        <v>0</v>
      </c>
      <c r="M74" s="9">
        <f t="shared" ca="1" si="18"/>
        <v>0</v>
      </c>
      <c r="N74" s="7">
        <f t="shared" ca="1" si="19"/>
        <v>0</v>
      </c>
      <c r="O74" s="7">
        <f t="shared" ca="1" si="20"/>
        <v>0</v>
      </c>
      <c r="P74" s="7">
        <f t="shared" ca="1" si="21"/>
        <v>0</v>
      </c>
      <c r="T74">
        <v>72</v>
      </c>
      <c r="U74">
        <f t="shared" si="22"/>
        <v>3.7082039324993694</v>
      </c>
      <c r="V74">
        <f t="shared" si="23"/>
        <v>11.412678195541842</v>
      </c>
    </row>
    <row r="75" spans="1:22" x14ac:dyDescent="0.25">
      <c r="A75">
        <v>39</v>
      </c>
      <c r="B75" s="5">
        <v>0</v>
      </c>
      <c r="C75" s="1">
        <f t="shared" ca="1" si="24"/>
        <v>0</v>
      </c>
      <c r="D75" s="8"/>
      <c r="E75" s="8"/>
      <c r="G75" t="e">
        <f t="shared" ca="1" si="12"/>
        <v>#N/A</v>
      </c>
      <c r="H75" t="e">
        <f t="shared" ca="1" si="13"/>
        <v>#N/A</v>
      </c>
      <c r="I75" s="7">
        <f t="shared" si="14"/>
        <v>0</v>
      </c>
      <c r="J75" s="7">
        <f t="shared" si="15"/>
        <v>0</v>
      </c>
      <c r="K75">
        <f t="shared" si="16"/>
        <v>0</v>
      </c>
      <c r="L75" s="15">
        <f t="shared" ca="1" si="17"/>
        <v>0</v>
      </c>
      <c r="M75" s="9">
        <f t="shared" ca="1" si="18"/>
        <v>0</v>
      </c>
      <c r="N75" s="7">
        <f t="shared" ca="1" si="19"/>
        <v>0</v>
      </c>
      <c r="O75" s="7">
        <f t="shared" ca="1" si="20"/>
        <v>0</v>
      </c>
      <c r="P75" s="7">
        <f t="shared" ca="1" si="21"/>
        <v>0</v>
      </c>
      <c r="T75">
        <v>73</v>
      </c>
      <c r="U75">
        <f t="shared" si="22"/>
        <v>3.5084604566728412</v>
      </c>
      <c r="V75">
        <f t="shared" si="23"/>
        <v>11.475657071556425</v>
      </c>
    </row>
    <row r="76" spans="1:22" x14ac:dyDescent="0.25">
      <c r="A76">
        <v>40</v>
      </c>
      <c r="B76" s="5">
        <v>0</v>
      </c>
      <c r="C76" s="1">
        <f t="shared" ca="1" si="24"/>
        <v>0</v>
      </c>
      <c r="D76" s="8"/>
      <c r="E76" s="8"/>
      <c r="G76" t="e">
        <f t="shared" ca="1" si="12"/>
        <v>#N/A</v>
      </c>
      <c r="H76" t="e">
        <f t="shared" ca="1" si="13"/>
        <v>#N/A</v>
      </c>
      <c r="I76" s="7">
        <f t="shared" si="14"/>
        <v>0</v>
      </c>
      <c r="J76" s="7">
        <f t="shared" si="15"/>
        <v>0</v>
      </c>
      <c r="K76">
        <f t="shared" si="16"/>
        <v>0</v>
      </c>
      <c r="L76" s="15">
        <f t="shared" ca="1" si="17"/>
        <v>0</v>
      </c>
      <c r="M76" s="9">
        <f t="shared" ca="1" si="18"/>
        <v>0</v>
      </c>
      <c r="N76" s="7">
        <f t="shared" ca="1" si="19"/>
        <v>0</v>
      </c>
      <c r="O76" s="7">
        <f t="shared" ca="1" si="20"/>
        <v>0</v>
      </c>
      <c r="P76" s="7">
        <f t="shared" ca="1" si="21"/>
        <v>0</v>
      </c>
      <c r="T76">
        <v>74</v>
      </c>
      <c r="U76">
        <f t="shared" si="22"/>
        <v>3.3076482698039902</v>
      </c>
      <c r="V76">
        <f t="shared" si="23"/>
        <v>11.535140351259827</v>
      </c>
    </row>
    <row r="77" spans="1:22" x14ac:dyDescent="0.25">
      <c r="A77">
        <v>41</v>
      </c>
      <c r="B77" s="5">
        <v>0</v>
      </c>
      <c r="C77" s="1">
        <f t="shared" ca="1" si="24"/>
        <v>0</v>
      </c>
      <c r="D77" s="8"/>
      <c r="E77" s="8"/>
      <c r="G77" t="e">
        <f t="shared" ca="1" si="12"/>
        <v>#N/A</v>
      </c>
      <c r="H77" t="e">
        <f t="shared" ca="1" si="13"/>
        <v>#N/A</v>
      </c>
      <c r="I77" s="7">
        <f t="shared" si="14"/>
        <v>0</v>
      </c>
      <c r="J77" s="7">
        <f t="shared" si="15"/>
        <v>0</v>
      </c>
      <c r="K77">
        <f t="shared" si="16"/>
        <v>0</v>
      </c>
      <c r="L77" s="15">
        <f t="shared" ca="1" si="17"/>
        <v>0</v>
      </c>
      <c r="M77" s="9">
        <f t="shared" ca="1" si="18"/>
        <v>0</v>
      </c>
      <c r="N77" s="7">
        <f t="shared" ca="1" si="19"/>
        <v>0</v>
      </c>
      <c r="O77" s="7">
        <f t="shared" ca="1" si="20"/>
        <v>0</v>
      </c>
      <c r="P77" s="7">
        <f t="shared" ca="1" si="21"/>
        <v>0</v>
      </c>
      <c r="T77">
        <v>75</v>
      </c>
      <c r="U77">
        <f t="shared" si="22"/>
        <v>3.1058285412302489</v>
      </c>
      <c r="V77">
        <f t="shared" si="23"/>
        <v>11.59110991546882</v>
      </c>
    </row>
    <row r="78" spans="1:22" x14ac:dyDescent="0.25">
      <c r="A78">
        <v>42</v>
      </c>
      <c r="B78" s="5">
        <v>0</v>
      </c>
      <c r="C78" s="1">
        <f t="shared" ca="1" si="24"/>
        <v>0</v>
      </c>
      <c r="D78" s="8"/>
      <c r="E78" s="8"/>
      <c r="G78" t="e">
        <f t="shared" ca="1" si="12"/>
        <v>#N/A</v>
      </c>
      <c r="H78" t="e">
        <f t="shared" ca="1" si="13"/>
        <v>#N/A</v>
      </c>
      <c r="I78" s="7">
        <f t="shared" si="14"/>
        <v>0</v>
      </c>
      <c r="J78" s="7">
        <f t="shared" si="15"/>
        <v>0</v>
      </c>
      <c r="K78">
        <f t="shared" si="16"/>
        <v>0</v>
      </c>
      <c r="L78" s="15">
        <f t="shared" ca="1" si="17"/>
        <v>0</v>
      </c>
      <c r="M78" s="9">
        <f t="shared" ca="1" si="18"/>
        <v>0</v>
      </c>
      <c r="N78" s="7">
        <f t="shared" ca="1" si="19"/>
        <v>0</v>
      </c>
      <c r="O78" s="7">
        <f t="shared" ca="1" si="20"/>
        <v>0</v>
      </c>
      <c r="P78" s="7">
        <f t="shared" ca="1" si="21"/>
        <v>0</v>
      </c>
      <c r="T78">
        <v>76</v>
      </c>
      <c r="U78">
        <f t="shared" si="22"/>
        <v>2.903062747196012</v>
      </c>
      <c r="V78">
        <f t="shared" si="23"/>
        <v>11.643548715311958</v>
      </c>
    </row>
    <row r="79" spans="1:22" x14ac:dyDescent="0.25">
      <c r="A79">
        <v>43</v>
      </c>
      <c r="B79" s="5">
        <v>0</v>
      </c>
      <c r="C79" s="1">
        <f t="shared" ca="1" si="24"/>
        <v>0</v>
      </c>
      <c r="D79" s="8"/>
      <c r="E79" s="8"/>
      <c r="G79" t="e">
        <f t="shared" ca="1" si="12"/>
        <v>#N/A</v>
      </c>
      <c r="H79" t="e">
        <f t="shared" ca="1" si="13"/>
        <v>#N/A</v>
      </c>
      <c r="I79" s="7">
        <f t="shared" si="14"/>
        <v>0</v>
      </c>
      <c r="J79" s="7">
        <f t="shared" si="15"/>
        <v>0</v>
      </c>
      <c r="K79">
        <f t="shared" si="16"/>
        <v>0</v>
      </c>
      <c r="L79" s="15">
        <f t="shared" ca="1" si="17"/>
        <v>0</v>
      </c>
      <c r="M79" s="9">
        <f t="shared" ca="1" si="18"/>
        <v>0</v>
      </c>
      <c r="N79" s="7">
        <f t="shared" ca="1" si="19"/>
        <v>0</v>
      </c>
      <c r="O79" s="7">
        <f t="shared" ca="1" si="20"/>
        <v>0</v>
      </c>
      <c r="P79" s="7">
        <f t="shared" ca="1" si="21"/>
        <v>0</v>
      </c>
      <c r="T79">
        <v>77</v>
      </c>
      <c r="U79">
        <f t="shared" si="22"/>
        <v>2.6994126521263793</v>
      </c>
      <c r="V79">
        <f t="shared" si="23"/>
        <v>11.692440777422823</v>
      </c>
    </row>
    <row r="80" spans="1:22" x14ac:dyDescent="0.25">
      <c r="A80">
        <v>44</v>
      </c>
      <c r="B80" s="5">
        <v>0</v>
      </c>
      <c r="C80" s="1">
        <f t="shared" ca="1" si="24"/>
        <v>0</v>
      </c>
      <c r="D80" s="8"/>
      <c r="E80" s="8"/>
      <c r="G80" t="e">
        <f t="shared" ca="1" si="12"/>
        <v>#N/A</v>
      </c>
      <c r="H80" t="e">
        <f t="shared" ca="1" si="13"/>
        <v>#N/A</v>
      </c>
      <c r="I80" s="7">
        <f t="shared" si="14"/>
        <v>0</v>
      </c>
      <c r="J80" s="7">
        <f t="shared" si="15"/>
        <v>0</v>
      </c>
      <c r="K80">
        <f t="shared" si="16"/>
        <v>0</v>
      </c>
      <c r="L80" s="15">
        <f t="shared" ca="1" si="17"/>
        <v>0</v>
      </c>
      <c r="M80" s="9">
        <f t="shared" ca="1" si="18"/>
        <v>0</v>
      </c>
      <c r="N80" s="7">
        <f t="shared" ca="1" si="19"/>
        <v>0</v>
      </c>
      <c r="O80" s="7">
        <f t="shared" ca="1" si="20"/>
        <v>0</v>
      </c>
      <c r="P80" s="7">
        <f t="shared" ca="1" si="21"/>
        <v>0</v>
      </c>
      <c r="T80">
        <v>78</v>
      </c>
      <c r="U80">
        <f t="shared" si="22"/>
        <v>2.4949402898131137</v>
      </c>
      <c r="V80">
        <f t="shared" si="23"/>
        <v>11.737771208805666</v>
      </c>
    </row>
    <row r="81" spans="1:22" x14ac:dyDescent="0.25">
      <c r="A81">
        <v>45</v>
      </c>
      <c r="B81" s="5">
        <v>0</v>
      </c>
      <c r="C81" s="1">
        <f t="shared" ca="1" si="24"/>
        <v>0</v>
      </c>
      <c r="D81" s="8"/>
      <c r="E81" s="8"/>
      <c r="G81" t="e">
        <f t="shared" ca="1" si="12"/>
        <v>#N/A</v>
      </c>
      <c r="H81" t="e">
        <f t="shared" ca="1" si="13"/>
        <v>#N/A</v>
      </c>
      <c r="I81" s="7">
        <f t="shared" si="14"/>
        <v>0</v>
      </c>
      <c r="J81" s="7">
        <f t="shared" si="15"/>
        <v>0</v>
      </c>
      <c r="K81">
        <f t="shared" si="16"/>
        <v>0</v>
      </c>
      <c r="L81" s="15">
        <f t="shared" ca="1" si="17"/>
        <v>0</v>
      </c>
      <c r="M81" s="9">
        <f t="shared" ca="1" si="18"/>
        <v>0</v>
      </c>
      <c r="N81" s="7">
        <f t="shared" ca="1" si="19"/>
        <v>0</v>
      </c>
      <c r="O81" s="7">
        <f t="shared" ca="1" si="20"/>
        <v>0</v>
      </c>
      <c r="P81" s="7">
        <f t="shared" ca="1" si="21"/>
        <v>0</v>
      </c>
      <c r="T81">
        <v>79</v>
      </c>
      <c r="U81">
        <f t="shared" si="22"/>
        <v>2.2897079445185389</v>
      </c>
      <c r="V81">
        <f t="shared" si="23"/>
        <v>11.779526201371969</v>
      </c>
    </row>
    <row r="82" spans="1:22" x14ac:dyDescent="0.25">
      <c r="A82">
        <v>46</v>
      </c>
      <c r="B82" s="5">
        <v>0</v>
      </c>
      <c r="C82" s="1">
        <f t="shared" ca="1" si="24"/>
        <v>0</v>
      </c>
      <c r="D82" s="8"/>
      <c r="E82" s="8"/>
      <c r="G82" t="e">
        <f t="shared" ca="1" si="12"/>
        <v>#N/A</v>
      </c>
      <c r="H82" t="e">
        <f t="shared" ca="1" si="13"/>
        <v>#N/A</v>
      </c>
      <c r="I82" s="7">
        <f t="shared" si="14"/>
        <v>0</v>
      </c>
      <c r="J82" s="7">
        <f t="shared" si="15"/>
        <v>0</v>
      </c>
      <c r="K82">
        <f t="shared" si="16"/>
        <v>0</v>
      </c>
      <c r="L82" s="15">
        <f t="shared" ca="1" si="17"/>
        <v>0</v>
      </c>
      <c r="M82" s="9">
        <f t="shared" ca="1" si="18"/>
        <v>0</v>
      </c>
      <c r="N82" s="7">
        <f t="shared" ca="1" si="19"/>
        <v>0</v>
      </c>
      <c r="O82" s="7">
        <f t="shared" ca="1" si="20"/>
        <v>0</v>
      </c>
      <c r="P82" s="7">
        <f t="shared" ca="1" si="21"/>
        <v>0</v>
      </c>
      <c r="T82">
        <v>80</v>
      </c>
      <c r="U82">
        <f t="shared" si="22"/>
        <v>2.083778132003165</v>
      </c>
      <c r="V82">
        <f t="shared" si="23"/>
        <v>11.817693036146496</v>
      </c>
    </row>
    <row r="83" spans="1:22" x14ac:dyDescent="0.25">
      <c r="A83">
        <v>47</v>
      </c>
      <c r="B83" s="5">
        <v>0</v>
      </c>
      <c r="C83" s="1">
        <f t="shared" ca="1" si="24"/>
        <v>0</v>
      </c>
      <c r="D83" s="8"/>
      <c r="E83" s="8"/>
      <c r="G83" t="e">
        <f t="shared" ca="1" si="12"/>
        <v>#N/A</v>
      </c>
      <c r="H83" t="e">
        <f t="shared" ca="1" si="13"/>
        <v>#N/A</v>
      </c>
      <c r="I83" s="7">
        <f t="shared" si="14"/>
        <v>0</v>
      </c>
      <c r="J83" s="7">
        <f t="shared" si="15"/>
        <v>0</v>
      </c>
      <c r="K83">
        <f t="shared" si="16"/>
        <v>0</v>
      </c>
      <c r="L83" s="15">
        <f t="shared" ca="1" si="17"/>
        <v>0</v>
      </c>
      <c r="M83" s="9">
        <f t="shared" ca="1" si="18"/>
        <v>0</v>
      </c>
      <c r="N83" s="7">
        <f t="shared" ca="1" si="19"/>
        <v>0</v>
      </c>
      <c r="O83" s="7">
        <f t="shared" ca="1" si="20"/>
        <v>0</v>
      </c>
      <c r="P83" s="7">
        <f t="shared" ca="1" si="21"/>
        <v>0</v>
      </c>
      <c r="T83">
        <v>81</v>
      </c>
      <c r="U83">
        <f t="shared" si="22"/>
        <v>1.877213580482771</v>
      </c>
      <c r="V83">
        <f t="shared" si="23"/>
        <v>11.852260087141653</v>
      </c>
    </row>
    <row r="84" spans="1:22" x14ac:dyDescent="0.25">
      <c r="A84">
        <v>48</v>
      </c>
      <c r="B84" s="5">
        <v>0</v>
      </c>
      <c r="C84" s="1">
        <f t="shared" ca="1" si="24"/>
        <v>0</v>
      </c>
      <c r="D84" s="8"/>
      <c r="E84" s="8"/>
      <c r="G84" t="e">
        <f t="shared" ca="1" si="12"/>
        <v>#N/A</v>
      </c>
      <c r="H84" t="e">
        <f t="shared" ca="1" si="13"/>
        <v>#N/A</v>
      </c>
      <c r="I84" s="7">
        <f t="shared" si="14"/>
        <v>0</v>
      </c>
      <c r="J84" s="7">
        <f t="shared" si="15"/>
        <v>0</v>
      </c>
      <c r="K84">
        <f t="shared" si="16"/>
        <v>0</v>
      </c>
      <c r="L84" s="15">
        <f t="shared" ca="1" si="17"/>
        <v>0</v>
      </c>
      <c r="M84" s="9">
        <f t="shared" ca="1" si="18"/>
        <v>0</v>
      </c>
      <c r="N84" s="7">
        <f t="shared" ca="1" si="19"/>
        <v>0</v>
      </c>
      <c r="O84" s="7">
        <f t="shared" ca="1" si="20"/>
        <v>0</v>
      </c>
      <c r="P84" s="7">
        <f t="shared" ca="1" si="21"/>
        <v>0</v>
      </c>
      <c r="T84">
        <v>82</v>
      </c>
      <c r="U84">
        <f t="shared" si="22"/>
        <v>1.6700772115207856</v>
      </c>
      <c r="V84">
        <f t="shared" si="23"/>
        <v>11.883216824898845</v>
      </c>
    </row>
    <row r="85" spans="1:22" x14ac:dyDescent="0.25">
      <c r="A85">
        <v>49</v>
      </c>
      <c r="B85" s="5">
        <v>0</v>
      </c>
      <c r="C85" s="1">
        <f t="shared" ca="1" si="24"/>
        <v>0</v>
      </c>
      <c r="D85" s="8"/>
      <c r="E85" s="8"/>
      <c r="G85" t="e">
        <f t="shared" ca="1" si="12"/>
        <v>#N/A</v>
      </c>
      <c r="H85" t="e">
        <f t="shared" ca="1" si="13"/>
        <v>#N/A</v>
      </c>
      <c r="I85" s="7">
        <f t="shared" si="14"/>
        <v>0</v>
      </c>
      <c r="J85" s="7">
        <f t="shared" si="15"/>
        <v>0</v>
      </c>
      <c r="K85">
        <f t="shared" si="16"/>
        <v>0</v>
      </c>
      <c r="L85" s="15">
        <f t="shared" ca="1" si="17"/>
        <v>0</v>
      </c>
      <c r="M85" s="9">
        <f t="shared" ca="1" si="18"/>
        <v>0</v>
      </c>
      <c r="N85" s="7">
        <f t="shared" ca="1" si="19"/>
        <v>0</v>
      </c>
      <c r="O85" s="7">
        <f t="shared" ca="1" si="20"/>
        <v>0</v>
      </c>
      <c r="P85" s="7">
        <f t="shared" ca="1" si="21"/>
        <v>0</v>
      </c>
      <c r="T85">
        <v>83</v>
      </c>
      <c r="U85">
        <f t="shared" si="22"/>
        <v>1.4624321208617699</v>
      </c>
      <c r="V85">
        <f t="shared" si="23"/>
        <v>11.910553819695863</v>
      </c>
    </row>
    <row r="86" spans="1:22" x14ac:dyDescent="0.25">
      <c r="A86">
        <v>50</v>
      </c>
      <c r="B86" s="5">
        <v>0</v>
      </c>
      <c r="C86" s="1">
        <f t="shared" ca="1" si="24"/>
        <v>0</v>
      </c>
      <c r="D86" s="8"/>
      <c r="E86" s="8"/>
      <c r="G86" t="e">
        <f t="shared" ca="1" si="12"/>
        <v>#N/A</v>
      </c>
      <c r="H86" t="e">
        <f t="shared" ca="1" si="13"/>
        <v>#N/A</v>
      </c>
      <c r="I86" s="7">
        <f t="shared" si="14"/>
        <v>0</v>
      </c>
      <c r="J86" s="7">
        <f t="shared" si="15"/>
        <v>0</v>
      </c>
      <c r="K86">
        <f t="shared" si="16"/>
        <v>0</v>
      </c>
      <c r="L86" s="15">
        <f t="shared" ca="1" si="17"/>
        <v>0</v>
      </c>
      <c r="M86" s="9">
        <f t="shared" ca="1" si="18"/>
        <v>0</v>
      </c>
      <c r="N86" s="7">
        <f t="shared" ca="1" si="19"/>
        <v>0</v>
      </c>
      <c r="O86" s="7">
        <f t="shared" ca="1" si="20"/>
        <v>0</v>
      </c>
      <c r="P86" s="7">
        <f t="shared" ca="1" si="21"/>
        <v>0</v>
      </c>
      <c r="T86">
        <v>84</v>
      </c>
      <c r="U86">
        <f t="shared" si="22"/>
        <v>1.2543415592118414</v>
      </c>
      <c r="V86">
        <f t="shared" si="23"/>
        <v>11.934262744419279</v>
      </c>
    </row>
    <row r="87" spans="1:22" x14ac:dyDescent="0.25">
      <c r="A87">
        <v>51</v>
      </c>
      <c r="B87" s="5">
        <v>0</v>
      </c>
      <c r="C87" s="1">
        <f t="shared" ca="1" si="24"/>
        <v>0</v>
      </c>
      <c r="D87" s="8"/>
      <c r="E87" s="8"/>
      <c r="G87" t="e">
        <f t="shared" ca="1" si="12"/>
        <v>#N/A</v>
      </c>
      <c r="H87" t="e">
        <f t="shared" ca="1" si="13"/>
        <v>#N/A</v>
      </c>
      <c r="I87" s="7">
        <f t="shared" si="14"/>
        <v>0</v>
      </c>
      <c r="J87" s="7">
        <f t="shared" si="15"/>
        <v>0</v>
      </c>
      <c r="K87">
        <f t="shared" si="16"/>
        <v>0</v>
      </c>
      <c r="L87" s="15">
        <f t="shared" ca="1" si="17"/>
        <v>0</v>
      </c>
      <c r="M87" s="9">
        <f t="shared" ca="1" si="18"/>
        <v>0</v>
      </c>
      <c r="N87" s="7">
        <f t="shared" ca="1" si="19"/>
        <v>0</v>
      </c>
      <c r="O87" s="7">
        <f t="shared" ca="1" si="20"/>
        <v>0</v>
      </c>
      <c r="P87" s="7">
        <f t="shared" ca="1" si="21"/>
        <v>0</v>
      </c>
      <c r="T87">
        <v>85</v>
      </c>
      <c r="U87">
        <f t="shared" si="22"/>
        <v>1.0458689129718977</v>
      </c>
      <c r="V87">
        <f t="shared" si="23"/>
        <v>11.954336377100947</v>
      </c>
    </row>
    <row r="88" spans="1:22" x14ac:dyDescent="0.25">
      <c r="A88">
        <v>52</v>
      </c>
      <c r="B88" s="5">
        <v>0</v>
      </c>
      <c r="C88" s="1">
        <f t="shared" ca="1" si="24"/>
        <v>0</v>
      </c>
      <c r="D88" s="8"/>
      <c r="E88" s="8"/>
      <c r="G88" t="e">
        <f t="shared" ca="1" si="12"/>
        <v>#N/A</v>
      </c>
      <c r="H88" t="e">
        <f t="shared" ca="1" si="13"/>
        <v>#N/A</v>
      </c>
      <c r="I88" s="7">
        <f t="shared" si="14"/>
        <v>0</v>
      </c>
      <c r="J88" s="7">
        <f t="shared" si="15"/>
        <v>0</v>
      </c>
      <c r="K88">
        <f t="shared" si="16"/>
        <v>0</v>
      </c>
      <c r="L88" s="15">
        <f t="shared" ca="1" si="17"/>
        <v>0</v>
      </c>
      <c r="M88" s="9">
        <f t="shared" ca="1" si="18"/>
        <v>0</v>
      </c>
      <c r="N88" s="7">
        <f t="shared" ca="1" si="19"/>
        <v>0</v>
      </c>
      <c r="O88" s="7">
        <f t="shared" ca="1" si="20"/>
        <v>0</v>
      </c>
      <c r="P88" s="7">
        <f t="shared" ca="1" si="21"/>
        <v>0</v>
      </c>
      <c r="T88">
        <v>86</v>
      </c>
      <c r="U88">
        <f t="shared" si="22"/>
        <v>0.83707768492950274</v>
      </c>
      <c r="V88">
        <f t="shared" si="23"/>
        <v>11.970768603117889</v>
      </c>
    </row>
    <row r="89" spans="1:22" x14ac:dyDescent="0.25">
      <c r="A89">
        <v>53</v>
      </c>
      <c r="B89" s="5">
        <v>0</v>
      </c>
      <c r="C89" s="1">
        <f t="shared" ca="1" si="24"/>
        <v>0</v>
      </c>
      <c r="D89" s="8"/>
      <c r="E89" s="8"/>
      <c r="G89" t="e">
        <f t="shared" ca="1" si="12"/>
        <v>#N/A</v>
      </c>
      <c r="H89" t="e">
        <f t="shared" ca="1" si="13"/>
        <v>#N/A</v>
      </c>
      <c r="I89" s="7">
        <f t="shared" si="14"/>
        <v>0</v>
      </c>
      <c r="J89" s="7">
        <f t="shared" si="15"/>
        <v>0</v>
      </c>
      <c r="K89">
        <f t="shared" si="16"/>
        <v>0</v>
      </c>
      <c r="L89" s="15">
        <f t="shared" ca="1" si="17"/>
        <v>0</v>
      </c>
      <c r="M89" s="9">
        <f t="shared" ca="1" si="18"/>
        <v>0</v>
      </c>
      <c r="N89" s="7">
        <f t="shared" ca="1" si="19"/>
        <v>0</v>
      </c>
      <c r="O89" s="7">
        <f t="shared" ca="1" si="20"/>
        <v>0</v>
      </c>
      <c r="P89" s="7">
        <f t="shared" ca="1" si="21"/>
        <v>0</v>
      </c>
      <c r="T89">
        <v>87</v>
      </c>
      <c r="U89">
        <f t="shared" si="22"/>
        <v>0.62803147491532763</v>
      </c>
      <c r="V89">
        <f t="shared" si="23"/>
        <v>11.983554417054886</v>
      </c>
    </row>
    <row r="90" spans="1:22" x14ac:dyDescent="0.25">
      <c r="A90">
        <v>54</v>
      </c>
      <c r="B90" s="5">
        <v>0</v>
      </c>
      <c r="C90" s="1">
        <f t="shared" ca="1" si="24"/>
        <v>0</v>
      </c>
      <c r="D90" s="8"/>
      <c r="E90" s="8"/>
      <c r="G90" t="e">
        <f t="shared" ca="1" si="12"/>
        <v>#N/A</v>
      </c>
      <c r="H90" t="e">
        <f t="shared" ca="1" si="13"/>
        <v>#N/A</v>
      </c>
      <c r="I90" s="7">
        <f t="shared" si="14"/>
        <v>0</v>
      </c>
      <c r="J90" s="7">
        <f t="shared" si="15"/>
        <v>0</v>
      </c>
      <c r="K90">
        <f t="shared" si="16"/>
        <v>0</v>
      </c>
      <c r="L90" s="15">
        <f t="shared" ca="1" si="17"/>
        <v>0</v>
      </c>
      <c r="M90" s="9">
        <f t="shared" ca="1" si="18"/>
        <v>0</v>
      </c>
      <c r="N90" s="7">
        <f t="shared" ca="1" si="19"/>
        <v>0</v>
      </c>
      <c r="O90" s="7">
        <f t="shared" ca="1" si="20"/>
        <v>0</v>
      </c>
      <c r="P90" s="7">
        <f t="shared" ca="1" si="21"/>
        <v>0</v>
      </c>
      <c r="T90">
        <v>88</v>
      </c>
      <c r="U90">
        <f t="shared" si="22"/>
        <v>0.41879396043001293</v>
      </c>
      <c r="V90">
        <f t="shared" si="23"/>
        <v>11.992689924229149</v>
      </c>
    </row>
    <row r="91" spans="1:22" x14ac:dyDescent="0.25">
      <c r="A91">
        <v>55</v>
      </c>
      <c r="B91" s="5">
        <v>0</v>
      </c>
      <c r="C91" s="1">
        <f t="shared" ca="1" si="24"/>
        <v>0</v>
      </c>
      <c r="D91" s="8"/>
      <c r="E91" s="8"/>
      <c r="G91" t="e">
        <f t="shared" ca="1" si="12"/>
        <v>#N/A</v>
      </c>
      <c r="H91" t="e">
        <f t="shared" ca="1" si="13"/>
        <v>#N/A</v>
      </c>
      <c r="I91" s="7">
        <f t="shared" si="14"/>
        <v>0</v>
      </c>
      <c r="J91" s="7">
        <f t="shared" si="15"/>
        <v>0</v>
      </c>
      <c r="K91">
        <f t="shared" si="16"/>
        <v>0</v>
      </c>
      <c r="L91" s="15">
        <f t="shared" ca="1" si="17"/>
        <v>0</v>
      </c>
      <c r="M91" s="9">
        <f t="shared" ca="1" si="18"/>
        <v>0</v>
      </c>
      <c r="N91" s="7">
        <f t="shared" ca="1" si="19"/>
        <v>0</v>
      </c>
      <c r="O91" s="7">
        <f t="shared" ca="1" si="20"/>
        <v>0</v>
      </c>
      <c r="P91" s="7">
        <f t="shared" ca="1" si="21"/>
        <v>0</v>
      </c>
      <c r="T91">
        <v>89</v>
      </c>
      <c r="U91">
        <f t="shared" si="22"/>
        <v>0.20942887724740317</v>
      </c>
      <c r="V91">
        <f t="shared" si="23"/>
        <v>11.998172341876696</v>
      </c>
    </row>
    <row r="92" spans="1:22" x14ac:dyDescent="0.25">
      <c r="A92">
        <v>56</v>
      </c>
      <c r="B92" s="5">
        <v>0</v>
      </c>
      <c r="C92" s="1">
        <f t="shared" ca="1" si="24"/>
        <v>0</v>
      </c>
      <c r="D92" s="8"/>
      <c r="E92" s="8"/>
      <c r="G92" t="e">
        <f t="shared" ca="1" si="12"/>
        <v>#N/A</v>
      </c>
      <c r="H92" t="e">
        <f t="shared" ca="1" si="13"/>
        <v>#N/A</v>
      </c>
      <c r="I92" s="7">
        <f t="shared" si="14"/>
        <v>0</v>
      </c>
      <c r="J92" s="7">
        <f t="shared" si="15"/>
        <v>0</v>
      </c>
      <c r="K92">
        <f t="shared" si="16"/>
        <v>0</v>
      </c>
      <c r="L92" s="15">
        <f t="shared" ca="1" si="17"/>
        <v>0</v>
      </c>
      <c r="M92" s="9">
        <f t="shared" ca="1" si="18"/>
        <v>0</v>
      </c>
      <c r="N92" s="7">
        <f t="shared" ca="1" si="19"/>
        <v>0</v>
      </c>
      <c r="O92" s="7">
        <f t="shared" ca="1" si="20"/>
        <v>0</v>
      </c>
      <c r="P92" s="7">
        <f t="shared" ca="1" si="21"/>
        <v>0</v>
      </c>
      <c r="T92">
        <v>90</v>
      </c>
      <c r="U92">
        <f t="shared" si="22"/>
        <v>7.3508907294517201E-16</v>
      </c>
      <c r="V92">
        <f t="shared" si="23"/>
        <v>12</v>
      </c>
    </row>
    <row r="93" spans="1:22" x14ac:dyDescent="0.25">
      <c r="A93">
        <v>57</v>
      </c>
      <c r="B93" s="5">
        <v>0</v>
      </c>
      <c r="C93" s="1">
        <f t="shared" ca="1" si="24"/>
        <v>0</v>
      </c>
      <c r="D93" s="8"/>
      <c r="E93" s="8"/>
      <c r="G93" t="e">
        <f t="shared" ca="1" si="12"/>
        <v>#N/A</v>
      </c>
      <c r="H93" t="e">
        <f t="shared" ca="1" si="13"/>
        <v>#N/A</v>
      </c>
      <c r="I93" s="7">
        <f t="shared" si="14"/>
        <v>0</v>
      </c>
      <c r="J93" s="7">
        <f t="shared" si="15"/>
        <v>0</v>
      </c>
      <c r="K93">
        <f t="shared" si="16"/>
        <v>0</v>
      </c>
      <c r="L93" s="15">
        <f t="shared" ca="1" si="17"/>
        <v>0</v>
      </c>
      <c r="M93" s="9">
        <f t="shared" ca="1" si="18"/>
        <v>0</v>
      </c>
      <c r="N93" s="7">
        <f t="shared" ca="1" si="19"/>
        <v>0</v>
      </c>
      <c r="O93" s="7">
        <f t="shared" ca="1" si="20"/>
        <v>0</v>
      </c>
      <c r="P93" s="7">
        <f t="shared" ca="1" si="21"/>
        <v>0</v>
      </c>
      <c r="T93">
        <v>91</v>
      </c>
      <c r="U93">
        <f t="shared" si="22"/>
        <v>-0.20942887724740172</v>
      </c>
      <c r="V93">
        <f t="shared" si="23"/>
        <v>11.998172341876696</v>
      </c>
    </row>
    <row r="94" spans="1:22" x14ac:dyDescent="0.25">
      <c r="A94">
        <v>58</v>
      </c>
      <c r="B94" s="5">
        <v>0</v>
      </c>
      <c r="C94" s="1">
        <f t="shared" ca="1" si="24"/>
        <v>0</v>
      </c>
      <c r="D94" s="8"/>
      <c r="E94" s="8"/>
      <c r="G94" t="e">
        <f t="shared" ca="1" si="12"/>
        <v>#N/A</v>
      </c>
      <c r="H94" t="e">
        <f t="shared" ca="1" si="13"/>
        <v>#N/A</v>
      </c>
      <c r="I94" s="7">
        <f t="shared" si="14"/>
        <v>0</v>
      </c>
      <c r="J94" s="7">
        <f t="shared" si="15"/>
        <v>0</v>
      </c>
      <c r="K94">
        <f t="shared" si="16"/>
        <v>0</v>
      </c>
      <c r="L94" s="15">
        <f t="shared" ca="1" si="17"/>
        <v>0</v>
      </c>
      <c r="M94" s="9">
        <f t="shared" ca="1" si="18"/>
        <v>0</v>
      </c>
      <c r="N94" s="7">
        <f t="shared" ca="1" si="19"/>
        <v>0</v>
      </c>
      <c r="O94" s="7">
        <f t="shared" ca="1" si="20"/>
        <v>0</v>
      </c>
      <c r="P94" s="7">
        <f t="shared" ca="1" si="21"/>
        <v>0</v>
      </c>
      <c r="T94">
        <v>92</v>
      </c>
      <c r="U94">
        <f t="shared" si="22"/>
        <v>-0.41879396043001149</v>
      </c>
      <c r="V94">
        <f t="shared" si="23"/>
        <v>11.992689924229149</v>
      </c>
    </row>
    <row r="95" spans="1:22" x14ac:dyDescent="0.25">
      <c r="A95">
        <v>59</v>
      </c>
      <c r="B95" s="5">
        <v>0</v>
      </c>
      <c r="C95" s="1">
        <f t="shared" ca="1" si="24"/>
        <v>0</v>
      </c>
      <c r="D95" s="8"/>
      <c r="E95" s="8"/>
      <c r="G95" t="e">
        <f t="shared" ca="1" si="12"/>
        <v>#N/A</v>
      </c>
      <c r="H95" t="e">
        <f t="shared" ca="1" si="13"/>
        <v>#N/A</v>
      </c>
      <c r="I95" s="7">
        <f t="shared" si="14"/>
        <v>0</v>
      </c>
      <c r="J95" s="7">
        <f t="shared" si="15"/>
        <v>0</v>
      </c>
      <c r="K95">
        <f t="shared" si="16"/>
        <v>0</v>
      </c>
      <c r="L95" s="15">
        <f t="shared" ca="1" si="17"/>
        <v>0</v>
      </c>
      <c r="M95" s="9">
        <f t="shared" ca="1" si="18"/>
        <v>0</v>
      </c>
      <c r="N95" s="7">
        <f t="shared" ca="1" si="19"/>
        <v>0</v>
      </c>
      <c r="O95" s="7">
        <f t="shared" ca="1" si="20"/>
        <v>0</v>
      </c>
      <c r="P95" s="7">
        <f t="shared" ca="1" si="21"/>
        <v>0</v>
      </c>
      <c r="T95">
        <v>93</v>
      </c>
      <c r="U95">
        <f t="shared" si="22"/>
        <v>-0.62803147491532607</v>
      </c>
      <c r="V95">
        <f t="shared" si="23"/>
        <v>11.983554417054886</v>
      </c>
    </row>
    <row r="96" spans="1:22" x14ac:dyDescent="0.25">
      <c r="A96">
        <v>60</v>
      </c>
      <c r="B96" s="5">
        <v>0</v>
      </c>
      <c r="C96" s="1">
        <f t="shared" ca="1" si="24"/>
        <v>0</v>
      </c>
      <c r="D96" s="8"/>
      <c r="E96" s="8"/>
      <c r="G96" t="e">
        <f t="shared" ca="1" si="12"/>
        <v>#N/A</v>
      </c>
      <c r="H96" t="e">
        <f t="shared" ca="1" si="13"/>
        <v>#N/A</v>
      </c>
      <c r="I96" s="7">
        <f t="shared" si="14"/>
        <v>0</v>
      </c>
      <c r="J96" s="7">
        <f t="shared" si="15"/>
        <v>0</v>
      </c>
      <c r="K96">
        <f t="shared" si="16"/>
        <v>0</v>
      </c>
      <c r="L96" s="15">
        <f t="shared" ca="1" si="17"/>
        <v>0</v>
      </c>
      <c r="M96" s="9">
        <f t="shared" ca="1" si="18"/>
        <v>0</v>
      </c>
      <c r="N96" s="7">
        <f t="shared" ca="1" si="19"/>
        <v>0</v>
      </c>
      <c r="O96" s="7">
        <f t="shared" ca="1" si="20"/>
        <v>0</v>
      </c>
      <c r="P96" s="7">
        <f t="shared" ca="1" si="21"/>
        <v>0</v>
      </c>
      <c r="T96">
        <v>94</v>
      </c>
      <c r="U96">
        <f t="shared" si="22"/>
        <v>-0.83707768492950396</v>
      </c>
      <c r="V96">
        <f t="shared" si="23"/>
        <v>11.970768603117889</v>
      </c>
    </row>
    <row r="97" spans="1:22" x14ac:dyDescent="0.25">
      <c r="A97">
        <v>61</v>
      </c>
      <c r="B97" s="5">
        <v>0</v>
      </c>
      <c r="C97" s="1">
        <f t="shared" ca="1" si="24"/>
        <v>0</v>
      </c>
      <c r="D97" s="8"/>
      <c r="E97" s="8"/>
      <c r="G97" t="e">
        <f t="shared" ca="1" si="12"/>
        <v>#N/A</v>
      </c>
      <c r="H97" t="e">
        <f t="shared" ca="1" si="13"/>
        <v>#N/A</v>
      </c>
      <c r="I97" s="7">
        <f t="shared" si="14"/>
        <v>0</v>
      </c>
      <c r="J97" s="7">
        <f t="shared" si="15"/>
        <v>0</v>
      </c>
      <c r="K97">
        <f t="shared" si="16"/>
        <v>0</v>
      </c>
      <c r="L97" s="15">
        <f t="shared" ca="1" si="17"/>
        <v>0</v>
      </c>
      <c r="M97" s="9">
        <f t="shared" ca="1" si="18"/>
        <v>0</v>
      </c>
      <c r="N97" s="7">
        <f t="shared" ca="1" si="19"/>
        <v>0</v>
      </c>
      <c r="O97" s="7">
        <f t="shared" ca="1" si="20"/>
        <v>0</v>
      </c>
      <c r="P97" s="7">
        <f t="shared" ca="1" si="21"/>
        <v>0</v>
      </c>
      <c r="T97">
        <v>95</v>
      </c>
      <c r="U97">
        <f t="shared" si="22"/>
        <v>-1.0458689129718988</v>
      </c>
      <c r="V97">
        <f t="shared" si="23"/>
        <v>11.954336377100947</v>
      </c>
    </row>
    <row r="98" spans="1:22" x14ac:dyDescent="0.25">
      <c r="A98">
        <v>62</v>
      </c>
      <c r="B98" s="5">
        <v>0</v>
      </c>
      <c r="C98" s="1">
        <f t="shared" ca="1" si="24"/>
        <v>0</v>
      </c>
      <c r="D98" s="8"/>
      <c r="E98" s="8"/>
      <c r="G98" t="e">
        <f t="shared" ca="1" si="12"/>
        <v>#N/A</v>
      </c>
      <c r="H98" t="e">
        <f t="shared" ca="1" si="13"/>
        <v>#N/A</v>
      </c>
      <c r="I98" s="7">
        <f t="shared" si="14"/>
        <v>0</v>
      </c>
      <c r="J98" s="7">
        <f t="shared" si="15"/>
        <v>0</v>
      </c>
      <c r="K98">
        <f t="shared" si="16"/>
        <v>0</v>
      </c>
      <c r="L98" s="15">
        <f t="shared" ca="1" si="17"/>
        <v>0</v>
      </c>
      <c r="M98" s="9">
        <f t="shared" ca="1" si="18"/>
        <v>0</v>
      </c>
      <c r="N98" s="7">
        <f t="shared" ca="1" si="19"/>
        <v>0</v>
      </c>
      <c r="O98" s="7">
        <f t="shared" ca="1" si="20"/>
        <v>0</v>
      </c>
      <c r="P98" s="7">
        <f t="shared" ca="1" si="21"/>
        <v>0</v>
      </c>
      <c r="T98">
        <v>96</v>
      </c>
      <c r="U98">
        <f t="shared" si="22"/>
        <v>-1.2543415592118428</v>
      </c>
      <c r="V98">
        <f t="shared" si="23"/>
        <v>11.934262744419279</v>
      </c>
    </row>
    <row r="99" spans="1:22" x14ac:dyDescent="0.25">
      <c r="A99">
        <v>63</v>
      </c>
      <c r="B99" s="5">
        <v>0</v>
      </c>
      <c r="C99" s="1">
        <f t="shared" ca="1" si="24"/>
        <v>0</v>
      </c>
      <c r="D99" s="8"/>
      <c r="E99" s="8"/>
      <c r="G99" t="e">
        <f t="shared" ca="1" si="12"/>
        <v>#N/A</v>
      </c>
      <c r="H99" t="e">
        <f t="shared" ca="1" si="13"/>
        <v>#N/A</v>
      </c>
      <c r="I99" s="7">
        <f t="shared" si="14"/>
        <v>0</v>
      </c>
      <c r="J99" s="7">
        <f t="shared" si="15"/>
        <v>0</v>
      </c>
      <c r="K99">
        <f t="shared" si="16"/>
        <v>0</v>
      </c>
      <c r="L99" s="15">
        <f t="shared" ca="1" si="17"/>
        <v>0</v>
      </c>
      <c r="M99" s="9">
        <f t="shared" ca="1" si="18"/>
        <v>0</v>
      </c>
      <c r="N99" s="7">
        <f t="shared" ca="1" si="19"/>
        <v>0</v>
      </c>
      <c r="O99" s="7">
        <f t="shared" ca="1" si="20"/>
        <v>0</v>
      </c>
      <c r="P99" s="7">
        <f t="shared" ca="1" si="21"/>
        <v>0</v>
      </c>
      <c r="T99">
        <v>97</v>
      </c>
      <c r="U99">
        <f t="shared" si="22"/>
        <v>-1.4624321208617683</v>
      </c>
      <c r="V99">
        <f t="shared" si="23"/>
        <v>11.910553819695865</v>
      </c>
    </row>
    <row r="100" spans="1:22" x14ac:dyDescent="0.25">
      <c r="A100">
        <v>64</v>
      </c>
      <c r="B100" s="5">
        <v>0</v>
      </c>
      <c r="C100" s="1">
        <f t="shared" ca="1" si="24"/>
        <v>0</v>
      </c>
      <c r="D100" s="8"/>
      <c r="E100" s="8"/>
      <c r="G100" t="e">
        <f t="shared" ca="1" si="12"/>
        <v>#N/A</v>
      </c>
      <c r="H100" t="e">
        <f t="shared" ca="1" si="13"/>
        <v>#N/A</v>
      </c>
      <c r="I100" s="7">
        <f t="shared" si="14"/>
        <v>0</v>
      </c>
      <c r="J100" s="7">
        <f t="shared" si="15"/>
        <v>0</v>
      </c>
      <c r="K100">
        <f t="shared" si="16"/>
        <v>0</v>
      </c>
      <c r="L100" s="15">
        <f t="shared" ca="1" si="17"/>
        <v>0</v>
      </c>
      <c r="M100" s="9">
        <f t="shared" ca="1" si="18"/>
        <v>0</v>
      </c>
      <c r="N100" s="7">
        <f t="shared" ca="1" si="19"/>
        <v>0</v>
      </c>
      <c r="O100" s="7">
        <f t="shared" ca="1" si="20"/>
        <v>0</v>
      </c>
      <c r="P100" s="7">
        <f t="shared" ca="1" si="21"/>
        <v>0</v>
      </c>
      <c r="T100">
        <v>98</v>
      </c>
      <c r="U100">
        <f t="shared" si="22"/>
        <v>-1.6700772115207843</v>
      </c>
      <c r="V100">
        <f t="shared" si="23"/>
        <v>11.883216824898845</v>
      </c>
    </row>
    <row r="101" spans="1:22" x14ac:dyDescent="0.25">
      <c r="A101">
        <v>65</v>
      </c>
      <c r="B101" s="5">
        <v>0</v>
      </c>
      <c r="C101" s="1">
        <f t="shared" ref="C101:C132" ca="1" si="25">OFFSET($Q$36,MATCH(B101,$Q$36:$Q$47,0)-1,2)</f>
        <v>0</v>
      </c>
      <c r="D101" s="8"/>
      <c r="E101" s="8"/>
      <c r="G101" t="e">
        <f t="shared" ca="1" si="12"/>
        <v>#N/A</v>
      </c>
      <c r="H101" t="e">
        <f t="shared" ca="1" si="13"/>
        <v>#N/A</v>
      </c>
      <c r="I101" s="7">
        <f t="shared" si="14"/>
        <v>0</v>
      </c>
      <c r="J101" s="7">
        <f t="shared" si="15"/>
        <v>0</v>
      </c>
      <c r="K101">
        <f t="shared" si="16"/>
        <v>0</v>
      </c>
      <c r="L101" s="15">
        <f t="shared" ca="1" si="17"/>
        <v>0</v>
      </c>
      <c r="M101" s="9">
        <f t="shared" ca="1" si="18"/>
        <v>0</v>
      </c>
      <c r="N101" s="7">
        <f t="shared" ca="1" si="19"/>
        <v>0</v>
      </c>
      <c r="O101" s="7">
        <f t="shared" ca="1" si="20"/>
        <v>0</v>
      </c>
      <c r="P101" s="7">
        <f t="shared" ca="1" si="21"/>
        <v>0</v>
      </c>
      <c r="T101">
        <v>99</v>
      </c>
      <c r="U101">
        <f t="shared" si="22"/>
        <v>-1.8772135804827697</v>
      </c>
      <c r="V101">
        <f t="shared" si="23"/>
        <v>11.852260087141653</v>
      </c>
    </row>
    <row r="102" spans="1:22" x14ac:dyDescent="0.25">
      <c r="A102">
        <v>66</v>
      </c>
      <c r="B102" s="5">
        <v>0</v>
      </c>
      <c r="C102" s="1">
        <f t="shared" ca="1" si="25"/>
        <v>0</v>
      </c>
      <c r="D102" s="8"/>
      <c r="E102" s="8"/>
      <c r="G102" t="e">
        <f t="shared" ref="G102:G108" ca="1" si="26">IF(C102=0,NA(),D102)</f>
        <v>#N/A</v>
      </c>
      <c r="H102" t="e">
        <f t="shared" ref="H102:H108" ca="1" si="27">IF(C102=0,NA(),E102)</f>
        <v>#N/A</v>
      </c>
      <c r="I102" s="7">
        <f t="shared" ref="I102:I108" si="28">D102*COS($B$10)+E102*SIN($B$10)</f>
        <v>0</v>
      </c>
      <c r="J102" s="7">
        <f t="shared" ref="J102:J108" si="29">-1*D102*SIN($B$10)+E102*COS($B$10)</f>
        <v>0</v>
      </c>
      <c r="K102">
        <f t="shared" ref="K102:K108" si="30">IF(B102=0,0,$B$3-J102)</f>
        <v>0</v>
      </c>
      <c r="L102" s="15">
        <f t="shared" ref="L102:L108" ca="1" si="31">IF($B$11=0,-1,IF(C102=0,0,(($B$11-K102)/$B$11)*$B$13)*IF($B$11&lt;0,-1,1))</f>
        <v>0</v>
      </c>
      <c r="M102" s="9">
        <f t="shared" ref="M102:M108" ca="1" si="32">IF(AND(L102&gt;0,K102&lt;=$B$12),MIN((L102*F$35),C$35)-$B$8,MAX(L102*F$35,-1*C$35))</f>
        <v>0</v>
      </c>
      <c r="N102" s="7">
        <f t="shared" ref="N102:N108" ca="1" si="33">M102*C102</f>
        <v>0</v>
      </c>
      <c r="O102" s="7">
        <f t="shared" ref="O102:O108" ca="1" si="34">N102*J102</f>
        <v>0</v>
      </c>
      <c r="P102" s="7">
        <f t="shared" ref="P102:P108" ca="1" si="35">N102*I102*-1</f>
        <v>0</v>
      </c>
      <c r="T102">
        <v>100</v>
      </c>
      <c r="U102">
        <f t="shared" si="22"/>
        <v>-2.0837781320031636</v>
      </c>
      <c r="V102">
        <f t="shared" si="23"/>
        <v>11.817693036146496</v>
      </c>
    </row>
    <row r="103" spans="1:22" x14ac:dyDescent="0.25">
      <c r="A103">
        <v>67</v>
      </c>
      <c r="B103" s="5">
        <v>0</v>
      </c>
      <c r="C103" s="1">
        <f t="shared" ca="1" si="25"/>
        <v>0</v>
      </c>
      <c r="D103" s="8"/>
      <c r="E103" s="8"/>
      <c r="G103" t="e">
        <f t="shared" ca="1" si="26"/>
        <v>#N/A</v>
      </c>
      <c r="H103" t="e">
        <f t="shared" ca="1" si="27"/>
        <v>#N/A</v>
      </c>
      <c r="I103" s="7">
        <f t="shared" si="28"/>
        <v>0</v>
      </c>
      <c r="J103" s="7">
        <f t="shared" si="29"/>
        <v>0</v>
      </c>
      <c r="K103">
        <f t="shared" si="30"/>
        <v>0</v>
      </c>
      <c r="L103" s="15">
        <f t="shared" ca="1" si="31"/>
        <v>0</v>
      </c>
      <c r="M103" s="9">
        <f t="shared" ca="1" si="32"/>
        <v>0</v>
      </c>
      <c r="N103" s="7">
        <f t="shared" ca="1" si="33"/>
        <v>0</v>
      </c>
      <c r="O103" s="7">
        <f t="shared" ca="1" si="34"/>
        <v>0</v>
      </c>
      <c r="P103" s="7">
        <f t="shared" ca="1" si="35"/>
        <v>0</v>
      </c>
      <c r="T103">
        <v>101</v>
      </c>
      <c r="U103">
        <f t="shared" si="22"/>
        <v>-2.2897079445185375</v>
      </c>
      <c r="V103">
        <f t="shared" si="23"/>
        <v>11.779526201371969</v>
      </c>
    </row>
    <row r="104" spans="1:22" x14ac:dyDescent="0.25">
      <c r="A104">
        <v>68</v>
      </c>
      <c r="B104" s="5">
        <v>0</v>
      </c>
      <c r="C104" s="1">
        <f t="shared" ca="1" si="25"/>
        <v>0</v>
      </c>
      <c r="D104" s="8"/>
      <c r="E104" s="8"/>
      <c r="G104" t="e">
        <f t="shared" ca="1" si="26"/>
        <v>#N/A</v>
      </c>
      <c r="H104" t="e">
        <f t="shared" ca="1" si="27"/>
        <v>#N/A</v>
      </c>
      <c r="I104" s="7">
        <f t="shared" si="28"/>
        <v>0</v>
      </c>
      <c r="J104" s="7">
        <f t="shared" si="29"/>
        <v>0</v>
      </c>
      <c r="K104">
        <f t="shared" si="30"/>
        <v>0</v>
      </c>
      <c r="L104" s="15">
        <f t="shared" ca="1" si="31"/>
        <v>0</v>
      </c>
      <c r="M104" s="9">
        <f t="shared" ca="1" si="32"/>
        <v>0</v>
      </c>
      <c r="N104" s="7">
        <f t="shared" ca="1" si="33"/>
        <v>0</v>
      </c>
      <c r="O104" s="7">
        <f t="shared" ca="1" si="34"/>
        <v>0</v>
      </c>
      <c r="P104" s="7">
        <f t="shared" ca="1" si="35"/>
        <v>0</v>
      </c>
      <c r="T104">
        <v>102</v>
      </c>
      <c r="U104">
        <f t="shared" si="22"/>
        <v>-2.4949402898131119</v>
      </c>
      <c r="V104">
        <f t="shared" si="23"/>
        <v>11.737771208805668</v>
      </c>
    </row>
    <row r="105" spans="1:22" x14ac:dyDescent="0.25">
      <c r="A105">
        <v>69</v>
      </c>
      <c r="B105" s="5">
        <v>0</v>
      </c>
      <c r="C105" s="1">
        <f t="shared" ca="1" si="25"/>
        <v>0</v>
      </c>
      <c r="D105" s="8"/>
      <c r="E105" s="8"/>
      <c r="G105" t="e">
        <f t="shared" ca="1" si="26"/>
        <v>#N/A</v>
      </c>
      <c r="H105" t="e">
        <f t="shared" ca="1" si="27"/>
        <v>#N/A</v>
      </c>
      <c r="I105" s="7">
        <f t="shared" si="28"/>
        <v>0</v>
      </c>
      <c r="J105" s="7">
        <f t="shared" si="29"/>
        <v>0</v>
      </c>
      <c r="K105">
        <f t="shared" si="30"/>
        <v>0</v>
      </c>
      <c r="L105" s="15">
        <f t="shared" ca="1" si="31"/>
        <v>0</v>
      </c>
      <c r="M105" s="9">
        <f t="shared" ca="1" si="32"/>
        <v>0</v>
      </c>
      <c r="N105" s="7">
        <f t="shared" ca="1" si="33"/>
        <v>0</v>
      </c>
      <c r="O105" s="7">
        <f t="shared" ca="1" si="34"/>
        <v>0</v>
      </c>
      <c r="P105" s="7">
        <f t="shared" ca="1" si="35"/>
        <v>0</v>
      </c>
      <c r="T105">
        <v>103</v>
      </c>
      <c r="U105">
        <f t="shared" si="22"/>
        <v>-2.6994126521263802</v>
      </c>
      <c r="V105">
        <f t="shared" si="23"/>
        <v>11.692440777422823</v>
      </c>
    </row>
    <row r="106" spans="1:22" x14ac:dyDescent="0.25">
      <c r="A106">
        <v>70</v>
      </c>
      <c r="B106" s="5">
        <v>0</v>
      </c>
      <c r="C106" s="1">
        <f t="shared" ca="1" si="25"/>
        <v>0</v>
      </c>
      <c r="D106" s="8"/>
      <c r="E106" s="8"/>
      <c r="G106" t="e">
        <f t="shared" ca="1" si="26"/>
        <v>#N/A</v>
      </c>
      <c r="H106" t="e">
        <f t="shared" ca="1" si="27"/>
        <v>#N/A</v>
      </c>
      <c r="I106" s="7">
        <f t="shared" si="28"/>
        <v>0</v>
      </c>
      <c r="J106" s="7">
        <f t="shared" si="29"/>
        <v>0</v>
      </c>
      <c r="K106">
        <f t="shared" si="30"/>
        <v>0</v>
      </c>
      <c r="L106" s="15">
        <f t="shared" ca="1" si="31"/>
        <v>0</v>
      </c>
      <c r="M106" s="9">
        <f t="shared" ca="1" si="32"/>
        <v>0</v>
      </c>
      <c r="N106" s="7">
        <f t="shared" ca="1" si="33"/>
        <v>0</v>
      </c>
      <c r="O106" s="7">
        <f t="shared" ca="1" si="34"/>
        <v>0</v>
      </c>
      <c r="P106" s="7">
        <f t="shared" ca="1" si="35"/>
        <v>0</v>
      </c>
      <c r="T106">
        <v>104</v>
      </c>
      <c r="U106">
        <f t="shared" si="22"/>
        <v>-2.9030627471960133</v>
      </c>
      <c r="V106">
        <f t="shared" si="23"/>
        <v>11.643548715311958</v>
      </c>
    </row>
    <row r="107" spans="1:22" x14ac:dyDescent="0.25">
      <c r="A107">
        <v>71</v>
      </c>
      <c r="B107" s="5">
        <v>0</v>
      </c>
      <c r="C107" s="1">
        <f t="shared" ca="1" si="25"/>
        <v>0</v>
      </c>
      <c r="D107" s="8"/>
      <c r="E107" s="8"/>
      <c r="G107" t="e">
        <f t="shared" ca="1" si="26"/>
        <v>#N/A</v>
      </c>
      <c r="H107" t="e">
        <f t="shared" ca="1" si="27"/>
        <v>#N/A</v>
      </c>
      <c r="I107" s="7">
        <f t="shared" si="28"/>
        <v>0</v>
      </c>
      <c r="J107" s="7">
        <f t="shared" si="29"/>
        <v>0</v>
      </c>
      <c r="K107">
        <f t="shared" si="30"/>
        <v>0</v>
      </c>
      <c r="L107" s="15">
        <f t="shared" ca="1" si="31"/>
        <v>0</v>
      </c>
      <c r="M107" s="9">
        <f t="shared" ca="1" si="32"/>
        <v>0</v>
      </c>
      <c r="N107" s="7">
        <f t="shared" ca="1" si="33"/>
        <v>0</v>
      </c>
      <c r="O107" s="7">
        <f t="shared" ca="1" si="34"/>
        <v>0</v>
      </c>
      <c r="P107" s="7">
        <f t="shared" ca="1" si="35"/>
        <v>0</v>
      </c>
      <c r="T107">
        <v>105</v>
      </c>
      <c r="U107">
        <f t="shared" si="22"/>
        <v>-3.1058285412302502</v>
      </c>
      <c r="V107">
        <f t="shared" si="23"/>
        <v>11.59110991546882</v>
      </c>
    </row>
    <row r="108" spans="1:22" ht="15.75" thickBot="1" x14ac:dyDescent="0.3">
      <c r="A108">
        <v>72</v>
      </c>
      <c r="B108" s="5">
        <v>0</v>
      </c>
      <c r="C108" s="12">
        <f t="shared" ca="1" si="25"/>
        <v>0</v>
      </c>
      <c r="D108" s="8"/>
      <c r="E108" s="8"/>
      <c r="G108" t="e">
        <f t="shared" ca="1" si="26"/>
        <v>#N/A</v>
      </c>
      <c r="H108" t="e">
        <f t="shared" ca="1" si="27"/>
        <v>#N/A</v>
      </c>
      <c r="I108" s="7">
        <f t="shared" si="28"/>
        <v>0</v>
      </c>
      <c r="J108" s="7">
        <f t="shared" si="29"/>
        <v>0</v>
      </c>
      <c r="K108">
        <f t="shared" si="30"/>
        <v>0</v>
      </c>
      <c r="L108" s="15">
        <f t="shared" ca="1" si="31"/>
        <v>0</v>
      </c>
      <c r="M108" s="9">
        <f t="shared" ca="1" si="32"/>
        <v>0</v>
      </c>
      <c r="N108" s="7">
        <f t="shared" ca="1" si="33"/>
        <v>0</v>
      </c>
      <c r="O108" s="7">
        <f t="shared" ca="1" si="34"/>
        <v>0</v>
      </c>
      <c r="P108" s="7">
        <f t="shared" ca="1" si="35"/>
        <v>0</v>
      </c>
      <c r="T108">
        <v>106</v>
      </c>
      <c r="U108">
        <f t="shared" si="22"/>
        <v>-3.3076482698039884</v>
      </c>
      <c r="V108">
        <f t="shared" si="23"/>
        <v>11.535140351259827</v>
      </c>
    </row>
    <row r="109" spans="1:22" ht="15.75" thickTop="1" x14ac:dyDescent="0.25">
      <c r="C109" s="13">
        <f ca="1">SUM(C37:C108)</f>
        <v>4.8</v>
      </c>
      <c r="L109" s="15">
        <f ca="1">MIN(L37:L108)</f>
        <v>-8.7950787261399394E-3</v>
      </c>
      <c r="M109" s="9"/>
      <c r="N109" s="7">
        <f ca="1">SUM(N37:N108)</f>
        <v>-136.57143698034704</v>
      </c>
      <c r="O109" s="7">
        <f t="shared" ref="O109:P109" ca="1" si="36">SUM(O37:O108)</f>
        <v>1266.9683464390775</v>
      </c>
      <c r="P109" s="7">
        <f t="shared" ca="1" si="36"/>
        <v>-1.7053025658242404E-13</v>
      </c>
      <c r="T109">
        <v>107</v>
      </c>
      <c r="U109">
        <f t="shared" si="22"/>
        <v>-3.5084604566728399</v>
      </c>
      <c r="V109">
        <f t="shared" si="23"/>
        <v>11.475657071556427</v>
      </c>
    </row>
    <row r="110" spans="1:22" x14ac:dyDescent="0.25">
      <c r="M110" s="9"/>
      <c r="T110">
        <v>108</v>
      </c>
      <c r="U110">
        <f t="shared" si="22"/>
        <v>-3.7082039324993681</v>
      </c>
      <c r="V110">
        <f t="shared" si="23"/>
        <v>11.412678195541844</v>
      </c>
    </row>
    <row r="111" spans="1:22" x14ac:dyDescent="0.25">
      <c r="M111" s="9"/>
      <c r="T111">
        <v>109</v>
      </c>
      <c r="U111">
        <f t="shared" si="22"/>
        <v>-3.9068178534858795</v>
      </c>
      <c r="V111">
        <f t="shared" si="23"/>
        <v>11.346222907191802</v>
      </c>
    </row>
    <row r="112" spans="1:22" x14ac:dyDescent="0.25">
      <c r="A112" t="s">
        <v>22</v>
      </c>
      <c r="B112" s="10">
        <f ca="1">H31+N109</f>
        <v>111.1111111111268</v>
      </c>
      <c r="M112" s="9"/>
      <c r="T112">
        <v>110</v>
      </c>
      <c r="U112">
        <f t="shared" si="22"/>
        <v>-4.1042417199080248</v>
      </c>
      <c r="V112">
        <f t="shared" si="23"/>
        <v>11.276311449430901</v>
      </c>
    </row>
    <row r="113" spans="1:22" x14ac:dyDescent="0.25">
      <c r="A113" t="s">
        <v>57</v>
      </c>
      <c r="B113" s="10">
        <f ca="1">I31+O109</f>
        <v>3581.8751459986315</v>
      </c>
      <c r="M113" s="9"/>
      <c r="T113">
        <v>111</v>
      </c>
      <c r="U113">
        <f t="shared" si="22"/>
        <v>-4.3004153945436032</v>
      </c>
      <c r="V113">
        <f t="shared" si="23"/>
        <v>11.202965117966421</v>
      </c>
    </row>
    <row r="114" spans="1:22" x14ac:dyDescent="0.25">
      <c r="A114" t="s">
        <v>58</v>
      </c>
      <c r="B114" s="10">
        <f ca="1">J31+P109</f>
        <v>1.0125233984581423E-13</v>
      </c>
      <c r="M114" s="9"/>
      <c r="T114">
        <v>112</v>
      </c>
      <c r="U114">
        <f t="shared" si="22"/>
        <v>-4.4952791209909453</v>
      </c>
      <c r="V114">
        <f t="shared" si="23"/>
        <v>11.126206254801449</v>
      </c>
    </row>
    <row r="115" spans="1:22" x14ac:dyDescent="0.25">
      <c r="M115" s="9"/>
      <c r="T115">
        <v>113</v>
      </c>
      <c r="U115">
        <f t="shared" si="22"/>
        <v>-4.688773541871285</v>
      </c>
      <c r="V115">
        <f t="shared" si="23"/>
        <v>11.046058241429282</v>
      </c>
    </row>
    <row r="116" spans="1:22" x14ac:dyDescent="0.25">
      <c r="A116" s="2" t="s">
        <v>59</v>
      </c>
      <c r="B116">
        <f ca="1">((B113*COS(-1*B10))+(B114*SIN(-1*B10)))</f>
        <v>2532.7682050991866</v>
      </c>
      <c r="C116" t="s">
        <v>60</v>
      </c>
      <c r="M116" s="9"/>
      <c r="T116">
        <v>114</v>
      </c>
      <c r="U116">
        <f t="shared" si="22"/>
        <v>-4.8808397169096036</v>
      </c>
      <c r="V116">
        <f t="shared" si="23"/>
        <v>10.962545491711211</v>
      </c>
    </row>
    <row r="117" spans="1:22" x14ac:dyDescent="0.25">
      <c r="A117" s="2" t="s">
        <v>61</v>
      </c>
      <c r="B117">
        <f ca="1">(-1*(B113)*SIN(-1*B10))+((B114)*COS(-1*B10))</f>
        <v>-2532.768205099188</v>
      </c>
      <c r="C117" t="s">
        <v>60</v>
      </c>
      <c r="M117" s="9"/>
      <c r="T117">
        <v>115</v>
      </c>
      <c r="U117">
        <f t="shared" si="22"/>
        <v>-5.0714191408883922</v>
      </c>
      <c r="V117">
        <f t="shared" si="23"/>
        <v>10.875693444439801</v>
      </c>
    </row>
    <row r="118" spans="1:22" x14ac:dyDescent="0.25">
      <c r="M118" s="9"/>
      <c r="T118">
        <v>116</v>
      </c>
      <c r="U118">
        <f t="shared" si="22"/>
        <v>-5.2604537614689306</v>
      </c>
      <c r="V118">
        <f t="shared" si="23"/>
        <v>10.785528555590004</v>
      </c>
    </row>
    <row r="119" spans="1:22" x14ac:dyDescent="0.25">
      <c r="M119" s="9"/>
      <c r="T119">
        <v>117</v>
      </c>
      <c r="U119">
        <f t="shared" si="22"/>
        <v>-5.4478859968745601</v>
      </c>
      <c r="V119">
        <f t="shared" si="23"/>
        <v>10.692078290260415</v>
      </c>
    </row>
    <row r="120" spans="1:22" x14ac:dyDescent="0.25">
      <c r="M120" s="9"/>
      <c r="T120">
        <v>118</v>
      </c>
      <c r="U120">
        <f t="shared" si="22"/>
        <v>-5.6336587534306908</v>
      </c>
      <c r="V120">
        <f t="shared" si="23"/>
        <v>10.595371114307122</v>
      </c>
    </row>
    <row r="121" spans="1:22" x14ac:dyDescent="0.25">
      <c r="M121" s="9"/>
      <c r="T121">
        <v>119</v>
      </c>
      <c r="U121">
        <f t="shared" si="22"/>
        <v>-5.817715442956044</v>
      </c>
      <c r="V121">
        <f t="shared" si="23"/>
        <v>10.49543648567275</v>
      </c>
    </row>
    <row r="122" spans="1:22" x14ac:dyDescent="0.25">
      <c r="M122" s="9"/>
      <c r="T122">
        <v>120</v>
      </c>
      <c r="U122">
        <f t="shared" si="22"/>
        <v>-5.9999999999999973</v>
      </c>
      <c r="V122">
        <f t="shared" si="23"/>
        <v>10.392304845413264</v>
      </c>
    </row>
    <row r="123" spans="1:22" x14ac:dyDescent="0.25">
      <c r="M123" s="9"/>
      <c r="T123">
        <v>121</v>
      </c>
      <c r="U123">
        <f t="shared" si="22"/>
        <v>-6.1804568989206512</v>
      </c>
      <c r="V123">
        <f t="shared" si="23"/>
        <v>10.286007608425347</v>
      </c>
    </row>
    <row r="124" spans="1:22" x14ac:dyDescent="0.25">
      <c r="M124" s="9"/>
      <c r="T124">
        <v>122</v>
      </c>
      <c r="U124">
        <f t="shared" si="22"/>
        <v>-6.3590311707984579</v>
      </c>
      <c r="V124">
        <f t="shared" si="23"/>
        <v>10.176577153877112</v>
      </c>
    </row>
    <row r="125" spans="1:22" x14ac:dyDescent="0.25">
      <c r="M125" s="9"/>
      <c r="T125">
        <v>123</v>
      </c>
      <c r="U125">
        <f t="shared" si="22"/>
        <v>-6.5356684201803255</v>
      </c>
      <c r="V125">
        <f t="shared" si="23"/>
        <v>10.064046815345087</v>
      </c>
    </row>
    <row r="126" spans="1:22" x14ac:dyDescent="0.25">
      <c r="M126" s="9"/>
      <c r="T126">
        <v>124</v>
      </c>
      <c r="U126">
        <f t="shared" si="22"/>
        <v>-6.7103148416489606</v>
      </c>
      <c r="V126">
        <f t="shared" si="23"/>
        <v>9.9484508706605013</v>
      </c>
    </row>
    <row r="127" spans="1:22" x14ac:dyDescent="0.25">
      <c r="M127" s="9"/>
      <c r="T127">
        <v>125</v>
      </c>
      <c r="U127">
        <f t="shared" si="22"/>
        <v>-6.8829172362125544</v>
      </c>
      <c r="V127">
        <f t="shared" si="23"/>
        <v>9.8298245314678994</v>
      </c>
    </row>
    <row r="128" spans="1:22" x14ac:dyDescent="0.25">
      <c r="M128" s="9"/>
      <c r="T128">
        <v>126</v>
      </c>
      <c r="U128">
        <f t="shared" si="22"/>
        <v>-7.0534230275096768</v>
      </c>
      <c r="V128">
        <f t="shared" si="23"/>
        <v>9.7082039324993694</v>
      </c>
    </row>
    <row r="129" spans="13:22" x14ac:dyDescent="0.25">
      <c r="M129" s="9"/>
      <c r="T129">
        <v>127</v>
      </c>
      <c r="U129">
        <f t="shared" si="22"/>
        <v>-7.2217802778245801</v>
      </c>
      <c r="V129">
        <f t="shared" si="23"/>
        <v>9.5836261205675122</v>
      </c>
    </row>
    <row r="130" spans="13:22" x14ac:dyDescent="0.25">
      <c r="M130" s="9"/>
      <c r="T130">
        <v>128</v>
      </c>
      <c r="U130">
        <f t="shared" si="22"/>
        <v>-7.3879377039078999</v>
      </c>
      <c r="V130">
        <f t="shared" si="23"/>
        <v>9.4561290432806651</v>
      </c>
    </row>
    <row r="131" spans="13:22" x14ac:dyDescent="0.25">
      <c r="M131" s="9"/>
      <c r="T131">
        <v>129</v>
      </c>
      <c r="U131">
        <f t="shared" ref="U131:U194" si="37">$B$3*COS(RADIANS(T131))</f>
        <v>-7.5518446925980474</v>
      </c>
      <c r="V131">
        <f t="shared" ref="V131:V194" si="38">$B$3*SIN(RADIANS(T131))</f>
        <v>9.3257515374836526</v>
      </c>
    </row>
    <row r="132" spans="13:22" x14ac:dyDescent="0.25">
      <c r="M132" s="9"/>
      <c r="T132">
        <v>130</v>
      </c>
      <c r="U132">
        <f t="shared" si="37"/>
        <v>-7.7134513162384728</v>
      </c>
      <c r="V132">
        <f t="shared" si="38"/>
        <v>9.1925333174277366</v>
      </c>
    </row>
    <row r="133" spans="13:22" x14ac:dyDescent="0.25">
      <c r="M133" s="9"/>
      <c r="T133">
        <v>131</v>
      </c>
      <c r="U133">
        <f t="shared" si="37"/>
        <v>-7.8727083478860855</v>
      </c>
      <c r="V133">
        <f t="shared" si="38"/>
        <v>9.0565149626732655</v>
      </c>
    </row>
    <row r="134" spans="13:22" x14ac:dyDescent="0.25">
      <c r="M134" s="9"/>
      <c r="T134">
        <v>132</v>
      </c>
      <c r="U134">
        <f t="shared" si="37"/>
        <v>-8.0295672763062989</v>
      </c>
      <c r="V134">
        <f t="shared" si="38"/>
        <v>8.9177379057287318</v>
      </c>
    </row>
    <row r="135" spans="13:22" x14ac:dyDescent="0.25">
      <c r="M135" s="9"/>
      <c r="T135">
        <v>133</v>
      </c>
      <c r="U135">
        <f t="shared" si="37"/>
        <v>-8.1839803207499813</v>
      </c>
      <c r="V135">
        <f t="shared" si="38"/>
        <v>8.7762444194300464</v>
      </c>
    </row>
    <row r="136" spans="13:22" x14ac:dyDescent="0.25">
      <c r="M136" s="9"/>
      <c r="T136">
        <v>134</v>
      </c>
      <c r="U136">
        <f t="shared" si="37"/>
        <v>-8.3359004455079688</v>
      </c>
      <c r="V136">
        <f t="shared" si="38"/>
        <v>8.632077604063813</v>
      </c>
    </row>
    <row r="137" spans="13:22" x14ac:dyDescent="0.25">
      <c r="M137" s="9"/>
      <c r="T137">
        <v>135</v>
      </c>
      <c r="U137">
        <f t="shared" si="37"/>
        <v>-8.4852813742385695</v>
      </c>
      <c r="V137">
        <f t="shared" si="38"/>
        <v>8.4852813742385713</v>
      </c>
    </row>
    <row r="138" spans="13:22" x14ac:dyDescent="0.25">
      <c r="M138" s="9"/>
      <c r="T138">
        <v>136</v>
      </c>
      <c r="U138">
        <f t="shared" si="37"/>
        <v>-8.6320776040638147</v>
      </c>
      <c r="V138">
        <f t="shared" si="38"/>
        <v>8.3359004455079653</v>
      </c>
    </row>
    <row r="139" spans="13:22" x14ac:dyDescent="0.25">
      <c r="M139" s="9"/>
      <c r="T139">
        <v>137</v>
      </c>
      <c r="U139">
        <f t="shared" si="37"/>
        <v>-8.7762444194300464</v>
      </c>
      <c r="V139">
        <f t="shared" si="38"/>
        <v>8.1839803207499831</v>
      </c>
    </row>
    <row r="140" spans="13:22" x14ac:dyDescent="0.25">
      <c r="M140" s="9"/>
      <c r="T140">
        <v>138</v>
      </c>
      <c r="U140">
        <f t="shared" si="37"/>
        <v>-8.9177379057287283</v>
      </c>
      <c r="V140">
        <f t="shared" si="38"/>
        <v>8.0295672763063006</v>
      </c>
    </row>
    <row r="141" spans="13:22" x14ac:dyDescent="0.25">
      <c r="M141" s="9"/>
      <c r="T141">
        <v>139</v>
      </c>
      <c r="U141">
        <f t="shared" si="37"/>
        <v>-9.0565149626732637</v>
      </c>
      <c r="V141">
        <f t="shared" si="38"/>
        <v>7.8727083478860873</v>
      </c>
    </row>
    <row r="142" spans="13:22" x14ac:dyDescent="0.25">
      <c r="M142" s="9"/>
      <c r="T142">
        <v>140</v>
      </c>
      <c r="U142">
        <f t="shared" si="37"/>
        <v>-9.1925333174277348</v>
      </c>
      <c r="V142">
        <f t="shared" si="38"/>
        <v>7.7134513162384737</v>
      </c>
    </row>
    <row r="143" spans="13:22" x14ac:dyDescent="0.25">
      <c r="M143" s="9"/>
      <c r="T143">
        <v>141</v>
      </c>
      <c r="U143">
        <f t="shared" si="37"/>
        <v>-9.3257515374836508</v>
      </c>
      <c r="V143">
        <f t="shared" si="38"/>
        <v>7.5518446925980491</v>
      </c>
    </row>
    <row r="144" spans="13:22" x14ac:dyDescent="0.25">
      <c r="M144" s="9"/>
      <c r="T144">
        <v>142</v>
      </c>
      <c r="U144">
        <f t="shared" si="37"/>
        <v>-9.4561290432806633</v>
      </c>
      <c r="V144">
        <f t="shared" si="38"/>
        <v>7.3879377039079008</v>
      </c>
    </row>
    <row r="145" spans="13:22" x14ac:dyDescent="0.25">
      <c r="M145" s="9"/>
      <c r="T145">
        <v>143</v>
      </c>
      <c r="U145">
        <f t="shared" si="37"/>
        <v>-9.5836261205675157</v>
      </c>
      <c r="V145">
        <f t="shared" si="38"/>
        <v>7.2217802778245783</v>
      </c>
    </row>
    <row r="146" spans="13:22" x14ac:dyDescent="0.25">
      <c r="M146" s="9"/>
      <c r="T146">
        <v>144</v>
      </c>
      <c r="U146">
        <f t="shared" si="37"/>
        <v>-9.7082039324993676</v>
      </c>
      <c r="V146">
        <f t="shared" si="38"/>
        <v>7.0534230275096785</v>
      </c>
    </row>
    <row r="147" spans="13:22" x14ac:dyDescent="0.25">
      <c r="M147" s="9"/>
      <c r="T147">
        <v>145</v>
      </c>
      <c r="U147">
        <f t="shared" si="37"/>
        <v>-9.8298245314679029</v>
      </c>
      <c r="V147">
        <f t="shared" si="38"/>
        <v>6.8829172362125508</v>
      </c>
    </row>
    <row r="148" spans="13:22" x14ac:dyDescent="0.25">
      <c r="M148" s="9"/>
      <c r="T148">
        <v>146</v>
      </c>
      <c r="U148">
        <f t="shared" si="37"/>
        <v>-9.9484508706604995</v>
      </c>
      <c r="V148">
        <f t="shared" si="38"/>
        <v>6.7103148416489624</v>
      </c>
    </row>
    <row r="149" spans="13:22" x14ac:dyDescent="0.25">
      <c r="M149" s="9"/>
      <c r="T149">
        <v>147</v>
      </c>
      <c r="U149">
        <f t="shared" si="37"/>
        <v>-10.064046815345087</v>
      </c>
      <c r="V149">
        <f t="shared" si="38"/>
        <v>6.5356684201803272</v>
      </c>
    </row>
    <row r="150" spans="13:22" x14ac:dyDescent="0.25">
      <c r="M150" s="9"/>
      <c r="T150">
        <v>148</v>
      </c>
      <c r="U150">
        <f t="shared" si="37"/>
        <v>-10.176577153877112</v>
      </c>
      <c r="V150">
        <f t="shared" si="38"/>
        <v>6.3590311707984588</v>
      </c>
    </row>
    <row r="151" spans="13:22" x14ac:dyDescent="0.25">
      <c r="M151" s="9"/>
      <c r="T151">
        <v>149</v>
      </c>
      <c r="U151">
        <f t="shared" si="37"/>
        <v>-10.286007608425347</v>
      </c>
      <c r="V151">
        <f t="shared" si="38"/>
        <v>6.180456898920653</v>
      </c>
    </row>
    <row r="152" spans="13:22" x14ac:dyDescent="0.25">
      <c r="M152" s="9"/>
      <c r="T152">
        <v>150</v>
      </c>
      <c r="U152">
        <f t="shared" si="37"/>
        <v>-10.392304845413264</v>
      </c>
      <c r="V152">
        <f t="shared" si="38"/>
        <v>5.9999999999999991</v>
      </c>
    </row>
    <row r="153" spans="13:22" x14ac:dyDescent="0.25">
      <c r="M153" s="9"/>
      <c r="T153">
        <v>151</v>
      </c>
      <c r="U153">
        <f t="shared" si="37"/>
        <v>-10.495436485672748</v>
      </c>
      <c r="V153">
        <f t="shared" si="38"/>
        <v>5.8177154429560458</v>
      </c>
    </row>
    <row r="154" spans="13:22" x14ac:dyDescent="0.25">
      <c r="M154" s="9"/>
      <c r="T154">
        <v>152</v>
      </c>
      <c r="U154">
        <f t="shared" si="37"/>
        <v>-10.595371114307124</v>
      </c>
      <c r="V154">
        <f t="shared" si="38"/>
        <v>5.6336587534306881</v>
      </c>
    </row>
    <row r="155" spans="13:22" x14ac:dyDescent="0.25">
      <c r="M155" s="9"/>
      <c r="T155">
        <v>153</v>
      </c>
      <c r="U155">
        <f t="shared" si="37"/>
        <v>-10.692078290260413</v>
      </c>
      <c r="V155">
        <f t="shared" si="38"/>
        <v>5.4478859968745628</v>
      </c>
    </row>
    <row r="156" spans="13:22" x14ac:dyDescent="0.25">
      <c r="M156" s="9"/>
      <c r="T156">
        <v>154</v>
      </c>
      <c r="U156">
        <f t="shared" si="37"/>
        <v>-10.785528555590005</v>
      </c>
      <c r="V156">
        <f t="shared" si="38"/>
        <v>5.2604537614689271</v>
      </c>
    </row>
    <row r="157" spans="13:22" x14ac:dyDescent="0.25">
      <c r="M157" s="9"/>
      <c r="T157">
        <v>155</v>
      </c>
      <c r="U157">
        <f t="shared" si="37"/>
        <v>-10.875693444439799</v>
      </c>
      <c r="V157">
        <f t="shared" si="38"/>
        <v>5.071419140888394</v>
      </c>
    </row>
    <row r="158" spans="13:22" x14ac:dyDescent="0.25">
      <c r="M158" s="9"/>
      <c r="T158">
        <v>156</v>
      </c>
      <c r="U158">
        <f t="shared" si="37"/>
        <v>-10.962545491711209</v>
      </c>
      <c r="V158">
        <f t="shared" si="38"/>
        <v>4.8808397169096054</v>
      </c>
    </row>
    <row r="159" spans="13:22" x14ac:dyDescent="0.25">
      <c r="M159" s="9"/>
      <c r="T159">
        <v>157</v>
      </c>
      <c r="U159">
        <f t="shared" si="37"/>
        <v>-11.046058241429284</v>
      </c>
      <c r="V159">
        <f t="shared" si="38"/>
        <v>4.688773541871285</v>
      </c>
    </row>
    <row r="160" spans="13:22" x14ac:dyDescent="0.25">
      <c r="M160" s="9"/>
      <c r="T160">
        <v>158</v>
      </c>
      <c r="U160">
        <f t="shared" si="37"/>
        <v>-11.126206254801447</v>
      </c>
      <c r="V160">
        <f t="shared" si="38"/>
        <v>4.4952791209909471</v>
      </c>
    </row>
    <row r="161" spans="13:22" x14ac:dyDescent="0.25">
      <c r="M161" s="9"/>
      <c r="T161">
        <v>159</v>
      </c>
      <c r="U161">
        <f t="shared" si="37"/>
        <v>-11.202965117966421</v>
      </c>
      <c r="V161">
        <f t="shared" si="38"/>
        <v>4.3004153945436023</v>
      </c>
    </row>
    <row r="162" spans="13:22" x14ac:dyDescent="0.25">
      <c r="M162" s="9"/>
      <c r="T162">
        <v>160</v>
      </c>
      <c r="U162">
        <f t="shared" si="37"/>
        <v>-11.276311449430899</v>
      </c>
      <c r="V162">
        <f t="shared" si="38"/>
        <v>4.1042417199080266</v>
      </c>
    </row>
    <row r="163" spans="13:22" x14ac:dyDescent="0.25">
      <c r="M163" s="9"/>
      <c r="T163">
        <v>161</v>
      </c>
      <c r="U163">
        <f t="shared" si="37"/>
        <v>-11.346222907191802</v>
      </c>
      <c r="V163">
        <f t="shared" si="38"/>
        <v>3.9068178534858791</v>
      </c>
    </row>
    <row r="164" spans="13:22" x14ac:dyDescent="0.25">
      <c r="M164" s="9"/>
      <c r="T164">
        <v>162</v>
      </c>
      <c r="U164">
        <f t="shared" si="37"/>
        <v>-11.412678195541842</v>
      </c>
      <c r="V164">
        <f t="shared" si="38"/>
        <v>3.7082039324993703</v>
      </c>
    </row>
    <row r="165" spans="13:22" x14ac:dyDescent="0.25">
      <c r="M165" s="9"/>
      <c r="T165">
        <v>163</v>
      </c>
      <c r="U165">
        <f t="shared" si="37"/>
        <v>-11.475657071556427</v>
      </c>
      <c r="V165">
        <f t="shared" si="38"/>
        <v>3.5084604566728395</v>
      </c>
    </row>
    <row r="166" spans="13:22" x14ac:dyDescent="0.25">
      <c r="M166" s="9"/>
      <c r="T166">
        <v>164</v>
      </c>
      <c r="U166">
        <f t="shared" si="37"/>
        <v>-11.535140351259827</v>
      </c>
      <c r="V166">
        <f t="shared" si="38"/>
        <v>3.3076482698039906</v>
      </c>
    </row>
    <row r="167" spans="13:22" x14ac:dyDescent="0.25">
      <c r="M167" s="9"/>
      <c r="T167">
        <v>165</v>
      </c>
      <c r="U167">
        <f t="shared" si="37"/>
        <v>-11.591109915468818</v>
      </c>
      <c r="V167">
        <f t="shared" si="38"/>
        <v>3.1058285412302524</v>
      </c>
    </row>
    <row r="168" spans="13:22" x14ac:dyDescent="0.25">
      <c r="M168" s="9"/>
      <c r="T168">
        <v>166</v>
      </c>
      <c r="U168">
        <f t="shared" si="37"/>
        <v>-11.643548715311958</v>
      </c>
      <c r="V168">
        <f t="shared" si="38"/>
        <v>2.9030627471960129</v>
      </c>
    </row>
    <row r="169" spans="13:22" x14ac:dyDescent="0.25">
      <c r="M169" s="9"/>
      <c r="T169">
        <v>167</v>
      </c>
      <c r="U169">
        <f t="shared" si="37"/>
        <v>-11.692440777422821</v>
      </c>
      <c r="V169">
        <f t="shared" si="38"/>
        <v>2.6994126521263824</v>
      </c>
    </row>
    <row r="170" spans="13:22" x14ac:dyDescent="0.25">
      <c r="M170" s="9"/>
      <c r="T170">
        <v>168</v>
      </c>
      <c r="U170">
        <f t="shared" si="37"/>
        <v>-11.737771208805668</v>
      </c>
      <c r="V170">
        <f t="shared" si="38"/>
        <v>2.4949402898131119</v>
      </c>
    </row>
    <row r="171" spans="13:22" x14ac:dyDescent="0.25">
      <c r="M171" s="9"/>
      <c r="T171">
        <v>169</v>
      </c>
      <c r="U171">
        <f t="shared" si="37"/>
        <v>-11.779526201371969</v>
      </c>
      <c r="V171">
        <f t="shared" si="38"/>
        <v>2.2897079445185398</v>
      </c>
    </row>
    <row r="172" spans="13:22" x14ac:dyDescent="0.25">
      <c r="M172" s="9"/>
      <c r="T172">
        <v>170</v>
      </c>
      <c r="U172">
        <f t="shared" si="37"/>
        <v>-11.817693036146496</v>
      </c>
      <c r="V172">
        <f t="shared" si="38"/>
        <v>2.0837781320031632</v>
      </c>
    </row>
    <row r="173" spans="13:22" x14ac:dyDescent="0.25">
      <c r="M173" s="9"/>
      <c r="T173">
        <v>171</v>
      </c>
      <c r="U173">
        <f t="shared" si="37"/>
        <v>-11.852260087141651</v>
      </c>
      <c r="V173">
        <f t="shared" si="38"/>
        <v>1.8772135804827719</v>
      </c>
    </row>
    <row r="174" spans="13:22" x14ac:dyDescent="0.25">
      <c r="M174" s="9"/>
      <c r="T174">
        <v>172</v>
      </c>
      <c r="U174">
        <f t="shared" si="37"/>
        <v>-11.883216824898845</v>
      </c>
      <c r="V174">
        <f t="shared" si="38"/>
        <v>1.670077211520784</v>
      </c>
    </row>
    <row r="175" spans="13:22" x14ac:dyDescent="0.25">
      <c r="M175" s="9"/>
      <c r="T175">
        <v>173</v>
      </c>
      <c r="U175">
        <f t="shared" si="37"/>
        <v>-11.910553819695863</v>
      </c>
      <c r="V175">
        <f t="shared" si="38"/>
        <v>1.4624321208617705</v>
      </c>
    </row>
    <row r="176" spans="13:22" x14ac:dyDescent="0.25">
      <c r="M176" s="9"/>
      <c r="T176">
        <v>174</v>
      </c>
      <c r="U176">
        <f t="shared" si="37"/>
        <v>-11.934262744419279</v>
      </c>
      <c r="V176">
        <f t="shared" si="38"/>
        <v>1.2543415592118448</v>
      </c>
    </row>
    <row r="177" spans="13:22" x14ac:dyDescent="0.25">
      <c r="M177" s="9"/>
      <c r="T177">
        <v>175</v>
      </c>
      <c r="U177">
        <f t="shared" si="37"/>
        <v>-11.954336377100947</v>
      </c>
      <c r="V177">
        <f t="shared" si="38"/>
        <v>1.0458689129718983</v>
      </c>
    </row>
    <row r="178" spans="13:22" x14ac:dyDescent="0.25">
      <c r="M178" s="9"/>
      <c r="T178">
        <v>176</v>
      </c>
      <c r="U178">
        <f t="shared" si="37"/>
        <v>-11.970768603117889</v>
      </c>
      <c r="V178">
        <f t="shared" si="38"/>
        <v>0.83707768492950629</v>
      </c>
    </row>
    <row r="179" spans="13:22" x14ac:dyDescent="0.25">
      <c r="M179" s="9"/>
      <c r="T179">
        <v>177</v>
      </c>
      <c r="U179">
        <f t="shared" si="37"/>
        <v>-11.983554417054886</v>
      </c>
      <c r="V179">
        <f t="shared" si="38"/>
        <v>0.62803147491532574</v>
      </c>
    </row>
    <row r="180" spans="13:22" x14ac:dyDescent="0.25">
      <c r="M180" s="9"/>
      <c r="T180">
        <v>178</v>
      </c>
      <c r="U180">
        <f t="shared" si="37"/>
        <v>-11.992689924229149</v>
      </c>
      <c r="V180">
        <f t="shared" si="38"/>
        <v>0.41879396043001371</v>
      </c>
    </row>
    <row r="181" spans="13:22" x14ac:dyDescent="0.25">
      <c r="M181" s="9"/>
      <c r="T181">
        <v>179</v>
      </c>
      <c r="U181">
        <f t="shared" si="37"/>
        <v>-11.998172341876696</v>
      </c>
      <c r="V181">
        <f t="shared" si="38"/>
        <v>0.20942887724740128</v>
      </c>
    </row>
    <row r="182" spans="13:22" x14ac:dyDescent="0.25">
      <c r="M182" s="9"/>
      <c r="T182">
        <v>180</v>
      </c>
      <c r="U182">
        <f t="shared" si="37"/>
        <v>-12</v>
      </c>
      <c r="V182">
        <f t="shared" si="38"/>
        <v>1.470178145890344E-15</v>
      </c>
    </row>
    <row r="183" spans="13:22" x14ac:dyDescent="0.25">
      <c r="M183" s="9"/>
      <c r="T183">
        <v>181</v>
      </c>
      <c r="U183">
        <f t="shared" si="37"/>
        <v>-11.998172341876696</v>
      </c>
      <c r="V183">
        <f t="shared" si="38"/>
        <v>-0.20942887724740364</v>
      </c>
    </row>
    <row r="184" spans="13:22" x14ac:dyDescent="0.25">
      <c r="M184" s="9"/>
      <c r="T184">
        <v>182</v>
      </c>
      <c r="U184">
        <f t="shared" si="37"/>
        <v>-11.992689924229149</v>
      </c>
      <c r="V184">
        <f t="shared" si="38"/>
        <v>-0.41879396043001083</v>
      </c>
    </row>
    <row r="185" spans="13:22" x14ac:dyDescent="0.25">
      <c r="M185" s="9"/>
      <c r="T185">
        <v>183</v>
      </c>
      <c r="U185">
        <f t="shared" si="37"/>
        <v>-11.983554417054886</v>
      </c>
      <c r="V185">
        <f t="shared" si="38"/>
        <v>-0.62803147491532263</v>
      </c>
    </row>
    <row r="186" spans="13:22" x14ac:dyDescent="0.25">
      <c r="M186" s="9"/>
      <c r="T186">
        <v>184</v>
      </c>
      <c r="U186">
        <f t="shared" si="37"/>
        <v>-11.970768603117889</v>
      </c>
      <c r="V186">
        <f t="shared" si="38"/>
        <v>-0.8370776849295033</v>
      </c>
    </row>
    <row r="187" spans="13:22" x14ac:dyDescent="0.25">
      <c r="M187" s="9"/>
      <c r="T187">
        <v>185</v>
      </c>
      <c r="U187">
        <f t="shared" si="37"/>
        <v>-11.954336377100947</v>
      </c>
      <c r="V187">
        <f t="shared" si="38"/>
        <v>-1.0458689129718954</v>
      </c>
    </row>
    <row r="188" spans="13:22" x14ac:dyDescent="0.25">
      <c r="M188" s="9"/>
      <c r="T188">
        <v>186</v>
      </c>
      <c r="U188">
        <f t="shared" si="37"/>
        <v>-11.934262744419279</v>
      </c>
      <c r="V188">
        <f t="shared" si="38"/>
        <v>-1.2543415592118419</v>
      </c>
    </row>
    <row r="189" spans="13:22" x14ac:dyDescent="0.25">
      <c r="M189" s="9"/>
      <c r="T189">
        <v>187</v>
      </c>
      <c r="U189">
        <f t="shared" si="37"/>
        <v>-11.910553819695865</v>
      </c>
      <c r="V189">
        <f t="shared" si="38"/>
        <v>-1.4624321208617677</v>
      </c>
    </row>
    <row r="190" spans="13:22" x14ac:dyDescent="0.25">
      <c r="M190" s="9"/>
      <c r="T190">
        <v>188</v>
      </c>
      <c r="U190">
        <f t="shared" si="37"/>
        <v>-11.883216824898843</v>
      </c>
      <c r="V190">
        <f t="shared" si="38"/>
        <v>-1.6700772115207863</v>
      </c>
    </row>
    <row r="191" spans="13:22" x14ac:dyDescent="0.25">
      <c r="M191" s="9"/>
      <c r="T191">
        <v>189</v>
      </c>
      <c r="U191">
        <f t="shared" si="37"/>
        <v>-11.852260087141653</v>
      </c>
      <c r="V191">
        <f t="shared" si="38"/>
        <v>-1.8772135804827688</v>
      </c>
    </row>
    <row r="192" spans="13:22" x14ac:dyDescent="0.25">
      <c r="M192" s="9"/>
      <c r="T192">
        <v>190</v>
      </c>
      <c r="U192">
        <f t="shared" si="37"/>
        <v>-11.817693036146496</v>
      </c>
      <c r="V192">
        <f t="shared" si="38"/>
        <v>-2.0837781320031654</v>
      </c>
    </row>
    <row r="193" spans="13:22" x14ac:dyDescent="0.25">
      <c r="M193" s="9"/>
      <c r="T193">
        <v>191</v>
      </c>
      <c r="U193">
        <f t="shared" si="37"/>
        <v>-11.779526201371969</v>
      </c>
      <c r="V193">
        <f t="shared" si="38"/>
        <v>-2.2897079445185367</v>
      </c>
    </row>
    <row r="194" spans="13:22" x14ac:dyDescent="0.25">
      <c r="M194" s="9"/>
      <c r="T194">
        <v>192</v>
      </c>
      <c r="U194">
        <f t="shared" si="37"/>
        <v>-11.737771208805666</v>
      </c>
      <c r="V194">
        <f t="shared" si="38"/>
        <v>-2.4949402898131141</v>
      </c>
    </row>
    <row r="195" spans="13:22" x14ac:dyDescent="0.25">
      <c r="M195" s="9"/>
      <c r="T195">
        <v>193</v>
      </c>
      <c r="U195">
        <f t="shared" ref="U195:U258" si="39">$B$3*COS(RADIANS(T195))</f>
        <v>-11.692440777422823</v>
      </c>
      <c r="V195">
        <f t="shared" ref="V195:V258" si="40">$B$3*SIN(RADIANS(T195))</f>
        <v>-2.6994126521263797</v>
      </c>
    </row>
    <row r="196" spans="13:22" x14ac:dyDescent="0.25">
      <c r="M196" s="9"/>
      <c r="T196">
        <v>194</v>
      </c>
      <c r="U196">
        <f t="shared" si="39"/>
        <v>-11.643548715311958</v>
      </c>
      <c r="V196">
        <f t="shared" si="40"/>
        <v>-2.9030627471960102</v>
      </c>
    </row>
    <row r="197" spans="13:22" x14ac:dyDescent="0.25">
      <c r="M197" s="9"/>
      <c r="T197">
        <v>195</v>
      </c>
      <c r="U197">
        <f t="shared" si="39"/>
        <v>-11.59110991546882</v>
      </c>
      <c r="V197">
        <f t="shared" si="40"/>
        <v>-3.1058285412302498</v>
      </c>
    </row>
    <row r="198" spans="13:22" x14ac:dyDescent="0.25">
      <c r="M198" s="9"/>
      <c r="T198">
        <v>196</v>
      </c>
      <c r="U198">
        <f t="shared" si="39"/>
        <v>-11.535140351259827</v>
      </c>
      <c r="V198">
        <f t="shared" si="40"/>
        <v>-3.307648269803988</v>
      </c>
    </row>
    <row r="199" spans="13:22" x14ac:dyDescent="0.25">
      <c r="M199" s="9"/>
      <c r="T199">
        <v>197</v>
      </c>
      <c r="U199">
        <f t="shared" si="39"/>
        <v>-11.475657071556425</v>
      </c>
      <c r="V199">
        <f t="shared" si="40"/>
        <v>-3.5084604566728412</v>
      </c>
    </row>
    <row r="200" spans="13:22" x14ac:dyDescent="0.25">
      <c r="M200" s="9"/>
      <c r="T200">
        <v>198</v>
      </c>
      <c r="U200">
        <f t="shared" si="39"/>
        <v>-11.412678195541844</v>
      </c>
      <c r="V200">
        <f t="shared" si="40"/>
        <v>-3.7082039324993676</v>
      </c>
    </row>
    <row r="201" spans="13:22" x14ac:dyDescent="0.25">
      <c r="M201" s="9"/>
      <c r="T201">
        <v>199</v>
      </c>
      <c r="U201">
        <f t="shared" si="39"/>
        <v>-11.346222907191802</v>
      </c>
      <c r="V201">
        <f t="shared" si="40"/>
        <v>-3.9068178534858813</v>
      </c>
    </row>
    <row r="202" spans="13:22" x14ac:dyDescent="0.25">
      <c r="M202" s="9"/>
      <c r="T202">
        <v>200</v>
      </c>
      <c r="U202">
        <f t="shared" si="39"/>
        <v>-11.276311449430901</v>
      </c>
      <c r="V202">
        <f t="shared" si="40"/>
        <v>-4.1042417199080239</v>
      </c>
    </row>
    <row r="203" spans="13:22" x14ac:dyDescent="0.25">
      <c r="M203" s="9"/>
      <c r="T203">
        <v>201</v>
      </c>
      <c r="U203">
        <f t="shared" si="39"/>
        <v>-11.202965117966421</v>
      </c>
      <c r="V203">
        <f t="shared" si="40"/>
        <v>-4.300415394543605</v>
      </c>
    </row>
    <row r="204" spans="13:22" x14ac:dyDescent="0.25">
      <c r="M204" s="9"/>
      <c r="T204">
        <v>202</v>
      </c>
      <c r="U204">
        <f t="shared" si="39"/>
        <v>-11.126206254801449</v>
      </c>
      <c r="V204">
        <f t="shared" si="40"/>
        <v>-4.4952791209909444</v>
      </c>
    </row>
    <row r="205" spans="13:22" x14ac:dyDescent="0.25">
      <c r="M205" s="9"/>
      <c r="T205">
        <v>203</v>
      </c>
      <c r="U205">
        <f t="shared" si="39"/>
        <v>-11.046058241429284</v>
      </c>
      <c r="V205">
        <f t="shared" si="40"/>
        <v>-4.6887735418712824</v>
      </c>
    </row>
    <row r="206" spans="13:22" x14ac:dyDescent="0.25">
      <c r="M206" s="9"/>
      <c r="T206">
        <v>204</v>
      </c>
      <c r="U206">
        <f t="shared" si="39"/>
        <v>-10.962545491711211</v>
      </c>
      <c r="V206">
        <f t="shared" si="40"/>
        <v>-4.8808397169096027</v>
      </c>
    </row>
    <row r="207" spans="13:22" x14ac:dyDescent="0.25">
      <c r="M207" s="9"/>
      <c r="T207">
        <v>205</v>
      </c>
      <c r="U207">
        <f t="shared" si="39"/>
        <v>-10.875693444439801</v>
      </c>
      <c r="V207">
        <f t="shared" si="40"/>
        <v>-5.0714191408883913</v>
      </c>
    </row>
    <row r="208" spans="13:22" x14ac:dyDescent="0.25">
      <c r="M208" s="9"/>
      <c r="T208">
        <v>206</v>
      </c>
      <c r="U208">
        <f t="shared" si="39"/>
        <v>-10.785528555590004</v>
      </c>
      <c r="V208">
        <f t="shared" si="40"/>
        <v>-5.2604537614689297</v>
      </c>
    </row>
    <row r="209" spans="13:22" x14ac:dyDescent="0.25">
      <c r="M209" s="9"/>
      <c r="T209">
        <v>207</v>
      </c>
      <c r="U209">
        <f t="shared" si="39"/>
        <v>-10.692078290260415</v>
      </c>
      <c r="V209">
        <f t="shared" si="40"/>
        <v>-5.4478859968745601</v>
      </c>
    </row>
    <row r="210" spans="13:22" x14ac:dyDescent="0.25">
      <c r="M210" s="9"/>
      <c r="T210">
        <v>208</v>
      </c>
      <c r="U210">
        <f t="shared" si="39"/>
        <v>-10.595371114307122</v>
      </c>
      <c r="V210">
        <f t="shared" si="40"/>
        <v>-5.6336587534306908</v>
      </c>
    </row>
    <row r="211" spans="13:22" x14ac:dyDescent="0.25">
      <c r="M211" s="9"/>
      <c r="T211">
        <v>209</v>
      </c>
      <c r="U211">
        <f t="shared" si="39"/>
        <v>-10.49543648567275</v>
      </c>
      <c r="V211">
        <f t="shared" si="40"/>
        <v>-5.8177154429560431</v>
      </c>
    </row>
    <row r="212" spans="13:22" x14ac:dyDescent="0.25">
      <c r="M212" s="9"/>
      <c r="T212">
        <v>210</v>
      </c>
      <c r="U212">
        <f t="shared" si="39"/>
        <v>-10.392304845413264</v>
      </c>
      <c r="V212">
        <f t="shared" si="40"/>
        <v>-6.0000000000000018</v>
      </c>
    </row>
    <row r="213" spans="13:22" x14ac:dyDescent="0.25">
      <c r="M213" s="9"/>
      <c r="T213">
        <v>211</v>
      </c>
      <c r="U213">
        <f t="shared" si="39"/>
        <v>-10.286007608425347</v>
      </c>
      <c r="V213">
        <f t="shared" si="40"/>
        <v>-6.1804568989206494</v>
      </c>
    </row>
    <row r="214" spans="13:22" x14ac:dyDescent="0.25">
      <c r="M214" s="9"/>
      <c r="T214">
        <v>212</v>
      </c>
      <c r="U214">
        <f t="shared" si="39"/>
        <v>-10.176577153877112</v>
      </c>
      <c r="V214">
        <f t="shared" si="40"/>
        <v>-6.3590311707984579</v>
      </c>
    </row>
    <row r="215" spans="13:22" x14ac:dyDescent="0.25">
      <c r="M215" s="9"/>
      <c r="T215">
        <v>213</v>
      </c>
      <c r="U215">
        <f t="shared" si="39"/>
        <v>-10.064046815345089</v>
      </c>
      <c r="V215">
        <f t="shared" si="40"/>
        <v>-6.5356684201803255</v>
      </c>
    </row>
    <row r="216" spans="13:22" x14ac:dyDescent="0.25">
      <c r="M216" s="9"/>
      <c r="T216">
        <v>214</v>
      </c>
      <c r="U216">
        <f t="shared" si="39"/>
        <v>-9.9484508706605013</v>
      </c>
      <c r="V216">
        <f t="shared" si="40"/>
        <v>-6.7103148416489606</v>
      </c>
    </row>
    <row r="217" spans="13:22" x14ac:dyDescent="0.25">
      <c r="M217" s="9"/>
      <c r="T217">
        <v>215</v>
      </c>
      <c r="U217">
        <f t="shared" si="39"/>
        <v>-9.8298245314679011</v>
      </c>
      <c r="V217">
        <f t="shared" si="40"/>
        <v>-6.8829172362125544</v>
      </c>
    </row>
    <row r="218" spans="13:22" x14ac:dyDescent="0.25">
      <c r="M218" s="9"/>
      <c r="T218">
        <v>216</v>
      </c>
      <c r="U218">
        <f t="shared" si="39"/>
        <v>-9.7082039324993712</v>
      </c>
      <c r="V218">
        <f t="shared" si="40"/>
        <v>-7.0534230275096768</v>
      </c>
    </row>
    <row r="219" spans="13:22" x14ac:dyDescent="0.25">
      <c r="M219" s="9"/>
      <c r="T219">
        <v>217</v>
      </c>
      <c r="U219">
        <f t="shared" si="39"/>
        <v>-9.583626120567514</v>
      </c>
      <c r="V219">
        <f t="shared" si="40"/>
        <v>-7.2217802778245801</v>
      </c>
    </row>
    <row r="220" spans="13:22" x14ac:dyDescent="0.25">
      <c r="M220" s="9"/>
      <c r="T220">
        <v>218</v>
      </c>
      <c r="U220">
        <f t="shared" si="39"/>
        <v>-9.4561290432806651</v>
      </c>
      <c r="V220">
        <f t="shared" si="40"/>
        <v>-7.3879377039078982</v>
      </c>
    </row>
    <row r="221" spans="13:22" x14ac:dyDescent="0.25">
      <c r="M221" s="9"/>
      <c r="T221">
        <v>219</v>
      </c>
      <c r="U221">
        <f t="shared" si="39"/>
        <v>-9.325751537483649</v>
      </c>
      <c r="V221">
        <f t="shared" si="40"/>
        <v>-7.5518446925980509</v>
      </c>
    </row>
    <row r="222" spans="13:22" x14ac:dyDescent="0.25">
      <c r="M222" s="9"/>
      <c r="T222">
        <v>220</v>
      </c>
      <c r="U222">
        <f t="shared" si="39"/>
        <v>-9.1925333174277366</v>
      </c>
      <c r="V222">
        <f t="shared" si="40"/>
        <v>-7.713451316238471</v>
      </c>
    </row>
    <row r="223" spans="13:22" x14ac:dyDescent="0.25">
      <c r="M223" s="9"/>
      <c r="T223">
        <v>221</v>
      </c>
      <c r="U223">
        <f t="shared" si="39"/>
        <v>-9.0565149626732655</v>
      </c>
      <c r="V223">
        <f t="shared" si="40"/>
        <v>-7.8727083478860846</v>
      </c>
    </row>
    <row r="224" spans="13:22" x14ac:dyDescent="0.25">
      <c r="M224" s="9"/>
      <c r="T224">
        <v>222</v>
      </c>
      <c r="U224">
        <f t="shared" si="39"/>
        <v>-8.9177379057287318</v>
      </c>
      <c r="V224">
        <f t="shared" si="40"/>
        <v>-8.0295672763062989</v>
      </c>
    </row>
    <row r="225" spans="13:22" x14ac:dyDescent="0.25">
      <c r="M225" s="9"/>
      <c r="T225">
        <v>223</v>
      </c>
      <c r="U225">
        <f t="shared" si="39"/>
        <v>-8.7762444194300464</v>
      </c>
      <c r="V225">
        <f t="shared" si="40"/>
        <v>-8.1839803207499813</v>
      </c>
    </row>
    <row r="226" spans="13:22" x14ac:dyDescent="0.25">
      <c r="M226" s="9"/>
      <c r="T226">
        <v>224</v>
      </c>
      <c r="U226">
        <f t="shared" si="39"/>
        <v>-8.632077604063813</v>
      </c>
      <c r="V226">
        <f t="shared" si="40"/>
        <v>-8.3359004455079688</v>
      </c>
    </row>
    <row r="227" spans="13:22" x14ac:dyDescent="0.25">
      <c r="M227" s="9"/>
      <c r="T227">
        <v>225</v>
      </c>
      <c r="U227">
        <f t="shared" si="39"/>
        <v>-8.4852813742385713</v>
      </c>
      <c r="V227">
        <f t="shared" si="40"/>
        <v>-8.4852813742385695</v>
      </c>
    </row>
    <row r="228" spans="13:22" x14ac:dyDescent="0.25">
      <c r="M228" s="9"/>
      <c r="T228">
        <v>226</v>
      </c>
      <c r="U228">
        <f t="shared" si="39"/>
        <v>-8.335900445507967</v>
      </c>
      <c r="V228">
        <f t="shared" si="40"/>
        <v>-8.6320776040638147</v>
      </c>
    </row>
    <row r="229" spans="13:22" x14ac:dyDescent="0.25">
      <c r="M229" s="9"/>
      <c r="T229">
        <v>227</v>
      </c>
      <c r="U229">
        <f t="shared" si="39"/>
        <v>-8.1839803207499831</v>
      </c>
      <c r="V229">
        <f t="shared" si="40"/>
        <v>-8.7762444194300464</v>
      </c>
    </row>
    <row r="230" spans="13:22" x14ac:dyDescent="0.25">
      <c r="M230" s="9"/>
      <c r="T230">
        <v>228</v>
      </c>
      <c r="U230">
        <f t="shared" si="39"/>
        <v>-8.0295672763062971</v>
      </c>
      <c r="V230">
        <f t="shared" si="40"/>
        <v>-8.9177379057287318</v>
      </c>
    </row>
    <row r="231" spans="13:22" x14ac:dyDescent="0.25">
      <c r="M231" s="9"/>
      <c r="T231">
        <v>229</v>
      </c>
      <c r="U231">
        <f t="shared" si="39"/>
        <v>-7.8727083478860873</v>
      </c>
      <c r="V231">
        <f t="shared" si="40"/>
        <v>-9.0565149626732637</v>
      </c>
    </row>
    <row r="232" spans="13:22" x14ac:dyDescent="0.25">
      <c r="M232" s="9"/>
      <c r="T232">
        <v>230</v>
      </c>
      <c r="U232">
        <f t="shared" si="39"/>
        <v>-7.7134513162384737</v>
      </c>
      <c r="V232">
        <f t="shared" si="40"/>
        <v>-9.1925333174277348</v>
      </c>
    </row>
    <row r="233" spans="13:22" x14ac:dyDescent="0.25">
      <c r="M233" s="9"/>
      <c r="T233">
        <v>231</v>
      </c>
      <c r="U233">
        <f t="shared" si="39"/>
        <v>-7.5518446925980545</v>
      </c>
      <c r="V233">
        <f t="shared" si="40"/>
        <v>-9.3257515374836473</v>
      </c>
    </row>
    <row r="234" spans="13:22" x14ac:dyDescent="0.25">
      <c r="M234" s="9"/>
      <c r="T234">
        <v>232</v>
      </c>
      <c r="U234">
        <f t="shared" si="39"/>
        <v>-7.3879377039078964</v>
      </c>
      <c r="V234">
        <f t="shared" si="40"/>
        <v>-9.4561290432806651</v>
      </c>
    </row>
    <row r="235" spans="13:22" x14ac:dyDescent="0.25">
      <c r="M235" s="9"/>
      <c r="T235">
        <v>233</v>
      </c>
      <c r="U235">
        <f t="shared" si="39"/>
        <v>-7.2217802778245792</v>
      </c>
      <c r="V235">
        <f t="shared" si="40"/>
        <v>-9.583626120567514</v>
      </c>
    </row>
    <row r="236" spans="13:22" x14ac:dyDescent="0.25">
      <c r="M236" s="9"/>
      <c r="T236">
        <v>234</v>
      </c>
      <c r="U236">
        <f t="shared" si="39"/>
        <v>-7.0534230275096785</v>
      </c>
      <c r="V236">
        <f t="shared" si="40"/>
        <v>-9.7082039324993676</v>
      </c>
    </row>
    <row r="237" spans="13:22" x14ac:dyDescent="0.25">
      <c r="M237" s="9"/>
      <c r="T237">
        <v>235</v>
      </c>
      <c r="U237">
        <f t="shared" si="39"/>
        <v>-6.8829172362125561</v>
      </c>
      <c r="V237">
        <f t="shared" si="40"/>
        <v>-9.8298245314678994</v>
      </c>
    </row>
    <row r="238" spans="13:22" x14ac:dyDescent="0.25">
      <c r="M238" s="9"/>
      <c r="T238">
        <v>236</v>
      </c>
      <c r="U238">
        <f t="shared" si="39"/>
        <v>-6.7103148416489589</v>
      </c>
      <c r="V238">
        <f t="shared" si="40"/>
        <v>-9.9484508706605013</v>
      </c>
    </row>
    <row r="239" spans="13:22" x14ac:dyDescent="0.25">
      <c r="M239" s="9"/>
      <c r="T239">
        <v>237</v>
      </c>
      <c r="U239">
        <f t="shared" si="39"/>
        <v>-6.5356684201803237</v>
      </c>
      <c r="V239">
        <f t="shared" si="40"/>
        <v>-10.064046815345089</v>
      </c>
    </row>
    <row r="240" spans="13:22" x14ac:dyDescent="0.25">
      <c r="M240" s="9"/>
      <c r="T240">
        <v>238</v>
      </c>
      <c r="U240">
        <f t="shared" si="39"/>
        <v>-6.3590311707984597</v>
      </c>
      <c r="V240">
        <f t="shared" si="40"/>
        <v>-10.176577153877112</v>
      </c>
    </row>
    <row r="241" spans="13:22" x14ac:dyDescent="0.25">
      <c r="M241" s="9"/>
      <c r="T241">
        <v>239</v>
      </c>
      <c r="U241">
        <f t="shared" si="39"/>
        <v>-6.1804568989206539</v>
      </c>
      <c r="V241">
        <f t="shared" si="40"/>
        <v>-10.286007608425345</v>
      </c>
    </row>
    <row r="242" spans="13:22" x14ac:dyDescent="0.25">
      <c r="M242" s="9"/>
      <c r="T242">
        <v>240</v>
      </c>
      <c r="U242">
        <f t="shared" si="39"/>
        <v>-6.0000000000000053</v>
      </c>
      <c r="V242">
        <f t="shared" si="40"/>
        <v>-10.39230484541326</v>
      </c>
    </row>
    <row r="243" spans="13:22" x14ac:dyDescent="0.25">
      <c r="M243" s="9"/>
      <c r="T243">
        <v>241</v>
      </c>
      <c r="U243">
        <f t="shared" si="39"/>
        <v>-5.8177154429560423</v>
      </c>
      <c r="V243">
        <f t="shared" si="40"/>
        <v>-10.495436485672752</v>
      </c>
    </row>
    <row r="244" spans="13:22" x14ac:dyDescent="0.25">
      <c r="M244" s="9"/>
      <c r="T244">
        <v>242</v>
      </c>
      <c r="U244">
        <f t="shared" si="39"/>
        <v>-5.633658753430689</v>
      </c>
      <c r="V244">
        <f t="shared" si="40"/>
        <v>-10.595371114307124</v>
      </c>
    </row>
    <row r="245" spans="13:22" x14ac:dyDescent="0.25">
      <c r="M245" s="9"/>
      <c r="T245">
        <v>243</v>
      </c>
      <c r="U245">
        <f t="shared" si="39"/>
        <v>-5.4478859968745628</v>
      </c>
      <c r="V245">
        <f t="shared" si="40"/>
        <v>-10.692078290260413</v>
      </c>
    </row>
    <row r="246" spans="13:22" x14ac:dyDescent="0.25">
      <c r="M246" s="9"/>
      <c r="T246">
        <v>244</v>
      </c>
      <c r="U246">
        <f t="shared" si="39"/>
        <v>-5.2604537614689324</v>
      </c>
      <c r="V246">
        <f t="shared" si="40"/>
        <v>-10.785528555590002</v>
      </c>
    </row>
    <row r="247" spans="13:22" x14ac:dyDescent="0.25">
      <c r="M247" s="9"/>
      <c r="T247">
        <v>245</v>
      </c>
      <c r="U247">
        <f t="shared" si="39"/>
        <v>-5.0714191408883895</v>
      </c>
      <c r="V247">
        <f t="shared" si="40"/>
        <v>-10.875693444439801</v>
      </c>
    </row>
    <row r="248" spans="13:22" x14ac:dyDescent="0.25">
      <c r="M248" s="9"/>
      <c r="T248">
        <v>246</v>
      </c>
      <c r="U248">
        <f t="shared" si="39"/>
        <v>-4.8808397169096009</v>
      </c>
      <c r="V248">
        <f t="shared" si="40"/>
        <v>-10.962545491711211</v>
      </c>
    </row>
    <row r="249" spans="13:22" x14ac:dyDescent="0.25">
      <c r="M249" s="9"/>
      <c r="T249">
        <v>247</v>
      </c>
      <c r="U249">
        <f t="shared" si="39"/>
        <v>-4.6887735418712859</v>
      </c>
      <c r="V249">
        <f t="shared" si="40"/>
        <v>-11.046058241429282</v>
      </c>
    </row>
    <row r="250" spans="13:22" x14ac:dyDescent="0.25">
      <c r="M250" s="9"/>
      <c r="T250">
        <v>248</v>
      </c>
      <c r="U250">
        <f t="shared" si="39"/>
        <v>-4.4952791209909471</v>
      </c>
      <c r="V250">
        <f t="shared" si="40"/>
        <v>-11.126206254801447</v>
      </c>
    </row>
    <row r="251" spans="13:22" x14ac:dyDescent="0.25">
      <c r="M251" s="9"/>
      <c r="T251">
        <v>249</v>
      </c>
      <c r="U251">
        <f t="shared" si="39"/>
        <v>-4.3004153945436085</v>
      </c>
      <c r="V251">
        <f t="shared" si="40"/>
        <v>-11.20296511796642</v>
      </c>
    </row>
    <row r="252" spans="13:22" x14ac:dyDescent="0.25">
      <c r="M252" s="9"/>
      <c r="T252">
        <v>250</v>
      </c>
      <c r="U252">
        <f t="shared" si="39"/>
        <v>-4.104241719908023</v>
      </c>
      <c r="V252">
        <f t="shared" si="40"/>
        <v>-11.276311449430901</v>
      </c>
    </row>
    <row r="253" spans="13:22" x14ac:dyDescent="0.25">
      <c r="M253" s="9"/>
      <c r="T253">
        <v>251</v>
      </c>
      <c r="U253">
        <f t="shared" si="39"/>
        <v>-3.9068178534858795</v>
      </c>
      <c r="V253">
        <f t="shared" si="40"/>
        <v>-11.346222907191802</v>
      </c>
    </row>
    <row r="254" spans="13:22" x14ac:dyDescent="0.25">
      <c r="M254" s="9"/>
      <c r="T254">
        <v>252</v>
      </c>
      <c r="U254">
        <f t="shared" si="39"/>
        <v>-3.7082039324993707</v>
      </c>
      <c r="V254">
        <f t="shared" si="40"/>
        <v>-11.412678195541842</v>
      </c>
    </row>
    <row r="255" spans="13:22" x14ac:dyDescent="0.25">
      <c r="M255" s="9"/>
      <c r="T255">
        <v>253</v>
      </c>
      <c r="U255">
        <f t="shared" si="39"/>
        <v>-3.5084604566728452</v>
      </c>
      <c r="V255">
        <f t="shared" si="40"/>
        <v>-11.475657071556423</v>
      </c>
    </row>
    <row r="256" spans="13:22" x14ac:dyDescent="0.25">
      <c r="M256" s="9"/>
      <c r="T256">
        <v>254</v>
      </c>
      <c r="U256">
        <f t="shared" si="39"/>
        <v>-3.3076482698039866</v>
      </c>
      <c r="V256">
        <f t="shared" si="40"/>
        <v>-11.535140351259829</v>
      </c>
    </row>
    <row r="257" spans="13:22" x14ac:dyDescent="0.25">
      <c r="M257" s="9"/>
      <c r="T257">
        <v>255</v>
      </c>
      <c r="U257">
        <f t="shared" si="39"/>
        <v>-3.1058285412302475</v>
      </c>
      <c r="V257">
        <f t="shared" si="40"/>
        <v>-11.59110991546882</v>
      </c>
    </row>
    <row r="258" spans="13:22" x14ac:dyDescent="0.25">
      <c r="M258" s="9"/>
      <c r="T258">
        <v>256</v>
      </c>
      <c r="U258">
        <f t="shared" si="39"/>
        <v>-2.9030627471960133</v>
      </c>
      <c r="V258">
        <f t="shared" si="40"/>
        <v>-11.643548715311958</v>
      </c>
    </row>
    <row r="259" spans="13:22" x14ac:dyDescent="0.25">
      <c r="M259" s="9"/>
      <c r="T259">
        <v>257</v>
      </c>
      <c r="U259">
        <f t="shared" ref="U259:U322" si="41">$B$3*COS(RADIANS(T259))</f>
        <v>-2.6994126521263828</v>
      </c>
      <c r="V259">
        <f t="shared" ref="V259:V322" si="42">$B$3*SIN(RADIANS(T259))</f>
        <v>-11.692440777422821</v>
      </c>
    </row>
    <row r="260" spans="13:22" x14ac:dyDescent="0.25">
      <c r="M260" s="9"/>
      <c r="T260">
        <v>258</v>
      </c>
      <c r="U260">
        <f t="shared" si="41"/>
        <v>-2.4949402898131172</v>
      </c>
      <c r="V260">
        <f t="shared" si="42"/>
        <v>-11.737771208805666</v>
      </c>
    </row>
    <row r="261" spans="13:22" x14ac:dyDescent="0.25">
      <c r="M261" s="9"/>
      <c r="T261">
        <v>259</v>
      </c>
      <c r="U261">
        <f t="shared" si="41"/>
        <v>-2.2897079445185353</v>
      </c>
      <c r="V261">
        <f t="shared" si="42"/>
        <v>-11.779526201371969</v>
      </c>
    </row>
    <row r="262" spans="13:22" x14ac:dyDescent="0.25">
      <c r="M262" s="9"/>
      <c r="T262">
        <v>260</v>
      </c>
      <c r="U262">
        <f t="shared" si="41"/>
        <v>-2.0837781320031641</v>
      </c>
      <c r="V262">
        <f t="shared" si="42"/>
        <v>-11.817693036146496</v>
      </c>
    </row>
    <row r="263" spans="13:22" x14ac:dyDescent="0.25">
      <c r="M263" s="9"/>
      <c r="T263">
        <v>261</v>
      </c>
      <c r="U263">
        <f t="shared" si="41"/>
        <v>-1.8772135804827723</v>
      </c>
      <c r="V263">
        <f t="shared" si="42"/>
        <v>-11.852260087141651</v>
      </c>
    </row>
    <row r="264" spans="13:22" x14ac:dyDescent="0.25">
      <c r="M264" s="9"/>
      <c r="T264">
        <v>262</v>
      </c>
      <c r="U264">
        <f t="shared" si="41"/>
        <v>-1.6700772115207898</v>
      </c>
      <c r="V264">
        <f t="shared" si="42"/>
        <v>-11.883216824898843</v>
      </c>
    </row>
    <row r="265" spans="13:22" x14ac:dyDescent="0.25">
      <c r="M265" s="9"/>
      <c r="T265">
        <v>263</v>
      </c>
      <c r="U265">
        <f t="shared" si="41"/>
        <v>-1.4624321208617661</v>
      </c>
      <c r="V265">
        <f t="shared" si="42"/>
        <v>-11.910553819695865</v>
      </c>
    </row>
    <row r="266" spans="13:22" x14ac:dyDescent="0.25">
      <c r="M266" s="9"/>
      <c r="T266">
        <v>264</v>
      </c>
      <c r="U266">
        <f t="shared" si="41"/>
        <v>-1.2543415592118403</v>
      </c>
      <c r="V266">
        <f t="shared" si="42"/>
        <v>-11.93426274441928</v>
      </c>
    </row>
    <row r="267" spans="13:22" x14ac:dyDescent="0.25">
      <c r="M267" s="9"/>
      <c r="T267">
        <v>265</v>
      </c>
      <c r="U267">
        <f t="shared" si="41"/>
        <v>-1.045868912971899</v>
      </c>
      <c r="V267">
        <f t="shared" si="42"/>
        <v>-11.954336377100947</v>
      </c>
    </row>
    <row r="268" spans="13:22" x14ac:dyDescent="0.25">
      <c r="M268" s="9"/>
      <c r="T268">
        <v>266</v>
      </c>
      <c r="U268">
        <f t="shared" si="41"/>
        <v>-0.83707768492950696</v>
      </c>
      <c r="V268">
        <f t="shared" si="42"/>
        <v>-11.970768603117889</v>
      </c>
    </row>
    <row r="269" spans="13:22" x14ac:dyDescent="0.25">
      <c r="M269" s="9"/>
      <c r="T269">
        <v>267</v>
      </c>
      <c r="U269">
        <f t="shared" si="41"/>
        <v>-0.62803147491533173</v>
      </c>
      <c r="V269">
        <f t="shared" si="42"/>
        <v>-11.983554417054886</v>
      </c>
    </row>
    <row r="270" spans="13:22" x14ac:dyDescent="0.25">
      <c r="M270" s="9"/>
      <c r="T270">
        <v>268</v>
      </c>
      <c r="U270">
        <f t="shared" si="41"/>
        <v>-0.41879396043000916</v>
      </c>
      <c r="V270">
        <f t="shared" si="42"/>
        <v>-11.992689924229149</v>
      </c>
    </row>
    <row r="271" spans="13:22" x14ac:dyDescent="0.25">
      <c r="M271" s="9"/>
      <c r="T271">
        <v>269</v>
      </c>
      <c r="U271">
        <f t="shared" si="41"/>
        <v>-0.20942887724740197</v>
      </c>
      <c r="V271">
        <f t="shared" si="42"/>
        <v>-11.998172341876696</v>
      </c>
    </row>
    <row r="272" spans="13:22" x14ac:dyDescent="0.25">
      <c r="M272" s="9"/>
      <c r="T272">
        <v>270</v>
      </c>
      <c r="U272">
        <f t="shared" si="41"/>
        <v>-2.205267218835516E-15</v>
      </c>
      <c r="V272">
        <f t="shared" si="42"/>
        <v>-12</v>
      </c>
    </row>
    <row r="273" spans="13:22" x14ac:dyDescent="0.25">
      <c r="M273" s="9"/>
      <c r="T273">
        <v>271</v>
      </c>
      <c r="U273">
        <f t="shared" si="41"/>
        <v>0.20942887724739756</v>
      </c>
      <c r="V273">
        <f t="shared" si="42"/>
        <v>-11.998172341876696</v>
      </c>
    </row>
    <row r="274" spans="13:22" x14ac:dyDescent="0.25">
      <c r="M274" s="9"/>
      <c r="T274">
        <v>272</v>
      </c>
      <c r="U274">
        <f t="shared" si="41"/>
        <v>0.41879396043001538</v>
      </c>
      <c r="V274">
        <f t="shared" si="42"/>
        <v>-11.992689924229149</v>
      </c>
    </row>
    <row r="275" spans="13:22" x14ac:dyDescent="0.25">
      <c r="M275" s="9"/>
      <c r="T275">
        <v>273</v>
      </c>
      <c r="U275">
        <f t="shared" si="41"/>
        <v>0.62803147491532729</v>
      </c>
      <c r="V275">
        <f t="shared" si="42"/>
        <v>-11.983554417054886</v>
      </c>
    </row>
    <row r="276" spans="13:22" x14ac:dyDescent="0.25">
      <c r="M276" s="9"/>
      <c r="T276">
        <v>274</v>
      </c>
      <c r="U276">
        <f t="shared" si="41"/>
        <v>0.83707768492950263</v>
      </c>
      <c r="V276">
        <f t="shared" si="42"/>
        <v>-11.970768603117891</v>
      </c>
    </row>
    <row r="277" spans="13:22" x14ac:dyDescent="0.25">
      <c r="M277" s="9"/>
      <c r="T277">
        <v>275</v>
      </c>
      <c r="U277">
        <f t="shared" si="41"/>
        <v>1.0458689129718945</v>
      </c>
      <c r="V277">
        <f t="shared" si="42"/>
        <v>-11.954336377100947</v>
      </c>
    </row>
    <row r="278" spans="13:22" x14ac:dyDescent="0.25">
      <c r="M278" s="9"/>
      <c r="T278">
        <v>276</v>
      </c>
      <c r="U278">
        <f t="shared" si="41"/>
        <v>1.2543415592118359</v>
      </c>
      <c r="V278">
        <f t="shared" si="42"/>
        <v>-11.93426274441928</v>
      </c>
    </row>
    <row r="279" spans="13:22" x14ac:dyDescent="0.25">
      <c r="M279" s="9"/>
      <c r="T279">
        <v>277</v>
      </c>
      <c r="U279">
        <f t="shared" si="41"/>
        <v>1.4624321208617723</v>
      </c>
      <c r="V279">
        <f t="shared" si="42"/>
        <v>-11.910553819695863</v>
      </c>
    </row>
    <row r="280" spans="13:22" x14ac:dyDescent="0.25">
      <c r="M280" s="9"/>
      <c r="T280">
        <v>278</v>
      </c>
      <c r="U280">
        <f t="shared" si="41"/>
        <v>1.6700772115207856</v>
      </c>
      <c r="V280">
        <f t="shared" si="42"/>
        <v>-11.883216824898845</v>
      </c>
    </row>
    <row r="281" spans="13:22" x14ac:dyDescent="0.25">
      <c r="M281" s="9"/>
      <c r="T281">
        <v>279</v>
      </c>
      <c r="U281">
        <f t="shared" si="41"/>
        <v>1.8772135804827681</v>
      </c>
      <c r="V281">
        <f t="shared" si="42"/>
        <v>-11.852260087141653</v>
      </c>
    </row>
    <row r="282" spans="13:22" x14ac:dyDescent="0.25">
      <c r="M282" s="9"/>
      <c r="T282">
        <v>280</v>
      </c>
      <c r="U282">
        <f t="shared" si="41"/>
        <v>2.0837781320031596</v>
      </c>
      <c r="V282">
        <f t="shared" si="42"/>
        <v>-11.817693036146498</v>
      </c>
    </row>
    <row r="283" spans="13:22" x14ac:dyDescent="0.25">
      <c r="M283" s="9"/>
      <c r="T283">
        <v>281</v>
      </c>
      <c r="U283">
        <f t="shared" si="41"/>
        <v>2.2897079445185415</v>
      </c>
      <c r="V283">
        <f t="shared" si="42"/>
        <v>-11.779526201371967</v>
      </c>
    </row>
    <row r="284" spans="13:22" x14ac:dyDescent="0.25">
      <c r="M284" s="9"/>
      <c r="T284">
        <v>282</v>
      </c>
      <c r="U284">
        <f t="shared" si="41"/>
        <v>2.4949402898131132</v>
      </c>
      <c r="V284">
        <f t="shared" si="42"/>
        <v>-11.737771208805666</v>
      </c>
    </row>
    <row r="285" spans="13:22" x14ac:dyDescent="0.25">
      <c r="M285" s="9"/>
      <c r="T285">
        <v>283</v>
      </c>
      <c r="U285">
        <f t="shared" si="41"/>
        <v>2.6994126521263793</v>
      </c>
      <c r="V285">
        <f t="shared" si="42"/>
        <v>-11.692440777422823</v>
      </c>
    </row>
    <row r="286" spans="13:22" x14ac:dyDescent="0.25">
      <c r="M286" s="9"/>
      <c r="T286">
        <v>284</v>
      </c>
      <c r="U286">
        <f t="shared" si="41"/>
        <v>2.9030627471960093</v>
      </c>
      <c r="V286">
        <f t="shared" si="42"/>
        <v>-11.643548715311958</v>
      </c>
    </row>
    <row r="287" spans="13:22" x14ac:dyDescent="0.25">
      <c r="M287" s="9"/>
      <c r="T287">
        <v>285</v>
      </c>
      <c r="U287">
        <f t="shared" si="41"/>
        <v>3.1058285412302435</v>
      </c>
      <c r="V287">
        <f t="shared" si="42"/>
        <v>-11.59110991546882</v>
      </c>
    </row>
    <row r="288" spans="13:22" x14ac:dyDescent="0.25">
      <c r="M288" s="9"/>
      <c r="T288">
        <v>286</v>
      </c>
      <c r="U288">
        <f t="shared" si="41"/>
        <v>3.3076482698039928</v>
      </c>
      <c r="V288">
        <f t="shared" si="42"/>
        <v>-11.535140351259825</v>
      </c>
    </row>
    <row r="289" spans="13:22" x14ac:dyDescent="0.25">
      <c r="M289" s="9"/>
      <c r="T289">
        <v>287</v>
      </c>
      <c r="U289">
        <f t="shared" si="41"/>
        <v>3.5084604566728403</v>
      </c>
      <c r="V289">
        <f t="shared" si="42"/>
        <v>-11.475657071556425</v>
      </c>
    </row>
    <row r="290" spans="13:22" x14ac:dyDescent="0.25">
      <c r="M290" s="9"/>
      <c r="T290">
        <v>288</v>
      </c>
      <c r="U290">
        <f t="shared" si="41"/>
        <v>3.7082039324993668</v>
      </c>
      <c r="V290">
        <f t="shared" si="42"/>
        <v>-11.412678195541844</v>
      </c>
    </row>
    <row r="291" spans="13:22" x14ac:dyDescent="0.25">
      <c r="M291" s="9"/>
      <c r="T291">
        <v>289</v>
      </c>
      <c r="U291">
        <f t="shared" si="41"/>
        <v>3.906817853485876</v>
      </c>
      <c r="V291">
        <f t="shared" si="42"/>
        <v>-11.346222907191803</v>
      </c>
    </row>
    <row r="292" spans="13:22" x14ac:dyDescent="0.25">
      <c r="M292" s="9"/>
      <c r="T292">
        <v>290</v>
      </c>
      <c r="U292">
        <f t="shared" si="41"/>
        <v>4.1042417199080283</v>
      </c>
      <c r="V292">
        <f t="shared" si="42"/>
        <v>-11.276311449430899</v>
      </c>
    </row>
    <row r="293" spans="13:22" x14ac:dyDescent="0.25">
      <c r="M293" s="9"/>
      <c r="T293">
        <v>291</v>
      </c>
      <c r="U293">
        <f t="shared" si="41"/>
        <v>4.3004153945436041</v>
      </c>
      <c r="V293">
        <f t="shared" si="42"/>
        <v>-11.202965117966421</v>
      </c>
    </row>
    <row r="294" spans="13:22" x14ac:dyDescent="0.25">
      <c r="M294" s="9"/>
      <c r="T294">
        <v>292</v>
      </c>
      <c r="U294">
        <f t="shared" si="41"/>
        <v>4.4952791209909435</v>
      </c>
      <c r="V294">
        <f t="shared" si="42"/>
        <v>-11.126206254801449</v>
      </c>
    </row>
    <row r="295" spans="13:22" x14ac:dyDescent="0.25">
      <c r="M295" s="9"/>
      <c r="T295">
        <v>293</v>
      </c>
      <c r="U295">
        <f t="shared" si="41"/>
        <v>4.6887735418712815</v>
      </c>
      <c r="V295">
        <f t="shared" si="42"/>
        <v>-11.046058241429286</v>
      </c>
    </row>
    <row r="296" spans="13:22" x14ac:dyDescent="0.25">
      <c r="M296" s="9"/>
      <c r="T296">
        <v>294</v>
      </c>
      <c r="U296">
        <f t="shared" si="41"/>
        <v>4.8808397169095974</v>
      </c>
      <c r="V296">
        <f t="shared" si="42"/>
        <v>-10.962545491711213</v>
      </c>
    </row>
    <row r="297" spans="13:22" x14ac:dyDescent="0.25">
      <c r="M297" s="9"/>
      <c r="T297">
        <v>295</v>
      </c>
      <c r="U297">
        <f t="shared" si="41"/>
        <v>5.0714191408883948</v>
      </c>
      <c r="V297">
        <f t="shared" si="42"/>
        <v>-10.875693444439799</v>
      </c>
    </row>
    <row r="298" spans="13:22" x14ac:dyDescent="0.25">
      <c r="M298" s="9"/>
      <c r="T298">
        <v>296</v>
      </c>
      <c r="U298">
        <f t="shared" si="41"/>
        <v>5.2604537614689288</v>
      </c>
      <c r="V298">
        <f t="shared" si="42"/>
        <v>-10.785528555590005</v>
      </c>
    </row>
    <row r="299" spans="13:22" x14ac:dyDescent="0.25">
      <c r="M299" s="9"/>
      <c r="T299">
        <v>297</v>
      </c>
      <c r="U299">
        <f t="shared" si="41"/>
        <v>5.4478859968745592</v>
      </c>
      <c r="V299">
        <f t="shared" si="42"/>
        <v>-10.692078290260415</v>
      </c>
    </row>
    <row r="300" spans="13:22" x14ac:dyDescent="0.25">
      <c r="M300" s="9"/>
      <c r="T300">
        <v>298</v>
      </c>
      <c r="U300">
        <f t="shared" si="41"/>
        <v>5.6336587534306855</v>
      </c>
      <c r="V300">
        <f t="shared" si="42"/>
        <v>-10.595371114307126</v>
      </c>
    </row>
    <row r="301" spans="13:22" x14ac:dyDescent="0.25">
      <c r="M301" s="9"/>
      <c r="T301">
        <v>299</v>
      </c>
      <c r="U301">
        <f t="shared" si="41"/>
        <v>5.8177154429560476</v>
      </c>
      <c r="V301">
        <f t="shared" si="42"/>
        <v>-10.495436485672748</v>
      </c>
    </row>
    <row r="302" spans="13:22" x14ac:dyDescent="0.25">
      <c r="M302" s="9"/>
      <c r="T302">
        <v>300</v>
      </c>
      <c r="U302">
        <f t="shared" si="41"/>
        <v>6.0000000000000018</v>
      </c>
      <c r="V302">
        <f t="shared" si="42"/>
        <v>-10.392304845413264</v>
      </c>
    </row>
    <row r="303" spans="13:22" x14ac:dyDescent="0.25">
      <c r="M303" s="9"/>
      <c r="T303">
        <v>301</v>
      </c>
      <c r="U303">
        <f t="shared" si="41"/>
        <v>6.1804568989206494</v>
      </c>
      <c r="V303">
        <f t="shared" si="42"/>
        <v>-10.286007608425347</v>
      </c>
    </row>
    <row r="304" spans="13:22" x14ac:dyDescent="0.25">
      <c r="M304" s="9"/>
      <c r="T304">
        <v>302</v>
      </c>
      <c r="U304">
        <f t="shared" si="41"/>
        <v>6.3590311707984561</v>
      </c>
      <c r="V304">
        <f t="shared" si="42"/>
        <v>-10.176577153877114</v>
      </c>
    </row>
    <row r="305" spans="13:22" x14ac:dyDescent="0.25">
      <c r="M305" s="9"/>
      <c r="T305">
        <v>303</v>
      </c>
      <c r="U305">
        <f t="shared" si="41"/>
        <v>6.5356684201803201</v>
      </c>
      <c r="V305">
        <f t="shared" si="42"/>
        <v>-10.06404681534509</v>
      </c>
    </row>
    <row r="306" spans="13:22" x14ac:dyDescent="0.25">
      <c r="M306" s="9"/>
      <c r="T306">
        <v>304</v>
      </c>
      <c r="U306">
        <f t="shared" si="41"/>
        <v>6.7103148416489642</v>
      </c>
      <c r="V306">
        <f t="shared" si="42"/>
        <v>-9.9484508706604995</v>
      </c>
    </row>
    <row r="307" spans="13:22" x14ac:dyDescent="0.25">
      <c r="M307" s="9"/>
      <c r="T307">
        <v>305</v>
      </c>
      <c r="U307">
        <f t="shared" si="41"/>
        <v>6.8829172362125526</v>
      </c>
      <c r="V307">
        <f t="shared" si="42"/>
        <v>-9.8298245314679011</v>
      </c>
    </row>
    <row r="308" spans="13:22" x14ac:dyDescent="0.25">
      <c r="M308" s="9"/>
      <c r="T308">
        <v>306</v>
      </c>
      <c r="U308">
        <f t="shared" si="41"/>
        <v>7.053423027509675</v>
      </c>
      <c r="V308">
        <f t="shared" si="42"/>
        <v>-9.7082039324993712</v>
      </c>
    </row>
    <row r="309" spans="13:22" x14ac:dyDescent="0.25">
      <c r="M309" s="9"/>
      <c r="T309">
        <v>307</v>
      </c>
      <c r="U309">
        <f t="shared" si="41"/>
        <v>7.2217802778245748</v>
      </c>
      <c r="V309">
        <f t="shared" si="42"/>
        <v>-9.5836261205675157</v>
      </c>
    </row>
    <row r="310" spans="13:22" x14ac:dyDescent="0.25">
      <c r="M310" s="9"/>
      <c r="T310">
        <v>308</v>
      </c>
      <c r="U310">
        <f t="shared" si="41"/>
        <v>7.3879377039079017</v>
      </c>
      <c r="V310">
        <f t="shared" si="42"/>
        <v>-9.4561290432806615</v>
      </c>
    </row>
    <row r="311" spans="13:22" x14ac:dyDescent="0.25">
      <c r="M311" s="9"/>
      <c r="T311">
        <v>309</v>
      </c>
      <c r="U311">
        <f t="shared" si="41"/>
        <v>7.55184469259805</v>
      </c>
      <c r="V311">
        <f t="shared" si="42"/>
        <v>-9.325751537483649</v>
      </c>
    </row>
    <row r="312" spans="13:22" x14ac:dyDescent="0.25">
      <c r="M312" s="9"/>
      <c r="T312">
        <v>310</v>
      </c>
      <c r="U312">
        <f t="shared" si="41"/>
        <v>7.713451316238471</v>
      </c>
      <c r="V312">
        <f t="shared" si="42"/>
        <v>-9.1925333174277384</v>
      </c>
    </row>
    <row r="313" spans="13:22" x14ac:dyDescent="0.25">
      <c r="M313" s="9"/>
      <c r="T313">
        <v>311</v>
      </c>
      <c r="U313">
        <f t="shared" si="41"/>
        <v>7.8727083478860846</v>
      </c>
      <c r="V313">
        <f t="shared" si="42"/>
        <v>-9.0565149626732673</v>
      </c>
    </row>
    <row r="314" spans="13:22" x14ac:dyDescent="0.25">
      <c r="M314" s="9"/>
      <c r="T314">
        <v>312</v>
      </c>
      <c r="U314">
        <f t="shared" si="41"/>
        <v>8.0295672763062935</v>
      </c>
      <c r="V314">
        <f t="shared" si="42"/>
        <v>-8.9177379057287354</v>
      </c>
    </row>
    <row r="315" spans="13:22" x14ac:dyDescent="0.25">
      <c r="M315" s="9"/>
      <c r="T315">
        <v>313</v>
      </c>
      <c r="U315">
        <f t="shared" si="41"/>
        <v>8.1839803207499831</v>
      </c>
      <c r="V315">
        <f t="shared" si="42"/>
        <v>-8.7762444194300446</v>
      </c>
    </row>
    <row r="316" spans="13:22" x14ac:dyDescent="0.25">
      <c r="M316" s="9"/>
      <c r="T316">
        <v>314</v>
      </c>
      <c r="U316">
        <f t="shared" si="41"/>
        <v>8.335900445507967</v>
      </c>
      <c r="V316">
        <f t="shared" si="42"/>
        <v>-8.6320776040638147</v>
      </c>
    </row>
    <row r="317" spans="13:22" x14ac:dyDescent="0.25">
      <c r="M317" s="9"/>
      <c r="T317">
        <v>315</v>
      </c>
      <c r="U317">
        <f t="shared" si="41"/>
        <v>8.4852813742385678</v>
      </c>
      <c r="V317">
        <f t="shared" si="42"/>
        <v>-8.4852813742385713</v>
      </c>
    </row>
    <row r="318" spans="13:22" x14ac:dyDescent="0.25">
      <c r="M318" s="9"/>
      <c r="T318">
        <v>316</v>
      </c>
      <c r="U318">
        <f t="shared" si="41"/>
        <v>8.6320776040638094</v>
      </c>
      <c r="V318">
        <f t="shared" si="42"/>
        <v>-8.3359004455079706</v>
      </c>
    </row>
    <row r="319" spans="13:22" x14ac:dyDescent="0.25">
      <c r="M319" s="9"/>
      <c r="T319">
        <v>317</v>
      </c>
      <c r="U319">
        <f t="shared" si="41"/>
        <v>8.7762444194300482</v>
      </c>
      <c r="V319">
        <f t="shared" si="42"/>
        <v>-8.1839803207499795</v>
      </c>
    </row>
    <row r="320" spans="13:22" x14ac:dyDescent="0.25">
      <c r="M320" s="9"/>
      <c r="T320">
        <v>318</v>
      </c>
      <c r="U320">
        <f t="shared" si="41"/>
        <v>8.9177379057287318</v>
      </c>
      <c r="V320">
        <f t="shared" si="42"/>
        <v>-8.0295672763062971</v>
      </c>
    </row>
    <row r="321" spans="13:22" x14ac:dyDescent="0.25">
      <c r="M321" s="9"/>
      <c r="T321">
        <v>319</v>
      </c>
      <c r="U321">
        <f t="shared" si="41"/>
        <v>9.0565149626732619</v>
      </c>
      <c r="V321">
        <f t="shared" si="42"/>
        <v>-7.8727083478860891</v>
      </c>
    </row>
    <row r="322" spans="13:22" x14ac:dyDescent="0.25">
      <c r="M322" s="9"/>
      <c r="T322">
        <v>320</v>
      </c>
      <c r="U322">
        <f t="shared" si="41"/>
        <v>9.1925333174277331</v>
      </c>
      <c r="V322">
        <f t="shared" si="42"/>
        <v>-7.7134513162384746</v>
      </c>
    </row>
    <row r="323" spans="13:22" x14ac:dyDescent="0.25">
      <c r="M323" s="9"/>
      <c r="T323">
        <v>321</v>
      </c>
      <c r="U323">
        <f t="shared" ref="U323:U362" si="43">$B$3*COS(RADIANS(T323))</f>
        <v>9.3257515374836473</v>
      </c>
      <c r="V323">
        <f t="shared" ref="V323:V362" si="44">$B$3*SIN(RADIANS(T323))</f>
        <v>-7.5518446925980545</v>
      </c>
    </row>
    <row r="324" spans="13:22" x14ac:dyDescent="0.25">
      <c r="M324" s="9"/>
      <c r="T324">
        <v>322</v>
      </c>
      <c r="U324">
        <f t="shared" si="43"/>
        <v>9.4561290432806651</v>
      </c>
      <c r="V324">
        <f t="shared" si="44"/>
        <v>-7.3879377039078982</v>
      </c>
    </row>
    <row r="325" spans="13:22" x14ac:dyDescent="0.25">
      <c r="M325" s="9"/>
      <c r="T325">
        <v>323</v>
      </c>
      <c r="U325">
        <f t="shared" si="43"/>
        <v>9.583626120567514</v>
      </c>
      <c r="V325">
        <f t="shared" si="44"/>
        <v>-7.2217802778245792</v>
      </c>
    </row>
    <row r="326" spans="13:22" x14ac:dyDescent="0.25">
      <c r="M326" s="9"/>
      <c r="T326">
        <v>324</v>
      </c>
      <c r="U326">
        <f t="shared" si="43"/>
        <v>9.7082039324993676</v>
      </c>
      <c r="V326">
        <f t="shared" si="44"/>
        <v>-7.0534230275096803</v>
      </c>
    </row>
    <row r="327" spans="13:22" x14ac:dyDescent="0.25">
      <c r="M327" s="9"/>
      <c r="T327">
        <v>325</v>
      </c>
      <c r="U327">
        <f t="shared" si="43"/>
        <v>9.8298245314678994</v>
      </c>
      <c r="V327">
        <f t="shared" si="44"/>
        <v>-6.8829172362125579</v>
      </c>
    </row>
    <row r="328" spans="13:22" x14ac:dyDescent="0.25">
      <c r="M328" s="9"/>
      <c r="T328">
        <v>326</v>
      </c>
      <c r="U328">
        <f t="shared" si="43"/>
        <v>9.9484508706605013</v>
      </c>
      <c r="V328">
        <f t="shared" si="44"/>
        <v>-6.7103148416489589</v>
      </c>
    </row>
    <row r="329" spans="13:22" x14ac:dyDescent="0.25">
      <c r="M329" s="9"/>
      <c r="T329">
        <v>327</v>
      </c>
      <c r="U329">
        <f t="shared" si="43"/>
        <v>10.064046815345089</v>
      </c>
      <c r="V329">
        <f t="shared" si="44"/>
        <v>-6.5356684201803237</v>
      </c>
    </row>
    <row r="330" spans="13:22" x14ac:dyDescent="0.25">
      <c r="M330" s="9"/>
      <c r="T330">
        <v>328</v>
      </c>
      <c r="U330">
        <f t="shared" si="43"/>
        <v>10.176577153877112</v>
      </c>
      <c r="V330">
        <f t="shared" si="44"/>
        <v>-6.3590311707984597</v>
      </c>
    </row>
    <row r="331" spans="13:22" x14ac:dyDescent="0.25">
      <c r="M331" s="9"/>
      <c r="T331">
        <v>329</v>
      </c>
      <c r="U331">
        <f t="shared" si="43"/>
        <v>10.286007608425345</v>
      </c>
      <c r="V331">
        <f t="shared" si="44"/>
        <v>-6.1804568989206539</v>
      </c>
    </row>
    <row r="332" spans="13:22" x14ac:dyDescent="0.25">
      <c r="M332" s="9"/>
      <c r="T332">
        <v>330</v>
      </c>
      <c r="U332">
        <f t="shared" si="43"/>
        <v>10.39230484541326</v>
      </c>
      <c r="V332">
        <f t="shared" si="44"/>
        <v>-6.0000000000000053</v>
      </c>
    </row>
    <row r="333" spans="13:22" x14ac:dyDescent="0.25">
      <c r="M333" s="9"/>
      <c r="T333">
        <v>331</v>
      </c>
      <c r="U333">
        <f t="shared" si="43"/>
        <v>10.49543648567275</v>
      </c>
      <c r="V333">
        <f t="shared" si="44"/>
        <v>-5.8177154429560431</v>
      </c>
    </row>
    <row r="334" spans="13:22" x14ac:dyDescent="0.25">
      <c r="M334" s="9"/>
      <c r="T334">
        <v>332</v>
      </c>
      <c r="U334">
        <f t="shared" si="43"/>
        <v>10.595371114307122</v>
      </c>
      <c r="V334">
        <f t="shared" si="44"/>
        <v>-5.6336587534306899</v>
      </c>
    </row>
    <row r="335" spans="13:22" x14ac:dyDescent="0.25">
      <c r="M335" s="9"/>
      <c r="T335">
        <v>333</v>
      </c>
      <c r="U335">
        <f t="shared" si="43"/>
        <v>10.692078290260413</v>
      </c>
      <c r="V335">
        <f t="shared" si="44"/>
        <v>-5.4478859968745637</v>
      </c>
    </row>
    <row r="336" spans="13:22" x14ac:dyDescent="0.25">
      <c r="M336" s="9"/>
      <c r="T336">
        <v>334</v>
      </c>
      <c r="U336">
        <f t="shared" si="43"/>
        <v>10.785528555590002</v>
      </c>
      <c r="V336">
        <f t="shared" si="44"/>
        <v>-5.2604537614689333</v>
      </c>
    </row>
    <row r="337" spans="13:22" x14ac:dyDescent="0.25">
      <c r="M337" s="9"/>
      <c r="T337">
        <v>335</v>
      </c>
      <c r="U337">
        <f t="shared" si="43"/>
        <v>10.875693444439801</v>
      </c>
      <c r="V337">
        <f t="shared" si="44"/>
        <v>-5.0714191408883904</v>
      </c>
    </row>
    <row r="338" spans="13:22" x14ac:dyDescent="0.25">
      <c r="M338" s="9"/>
      <c r="T338">
        <v>336</v>
      </c>
      <c r="U338">
        <f t="shared" si="43"/>
        <v>10.962545491711211</v>
      </c>
      <c r="V338">
        <f t="shared" si="44"/>
        <v>-4.8808397169096018</v>
      </c>
    </row>
    <row r="339" spans="13:22" x14ac:dyDescent="0.25">
      <c r="M339" s="9"/>
      <c r="T339">
        <v>337</v>
      </c>
      <c r="U339">
        <f t="shared" si="43"/>
        <v>11.046058241429282</v>
      </c>
      <c r="V339">
        <f t="shared" si="44"/>
        <v>-4.6887735418712868</v>
      </c>
    </row>
    <row r="340" spans="13:22" x14ac:dyDescent="0.25">
      <c r="M340" s="9"/>
      <c r="T340">
        <v>338</v>
      </c>
      <c r="U340">
        <f t="shared" si="43"/>
        <v>11.126206254801447</v>
      </c>
      <c r="V340">
        <f t="shared" si="44"/>
        <v>-4.495279120990948</v>
      </c>
    </row>
    <row r="341" spans="13:22" x14ac:dyDescent="0.25">
      <c r="M341" s="9"/>
      <c r="T341">
        <v>339</v>
      </c>
      <c r="U341">
        <f t="shared" si="43"/>
        <v>11.202965117966418</v>
      </c>
      <c r="V341">
        <f t="shared" si="44"/>
        <v>-4.3004153945436094</v>
      </c>
    </row>
    <row r="342" spans="13:22" x14ac:dyDescent="0.25">
      <c r="M342" s="9"/>
      <c r="T342">
        <v>340</v>
      </c>
      <c r="U342">
        <f t="shared" si="43"/>
        <v>11.276311449430901</v>
      </c>
      <c r="V342">
        <f t="shared" si="44"/>
        <v>-4.104241719908023</v>
      </c>
    </row>
    <row r="343" spans="13:22" x14ac:dyDescent="0.25">
      <c r="M343" s="9"/>
      <c r="T343">
        <v>341</v>
      </c>
      <c r="U343">
        <f t="shared" si="43"/>
        <v>11.346222907191802</v>
      </c>
      <c r="V343">
        <f t="shared" si="44"/>
        <v>-3.9068178534858804</v>
      </c>
    </row>
    <row r="344" spans="13:22" x14ac:dyDescent="0.25">
      <c r="M344" s="9"/>
      <c r="T344">
        <v>342</v>
      </c>
      <c r="U344">
        <f t="shared" si="43"/>
        <v>11.412678195541842</v>
      </c>
      <c r="V344">
        <f t="shared" si="44"/>
        <v>-3.7082039324993712</v>
      </c>
    </row>
    <row r="345" spans="13:22" x14ac:dyDescent="0.25">
      <c r="M345" s="9"/>
      <c r="T345">
        <v>343</v>
      </c>
      <c r="U345">
        <f t="shared" si="43"/>
        <v>11.475657071556423</v>
      </c>
      <c r="V345">
        <f t="shared" si="44"/>
        <v>-3.5084604566728457</v>
      </c>
    </row>
    <row r="346" spans="13:22" x14ac:dyDescent="0.25">
      <c r="M346" s="9"/>
      <c r="T346">
        <v>344</v>
      </c>
      <c r="U346">
        <f t="shared" si="43"/>
        <v>11.535140351259827</v>
      </c>
      <c r="V346">
        <f t="shared" si="44"/>
        <v>-3.3076482698039875</v>
      </c>
    </row>
    <row r="347" spans="13:22" x14ac:dyDescent="0.25">
      <c r="M347" s="9"/>
      <c r="T347">
        <v>345</v>
      </c>
      <c r="U347">
        <f t="shared" si="43"/>
        <v>11.59110991546882</v>
      </c>
      <c r="V347">
        <f t="shared" si="44"/>
        <v>-3.105828541230248</v>
      </c>
    </row>
    <row r="348" spans="13:22" x14ac:dyDescent="0.25">
      <c r="M348" s="9"/>
      <c r="T348">
        <v>346</v>
      </c>
      <c r="U348">
        <f t="shared" si="43"/>
        <v>11.643548715311958</v>
      </c>
      <c r="V348">
        <f t="shared" si="44"/>
        <v>-2.9030627471960146</v>
      </c>
    </row>
    <row r="349" spans="13:22" x14ac:dyDescent="0.25">
      <c r="M349" s="9"/>
      <c r="T349">
        <v>347</v>
      </c>
      <c r="U349">
        <f t="shared" si="43"/>
        <v>11.692440777422821</v>
      </c>
      <c r="V349">
        <f t="shared" si="44"/>
        <v>-2.6994126521263841</v>
      </c>
    </row>
    <row r="350" spans="13:22" x14ac:dyDescent="0.25">
      <c r="M350" s="9"/>
      <c r="T350">
        <v>348</v>
      </c>
      <c r="U350">
        <f t="shared" si="43"/>
        <v>11.737771208805666</v>
      </c>
      <c r="V350">
        <f t="shared" si="44"/>
        <v>-2.4949402898131186</v>
      </c>
    </row>
    <row r="351" spans="13:22" x14ac:dyDescent="0.25">
      <c r="M351" s="9"/>
      <c r="T351">
        <v>349</v>
      </c>
      <c r="U351">
        <f t="shared" si="43"/>
        <v>11.779526201371969</v>
      </c>
      <c r="V351">
        <f t="shared" si="44"/>
        <v>-2.2897079445185362</v>
      </c>
    </row>
    <row r="352" spans="13:22" x14ac:dyDescent="0.25">
      <c r="M352" s="9"/>
      <c r="T352">
        <v>350</v>
      </c>
      <c r="U352">
        <f t="shared" si="43"/>
        <v>11.817693036146496</v>
      </c>
      <c r="V352">
        <f t="shared" si="44"/>
        <v>-2.0837781320031645</v>
      </c>
    </row>
    <row r="353" spans="13:22" x14ac:dyDescent="0.25">
      <c r="M353" s="9"/>
      <c r="T353">
        <v>351</v>
      </c>
      <c r="U353">
        <f t="shared" si="43"/>
        <v>11.852260087141651</v>
      </c>
      <c r="V353">
        <f t="shared" si="44"/>
        <v>-1.8772135804827734</v>
      </c>
    </row>
    <row r="354" spans="13:22" x14ac:dyDescent="0.25">
      <c r="M354" s="9"/>
      <c r="T354">
        <v>352</v>
      </c>
      <c r="U354">
        <f t="shared" si="43"/>
        <v>11.883216824898843</v>
      </c>
      <c r="V354">
        <f t="shared" si="44"/>
        <v>-1.6700772115207907</v>
      </c>
    </row>
    <row r="355" spans="13:22" x14ac:dyDescent="0.25">
      <c r="M355" s="9"/>
      <c r="T355">
        <v>353</v>
      </c>
      <c r="U355">
        <f t="shared" si="43"/>
        <v>11.910553819695865</v>
      </c>
      <c r="V355">
        <f t="shared" si="44"/>
        <v>-1.4624321208617668</v>
      </c>
    </row>
    <row r="356" spans="13:22" x14ac:dyDescent="0.25">
      <c r="M356" s="9"/>
      <c r="T356">
        <v>354</v>
      </c>
      <c r="U356">
        <f t="shared" si="43"/>
        <v>11.934262744419279</v>
      </c>
      <c r="V356">
        <f t="shared" si="44"/>
        <v>-1.254341559211841</v>
      </c>
    </row>
    <row r="357" spans="13:22" x14ac:dyDescent="0.25">
      <c r="M357" s="9"/>
      <c r="T357">
        <v>355</v>
      </c>
      <c r="U357">
        <f t="shared" si="43"/>
        <v>11.954336377100947</v>
      </c>
      <c r="V357">
        <f t="shared" si="44"/>
        <v>-1.0458689129718999</v>
      </c>
    </row>
    <row r="358" spans="13:22" x14ac:dyDescent="0.25">
      <c r="M358" s="9"/>
      <c r="T358">
        <v>356</v>
      </c>
      <c r="U358">
        <f t="shared" si="43"/>
        <v>11.970768603117889</v>
      </c>
      <c r="V358">
        <f t="shared" si="44"/>
        <v>-0.83707768492950763</v>
      </c>
    </row>
    <row r="359" spans="13:22" x14ac:dyDescent="0.25">
      <c r="M359" s="9"/>
      <c r="T359">
        <v>357</v>
      </c>
      <c r="U359">
        <f t="shared" si="43"/>
        <v>11.983554417054886</v>
      </c>
      <c r="V359">
        <f t="shared" si="44"/>
        <v>-0.6280314749153324</v>
      </c>
    </row>
    <row r="360" spans="13:22" x14ac:dyDescent="0.25">
      <c r="M360" s="9"/>
      <c r="T360">
        <v>358</v>
      </c>
      <c r="U360">
        <f t="shared" si="43"/>
        <v>11.992689924229149</v>
      </c>
      <c r="V360">
        <f t="shared" si="44"/>
        <v>-0.41879396043000988</v>
      </c>
    </row>
    <row r="361" spans="13:22" x14ac:dyDescent="0.25">
      <c r="M361" s="9"/>
      <c r="T361">
        <v>359</v>
      </c>
      <c r="U361">
        <f t="shared" si="43"/>
        <v>11.998172341876696</v>
      </c>
      <c r="V361">
        <f t="shared" si="44"/>
        <v>-0.20942887724740272</v>
      </c>
    </row>
    <row r="362" spans="13:22" x14ac:dyDescent="0.25">
      <c r="M362" s="9"/>
      <c r="T362">
        <v>360</v>
      </c>
      <c r="U362">
        <f t="shared" si="43"/>
        <v>12</v>
      </c>
      <c r="V362">
        <f t="shared" si="44"/>
        <v>-2.940356291780688E-15</v>
      </c>
    </row>
  </sheetData>
  <dataValidations disablePrompts="1" count="2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circle_section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2020-11-26T16:56:13Z</dcterms:modified>
</cp:coreProperties>
</file>