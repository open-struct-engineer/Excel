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212" documentId="8_{0E6B3555-25DE-4ED4-9141-9689F207EB68}" xr6:coauthVersionLast="47" xr6:coauthVersionMax="47" xr10:uidLastSave="{DA3BC422-5901-4915-84AF-011ADB0BF108}"/>
  <bookViews>
    <workbookView xWindow="-120" yWindow="-120" windowWidth="29040" windowHeight="15840" xr2:uid="{6D8A8441-9A51-4636-BE3A-4BD3B3231B9C}"/>
  </bookViews>
  <sheets>
    <sheet name="LICENSE" sheetId="7" r:id="rId1"/>
    <sheet name="Unit_Width_Strip_Foundation" sheetId="1" r:id="rId2"/>
    <sheet name="LOAD_COMBOS" sheetId="4" r:id="rId3"/>
    <sheet name="FND_BENDING_MOMENTS" sheetId="5" r:id="rId4"/>
    <sheet name="DATA" sheetId="3" r:id="rId5"/>
    <sheet name="PLOT_DATA" sheetId="6" r:id="rId6"/>
  </sheets>
  <functionGroups builtInGroupCount="19"/>
  <definedNames>
    <definedName name="LRFD_f1">Unit_Width_Strip_Foundation!$B$48</definedName>
    <definedName name="LRFD_f2">Unit_Width_Strip_Foundation!$B$49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" i="6" l="1"/>
  <c r="H8" i="6" s="1"/>
  <c r="N84" i="1" l="1"/>
  <c r="AD31" i="4"/>
  <c r="AE31" i="4"/>
  <c r="AF31" i="4"/>
  <c r="AG31" i="4"/>
  <c r="AH31" i="4"/>
  <c r="AI31" i="4"/>
  <c r="AO31" i="4" s="1"/>
  <c r="AJ31" i="4"/>
  <c r="AK31" i="4"/>
  <c r="AL31" i="4"/>
  <c r="AM31" i="4"/>
  <c r="AN31" i="4"/>
  <c r="AD32" i="4"/>
  <c r="AE32" i="4"/>
  <c r="AF32" i="4"/>
  <c r="AG32" i="4"/>
  <c r="AO32" i="4" s="1"/>
  <c r="AH32" i="4"/>
  <c r="AI32" i="4"/>
  <c r="AJ32" i="4"/>
  <c r="AK32" i="4"/>
  <c r="AL32" i="4"/>
  <c r="AM32" i="4"/>
  <c r="AN32" i="4"/>
  <c r="AD33" i="4"/>
  <c r="AE33" i="4"/>
  <c r="AF33" i="4"/>
  <c r="AG33" i="4"/>
  <c r="AH33" i="4"/>
  <c r="AI33" i="4"/>
  <c r="AJ33" i="4"/>
  <c r="AK33" i="4"/>
  <c r="AL33" i="4"/>
  <c r="AM33" i="4"/>
  <c r="AN33" i="4"/>
  <c r="AD34" i="4"/>
  <c r="AF34" i="4"/>
  <c r="AG34" i="4"/>
  <c r="AH34" i="4"/>
  <c r="AI34" i="4"/>
  <c r="AJ34" i="4"/>
  <c r="AK34" i="4"/>
  <c r="AL34" i="4"/>
  <c r="AM34" i="4"/>
  <c r="AN34" i="4"/>
  <c r="AD35" i="4"/>
  <c r="AF35" i="4"/>
  <c r="AG35" i="4"/>
  <c r="AH35" i="4"/>
  <c r="AI35" i="4"/>
  <c r="AJ35" i="4"/>
  <c r="AK35" i="4"/>
  <c r="AL35" i="4"/>
  <c r="AM35" i="4"/>
  <c r="AN35" i="4"/>
  <c r="AD36" i="4"/>
  <c r="AF36" i="4"/>
  <c r="AG36" i="4"/>
  <c r="AH36" i="4"/>
  <c r="AI36" i="4"/>
  <c r="AJ36" i="4"/>
  <c r="AK36" i="4"/>
  <c r="AL36" i="4"/>
  <c r="AM36" i="4"/>
  <c r="AN36" i="4"/>
  <c r="AD37" i="4"/>
  <c r="AE37" i="4"/>
  <c r="AF37" i="4"/>
  <c r="AG37" i="4"/>
  <c r="AH37" i="4"/>
  <c r="AI37" i="4"/>
  <c r="AJ37" i="4"/>
  <c r="AK37" i="4"/>
  <c r="AL37" i="4"/>
  <c r="AM37" i="4"/>
  <c r="AN37" i="4"/>
  <c r="AD38" i="4"/>
  <c r="AO38" i="4" s="1"/>
  <c r="AE38" i="4"/>
  <c r="AF38" i="4"/>
  <c r="AG38" i="4"/>
  <c r="AH38" i="4"/>
  <c r="AI38" i="4"/>
  <c r="AJ38" i="4"/>
  <c r="AK38" i="4"/>
  <c r="AL38" i="4"/>
  <c r="AM38" i="4"/>
  <c r="AN38" i="4"/>
  <c r="AD39" i="4"/>
  <c r="AE39" i="4"/>
  <c r="AF39" i="4"/>
  <c r="AO39" i="4" s="1"/>
  <c r="AG39" i="4"/>
  <c r="AH39" i="4"/>
  <c r="AI39" i="4"/>
  <c r="AJ39" i="4"/>
  <c r="AK39" i="4"/>
  <c r="AL39" i="4"/>
  <c r="AM39" i="4"/>
  <c r="AN39" i="4"/>
  <c r="AD40" i="4"/>
  <c r="AE40" i="4"/>
  <c r="AF40" i="4"/>
  <c r="AG40" i="4"/>
  <c r="AH40" i="4"/>
  <c r="AO40" i="4" s="1"/>
  <c r="AI40" i="4"/>
  <c r="AJ40" i="4"/>
  <c r="AK40" i="4"/>
  <c r="AL40" i="4"/>
  <c r="AM40" i="4"/>
  <c r="AN40" i="4"/>
  <c r="AD41" i="4"/>
  <c r="AE41" i="4"/>
  <c r="AO41" i="4" s="1"/>
  <c r="AF41" i="4"/>
  <c r="AG41" i="4"/>
  <c r="AH41" i="4"/>
  <c r="AI41" i="4"/>
  <c r="AJ41" i="4"/>
  <c r="AK41" i="4"/>
  <c r="AL41" i="4"/>
  <c r="AM41" i="4"/>
  <c r="AN41" i="4"/>
  <c r="AD42" i="4"/>
  <c r="AE42" i="4"/>
  <c r="AO42" i="4" s="1"/>
  <c r="AF42" i="4"/>
  <c r="AG42" i="4"/>
  <c r="AH42" i="4"/>
  <c r="AI42" i="4"/>
  <c r="AJ42" i="4"/>
  <c r="AK42" i="4"/>
  <c r="AL42" i="4"/>
  <c r="AM42" i="4"/>
  <c r="AN42" i="4"/>
  <c r="AD43" i="4"/>
  <c r="AF43" i="4"/>
  <c r="AG43" i="4"/>
  <c r="AH43" i="4"/>
  <c r="AI43" i="4"/>
  <c r="AJ43" i="4"/>
  <c r="AK43" i="4"/>
  <c r="AL43" i="4"/>
  <c r="AM43" i="4"/>
  <c r="AN43" i="4"/>
  <c r="AD44" i="4"/>
  <c r="AF44" i="4"/>
  <c r="AG44" i="4"/>
  <c r="AH44" i="4"/>
  <c r="AI44" i="4"/>
  <c r="AJ44" i="4"/>
  <c r="AK44" i="4"/>
  <c r="AL44" i="4"/>
  <c r="AM44" i="4"/>
  <c r="AN44" i="4"/>
  <c r="AD45" i="4"/>
  <c r="AF45" i="4"/>
  <c r="AG45" i="4"/>
  <c r="AH45" i="4"/>
  <c r="AI45" i="4"/>
  <c r="AJ45" i="4"/>
  <c r="AK45" i="4"/>
  <c r="AL45" i="4"/>
  <c r="AM45" i="4"/>
  <c r="AN45" i="4"/>
  <c r="AD46" i="4"/>
  <c r="AF46" i="4"/>
  <c r="AG46" i="4"/>
  <c r="AH46" i="4"/>
  <c r="AI46" i="4"/>
  <c r="AJ46" i="4"/>
  <c r="AK46" i="4"/>
  <c r="AL46" i="4"/>
  <c r="AM46" i="4"/>
  <c r="AN46" i="4"/>
  <c r="AD47" i="4"/>
  <c r="AF47" i="4"/>
  <c r="AG47" i="4"/>
  <c r="AH47" i="4"/>
  <c r="AI47" i="4"/>
  <c r="AJ47" i="4"/>
  <c r="AK47" i="4"/>
  <c r="AL47" i="4"/>
  <c r="AM47" i="4"/>
  <c r="AN47" i="4"/>
  <c r="AD48" i="4"/>
  <c r="AF48" i="4"/>
  <c r="AG48" i="4"/>
  <c r="AH48" i="4"/>
  <c r="AI48" i="4"/>
  <c r="AJ48" i="4"/>
  <c r="AK48" i="4"/>
  <c r="AL48" i="4"/>
  <c r="AM48" i="4"/>
  <c r="AN48" i="4"/>
  <c r="AD49" i="4"/>
  <c r="AF49" i="4"/>
  <c r="AG49" i="4"/>
  <c r="AH49" i="4"/>
  <c r="AJ49" i="4"/>
  <c r="AK49" i="4"/>
  <c r="AL49" i="4"/>
  <c r="AM49" i="4"/>
  <c r="AN49" i="4"/>
  <c r="AD50" i="4"/>
  <c r="AF50" i="4"/>
  <c r="AG50" i="4"/>
  <c r="AH50" i="4"/>
  <c r="AJ50" i="4"/>
  <c r="AK50" i="4"/>
  <c r="AL50" i="4"/>
  <c r="AM50" i="4"/>
  <c r="AN50" i="4"/>
  <c r="AD51" i="4"/>
  <c r="AO51" i="4" s="1"/>
  <c r="AE51" i="4"/>
  <c r="AF51" i="4"/>
  <c r="AG51" i="4"/>
  <c r="AH51" i="4"/>
  <c r="AI51" i="4"/>
  <c r="AJ51" i="4"/>
  <c r="AK51" i="4"/>
  <c r="AL51" i="4"/>
  <c r="AM51" i="4"/>
  <c r="AN51" i="4"/>
  <c r="AD52" i="4"/>
  <c r="AO52" i="4" s="1"/>
  <c r="AE52" i="4"/>
  <c r="AF52" i="4"/>
  <c r="AG52" i="4"/>
  <c r="AH52" i="4"/>
  <c r="AI52" i="4"/>
  <c r="AJ52" i="4"/>
  <c r="AK52" i="4"/>
  <c r="AL52" i="4"/>
  <c r="AM52" i="4"/>
  <c r="AN52" i="4"/>
  <c r="AD53" i="4"/>
  <c r="AE53" i="4"/>
  <c r="AF53" i="4"/>
  <c r="AG53" i="4"/>
  <c r="AH53" i="4"/>
  <c r="AO53" i="4" s="1"/>
  <c r="AI53" i="4"/>
  <c r="AJ53" i="4"/>
  <c r="AK53" i="4"/>
  <c r="AL53" i="4"/>
  <c r="AM53" i="4"/>
  <c r="AN53" i="4"/>
  <c r="AD54" i="4"/>
  <c r="AE54" i="4"/>
  <c r="AF54" i="4"/>
  <c r="AG54" i="4"/>
  <c r="AH54" i="4"/>
  <c r="AI54" i="4"/>
  <c r="AJ54" i="4"/>
  <c r="AK54" i="4"/>
  <c r="AL54" i="4"/>
  <c r="AM54" i="4"/>
  <c r="AN54" i="4"/>
  <c r="AE30" i="4"/>
  <c r="AF30" i="4"/>
  <c r="AG30" i="4"/>
  <c r="AH30" i="4"/>
  <c r="AI30" i="4"/>
  <c r="AJ30" i="4"/>
  <c r="AO30" i="4" s="1"/>
  <c r="AK30" i="4"/>
  <c r="AL30" i="4"/>
  <c r="AM30" i="4"/>
  <c r="AN30" i="4"/>
  <c r="AD30" i="4"/>
  <c r="AD4" i="4"/>
  <c r="AE4" i="4"/>
  <c r="AF4" i="4"/>
  <c r="AG4" i="4"/>
  <c r="AH4" i="4"/>
  <c r="AI4" i="4"/>
  <c r="AJ4" i="4"/>
  <c r="AO4" i="4" s="1"/>
  <c r="AK4" i="4"/>
  <c r="AL4" i="4"/>
  <c r="AM4" i="4"/>
  <c r="AN4" i="4"/>
  <c r="AD5" i="4"/>
  <c r="AE5" i="4"/>
  <c r="AF5" i="4"/>
  <c r="AG5" i="4"/>
  <c r="AH5" i="4"/>
  <c r="AI5" i="4"/>
  <c r="AJ5" i="4"/>
  <c r="AK5" i="4"/>
  <c r="AL5" i="4"/>
  <c r="AM5" i="4"/>
  <c r="AN5" i="4"/>
  <c r="AD6" i="4"/>
  <c r="AO6" i="4" s="1"/>
  <c r="AE6" i="4"/>
  <c r="AF6" i="4"/>
  <c r="AG6" i="4"/>
  <c r="AH6" i="4"/>
  <c r="AI6" i="4"/>
  <c r="AJ6" i="4"/>
  <c r="AK6" i="4"/>
  <c r="AL6" i="4"/>
  <c r="AM6" i="4"/>
  <c r="AN6" i="4"/>
  <c r="AD7" i="4"/>
  <c r="AE7" i="4"/>
  <c r="AO7" i="4" s="1"/>
  <c r="AF7" i="4"/>
  <c r="AG7" i="4"/>
  <c r="AH7" i="4"/>
  <c r="AI7" i="4"/>
  <c r="AJ7" i="4"/>
  <c r="AK7" i="4"/>
  <c r="AL7" i="4"/>
  <c r="AM7" i="4"/>
  <c r="AN7" i="4"/>
  <c r="AD8" i="4"/>
  <c r="AE8" i="4"/>
  <c r="AF8" i="4"/>
  <c r="AO8" i="4" s="1"/>
  <c r="AG8" i="4"/>
  <c r="AH8" i="4"/>
  <c r="AI8" i="4"/>
  <c r="AJ8" i="4"/>
  <c r="AK8" i="4"/>
  <c r="AL8" i="4"/>
  <c r="AM8" i="4"/>
  <c r="AN8" i="4"/>
  <c r="AD9" i="4"/>
  <c r="AE9" i="4"/>
  <c r="AF9" i="4"/>
  <c r="AG9" i="4"/>
  <c r="AH9" i="4"/>
  <c r="AI9" i="4"/>
  <c r="AJ9" i="4"/>
  <c r="AK9" i="4"/>
  <c r="AL9" i="4"/>
  <c r="AM9" i="4"/>
  <c r="AN9" i="4"/>
  <c r="AD10" i="4"/>
  <c r="AO10" i="4" s="1"/>
  <c r="AE10" i="4"/>
  <c r="AF10" i="4"/>
  <c r="AG10" i="4"/>
  <c r="AH10" i="4"/>
  <c r="AI10" i="4"/>
  <c r="AJ10" i="4"/>
  <c r="AK10" i="4"/>
  <c r="AL10" i="4"/>
  <c r="AM10" i="4"/>
  <c r="AN10" i="4"/>
  <c r="AD11" i="4"/>
  <c r="AO11" i="4" s="1"/>
  <c r="AE11" i="4"/>
  <c r="AF11" i="4"/>
  <c r="AG11" i="4"/>
  <c r="AH11" i="4"/>
  <c r="AI11" i="4"/>
  <c r="AJ11" i="4"/>
  <c r="AK11" i="4"/>
  <c r="AL11" i="4"/>
  <c r="AM11" i="4"/>
  <c r="AN11" i="4"/>
  <c r="AD12" i="4"/>
  <c r="AE12" i="4"/>
  <c r="AF12" i="4"/>
  <c r="AG12" i="4"/>
  <c r="AH12" i="4"/>
  <c r="AI12" i="4"/>
  <c r="AO12" i="4" s="1"/>
  <c r="AJ12" i="4"/>
  <c r="AK12" i="4"/>
  <c r="AL12" i="4"/>
  <c r="AM12" i="4"/>
  <c r="AN12" i="4"/>
  <c r="AD13" i="4"/>
  <c r="AE13" i="4"/>
  <c r="AF13" i="4"/>
  <c r="AG13" i="4"/>
  <c r="AH13" i="4"/>
  <c r="AO13" i="4" s="1"/>
  <c r="AI13" i="4"/>
  <c r="AJ13" i="4"/>
  <c r="AK13" i="4"/>
  <c r="AL13" i="4"/>
  <c r="AM13" i="4"/>
  <c r="AN13" i="4"/>
  <c r="AD14" i="4"/>
  <c r="AO14" i="4" s="1"/>
  <c r="AE14" i="4"/>
  <c r="AF14" i="4"/>
  <c r="AG14" i="4"/>
  <c r="AH14" i="4"/>
  <c r="AI14" i="4"/>
  <c r="AJ14" i="4"/>
  <c r="AK14" i="4"/>
  <c r="AL14" i="4"/>
  <c r="AM14" i="4"/>
  <c r="AN14" i="4"/>
  <c r="AD15" i="4"/>
  <c r="AE15" i="4"/>
  <c r="AF15" i="4"/>
  <c r="AG15" i="4"/>
  <c r="AH15" i="4"/>
  <c r="AO15" i="4" s="1"/>
  <c r="AI15" i="4"/>
  <c r="AJ15" i="4"/>
  <c r="AK15" i="4"/>
  <c r="AL15" i="4"/>
  <c r="AM15" i="4"/>
  <c r="AN15" i="4"/>
  <c r="AD16" i="4"/>
  <c r="AE16" i="4"/>
  <c r="AO16" i="4" s="1"/>
  <c r="AF16" i="4"/>
  <c r="AG16" i="4"/>
  <c r="AH16" i="4"/>
  <c r="AI16" i="4"/>
  <c r="AJ16" i="4"/>
  <c r="AK16" i="4"/>
  <c r="AL16" i="4"/>
  <c r="AM16" i="4"/>
  <c r="AN16" i="4"/>
  <c r="AD17" i="4"/>
  <c r="AO17" i="4" s="1"/>
  <c r="AE17" i="4"/>
  <c r="AF17" i="4"/>
  <c r="AG17" i="4"/>
  <c r="AH17" i="4"/>
  <c r="AI17" i="4"/>
  <c r="AJ17" i="4"/>
  <c r="AK17" i="4"/>
  <c r="AL17" i="4"/>
  <c r="AM17" i="4"/>
  <c r="AN17" i="4"/>
  <c r="AD18" i="4"/>
  <c r="AO18" i="4" s="1"/>
  <c r="AE18" i="4"/>
  <c r="AF18" i="4"/>
  <c r="AG18" i="4"/>
  <c r="AH18" i="4"/>
  <c r="AI18" i="4"/>
  <c r="AJ18" i="4"/>
  <c r="AK18" i="4"/>
  <c r="AL18" i="4"/>
  <c r="AM18" i="4"/>
  <c r="AN18" i="4"/>
  <c r="AD19" i="4"/>
  <c r="AO19" i="4" s="1"/>
  <c r="AE19" i="4"/>
  <c r="AF19" i="4"/>
  <c r="AG19" i="4"/>
  <c r="AH19" i="4"/>
  <c r="AI19" i="4"/>
  <c r="AJ19" i="4"/>
  <c r="AK19" i="4"/>
  <c r="AL19" i="4"/>
  <c r="AM19" i="4"/>
  <c r="AN19" i="4"/>
  <c r="AD20" i="4"/>
  <c r="AE20" i="4"/>
  <c r="AF20" i="4"/>
  <c r="AO20" i="4" s="1"/>
  <c r="AG20" i="4"/>
  <c r="AH20" i="4"/>
  <c r="AI20" i="4"/>
  <c r="AJ20" i="4"/>
  <c r="AK20" i="4"/>
  <c r="AL20" i="4"/>
  <c r="AM20" i="4"/>
  <c r="AN20" i="4"/>
  <c r="AD21" i="4"/>
  <c r="AE21" i="4"/>
  <c r="AF21" i="4"/>
  <c r="AG21" i="4"/>
  <c r="AO21" i="4" s="1"/>
  <c r="AH21" i="4"/>
  <c r="AI21" i="4"/>
  <c r="AJ21" i="4"/>
  <c r="AK21" i="4"/>
  <c r="AL21" i="4"/>
  <c r="AM21" i="4"/>
  <c r="AN21" i="4"/>
  <c r="AD22" i="4"/>
  <c r="AE22" i="4"/>
  <c r="AF22" i="4"/>
  <c r="AG22" i="4"/>
  <c r="AH22" i="4"/>
  <c r="AI22" i="4"/>
  <c r="AJ22" i="4"/>
  <c r="AK22" i="4"/>
  <c r="AL22" i="4"/>
  <c r="AM22" i="4"/>
  <c r="AN22" i="4"/>
  <c r="AD23" i="4"/>
  <c r="AE23" i="4"/>
  <c r="AO23" i="4" s="1"/>
  <c r="AF23" i="4"/>
  <c r="AG23" i="4"/>
  <c r="AH23" i="4"/>
  <c r="AI23" i="4"/>
  <c r="AJ23" i="4"/>
  <c r="AK23" i="4"/>
  <c r="AL23" i="4"/>
  <c r="AM23" i="4"/>
  <c r="AN23" i="4"/>
  <c r="AD24" i="4"/>
  <c r="AO24" i="4" s="1"/>
  <c r="AE24" i="4"/>
  <c r="AF24" i="4"/>
  <c r="AG24" i="4"/>
  <c r="AH24" i="4"/>
  <c r="AI24" i="4"/>
  <c r="AJ24" i="4"/>
  <c r="AK24" i="4"/>
  <c r="AL24" i="4"/>
  <c r="AM24" i="4"/>
  <c r="AN24" i="4"/>
  <c r="AD25" i="4"/>
  <c r="AO25" i="4" s="1"/>
  <c r="AE25" i="4"/>
  <c r="AF25" i="4"/>
  <c r="AG25" i="4"/>
  <c r="AH25" i="4"/>
  <c r="AI25" i="4"/>
  <c r="AJ25" i="4"/>
  <c r="AK25" i="4"/>
  <c r="AL25" i="4"/>
  <c r="AM25" i="4"/>
  <c r="AN25" i="4"/>
  <c r="AD26" i="4"/>
  <c r="AE26" i="4"/>
  <c r="AF26" i="4"/>
  <c r="AG26" i="4"/>
  <c r="AH26" i="4"/>
  <c r="AI26" i="4"/>
  <c r="AJ26" i="4"/>
  <c r="AK26" i="4"/>
  <c r="AL26" i="4"/>
  <c r="AM26" i="4"/>
  <c r="AN26" i="4"/>
  <c r="AE3" i="4"/>
  <c r="AF3" i="4"/>
  <c r="AG3" i="4"/>
  <c r="AH3" i="4"/>
  <c r="AI3" i="4"/>
  <c r="AJ3" i="4"/>
  <c r="AO3" i="4" s="1"/>
  <c r="N60" i="1" s="1"/>
  <c r="AK3" i="4"/>
  <c r="AL3" i="4"/>
  <c r="AM3" i="4"/>
  <c r="AN3" i="4"/>
  <c r="AD3" i="4"/>
  <c r="AC31" i="4"/>
  <c r="AC32" i="4"/>
  <c r="AC33" i="4"/>
  <c r="AO33" i="4"/>
  <c r="AC34" i="4"/>
  <c r="AC35" i="4"/>
  <c r="AC36" i="4"/>
  <c r="AC37" i="4"/>
  <c r="AO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O54" i="4"/>
  <c r="AC30" i="4"/>
  <c r="AC4" i="4"/>
  <c r="AC5" i="4"/>
  <c r="AO5" i="4"/>
  <c r="AC6" i="4"/>
  <c r="AC7" i="4"/>
  <c r="AC8" i="4"/>
  <c r="AC9" i="4"/>
  <c r="AO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O22" i="4"/>
  <c r="AC23" i="4"/>
  <c r="AC24" i="4"/>
  <c r="AC25" i="4"/>
  <c r="AC26" i="4"/>
  <c r="AO26" i="4"/>
  <c r="AC3" i="4"/>
  <c r="C41" i="6" l="1"/>
  <c r="B35" i="6"/>
  <c r="C32" i="6"/>
  <c r="B26" i="6"/>
  <c r="E499" i="1"/>
  <c r="P23" i="1"/>
  <c r="P20" i="1"/>
  <c r="R20" i="1"/>
  <c r="P21" i="1"/>
  <c r="R21" i="1"/>
  <c r="R19" i="1"/>
  <c r="P19" i="1"/>
  <c r="P16" i="1"/>
  <c r="R12" i="1"/>
  <c r="R13" i="1"/>
  <c r="R14" i="1"/>
  <c r="P13" i="1"/>
  <c r="P14" i="1"/>
  <c r="P12" i="1"/>
  <c r="P8" i="1"/>
  <c r="R8" i="1"/>
  <c r="P9" i="1"/>
  <c r="R9" i="1"/>
  <c r="R7" i="1"/>
  <c r="P7" i="1"/>
  <c r="A517" i="1"/>
  <c r="A518" i="1"/>
  <c r="A519" i="1"/>
  <c r="A520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496" i="1"/>
  <c r="C488" i="1"/>
  <c r="C489" i="1"/>
  <c r="C490" i="1"/>
  <c r="D484" i="1"/>
  <c r="D485" i="1"/>
  <c r="D486" i="1"/>
  <c r="D487" i="1"/>
  <c r="D488" i="1"/>
  <c r="D489" i="1"/>
  <c r="D490" i="1"/>
  <c r="D491" i="1"/>
  <c r="D492" i="1"/>
  <c r="D483" i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B489" i="1"/>
  <c r="B490" i="1"/>
  <c r="A484" i="1"/>
  <c r="A485" i="1"/>
  <c r="A486" i="1"/>
  <c r="A487" i="1"/>
  <c r="A488" i="1"/>
  <c r="A489" i="1"/>
  <c r="A490" i="1"/>
  <c r="A491" i="1"/>
  <c r="A492" i="1"/>
  <c r="A483" i="1"/>
  <c r="B35" i="1"/>
  <c r="B20" i="1"/>
  <c r="L21" i="6"/>
  <c r="C24" i="6"/>
  <c r="G484" i="1" l="1"/>
  <c r="H489" i="1"/>
  <c r="H486" i="1"/>
  <c r="G489" i="1"/>
  <c r="H485" i="1"/>
  <c r="G480" i="1"/>
  <c r="G490" i="1"/>
  <c r="G486" i="1"/>
  <c r="H484" i="1"/>
  <c r="G485" i="1"/>
  <c r="H480" i="1"/>
  <c r="H490" i="1"/>
  <c r="L22" i="6"/>
  <c r="O29" i="6"/>
  <c r="R29" i="6" s="1"/>
  <c r="U29" i="6" s="1"/>
  <c r="O38" i="6"/>
  <c r="R38" i="6" s="1"/>
  <c r="U38" i="6" s="1"/>
  <c r="O21" i="6"/>
  <c r="R21" i="6" s="1"/>
  <c r="U21" i="6" s="1"/>
  <c r="G76" i="1"/>
  <c r="F70" i="1"/>
  <c r="F69" i="1"/>
  <c r="F68" i="1"/>
  <c r="F67" i="1"/>
  <c r="F66" i="1"/>
  <c r="F65" i="1"/>
  <c r="H11" i="6"/>
  <c r="E7" i="6"/>
  <c r="E8" i="6" s="1"/>
  <c r="B9" i="6"/>
  <c r="B10" i="6" s="1"/>
  <c r="E11" i="6" l="1"/>
  <c r="B53" i="5" l="1"/>
  <c r="B54" i="5"/>
  <c r="B55" i="5"/>
  <c r="G45" i="5"/>
  <c r="G46" i="5"/>
  <c r="G47" i="5"/>
  <c r="G52" i="5"/>
  <c r="G53" i="5"/>
  <c r="G54" i="5"/>
  <c r="G55" i="5"/>
  <c r="G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44" i="5"/>
  <c r="D11" i="5" l="1"/>
  <c r="D12" i="5"/>
  <c r="D13" i="5"/>
  <c r="D14" i="5"/>
  <c r="D15" i="5"/>
  <c r="D16" i="5"/>
  <c r="D17" i="5"/>
  <c r="D18" i="5"/>
  <c r="B18" i="5"/>
  <c r="B12" i="5"/>
  <c r="B13" i="5"/>
  <c r="B14" i="5"/>
  <c r="B15" i="5"/>
  <c r="B16" i="5"/>
  <c r="B17" i="5"/>
  <c r="D7" i="5"/>
  <c r="G4" i="5"/>
  <c r="G5" i="5"/>
  <c r="G6" i="5"/>
  <c r="G7" i="5"/>
  <c r="G8" i="5"/>
  <c r="G9" i="5"/>
  <c r="G11" i="5"/>
  <c r="G12" i="5"/>
  <c r="G13" i="5"/>
  <c r="G14" i="5"/>
  <c r="G15" i="5"/>
  <c r="G16" i="5"/>
  <c r="G17" i="5"/>
  <c r="G18" i="5"/>
  <c r="G3" i="5"/>
  <c r="G21" i="5"/>
  <c r="G22" i="5"/>
  <c r="A20" i="5"/>
  <c r="G20" i="5" s="1"/>
  <c r="A21" i="5"/>
  <c r="A22" i="5"/>
  <c r="A23" i="5"/>
  <c r="G23" i="5" s="1"/>
  <c r="A24" i="5"/>
  <c r="G24" i="5" s="1"/>
  <c r="A25" i="5"/>
  <c r="G25" i="5" s="1"/>
  <c r="A19" i="5"/>
  <c r="G19" i="5" s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5" i="5"/>
  <c r="A440" i="1" l="1"/>
  <c r="A42" i="5" s="1"/>
  <c r="G42" i="5" s="1"/>
  <c r="A418" i="1"/>
  <c r="A419" i="1"/>
  <c r="A420" i="1"/>
  <c r="A421" i="1"/>
  <c r="A422" i="1"/>
  <c r="A423" i="1"/>
  <c r="A426" i="1"/>
  <c r="A28" i="5" s="1"/>
  <c r="G28" i="5" s="1"/>
  <c r="A417" i="1"/>
  <c r="A408" i="1"/>
  <c r="A441" i="1" s="1"/>
  <c r="A43" i="5" s="1"/>
  <c r="G43" i="5" s="1"/>
  <c r="A399" i="1"/>
  <c r="A432" i="1" s="1"/>
  <c r="A34" i="5" s="1"/>
  <c r="G34" i="5" s="1"/>
  <c r="A400" i="1"/>
  <c r="A433" i="1" s="1"/>
  <c r="A35" i="5" s="1"/>
  <c r="G35" i="5" s="1"/>
  <c r="A401" i="1"/>
  <c r="A434" i="1" s="1"/>
  <c r="A36" i="5" s="1"/>
  <c r="G36" i="5" s="1"/>
  <c r="A402" i="1"/>
  <c r="A435" i="1" s="1"/>
  <c r="A37" i="5" s="1"/>
  <c r="G37" i="5" s="1"/>
  <c r="A403" i="1"/>
  <c r="A436" i="1" s="1"/>
  <c r="A38" i="5" s="1"/>
  <c r="G38" i="5" s="1"/>
  <c r="A404" i="1"/>
  <c r="A437" i="1" s="1"/>
  <c r="A39" i="5" s="1"/>
  <c r="G39" i="5" s="1"/>
  <c r="A405" i="1"/>
  <c r="A438" i="1" s="1"/>
  <c r="A40" i="5" s="1"/>
  <c r="G40" i="5" s="1"/>
  <c r="A406" i="1"/>
  <c r="A439" i="1" s="1"/>
  <c r="A41" i="5" s="1"/>
  <c r="G41" i="5" s="1"/>
  <c r="A407" i="1"/>
  <c r="A385" i="1"/>
  <c r="A386" i="1"/>
  <c r="A387" i="1"/>
  <c r="A388" i="1"/>
  <c r="A389" i="1"/>
  <c r="A390" i="1"/>
  <c r="A391" i="1"/>
  <c r="A424" i="1" s="1"/>
  <c r="A26" i="5" s="1"/>
  <c r="G26" i="5" s="1"/>
  <c r="A392" i="1"/>
  <c r="A425" i="1" s="1"/>
  <c r="A27" i="5" s="1"/>
  <c r="G27" i="5" s="1"/>
  <c r="A393" i="1"/>
  <c r="A394" i="1"/>
  <c r="A427" i="1" s="1"/>
  <c r="A29" i="5" s="1"/>
  <c r="G29" i="5" s="1"/>
  <c r="A395" i="1"/>
  <c r="A428" i="1" s="1"/>
  <c r="A30" i="5" s="1"/>
  <c r="G30" i="5" s="1"/>
  <c r="A396" i="1"/>
  <c r="A429" i="1" s="1"/>
  <c r="A31" i="5" s="1"/>
  <c r="G31" i="5" s="1"/>
  <c r="A397" i="1"/>
  <c r="A430" i="1" s="1"/>
  <c r="A32" i="5" s="1"/>
  <c r="G32" i="5" s="1"/>
  <c r="A398" i="1"/>
  <c r="A431" i="1" s="1"/>
  <c r="A33" i="5" s="1"/>
  <c r="G33" i="5" s="1"/>
  <c r="A384" i="1"/>
  <c r="A358" i="1" l="1"/>
  <c r="A359" i="1"/>
  <c r="A360" i="1"/>
  <c r="A361" i="1"/>
  <c r="A362" i="1"/>
  <c r="A363" i="1"/>
  <c r="A364" i="1"/>
  <c r="A357" i="1"/>
  <c r="A334" i="1" l="1"/>
  <c r="A376" i="1" s="1"/>
  <c r="A335" i="1"/>
  <c r="A377" i="1" s="1"/>
  <c r="A336" i="1"/>
  <c r="A378" i="1" s="1"/>
  <c r="A337" i="1"/>
  <c r="A379" i="1" s="1"/>
  <c r="A338" i="1"/>
  <c r="A380" i="1" s="1"/>
  <c r="A316" i="1"/>
  <c r="A317" i="1"/>
  <c r="A318" i="1"/>
  <c r="A319" i="1"/>
  <c r="A320" i="1"/>
  <c r="A321" i="1"/>
  <c r="A322" i="1"/>
  <c r="A323" i="1"/>
  <c r="A365" i="1" s="1"/>
  <c r="A324" i="1"/>
  <c r="A366" i="1" s="1"/>
  <c r="A325" i="1"/>
  <c r="A367" i="1" s="1"/>
  <c r="A326" i="1"/>
  <c r="A368" i="1" s="1"/>
  <c r="A327" i="1"/>
  <c r="A369" i="1" s="1"/>
  <c r="A328" i="1"/>
  <c r="A370" i="1" s="1"/>
  <c r="A329" i="1"/>
  <c r="A371" i="1" s="1"/>
  <c r="A330" i="1"/>
  <c r="A372" i="1" s="1"/>
  <c r="A331" i="1"/>
  <c r="A373" i="1" s="1"/>
  <c r="A332" i="1"/>
  <c r="A374" i="1" s="1"/>
  <c r="A333" i="1"/>
  <c r="A375" i="1" s="1"/>
  <c r="A315" i="1"/>
  <c r="R34" i="4"/>
  <c r="AE34" i="4" s="1"/>
  <c r="AO34" i="4" s="1"/>
  <c r="C49" i="1"/>
  <c r="C48" i="1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30" i="4"/>
  <c r="V50" i="4"/>
  <c r="AI50" i="4" s="1"/>
  <c r="R50" i="4"/>
  <c r="AE50" i="4" s="1"/>
  <c r="AO50" i="4" s="1"/>
  <c r="V49" i="4"/>
  <c r="AI49" i="4" s="1"/>
  <c r="R49" i="4"/>
  <c r="AE49" i="4" s="1"/>
  <c r="AO49" i="4" s="1"/>
  <c r="R48" i="4"/>
  <c r="AE48" i="4" s="1"/>
  <c r="AO48" i="4" s="1"/>
  <c r="R47" i="4"/>
  <c r="AE47" i="4" s="1"/>
  <c r="AO47" i="4" s="1"/>
  <c r="R46" i="4"/>
  <c r="AE46" i="4" s="1"/>
  <c r="AO46" i="4" s="1"/>
  <c r="R45" i="4"/>
  <c r="AE45" i="4" s="1"/>
  <c r="AO45" i="4" s="1"/>
  <c r="R44" i="4"/>
  <c r="AE44" i="4" s="1"/>
  <c r="AO44" i="4" s="1"/>
  <c r="R43" i="4"/>
  <c r="AE43" i="4" s="1"/>
  <c r="AO43" i="4" s="1"/>
  <c r="R36" i="4"/>
  <c r="AE36" i="4" s="1"/>
  <c r="AO36" i="4" s="1"/>
  <c r="R35" i="4"/>
  <c r="AE35" i="4" s="1"/>
  <c r="AO35" i="4" s="1"/>
  <c r="AA22" i="4"/>
  <c r="Z21" i="4"/>
  <c r="Y20" i="4"/>
  <c r="Y19" i="4"/>
  <c r="Y18" i="4"/>
  <c r="X17" i="4"/>
  <c r="X16" i="4"/>
  <c r="X15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3" i="4"/>
  <c r="B310" i="1" l="1"/>
  <c r="B311" i="1"/>
  <c r="B312" i="1"/>
  <c r="H134" i="1"/>
  <c r="H135" i="1"/>
  <c r="H136" i="1"/>
  <c r="H137" i="1"/>
  <c r="H138" i="1"/>
  <c r="H139" i="1"/>
  <c r="H140" i="1"/>
  <c r="D155" i="1"/>
  <c r="D156" i="1"/>
  <c r="E150" i="1"/>
  <c r="G49" i="5" s="1"/>
  <c r="E151" i="1"/>
  <c r="G50" i="5" s="1"/>
  <c r="E152" i="1"/>
  <c r="E153" i="1"/>
  <c r="E154" i="1"/>
  <c r="E155" i="1"/>
  <c r="E156" i="1"/>
  <c r="E157" i="1"/>
  <c r="G56" i="5" s="1"/>
  <c r="E158" i="1"/>
  <c r="G57" i="5" s="1"/>
  <c r="E149" i="1"/>
  <c r="G48" i="5" s="1"/>
  <c r="B149" i="1"/>
  <c r="C149" i="1"/>
  <c r="B150" i="1"/>
  <c r="C150" i="1"/>
  <c r="B151" i="1"/>
  <c r="C151" i="1"/>
  <c r="B152" i="1"/>
  <c r="C152" i="1"/>
  <c r="B153" i="1"/>
  <c r="D153" i="1" s="1"/>
  <c r="B52" i="5" s="1"/>
  <c r="C153" i="1"/>
  <c r="B154" i="1"/>
  <c r="C154" i="1"/>
  <c r="B155" i="1"/>
  <c r="C155" i="1"/>
  <c r="B156" i="1"/>
  <c r="C156" i="1"/>
  <c r="A158" i="1"/>
  <c r="A150" i="1"/>
  <c r="A151" i="1"/>
  <c r="A152" i="1"/>
  <c r="A153" i="1"/>
  <c r="A154" i="1"/>
  <c r="A155" i="1"/>
  <c r="A156" i="1"/>
  <c r="A157" i="1"/>
  <c r="A149" i="1"/>
  <c r="E132" i="1"/>
  <c r="G10" i="5" s="1"/>
  <c r="E133" i="1"/>
  <c r="E134" i="1"/>
  <c r="E135" i="1"/>
  <c r="E136" i="1"/>
  <c r="E137" i="1"/>
  <c r="E138" i="1"/>
  <c r="E139" i="1"/>
  <c r="E140" i="1"/>
  <c r="E131" i="1"/>
  <c r="B131" i="1"/>
  <c r="B9" i="5" s="1"/>
  <c r="B132" i="1"/>
  <c r="B10" i="5" s="1"/>
  <c r="B133" i="1"/>
  <c r="B11" i="5" s="1"/>
  <c r="B134" i="1"/>
  <c r="B135" i="1"/>
  <c r="B136" i="1"/>
  <c r="B137" i="1"/>
  <c r="B138" i="1"/>
  <c r="B139" i="1"/>
  <c r="B140" i="1"/>
  <c r="A132" i="1"/>
  <c r="A133" i="1"/>
  <c r="A134" i="1"/>
  <c r="A135" i="1"/>
  <c r="A136" i="1"/>
  <c r="A137" i="1"/>
  <c r="A138" i="1"/>
  <c r="A139" i="1"/>
  <c r="A140" i="1"/>
  <c r="A131" i="1"/>
  <c r="B309" i="1" l="1"/>
  <c r="B308" i="1"/>
  <c r="B307" i="1"/>
  <c r="B306" i="1"/>
  <c r="B305" i="1"/>
  <c r="B304" i="1"/>
  <c r="B302" i="1"/>
  <c r="G190" i="1"/>
  <c r="G51" i="5"/>
  <c r="D149" i="1"/>
  <c r="B48" i="5" s="1"/>
  <c r="H133" i="1"/>
  <c r="H132" i="1"/>
  <c r="H131" i="1"/>
  <c r="D154" i="1"/>
  <c r="G191" i="1"/>
  <c r="C185" i="1"/>
  <c r="F191" i="1"/>
  <c r="C312" i="1"/>
  <c r="F190" i="1"/>
  <c r="C311" i="1"/>
  <c r="C302" i="1"/>
  <c r="D152" i="1"/>
  <c r="B51" i="5" s="1"/>
  <c r="D151" i="1"/>
  <c r="B50" i="5" s="1"/>
  <c r="F189" i="1"/>
  <c r="G189" i="1"/>
  <c r="C308" i="1"/>
  <c r="F185" i="1"/>
  <c r="G185" i="1"/>
  <c r="C307" i="1"/>
  <c r="F195" i="1"/>
  <c r="G195" i="1"/>
  <c r="C306" i="1"/>
  <c r="F194" i="1"/>
  <c r="G194" i="1"/>
  <c r="D150" i="1"/>
  <c r="B49" i="5" s="1"/>
  <c r="B195" i="1"/>
  <c r="C195" i="1"/>
  <c r="B191" i="1"/>
  <c r="C191" i="1"/>
  <c r="B194" i="1"/>
  <c r="C194" i="1"/>
  <c r="C190" i="1"/>
  <c r="B189" i="1"/>
  <c r="C189" i="1"/>
  <c r="B185" i="1"/>
  <c r="B190" i="1"/>
  <c r="F37" i="1" l="1"/>
  <c r="F36" i="1"/>
  <c r="N7" i="6" s="1"/>
  <c r="E27" i="1"/>
  <c r="C29" i="1"/>
  <c r="C28" i="1"/>
  <c r="F21" i="1"/>
  <c r="F11" i="1"/>
  <c r="F10" i="1"/>
  <c r="F4" i="1"/>
  <c r="B91" i="1" l="1"/>
  <c r="B93" i="1"/>
  <c r="B84" i="1" s="1"/>
  <c r="E93" i="1"/>
  <c r="B94" i="1"/>
  <c r="B85" i="1" s="1"/>
  <c r="D51" i="5"/>
  <c r="K3" i="5"/>
  <c r="D52" i="5"/>
  <c r="K28" i="5"/>
  <c r="D45" i="5"/>
  <c r="D53" i="5"/>
  <c r="D46" i="5"/>
  <c r="D54" i="5"/>
  <c r="D44" i="5"/>
  <c r="D47" i="5"/>
  <c r="D55" i="5"/>
  <c r="D48" i="5"/>
  <c r="D56" i="5"/>
  <c r="D49" i="5"/>
  <c r="D57" i="5"/>
  <c r="D50" i="5"/>
  <c r="N13" i="6"/>
  <c r="N8" i="6"/>
  <c r="B38" i="1"/>
  <c r="G77" i="1"/>
  <c r="E9" i="6"/>
  <c r="E10" i="6" s="1"/>
  <c r="B6" i="1"/>
  <c r="B22" i="1"/>
  <c r="E29" i="1" s="1"/>
  <c r="C148" i="1" s="1"/>
  <c r="B479" i="1"/>
  <c r="G482" i="1" s="1"/>
  <c r="H9" i="6"/>
  <c r="H10" i="6" s="1"/>
  <c r="B127" i="1"/>
  <c r="B5" i="5" s="1"/>
  <c r="B482" i="1"/>
  <c r="B481" i="1"/>
  <c r="C479" i="1"/>
  <c r="H482" i="1" s="1"/>
  <c r="C128" i="1"/>
  <c r="J29" i="5"/>
  <c r="G8" i="6"/>
  <c r="G9" i="6" s="1"/>
  <c r="G63" i="1"/>
  <c r="D7" i="6"/>
  <c r="G64" i="1"/>
  <c r="G62" i="1"/>
  <c r="K5" i="5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D6" i="5"/>
  <c r="E5" i="5"/>
  <c r="B12" i="1"/>
  <c r="B129" i="1"/>
  <c r="B7" i="5" s="1"/>
  <c r="B130" i="1"/>
  <c r="B8" i="5" s="1"/>
  <c r="D6" i="1"/>
  <c r="D3" i="5" s="1"/>
  <c r="B492" i="1" l="1"/>
  <c r="B158" i="1"/>
  <c r="C84" i="1"/>
  <c r="C157" i="1" s="1"/>
  <c r="E94" i="1"/>
  <c r="C85" i="1" s="1"/>
  <c r="C158" i="1" s="1"/>
  <c r="B491" i="1"/>
  <c r="B157" i="1"/>
  <c r="K29" i="5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D9" i="5"/>
  <c r="D10" i="5"/>
  <c r="E28" i="1"/>
  <c r="C147" i="1" s="1"/>
  <c r="D28" i="1"/>
  <c r="B147" i="1" s="1"/>
  <c r="D147" i="1" s="1"/>
  <c r="B46" i="5" s="1"/>
  <c r="D29" i="1"/>
  <c r="B148" i="1" s="1"/>
  <c r="D148" i="1" s="1"/>
  <c r="B47" i="5" s="1"/>
  <c r="B24" i="1"/>
  <c r="B25" i="1" s="1"/>
  <c r="B145" i="1" s="1"/>
  <c r="F187" i="1" s="1"/>
  <c r="D25" i="1"/>
  <c r="C145" i="1" s="1"/>
  <c r="N38" i="6"/>
  <c r="N29" i="6"/>
  <c r="N21" i="6"/>
  <c r="B3" i="5"/>
  <c r="B125" i="1"/>
  <c r="H125" i="1" s="1"/>
  <c r="F38" i="1"/>
  <c r="N9" i="6"/>
  <c r="N10" i="6" s="1"/>
  <c r="N11" i="6"/>
  <c r="N12" i="6" s="1"/>
  <c r="G78" i="1"/>
  <c r="G79" i="1" s="1"/>
  <c r="B40" i="1"/>
  <c r="B41" i="1" s="1"/>
  <c r="B146" i="1" s="1"/>
  <c r="G188" i="1" s="1"/>
  <c r="B128" i="1"/>
  <c r="B6" i="5" s="1"/>
  <c r="K9" i="6"/>
  <c r="D41" i="1"/>
  <c r="C146" i="1" s="1"/>
  <c r="C481" i="1"/>
  <c r="H479" i="1" s="1"/>
  <c r="G479" i="1"/>
  <c r="C482" i="1"/>
  <c r="H481" i="1" s="1"/>
  <c r="G481" i="1"/>
  <c r="D14" i="1"/>
  <c r="H22" i="6"/>
  <c r="K22" i="6" s="1"/>
  <c r="A8" i="6"/>
  <c r="A9" i="6" s="1"/>
  <c r="M7" i="6"/>
  <c r="J7" i="6"/>
  <c r="M10" i="6" s="1"/>
  <c r="M11" i="6" s="1"/>
  <c r="E4" i="5"/>
  <c r="E6" i="5"/>
  <c r="E8" i="5"/>
  <c r="E7" i="5"/>
  <c r="D8" i="6"/>
  <c r="D9" i="6" s="1"/>
  <c r="D10" i="6"/>
  <c r="D11" i="6" s="1"/>
  <c r="G68" i="1"/>
  <c r="G67" i="1"/>
  <c r="G66" i="1"/>
  <c r="G70" i="1"/>
  <c r="G69" i="1"/>
  <c r="G65" i="1"/>
  <c r="B14" i="1"/>
  <c r="H127" i="1"/>
  <c r="H130" i="1"/>
  <c r="B303" i="1"/>
  <c r="H129" i="1"/>
  <c r="F313" i="1"/>
  <c r="B122" i="1"/>
  <c r="C126" i="1"/>
  <c r="C127" i="1"/>
  <c r="C129" i="1" s="1"/>
  <c r="C130" i="1" s="1"/>
  <c r="D130" i="1" s="1"/>
  <c r="D145" i="1" l="1"/>
  <c r="B44" i="5" s="1"/>
  <c r="C491" i="1"/>
  <c r="H487" i="1" s="1"/>
  <c r="G487" i="1"/>
  <c r="D158" i="1"/>
  <c r="F193" i="1"/>
  <c r="G193" i="1"/>
  <c r="F192" i="1"/>
  <c r="D157" i="1"/>
  <c r="G192" i="1"/>
  <c r="C492" i="1"/>
  <c r="H488" i="1" s="1"/>
  <c r="G488" i="1"/>
  <c r="F186" i="1"/>
  <c r="G187" i="1"/>
  <c r="C480" i="1"/>
  <c r="H483" i="1" s="1"/>
  <c r="C496" i="1" s="1" a="1"/>
  <c r="C496" i="1" s="1"/>
  <c r="B480" i="1"/>
  <c r="G483" i="1" s="1"/>
  <c r="N22" i="6"/>
  <c r="T21" i="6"/>
  <c r="T22" i="6" s="1"/>
  <c r="Q21" i="6"/>
  <c r="Q22" i="6" s="1"/>
  <c r="M13" i="6"/>
  <c r="M12" i="6"/>
  <c r="N30" i="6"/>
  <c r="Q29" i="6"/>
  <c r="Q30" i="6" s="1"/>
  <c r="T29" i="6"/>
  <c r="T30" i="6" s="1"/>
  <c r="T38" i="6"/>
  <c r="T39" i="6" s="1"/>
  <c r="Q38" i="6"/>
  <c r="Q39" i="6" s="1"/>
  <c r="N39" i="6"/>
  <c r="H128" i="1"/>
  <c r="D128" i="1"/>
  <c r="F188" i="1"/>
  <c r="D146" i="1"/>
  <c r="B45" i="5" s="1"/>
  <c r="K10" i="6"/>
  <c r="K11" i="6"/>
  <c r="K12" i="6" s="1"/>
  <c r="G186" i="1"/>
  <c r="B126" i="1"/>
  <c r="H126" i="1" s="1"/>
  <c r="B4" i="5"/>
  <c r="J12" i="6"/>
  <c r="J13" i="6" s="1"/>
  <c r="J8" i="6"/>
  <c r="M8" i="6" s="1"/>
  <c r="M9" i="6" s="1"/>
  <c r="D129" i="1"/>
  <c r="C134" i="1"/>
  <c r="D134" i="1" s="1"/>
  <c r="C131" i="1"/>
  <c r="D131" i="1" s="1"/>
  <c r="C125" i="1"/>
  <c r="D125" i="1" s="1"/>
  <c r="C138" i="1"/>
  <c r="D138" i="1" s="1"/>
  <c r="C140" i="1"/>
  <c r="D140" i="1" s="1"/>
  <c r="C139" i="1"/>
  <c r="D139" i="1" s="1"/>
  <c r="C135" i="1"/>
  <c r="D135" i="1" s="1"/>
  <c r="C133" i="1"/>
  <c r="D133" i="1" s="1"/>
  <c r="C132" i="1"/>
  <c r="D132" i="1" s="1"/>
  <c r="C303" i="1" s="1"/>
  <c r="C136" i="1"/>
  <c r="D136" i="1" s="1"/>
  <c r="C137" i="1"/>
  <c r="D137" i="1" s="1"/>
  <c r="D127" i="1"/>
  <c r="C304" i="1"/>
  <c r="B187" i="1"/>
  <c r="C187" i="1"/>
  <c r="B496" i="1" l="1" a="1"/>
  <c r="B496" i="1" s="1"/>
  <c r="F495" i="1" s="1" a="1"/>
  <c r="F495" i="1" s="1"/>
  <c r="Q19" i="1" s="1"/>
  <c r="B56" i="5"/>
  <c r="C309" i="1"/>
  <c r="B192" i="1"/>
  <c r="C192" i="1"/>
  <c r="B57" i="5"/>
  <c r="B193" i="1"/>
  <c r="C193" i="1"/>
  <c r="C310" i="1"/>
  <c r="G184" i="1"/>
  <c r="G197" i="1" s="1" a="1"/>
  <c r="G197" i="1" s="1"/>
  <c r="D126" i="1"/>
  <c r="B184" i="1" s="1"/>
  <c r="C188" i="1"/>
  <c r="B188" i="1"/>
  <c r="C305" i="1"/>
  <c r="F497" i="1"/>
  <c r="Q21" i="1" s="1"/>
  <c r="F496" i="1"/>
  <c r="Q20" i="1" s="1"/>
  <c r="B301" i="1"/>
  <c r="B315" i="1" s="1" a="1"/>
  <c r="F184" i="1"/>
  <c r="F197" i="1" s="1" a="1"/>
  <c r="F197" i="1" s="1"/>
  <c r="J9" i="6"/>
  <c r="B186" i="1"/>
  <c r="C186" i="1"/>
  <c r="C184" i="1" l="1"/>
  <c r="C301" i="1"/>
  <c r="C384" i="1" s="1" a="1"/>
  <c r="C384" i="1" s="1"/>
  <c r="J10" i="6"/>
  <c r="J11" i="6" s="1"/>
  <c r="B315" i="1"/>
  <c r="F30" i="6" s="1"/>
  <c r="O30" i="6" s="1"/>
  <c r="R30" i="6" s="1"/>
  <c r="U30" i="6" s="1"/>
  <c r="B197" i="1" a="1"/>
  <c r="B197" i="1" s="1"/>
  <c r="B384" i="1" a="1"/>
  <c r="H227" i="1"/>
  <c r="H249" i="1"/>
  <c r="H203" i="1"/>
  <c r="H217" i="1"/>
  <c r="H246" i="1"/>
  <c r="H234" i="1"/>
  <c r="H224" i="1"/>
  <c r="H247" i="1"/>
  <c r="H218" i="1"/>
  <c r="H241" i="1"/>
  <c r="H242" i="1"/>
  <c r="H213" i="1"/>
  <c r="H228" i="1"/>
  <c r="H240" i="1"/>
  <c r="H201" i="1"/>
  <c r="H235" i="1"/>
  <c r="H204" i="1"/>
  <c r="H244" i="1"/>
  <c r="H211" i="1"/>
  <c r="H207" i="1"/>
  <c r="H208" i="1"/>
  <c r="H220" i="1"/>
  <c r="H245" i="1"/>
  <c r="H226" i="1"/>
  <c r="H222" i="1"/>
  <c r="H202" i="1"/>
  <c r="H225" i="1"/>
  <c r="H200" i="1"/>
  <c r="H223" i="1"/>
  <c r="H231" i="1"/>
  <c r="H206" i="1"/>
  <c r="H199" i="1"/>
  <c r="H233" i="1"/>
  <c r="H239" i="1"/>
  <c r="H232" i="1"/>
  <c r="H237" i="1"/>
  <c r="H210" i="1"/>
  <c r="H238" i="1"/>
  <c r="H214" i="1"/>
  <c r="H250" i="1"/>
  <c r="H251" i="1"/>
  <c r="H216" i="1"/>
  <c r="H198" i="1"/>
  <c r="H209" i="1"/>
  <c r="H243" i="1"/>
  <c r="H205" i="1"/>
  <c r="H219" i="1"/>
  <c r="H230" i="1"/>
  <c r="H197" i="1"/>
  <c r="H221" i="1"/>
  <c r="H236" i="1"/>
  <c r="H212" i="1"/>
  <c r="H215" i="1"/>
  <c r="H229" i="1"/>
  <c r="H248" i="1"/>
  <c r="C197" i="1" a="1"/>
  <c r="C315" i="1" l="1" a="1"/>
  <c r="D318" i="1" s="1"/>
  <c r="E318" i="1" s="1"/>
  <c r="F318" i="1" s="1"/>
  <c r="D236" i="1"/>
  <c r="B384" i="1"/>
  <c r="F39" i="6" s="1"/>
  <c r="O39" i="6" s="1"/>
  <c r="R39" i="6" s="1"/>
  <c r="U39" i="6" s="1"/>
  <c r="D396" i="1"/>
  <c r="D389" i="1"/>
  <c r="D387" i="1"/>
  <c r="D388" i="1"/>
  <c r="D402" i="1"/>
  <c r="D393" i="1"/>
  <c r="D391" i="1"/>
  <c r="D394" i="1"/>
  <c r="D408" i="1"/>
  <c r="D406" i="1"/>
  <c r="D386" i="1"/>
  <c r="D400" i="1"/>
  <c r="D397" i="1"/>
  <c r="D398" i="1"/>
  <c r="D395" i="1"/>
  <c r="D392" i="1"/>
  <c r="D407" i="1"/>
  <c r="D390" i="1"/>
  <c r="D401" i="1"/>
  <c r="D404" i="1"/>
  <c r="D405" i="1"/>
  <c r="D385" i="1"/>
  <c r="D399" i="1"/>
  <c r="D403" i="1"/>
  <c r="H254" i="1"/>
  <c r="H253" i="1"/>
  <c r="D211" i="1"/>
  <c r="D212" i="1"/>
  <c r="D213" i="1"/>
  <c r="D223" i="1"/>
  <c r="D209" i="1"/>
  <c r="D206" i="1"/>
  <c r="D231" i="1"/>
  <c r="D229" i="1"/>
  <c r="D198" i="1"/>
  <c r="D204" i="1"/>
  <c r="D210" i="1"/>
  <c r="D216" i="1"/>
  <c r="D200" i="1"/>
  <c r="D244" i="1"/>
  <c r="D251" i="1"/>
  <c r="D239" i="1"/>
  <c r="D228" i="1"/>
  <c r="D225" i="1"/>
  <c r="D222" i="1"/>
  <c r="D201" i="1"/>
  <c r="D242" i="1"/>
  <c r="D215" i="1"/>
  <c r="D240" i="1"/>
  <c r="D245" i="1"/>
  <c r="D219" i="1"/>
  <c r="D247" i="1"/>
  <c r="D217" i="1"/>
  <c r="D218" i="1"/>
  <c r="D250" i="1"/>
  <c r="D226" i="1"/>
  <c r="D249" i="1"/>
  <c r="D207" i="1"/>
  <c r="D214" i="1"/>
  <c r="D235" i="1"/>
  <c r="D238" i="1"/>
  <c r="D243" i="1"/>
  <c r="D233" i="1"/>
  <c r="D202" i="1"/>
  <c r="D246" i="1"/>
  <c r="D232" i="1"/>
  <c r="D221" i="1"/>
  <c r="C197" i="1"/>
  <c r="D197" i="1" s="1"/>
  <c r="D230" i="1"/>
  <c r="D234" i="1"/>
  <c r="D237" i="1"/>
  <c r="D224" i="1"/>
  <c r="D203" i="1"/>
  <c r="D241" i="1"/>
  <c r="D199" i="1"/>
  <c r="D220" i="1"/>
  <c r="D208" i="1"/>
  <c r="D248" i="1"/>
  <c r="D227" i="1"/>
  <c r="D205" i="1"/>
  <c r="D332" i="1" l="1"/>
  <c r="H332" i="1" s="1"/>
  <c r="D336" i="1"/>
  <c r="D327" i="1"/>
  <c r="D334" i="1"/>
  <c r="E334" i="1" s="1"/>
  <c r="G334" i="1" s="1"/>
  <c r="D329" i="1"/>
  <c r="H329" i="1" s="1"/>
  <c r="D325" i="1"/>
  <c r="E325" i="1" s="1"/>
  <c r="G325" i="1" s="1"/>
  <c r="D316" i="1"/>
  <c r="E316" i="1" s="1"/>
  <c r="F316" i="1" s="1"/>
  <c r="D330" i="1"/>
  <c r="E330" i="1" s="1"/>
  <c r="G330" i="1" s="1"/>
  <c r="D335" i="1"/>
  <c r="C315" i="1"/>
  <c r="D315" i="1" s="1"/>
  <c r="E315" i="1" s="1"/>
  <c r="G315" i="1" s="1"/>
  <c r="D322" i="1"/>
  <c r="E322" i="1" s="1"/>
  <c r="F322" i="1" s="1"/>
  <c r="D317" i="1"/>
  <c r="H317" i="1" s="1"/>
  <c r="D321" i="1"/>
  <c r="E321" i="1" s="1"/>
  <c r="G321" i="1" s="1"/>
  <c r="D319" i="1"/>
  <c r="H319" i="1" s="1"/>
  <c r="D337" i="1"/>
  <c r="E337" i="1" s="1"/>
  <c r="D323" i="1"/>
  <c r="H323" i="1" s="1"/>
  <c r="D333" i="1"/>
  <c r="H333" i="1" s="1"/>
  <c r="H318" i="1"/>
  <c r="D326" i="1"/>
  <c r="E326" i="1" s="1"/>
  <c r="F326" i="1" s="1"/>
  <c r="D324" i="1"/>
  <c r="D328" i="1"/>
  <c r="E328" i="1" s="1"/>
  <c r="G328" i="1" s="1"/>
  <c r="D331" i="1"/>
  <c r="E331" i="1" s="1"/>
  <c r="G331" i="1" s="1"/>
  <c r="D320" i="1"/>
  <c r="E320" i="1" s="1"/>
  <c r="G320" i="1" s="1"/>
  <c r="D338" i="1"/>
  <c r="H338" i="1" s="1"/>
  <c r="D384" i="1"/>
  <c r="H384" i="1" s="1"/>
  <c r="E405" i="1"/>
  <c r="H405" i="1"/>
  <c r="E397" i="1"/>
  <c r="G397" i="1" s="1"/>
  <c r="H397" i="1"/>
  <c r="E400" i="1"/>
  <c r="H400" i="1"/>
  <c r="E386" i="1"/>
  <c r="H386" i="1"/>
  <c r="E390" i="1"/>
  <c r="H390" i="1"/>
  <c r="E406" i="1"/>
  <c r="H406" i="1"/>
  <c r="E389" i="1"/>
  <c r="G389" i="1" s="1"/>
  <c r="H389" i="1"/>
  <c r="E398" i="1"/>
  <c r="G398" i="1" s="1"/>
  <c r="H398" i="1"/>
  <c r="E404" i="1"/>
  <c r="H404" i="1"/>
  <c r="E388" i="1"/>
  <c r="G388" i="1" s="1"/>
  <c r="H388" i="1"/>
  <c r="E401" i="1"/>
  <c r="H401" i="1"/>
  <c r="E387" i="1"/>
  <c r="H387" i="1"/>
  <c r="E403" i="1"/>
  <c r="H403" i="1"/>
  <c r="E407" i="1"/>
  <c r="H407" i="1"/>
  <c r="E408" i="1"/>
  <c r="H408" i="1"/>
  <c r="E396" i="1"/>
  <c r="H396" i="1"/>
  <c r="E393" i="1"/>
  <c r="G393" i="1" s="1"/>
  <c r="H393" i="1"/>
  <c r="E402" i="1"/>
  <c r="G402" i="1" s="1"/>
  <c r="H402" i="1"/>
  <c r="E399" i="1"/>
  <c r="G399" i="1" s="1"/>
  <c r="H399" i="1"/>
  <c r="E392" i="1"/>
  <c r="G392" i="1" s="1"/>
  <c r="H392" i="1"/>
  <c r="E394" i="1"/>
  <c r="G394" i="1" s="1"/>
  <c r="H394" i="1"/>
  <c r="E385" i="1"/>
  <c r="G385" i="1" s="1"/>
  <c r="H385" i="1"/>
  <c r="E395" i="1"/>
  <c r="G395" i="1" s="1"/>
  <c r="H395" i="1"/>
  <c r="E391" i="1"/>
  <c r="G391" i="1" s="1"/>
  <c r="H391" i="1"/>
  <c r="Q3" i="1"/>
  <c r="D254" i="1"/>
  <c r="D253" i="1"/>
  <c r="G318" i="1"/>
  <c r="C360" i="1" s="1"/>
  <c r="E335" i="1"/>
  <c r="F335" i="1" s="1"/>
  <c r="H335" i="1"/>
  <c r="E329" i="1"/>
  <c r="G329" i="1" s="1"/>
  <c r="E327" i="1"/>
  <c r="G327" i="1" s="1"/>
  <c r="H327" i="1"/>
  <c r="E336" i="1"/>
  <c r="G336" i="1" s="1"/>
  <c r="H336" i="1"/>
  <c r="E324" i="1"/>
  <c r="G324" i="1" s="1"/>
  <c r="H324" i="1"/>
  <c r="H334" i="1" l="1"/>
  <c r="H325" i="1"/>
  <c r="H320" i="1"/>
  <c r="H316" i="1"/>
  <c r="H328" i="1"/>
  <c r="H315" i="1"/>
  <c r="H326" i="1"/>
  <c r="E338" i="1"/>
  <c r="G338" i="1" s="1"/>
  <c r="H331" i="1"/>
  <c r="H322" i="1"/>
  <c r="H330" i="1"/>
  <c r="E332" i="1"/>
  <c r="G332" i="1" s="1"/>
  <c r="E333" i="1"/>
  <c r="G333" i="1" s="1"/>
  <c r="E317" i="1"/>
  <c r="G317" i="1" s="1"/>
  <c r="H337" i="1"/>
  <c r="E319" i="1"/>
  <c r="G319" i="1" s="1"/>
  <c r="E323" i="1"/>
  <c r="G323" i="1" s="1"/>
  <c r="H321" i="1"/>
  <c r="B360" i="1"/>
  <c r="D360" i="1"/>
  <c r="F394" i="1"/>
  <c r="C427" i="1" s="1"/>
  <c r="D29" i="5" s="1"/>
  <c r="F402" i="1"/>
  <c r="F397" i="1"/>
  <c r="F392" i="1"/>
  <c r="F391" i="1"/>
  <c r="F393" i="1"/>
  <c r="E426" i="1" s="1"/>
  <c r="E384" i="1"/>
  <c r="F395" i="1"/>
  <c r="F385" i="1"/>
  <c r="F399" i="1"/>
  <c r="G407" i="1"/>
  <c r="F407" i="1"/>
  <c r="E440" i="1" s="1"/>
  <c r="G386" i="1"/>
  <c r="F386" i="1"/>
  <c r="E419" i="1" s="1"/>
  <c r="F400" i="1"/>
  <c r="G400" i="1"/>
  <c r="E29" i="6"/>
  <c r="E30" i="6"/>
  <c r="F389" i="1"/>
  <c r="E422" i="1" s="1"/>
  <c r="F403" i="1"/>
  <c r="G403" i="1"/>
  <c r="F406" i="1"/>
  <c r="G406" i="1"/>
  <c r="G401" i="1"/>
  <c r="F401" i="1"/>
  <c r="E434" i="1" s="1"/>
  <c r="G408" i="1"/>
  <c r="F408" i="1"/>
  <c r="E441" i="1" s="1"/>
  <c r="F388" i="1"/>
  <c r="E38" i="6"/>
  <c r="E39" i="6"/>
  <c r="F398" i="1"/>
  <c r="F396" i="1"/>
  <c r="G396" i="1"/>
  <c r="F387" i="1"/>
  <c r="G387" i="1"/>
  <c r="G404" i="1"/>
  <c r="F404" i="1"/>
  <c r="E437" i="1" s="1"/>
  <c r="F390" i="1"/>
  <c r="E423" i="1" s="1"/>
  <c r="G390" i="1"/>
  <c r="F405" i="1"/>
  <c r="E438" i="1" s="1"/>
  <c r="G405" i="1"/>
  <c r="Q2" i="1"/>
  <c r="G335" i="1"/>
  <c r="D377" i="1" s="1"/>
  <c r="E377" i="1" s="1"/>
  <c r="F320" i="1"/>
  <c r="B362" i="1" s="1"/>
  <c r="G322" i="1"/>
  <c r="C364" i="1" s="1"/>
  <c r="F330" i="1"/>
  <c r="B372" i="1" s="1"/>
  <c r="F336" i="1"/>
  <c r="B378" i="1" s="1"/>
  <c r="F324" i="1"/>
  <c r="B366" i="1" s="1"/>
  <c r="F315" i="1"/>
  <c r="C357" i="1" s="1"/>
  <c r="F328" i="1"/>
  <c r="C370" i="1" s="1"/>
  <c r="F334" i="1"/>
  <c r="B376" i="1" s="1"/>
  <c r="F325" i="1"/>
  <c r="D367" i="1" s="1"/>
  <c r="F331" i="1"/>
  <c r="C373" i="1" s="1"/>
  <c r="F329" i="1"/>
  <c r="D371" i="1" s="1"/>
  <c r="E360" i="1"/>
  <c r="F327" i="1"/>
  <c r="D369" i="1" s="1"/>
  <c r="G326" i="1"/>
  <c r="C368" i="1" s="1"/>
  <c r="G316" i="1"/>
  <c r="C358" i="1" s="1"/>
  <c r="F338" i="1"/>
  <c r="B380" i="1" s="1"/>
  <c r="F321" i="1"/>
  <c r="D363" i="1" s="1"/>
  <c r="G337" i="1"/>
  <c r="F337" i="1"/>
  <c r="B377" i="1"/>
  <c r="F323" i="1" l="1"/>
  <c r="C365" i="1" s="1"/>
  <c r="F333" i="1"/>
  <c r="D375" i="1" s="1"/>
  <c r="F332" i="1"/>
  <c r="D374" i="1" s="1"/>
  <c r="F319" i="1"/>
  <c r="C361" i="1" s="1"/>
  <c r="F317" i="1"/>
  <c r="B359" i="1" s="1"/>
  <c r="F360" i="1"/>
  <c r="E420" i="1"/>
  <c r="E22" i="5" s="1"/>
  <c r="B358" i="1"/>
  <c r="E436" i="1"/>
  <c r="B364" i="1"/>
  <c r="E429" i="1"/>
  <c r="E433" i="1"/>
  <c r="E35" i="5" s="1"/>
  <c r="E439" i="1"/>
  <c r="E41" i="5" s="1"/>
  <c r="B368" i="1"/>
  <c r="C377" i="1"/>
  <c r="D364" i="1"/>
  <c r="E364" i="1" s="1"/>
  <c r="E428" i="1"/>
  <c r="E30" i="5" s="1"/>
  <c r="E431" i="1"/>
  <c r="E33" i="5" s="1"/>
  <c r="C424" i="1"/>
  <c r="D26" i="5" s="1"/>
  <c r="E424" i="1"/>
  <c r="E26" i="5" s="1"/>
  <c r="B421" i="1"/>
  <c r="B23" i="5" s="1"/>
  <c r="E421" i="1"/>
  <c r="E23" i="5" s="1"/>
  <c r="C425" i="1"/>
  <c r="D27" i="5" s="1"/>
  <c r="E425" i="1"/>
  <c r="E27" i="5" s="1"/>
  <c r="B432" i="1"/>
  <c r="B34" i="5" s="1"/>
  <c r="E432" i="1"/>
  <c r="E34" i="5" s="1"/>
  <c r="D435" i="1"/>
  <c r="C37" i="5" s="1"/>
  <c r="E435" i="1"/>
  <c r="E37" i="5" s="1"/>
  <c r="C430" i="1"/>
  <c r="D32" i="5" s="1"/>
  <c r="E430" i="1"/>
  <c r="E32" i="5" s="1"/>
  <c r="E418" i="1"/>
  <c r="E20" i="5" s="1"/>
  <c r="B427" i="1"/>
  <c r="B29" i="5" s="1"/>
  <c r="E427" i="1"/>
  <c r="E29" i="5" s="1"/>
  <c r="D425" i="1"/>
  <c r="C27" i="5" s="1"/>
  <c r="B435" i="1"/>
  <c r="B37" i="5" s="1"/>
  <c r="D427" i="1"/>
  <c r="C29" i="5" s="1"/>
  <c r="B425" i="1"/>
  <c r="B27" i="5" s="1"/>
  <c r="D421" i="1"/>
  <c r="C23" i="5" s="1"/>
  <c r="D431" i="1"/>
  <c r="C33" i="5" s="1"/>
  <c r="D424" i="1"/>
  <c r="C26" i="5" s="1"/>
  <c r="D430" i="1"/>
  <c r="C32" i="5" s="1"/>
  <c r="B430" i="1"/>
  <c r="B32" i="5" s="1"/>
  <c r="F377" i="1"/>
  <c r="B424" i="1"/>
  <c r="B26" i="5" s="1"/>
  <c r="C435" i="1"/>
  <c r="D37" i="5" s="1"/>
  <c r="C428" i="1"/>
  <c r="D30" i="5" s="1"/>
  <c r="C418" i="1"/>
  <c r="D20" i="5" s="1"/>
  <c r="C431" i="1"/>
  <c r="D33" i="5" s="1"/>
  <c r="B426" i="1"/>
  <c r="B28" i="5" s="1"/>
  <c r="D426" i="1"/>
  <c r="C28" i="5" s="1"/>
  <c r="E28" i="5"/>
  <c r="C426" i="1"/>
  <c r="D28" i="5" s="1"/>
  <c r="C432" i="1"/>
  <c r="D34" i="5" s="1"/>
  <c r="D432" i="1"/>
  <c r="C34" i="5" s="1"/>
  <c r="B428" i="1"/>
  <c r="B30" i="5" s="1"/>
  <c r="B418" i="1"/>
  <c r="B20" i="5" s="1"/>
  <c r="D428" i="1"/>
  <c r="C30" i="5" s="1"/>
  <c r="G384" i="1"/>
  <c r="F384" i="1"/>
  <c r="B29" i="6"/>
  <c r="B30" i="6" s="1"/>
  <c r="D418" i="1"/>
  <c r="C20" i="5" s="1"/>
  <c r="C421" i="1"/>
  <c r="D23" i="5" s="1"/>
  <c r="C423" i="1"/>
  <c r="D25" i="5" s="1"/>
  <c r="D423" i="1"/>
  <c r="C25" i="5" s="1"/>
  <c r="E25" i="5"/>
  <c r="B423" i="1"/>
  <c r="B25" i="5" s="1"/>
  <c r="C419" i="1"/>
  <c r="D21" i="5" s="1"/>
  <c r="D419" i="1"/>
  <c r="C21" i="5" s="1"/>
  <c r="B419" i="1"/>
  <c r="B21" i="5" s="1"/>
  <c r="E21" i="5"/>
  <c r="B436" i="1"/>
  <c r="B38" i="5" s="1"/>
  <c r="E38" i="5"/>
  <c r="D436" i="1"/>
  <c r="C38" i="5" s="1"/>
  <c r="C436" i="1"/>
  <c r="D38" i="5" s="1"/>
  <c r="D433" i="1"/>
  <c r="C35" i="5" s="1"/>
  <c r="C433" i="1"/>
  <c r="D35" i="5" s="1"/>
  <c r="B433" i="1"/>
  <c r="B35" i="5" s="1"/>
  <c r="D441" i="1"/>
  <c r="C43" i="5" s="1"/>
  <c r="E43" i="5"/>
  <c r="B441" i="1"/>
  <c r="B43" i="5" s="1"/>
  <c r="C441" i="1"/>
  <c r="D43" i="5" s="1"/>
  <c r="B431" i="1"/>
  <c r="B33" i="5" s="1"/>
  <c r="D420" i="1"/>
  <c r="C22" i="5" s="1"/>
  <c r="C420" i="1"/>
  <c r="D22" i="5" s="1"/>
  <c r="B420" i="1"/>
  <c r="B22" i="5" s="1"/>
  <c r="D440" i="1"/>
  <c r="C42" i="5" s="1"/>
  <c r="B440" i="1"/>
  <c r="B42" i="5" s="1"/>
  <c r="E42" i="5"/>
  <c r="C440" i="1"/>
  <c r="D42" i="5" s="1"/>
  <c r="E36" i="5"/>
  <c r="B434" i="1"/>
  <c r="B36" i="5" s="1"/>
  <c r="C434" i="1"/>
  <c r="D36" i="5" s="1"/>
  <c r="D434" i="1"/>
  <c r="C36" i="5" s="1"/>
  <c r="D439" i="1"/>
  <c r="C41" i="5" s="1"/>
  <c r="C439" i="1"/>
  <c r="D41" i="5" s="1"/>
  <c r="B439" i="1"/>
  <c r="B41" i="5" s="1"/>
  <c r="B437" i="1"/>
  <c r="B39" i="5" s="1"/>
  <c r="E39" i="5"/>
  <c r="D437" i="1"/>
  <c r="C39" i="5" s="1"/>
  <c r="C437" i="1"/>
  <c r="D39" i="5" s="1"/>
  <c r="C422" i="1"/>
  <c r="D24" i="5" s="1"/>
  <c r="B422" i="1"/>
  <c r="B24" i="5" s="1"/>
  <c r="E24" i="5"/>
  <c r="D422" i="1"/>
  <c r="C24" i="5" s="1"/>
  <c r="C438" i="1"/>
  <c r="D40" i="5" s="1"/>
  <c r="B438" i="1"/>
  <c r="B40" i="5" s="1"/>
  <c r="E40" i="5"/>
  <c r="D438" i="1"/>
  <c r="C40" i="5" s="1"/>
  <c r="C429" i="1"/>
  <c r="D429" i="1"/>
  <c r="B429" i="1"/>
  <c r="C362" i="1"/>
  <c r="D370" i="1"/>
  <c r="E370" i="1" s="1"/>
  <c r="B374" i="1"/>
  <c r="F374" i="1" s="1"/>
  <c r="D362" i="1"/>
  <c r="F362" i="1" s="1"/>
  <c r="C374" i="1"/>
  <c r="D372" i="1"/>
  <c r="F372" i="1" s="1"/>
  <c r="C372" i="1"/>
  <c r="B361" i="1"/>
  <c r="B375" i="1"/>
  <c r="F375" i="1" s="1"/>
  <c r="D359" i="1"/>
  <c r="F359" i="1" s="1"/>
  <c r="D368" i="1"/>
  <c r="E368" i="1" s="1"/>
  <c r="D358" i="1"/>
  <c r="C375" i="1"/>
  <c r="C378" i="1"/>
  <c r="D378" i="1"/>
  <c r="F378" i="1" s="1"/>
  <c r="D366" i="1"/>
  <c r="F366" i="1" s="1"/>
  <c r="C366" i="1"/>
  <c r="C367" i="1"/>
  <c r="B357" i="1"/>
  <c r="C30" i="6" s="1"/>
  <c r="B373" i="1"/>
  <c r="D357" i="1"/>
  <c r="E357" i="1" s="1"/>
  <c r="B370" i="1"/>
  <c r="D361" i="1"/>
  <c r="C359" i="1"/>
  <c r="D376" i="1"/>
  <c r="F376" i="1" s="1"/>
  <c r="C376" i="1"/>
  <c r="B367" i="1"/>
  <c r="F367" i="1" s="1"/>
  <c r="B365" i="1"/>
  <c r="D373" i="1"/>
  <c r="E367" i="1"/>
  <c r="D365" i="1"/>
  <c r="E365" i="1" s="1"/>
  <c r="C371" i="1"/>
  <c r="F339" i="1"/>
  <c r="B371" i="1"/>
  <c r="F371" i="1" s="1"/>
  <c r="E369" i="1"/>
  <c r="E373" i="1"/>
  <c r="E374" i="1"/>
  <c r="B369" i="1"/>
  <c r="F369" i="1" s="1"/>
  <c r="E363" i="1"/>
  <c r="D380" i="1"/>
  <c r="C380" i="1"/>
  <c r="C369" i="1"/>
  <c r="B363" i="1"/>
  <c r="F363" i="1" s="1"/>
  <c r="B379" i="1"/>
  <c r="C379" i="1"/>
  <c r="D379" i="1"/>
  <c r="C363" i="1"/>
  <c r="E375" i="1"/>
  <c r="E371" i="1"/>
  <c r="F364" i="1" l="1"/>
  <c r="F368" i="1"/>
  <c r="E417" i="1"/>
  <c r="E19" i="5" s="1"/>
  <c r="E362" i="1"/>
  <c r="E376" i="1"/>
  <c r="E359" i="1"/>
  <c r="E372" i="1"/>
  <c r="B417" i="1"/>
  <c r="B19" i="5" s="1"/>
  <c r="D417" i="1"/>
  <c r="C19" i="5" s="1"/>
  <c r="C417" i="1"/>
  <c r="D19" i="5" s="1"/>
  <c r="E358" i="1"/>
  <c r="B31" i="6" s="1"/>
  <c r="B32" i="6" s="1"/>
  <c r="C31" i="6"/>
  <c r="E26" i="6" s="1"/>
  <c r="B31" i="5"/>
  <c r="D31" i="5"/>
  <c r="E31" i="5"/>
  <c r="B40" i="6"/>
  <c r="B41" i="6" s="1"/>
  <c r="C31" i="5"/>
  <c r="F370" i="1"/>
  <c r="F361" i="1"/>
  <c r="F357" i="1"/>
  <c r="F358" i="1"/>
  <c r="E361" i="1"/>
  <c r="E366" i="1"/>
  <c r="E378" i="1"/>
  <c r="F365" i="1"/>
  <c r="F373" i="1"/>
  <c r="E380" i="1"/>
  <c r="F380" i="1"/>
  <c r="E379" i="1"/>
  <c r="F379" i="1"/>
  <c r="L13" i="5" a="1"/>
  <c r="L44" i="5" a="1"/>
  <c r="L39" i="5" a="1"/>
  <c r="L10" i="5" a="1"/>
  <c r="L9" i="5" a="1"/>
  <c r="L37" i="5" a="1"/>
  <c r="L4" i="5" a="1"/>
  <c r="L29" i="5" a="1"/>
  <c r="L15" i="5" a="1"/>
  <c r="L45" i="5" a="1"/>
  <c r="L6" i="5" a="1"/>
  <c r="L42" i="5" a="1"/>
  <c r="L34" i="5" a="1"/>
  <c r="L18" i="5" a="1"/>
  <c r="L12" i="5" a="1"/>
  <c r="L36" i="5" a="1"/>
  <c r="L14" i="5" a="1"/>
  <c r="L31" i="5" a="1"/>
  <c r="L38" i="5" a="1"/>
  <c r="L8" i="5" a="1"/>
  <c r="L20" i="5" a="1"/>
  <c r="L11" i="5" a="1"/>
  <c r="L28" i="5" a="1"/>
  <c r="L16" i="5" a="1"/>
  <c r="L19" i="5" a="1"/>
  <c r="L48" i="5" a="1"/>
  <c r="L21" i="5" a="1"/>
  <c r="L47" i="5" a="1"/>
  <c r="L46" i="5" a="1"/>
  <c r="L35" i="5" a="1"/>
  <c r="L41" i="5" a="1"/>
  <c r="L30" i="5" a="1"/>
  <c r="L43" i="5" a="1"/>
  <c r="L40" i="5" a="1"/>
  <c r="L32" i="5" a="1"/>
  <c r="L5" i="5" a="1"/>
  <c r="L7" i="5" a="1"/>
  <c r="L23" i="5" a="1"/>
  <c r="L22" i="5" a="1"/>
  <c r="L24" i="5" a="1"/>
  <c r="L33" i="5" a="1"/>
  <c r="L17" i="5" a="1"/>
  <c r="L28" i="5" l="1"/>
  <c r="C39" i="6"/>
  <c r="CL48" i="5"/>
  <c r="CI48" i="5"/>
  <c r="CK48" i="5"/>
  <c r="CJ48" i="5"/>
  <c r="C40" i="6"/>
  <c r="B38" i="6"/>
  <c r="B39" i="6" s="1"/>
  <c r="CI44" i="5"/>
  <c r="CL44" i="5"/>
  <c r="CK44" i="5"/>
  <c r="CJ44" i="5"/>
  <c r="L44" i="5"/>
  <c r="L32" i="5"/>
  <c r="CK32" i="5"/>
  <c r="CI32" i="5"/>
  <c r="CJ32" i="5"/>
  <c r="CL32" i="5"/>
  <c r="CK20" i="5"/>
  <c r="CL20" i="5"/>
  <c r="CJ20" i="5"/>
  <c r="L20" i="5"/>
  <c r="CI20" i="5"/>
  <c r="L8" i="5"/>
  <c r="CL8" i="5"/>
  <c r="CK8" i="5"/>
  <c r="CI8" i="5"/>
  <c r="CJ8" i="5"/>
  <c r="CI15" i="5"/>
  <c r="CJ15" i="5"/>
  <c r="CL15" i="5"/>
  <c r="L15" i="5"/>
  <c r="CK15" i="5"/>
  <c r="L38" i="5"/>
  <c r="CI38" i="5"/>
  <c r="CJ38" i="5"/>
  <c r="CK38" i="5"/>
  <c r="CL38" i="5"/>
  <c r="CL40" i="5"/>
  <c r="CJ40" i="5"/>
  <c r="CI40" i="5"/>
  <c r="CK40" i="5"/>
  <c r="L40" i="5"/>
  <c r="CJ29" i="5"/>
  <c r="L29" i="5"/>
  <c r="CK29" i="5"/>
  <c r="CI29" i="5"/>
  <c r="CL29" i="5"/>
  <c r="CI41" i="5"/>
  <c r="CK41" i="5"/>
  <c r="CL41" i="5"/>
  <c r="CJ41" i="5"/>
  <c r="L41" i="5"/>
  <c r="CL23" i="5"/>
  <c r="L23" i="5"/>
  <c r="CI23" i="5"/>
  <c r="CK23" i="5"/>
  <c r="CJ23" i="5"/>
  <c r="CJ6" i="5"/>
  <c r="CI6" i="5"/>
  <c r="CK6" i="5"/>
  <c r="L6" i="5"/>
  <c r="CL6" i="5"/>
  <c r="CL47" i="5"/>
  <c r="CI47" i="5"/>
  <c r="CJ47" i="5"/>
  <c r="L47" i="5"/>
  <c r="CK47" i="5"/>
  <c r="L11" i="5"/>
  <c r="CJ11" i="5"/>
  <c r="CK11" i="5"/>
  <c r="CL11" i="5"/>
  <c r="CI11" i="5"/>
  <c r="CJ34" i="5"/>
  <c r="CI34" i="5"/>
  <c r="CK34" i="5"/>
  <c r="L34" i="5"/>
  <c r="CL34" i="5"/>
  <c r="CI28" i="5"/>
  <c r="CK28" i="5"/>
  <c r="F447" i="1" s="1"/>
  <c r="Q13" i="1" s="1"/>
  <c r="CL28" i="5"/>
  <c r="F448" i="1" s="1"/>
  <c r="Q14" i="1" s="1"/>
  <c r="CJ28" i="5"/>
  <c r="L21" i="5"/>
  <c r="CK21" i="5"/>
  <c r="CL21" i="5"/>
  <c r="CI21" i="5"/>
  <c r="CJ21" i="5"/>
  <c r="L45" i="5"/>
  <c r="CL45" i="5"/>
  <c r="CI45" i="5"/>
  <c r="CK45" i="5"/>
  <c r="CJ45" i="5"/>
  <c r="CJ24" i="5"/>
  <c r="CK24" i="5"/>
  <c r="B447" i="1" s="1"/>
  <c r="Q8" i="1" s="1"/>
  <c r="L24" i="5"/>
  <c r="CI24" i="5"/>
  <c r="CL24" i="5"/>
  <c r="B448" i="1" s="1"/>
  <c r="Q9" i="1" s="1"/>
  <c r="CK10" i="5"/>
  <c r="CI10" i="5"/>
  <c r="CJ10" i="5"/>
  <c r="CL10" i="5"/>
  <c r="L10" i="5"/>
  <c r="CJ33" i="5"/>
  <c r="L33" i="5"/>
  <c r="CK33" i="5"/>
  <c r="CI33" i="5"/>
  <c r="CL33" i="5"/>
  <c r="CL43" i="5"/>
  <c r="L43" i="5"/>
  <c r="CI43" i="5"/>
  <c r="CJ43" i="5"/>
  <c r="CK43" i="5"/>
  <c r="L7" i="5"/>
  <c r="CK7" i="5"/>
  <c r="CJ7" i="5"/>
  <c r="CI7" i="5"/>
  <c r="CL7" i="5"/>
  <c r="CI30" i="5"/>
  <c r="L30" i="5"/>
  <c r="CL30" i="5"/>
  <c r="CJ30" i="5"/>
  <c r="CK30" i="5"/>
  <c r="CK16" i="5"/>
  <c r="CJ16" i="5"/>
  <c r="CL16" i="5"/>
  <c r="L16" i="5"/>
  <c r="CI16" i="5"/>
  <c r="CK17" i="5"/>
  <c r="CJ17" i="5"/>
  <c r="CI17" i="5"/>
  <c r="L17" i="5"/>
  <c r="CL17" i="5"/>
  <c r="L36" i="5"/>
  <c r="CK36" i="5"/>
  <c r="CJ36" i="5"/>
  <c r="CI36" i="5"/>
  <c r="CL36" i="5"/>
  <c r="CL9" i="5"/>
  <c r="CK9" i="5"/>
  <c r="CI9" i="5"/>
  <c r="L9" i="5"/>
  <c r="CJ9" i="5"/>
  <c r="CL14" i="5"/>
  <c r="L14" i="5"/>
  <c r="CJ14" i="5"/>
  <c r="CK14" i="5"/>
  <c r="CI14" i="5"/>
  <c r="CI12" i="5"/>
  <c r="CL12" i="5"/>
  <c r="CK12" i="5"/>
  <c r="CJ12" i="5"/>
  <c r="L12" i="5"/>
  <c r="L19" i="5"/>
  <c r="CL19" i="5"/>
  <c r="CI19" i="5"/>
  <c r="CK19" i="5"/>
  <c r="CJ19" i="5"/>
  <c r="CJ39" i="5"/>
  <c r="CK39" i="5"/>
  <c r="CI39" i="5"/>
  <c r="CL39" i="5"/>
  <c r="L39" i="5"/>
  <c r="L48" i="5"/>
  <c r="CK22" i="5"/>
  <c r="CJ22" i="5"/>
  <c r="CI22" i="5"/>
  <c r="L22" i="5"/>
  <c r="CL22" i="5"/>
  <c r="L42" i="5"/>
  <c r="CK42" i="5"/>
  <c r="CL42" i="5"/>
  <c r="CI42" i="5"/>
  <c r="CJ42" i="5"/>
  <c r="CI13" i="5"/>
  <c r="CL13" i="5"/>
  <c r="L13" i="5"/>
  <c r="CK13" i="5"/>
  <c r="CJ13" i="5"/>
  <c r="CJ35" i="5"/>
  <c r="CL35" i="5"/>
  <c r="CK35" i="5"/>
  <c r="L35" i="5"/>
  <c r="CI35" i="5"/>
  <c r="CI18" i="5"/>
  <c r="CK18" i="5"/>
  <c r="CL18" i="5"/>
  <c r="L18" i="5"/>
  <c r="CJ18" i="5"/>
  <c r="CI31" i="5"/>
  <c r="CL31" i="5"/>
  <c r="CK31" i="5"/>
  <c r="L31" i="5"/>
  <c r="CJ31" i="5"/>
  <c r="CJ5" i="5"/>
  <c r="L5" i="5"/>
  <c r="CL5" i="5"/>
  <c r="CK5" i="5"/>
  <c r="CI5" i="5"/>
  <c r="CK37" i="5"/>
  <c r="CL37" i="5"/>
  <c r="CI37" i="5"/>
  <c r="L37" i="5"/>
  <c r="CJ37" i="5"/>
  <c r="CK46" i="5"/>
  <c r="CJ46" i="5"/>
  <c r="CL46" i="5"/>
  <c r="CI46" i="5"/>
  <c r="L46" i="5"/>
  <c r="L4" i="5"/>
  <c r="CL4" i="5"/>
  <c r="CI4" i="5"/>
  <c r="CJ4" i="5"/>
  <c r="CK4" i="5"/>
  <c r="B18" i="6"/>
  <c r="E35" i="6" l="1"/>
  <c r="F446" i="1" a="1"/>
  <c r="F446" i="1" s="1"/>
  <c r="Q12" i="1" s="1"/>
  <c r="B446" i="1" a="1"/>
  <c r="B446" i="1" s="1"/>
  <c r="Q7" i="1" s="1"/>
  <c r="E22" i="6"/>
  <c r="F22" i="6"/>
  <c r="O22" i="6" s="1"/>
  <c r="R22" i="6" s="1"/>
  <c r="U22" i="6" s="1"/>
  <c r="B23" i="6"/>
  <c r="B24" i="6" s="1"/>
  <c r="E21" i="6"/>
  <c r="C22" i="6"/>
  <c r="C23" i="6"/>
  <c r="B21" i="6"/>
  <c r="B22" i="6" s="1"/>
  <c r="E18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<sst xmlns="http://schemas.openxmlformats.org/spreadsheetml/2006/main" count="713" uniqueCount="296">
  <si>
    <t>DL</t>
  </si>
  <si>
    <t>stem</t>
  </si>
  <si>
    <t>t,stem</t>
  </si>
  <si>
    <t>in</t>
  </si>
  <si>
    <t>h,stem</t>
  </si>
  <si>
    <t>Stem</t>
  </si>
  <si>
    <t>Stem:</t>
  </si>
  <si>
    <t>ft</t>
  </si>
  <si>
    <t>pcf</t>
  </si>
  <si>
    <t>SW</t>
  </si>
  <si>
    <t>Foundation:</t>
  </si>
  <si>
    <t>t,fnd</t>
  </si>
  <si>
    <t>L,right</t>
  </si>
  <si>
    <t>L,left</t>
  </si>
  <si>
    <t>B,fnd</t>
  </si>
  <si>
    <t>lbs/ft @</t>
  </si>
  <si>
    <t>High Soil: (assumed to occur over the L,left extension)</t>
  </si>
  <si>
    <t>K</t>
  </si>
  <si>
    <t>K,surcharge</t>
  </si>
  <si>
    <t>Soil Density</t>
  </si>
  <si>
    <t>H,soil</t>
  </si>
  <si>
    <t>Height from t/fnd</t>
  </si>
  <si>
    <t>H', soil</t>
  </si>
  <si>
    <t>height from b/fnd</t>
  </si>
  <si>
    <t>v,soil</t>
  </si>
  <si>
    <t>psf/ft</t>
  </si>
  <si>
    <t>V,soil</t>
  </si>
  <si>
    <t>Surcharge</t>
  </si>
  <si>
    <t>PSF</t>
  </si>
  <si>
    <t>LL</t>
  </si>
  <si>
    <t>v,s</t>
  </si>
  <si>
    <t>V,s</t>
  </si>
  <si>
    <t>H,ignore</t>
  </si>
  <si>
    <t>Additional Vertical Loads</t>
  </si>
  <si>
    <t>KLF</t>
  </si>
  <si>
    <t>X (ft)</t>
  </si>
  <si>
    <t>(0,0) is the bottom left of the foundation</t>
  </si>
  <si>
    <t>Type</t>
  </si>
  <si>
    <t>Load Types</t>
  </si>
  <si>
    <t>F</t>
  </si>
  <si>
    <t>H</t>
  </si>
  <si>
    <t>LLr</t>
  </si>
  <si>
    <t>S</t>
  </si>
  <si>
    <t>R</t>
  </si>
  <si>
    <t>W1</t>
  </si>
  <si>
    <t>W2</t>
  </si>
  <si>
    <t>E1</t>
  </si>
  <si>
    <t>E2</t>
  </si>
  <si>
    <t>Additional Horizontal Loads</t>
  </si>
  <si>
    <t>Y (ft)</t>
  </si>
  <si>
    <t>1V</t>
  </si>
  <si>
    <t>2V</t>
  </si>
  <si>
    <t>3V</t>
  </si>
  <si>
    <t>V</t>
  </si>
  <si>
    <t>4V</t>
  </si>
  <si>
    <t>5V</t>
  </si>
  <si>
    <t>6V</t>
  </si>
  <si>
    <t>7V</t>
  </si>
  <si>
    <t>8V</t>
  </si>
  <si>
    <t>9V</t>
  </si>
  <si>
    <t>10V</t>
  </si>
  <si>
    <t>1H</t>
  </si>
  <si>
    <t>2H</t>
  </si>
  <si>
    <t>3H</t>
  </si>
  <si>
    <t>4H</t>
  </si>
  <si>
    <t>5H</t>
  </si>
  <si>
    <t>6H</t>
  </si>
  <si>
    <t>7H</t>
  </si>
  <si>
    <t>8H</t>
  </si>
  <si>
    <t>9H</t>
  </si>
  <si>
    <t>10H</t>
  </si>
  <si>
    <t>Point A</t>
  </si>
  <si>
    <t>y</t>
  </si>
  <si>
    <t>x</t>
  </si>
  <si>
    <t>Sum of moments about the bottom right of the foundation, point A (CounterClockwise Positive)</t>
  </si>
  <si>
    <t>Source</t>
  </si>
  <si>
    <t>P</t>
  </si>
  <si>
    <t>Ma (k-ft)</t>
  </si>
  <si>
    <t>fnd</t>
  </si>
  <si>
    <t>x'(ft)</t>
  </si>
  <si>
    <t>P (klf)</t>
  </si>
  <si>
    <t>Vertical Loads:</t>
  </si>
  <si>
    <t>Left Soil</t>
  </si>
  <si>
    <t>Right Soil</t>
  </si>
  <si>
    <t>DL Surcharge</t>
  </si>
  <si>
    <t>LL Surcharge</t>
  </si>
  <si>
    <t>Foundation</t>
  </si>
  <si>
    <t>soil over footing</t>
  </si>
  <si>
    <t>Horizontal Loads:</t>
  </si>
  <si>
    <t>y'(ft)</t>
  </si>
  <si>
    <t>left soil</t>
  </si>
  <si>
    <t>right soil</t>
  </si>
  <si>
    <t>Hr</t>
  </si>
  <si>
    <t>Md</t>
  </si>
  <si>
    <t>Ms</t>
  </si>
  <si>
    <t>Overturning</t>
  </si>
  <si>
    <t>Friction</t>
  </si>
  <si>
    <t>Vf (klf)</t>
  </si>
  <si>
    <t xml:space="preserve">Aggregate Stabilizing(Ms) </t>
  </si>
  <si>
    <t>and Destabilizing (Md) Moments by Type</t>
  </si>
  <si>
    <t>Sliding</t>
  </si>
  <si>
    <t>Aggregate Stabilizing (Vs)</t>
  </si>
  <si>
    <t>and Destabilizing (Vd) horizontal forces by Type</t>
  </si>
  <si>
    <t>Vd</t>
  </si>
  <si>
    <t>Vs</t>
  </si>
  <si>
    <t>1807.2.3 Combos</t>
  </si>
  <si>
    <t>F.S.</t>
  </si>
  <si>
    <t>min</t>
  </si>
  <si>
    <t>max</t>
  </si>
  <si>
    <t>Sliding F.S.</t>
  </si>
  <si>
    <t>Overturning F.S.</t>
  </si>
  <si>
    <t>Soil Pressure</t>
  </si>
  <si>
    <t xml:space="preserve">Aggregate Vertical Loads </t>
  </si>
  <si>
    <t>and Moments about A to determine e for P*e</t>
  </si>
  <si>
    <t>Ma (ft-kips/ft)</t>
  </si>
  <si>
    <t>ASD/Basic Load Combindations</t>
  </si>
  <si>
    <t>IBC Eq.</t>
  </si>
  <si>
    <t>D</t>
  </si>
  <si>
    <t>L</t>
  </si>
  <si>
    <t>16-8</t>
  </si>
  <si>
    <t>16-9</t>
  </si>
  <si>
    <t>16-10Lr</t>
  </si>
  <si>
    <t>16-10S</t>
  </si>
  <si>
    <t>16-10R</t>
  </si>
  <si>
    <t>16-11Lr</t>
  </si>
  <si>
    <t>16-11S</t>
  </si>
  <si>
    <t>16-11R</t>
  </si>
  <si>
    <t>LRFD Load Combinations</t>
  </si>
  <si>
    <t>16-1</t>
  </si>
  <si>
    <t>16-2Lr</t>
  </si>
  <si>
    <t>16-2S</t>
  </si>
  <si>
    <t>16-2R</t>
  </si>
  <si>
    <t>16-3Lr_L</t>
  </si>
  <si>
    <t>16-3S_L</t>
  </si>
  <si>
    <t>16-3R_L</t>
  </si>
  <si>
    <t>Load Combination Variables:</t>
  </si>
  <si>
    <t>f1</t>
  </si>
  <si>
    <t>f2</t>
  </si>
  <si>
    <t>ASD Combo</t>
  </si>
  <si>
    <t>M</t>
  </si>
  <si>
    <t>e,a (ft)</t>
  </si>
  <si>
    <t>e,cl (ft)</t>
  </si>
  <si>
    <t>Kern:</t>
  </si>
  <si>
    <t>In Kern?</t>
  </si>
  <si>
    <t>Bearing Pressure</t>
  </si>
  <si>
    <t>q,left (ksf)</t>
  </si>
  <si>
    <t>e' (ft)</t>
  </si>
  <si>
    <t>q,right (ksf)</t>
  </si>
  <si>
    <t>xl (ft)</t>
  </si>
  <si>
    <t>xr (ft)</t>
  </si>
  <si>
    <t>LRFD Combo</t>
  </si>
  <si>
    <t>Ultimate Bearing Pressure</t>
  </si>
  <si>
    <t>Mu (ft-kips)</t>
  </si>
  <si>
    <t>M (ft-kips)</t>
  </si>
  <si>
    <t>V (kips)</t>
  </si>
  <si>
    <t>Vu (kips)</t>
  </si>
  <si>
    <t>Load Source</t>
  </si>
  <si>
    <t>P (kips)
M (ft-kips)
w1 (klf)</t>
  </si>
  <si>
    <t>w2 (klf)
e (ft) (for UDH)</t>
  </si>
  <si>
    <t>a (ft)</t>
  </si>
  <si>
    <t>b (ft)</t>
  </si>
  <si>
    <t>Kind</t>
  </si>
  <si>
    <t>POINT</t>
  </si>
  <si>
    <t>UDL</t>
  </si>
  <si>
    <t>TRAP</t>
  </si>
  <si>
    <t>step:</t>
  </si>
  <si>
    <t>Vmax</t>
  </si>
  <si>
    <t>Vmin</t>
  </si>
  <si>
    <t>Mmax</t>
  </si>
  <si>
    <t>Mmin</t>
  </si>
  <si>
    <t>MOMENT</t>
  </si>
  <si>
    <t>Foundation Shear and Moments</t>
  </si>
  <si>
    <t>Stem Left Face:</t>
  </si>
  <si>
    <t>Vu</t>
  </si>
  <si>
    <t>Mu+</t>
  </si>
  <si>
    <t>Mu-</t>
  </si>
  <si>
    <t>kips</t>
  </si>
  <si>
    <t>ft-kips</t>
  </si>
  <si>
    <t>Stem Right Face:</t>
  </si>
  <si>
    <t>Geometry</t>
  </si>
  <si>
    <t>** (0,0) is bottom left of foundation</t>
  </si>
  <si>
    <t>High Soil</t>
  </si>
  <si>
    <t>Low Soil</t>
  </si>
  <si>
    <t>Low Soil Ignore</t>
  </si>
  <si>
    <t>Hr - resisting lateral soil force</t>
  </si>
  <si>
    <t>Center of Stem</t>
  </si>
  <si>
    <t>Left Face of Stem</t>
  </si>
  <si>
    <t>Right Face of Stem</t>
  </si>
  <si>
    <t>T/Fnd</t>
  </si>
  <si>
    <t>T/Stem</t>
  </si>
  <si>
    <t>T/Low Soil</t>
  </si>
  <si>
    <t>Mid Ht of Stem Face</t>
  </si>
  <si>
    <t>V (klf)</t>
  </si>
  <si>
    <t>Stem Shear and Moment</t>
  </si>
  <si>
    <t>Qmax</t>
  </si>
  <si>
    <t>q,max</t>
  </si>
  <si>
    <t>e,0 (ft)</t>
  </si>
  <si>
    <t>Q,allow</t>
  </si>
  <si>
    <t>ksf</t>
  </si>
  <si>
    <t>allow</t>
  </si>
  <si>
    <t>16-12W1</t>
  </si>
  <si>
    <t>16-12W2</t>
  </si>
  <si>
    <t>16-12E1</t>
  </si>
  <si>
    <t>16-12E2</t>
  </si>
  <si>
    <t>16-13W1_Lr</t>
  </si>
  <si>
    <t>16-13W1_S</t>
  </si>
  <si>
    <t>16-13W1_R</t>
  </si>
  <si>
    <t>16-13W2_Lr</t>
  </si>
  <si>
    <t>16-13W2_S</t>
  </si>
  <si>
    <t>16-13W2_R</t>
  </si>
  <si>
    <t>16-14E1</t>
  </si>
  <si>
    <t>16-14E2</t>
  </si>
  <si>
    <t>16-15W1</t>
  </si>
  <si>
    <t>16-15W2</t>
  </si>
  <si>
    <t>16-16E1</t>
  </si>
  <si>
    <t>16-16E2</t>
  </si>
  <si>
    <t>16-3Lr_W1</t>
  </si>
  <si>
    <t>16-3S_W1</t>
  </si>
  <si>
    <t>16-3R_W1</t>
  </si>
  <si>
    <t>16-3Lr_W2</t>
  </si>
  <si>
    <t>16-3S_W2</t>
  </si>
  <si>
    <t>16-3R_W2</t>
  </si>
  <si>
    <t>16-4W1_Lr</t>
  </si>
  <si>
    <t>16-4W1_S</t>
  </si>
  <si>
    <t>16-4W1_R</t>
  </si>
  <si>
    <t>16-4W2_Lr</t>
  </si>
  <si>
    <t>16-4W2_S</t>
  </si>
  <si>
    <t>16-4W2_R</t>
  </si>
  <si>
    <t>16-5E1</t>
  </si>
  <si>
    <t>16-5E2</t>
  </si>
  <si>
    <t>16-6W1</t>
  </si>
  <si>
    <t>16-6W2</t>
  </si>
  <si>
    <t>16-7E1</t>
  </si>
  <si>
    <t>16-7E2</t>
  </si>
  <si>
    <t>ASD Bearing Pressure</t>
  </si>
  <si>
    <t>Stability Check per IBC 1807.2.3:</t>
  </si>
  <si>
    <t>Low Soil: (assumed to occur over the L,right Extension, **resisting lateral action for load combinations)</t>
  </si>
  <si>
    <t>Density</t>
  </si>
  <si>
    <t>Base Soil:</t>
  </si>
  <si>
    <t>EFP</t>
  </si>
  <si>
    <t>Loads and Nominal Shears and Moments</t>
  </si>
  <si>
    <t>H' over ftg</t>
  </si>
  <si>
    <t>M (kips)</t>
  </si>
  <si>
    <t>Stem Design Shear and Moments:</t>
  </si>
  <si>
    <t>Foundation Design Forces:</t>
  </si>
  <si>
    <t>Left Face of Stem:</t>
  </si>
  <si>
    <t>Right Face of Stem:</t>
  </si>
  <si>
    <t>Stem Design Forces:</t>
  </si>
  <si>
    <t>B,fnd = L,left + L,right + t,stem</t>
  </si>
  <si>
    <t>Q_asd_user</t>
  </si>
  <si>
    <t>View Soil Pressure for ASD Combo:</t>
  </si>
  <si>
    <t>View Soil Pressure for LRFD Combo:</t>
  </si>
  <si>
    <t>Q_LRFD_user</t>
  </si>
  <si>
    <t>Key:</t>
  </si>
  <si>
    <t>User Input</t>
  </si>
  <si>
    <t>Menu</t>
  </si>
  <si>
    <t>Calculated</t>
  </si>
  <si>
    <t>Constant</t>
  </si>
  <si>
    <t>fnd cl</t>
  </si>
  <si>
    <t>fnd Kern Left</t>
  </si>
  <si>
    <t>fnd Kern Right</t>
  </si>
  <si>
    <t>Wind</t>
  </si>
  <si>
    <t>Wp</t>
  </si>
  <si>
    <t>Wn</t>
  </si>
  <si>
    <t>psf</t>
  </si>
  <si>
    <t>H,exposed</t>
  </si>
  <si>
    <t>wp</t>
  </si>
  <si>
    <t>wn</t>
  </si>
  <si>
    <t>@</t>
  </si>
  <si>
    <t>ft from base</t>
  </si>
  <si>
    <t>kips/ft</t>
  </si>
  <si>
    <t xml:space="preserve">See below wind is assumed to act on exposed face of the </t>
  </si>
  <si>
    <t>low soil side.</t>
  </si>
  <si>
    <t>BSD 3-Clause License</t>
  </si>
  <si>
    <t>Copyright (c) 2020, open-struct-engineer</t>
  </si>
  <si>
    <t>All rights reserved.</t>
  </si>
  <si>
    <t>Redistribution and use in source and binary forms, with or without</t>
  </si>
  <si>
    <t>modification, are permitted provided that the following conditions are met:</t>
  </si>
  <si>
    <t>1. Redistributions of source code must retain the above copyright notice, this</t>
  </si>
  <si>
    <t>list of conditions and the following disclaimer.</t>
  </si>
  <si>
    <t>2. Redistributions in binary form must reproduce the above copyright notice,</t>
  </si>
  <si>
    <t>this list of conditions and the following disclaimer in the documentation</t>
  </si>
  <si>
    <t>and/or other materials provided with the distribution.</t>
  </si>
  <si>
    <t>3. Neither the name of the copyright holder nor the names of its</t>
  </si>
  <si>
    <t>contributors may be used to endorse or promote products derived from</t>
  </si>
  <si>
    <t>this software without specific prior written permission.</t>
  </si>
  <si>
    <t>THIS SOFTWARE IS PROVIDED BY THE COPYRIGHT HOLDERS AND CONTRIBUTORS "AS IS"</t>
  </si>
  <si>
    <t>AND ANY EXPRESS OR IMPLIED WARRANTIES, INCLUDING, BUT NOT LIMITED TO, THE</t>
  </si>
  <si>
    <t>IMPLIED WARRANTIES OF MERCHANTABILITY AND FITNESS FOR A PARTICULAR PURPOSE ARE</t>
  </si>
  <si>
    <t>DISCLAIMED. IN NO EVENT SHALL THE COPYRIGHT HOLDER OR CONTRIBUTORS BE LIABLE</t>
  </si>
  <si>
    <t>FOR ANY DIRECT, INDIRECT, INCIDENTAL, SPECIAL, EXEMPLARY, OR CONSEQUENTIAL</t>
  </si>
  <si>
    <t>DAMAGES (INCLUDING, BUT NOT LIMITED TO, PROCUREMENT OF SUBSTITUTE GOODS OR</t>
  </si>
  <si>
    <t>SERVICES; LOSS OF USE, DATA, OR PROFITS; OR BUSINESS INTERRUPTION) HOWEVER</t>
  </si>
  <si>
    <t>CAUSED AND ON ANY THEORY OF LIABILITY, WHETHER IN CONTRACT, STRICT LIABILITY,</t>
  </si>
  <si>
    <t>OR TORT (INCLUDING NEGLIGENCE OR OTHERWISE) ARISING IN ANY WAY OUT OF THE USE</t>
  </si>
  <si>
    <t>OF THIS SOFTWARE, EVEN IF ADVISED OF THE POSSIBILITY OF SUCH DAMAGE.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</si>
</sst>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9"/>
      <color theme="6" tint="-0.249977111117893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rgb="FF24292E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indent="1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4" borderId="0" xfId="0" applyFont="1" applyFill="1" applyAlignment="1">
      <alignment horizontal="center"/>
    </xf>
    <xf numFmtId="0" fontId="4" fillId="0" borderId="0" xfId="0" applyFont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1" fillId="0" borderId="0" xfId="0" applyFont="1" applyAlignment="1">
      <alignment horizontal="left" indent="1"/>
    </xf>
    <xf numFmtId="2" fontId="1" fillId="0" borderId="0" xfId="0" applyNumberFormat="1" applyFont="1" applyFill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6" fillId="0" borderId="0" xfId="0" applyFont="1" applyAlignment="1">
      <alignment horizontal="left" indent="1"/>
    </xf>
    <xf numFmtId="2" fontId="0" fillId="0" borderId="0" xfId="0" applyNumberFormat="1"/>
    <xf numFmtId="2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4" fontId="2" fillId="0" borderId="0" xfId="0" applyNumberFormat="1" applyFont="1"/>
    <xf numFmtId="164" fontId="2" fillId="0" borderId="0" xfId="0" applyNumberFormat="1" applyFont="1" applyBorder="1" applyAlignment="1">
      <alignment horizontal="center"/>
    </xf>
    <xf numFmtId="2" fontId="1" fillId="2" borderId="0" xfId="0" applyNumberFormat="1" applyFont="1" applyFill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  <protection locked="0"/>
    </xf>
    <xf numFmtId="164" fontId="1" fillId="2" borderId="0" xfId="0" applyNumberFormat="1" applyFont="1" applyFill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left" indent="1"/>
    </xf>
    <xf numFmtId="165" fontId="1" fillId="0" borderId="0" xfId="0" applyNumberFormat="1" applyFont="1"/>
    <xf numFmtId="164" fontId="2" fillId="0" borderId="0" xfId="0" applyNumberFormat="1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8" fillId="5" borderId="2" xfId="1" applyFont="1" applyFill="1" applyBorder="1" applyAlignment="1">
      <alignment vertical="top" wrapText="1" indent="1"/>
    </xf>
    <xf numFmtId="0" fontId="5" fillId="5" borderId="3" xfId="1" applyFont="1" applyFill="1" applyBorder="1"/>
    <xf numFmtId="0" fontId="7" fillId="0" borderId="0" xfId="1"/>
    <xf numFmtId="0" fontId="8" fillId="5" borderId="4" xfId="1" applyFont="1" applyFill="1" applyBorder="1" applyAlignment="1">
      <alignment horizontal="right" vertical="top" indent="1"/>
    </xf>
    <xf numFmtId="0" fontId="8" fillId="5" borderId="5" xfId="1" applyFont="1" applyFill="1" applyBorder="1" applyAlignment="1">
      <alignment vertical="top" wrapText="1" indent="1"/>
    </xf>
    <xf numFmtId="0" fontId="5" fillId="5" borderId="6" xfId="1" applyFont="1" applyFill="1" applyBorder="1"/>
    <xf numFmtId="0" fontId="5" fillId="5" borderId="7" xfId="1" applyFont="1" applyFill="1" applyBorder="1"/>
  </cellXfs>
  <cellStyles count="2">
    <cellStyle name="Normal" xfId="0" builtinId="0"/>
    <cellStyle name="Normal 2" xfId="1" xr:uid="{E1FD92EF-5B1D-4FDD-A5F0-9798F7E13C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Foundation Mu</a:t>
            </a:r>
            <a:r>
              <a:rPr lang="en-US" baseline="0"/>
              <a:t> Envelope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FND_BENDING_MOMENTS!$K$4:$K$24</c:f>
              <c:numCache>
                <c:formatCode>General</c:formatCode>
                <c:ptCount val="2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1.4999999999999998</c:v>
                </c:pt>
                <c:pt idx="11">
                  <c:v>1.6499999999999997</c:v>
                </c:pt>
                <c:pt idx="12">
                  <c:v>1.7999999999999996</c:v>
                </c:pt>
                <c:pt idx="13">
                  <c:v>1.9499999999999995</c:v>
                </c:pt>
                <c:pt idx="14">
                  <c:v>2.0999999999999996</c:v>
                </c:pt>
                <c:pt idx="15">
                  <c:v>2.2499999999999996</c:v>
                </c:pt>
                <c:pt idx="16">
                  <c:v>2.3999999999999995</c:v>
                </c:pt>
                <c:pt idx="17">
                  <c:v>2.5499999999999994</c:v>
                </c:pt>
                <c:pt idx="18">
                  <c:v>2.6999999999999993</c:v>
                </c:pt>
                <c:pt idx="19">
                  <c:v>2.8499999999999992</c:v>
                </c:pt>
                <c:pt idx="20">
                  <c:v>2.9999999999999991</c:v>
                </c:pt>
              </c:numCache>
            </c:numRef>
          </c:xVal>
          <c:yVal>
            <c:numRef>
              <c:f>FND_BENDING_MOMENTS!$CK$4:$CK$24</c:f>
              <c:numCache>
                <c:formatCode>General</c:formatCode>
                <c:ptCount val="21"/>
                <c:pt idx="0">
                  <c:v>0</c:v>
                </c:pt>
                <c:pt idx="1">
                  <c:v>1.9612409862038906E-3</c:v>
                </c:pt>
                <c:pt idx="2">
                  <c:v>7.7723553610150667E-3</c:v>
                </c:pt>
                <c:pt idx="3">
                  <c:v>1.73244302487328E-2</c:v>
                </c:pt>
                <c:pt idx="4">
                  <c:v>3.0508552773656467E-2</c:v>
                </c:pt>
                <c:pt idx="5">
                  <c:v>4.7215810060085295E-2</c:v>
                </c:pt>
                <c:pt idx="6">
                  <c:v>6.7337289232318798E-2</c:v>
                </c:pt>
                <c:pt idx="7">
                  <c:v>9.0764077414655309E-2</c:v>
                </c:pt>
                <c:pt idx="8">
                  <c:v>0.11738726173139524</c:v>
                </c:pt>
                <c:pt idx="9">
                  <c:v>0.14709792930683774</c:v>
                </c:pt>
                <c:pt idx="10">
                  <c:v>0.17978716726528177</c:v>
                </c:pt>
                <c:pt idx="11">
                  <c:v>0.2153460627310253</c:v>
                </c:pt>
                <c:pt idx="12">
                  <c:v>0.25366570282836998</c:v>
                </c:pt>
                <c:pt idx="13">
                  <c:v>0.29463717468161477</c:v>
                </c:pt>
                <c:pt idx="14">
                  <c:v>0.3381515654150582</c:v>
                </c:pt>
                <c:pt idx="15">
                  <c:v>0.38409996215299946</c:v>
                </c:pt>
                <c:pt idx="16">
                  <c:v>0.43237345201973687</c:v>
                </c:pt>
                <c:pt idx="17">
                  <c:v>0.48286312213957183</c:v>
                </c:pt>
                <c:pt idx="18">
                  <c:v>0.53546005963680265</c:v>
                </c:pt>
                <c:pt idx="19">
                  <c:v>0.59005535163572898</c:v>
                </c:pt>
                <c:pt idx="20">
                  <c:v>0.64654008526064821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11-4FA5-B95B-3462EDF6A0BB}"/>
            </c:ext>
          </c:extLst>
        </c:ser>
        <c:ser>
          <c:idx val="1"/>
          <c:order val="1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FND_BENDING_MOMENTS!$K$4:$K$24</c:f>
              <c:numCache>
                <c:formatCode>General</c:formatCode>
                <c:ptCount val="2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1.4999999999999998</c:v>
                </c:pt>
                <c:pt idx="11">
                  <c:v>1.6499999999999997</c:v>
                </c:pt>
                <c:pt idx="12">
                  <c:v>1.7999999999999996</c:v>
                </c:pt>
                <c:pt idx="13">
                  <c:v>1.9499999999999995</c:v>
                </c:pt>
                <c:pt idx="14">
                  <c:v>2.0999999999999996</c:v>
                </c:pt>
                <c:pt idx="15">
                  <c:v>2.2499999999999996</c:v>
                </c:pt>
                <c:pt idx="16">
                  <c:v>2.3999999999999995</c:v>
                </c:pt>
                <c:pt idx="17">
                  <c:v>2.5499999999999994</c:v>
                </c:pt>
                <c:pt idx="18">
                  <c:v>2.6999999999999993</c:v>
                </c:pt>
                <c:pt idx="19">
                  <c:v>2.8499999999999992</c:v>
                </c:pt>
                <c:pt idx="20">
                  <c:v>2.9999999999999991</c:v>
                </c:pt>
              </c:numCache>
            </c:numRef>
          </c:xVal>
          <c:yVal>
            <c:numRef>
              <c:f>FND_BENDING_MOMENTS!$CL$4:$CL$24</c:f>
              <c:numCache>
                <c:formatCode>General</c:formatCode>
                <c:ptCount val="21"/>
                <c:pt idx="0">
                  <c:v>0</c:v>
                </c:pt>
                <c:pt idx="1">
                  <c:v>-1.0717086190221787E-2</c:v>
                </c:pt>
                <c:pt idx="2">
                  <c:v>-4.2418329148325218E-2</c:v>
                </c:pt>
                <c:pt idx="3">
                  <c:v>-9.3803093122685144E-2</c:v>
                </c:pt>
                <c:pt idx="4">
                  <c:v>-0.16347722647700547</c:v>
                </c:pt>
                <c:pt idx="5">
                  <c:v>-0.25004657757498999</c:v>
                </c:pt>
                <c:pt idx="6">
                  <c:v>-0.35211699478034264</c:v>
                </c:pt>
                <c:pt idx="7">
                  <c:v>-0.46829432645676733</c:v>
                </c:pt>
                <c:pt idx="8">
                  <c:v>-0.59718442096796776</c:v>
                </c:pt>
                <c:pt idx="9">
                  <c:v>-0.73739312667764767</c:v>
                </c:pt>
                <c:pt idx="10">
                  <c:v>-0.88752629194951116</c:v>
                </c:pt>
                <c:pt idx="11">
                  <c:v>-1.0461897651472625</c:v>
                </c:pt>
                <c:pt idx="12">
                  <c:v>-1.2119893946346048</c:v>
                </c:pt>
                <c:pt idx="13">
                  <c:v>-1.3835310287752423</c:v>
                </c:pt>
                <c:pt idx="14">
                  <c:v>-1.5594205159328793</c:v>
                </c:pt>
                <c:pt idx="15">
                  <c:v>-1.7382637044712186</c:v>
                </c:pt>
                <c:pt idx="16">
                  <c:v>-1.9186664427539641</c:v>
                </c:pt>
                <c:pt idx="17">
                  <c:v>-2.0992345791448206</c:v>
                </c:pt>
                <c:pt idx="18">
                  <c:v>-2.2785739620074916</c:v>
                </c:pt>
                <c:pt idx="19">
                  <c:v>-2.4552904397056809</c:v>
                </c:pt>
                <c:pt idx="20">
                  <c:v>-2.6279898606030931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11-4FA5-B95B-3462EDF6A0BB}"/>
            </c:ext>
          </c:extLst>
        </c:ser>
        <c:ser>
          <c:idx val="2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FND_BENDING_MOMENTS!$K$28:$K$48</c:f>
              <c:numCache>
                <c:formatCode>General</c:formatCode>
                <c:ptCount val="21"/>
                <c:pt idx="0">
                  <c:v>3.6666666666666665</c:v>
                </c:pt>
                <c:pt idx="1">
                  <c:v>3.7416666666666667</c:v>
                </c:pt>
                <c:pt idx="2">
                  <c:v>3.8166666666666669</c:v>
                </c:pt>
                <c:pt idx="3">
                  <c:v>3.8916666666666671</c:v>
                </c:pt>
                <c:pt idx="4">
                  <c:v>3.9666666666666672</c:v>
                </c:pt>
                <c:pt idx="5">
                  <c:v>4.041666666666667</c:v>
                </c:pt>
                <c:pt idx="6">
                  <c:v>4.1166666666666671</c:v>
                </c:pt>
                <c:pt idx="7">
                  <c:v>4.1916666666666673</c:v>
                </c:pt>
                <c:pt idx="8">
                  <c:v>4.2666666666666675</c:v>
                </c:pt>
                <c:pt idx="9">
                  <c:v>4.3416666666666677</c:v>
                </c:pt>
                <c:pt idx="10">
                  <c:v>4.4166666666666679</c:v>
                </c:pt>
                <c:pt idx="11">
                  <c:v>4.491666666666668</c:v>
                </c:pt>
                <c:pt idx="12">
                  <c:v>4.5666666666666682</c:v>
                </c:pt>
                <c:pt idx="13">
                  <c:v>4.6416666666666684</c:v>
                </c:pt>
                <c:pt idx="14">
                  <c:v>4.7166666666666686</c:v>
                </c:pt>
                <c:pt idx="15">
                  <c:v>4.7916666666666687</c:v>
                </c:pt>
                <c:pt idx="16">
                  <c:v>4.8666666666666689</c:v>
                </c:pt>
                <c:pt idx="17">
                  <c:v>4.9416666666666691</c:v>
                </c:pt>
                <c:pt idx="18">
                  <c:v>5.0166666666666693</c:v>
                </c:pt>
                <c:pt idx="19">
                  <c:v>5.0916666666666694</c:v>
                </c:pt>
                <c:pt idx="20">
                  <c:v>5.1666666666666696</c:v>
                </c:pt>
              </c:numCache>
            </c:numRef>
          </c:xVal>
          <c:yVal>
            <c:numRef>
              <c:f>FND_BENDING_MOMENTS!$CK$28:$CK$48</c:f>
              <c:numCache>
                <c:formatCode>General</c:formatCode>
                <c:ptCount val="21"/>
                <c:pt idx="0">
                  <c:v>1.5457141086848871</c:v>
                </c:pt>
                <c:pt idx="1">
                  <c:v>1.4054921651860859</c:v>
                </c:pt>
                <c:pt idx="2">
                  <c:v>1.2708494751247565</c:v>
                </c:pt>
                <c:pt idx="3">
                  <c:v>1.1419603074554292</c:v>
                </c:pt>
                <c:pt idx="4">
                  <c:v>1.0189989311326411</c:v>
                </c:pt>
                <c:pt idx="5">
                  <c:v>0.90213961511093999</c:v>
                </c:pt>
                <c:pt idx="6">
                  <c:v>0.79155662834484986</c:v>
                </c:pt>
                <c:pt idx="7">
                  <c:v>0.68742423978891587</c:v>
                </c:pt>
                <c:pt idx="8">
                  <c:v>0.58991671839766724</c:v>
                </c:pt>
                <c:pt idx="9">
                  <c:v>0.49920833312564744</c:v>
                </c:pt>
                <c:pt idx="10">
                  <c:v>0.41547335292739446</c:v>
                </c:pt>
                <c:pt idx="11">
                  <c:v>0.33888604675743933</c:v>
                </c:pt>
                <c:pt idx="12">
                  <c:v>0.26962068357031838</c:v>
                </c:pt>
                <c:pt idx="13">
                  <c:v>0.20785153232058212</c:v>
                </c:pt>
                <c:pt idx="14">
                  <c:v>0.15375286196274912</c:v>
                </c:pt>
                <c:pt idx="15">
                  <c:v>0.10749894145137168</c:v>
                </c:pt>
                <c:pt idx="16">
                  <c:v>6.9264039740977112E-2</c:v>
                </c:pt>
                <c:pt idx="17">
                  <c:v>3.9222425786107296E-2</c:v>
                </c:pt>
                <c:pt idx="18">
                  <c:v>1.7548368541294879E-2</c:v>
                </c:pt>
                <c:pt idx="19">
                  <c:v>4.4161369610779544E-3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11-4FA5-B95B-3462EDF6A0BB}"/>
            </c:ext>
          </c:extLst>
        </c:ser>
        <c:ser>
          <c:idx val="3"/>
          <c:order val="3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FND_BENDING_MOMENTS!$K$28:$K$48</c:f>
              <c:numCache>
                <c:formatCode>General</c:formatCode>
                <c:ptCount val="21"/>
                <c:pt idx="0">
                  <c:v>3.6666666666666665</c:v>
                </c:pt>
                <c:pt idx="1">
                  <c:v>3.7416666666666667</c:v>
                </c:pt>
                <c:pt idx="2">
                  <c:v>3.8166666666666669</c:v>
                </c:pt>
                <c:pt idx="3">
                  <c:v>3.8916666666666671</c:v>
                </c:pt>
                <c:pt idx="4">
                  <c:v>3.9666666666666672</c:v>
                </c:pt>
                <c:pt idx="5">
                  <c:v>4.041666666666667</c:v>
                </c:pt>
                <c:pt idx="6">
                  <c:v>4.1166666666666671</c:v>
                </c:pt>
                <c:pt idx="7">
                  <c:v>4.1916666666666673</c:v>
                </c:pt>
                <c:pt idx="8">
                  <c:v>4.2666666666666675</c:v>
                </c:pt>
                <c:pt idx="9">
                  <c:v>4.3416666666666677</c:v>
                </c:pt>
                <c:pt idx="10">
                  <c:v>4.4166666666666679</c:v>
                </c:pt>
                <c:pt idx="11">
                  <c:v>4.491666666666668</c:v>
                </c:pt>
                <c:pt idx="12">
                  <c:v>4.5666666666666682</c:v>
                </c:pt>
                <c:pt idx="13">
                  <c:v>4.6416666666666684</c:v>
                </c:pt>
                <c:pt idx="14">
                  <c:v>4.7166666666666686</c:v>
                </c:pt>
                <c:pt idx="15">
                  <c:v>4.7916666666666687</c:v>
                </c:pt>
                <c:pt idx="16">
                  <c:v>4.8666666666666689</c:v>
                </c:pt>
                <c:pt idx="17">
                  <c:v>4.9416666666666691</c:v>
                </c:pt>
                <c:pt idx="18">
                  <c:v>5.0166666666666693</c:v>
                </c:pt>
                <c:pt idx="19">
                  <c:v>5.0916666666666694</c:v>
                </c:pt>
                <c:pt idx="20">
                  <c:v>5.1666666666666696</c:v>
                </c:pt>
              </c:numCache>
            </c:numRef>
          </c:xVal>
          <c:yVal>
            <c:numRef>
              <c:f>FND_BENDING_MOMENTS!$CL$28:$CL$48</c:f>
              <c:numCache>
                <c:formatCode>General</c:formatCode>
                <c:ptCount val="21"/>
                <c:pt idx="0">
                  <c:v>0.50348268352858527</c:v>
                </c:pt>
                <c:pt idx="1">
                  <c:v>0.45528282846006324</c:v>
                </c:pt>
                <c:pt idx="2">
                  <c:v>0.4094180092840119</c:v>
                </c:pt>
                <c:pt idx="3">
                  <c:v>0.36590301336733561</c:v>
                </c:pt>
                <c:pt idx="4">
                  <c:v>0.324752628076936</c:v>
                </c:pt>
                <c:pt idx="5">
                  <c:v>0.28598164077972449</c:v>
                </c:pt>
                <c:pt idx="6">
                  <c:v>0.24960483884260271</c:v>
                </c:pt>
                <c:pt idx="7">
                  <c:v>0.2156370096324785</c:v>
                </c:pt>
                <c:pt idx="8">
                  <c:v>0.18409294051626418</c:v>
                </c:pt>
                <c:pt idx="9">
                  <c:v>0.15498741886085604</c:v>
                </c:pt>
                <c:pt idx="10">
                  <c:v>0.12833523203316727</c:v>
                </c:pt>
                <c:pt idx="11">
                  <c:v>0.10415116740009595</c:v>
                </c:pt>
                <c:pt idx="12">
                  <c:v>8.2450012328553479E-2</c:v>
                </c:pt>
                <c:pt idx="13">
                  <c:v>6.324655418545394E-2</c:v>
                </c:pt>
                <c:pt idx="14">
                  <c:v>4.6555580337682978E-2</c:v>
                </c:pt>
                <c:pt idx="15">
                  <c:v>3.2391878152166209E-2</c:v>
                </c:pt>
                <c:pt idx="16">
                  <c:v>2.0770234995804382E-2</c:v>
                </c:pt>
                <c:pt idx="17">
                  <c:v>1.1705438235498244E-2</c:v>
                </c:pt>
                <c:pt idx="18">
                  <c:v>5.2122752381574267E-3</c:v>
                </c:pt>
                <c:pt idx="19">
                  <c:v>1.3055333706880057E-3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11-4FA5-B95B-3462EDF6A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149008"/>
        <c:axId val="1070092416"/>
      </c:scatterChart>
      <c:valAx>
        <c:axId val="76614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092416"/>
        <c:crosses val="autoZero"/>
        <c:crossBetween val="midCat"/>
      </c:valAx>
      <c:valAx>
        <c:axId val="107009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4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PLOT_DATA!$A$5</c:f>
              <c:strCache>
                <c:ptCount val="1"/>
                <c:pt idx="0">
                  <c:v>Foundation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PLOT_DATA!$A$7:$A$11</c:f>
              <c:numCache>
                <c:formatCode>General</c:formatCode>
                <c:ptCount val="5"/>
                <c:pt idx="0">
                  <c:v>0</c:v>
                </c:pt>
                <c:pt idx="1">
                  <c:v>5.166666666666667</c:v>
                </c:pt>
                <c:pt idx="2">
                  <c:v>5.166666666666667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PLOT_DATA!$B$7:$B$11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1.3333333333333333</c:v>
                </c:pt>
                <c:pt idx="3">
                  <c:v>1.3333333333333333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F-4EC2-8DE2-33C75E2951F6}"/>
            </c:ext>
          </c:extLst>
        </c:ser>
        <c:ser>
          <c:idx val="1"/>
          <c:order val="1"/>
          <c:tx>
            <c:strRef>
              <c:f>PLOT_DATA!$D$5</c:f>
              <c:strCache>
                <c:ptCount val="1"/>
                <c:pt idx="0">
                  <c:v>Stem</c:v>
                </c:pt>
              </c:strCache>
            </c:strRef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PLOT_DATA!$D$7:$D$11</c:f>
              <c:numCache>
                <c:formatCode>General</c:formatCode>
                <c:ptCount val="5"/>
                <c:pt idx="0">
                  <c:v>3</c:v>
                </c:pt>
                <c:pt idx="1">
                  <c:v>3.6666666666666665</c:v>
                </c:pt>
                <c:pt idx="2">
                  <c:v>3.6666666666666665</c:v>
                </c:pt>
                <c:pt idx="3">
                  <c:v>3</c:v>
                </c:pt>
                <c:pt idx="4">
                  <c:v>3</c:v>
                </c:pt>
              </c:numCache>
            </c:numRef>
          </c:xVal>
          <c:yVal>
            <c:numRef>
              <c:f>PLOT_DATA!$E$7:$E$11</c:f>
              <c:numCache>
                <c:formatCode>General</c:formatCode>
                <c:ptCount val="5"/>
                <c:pt idx="0">
                  <c:v>1.3333333333333333</c:v>
                </c:pt>
                <c:pt idx="1">
                  <c:v>1.3333333333333333</c:v>
                </c:pt>
                <c:pt idx="2" formatCode="0.00">
                  <c:v>6.333333333333333</c:v>
                </c:pt>
                <c:pt idx="3">
                  <c:v>6.333333333333333</c:v>
                </c:pt>
                <c:pt idx="4">
                  <c:v>1.3333333333333333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F-4EC2-8DE2-33C75E2951F6}"/>
            </c:ext>
          </c:extLst>
        </c:ser>
        <c:ser>
          <c:idx val="2"/>
          <c:order val="2"/>
          <c:tx>
            <c:strRef>
              <c:f>PLOT_DATA!$G$5</c:f>
              <c:strCache>
                <c:ptCount val="1"/>
                <c:pt idx="0">
                  <c:v>High Soil</c:v>
                </c:pt>
              </c:strCache>
            </c:strRef>
          </c:tx>
          <c:spPr>
            <a:ln w="158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PLOT_DATA!$G$7:$G$11</c:f>
              <c:numCache>
                <c:formatCode>General</c:formatCode>
                <c:ptCount val="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PLOT_DATA!$H$7:$H$11</c:f>
              <c:numCache>
                <c:formatCode>General</c:formatCode>
                <c:ptCount val="5"/>
                <c:pt idx="0">
                  <c:v>1.3333333333333333</c:v>
                </c:pt>
                <c:pt idx="1">
                  <c:v>1.3333333333333333</c:v>
                </c:pt>
                <c:pt idx="2" formatCode="0.00">
                  <c:v>6.333333333333333</c:v>
                </c:pt>
                <c:pt idx="3">
                  <c:v>6.333333333333333</c:v>
                </c:pt>
                <c:pt idx="4">
                  <c:v>1.3333333333333333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6F-4EC2-8DE2-33C75E2951F6}"/>
            </c:ext>
          </c:extLst>
        </c:ser>
        <c:ser>
          <c:idx val="3"/>
          <c:order val="3"/>
          <c:tx>
            <c:strRef>
              <c:f>PLOT_DATA!$J$5</c:f>
              <c:strCache>
                <c:ptCount val="1"/>
                <c:pt idx="0">
                  <c:v>Low Soil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PLOT_DATA!$J$7:$J$13</c:f>
              <c:numCache>
                <c:formatCode>General</c:formatCode>
                <c:ptCount val="7"/>
                <c:pt idx="0">
                  <c:v>5.166666666666667</c:v>
                </c:pt>
                <c:pt idx="1">
                  <c:v>6.166666666666667</c:v>
                </c:pt>
                <c:pt idx="2">
                  <c:v>6.166666666666667</c:v>
                </c:pt>
                <c:pt idx="3">
                  <c:v>3.666666666666667</c:v>
                </c:pt>
                <c:pt idx="4">
                  <c:v>3.666666666666667</c:v>
                </c:pt>
                <c:pt idx="5">
                  <c:v>5.166666666666667</c:v>
                </c:pt>
                <c:pt idx="6">
                  <c:v>5.166666666666667</c:v>
                </c:pt>
              </c:numCache>
            </c:numRef>
          </c:xVal>
          <c:yVal>
            <c:numRef>
              <c:f>PLOT_DATA!$K$7:$K$13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3.333333333333333</c:v>
                </c:pt>
                <c:pt idx="3">
                  <c:v>3.333333333333333</c:v>
                </c:pt>
                <c:pt idx="4">
                  <c:v>1.3333333333333333</c:v>
                </c:pt>
                <c:pt idx="5">
                  <c:v>1.3333333333333333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6F-4EC2-8DE2-33C75E2951F6}"/>
            </c:ext>
          </c:extLst>
        </c:ser>
        <c:ser>
          <c:idx val="4"/>
          <c:order val="4"/>
          <c:tx>
            <c:strRef>
              <c:f>PLOT_DATA!$M$5</c:f>
              <c:strCache>
                <c:ptCount val="1"/>
                <c:pt idx="0">
                  <c:v>Low Soil Ignore</c:v>
                </c:pt>
              </c:strCache>
            </c:strRef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PLOT_DATA!$M$7:$M$13</c:f>
              <c:numCache>
                <c:formatCode>General</c:formatCode>
                <c:ptCount val="7"/>
                <c:pt idx="0">
                  <c:v>3.666666666666667</c:v>
                </c:pt>
                <c:pt idx="1">
                  <c:v>6.166666666666667</c:v>
                </c:pt>
                <c:pt idx="2">
                  <c:v>6.166666666666667</c:v>
                </c:pt>
                <c:pt idx="3">
                  <c:v>5.166666666666667</c:v>
                </c:pt>
                <c:pt idx="4">
                  <c:v>5.166666666666667</c:v>
                </c:pt>
                <c:pt idx="5">
                  <c:v>3.666666666666667</c:v>
                </c:pt>
                <c:pt idx="6">
                  <c:v>3.666666666666667</c:v>
                </c:pt>
              </c:numCache>
            </c:numRef>
          </c:xVal>
          <c:yVal>
            <c:numRef>
              <c:f>PLOT_DATA!$N$7:$N$13</c:f>
              <c:numCache>
                <c:formatCode>0.00</c:formatCode>
                <c:ptCount val="7"/>
                <c:pt idx="0">
                  <c:v>4.333333333333333</c:v>
                </c:pt>
                <c:pt idx="1">
                  <c:v>4.333333333333333</c:v>
                </c:pt>
                <c:pt idx="2">
                  <c:v>3.333333333333333</c:v>
                </c:pt>
                <c:pt idx="3">
                  <c:v>3.333333333333333</c:v>
                </c:pt>
                <c:pt idx="4" formatCode="General">
                  <c:v>3.333333333333333</c:v>
                </c:pt>
                <c:pt idx="5" formatCode="General">
                  <c:v>3.333333333333333</c:v>
                </c:pt>
                <c:pt idx="6">
                  <c:v>4.333333333333333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6F-4EC2-8DE2-33C75E295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508016"/>
        <c:axId val="828924096"/>
      </c:scatterChart>
      <c:valAx>
        <c:axId val="81850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924096"/>
        <c:crosses val="autoZero"/>
        <c:crossBetween val="midCat"/>
      </c:valAx>
      <c:valAx>
        <c:axId val="82892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508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PLOT_DATA!$E$18</c:f>
          <c:strCache>
            <c:ptCount val="1"/>
            <c:pt idx="0">
              <c:v>Q,max: 1529.28 psf - Combo: 16-13W1_Lr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PLOT_DATA!$A$18</c:f>
              <c:strCache>
                <c:ptCount val="1"/>
                <c:pt idx="0">
                  <c:v>Qmax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  <a:headEnd type="stealth"/>
              <a:tailEnd type="stealth"/>
            </a:ln>
            <a:effectLst/>
          </c:spPr>
          <c:marker>
            <c:symbol val="none"/>
          </c:marker>
          <c:xVal>
            <c:numRef>
              <c:f>PLOT_DATA!$B$21:$B$24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5.166666666666667</c:v>
                </c:pt>
                <c:pt idx="3">
                  <c:v>5.166666666666667</c:v>
                </c:pt>
              </c:numCache>
            </c:numRef>
          </c:xVal>
          <c:yVal>
            <c:numRef>
              <c:f>PLOT_DATA!$C$21:$C$24</c:f>
              <c:numCache>
                <c:formatCode>General</c:formatCode>
                <c:ptCount val="4"/>
                <c:pt idx="0">
                  <c:v>0</c:v>
                </c:pt>
                <c:pt idx="1">
                  <c:v>-193.19315990287907</c:v>
                </c:pt>
                <c:pt idx="2">
                  <c:v>-1529.2799583766907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36-4C71-8D0D-81871704976C}"/>
            </c:ext>
          </c:extLst>
        </c:ser>
        <c:ser>
          <c:idx val="1"/>
          <c:order val="1"/>
          <c:tx>
            <c:strRef>
              <c:f>PLOT_DATA!$E$19</c:f>
              <c:strCache>
                <c:ptCount val="1"/>
                <c:pt idx="0">
                  <c:v>P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  <a:headEnd type="stealth" w="lg" len="lg"/>
            </a:ln>
            <a:effectLst/>
          </c:spPr>
          <c:marker>
            <c:symbol val="none"/>
          </c:marker>
          <c:xVal>
            <c:numRef>
              <c:f>PLOT_DATA!$E$21:$E$22</c:f>
              <c:numCache>
                <c:formatCode>General</c:formatCode>
                <c:ptCount val="2"/>
                <c:pt idx="0">
                  <c:v>3.2512794251271062</c:v>
                </c:pt>
                <c:pt idx="1">
                  <c:v>3.2512794251271062</c:v>
                </c:pt>
              </c:numCache>
            </c:numRef>
          </c:xVal>
          <c:yVal>
            <c:numRef>
              <c:f>PLOT_DATA!$F$21:$F$22</c:f>
              <c:numCache>
                <c:formatCode>General</c:formatCode>
                <c:ptCount val="2"/>
                <c:pt idx="0">
                  <c:v>0</c:v>
                </c:pt>
                <c:pt idx="1">
                  <c:v>4.4497222222222224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36-4C71-8D0D-81871704976C}"/>
            </c:ext>
          </c:extLst>
        </c:ser>
        <c:ser>
          <c:idx val="2"/>
          <c:order val="2"/>
          <c:tx>
            <c:strRef>
              <c:f>PLOT_DATA!$H$19</c:f>
              <c:strCache>
                <c:ptCount val="1"/>
                <c:pt idx="0">
                  <c:v>fnd</c:v>
                </c:pt>
              </c:strCache>
            </c:strRef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PLOT_DATA!$H$21:$H$22</c:f>
              <c:numCache>
                <c:formatCode>General</c:formatCode>
                <c:ptCount val="2"/>
                <c:pt idx="0">
                  <c:v>0</c:v>
                </c:pt>
                <c:pt idx="1">
                  <c:v>5.166666666666667</c:v>
                </c:pt>
              </c:numCache>
            </c:numRef>
          </c:xVal>
          <c:yVal>
            <c:numRef>
              <c:f>PLOT_DATA!$I$21:$I$22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36-4C71-8D0D-81871704976C}"/>
            </c:ext>
          </c:extLst>
        </c:ser>
        <c:ser>
          <c:idx val="3"/>
          <c:order val="3"/>
          <c:tx>
            <c:strRef>
              <c:f>PLOT_DATA!$K$19</c:f>
              <c:strCache>
                <c:ptCount val="1"/>
                <c:pt idx="0">
                  <c:v>allow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PLOT_DATA!$K$21:$K$22</c:f>
              <c:numCache>
                <c:formatCode>General</c:formatCode>
                <c:ptCount val="2"/>
                <c:pt idx="0">
                  <c:v>0</c:v>
                </c:pt>
                <c:pt idx="1">
                  <c:v>5.166666666666667</c:v>
                </c:pt>
              </c:numCache>
            </c:numRef>
          </c:xVal>
          <c:yVal>
            <c:numRef>
              <c:f>PLOT_DATA!$L$21:$L$22</c:f>
              <c:numCache>
                <c:formatCode>General</c:formatCode>
                <c:ptCount val="2"/>
                <c:pt idx="0">
                  <c:v>-3000</c:v>
                </c:pt>
                <c:pt idx="1">
                  <c:v>-3000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36-4C71-8D0D-81871704976C}"/>
            </c:ext>
          </c:extLst>
        </c:ser>
        <c:ser>
          <c:idx val="4"/>
          <c:order val="4"/>
          <c:tx>
            <c:strRef>
              <c:f>PLOT_DATA!$N$19</c:f>
              <c:strCache>
                <c:ptCount val="1"/>
                <c:pt idx="0">
                  <c:v>fnd cl</c:v>
                </c:pt>
              </c:strCache>
            </c:strRef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PLOT_DATA!$N$21:$N$22</c:f>
              <c:numCache>
                <c:formatCode>General</c:formatCode>
                <c:ptCount val="2"/>
                <c:pt idx="0">
                  <c:v>2.5833333333333335</c:v>
                </c:pt>
                <c:pt idx="1">
                  <c:v>2.5833333333333335</c:v>
                </c:pt>
              </c:numCache>
            </c:numRef>
          </c:xVal>
          <c:yVal>
            <c:numRef>
              <c:f>PLOT_DATA!$O$21:$O$22</c:f>
              <c:numCache>
                <c:formatCode>General</c:formatCode>
                <c:ptCount val="2"/>
                <c:pt idx="0">
                  <c:v>-3000</c:v>
                </c:pt>
                <c:pt idx="1">
                  <c:v>104.44972222222222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36-4C71-8D0D-81871704976C}"/>
            </c:ext>
          </c:extLst>
        </c:ser>
        <c:ser>
          <c:idx val="5"/>
          <c:order val="5"/>
          <c:tx>
            <c:strRef>
              <c:f>PLOT_DATA!$Q$19</c:f>
              <c:strCache>
                <c:ptCount val="1"/>
                <c:pt idx="0">
                  <c:v>fnd Kern Right</c:v>
                </c:pt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PLOT_DATA!$Q$21:$Q$22</c:f>
              <c:numCache>
                <c:formatCode>General</c:formatCode>
                <c:ptCount val="2"/>
                <c:pt idx="0">
                  <c:v>3.4444444444444446</c:v>
                </c:pt>
                <c:pt idx="1">
                  <c:v>3.4444444444444446</c:v>
                </c:pt>
              </c:numCache>
            </c:numRef>
          </c:xVal>
          <c:yVal>
            <c:numRef>
              <c:f>PLOT_DATA!$R$21:$R$22</c:f>
              <c:numCache>
                <c:formatCode>General</c:formatCode>
                <c:ptCount val="2"/>
                <c:pt idx="0">
                  <c:v>-3000</c:v>
                </c:pt>
                <c:pt idx="1">
                  <c:v>104.44972222222222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436-4C71-8D0D-81871704976C}"/>
            </c:ext>
          </c:extLst>
        </c:ser>
        <c:ser>
          <c:idx val="6"/>
          <c:order val="6"/>
          <c:tx>
            <c:strRef>
              <c:f>PLOT_DATA!$T$19</c:f>
              <c:strCache>
                <c:ptCount val="1"/>
                <c:pt idx="0">
                  <c:v>fnd Kern Left</c:v>
                </c:pt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PLOT_DATA!$T$21:$T$22</c:f>
              <c:numCache>
                <c:formatCode>General</c:formatCode>
                <c:ptCount val="2"/>
                <c:pt idx="0">
                  <c:v>1.7222222222222223</c:v>
                </c:pt>
                <c:pt idx="1">
                  <c:v>1.7222222222222223</c:v>
                </c:pt>
              </c:numCache>
            </c:numRef>
          </c:xVal>
          <c:yVal>
            <c:numRef>
              <c:f>PLOT_DATA!$U$21:$U$22</c:f>
              <c:numCache>
                <c:formatCode>General</c:formatCode>
                <c:ptCount val="2"/>
                <c:pt idx="0">
                  <c:v>-3000</c:v>
                </c:pt>
                <c:pt idx="1">
                  <c:v>104.44972222222222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436-4C71-8D0D-818717049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192336"/>
        <c:axId val="970702464"/>
      </c:scatterChart>
      <c:valAx>
        <c:axId val="966192336"/>
        <c:scaling>
          <c:orientation val="minMax"/>
          <c:min val="-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702464"/>
        <c:crosses val="autoZero"/>
        <c:crossBetween val="midCat"/>
      </c:valAx>
      <c:valAx>
        <c:axId val="97070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19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PLOT_DATA!$E$26</c:f>
          <c:strCache>
            <c:ptCount val="1"/>
            <c:pt idx="0">
              <c:v>Q,asd: 1444.37 psf - Combo: 16-9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PLOT_DATA!$A$26</c:f>
              <c:strCache>
                <c:ptCount val="1"/>
                <c:pt idx="0">
                  <c:v>Q_asd_user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  <a:headEnd type="stealth" w="med" len="lg"/>
              <a:tailEnd type="stealth" w="med" len="lg"/>
            </a:ln>
            <a:effectLst/>
          </c:spPr>
          <c:marker>
            <c:symbol val="none"/>
          </c:marker>
          <c:xVal>
            <c:numRef>
              <c:f>PLOT_DATA!$B$29:$B$32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5.166666666666667</c:v>
                </c:pt>
                <c:pt idx="3">
                  <c:v>5.166666666666667</c:v>
                </c:pt>
              </c:numCache>
            </c:numRef>
          </c:xVal>
          <c:yVal>
            <c:numRef>
              <c:f>PLOT_DATA!$C$29:$C$32</c:f>
              <c:numCache>
                <c:formatCode>General</c:formatCode>
                <c:ptCount val="4"/>
                <c:pt idx="0">
                  <c:v>0</c:v>
                </c:pt>
                <c:pt idx="1">
                  <c:v>-292.62046479361766</c:v>
                </c:pt>
                <c:pt idx="2">
                  <c:v>-1444.3687825182105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46-43B0-9F16-3B06EE60F13E}"/>
            </c:ext>
          </c:extLst>
        </c:ser>
        <c:ser>
          <c:idx val="1"/>
          <c:order val="1"/>
          <c:tx>
            <c:strRef>
              <c:f>PLOT_DATA!$E$27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  <a:headEnd type="stealth" w="lg" len="lg"/>
            </a:ln>
            <a:effectLst/>
          </c:spPr>
          <c:marker>
            <c:symbol val="none"/>
          </c:marker>
          <c:xVal>
            <c:numRef>
              <c:f>PLOT_DATA!$E$29:$E$30</c:f>
              <c:numCache>
                <c:formatCode>General</c:formatCode>
                <c:ptCount val="2"/>
                <c:pt idx="0">
                  <c:v>3.1543116943859797</c:v>
                </c:pt>
                <c:pt idx="1">
                  <c:v>3.1543116943859797</c:v>
                </c:pt>
              </c:numCache>
            </c:numRef>
          </c:xVal>
          <c:yVal>
            <c:numRef>
              <c:f>PLOT_DATA!$F$29:$F$30</c:f>
              <c:numCache>
                <c:formatCode>General</c:formatCode>
                <c:ptCount val="2"/>
                <c:pt idx="0">
                  <c:v>0</c:v>
                </c:pt>
                <c:pt idx="1">
                  <c:v>4.4872222222222229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46-43B0-9F16-3B06EE60F13E}"/>
            </c:ext>
          </c:extLst>
        </c:ser>
        <c:ser>
          <c:idx val="2"/>
          <c:order val="2"/>
          <c:tx>
            <c:strRef>
              <c:f>PLOT_DATA!$H$19</c:f>
              <c:strCache>
                <c:ptCount val="1"/>
                <c:pt idx="0">
                  <c:v>fnd</c:v>
                </c:pt>
              </c:strCache>
            </c:strRef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PLOT_DATA!$H$21:$H$22</c:f>
              <c:numCache>
                <c:formatCode>General</c:formatCode>
                <c:ptCount val="2"/>
                <c:pt idx="0">
                  <c:v>0</c:v>
                </c:pt>
                <c:pt idx="1">
                  <c:v>5.166666666666667</c:v>
                </c:pt>
              </c:numCache>
            </c:numRef>
          </c:xVal>
          <c:yVal>
            <c:numRef>
              <c:f>PLOT_DATA!$I$21:$I$22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46-43B0-9F16-3B06EE60F13E}"/>
            </c:ext>
          </c:extLst>
        </c:ser>
        <c:ser>
          <c:idx val="3"/>
          <c:order val="3"/>
          <c:tx>
            <c:strRef>
              <c:f>PLOT_DATA!$K$19</c:f>
              <c:strCache>
                <c:ptCount val="1"/>
                <c:pt idx="0">
                  <c:v>allow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PLOT_DATA!$K$21:$K$22</c:f>
              <c:numCache>
                <c:formatCode>General</c:formatCode>
                <c:ptCount val="2"/>
                <c:pt idx="0">
                  <c:v>0</c:v>
                </c:pt>
                <c:pt idx="1">
                  <c:v>5.166666666666667</c:v>
                </c:pt>
              </c:numCache>
            </c:numRef>
          </c:xVal>
          <c:yVal>
            <c:numRef>
              <c:f>PLOT_DATA!$L$21:$L$22</c:f>
              <c:numCache>
                <c:formatCode>General</c:formatCode>
                <c:ptCount val="2"/>
                <c:pt idx="0">
                  <c:v>-3000</c:v>
                </c:pt>
                <c:pt idx="1">
                  <c:v>-3000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46-43B0-9F16-3B06EE60F13E}"/>
            </c:ext>
          </c:extLst>
        </c:ser>
        <c:ser>
          <c:idx val="4"/>
          <c:order val="4"/>
          <c:tx>
            <c:strRef>
              <c:f>PLOT_DATA!$N$27</c:f>
              <c:strCache>
                <c:ptCount val="1"/>
                <c:pt idx="0">
                  <c:v>fnd cl</c:v>
                </c:pt>
              </c:strCache>
            </c:strRef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PLOT_DATA!$N$29:$N$30</c:f>
              <c:numCache>
                <c:formatCode>General</c:formatCode>
                <c:ptCount val="2"/>
                <c:pt idx="0">
                  <c:v>2.5833333333333335</c:v>
                </c:pt>
                <c:pt idx="1">
                  <c:v>2.5833333333333335</c:v>
                </c:pt>
              </c:numCache>
            </c:numRef>
          </c:xVal>
          <c:yVal>
            <c:numRef>
              <c:f>PLOT_DATA!$O$29:$O$30</c:f>
              <c:numCache>
                <c:formatCode>General</c:formatCode>
                <c:ptCount val="2"/>
                <c:pt idx="0">
                  <c:v>-3000</c:v>
                </c:pt>
                <c:pt idx="1">
                  <c:v>104.48722222222223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46-43B0-9F16-3B06EE60F13E}"/>
            </c:ext>
          </c:extLst>
        </c:ser>
        <c:ser>
          <c:idx val="5"/>
          <c:order val="5"/>
          <c:tx>
            <c:strRef>
              <c:f>PLOT_DATA!$Q$27</c:f>
              <c:strCache>
                <c:ptCount val="1"/>
                <c:pt idx="0">
                  <c:v>fnd Kern Right</c:v>
                </c:pt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PLOT_DATA!$Q$29:$Q$30</c:f>
              <c:numCache>
                <c:formatCode>General</c:formatCode>
                <c:ptCount val="2"/>
                <c:pt idx="0">
                  <c:v>3.4444444444444446</c:v>
                </c:pt>
                <c:pt idx="1">
                  <c:v>3.4444444444444446</c:v>
                </c:pt>
              </c:numCache>
            </c:numRef>
          </c:xVal>
          <c:yVal>
            <c:numRef>
              <c:f>PLOT_DATA!$R$29:$R$30</c:f>
              <c:numCache>
                <c:formatCode>General</c:formatCode>
                <c:ptCount val="2"/>
                <c:pt idx="0">
                  <c:v>-3000</c:v>
                </c:pt>
                <c:pt idx="1">
                  <c:v>104.48722222222223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46-43B0-9F16-3B06EE60F13E}"/>
            </c:ext>
          </c:extLst>
        </c:ser>
        <c:ser>
          <c:idx val="6"/>
          <c:order val="6"/>
          <c:tx>
            <c:strRef>
              <c:f>PLOT_DATA!$T$27</c:f>
              <c:strCache>
                <c:ptCount val="1"/>
                <c:pt idx="0">
                  <c:v>fnd Kern Left</c:v>
                </c:pt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PLOT_DATA!$T$29:$T$30</c:f>
              <c:numCache>
                <c:formatCode>General</c:formatCode>
                <c:ptCount val="2"/>
                <c:pt idx="0">
                  <c:v>1.7222222222222223</c:v>
                </c:pt>
                <c:pt idx="1">
                  <c:v>1.7222222222222223</c:v>
                </c:pt>
              </c:numCache>
            </c:numRef>
          </c:xVal>
          <c:yVal>
            <c:numRef>
              <c:f>PLOT_DATA!$U$29:$U$30</c:f>
              <c:numCache>
                <c:formatCode>General</c:formatCode>
                <c:ptCount val="2"/>
                <c:pt idx="0">
                  <c:v>-3000</c:v>
                </c:pt>
                <c:pt idx="1">
                  <c:v>104.48722222222223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46-43B0-9F16-3B06EE60F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192336"/>
        <c:axId val="970702464"/>
      </c:scatterChart>
      <c:valAx>
        <c:axId val="966192336"/>
        <c:scaling>
          <c:orientation val="minMax"/>
          <c:min val="-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702464"/>
        <c:crosses val="autoZero"/>
        <c:crossBetween val="midCat"/>
      </c:valAx>
      <c:valAx>
        <c:axId val="97070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19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PLOT_DATA!$E$35</c:f>
          <c:strCache>
            <c:ptCount val="1"/>
            <c:pt idx="0">
              <c:v>Q,LRFD: 1956.14 psf - Combo: 16-2S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PLOT_DATA!$A$35</c:f>
              <c:strCache>
                <c:ptCount val="1"/>
                <c:pt idx="0">
                  <c:v>Q_LRFD_user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  <a:headEnd type="stealth" w="med" len="lg"/>
              <a:tailEnd type="stealth" w="med" len="lg"/>
            </a:ln>
            <a:effectLst/>
          </c:spPr>
          <c:marker>
            <c:symbol val="none"/>
          </c:marker>
          <c:xVal>
            <c:numRef>
              <c:f>PLOT_DATA!$B$38:$B$41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5.166666666666667</c:v>
                </c:pt>
                <c:pt idx="3">
                  <c:v>5.166666666666667</c:v>
                </c:pt>
              </c:numCache>
            </c:numRef>
          </c:xVal>
          <c:yVal>
            <c:numRef>
              <c:f>PLOT_DATA!$C$38:$C$41</c:f>
              <c:numCache>
                <c:formatCode>General</c:formatCode>
                <c:ptCount val="4"/>
                <c:pt idx="0">
                  <c:v>0</c:v>
                </c:pt>
                <c:pt idx="1">
                  <c:v>-151.47776621574769</c:v>
                </c:pt>
                <c:pt idx="2">
                  <c:v>-1956.135137010059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80-4239-AA9A-B6304ADD7934}"/>
            </c:ext>
          </c:extLst>
        </c:ser>
        <c:ser>
          <c:idx val="1"/>
          <c:order val="1"/>
          <c:tx>
            <c:strRef>
              <c:f>PLOT_DATA!$E$36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  <a:headEnd type="stealth" w="lg" len="lg"/>
            </a:ln>
            <a:effectLst/>
          </c:spPr>
          <c:marker>
            <c:symbol val="none"/>
          </c:marker>
          <c:xVal>
            <c:numRef>
              <c:f>PLOT_DATA!$E$38:$E$39</c:f>
              <c:numCache>
                <c:formatCode>General</c:formatCode>
                <c:ptCount val="2"/>
                <c:pt idx="0">
                  <c:v>3.3206653696674513</c:v>
                </c:pt>
                <c:pt idx="1">
                  <c:v>3.3206653696674513</c:v>
                </c:pt>
              </c:numCache>
            </c:numRef>
          </c:xVal>
          <c:yVal>
            <c:numRef>
              <c:f>PLOT_DATA!$F$38:$F$39</c:f>
              <c:numCache>
                <c:formatCode>General</c:formatCode>
                <c:ptCount val="2"/>
                <c:pt idx="0">
                  <c:v>0</c:v>
                </c:pt>
                <c:pt idx="1">
                  <c:v>5.4446666666666674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80-4239-AA9A-B6304ADD7934}"/>
            </c:ext>
          </c:extLst>
        </c:ser>
        <c:ser>
          <c:idx val="2"/>
          <c:order val="2"/>
          <c:tx>
            <c:strRef>
              <c:f>PLOT_DATA!$H$19</c:f>
              <c:strCache>
                <c:ptCount val="1"/>
                <c:pt idx="0">
                  <c:v>fnd</c:v>
                </c:pt>
              </c:strCache>
            </c:strRef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PLOT_DATA!$H$21:$H$22</c:f>
              <c:numCache>
                <c:formatCode>General</c:formatCode>
                <c:ptCount val="2"/>
                <c:pt idx="0">
                  <c:v>0</c:v>
                </c:pt>
                <c:pt idx="1">
                  <c:v>5.166666666666667</c:v>
                </c:pt>
              </c:numCache>
            </c:numRef>
          </c:xVal>
          <c:yVal>
            <c:numRef>
              <c:f>PLOT_DATA!$I$21:$I$22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80-4239-AA9A-B6304ADD7934}"/>
            </c:ext>
          </c:extLst>
        </c:ser>
        <c:ser>
          <c:idx val="3"/>
          <c:order val="3"/>
          <c:tx>
            <c:strRef>
              <c:f>PLOT_DATA!$N$36</c:f>
              <c:strCache>
                <c:ptCount val="1"/>
                <c:pt idx="0">
                  <c:v>fnd cl</c:v>
                </c:pt>
              </c:strCache>
            </c:strRef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PLOT_DATA!$N$38:$N$39</c:f>
              <c:numCache>
                <c:formatCode>General</c:formatCode>
                <c:ptCount val="2"/>
                <c:pt idx="0">
                  <c:v>2.5833333333333335</c:v>
                </c:pt>
                <c:pt idx="1">
                  <c:v>2.5833333333333335</c:v>
                </c:pt>
              </c:numCache>
            </c:numRef>
          </c:xVal>
          <c:yVal>
            <c:numRef>
              <c:f>PLOT_DATA!$O$38:$O$39</c:f>
              <c:numCache>
                <c:formatCode>General</c:formatCode>
                <c:ptCount val="2"/>
                <c:pt idx="0">
                  <c:v>-3000</c:v>
                </c:pt>
                <c:pt idx="1">
                  <c:v>105.44466666666666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080-4239-AA9A-B6304ADD7934}"/>
            </c:ext>
          </c:extLst>
        </c:ser>
        <c:ser>
          <c:idx val="4"/>
          <c:order val="4"/>
          <c:tx>
            <c:strRef>
              <c:f>PLOT_DATA!$Q$36</c:f>
              <c:strCache>
                <c:ptCount val="1"/>
                <c:pt idx="0">
                  <c:v>fnd Kern Right</c:v>
                </c:pt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PLOT_DATA!$Q$38:$Q$39</c:f>
              <c:numCache>
                <c:formatCode>General</c:formatCode>
                <c:ptCount val="2"/>
                <c:pt idx="0">
                  <c:v>3.4444444444444446</c:v>
                </c:pt>
                <c:pt idx="1">
                  <c:v>3.4444444444444446</c:v>
                </c:pt>
              </c:numCache>
            </c:numRef>
          </c:xVal>
          <c:yVal>
            <c:numRef>
              <c:f>PLOT_DATA!$R$38:$R$39</c:f>
              <c:numCache>
                <c:formatCode>General</c:formatCode>
                <c:ptCount val="2"/>
                <c:pt idx="0">
                  <c:v>-3000</c:v>
                </c:pt>
                <c:pt idx="1">
                  <c:v>105.44466666666666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080-4239-AA9A-B6304ADD7934}"/>
            </c:ext>
          </c:extLst>
        </c:ser>
        <c:ser>
          <c:idx val="5"/>
          <c:order val="5"/>
          <c:tx>
            <c:strRef>
              <c:f>PLOT_DATA!$T$36</c:f>
              <c:strCache>
                <c:ptCount val="1"/>
                <c:pt idx="0">
                  <c:v>fnd Kern Left</c:v>
                </c:pt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PLOT_DATA!$T$38:$T$39</c:f>
              <c:numCache>
                <c:formatCode>General</c:formatCode>
                <c:ptCount val="2"/>
                <c:pt idx="0">
                  <c:v>1.7222222222222223</c:v>
                </c:pt>
                <c:pt idx="1">
                  <c:v>1.7222222222222223</c:v>
                </c:pt>
              </c:numCache>
            </c:numRef>
          </c:xVal>
          <c:yVal>
            <c:numRef>
              <c:f>PLOT_DATA!$U$38:$U$39</c:f>
              <c:numCache>
                <c:formatCode>General</c:formatCode>
                <c:ptCount val="2"/>
                <c:pt idx="0">
                  <c:v>-3000</c:v>
                </c:pt>
                <c:pt idx="1">
                  <c:v>105.44466666666666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080-4239-AA9A-B6304ADD7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192336"/>
        <c:axId val="970702464"/>
      </c:scatterChart>
      <c:valAx>
        <c:axId val="966192336"/>
        <c:scaling>
          <c:orientation val="minMax"/>
          <c:min val="-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702464"/>
        <c:crosses val="autoZero"/>
        <c:crossBetween val="midCat"/>
      </c:valAx>
      <c:valAx>
        <c:axId val="97070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19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Foundation Mu</a:t>
            </a:r>
            <a:r>
              <a:rPr lang="en-US" baseline="0"/>
              <a:t> Envelope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FND_BENDING_MOMENTS!$K$4:$K$24</c:f>
              <c:numCache>
                <c:formatCode>General</c:formatCode>
                <c:ptCount val="2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1.4999999999999998</c:v>
                </c:pt>
                <c:pt idx="11">
                  <c:v>1.6499999999999997</c:v>
                </c:pt>
                <c:pt idx="12">
                  <c:v>1.7999999999999996</c:v>
                </c:pt>
                <c:pt idx="13">
                  <c:v>1.9499999999999995</c:v>
                </c:pt>
                <c:pt idx="14">
                  <c:v>2.0999999999999996</c:v>
                </c:pt>
                <c:pt idx="15">
                  <c:v>2.2499999999999996</c:v>
                </c:pt>
                <c:pt idx="16">
                  <c:v>2.3999999999999995</c:v>
                </c:pt>
                <c:pt idx="17">
                  <c:v>2.5499999999999994</c:v>
                </c:pt>
                <c:pt idx="18">
                  <c:v>2.6999999999999993</c:v>
                </c:pt>
                <c:pt idx="19">
                  <c:v>2.8499999999999992</c:v>
                </c:pt>
                <c:pt idx="20">
                  <c:v>2.9999999999999991</c:v>
                </c:pt>
              </c:numCache>
            </c:numRef>
          </c:xVal>
          <c:yVal>
            <c:numRef>
              <c:f>FND_BENDING_MOMENTS!$CK$4:$CK$24</c:f>
              <c:numCache>
                <c:formatCode>General</c:formatCode>
                <c:ptCount val="21"/>
                <c:pt idx="0">
                  <c:v>0</c:v>
                </c:pt>
                <c:pt idx="1">
                  <c:v>1.9612409862038906E-3</c:v>
                </c:pt>
                <c:pt idx="2">
                  <c:v>7.7723553610150667E-3</c:v>
                </c:pt>
                <c:pt idx="3">
                  <c:v>1.73244302487328E-2</c:v>
                </c:pt>
                <c:pt idx="4">
                  <c:v>3.0508552773656467E-2</c:v>
                </c:pt>
                <c:pt idx="5">
                  <c:v>4.7215810060085295E-2</c:v>
                </c:pt>
                <c:pt idx="6">
                  <c:v>6.7337289232318798E-2</c:v>
                </c:pt>
                <c:pt idx="7">
                  <c:v>9.0764077414655309E-2</c:v>
                </c:pt>
                <c:pt idx="8">
                  <c:v>0.11738726173139524</c:v>
                </c:pt>
                <c:pt idx="9">
                  <c:v>0.14709792930683774</c:v>
                </c:pt>
                <c:pt idx="10">
                  <c:v>0.17978716726528177</c:v>
                </c:pt>
                <c:pt idx="11">
                  <c:v>0.2153460627310253</c:v>
                </c:pt>
                <c:pt idx="12">
                  <c:v>0.25366570282836998</c:v>
                </c:pt>
                <c:pt idx="13">
                  <c:v>0.29463717468161477</c:v>
                </c:pt>
                <c:pt idx="14">
                  <c:v>0.3381515654150582</c:v>
                </c:pt>
                <c:pt idx="15">
                  <c:v>0.38409996215299946</c:v>
                </c:pt>
                <c:pt idx="16">
                  <c:v>0.43237345201973687</c:v>
                </c:pt>
                <c:pt idx="17">
                  <c:v>0.48286312213957183</c:v>
                </c:pt>
                <c:pt idx="18">
                  <c:v>0.53546005963680265</c:v>
                </c:pt>
                <c:pt idx="19">
                  <c:v>0.59005535163572898</c:v>
                </c:pt>
                <c:pt idx="20">
                  <c:v>0.64654008526064821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8-4746-B0D2-4726F56A8421}"/>
            </c:ext>
          </c:extLst>
        </c:ser>
        <c:ser>
          <c:idx val="1"/>
          <c:order val="1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FND_BENDING_MOMENTS!$K$4:$K$24</c:f>
              <c:numCache>
                <c:formatCode>General</c:formatCode>
                <c:ptCount val="2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1.4999999999999998</c:v>
                </c:pt>
                <c:pt idx="11">
                  <c:v>1.6499999999999997</c:v>
                </c:pt>
                <c:pt idx="12">
                  <c:v>1.7999999999999996</c:v>
                </c:pt>
                <c:pt idx="13">
                  <c:v>1.9499999999999995</c:v>
                </c:pt>
                <c:pt idx="14">
                  <c:v>2.0999999999999996</c:v>
                </c:pt>
                <c:pt idx="15">
                  <c:v>2.2499999999999996</c:v>
                </c:pt>
                <c:pt idx="16">
                  <c:v>2.3999999999999995</c:v>
                </c:pt>
                <c:pt idx="17">
                  <c:v>2.5499999999999994</c:v>
                </c:pt>
                <c:pt idx="18">
                  <c:v>2.6999999999999993</c:v>
                </c:pt>
                <c:pt idx="19">
                  <c:v>2.8499999999999992</c:v>
                </c:pt>
                <c:pt idx="20">
                  <c:v>2.9999999999999991</c:v>
                </c:pt>
              </c:numCache>
            </c:numRef>
          </c:xVal>
          <c:yVal>
            <c:numRef>
              <c:f>FND_BENDING_MOMENTS!$CL$4:$CL$24</c:f>
              <c:numCache>
                <c:formatCode>General</c:formatCode>
                <c:ptCount val="21"/>
                <c:pt idx="0">
                  <c:v>0</c:v>
                </c:pt>
                <c:pt idx="1">
                  <c:v>-1.0717086190221787E-2</c:v>
                </c:pt>
                <c:pt idx="2">
                  <c:v>-4.2418329148325218E-2</c:v>
                </c:pt>
                <c:pt idx="3">
                  <c:v>-9.3803093122685144E-2</c:v>
                </c:pt>
                <c:pt idx="4">
                  <c:v>-0.16347722647700547</c:v>
                </c:pt>
                <c:pt idx="5">
                  <c:v>-0.25004657757498999</c:v>
                </c:pt>
                <c:pt idx="6">
                  <c:v>-0.35211699478034264</c:v>
                </c:pt>
                <c:pt idx="7">
                  <c:v>-0.46829432645676733</c:v>
                </c:pt>
                <c:pt idx="8">
                  <c:v>-0.59718442096796776</c:v>
                </c:pt>
                <c:pt idx="9">
                  <c:v>-0.73739312667764767</c:v>
                </c:pt>
                <c:pt idx="10">
                  <c:v>-0.88752629194951116</c:v>
                </c:pt>
                <c:pt idx="11">
                  <c:v>-1.0461897651472625</c:v>
                </c:pt>
                <c:pt idx="12">
                  <c:v>-1.2119893946346048</c:v>
                </c:pt>
                <c:pt idx="13">
                  <c:v>-1.3835310287752423</c:v>
                </c:pt>
                <c:pt idx="14">
                  <c:v>-1.5594205159328793</c:v>
                </c:pt>
                <c:pt idx="15">
                  <c:v>-1.7382637044712186</c:v>
                </c:pt>
                <c:pt idx="16">
                  <c:v>-1.9186664427539641</c:v>
                </c:pt>
                <c:pt idx="17">
                  <c:v>-2.0992345791448206</c:v>
                </c:pt>
                <c:pt idx="18">
                  <c:v>-2.2785739620074916</c:v>
                </c:pt>
                <c:pt idx="19">
                  <c:v>-2.4552904397056809</c:v>
                </c:pt>
                <c:pt idx="20">
                  <c:v>-2.6279898606030931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98-4746-B0D2-4726F56A8421}"/>
            </c:ext>
          </c:extLst>
        </c:ser>
        <c:ser>
          <c:idx val="2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FND_BENDING_MOMENTS!$K$28:$K$48</c:f>
              <c:numCache>
                <c:formatCode>General</c:formatCode>
                <c:ptCount val="21"/>
                <c:pt idx="0">
                  <c:v>3.6666666666666665</c:v>
                </c:pt>
                <c:pt idx="1">
                  <c:v>3.7416666666666667</c:v>
                </c:pt>
                <c:pt idx="2">
                  <c:v>3.8166666666666669</c:v>
                </c:pt>
                <c:pt idx="3">
                  <c:v>3.8916666666666671</c:v>
                </c:pt>
                <c:pt idx="4">
                  <c:v>3.9666666666666672</c:v>
                </c:pt>
                <c:pt idx="5">
                  <c:v>4.041666666666667</c:v>
                </c:pt>
                <c:pt idx="6">
                  <c:v>4.1166666666666671</c:v>
                </c:pt>
                <c:pt idx="7">
                  <c:v>4.1916666666666673</c:v>
                </c:pt>
                <c:pt idx="8">
                  <c:v>4.2666666666666675</c:v>
                </c:pt>
                <c:pt idx="9">
                  <c:v>4.3416666666666677</c:v>
                </c:pt>
                <c:pt idx="10">
                  <c:v>4.4166666666666679</c:v>
                </c:pt>
                <c:pt idx="11">
                  <c:v>4.491666666666668</c:v>
                </c:pt>
                <c:pt idx="12">
                  <c:v>4.5666666666666682</c:v>
                </c:pt>
                <c:pt idx="13">
                  <c:v>4.6416666666666684</c:v>
                </c:pt>
                <c:pt idx="14">
                  <c:v>4.7166666666666686</c:v>
                </c:pt>
                <c:pt idx="15">
                  <c:v>4.7916666666666687</c:v>
                </c:pt>
                <c:pt idx="16">
                  <c:v>4.8666666666666689</c:v>
                </c:pt>
                <c:pt idx="17">
                  <c:v>4.9416666666666691</c:v>
                </c:pt>
                <c:pt idx="18">
                  <c:v>5.0166666666666693</c:v>
                </c:pt>
                <c:pt idx="19">
                  <c:v>5.0916666666666694</c:v>
                </c:pt>
                <c:pt idx="20">
                  <c:v>5.1666666666666696</c:v>
                </c:pt>
              </c:numCache>
            </c:numRef>
          </c:xVal>
          <c:yVal>
            <c:numRef>
              <c:f>FND_BENDING_MOMENTS!$CK$28:$CK$48</c:f>
              <c:numCache>
                <c:formatCode>General</c:formatCode>
                <c:ptCount val="21"/>
                <c:pt idx="0">
                  <c:v>1.5457141086848871</c:v>
                </c:pt>
                <c:pt idx="1">
                  <c:v>1.4054921651860859</c:v>
                </c:pt>
                <c:pt idx="2">
                  <c:v>1.2708494751247565</c:v>
                </c:pt>
                <c:pt idx="3">
                  <c:v>1.1419603074554292</c:v>
                </c:pt>
                <c:pt idx="4">
                  <c:v>1.0189989311326411</c:v>
                </c:pt>
                <c:pt idx="5">
                  <c:v>0.90213961511093999</c:v>
                </c:pt>
                <c:pt idx="6">
                  <c:v>0.79155662834484986</c:v>
                </c:pt>
                <c:pt idx="7">
                  <c:v>0.68742423978891587</c:v>
                </c:pt>
                <c:pt idx="8">
                  <c:v>0.58991671839766724</c:v>
                </c:pt>
                <c:pt idx="9">
                  <c:v>0.49920833312564744</c:v>
                </c:pt>
                <c:pt idx="10">
                  <c:v>0.41547335292739446</c:v>
                </c:pt>
                <c:pt idx="11">
                  <c:v>0.33888604675743933</c:v>
                </c:pt>
                <c:pt idx="12">
                  <c:v>0.26962068357031838</c:v>
                </c:pt>
                <c:pt idx="13">
                  <c:v>0.20785153232058212</c:v>
                </c:pt>
                <c:pt idx="14">
                  <c:v>0.15375286196274912</c:v>
                </c:pt>
                <c:pt idx="15">
                  <c:v>0.10749894145137168</c:v>
                </c:pt>
                <c:pt idx="16">
                  <c:v>6.9264039740977112E-2</c:v>
                </c:pt>
                <c:pt idx="17">
                  <c:v>3.9222425786107296E-2</c:v>
                </c:pt>
                <c:pt idx="18">
                  <c:v>1.7548368541294879E-2</c:v>
                </c:pt>
                <c:pt idx="19">
                  <c:v>4.4161369610779544E-3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98-4746-B0D2-4726F56A8421}"/>
            </c:ext>
          </c:extLst>
        </c:ser>
        <c:ser>
          <c:idx val="3"/>
          <c:order val="3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FND_BENDING_MOMENTS!$K$28:$K$48</c:f>
              <c:numCache>
                <c:formatCode>General</c:formatCode>
                <c:ptCount val="21"/>
                <c:pt idx="0">
                  <c:v>3.6666666666666665</c:v>
                </c:pt>
                <c:pt idx="1">
                  <c:v>3.7416666666666667</c:v>
                </c:pt>
                <c:pt idx="2">
                  <c:v>3.8166666666666669</c:v>
                </c:pt>
                <c:pt idx="3">
                  <c:v>3.8916666666666671</c:v>
                </c:pt>
                <c:pt idx="4">
                  <c:v>3.9666666666666672</c:v>
                </c:pt>
                <c:pt idx="5">
                  <c:v>4.041666666666667</c:v>
                </c:pt>
                <c:pt idx="6">
                  <c:v>4.1166666666666671</c:v>
                </c:pt>
                <c:pt idx="7">
                  <c:v>4.1916666666666673</c:v>
                </c:pt>
                <c:pt idx="8">
                  <c:v>4.2666666666666675</c:v>
                </c:pt>
                <c:pt idx="9">
                  <c:v>4.3416666666666677</c:v>
                </c:pt>
                <c:pt idx="10">
                  <c:v>4.4166666666666679</c:v>
                </c:pt>
                <c:pt idx="11">
                  <c:v>4.491666666666668</c:v>
                </c:pt>
                <c:pt idx="12">
                  <c:v>4.5666666666666682</c:v>
                </c:pt>
                <c:pt idx="13">
                  <c:v>4.6416666666666684</c:v>
                </c:pt>
                <c:pt idx="14">
                  <c:v>4.7166666666666686</c:v>
                </c:pt>
                <c:pt idx="15">
                  <c:v>4.7916666666666687</c:v>
                </c:pt>
                <c:pt idx="16">
                  <c:v>4.8666666666666689</c:v>
                </c:pt>
                <c:pt idx="17">
                  <c:v>4.9416666666666691</c:v>
                </c:pt>
                <c:pt idx="18">
                  <c:v>5.0166666666666693</c:v>
                </c:pt>
                <c:pt idx="19">
                  <c:v>5.0916666666666694</c:v>
                </c:pt>
                <c:pt idx="20">
                  <c:v>5.1666666666666696</c:v>
                </c:pt>
              </c:numCache>
            </c:numRef>
          </c:xVal>
          <c:yVal>
            <c:numRef>
              <c:f>FND_BENDING_MOMENTS!$CL$28:$CL$48</c:f>
              <c:numCache>
                <c:formatCode>General</c:formatCode>
                <c:ptCount val="21"/>
                <c:pt idx="0">
                  <c:v>0.50348268352858527</c:v>
                </c:pt>
                <c:pt idx="1">
                  <c:v>0.45528282846006324</c:v>
                </c:pt>
                <c:pt idx="2">
                  <c:v>0.4094180092840119</c:v>
                </c:pt>
                <c:pt idx="3">
                  <c:v>0.36590301336733561</c:v>
                </c:pt>
                <c:pt idx="4">
                  <c:v>0.324752628076936</c:v>
                </c:pt>
                <c:pt idx="5">
                  <c:v>0.28598164077972449</c:v>
                </c:pt>
                <c:pt idx="6">
                  <c:v>0.24960483884260271</c:v>
                </c:pt>
                <c:pt idx="7">
                  <c:v>0.2156370096324785</c:v>
                </c:pt>
                <c:pt idx="8">
                  <c:v>0.18409294051626418</c:v>
                </c:pt>
                <c:pt idx="9">
                  <c:v>0.15498741886085604</c:v>
                </c:pt>
                <c:pt idx="10">
                  <c:v>0.12833523203316727</c:v>
                </c:pt>
                <c:pt idx="11">
                  <c:v>0.10415116740009595</c:v>
                </c:pt>
                <c:pt idx="12">
                  <c:v>8.2450012328553479E-2</c:v>
                </c:pt>
                <c:pt idx="13">
                  <c:v>6.324655418545394E-2</c:v>
                </c:pt>
                <c:pt idx="14">
                  <c:v>4.6555580337682978E-2</c:v>
                </c:pt>
                <c:pt idx="15">
                  <c:v>3.2391878152166209E-2</c:v>
                </c:pt>
                <c:pt idx="16">
                  <c:v>2.0770234995804382E-2</c:v>
                </c:pt>
                <c:pt idx="17">
                  <c:v>1.1705438235498244E-2</c:v>
                </c:pt>
                <c:pt idx="18">
                  <c:v>5.2122752381574267E-3</c:v>
                </c:pt>
                <c:pt idx="19">
                  <c:v>1.3055333706880057E-3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98-4746-B0D2-4726F56A8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149008"/>
        <c:axId val="1070092416"/>
      </c:scatterChart>
      <c:valAx>
        <c:axId val="76614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092416"/>
        <c:crosses val="autoZero"/>
        <c:crossBetween val="midCat"/>
      </c:valAx>
      <c:valAx>
        <c:axId val="107009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4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448</xdr:row>
      <xdr:rowOff>57149</xdr:rowOff>
    </xdr:from>
    <xdr:to>
      <xdr:col>8</xdr:col>
      <xdr:colOff>614362</xdr:colOff>
      <xdr:row>469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3FB475-3FF6-4191-8B28-8E3BBC6D5A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80961</xdr:colOff>
      <xdr:row>0</xdr:row>
      <xdr:rowOff>42862</xdr:rowOff>
    </xdr:from>
    <xdr:to>
      <xdr:col>14</xdr:col>
      <xdr:colOff>452436</xdr:colOff>
      <xdr:row>24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706902-05FB-4613-BE3C-01A40D23DA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173830</xdr:colOff>
      <xdr:row>25</xdr:row>
      <xdr:rowOff>71435</xdr:rowOff>
    </xdr:from>
    <xdr:to>
      <xdr:col>17</xdr:col>
      <xdr:colOff>402430</xdr:colOff>
      <xdr:row>40</xdr:row>
      <xdr:rowOff>71435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434000-16A8-444A-8007-96B625593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219075</xdr:colOff>
      <xdr:row>61</xdr:row>
      <xdr:rowOff>9525</xdr:rowOff>
    </xdr:from>
    <xdr:to>
      <xdr:col>17</xdr:col>
      <xdr:colOff>447675</xdr:colOff>
      <xdr:row>82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ED9B0AD-1A1D-43A9-B91C-A07333D3A9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219075</xdr:colOff>
      <xdr:row>84</xdr:row>
      <xdr:rowOff>104775</xdr:rowOff>
    </xdr:from>
    <xdr:to>
      <xdr:col>17</xdr:col>
      <xdr:colOff>447675</xdr:colOff>
      <xdr:row>105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222258F-3EC3-4D17-9613-B315D9982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192880</xdr:colOff>
      <xdr:row>42</xdr:row>
      <xdr:rowOff>28575</xdr:rowOff>
    </xdr:from>
    <xdr:to>
      <xdr:col>17</xdr:col>
      <xdr:colOff>421480</xdr:colOff>
      <xdr:row>57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2137377-90E0-40B5-B796-CC08B7C5D2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C247-F6A1-416B-A230-32A42C0072D0}">
  <sheetPr codeName="Sheet12"/>
  <dimension ref="A1:B30"/>
  <sheetViews>
    <sheetView tabSelected="1" workbookViewId="0">
      <selection activeCell="B6" sqref="B6"/>
    </sheetView>
  </sheetViews>
  <sheetFormatPr defaultRowHeight="15.75" x14ac:dyDescent="0.25"/>
  <cols>
    <col min="1" max="1" width="25.85546875" style="42" customWidth="1"/>
    <col min="2" max="2" width="60.42578125" style="42" customWidth="1"/>
    <col min="3" max="16384" width="9.140625" style="42"/>
  </cols>
  <sheetData>
    <row r="1" spans="1:2" x14ac:dyDescent="0.25">
      <c r="A1" s="40" t="s">
        <v>273</v>
      </c>
      <c r="B1" s="41"/>
    </row>
    <row r="2" spans="1:2" ht="24" customHeight="1" x14ac:dyDescent="0.25">
      <c r="A2" s="43"/>
      <c r="B2" s="44"/>
    </row>
    <row r="3" spans="1:2" x14ac:dyDescent="0.25">
      <c r="A3" s="43"/>
      <c r="B3" s="44" t="s">
        <v>274</v>
      </c>
    </row>
    <row r="4" spans="1:2" x14ac:dyDescent="0.25">
      <c r="A4" s="43"/>
      <c r="B4" s="44" t="s">
        <v>275</v>
      </c>
    </row>
    <row r="5" spans="1:2" ht="24" customHeight="1" x14ac:dyDescent="0.25">
      <c r="A5" s="43"/>
      <c r="B5" s="44"/>
    </row>
    <row r="6" spans="1:2" ht="24" x14ac:dyDescent="0.25">
      <c r="A6" s="43"/>
      <c r="B6" s="44" t="s">
        <v>276</v>
      </c>
    </row>
    <row r="7" spans="1:2" ht="24" x14ac:dyDescent="0.25">
      <c r="A7" s="43"/>
      <c r="B7" s="44" t="s">
        <v>277</v>
      </c>
    </row>
    <row r="8" spans="1:2" ht="24" customHeight="1" x14ac:dyDescent="0.25">
      <c r="A8" s="43"/>
      <c r="B8" s="44"/>
    </row>
    <row r="9" spans="1:2" ht="24" x14ac:dyDescent="0.25">
      <c r="A9" s="43"/>
      <c r="B9" s="44" t="s">
        <v>278</v>
      </c>
    </row>
    <row r="10" spans="1:2" x14ac:dyDescent="0.25">
      <c r="A10" s="43"/>
      <c r="B10" s="44" t="s">
        <v>279</v>
      </c>
    </row>
    <row r="11" spans="1:2" ht="24" customHeight="1" x14ac:dyDescent="0.25">
      <c r="A11" s="43"/>
      <c r="B11" s="44"/>
    </row>
    <row r="12" spans="1:2" ht="24" x14ac:dyDescent="0.25">
      <c r="A12" s="43"/>
      <c r="B12" s="44" t="s">
        <v>280</v>
      </c>
    </row>
    <row r="13" spans="1:2" ht="24" x14ac:dyDescent="0.25">
      <c r="A13" s="43"/>
      <c r="B13" s="44" t="s">
        <v>281</v>
      </c>
    </row>
    <row r="14" spans="1:2" x14ac:dyDescent="0.25">
      <c r="A14" s="43"/>
      <c r="B14" s="44" t="s">
        <v>282</v>
      </c>
    </row>
    <row r="15" spans="1:2" ht="24" customHeight="1" x14ac:dyDescent="0.25">
      <c r="A15" s="43"/>
      <c r="B15" s="44"/>
    </row>
    <row r="16" spans="1:2" ht="24" x14ac:dyDescent="0.25">
      <c r="A16" s="43"/>
      <c r="B16" s="44" t="s">
        <v>283</v>
      </c>
    </row>
    <row r="17" spans="1:2" ht="24" x14ac:dyDescent="0.25">
      <c r="A17" s="43"/>
      <c r="B17" s="44" t="s">
        <v>284</v>
      </c>
    </row>
    <row r="18" spans="1:2" x14ac:dyDescent="0.25">
      <c r="A18" s="43"/>
      <c r="B18" s="44" t="s">
        <v>285</v>
      </c>
    </row>
    <row r="19" spans="1:2" ht="24" customHeight="1" x14ac:dyDescent="0.25">
      <c r="A19" s="43"/>
      <c r="B19" s="44"/>
    </row>
    <row r="20" spans="1:2" ht="24" x14ac:dyDescent="0.25">
      <c r="A20" s="43"/>
      <c r="B20" s="44" t="s">
        <v>286</v>
      </c>
    </row>
    <row r="21" spans="1:2" ht="24" x14ac:dyDescent="0.25">
      <c r="A21" s="43"/>
      <c r="B21" s="44" t="s">
        <v>287</v>
      </c>
    </row>
    <row r="22" spans="1:2" ht="24" x14ac:dyDescent="0.25">
      <c r="A22" s="43"/>
      <c r="B22" s="44" t="s">
        <v>288</v>
      </c>
    </row>
    <row r="23" spans="1:2" ht="24" x14ac:dyDescent="0.25">
      <c r="A23" s="43"/>
      <c r="B23" s="44" t="s">
        <v>289</v>
      </c>
    </row>
    <row r="24" spans="1:2" ht="24" x14ac:dyDescent="0.25">
      <c r="A24" s="43"/>
      <c r="B24" s="44" t="s">
        <v>290</v>
      </c>
    </row>
    <row r="25" spans="1:2" ht="24" x14ac:dyDescent="0.25">
      <c r="A25" s="43"/>
      <c r="B25" s="44" t="s">
        <v>291</v>
      </c>
    </row>
    <row r="26" spans="1:2" ht="24" x14ac:dyDescent="0.25">
      <c r="A26" s="43"/>
      <c r="B26" s="44" t="s">
        <v>292</v>
      </c>
    </row>
    <row r="27" spans="1:2" ht="24" x14ac:dyDescent="0.25">
      <c r="A27" s="43"/>
      <c r="B27" s="44" t="s">
        <v>293</v>
      </c>
    </row>
    <row r="28" spans="1:2" ht="24" x14ac:dyDescent="0.25">
      <c r="A28" s="43"/>
      <c r="B28" s="44" t="s">
        <v>294</v>
      </c>
    </row>
    <row r="29" spans="1:2" ht="24" x14ac:dyDescent="0.25">
      <c r="A29" s="43"/>
      <c r="B29" s="44" t="s">
        <v>295</v>
      </c>
    </row>
    <row r="30" spans="1:2" ht="16.5" thickBot="1" x14ac:dyDescent="0.3">
      <c r="A30" s="45"/>
      <c r="B30" s="4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F47AD-8CA1-418A-9E14-FF877E62991D}">
  <sheetPr codeName="Sheet1"/>
  <dimension ref="A1:R520"/>
  <sheetViews>
    <sheetView view="pageLayout" topLeftCell="A25" zoomScaleNormal="100" workbookViewId="0">
      <selection activeCell="B11" sqref="B11"/>
    </sheetView>
  </sheetViews>
  <sheetFormatPr defaultColWidth="9.140625" defaultRowHeight="12" x14ac:dyDescent="0.2"/>
  <cols>
    <col min="1" max="8" width="9.5703125" style="3" customWidth="1"/>
    <col min="9" max="16384" width="9.140625" style="3"/>
  </cols>
  <sheetData>
    <row r="1" spans="1:18" x14ac:dyDescent="0.2">
      <c r="I1" s="3" t="s">
        <v>253</v>
      </c>
      <c r="Q1" s="5" t="s">
        <v>106</v>
      </c>
    </row>
    <row r="2" spans="1:18" x14ac:dyDescent="0.2">
      <c r="A2" s="15" t="s">
        <v>6</v>
      </c>
      <c r="I2" s="4" t="s">
        <v>254</v>
      </c>
      <c r="P2" s="7" t="s">
        <v>95</v>
      </c>
      <c r="Q2" s="28">
        <f>MIN(D253:D254)</f>
        <v>2.8478461741292724</v>
      </c>
    </row>
    <row r="3" spans="1:18" x14ac:dyDescent="0.2">
      <c r="A3" s="6" t="s">
        <v>2</v>
      </c>
      <c r="B3" s="32">
        <v>8</v>
      </c>
      <c r="C3" s="3" t="s">
        <v>3</v>
      </c>
      <c r="I3" s="14" t="s">
        <v>255</v>
      </c>
      <c r="P3" s="7" t="s">
        <v>100</v>
      </c>
      <c r="Q3" s="28">
        <f>MIN(H253:H254)</f>
        <v>1.1444263656433769</v>
      </c>
    </row>
    <row r="4" spans="1:18" x14ac:dyDescent="0.2">
      <c r="A4" s="6" t="s">
        <v>4</v>
      </c>
      <c r="B4" s="32">
        <v>5</v>
      </c>
      <c r="C4" s="3" t="s">
        <v>7</v>
      </c>
      <c r="D4" s="32">
        <v>0</v>
      </c>
      <c r="E4" s="3" t="s">
        <v>3</v>
      </c>
      <c r="F4" s="27">
        <f>B4+(D4/12)</f>
        <v>5</v>
      </c>
      <c r="G4" s="3" t="s">
        <v>7</v>
      </c>
      <c r="I4" s="13" t="s">
        <v>256</v>
      </c>
    </row>
    <row r="5" spans="1:18" x14ac:dyDescent="0.2">
      <c r="A5" s="6" t="s">
        <v>237</v>
      </c>
      <c r="B5" s="32">
        <v>145</v>
      </c>
      <c r="C5" s="3" t="s">
        <v>8</v>
      </c>
      <c r="I5" s="12" t="s">
        <v>257</v>
      </c>
      <c r="P5" s="15" t="s">
        <v>244</v>
      </c>
    </row>
    <row r="6" spans="1:18" x14ac:dyDescent="0.2">
      <c r="A6" s="6" t="s">
        <v>9</v>
      </c>
      <c r="B6" s="27">
        <f>(B3/12)*F4*B5</f>
        <v>483.33333333333331</v>
      </c>
      <c r="C6" s="3" t="s">
        <v>15</v>
      </c>
      <c r="D6" s="27">
        <f>F10+(B3/24)</f>
        <v>3.3333333333333335</v>
      </c>
      <c r="E6" s="3" t="s">
        <v>7</v>
      </c>
      <c r="P6" s="3" t="s">
        <v>245</v>
      </c>
    </row>
    <row r="7" spans="1:18" x14ac:dyDescent="0.2">
      <c r="P7" s="7" t="str">
        <f>A446</f>
        <v>Vu</v>
      </c>
      <c r="Q7" s="28">
        <f>B446</f>
        <v>1.1348411685661612</v>
      </c>
      <c r="R7" s="21" t="str">
        <f>C446</f>
        <v>kips</v>
      </c>
    </row>
    <row r="8" spans="1:18" x14ac:dyDescent="0.2">
      <c r="A8" s="15" t="s">
        <v>10</v>
      </c>
      <c r="P8" s="7" t="str">
        <f t="shared" ref="P8:R8" si="0">A447</f>
        <v>Mu+</v>
      </c>
      <c r="Q8" s="28">
        <f t="shared" si="0"/>
        <v>0.64654008526064821</v>
      </c>
      <c r="R8" s="21" t="str">
        <f t="shared" si="0"/>
        <v>ft-kips</v>
      </c>
    </row>
    <row r="9" spans="1:18" x14ac:dyDescent="0.2">
      <c r="A9" s="6" t="s">
        <v>11</v>
      </c>
      <c r="B9" s="32">
        <v>16</v>
      </c>
      <c r="C9" s="3" t="s">
        <v>3</v>
      </c>
      <c r="P9" s="7" t="str">
        <f t="shared" ref="P9:R9" si="1">A448</f>
        <v>Mu-</v>
      </c>
      <c r="Q9" s="28">
        <f t="shared" si="1"/>
        <v>-2.6279898606030931</v>
      </c>
      <c r="R9" s="21" t="str">
        <f t="shared" si="1"/>
        <v>ft-kips</v>
      </c>
    </row>
    <row r="10" spans="1:18" x14ac:dyDescent="0.2">
      <c r="A10" s="6" t="s">
        <v>13</v>
      </c>
      <c r="B10" s="32">
        <v>3</v>
      </c>
      <c r="C10" s="3" t="s">
        <v>7</v>
      </c>
      <c r="D10" s="32">
        <v>0</v>
      </c>
      <c r="E10" s="3" t="s">
        <v>3</v>
      </c>
      <c r="F10" s="27">
        <f>B10+(D10/12)</f>
        <v>3</v>
      </c>
      <c r="G10" s="3" t="s">
        <v>7</v>
      </c>
    </row>
    <row r="11" spans="1:18" x14ac:dyDescent="0.2">
      <c r="A11" s="6" t="s">
        <v>12</v>
      </c>
      <c r="B11" s="32">
        <v>1.5</v>
      </c>
      <c r="C11" s="3" t="s">
        <v>7</v>
      </c>
      <c r="D11" s="32">
        <v>0</v>
      </c>
      <c r="E11" s="3" t="s">
        <v>3</v>
      </c>
      <c r="F11" s="27">
        <f>B11+(D11/12)</f>
        <v>1.5</v>
      </c>
      <c r="G11" s="3" t="s">
        <v>7</v>
      </c>
      <c r="P11" s="3" t="s">
        <v>246</v>
      </c>
    </row>
    <row r="12" spans="1:18" x14ac:dyDescent="0.2">
      <c r="A12" s="6" t="s">
        <v>14</v>
      </c>
      <c r="B12" s="27">
        <f>F10+F11+(B3/12)</f>
        <v>5.166666666666667</v>
      </c>
      <c r="C12" s="3" t="s">
        <v>7</v>
      </c>
      <c r="D12" s="3" t="s">
        <v>248</v>
      </c>
      <c r="P12" s="7" t="str">
        <f>E446</f>
        <v>Vu</v>
      </c>
      <c r="Q12" s="28">
        <f t="shared" ref="Q12:R14" si="2">F446</f>
        <v>1.906046407546941</v>
      </c>
      <c r="R12" s="21" t="str">
        <f t="shared" si="2"/>
        <v>kips</v>
      </c>
    </row>
    <row r="13" spans="1:18" x14ac:dyDescent="0.2">
      <c r="A13" s="6" t="s">
        <v>237</v>
      </c>
      <c r="B13" s="32">
        <v>145</v>
      </c>
      <c r="C13" s="3" t="s">
        <v>8</v>
      </c>
      <c r="P13" s="7" t="str">
        <f t="shared" ref="P13:P14" si="3">E447</f>
        <v>Mu+</v>
      </c>
      <c r="Q13" s="28">
        <f t="shared" si="2"/>
        <v>1.5457141086848871</v>
      </c>
      <c r="R13" s="21" t="str">
        <f t="shared" si="2"/>
        <v>ft-kips</v>
      </c>
    </row>
    <row r="14" spans="1:18" x14ac:dyDescent="0.2">
      <c r="A14" s="6" t="s">
        <v>9</v>
      </c>
      <c r="B14" s="27">
        <f>B12*(B9/12)*B13</f>
        <v>998.88888888888891</v>
      </c>
      <c r="C14" s="3" t="s">
        <v>15</v>
      </c>
      <c r="D14" s="27">
        <f>B12/2</f>
        <v>2.5833333333333335</v>
      </c>
      <c r="E14" s="3" t="s">
        <v>7</v>
      </c>
      <c r="P14" s="7" t="str">
        <f t="shared" si="3"/>
        <v>Mu-</v>
      </c>
      <c r="Q14" s="28">
        <f t="shared" si="2"/>
        <v>0.50348268352858527</v>
      </c>
      <c r="R14" s="21" t="str">
        <f t="shared" si="2"/>
        <v>ft-kips</v>
      </c>
    </row>
    <row r="16" spans="1:18" x14ac:dyDescent="0.2">
      <c r="A16" s="15" t="s">
        <v>16</v>
      </c>
      <c r="P16" s="25" t="str">
        <f>"+M puts tension in bottom of ftg"</f>
        <v>+M puts tension in bottom of ftg</v>
      </c>
    </row>
    <row r="17" spans="1:18" x14ac:dyDescent="0.2">
      <c r="A17" s="6" t="s">
        <v>17</v>
      </c>
      <c r="B17" s="32">
        <v>0.56000000000000005</v>
      </c>
    </row>
    <row r="18" spans="1:18" x14ac:dyDescent="0.2">
      <c r="A18" s="6" t="s">
        <v>18</v>
      </c>
      <c r="B18" s="32">
        <v>0.5</v>
      </c>
      <c r="P18" s="15" t="s">
        <v>247</v>
      </c>
    </row>
    <row r="19" spans="1:18" x14ac:dyDescent="0.2">
      <c r="A19" s="6" t="s">
        <v>19</v>
      </c>
      <c r="B19" s="32">
        <v>115</v>
      </c>
      <c r="C19" s="3" t="s">
        <v>8</v>
      </c>
      <c r="P19" s="7" t="str">
        <f>E495</f>
        <v>Vu</v>
      </c>
      <c r="Q19" s="28">
        <f t="shared" ref="Q19:R19" si="4">F495</f>
        <v>1.3600280000000002</v>
      </c>
      <c r="R19" s="21" t="str">
        <f t="shared" si="4"/>
        <v>kips</v>
      </c>
    </row>
    <row r="20" spans="1:18" x14ac:dyDescent="0.2">
      <c r="A20" s="6" t="s">
        <v>239</v>
      </c>
      <c r="B20" s="13">
        <f>B19*B17</f>
        <v>64.400000000000006</v>
      </c>
      <c r="C20" s="3" t="s">
        <v>25</v>
      </c>
      <c r="P20" s="7" t="str">
        <f t="shared" ref="P20:P21" si="5">E496</f>
        <v>Mu+</v>
      </c>
      <c r="Q20" s="28">
        <f t="shared" ref="Q20:Q21" si="6">F496</f>
        <v>3.076302000000001</v>
      </c>
      <c r="R20" s="21" t="str">
        <f t="shared" ref="R20:R21" si="7">G496</f>
        <v>ft-kips</v>
      </c>
    </row>
    <row r="21" spans="1:18" x14ac:dyDescent="0.2">
      <c r="A21" s="6" t="s">
        <v>20</v>
      </c>
      <c r="B21" s="32">
        <v>5</v>
      </c>
      <c r="C21" s="3" t="s">
        <v>7</v>
      </c>
      <c r="D21" s="32">
        <v>0</v>
      </c>
      <c r="E21" s="3" t="s">
        <v>3</v>
      </c>
      <c r="F21" s="27">
        <f>B21+(D21/12)</f>
        <v>5</v>
      </c>
      <c r="G21" s="3" t="s">
        <v>7</v>
      </c>
      <c r="H21" s="3" t="s">
        <v>21</v>
      </c>
      <c r="P21" s="7" t="str">
        <f t="shared" si="5"/>
        <v>Mu-</v>
      </c>
      <c r="Q21" s="28">
        <f t="shared" si="6"/>
        <v>7.0633333333347537E-4</v>
      </c>
      <c r="R21" s="21" t="str">
        <f t="shared" si="7"/>
        <v>ft-kips</v>
      </c>
    </row>
    <row r="22" spans="1:18" x14ac:dyDescent="0.2">
      <c r="A22" s="6" t="s">
        <v>22</v>
      </c>
      <c r="B22" s="27">
        <f>F21+(B9/12)</f>
        <v>6.333333333333333</v>
      </c>
      <c r="C22" s="3" t="s">
        <v>7</v>
      </c>
      <c r="D22" s="3" t="s">
        <v>23</v>
      </c>
    </row>
    <row r="23" spans="1:18" x14ac:dyDescent="0.2">
      <c r="A23" s="6"/>
      <c r="P23" s="25" t="str">
        <f>E499</f>
        <v>+ M is tension on left wall face</v>
      </c>
    </row>
    <row r="24" spans="1:18" x14ac:dyDescent="0.2">
      <c r="A24" s="6" t="s">
        <v>24</v>
      </c>
      <c r="B24" s="27">
        <f>B17*B19*B22</f>
        <v>407.86666666666667</v>
      </c>
      <c r="C24" s="3" t="s">
        <v>25</v>
      </c>
    </row>
    <row r="25" spans="1:18" x14ac:dyDescent="0.2">
      <c r="A25" s="6" t="s">
        <v>26</v>
      </c>
      <c r="B25" s="27">
        <f>0.5*B24*B22</f>
        <v>1291.5777777777778</v>
      </c>
      <c r="C25" s="3" t="s">
        <v>15</v>
      </c>
      <c r="D25" s="27">
        <f>B22/3</f>
        <v>2.1111111111111112</v>
      </c>
      <c r="E25" s="3" t="s">
        <v>7</v>
      </c>
    </row>
    <row r="26" spans="1:18" x14ac:dyDescent="0.2">
      <c r="A26" s="6"/>
    </row>
    <row r="27" spans="1:18" x14ac:dyDescent="0.2">
      <c r="A27" s="5" t="s">
        <v>27</v>
      </c>
      <c r="B27" s="5" t="s">
        <v>28</v>
      </c>
      <c r="C27" s="5" t="s">
        <v>30</v>
      </c>
      <c r="D27" s="5" t="s">
        <v>31</v>
      </c>
      <c r="E27" s="5" t="str">
        <f>"@ ft"</f>
        <v>@ ft</v>
      </c>
    </row>
    <row r="28" spans="1:18" x14ac:dyDescent="0.2">
      <c r="A28" s="6" t="s">
        <v>0</v>
      </c>
      <c r="B28" s="32">
        <v>5</v>
      </c>
      <c r="C28" s="27">
        <f>B28*$B$18</f>
        <v>2.5</v>
      </c>
      <c r="D28" s="27">
        <f>C28*$B$22</f>
        <v>15.833333333333332</v>
      </c>
      <c r="E28" s="27">
        <f>$B$22/2</f>
        <v>3.1666666666666665</v>
      </c>
    </row>
    <row r="29" spans="1:18" x14ac:dyDescent="0.2">
      <c r="A29" s="6" t="s">
        <v>29</v>
      </c>
      <c r="B29" s="32">
        <v>50</v>
      </c>
      <c r="C29" s="27">
        <f>B29*$B$18</f>
        <v>25</v>
      </c>
      <c r="D29" s="27">
        <f>C29*$B$22</f>
        <v>158.33333333333331</v>
      </c>
      <c r="E29" s="27">
        <f>$B$22/2</f>
        <v>3.1666666666666665</v>
      </c>
    </row>
    <row r="31" spans="1:18" x14ac:dyDescent="0.2">
      <c r="A31" s="15" t="s">
        <v>236</v>
      </c>
    </row>
    <row r="32" spans="1:18" x14ac:dyDescent="0.2">
      <c r="A32" s="6" t="s">
        <v>17</v>
      </c>
      <c r="B32" s="32">
        <v>0.56000000000000005</v>
      </c>
    </row>
    <row r="33" spans="1:8" x14ac:dyDescent="0.2">
      <c r="A33" s="6" t="s">
        <v>18</v>
      </c>
      <c r="B33" s="32">
        <v>0.5</v>
      </c>
    </row>
    <row r="34" spans="1:8" x14ac:dyDescent="0.2">
      <c r="A34" s="6" t="s">
        <v>19</v>
      </c>
      <c r="B34" s="32">
        <v>115</v>
      </c>
      <c r="C34" s="3" t="s">
        <v>8</v>
      </c>
    </row>
    <row r="35" spans="1:8" x14ac:dyDescent="0.2">
      <c r="A35" s="6" t="s">
        <v>239</v>
      </c>
      <c r="B35" s="13">
        <f>B34*B32</f>
        <v>64.400000000000006</v>
      </c>
      <c r="C35" s="3" t="s">
        <v>25</v>
      </c>
    </row>
    <row r="36" spans="1:8" x14ac:dyDescent="0.2">
      <c r="A36" s="6" t="s">
        <v>20</v>
      </c>
      <c r="B36" s="32">
        <v>3</v>
      </c>
      <c r="C36" s="3" t="s">
        <v>7</v>
      </c>
      <c r="D36" s="32">
        <v>0</v>
      </c>
      <c r="E36" s="3" t="s">
        <v>3</v>
      </c>
      <c r="F36" s="27">
        <f>B36+(D36/12)</f>
        <v>3</v>
      </c>
      <c r="G36" s="3" t="s">
        <v>7</v>
      </c>
      <c r="H36" s="3" t="s">
        <v>21</v>
      </c>
    </row>
    <row r="37" spans="1:8" x14ac:dyDescent="0.2">
      <c r="A37" s="6" t="s">
        <v>32</v>
      </c>
      <c r="B37" s="32">
        <v>1</v>
      </c>
      <c r="C37" s="3" t="s">
        <v>7</v>
      </c>
      <c r="D37" s="32">
        <v>0</v>
      </c>
      <c r="E37" s="3" t="s">
        <v>3</v>
      </c>
      <c r="F37" s="27">
        <f>B37+(D37/12)</f>
        <v>1</v>
      </c>
      <c r="G37" s="3" t="s">
        <v>7</v>
      </c>
    </row>
    <row r="38" spans="1:8" x14ac:dyDescent="0.2">
      <c r="A38" s="6" t="s">
        <v>22</v>
      </c>
      <c r="B38" s="27">
        <f>F36+(B9/12)-F37</f>
        <v>3.333333333333333</v>
      </c>
      <c r="C38" s="3" t="s">
        <v>7</v>
      </c>
      <c r="D38" s="3" t="s">
        <v>23</v>
      </c>
      <c r="F38" s="13">
        <f>MAX(0,B38-(B9/12))</f>
        <v>1.9999999999999998</v>
      </c>
      <c r="G38" s="3" t="s">
        <v>7</v>
      </c>
      <c r="H38" s="3" t="s">
        <v>241</v>
      </c>
    </row>
    <row r="39" spans="1:8" x14ac:dyDescent="0.2">
      <c r="A39" s="6"/>
    </row>
    <row r="40" spans="1:8" x14ac:dyDescent="0.2">
      <c r="A40" s="6" t="s">
        <v>24</v>
      </c>
      <c r="B40" s="27">
        <f>B32*B34*B38</f>
        <v>214.66666666666666</v>
      </c>
      <c r="C40" s="3" t="s">
        <v>25</v>
      </c>
    </row>
    <row r="41" spans="1:8" x14ac:dyDescent="0.2">
      <c r="A41" s="6" t="s">
        <v>26</v>
      </c>
      <c r="B41" s="27">
        <f>0.5*B40*B38</f>
        <v>357.77777777777771</v>
      </c>
      <c r="C41" s="3" t="s">
        <v>15</v>
      </c>
      <c r="D41" s="27">
        <f>B38/3</f>
        <v>1.1111111111111109</v>
      </c>
      <c r="E41" s="3" t="s">
        <v>7</v>
      </c>
    </row>
    <row r="43" spans="1:8" x14ac:dyDescent="0.2">
      <c r="A43" s="5"/>
      <c r="B43" s="5"/>
      <c r="C43" s="5"/>
      <c r="D43" s="5"/>
      <c r="E43" s="5"/>
    </row>
    <row r="44" spans="1:8" x14ac:dyDescent="0.2">
      <c r="A44" s="6"/>
      <c r="B44" s="22"/>
    </row>
    <row r="45" spans="1:8" x14ac:dyDescent="0.2">
      <c r="A45" s="6"/>
      <c r="B45" s="22"/>
    </row>
    <row r="47" spans="1:8" x14ac:dyDescent="0.2">
      <c r="A47" s="15" t="s">
        <v>135</v>
      </c>
    </row>
    <row r="48" spans="1:8" x14ac:dyDescent="0.2">
      <c r="A48" s="6" t="s">
        <v>136</v>
      </c>
      <c r="B48" s="33">
        <v>0.5</v>
      </c>
      <c r="C48" s="11" t="str">
        <f>IF(B48=1,"places of public assembly with live loads &gt; 100 psf and parking garages","other live loads")</f>
        <v>other live loads</v>
      </c>
    </row>
    <row r="49" spans="1:14" x14ac:dyDescent="0.2">
      <c r="A49" s="6" t="s">
        <v>137</v>
      </c>
      <c r="B49" s="33">
        <v>0.7</v>
      </c>
      <c r="C49" s="11" t="str">
        <f>IF(B49=0.7,"roof configurations that do no shed snow off of the structure","other roof configurations")</f>
        <v>roof configurations that do no shed snow off of the structure</v>
      </c>
    </row>
    <row r="50" spans="1:14" x14ac:dyDescent="0.2">
      <c r="E50" s="5"/>
    </row>
    <row r="51" spans="1:14" x14ac:dyDescent="0.2">
      <c r="A51" s="15" t="s">
        <v>238</v>
      </c>
    </row>
    <row r="52" spans="1:14" x14ac:dyDescent="0.2">
      <c r="A52" s="7" t="s">
        <v>197</v>
      </c>
      <c r="B52" s="32">
        <v>3</v>
      </c>
      <c r="C52" s="3" t="s">
        <v>198</v>
      </c>
    </row>
    <row r="53" spans="1:14" x14ac:dyDescent="0.2">
      <c r="A53" s="7" t="s">
        <v>96</v>
      </c>
      <c r="B53" s="32">
        <v>0.34</v>
      </c>
    </row>
    <row r="60" spans="1:14" x14ac:dyDescent="0.2">
      <c r="J60" s="3" t="s">
        <v>250</v>
      </c>
      <c r="M60" s="33" t="s">
        <v>120</v>
      </c>
      <c r="N60" s="36" t="str">
        <f ca="1">OFFSET(LOAD_COMBOS!AO2,MATCH(Unit_Width_Strip_Foundation!M60,LOAD_COMBOS!O3:O26,0),0)</f>
        <v>D + F + L + H + 0.6 Hr</v>
      </c>
    </row>
    <row r="61" spans="1:14" x14ac:dyDescent="0.2">
      <c r="A61" s="3" t="s">
        <v>33</v>
      </c>
      <c r="F61" s="3" t="s">
        <v>36</v>
      </c>
    </row>
    <row r="62" spans="1:14" x14ac:dyDescent="0.2">
      <c r="B62" s="5" t="s">
        <v>34</v>
      </c>
      <c r="C62" s="5" t="s">
        <v>35</v>
      </c>
      <c r="D62" s="5" t="s">
        <v>37</v>
      </c>
      <c r="F62" s="7" t="s">
        <v>185</v>
      </c>
      <c r="G62" s="29">
        <f>F10+(B3/24)</f>
        <v>3.3333333333333335</v>
      </c>
      <c r="H62" s="3" t="s">
        <v>7</v>
      </c>
    </row>
    <row r="63" spans="1:14" x14ac:dyDescent="0.2">
      <c r="A63" s="6" t="s">
        <v>50</v>
      </c>
      <c r="B63" s="34">
        <v>0.77</v>
      </c>
      <c r="C63" s="34">
        <v>3.33</v>
      </c>
      <c r="D63" s="33" t="s">
        <v>0</v>
      </c>
      <c r="F63" s="7" t="s">
        <v>186</v>
      </c>
      <c r="G63" s="29">
        <f>F10</f>
        <v>3</v>
      </c>
      <c r="H63" s="3" t="s">
        <v>7</v>
      </c>
    </row>
    <row r="64" spans="1:14" x14ac:dyDescent="0.2">
      <c r="A64" s="6" t="s">
        <v>51</v>
      </c>
      <c r="B64" s="34">
        <v>0</v>
      </c>
      <c r="C64" s="34">
        <v>3.33</v>
      </c>
      <c r="D64" s="33" t="s">
        <v>0</v>
      </c>
      <c r="F64" s="7" t="s">
        <v>187</v>
      </c>
      <c r="G64" s="29">
        <f>F10+(B3/12)</f>
        <v>3.6666666666666665</v>
      </c>
      <c r="H64" s="3" t="s">
        <v>7</v>
      </c>
    </row>
    <row r="65" spans="1:8" x14ac:dyDescent="0.2">
      <c r="A65" s="6" t="s">
        <v>52</v>
      </c>
      <c r="B65" s="34">
        <v>0</v>
      </c>
      <c r="C65" s="34">
        <v>0</v>
      </c>
      <c r="D65" s="33" t="s">
        <v>0</v>
      </c>
      <c r="F65" s="7" t="str">
        <f>"+1"""</f>
        <v>+1"</v>
      </c>
      <c r="G65" s="29">
        <f>$G$64+(1/12)</f>
        <v>3.75</v>
      </c>
      <c r="H65" s="3" t="s">
        <v>7</v>
      </c>
    </row>
    <row r="66" spans="1:8" x14ac:dyDescent="0.2">
      <c r="A66" s="6" t="s">
        <v>54</v>
      </c>
      <c r="B66" s="34">
        <v>0</v>
      </c>
      <c r="C66" s="34">
        <v>0</v>
      </c>
      <c r="D66" s="33" t="s">
        <v>0</v>
      </c>
      <c r="F66" s="7" t="str">
        <f>"+2"""</f>
        <v>+2"</v>
      </c>
      <c r="G66" s="29">
        <f>$G$64+(2/12)</f>
        <v>3.833333333333333</v>
      </c>
      <c r="H66" s="3" t="s">
        <v>7</v>
      </c>
    </row>
    <row r="67" spans="1:8" x14ac:dyDescent="0.2">
      <c r="A67" s="6" t="s">
        <v>55</v>
      </c>
      <c r="B67" s="34">
        <v>0</v>
      </c>
      <c r="C67" s="34">
        <v>0</v>
      </c>
      <c r="D67" s="33" t="s">
        <v>0</v>
      </c>
      <c r="F67" s="7" t="str">
        <f>"+3"""</f>
        <v>+3"</v>
      </c>
      <c r="G67" s="29">
        <f>$G$64+(3/12)</f>
        <v>3.9166666666666665</v>
      </c>
      <c r="H67" s="3" t="s">
        <v>7</v>
      </c>
    </row>
    <row r="68" spans="1:8" x14ac:dyDescent="0.2">
      <c r="A68" s="6" t="s">
        <v>56</v>
      </c>
      <c r="B68" s="34">
        <v>0</v>
      </c>
      <c r="C68" s="34">
        <v>0</v>
      </c>
      <c r="D68" s="33" t="s">
        <v>0</v>
      </c>
      <c r="F68" s="7" t="str">
        <f>"+4"""</f>
        <v>+4"</v>
      </c>
      <c r="G68" s="29">
        <f>$G$64+(4/12)</f>
        <v>4</v>
      </c>
      <c r="H68" s="3" t="s">
        <v>7</v>
      </c>
    </row>
    <row r="69" spans="1:8" x14ac:dyDescent="0.2">
      <c r="A69" s="6" t="s">
        <v>57</v>
      </c>
      <c r="B69" s="34">
        <v>0</v>
      </c>
      <c r="C69" s="34">
        <v>0</v>
      </c>
      <c r="D69" s="33" t="s">
        <v>0</v>
      </c>
      <c r="F69" s="7" t="str">
        <f>"+5"""</f>
        <v>+5"</v>
      </c>
      <c r="G69" s="29">
        <f>$G$64+(5/12)</f>
        <v>4.083333333333333</v>
      </c>
      <c r="H69" s="3" t="s">
        <v>7</v>
      </c>
    </row>
    <row r="70" spans="1:8" x14ac:dyDescent="0.2">
      <c r="A70" s="6" t="s">
        <v>58</v>
      </c>
      <c r="B70" s="34">
        <v>0</v>
      </c>
      <c r="C70" s="34">
        <v>0</v>
      </c>
      <c r="D70" s="33" t="s">
        <v>0</v>
      </c>
      <c r="F70" s="7" t="str">
        <f>"+6"""</f>
        <v>+6"</v>
      </c>
      <c r="G70" s="29">
        <f>$G$64+(6/12)</f>
        <v>4.1666666666666661</v>
      </c>
      <c r="H70" s="3" t="s">
        <v>7</v>
      </c>
    </row>
    <row r="71" spans="1:8" x14ac:dyDescent="0.2">
      <c r="A71" s="6" t="s">
        <v>59</v>
      </c>
      <c r="B71" s="34">
        <v>0</v>
      </c>
      <c r="C71" s="34">
        <v>0</v>
      </c>
      <c r="D71" s="33" t="s">
        <v>0</v>
      </c>
      <c r="G71" s="37"/>
    </row>
    <row r="72" spans="1:8" x14ac:dyDescent="0.2">
      <c r="A72" s="6" t="s">
        <v>60</v>
      </c>
      <c r="B72" s="34">
        <v>0</v>
      </c>
      <c r="C72" s="34">
        <v>0</v>
      </c>
      <c r="D72" s="33" t="s">
        <v>0</v>
      </c>
      <c r="G72" s="37"/>
    </row>
    <row r="73" spans="1:8" x14ac:dyDescent="0.2">
      <c r="G73" s="37"/>
    </row>
    <row r="74" spans="1:8" x14ac:dyDescent="0.2">
      <c r="A74" s="3" t="s">
        <v>48</v>
      </c>
      <c r="G74" s="37"/>
    </row>
    <row r="75" spans="1:8" x14ac:dyDescent="0.2">
      <c r="B75" s="5" t="s">
        <v>34</v>
      </c>
      <c r="C75" s="5" t="s">
        <v>49</v>
      </c>
      <c r="D75" s="5" t="s">
        <v>37</v>
      </c>
      <c r="G75" s="37"/>
    </row>
    <row r="76" spans="1:8" x14ac:dyDescent="0.2">
      <c r="A76" s="6" t="s">
        <v>61</v>
      </c>
      <c r="B76" s="34">
        <v>0.14000000000000001</v>
      </c>
      <c r="C76" s="34">
        <v>6.33</v>
      </c>
      <c r="D76" s="33" t="s">
        <v>44</v>
      </c>
      <c r="F76" s="6" t="s">
        <v>188</v>
      </c>
      <c r="G76" s="29">
        <f>B9/12</f>
        <v>1.3333333333333333</v>
      </c>
      <c r="H76" s="3" t="s">
        <v>7</v>
      </c>
    </row>
    <row r="77" spans="1:8" x14ac:dyDescent="0.2">
      <c r="A77" s="6" t="s">
        <v>62</v>
      </c>
      <c r="B77" s="34">
        <v>-0.19</v>
      </c>
      <c r="C77" s="34">
        <v>6.33</v>
      </c>
      <c r="D77" s="33" t="s">
        <v>45</v>
      </c>
      <c r="F77" s="6" t="s">
        <v>189</v>
      </c>
      <c r="G77" s="29">
        <f>F4+(B9/12)</f>
        <v>6.333333333333333</v>
      </c>
      <c r="H77" s="3" t="s">
        <v>7</v>
      </c>
    </row>
    <row r="78" spans="1:8" x14ac:dyDescent="0.2">
      <c r="A78" s="6" t="s">
        <v>63</v>
      </c>
      <c r="B78" s="34">
        <v>0</v>
      </c>
      <c r="C78" s="34">
        <v>0</v>
      </c>
      <c r="D78" s="33" t="s">
        <v>0</v>
      </c>
      <c r="F78" s="6" t="s">
        <v>190</v>
      </c>
      <c r="G78" s="29">
        <f>B38+F37</f>
        <v>4.333333333333333</v>
      </c>
      <c r="H78" s="3" t="s">
        <v>7</v>
      </c>
    </row>
    <row r="79" spans="1:8" x14ac:dyDescent="0.2">
      <c r="A79" s="6" t="s">
        <v>64</v>
      </c>
      <c r="B79" s="34">
        <v>0</v>
      </c>
      <c r="C79" s="34">
        <v>0</v>
      </c>
      <c r="D79" s="33" t="s">
        <v>29</v>
      </c>
      <c r="F79" s="6" t="s">
        <v>191</v>
      </c>
      <c r="G79" s="29">
        <f>((G77-G78)/2)+G78</f>
        <v>5.333333333333333</v>
      </c>
      <c r="H79" s="3" t="s">
        <v>7</v>
      </c>
    </row>
    <row r="80" spans="1:8" x14ac:dyDescent="0.2">
      <c r="A80" s="6" t="s">
        <v>65</v>
      </c>
      <c r="B80" s="34">
        <v>0</v>
      </c>
      <c r="C80" s="34">
        <v>0</v>
      </c>
      <c r="D80" s="33" t="s">
        <v>0</v>
      </c>
    </row>
    <row r="81" spans="1:14" x14ac:dyDescent="0.2">
      <c r="A81" s="6" t="s">
        <v>66</v>
      </c>
      <c r="B81" s="34">
        <v>0</v>
      </c>
      <c r="C81" s="34">
        <v>0</v>
      </c>
      <c r="D81" s="33" t="s">
        <v>0</v>
      </c>
    </row>
    <row r="82" spans="1:14" x14ac:dyDescent="0.2">
      <c r="A82" s="6" t="s">
        <v>67</v>
      </c>
      <c r="B82" s="34">
        <v>0</v>
      </c>
      <c r="C82" s="34">
        <v>0</v>
      </c>
      <c r="D82" s="33" t="s">
        <v>0</v>
      </c>
    </row>
    <row r="83" spans="1:14" x14ac:dyDescent="0.2">
      <c r="A83" s="6" t="s">
        <v>68</v>
      </c>
      <c r="B83" s="34">
        <v>0</v>
      </c>
      <c r="C83" s="34">
        <v>0</v>
      </c>
      <c r="D83" s="33" t="s">
        <v>0</v>
      </c>
    </row>
    <row r="84" spans="1:14" x14ac:dyDescent="0.2">
      <c r="A84" s="6" t="s">
        <v>69</v>
      </c>
      <c r="B84" s="38">
        <f>B93</f>
        <v>0.04</v>
      </c>
      <c r="C84" s="38">
        <f>E93</f>
        <v>5.333333333333333</v>
      </c>
      <c r="D84" s="39" t="s">
        <v>44</v>
      </c>
      <c r="E84" s="3" t="s">
        <v>271</v>
      </c>
      <c r="J84" s="3" t="s">
        <v>251</v>
      </c>
      <c r="M84" s="33" t="s">
        <v>130</v>
      </c>
      <c r="N84" s="36" t="str">
        <f ca="1">OFFSET(LOAD_COMBOS!AO29,MATCH(Unit_Width_Strip_Foundation!M84,LOAD_COMBOS!O30:O54,0),0)</f>
        <v>1.2 D + 1.2 F + 1.6 L + 1.6 H + 1.44 Hr + 0.5 S</v>
      </c>
    </row>
    <row r="85" spans="1:14" x14ac:dyDescent="0.2">
      <c r="A85" s="6" t="s">
        <v>70</v>
      </c>
      <c r="B85" s="38">
        <f>B94</f>
        <v>-5.3999999999999999E-2</v>
      </c>
      <c r="C85" s="38">
        <f>E94</f>
        <v>5.333333333333333</v>
      </c>
      <c r="D85" s="39" t="s">
        <v>45</v>
      </c>
      <c r="E85" s="3" t="s">
        <v>272</v>
      </c>
    </row>
    <row r="87" spans="1:14" x14ac:dyDescent="0.2">
      <c r="A87" s="15" t="s">
        <v>261</v>
      </c>
    </row>
    <row r="88" spans="1:14" x14ac:dyDescent="0.2">
      <c r="A88" s="6" t="s">
        <v>266</v>
      </c>
      <c r="B88" s="4">
        <v>20</v>
      </c>
      <c r="C88" s="3" t="s">
        <v>264</v>
      </c>
    </row>
    <row r="89" spans="1:14" x14ac:dyDescent="0.2">
      <c r="A89" s="6" t="s">
        <v>267</v>
      </c>
      <c r="B89" s="4">
        <v>-27</v>
      </c>
      <c r="C89" s="3" t="s">
        <v>264</v>
      </c>
    </row>
    <row r="91" spans="1:14" x14ac:dyDescent="0.2">
      <c r="A91" s="3" t="s">
        <v>265</v>
      </c>
      <c r="B91" s="27">
        <f>F4-F36</f>
        <v>2</v>
      </c>
      <c r="C91" s="3" t="s">
        <v>7</v>
      </c>
    </row>
    <row r="93" spans="1:14" x14ac:dyDescent="0.2">
      <c r="A93" s="6" t="s">
        <v>262</v>
      </c>
      <c r="B93" s="13">
        <f>B91*B88*(1/1000)</f>
        <v>0.04</v>
      </c>
      <c r="C93" s="3" t="s">
        <v>270</v>
      </c>
      <c r="D93" s="3" t="s">
        <v>268</v>
      </c>
      <c r="E93" s="29">
        <f>(B91/2)+F36+(B9/12)</f>
        <v>5.333333333333333</v>
      </c>
      <c r="F93" s="3" t="s">
        <v>269</v>
      </c>
    </row>
    <row r="94" spans="1:14" x14ac:dyDescent="0.2">
      <c r="A94" s="6" t="s">
        <v>263</v>
      </c>
      <c r="B94" s="13">
        <f>B91*B89*(1/1000)</f>
        <v>-5.3999999999999999E-2</v>
      </c>
      <c r="C94" s="3" t="s">
        <v>270</v>
      </c>
      <c r="D94" s="3" t="s">
        <v>268</v>
      </c>
      <c r="E94" s="29">
        <f>E93</f>
        <v>5.333333333333333</v>
      </c>
      <c r="F94" s="3" t="s">
        <v>269</v>
      </c>
    </row>
    <row r="120" spans="1:8" x14ac:dyDescent="0.2">
      <c r="A120" s="3" t="s">
        <v>74</v>
      </c>
    </row>
    <row r="121" spans="1:8" x14ac:dyDescent="0.2">
      <c r="B121" s="5" t="s">
        <v>73</v>
      </c>
      <c r="C121" s="5" t="s">
        <v>72</v>
      </c>
    </row>
    <row r="122" spans="1:8" x14ac:dyDescent="0.2">
      <c r="A122" s="3" t="s">
        <v>71</v>
      </c>
      <c r="B122" s="13">
        <f>B12</f>
        <v>5.166666666666667</v>
      </c>
      <c r="C122" s="13">
        <v>0</v>
      </c>
    </row>
    <row r="123" spans="1:8" x14ac:dyDescent="0.2">
      <c r="A123" s="3" t="s">
        <v>81</v>
      </c>
      <c r="H123" s="3" t="s">
        <v>96</v>
      </c>
    </row>
    <row r="124" spans="1:8" x14ac:dyDescent="0.2">
      <c r="A124" s="3" t="s">
        <v>75</v>
      </c>
      <c r="B124" s="5" t="s">
        <v>80</v>
      </c>
      <c r="C124" s="5" t="s">
        <v>79</v>
      </c>
      <c r="D124" s="5" t="s">
        <v>77</v>
      </c>
      <c r="E124" s="5" t="s">
        <v>37</v>
      </c>
      <c r="H124" s="5" t="s">
        <v>97</v>
      </c>
    </row>
    <row r="125" spans="1:8" x14ac:dyDescent="0.2">
      <c r="A125" s="7" t="s">
        <v>5</v>
      </c>
      <c r="B125" s="28">
        <f>B6/1000</f>
        <v>0.48333333333333334</v>
      </c>
      <c r="C125" s="28">
        <f>$B$122-D6</f>
        <v>1.8333333333333335</v>
      </c>
      <c r="D125" s="28">
        <f t="shared" ref="D125:D131" si="8">B125*C125</f>
        <v>0.88611111111111118</v>
      </c>
      <c r="E125" s="13" t="s">
        <v>0</v>
      </c>
      <c r="H125" s="28">
        <f t="shared" ref="H125:H140" si="9">B125*$B$53*-1</f>
        <v>-0.16433333333333336</v>
      </c>
    </row>
    <row r="126" spans="1:8" x14ac:dyDescent="0.2">
      <c r="A126" s="7" t="s">
        <v>86</v>
      </c>
      <c r="B126" s="28">
        <f>B14/1000</f>
        <v>0.99888888888888894</v>
      </c>
      <c r="C126" s="28">
        <f>B12/2</f>
        <v>2.5833333333333335</v>
      </c>
      <c r="D126" s="28">
        <f t="shared" si="8"/>
        <v>2.5804629629629634</v>
      </c>
      <c r="E126" s="13" t="s">
        <v>0</v>
      </c>
      <c r="H126" s="28">
        <f t="shared" si="9"/>
        <v>-0.33962222222222227</v>
      </c>
    </row>
    <row r="127" spans="1:8" x14ac:dyDescent="0.2">
      <c r="A127" s="7" t="s">
        <v>82</v>
      </c>
      <c r="B127" s="28">
        <f>(F21*B19)*F10*(1/1000)</f>
        <v>1.7250000000000001</v>
      </c>
      <c r="C127" s="28">
        <f>B12-(F10/2)</f>
        <v>3.666666666666667</v>
      </c>
      <c r="D127" s="28">
        <f t="shared" si="8"/>
        <v>6.3250000000000011</v>
      </c>
      <c r="E127" s="13" t="s">
        <v>0</v>
      </c>
      <c r="F127" s="3" t="s">
        <v>87</v>
      </c>
      <c r="H127" s="28">
        <f t="shared" si="9"/>
        <v>-0.58650000000000002</v>
      </c>
    </row>
    <row r="128" spans="1:8" x14ac:dyDescent="0.2">
      <c r="A128" s="7" t="s">
        <v>83</v>
      </c>
      <c r="B128" s="28">
        <f>MAX(0,(B38-(B9/12))*B34*F11)*(1/1000)</f>
        <v>0.34499999999999997</v>
      </c>
      <c r="C128" s="28">
        <f>F11/2</f>
        <v>0.75</v>
      </c>
      <c r="D128" s="28">
        <f t="shared" si="8"/>
        <v>0.25874999999999998</v>
      </c>
      <c r="E128" s="13" t="s">
        <v>0</v>
      </c>
      <c r="F128" s="3" t="s">
        <v>87</v>
      </c>
      <c r="H128" s="28">
        <f t="shared" si="9"/>
        <v>-0.1173</v>
      </c>
    </row>
    <row r="129" spans="1:8" x14ac:dyDescent="0.2">
      <c r="A129" s="7" t="s">
        <v>84</v>
      </c>
      <c r="B129" s="28">
        <f>(B28*F10)*1/1000</f>
        <v>1.4999999999999999E-2</v>
      </c>
      <c r="C129" s="28">
        <f>C127</f>
        <v>3.666666666666667</v>
      </c>
      <c r="D129" s="28">
        <f t="shared" si="8"/>
        <v>5.5E-2</v>
      </c>
      <c r="E129" s="13" t="s">
        <v>0</v>
      </c>
      <c r="H129" s="28">
        <f t="shared" si="9"/>
        <v>-5.1000000000000004E-3</v>
      </c>
    </row>
    <row r="130" spans="1:8" x14ac:dyDescent="0.2">
      <c r="A130" s="7" t="s">
        <v>85</v>
      </c>
      <c r="B130" s="28">
        <f>B29*F10*(1/1000)</f>
        <v>0.15</v>
      </c>
      <c r="C130" s="28">
        <f>C129</f>
        <v>3.666666666666667</v>
      </c>
      <c r="D130" s="28">
        <f t="shared" si="8"/>
        <v>0.55000000000000004</v>
      </c>
      <c r="E130" s="13" t="s">
        <v>29</v>
      </c>
      <c r="H130" s="28">
        <f t="shared" si="9"/>
        <v>-5.1000000000000004E-2</v>
      </c>
    </row>
    <row r="131" spans="1:8" x14ac:dyDescent="0.2">
      <c r="A131" s="7" t="str">
        <f t="shared" ref="A131:B140" si="10">A63</f>
        <v>1V</v>
      </c>
      <c r="B131" s="28">
        <f t="shared" si="10"/>
        <v>0.77</v>
      </c>
      <c r="C131" s="28">
        <f t="shared" ref="C131:C140" si="11">$B$122-C63</f>
        <v>1.8366666666666669</v>
      </c>
      <c r="D131" s="28">
        <f t="shared" si="8"/>
        <v>1.4142333333333335</v>
      </c>
      <c r="E131" s="13" t="str">
        <f t="shared" ref="E131:E140" si="12">D63</f>
        <v>DL</v>
      </c>
      <c r="H131" s="28">
        <f t="shared" si="9"/>
        <v>-0.26180000000000003</v>
      </c>
    </row>
    <row r="132" spans="1:8" x14ac:dyDescent="0.2">
      <c r="A132" s="7" t="str">
        <f t="shared" si="10"/>
        <v>2V</v>
      </c>
      <c r="B132" s="28">
        <f t="shared" si="10"/>
        <v>0</v>
      </c>
      <c r="C132" s="28">
        <f t="shared" si="11"/>
        <v>1.8366666666666669</v>
      </c>
      <c r="D132" s="28">
        <f t="shared" ref="D132:D140" si="13">B132*C132</f>
        <v>0</v>
      </c>
      <c r="E132" s="13" t="str">
        <f t="shared" si="12"/>
        <v>DL</v>
      </c>
      <c r="F132" s="11"/>
      <c r="H132" s="28">
        <f t="shared" si="9"/>
        <v>0</v>
      </c>
    </row>
    <row r="133" spans="1:8" x14ac:dyDescent="0.2">
      <c r="A133" s="7" t="str">
        <f t="shared" si="10"/>
        <v>3V</v>
      </c>
      <c r="B133" s="28">
        <f t="shared" si="10"/>
        <v>0</v>
      </c>
      <c r="C133" s="28">
        <f t="shared" si="11"/>
        <v>5.166666666666667</v>
      </c>
      <c r="D133" s="28">
        <f t="shared" si="13"/>
        <v>0</v>
      </c>
      <c r="E133" s="13" t="str">
        <f t="shared" si="12"/>
        <v>DL</v>
      </c>
      <c r="H133" s="28">
        <f t="shared" si="9"/>
        <v>0</v>
      </c>
    </row>
    <row r="134" spans="1:8" x14ac:dyDescent="0.2">
      <c r="A134" s="7" t="str">
        <f t="shared" si="10"/>
        <v>4V</v>
      </c>
      <c r="B134" s="28">
        <f t="shared" si="10"/>
        <v>0</v>
      </c>
      <c r="C134" s="28">
        <f t="shared" si="11"/>
        <v>5.166666666666667</v>
      </c>
      <c r="D134" s="28">
        <f t="shared" si="13"/>
        <v>0</v>
      </c>
      <c r="E134" s="13" t="str">
        <f t="shared" si="12"/>
        <v>DL</v>
      </c>
      <c r="H134" s="28">
        <f t="shared" si="9"/>
        <v>0</v>
      </c>
    </row>
    <row r="135" spans="1:8" x14ac:dyDescent="0.2">
      <c r="A135" s="7" t="str">
        <f t="shared" si="10"/>
        <v>5V</v>
      </c>
      <c r="B135" s="28">
        <f t="shared" si="10"/>
        <v>0</v>
      </c>
      <c r="C135" s="28">
        <f t="shared" si="11"/>
        <v>5.166666666666667</v>
      </c>
      <c r="D135" s="28">
        <f t="shared" si="13"/>
        <v>0</v>
      </c>
      <c r="E135" s="13" t="str">
        <f t="shared" si="12"/>
        <v>DL</v>
      </c>
      <c r="H135" s="28">
        <f t="shared" si="9"/>
        <v>0</v>
      </c>
    </row>
    <row r="136" spans="1:8" x14ac:dyDescent="0.2">
      <c r="A136" s="7" t="str">
        <f t="shared" si="10"/>
        <v>6V</v>
      </c>
      <c r="B136" s="28">
        <f t="shared" si="10"/>
        <v>0</v>
      </c>
      <c r="C136" s="28">
        <f t="shared" si="11"/>
        <v>5.166666666666667</v>
      </c>
      <c r="D136" s="28">
        <f t="shared" si="13"/>
        <v>0</v>
      </c>
      <c r="E136" s="13" t="str">
        <f t="shared" si="12"/>
        <v>DL</v>
      </c>
      <c r="H136" s="28">
        <f t="shared" si="9"/>
        <v>0</v>
      </c>
    </row>
    <row r="137" spans="1:8" x14ac:dyDescent="0.2">
      <c r="A137" s="7" t="str">
        <f t="shared" si="10"/>
        <v>7V</v>
      </c>
      <c r="B137" s="28">
        <f t="shared" si="10"/>
        <v>0</v>
      </c>
      <c r="C137" s="28">
        <f t="shared" si="11"/>
        <v>5.166666666666667</v>
      </c>
      <c r="D137" s="28">
        <f t="shared" si="13"/>
        <v>0</v>
      </c>
      <c r="E137" s="13" t="str">
        <f t="shared" si="12"/>
        <v>DL</v>
      </c>
      <c r="H137" s="28">
        <f t="shared" si="9"/>
        <v>0</v>
      </c>
    </row>
    <row r="138" spans="1:8" x14ac:dyDescent="0.2">
      <c r="A138" s="7" t="str">
        <f t="shared" si="10"/>
        <v>8V</v>
      </c>
      <c r="B138" s="28">
        <f t="shared" si="10"/>
        <v>0</v>
      </c>
      <c r="C138" s="28">
        <f t="shared" si="11"/>
        <v>5.166666666666667</v>
      </c>
      <c r="D138" s="28">
        <f t="shared" si="13"/>
        <v>0</v>
      </c>
      <c r="E138" s="13" t="str">
        <f t="shared" si="12"/>
        <v>DL</v>
      </c>
      <c r="H138" s="28">
        <f t="shared" si="9"/>
        <v>0</v>
      </c>
    </row>
    <row r="139" spans="1:8" x14ac:dyDescent="0.2">
      <c r="A139" s="7" t="str">
        <f t="shared" si="10"/>
        <v>9V</v>
      </c>
      <c r="B139" s="28">
        <f t="shared" si="10"/>
        <v>0</v>
      </c>
      <c r="C139" s="28">
        <f t="shared" si="11"/>
        <v>5.166666666666667</v>
      </c>
      <c r="D139" s="28">
        <f t="shared" si="13"/>
        <v>0</v>
      </c>
      <c r="E139" s="13" t="str">
        <f t="shared" si="12"/>
        <v>DL</v>
      </c>
      <c r="H139" s="28">
        <f t="shared" si="9"/>
        <v>0</v>
      </c>
    </row>
    <row r="140" spans="1:8" x14ac:dyDescent="0.2">
      <c r="A140" s="7" t="str">
        <f t="shared" si="10"/>
        <v>10V</v>
      </c>
      <c r="B140" s="28">
        <f t="shared" si="10"/>
        <v>0</v>
      </c>
      <c r="C140" s="28">
        <f t="shared" si="11"/>
        <v>5.166666666666667</v>
      </c>
      <c r="D140" s="28">
        <f t="shared" si="13"/>
        <v>0</v>
      </c>
      <c r="E140" s="13" t="str">
        <f t="shared" si="12"/>
        <v>DL</v>
      </c>
      <c r="H140" s="28">
        <f t="shared" si="9"/>
        <v>0</v>
      </c>
    </row>
    <row r="143" spans="1:8" x14ac:dyDescent="0.2">
      <c r="A143" s="3" t="s">
        <v>88</v>
      </c>
    </row>
    <row r="144" spans="1:8" x14ac:dyDescent="0.2">
      <c r="A144" s="3" t="s">
        <v>75</v>
      </c>
      <c r="B144" s="5" t="s">
        <v>192</v>
      </c>
      <c r="C144" s="5" t="s">
        <v>89</v>
      </c>
      <c r="D144" s="5" t="s">
        <v>77</v>
      </c>
      <c r="E144" s="5" t="s">
        <v>37</v>
      </c>
      <c r="G144" s="5"/>
    </row>
    <row r="145" spans="1:8" x14ac:dyDescent="0.2">
      <c r="A145" s="7" t="s">
        <v>90</v>
      </c>
      <c r="B145" s="28">
        <f>B25/1000</f>
        <v>1.2915777777777777</v>
      </c>
      <c r="C145" s="28">
        <f>D25</f>
        <v>2.1111111111111112</v>
      </c>
      <c r="D145" s="28">
        <f>-1*B145*C145</f>
        <v>-2.7266641975308641</v>
      </c>
      <c r="E145" s="13" t="s">
        <v>40</v>
      </c>
      <c r="G145" s="5"/>
      <c r="H145" s="5"/>
    </row>
    <row r="146" spans="1:8" x14ac:dyDescent="0.2">
      <c r="A146" s="7" t="s">
        <v>91</v>
      </c>
      <c r="B146" s="28">
        <f>-1*B41/1000</f>
        <v>-0.35777777777777769</v>
      </c>
      <c r="C146" s="28">
        <f>D41</f>
        <v>1.1111111111111109</v>
      </c>
      <c r="D146" s="28">
        <f>B146*C146*-1</f>
        <v>0.3975308641975307</v>
      </c>
      <c r="E146" s="13" t="s">
        <v>92</v>
      </c>
      <c r="G146" s="5"/>
      <c r="H146" s="5"/>
    </row>
    <row r="147" spans="1:8" x14ac:dyDescent="0.2">
      <c r="A147" s="7" t="s">
        <v>84</v>
      </c>
      <c r="B147" s="28">
        <f>D28/1000</f>
        <v>1.5833333333333331E-2</v>
      </c>
      <c r="C147" s="28">
        <f>E28</f>
        <v>3.1666666666666665</v>
      </c>
      <c r="D147" s="28">
        <f>C147*B147*-1</f>
        <v>-5.0138888888888879E-2</v>
      </c>
      <c r="E147" s="13" t="s">
        <v>0</v>
      </c>
      <c r="G147" s="5"/>
      <c r="H147" s="5"/>
    </row>
    <row r="148" spans="1:8" x14ac:dyDescent="0.2">
      <c r="A148" s="7" t="s">
        <v>85</v>
      </c>
      <c r="B148" s="28">
        <f>D29/1000</f>
        <v>0.15833333333333333</v>
      </c>
      <c r="C148" s="28">
        <f>E29</f>
        <v>3.1666666666666665</v>
      </c>
      <c r="D148" s="28">
        <f>-1*B148*C148</f>
        <v>-0.50138888888888888</v>
      </c>
      <c r="E148" s="13" t="s">
        <v>29</v>
      </c>
      <c r="G148" s="5"/>
      <c r="H148" s="5"/>
    </row>
    <row r="149" spans="1:8" x14ac:dyDescent="0.2">
      <c r="A149" s="7" t="str">
        <f t="shared" ref="A149:C158" si="14">A76</f>
        <v>1H</v>
      </c>
      <c r="B149" s="28">
        <f t="shared" si="14"/>
        <v>0.14000000000000001</v>
      </c>
      <c r="C149" s="28">
        <f t="shared" si="14"/>
        <v>6.33</v>
      </c>
      <c r="D149" s="28">
        <f>-1*B149*C149</f>
        <v>-0.8862000000000001</v>
      </c>
      <c r="E149" s="13" t="str">
        <f t="shared" ref="E149:E158" si="15">D76</f>
        <v>W1</v>
      </c>
      <c r="G149" s="5"/>
      <c r="H149" s="5"/>
    </row>
    <row r="150" spans="1:8" x14ac:dyDescent="0.2">
      <c r="A150" s="7" t="str">
        <f t="shared" si="14"/>
        <v>2H</v>
      </c>
      <c r="B150" s="28">
        <f t="shared" si="14"/>
        <v>-0.19</v>
      </c>
      <c r="C150" s="28">
        <f t="shared" si="14"/>
        <v>6.33</v>
      </c>
      <c r="D150" s="28">
        <f t="shared" ref="D150:D158" si="16">-1*B150*C150</f>
        <v>1.2027000000000001</v>
      </c>
      <c r="E150" s="13" t="str">
        <f t="shared" si="15"/>
        <v>W2</v>
      </c>
      <c r="G150" s="5"/>
      <c r="H150" s="5"/>
    </row>
    <row r="151" spans="1:8" x14ac:dyDescent="0.2">
      <c r="A151" s="7" t="str">
        <f t="shared" si="14"/>
        <v>3H</v>
      </c>
      <c r="B151" s="28">
        <f t="shared" si="14"/>
        <v>0</v>
      </c>
      <c r="C151" s="28">
        <f t="shared" si="14"/>
        <v>0</v>
      </c>
      <c r="D151" s="28">
        <f t="shared" si="16"/>
        <v>0</v>
      </c>
      <c r="E151" s="13" t="str">
        <f t="shared" si="15"/>
        <v>DL</v>
      </c>
      <c r="G151" s="5"/>
      <c r="H151" s="5"/>
    </row>
    <row r="152" spans="1:8" x14ac:dyDescent="0.2">
      <c r="A152" s="7" t="str">
        <f t="shared" si="14"/>
        <v>4H</v>
      </c>
      <c r="B152" s="28">
        <f t="shared" si="14"/>
        <v>0</v>
      </c>
      <c r="C152" s="28">
        <f t="shared" si="14"/>
        <v>0</v>
      </c>
      <c r="D152" s="28">
        <f t="shared" si="16"/>
        <v>0</v>
      </c>
      <c r="E152" s="13" t="str">
        <f t="shared" si="15"/>
        <v>LL</v>
      </c>
      <c r="G152" s="5"/>
      <c r="H152" s="5"/>
    </row>
    <row r="153" spans="1:8" x14ac:dyDescent="0.2">
      <c r="A153" s="7" t="str">
        <f t="shared" si="14"/>
        <v>5H</v>
      </c>
      <c r="B153" s="28">
        <f t="shared" si="14"/>
        <v>0</v>
      </c>
      <c r="C153" s="28">
        <f t="shared" si="14"/>
        <v>0</v>
      </c>
      <c r="D153" s="28">
        <f t="shared" si="16"/>
        <v>0</v>
      </c>
      <c r="E153" s="13" t="str">
        <f t="shared" si="15"/>
        <v>DL</v>
      </c>
      <c r="G153" s="5"/>
      <c r="H153" s="5"/>
    </row>
    <row r="154" spans="1:8" x14ac:dyDescent="0.2">
      <c r="A154" s="7" t="str">
        <f t="shared" si="14"/>
        <v>6H</v>
      </c>
      <c r="B154" s="28">
        <f t="shared" si="14"/>
        <v>0</v>
      </c>
      <c r="C154" s="28">
        <f t="shared" si="14"/>
        <v>0</v>
      </c>
      <c r="D154" s="28">
        <f t="shared" si="16"/>
        <v>0</v>
      </c>
      <c r="E154" s="13" t="str">
        <f t="shared" si="15"/>
        <v>DL</v>
      </c>
      <c r="G154" s="5"/>
      <c r="H154" s="5"/>
    </row>
    <row r="155" spans="1:8" x14ac:dyDescent="0.2">
      <c r="A155" s="7" t="str">
        <f t="shared" si="14"/>
        <v>7H</v>
      </c>
      <c r="B155" s="28">
        <f t="shared" si="14"/>
        <v>0</v>
      </c>
      <c r="C155" s="28">
        <f t="shared" si="14"/>
        <v>0</v>
      </c>
      <c r="D155" s="28">
        <f t="shared" si="16"/>
        <v>0</v>
      </c>
      <c r="E155" s="13" t="str">
        <f t="shared" si="15"/>
        <v>DL</v>
      </c>
      <c r="G155" s="5"/>
      <c r="H155" s="5"/>
    </row>
    <row r="156" spans="1:8" x14ac:dyDescent="0.2">
      <c r="A156" s="7" t="str">
        <f t="shared" si="14"/>
        <v>8H</v>
      </c>
      <c r="B156" s="28">
        <f t="shared" si="14"/>
        <v>0</v>
      </c>
      <c r="C156" s="28">
        <f t="shared" si="14"/>
        <v>0</v>
      </c>
      <c r="D156" s="28">
        <f t="shared" si="16"/>
        <v>0</v>
      </c>
      <c r="E156" s="13" t="str">
        <f t="shared" si="15"/>
        <v>DL</v>
      </c>
      <c r="G156" s="5"/>
      <c r="H156" s="5"/>
    </row>
    <row r="157" spans="1:8" x14ac:dyDescent="0.2">
      <c r="A157" s="7" t="str">
        <f t="shared" si="14"/>
        <v>9H</v>
      </c>
      <c r="B157" s="28">
        <f t="shared" si="14"/>
        <v>0.04</v>
      </c>
      <c r="C157" s="28">
        <f t="shared" si="14"/>
        <v>5.333333333333333</v>
      </c>
      <c r="D157" s="28">
        <f t="shared" si="16"/>
        <v>-0.21333333333333332</v>
      </c>
      <c r="E157" s="13" t="str">
        <f t="shared" si="15"/>
        <v>W1</v>
      </c>
      <c r="G157" s="5"/>
      <c r="H157" s="5"/>
    </row>
    <row r="158" spans="1:8" x14ac:dyDescent="0.2">
      <c r="A158" s="7" t="str">
        <f t="shared" si="14"/>
        <v>10H</v>
      </c>
      <c r="B158" s="28">
        <f t="shared" si="14"/>
        <v>-5.3999999999999999E-2</v>
      </c>
      <c r="C158" s="28">
        <f t="shared" si="14"/>
        <v>5.333333333333333</v>
      </c>
      <c r="D158" s="28">
        <f t="shared" si="16"/>
        <v>0.28799999999999998</v>
      </c>
      <c r="E158" s="13" t="str">
        <f t="shared" si="15"/>
        <v>W2</v>
      </c>
      <c r="G158" s="5"/>
      <c r="H158" s="5"/>
    </row>
    <row r="159" spans="1:8" x14ac:dyDescent="0.2">
      <c r="B159" s="9"/>
      <c r="C159" s="9"/>
      <c r="D159" s="5"/>
    </row>
    <row r="160" spans="1:8" x14ac:dyDescent="0.2">
      <c r="B160" s="9"/>
      <c r="C160" s="9"/>
      <c r="D160" s="5"/>
    </row>
    <row r="161" spans="2:4" x14ac:dyDescent="0.2">
      <c r="B161" s="9"/>
      <c r="C161" s="9"/>
      <c r="D161" s="5"/>
    </row>
    <row r="162" spans="2:4" x14ac:dyDescent="0.2">
      <c r="B162" s="9"/>
      <c r="C162" s="9"/>
      <c r="D162" s="5"/>
    </row>
    <row r="179" spans="1:7" x14ac:dyDescent="0.2">
      <c r="A179" s="15" t="s">
        <v>235</v>
      </c>
    </row>
    <row r="180" spans="1:7" x14ac:dyDescent="0.2">
      <c r="A180" s="3" t="s">
        <v>95</v>
      </c>
      <c r="E180" s="3" t="s">
        <v>100</v>
      </c>
    </row>
    <row r="181" spans="1:7" x14ac:dyDescent="0.2">
      <c r="A181" s="3" t="s">
        <v>98</v>
      </c>
      <c r="E181" s="3" t="s">
        <v>101</v>
      </c>
    </row>
    <row r="182" spans="1:7" x14ac:dyDescent="0.2">
      <c r="A182" s="3" t="s">
        <v>99</v>
      </c>
      <c r="E182" s="3" t="s">
        <v>102</v>
      </c>
    </row>
    <row r="183" spans="1:7" x14ac:dyDescent="0.2">
      <c r="B183" s="5" t="s">
        <v>93</v>
      </c>
      <c r="C183" s="5" t="s">
        <v>94</v>
      </c>
      <c r="F183" s="5" t="s">
        <v>103</v>
      </c>
      <c r="G183" s="5" t="s">
        <v>104</v>
      </c>
    </row>
    <row r="184" spans="1:7" x14ac:dyDescent="0.2">
      <c r="A184" s="5" t="s">
        <v>0</v>
      </c>
      <c r="B184" s="29">
        <f t="shared" ref="B184:B195" si="17">SUMIFS($D$125:$D$140,$E$125:$E$140,A184,$D$125:$D$140,"&lt;0")+SUMIFS($D$145:$D$158,$E$145:$E$158,A184,$D$145:$D$158,"&lt;0")</f>
        <v>-5.0138888888888879E-2</v>
      </c>
      <c r="C184" s="29">
        <f t="shared" ref="C184:C195" si="18">SUMIFS($D$125:$D$140,$E$125:$E$140,A184,$D$125:$D$140,"&gt;0")+SUMIFS($D$145:$D$158,$E$145:$E$158,A184,$D$145:$D$158,"&gt;0")</f>
        <v>11.519557407407408</v>
      </c>
      <c r="E184" s="5" t="s">
        <v>0</v>
      </c>
      <c r="F184" s="29">
        <f>SUMIFS($H$125:$H$140,$E$125:$E$140,E184,$H$125:$H$140,"&gt;0")+SUMIFS($B$145:$B$158,$E$145:$E$158,E184,$B$145:$B$158,"&gt;0")</f>
        <v>1.5833333333333331E-2</v>
      </c>
      <c r="G184" s="29">
        <f>SUMIFS($H$125:$H$140,$E$125:$E$140,E184,$H$125:$H$140,"&lt;0")+SUMIFS($B$145:$B$158,$E$145:$E$158,E184,$B$145:$B$158,"&lt;0")</f>
        <v>-1.4746555555555558</v>
      </c>
    </row>
    <row r="185" spans="1:7" x14ac:dyDescent="0.2">
      <c r="A185" s="5" t="s">
        <v>39</v>
      </c>
      <c r="B185" s="29">
        <f t="shared" si="17"/>
        <v>0</v>
      </c>
      <c r="C185" s="29">
        <f t="shared" si="18"/>
        <v>0</v>
      </c>
      <c r="E185" s="5" t="s">
        <v>39</v>
      </c>
      <c r="F185" s="29">
        <f t="shared" ref="F185:F195" si="19">SUMIFS($H$125:$H$140,$E$125:$E$140,E185,$H$125:$H$140,"&gt;0")+SUMIFS($B$145:$B$158,$E$145:$E$158,E185,$B$145:$B$158,"&gt;0")</f>
        <v>0</v>
      </c>
      <c r="G185" s="29">
        <f t="shared" ref="G185:G195" si="20">SUMIFS($H$125:$H$140,$E$125:$E$140,E185,$H$125:$H$140,"&lt;0")+SUMIFS($B$145:$B$158,$E$145:$E$158,E185,$B$145:$B$158,"&lt;0")</f>
        <v>0</v>
      </c>
    </row>
    <row r="186" spans="1:7" x14ac:dyDescent="0.2">
      <c r="A186" s="5" t="s">
        <v>29</v>
      </c>
      <c r="B186" s="29">
        <f t="shared" si="17"/>
        <v>-0.50138888888888888</v>
      </c>
      <c r="C186" s="29">
        <f t="shared" si="18"/>
        <v>0.55000000000000004</v>
      </c>
      <c r="E186" s="5" t="s">
        <v>29</v>
      </c>
      <c r="F186" s="29">
        <f t="shared" si="19"/>
        <v>0.15833333333333333</v>
      </c>
      <c r="G186" s="29">
        <f t="shared" si="20"/>
        <v>-5.1000000000000004E-2</v>
      </c>
    </row>
    <row r="187" spans="1:7" x14ac:dyDescent="0.2">
      <c r="A187" s="5" t="s">
        <v>40</v>
      </c>
      <c r="B187" s="29">
        <f t="shared" si="17"/>
        <v>-2.7266641975308641</v>
      </c>
      <c r="C187" s="29">
        <f t="shared" si="18"/>
        <v>0</v>
      </c>
      <c r="E187" s="5" t="s">
        <v>40</v>
      </c>
      <c r="F187" s="29">
        <f t="shared" si="19"/>
        <v>1.2915777777777777</v>
      </c>
      <c r="G187" s="29">
        <f t="shared" si="20"/>
        <v>0</v>
      </c>
    </row>
    <row r="188" spans="1:7" x14ac:dyDescent="0.2">
      <c r="A188" s="5" t="s">
        <v>92</v>
      </c>
      <c r="B188" s="29">
        <f t="shared" si="17"/>
        <v>0</v>
      </c>
      <c r="C188" s="29">
        <f t="shared" si="18"/>
        <v>0.3975308641975307</v>
      </c>
      <c r="E188" s="5" t="s">
        <v>92</v>
      </c>
      <c r="F188" s="29">
        <f t="shared" si="19"/>
        <v>0</v>
      </c>
      <c r="G188" s="29">
        <f t="shared" si="20"/>
        <v>-0.35777777777777769</v>
      </c>
    </row>
    <row r="189" spans="1:7" x14ac:dyDescent="0.2">
      <c r="A189" s="5" t="s">
        <v>41</v>
      </c>
      <c r="B189" s="29">
        <f t="shared" si="17"/>
        <v>0</v>
      </c>
      <c r="C189" s="29">
        <f t="shared" si="18"/>
        <v>0</v>
      </c>
      <c r="E189" s="5" t="s">
        <v>41</v>
      </c>
      <c r="F189" s="29">
        <f t="shared" si="19"/>
        <v>0</v>
      </c>
      <c r="G189" s="29">
        <f t="shared" si="20"/>
        <v>0</v>
      </c>
    </row>
    <row r="190" spans="1:7" x14ac:dyDescent="0.2">
      <c r="A190" s="5" t="s">
        <v>42</v>
      </c>
      <c r="B190" s="29">
        <f t="shared" si="17"/>
        <v>0</v>
      </c>
      <c r="C190" s="29">
        <f t="shared" si="18"/>
        <v>0</v>
      </c>
      <c r="E190" s="5" t="s">
        <v>42</v>
      </c>
      <c r="F190" s="29">
        <f t="shared" si="19"/>
        <v>0</v>
      </c>
      <c r="G190" s="29">
        <f t="shared" si="20"/>
        <v>0</v>
      </c>
    </row>
    <row r="191" spans="1:7" x14ac:dyDescent="0.2">
      <c r="A191" s="5" t="s">
        <v>43</v>
      </c>
      <c r="B191" s="29">
        <f t="shared" si="17"/>
        <v>0</v>
      </c>
      <c r="C191" s="29">
        <f t="shared" si="18"/>
        <v>0</v>
      </c>
      <c r="E191" s="5" t="s">
        <v>43</v>
      </c>
      <c r="F191" s="29">
        <f t="shared" si="19"/>
        <v>0</v>
      </c>
      <c r="G191" s="29">
        <f t="shared" si="20"/>
        <v>0</v>
      </c>
    </row>
    <row r="192" spans="1:7" x14ac:dyDescent="0.2">
      <c r="A192" s="5" t="s">
        <v>44</v>
      </c>
      <c r="B192" s="29">
        <f t="shared" si="17"/>
        <v>-1.0995333333333335</v>
      </c>
      <c r="C192" s="29">
        <f t="shared" si="18"/>
        <v>0</v>
      </c>
      <c r="E192" s="5" t="s">
        <v>44</v>
      </c>
      <c r="F192" s="29">
        <f t="shared" si="19"/>
        <v>0.18000000000000002</v>
      </c>
      <c r="G192" s="29">
        <f t="shared" si="20"/>
        <v>0</v>
      </c>
    </row>
    <row r="193" spans="1:8" x14ac:dyDescent="0.2">
      <c r="A193" s="5" t="s">
        <v>45</v>
      </c>
      <c r="B193" s="29">
        <f t="shared" si="17"/>
        <v>0</v>
      </c>
      <c r="C193" s="29">
        <f t="shared" si="18"/>
        <v>1.4907000000000001</v>
      </c>
      <c r="E193" s="5" t="s">
        <v>45</v>
      </c>
      <c r="F193" s="29">
        <f t="shared" si="19"/>
        <v>0</v>
      </c>
      <c r="G193" s="29">
        <f t="shared" si="20"/>
        <v>-0.24399999999999999</v>
      </c>
    </row>
    <row r="194" spans="1:8" x14ac:dyDescent="0.2">
      <c r="A194" s="5" t="s">
        <v>46</v>
      </c>
      <c r="B194" s="29">
        <f t="shared" si="17"/>
        <v>0</v>
      </c>
      <c r="C194" s="29">
        <f t="shared" si="18"/>
        <v>0</v>
      </c>
      <c r="E194" s="5" t="s">
        <v>46</v>
      </c>
      <c r="F194" s="29">
        <f t="shared" si="19"/>
        <v>0</v>
      </c>
      <c r="G194" s="29">
        <f t="shared" si="20"/>
        <v>0</v>
      </c>
    </row>
    <row r="195" spans="1:8" x14ac:dyDescent="0.2">
      <c r="A195" s="5" t="s">
        <v>47</v>
      </c>
      <c r="B195" s="29">
        <f t="shared" si="17"/>
        <v>0</v>
      </c>
      <c r="C195" s="29">
        <f t="shared" si="18"/>
        <v>0</v>
      </c>
      <c r="E195" s="5" t="s">
        <v>47</v>
      </c>
      <c r="F195" s="29">
        <f t="shared" si="19"/>
        <v>0</v>
      </c>
      <c r="G195" s="29">
        <f t="shared" si="20"/>
        <v>0</v>
      </c>
    </row>
    <row r="196" spans="1:8" x14ac:dyDescent="0.2">
      <c r="D196" s="5" t="s">
        <v>106</v>
      </c>
      <c r="H196" s="5" t="s">
        <v>106</v>
      </c>
    </row>
    <row r="197" spans="1:8" x14ac:dyDescent="0.2">
      <c r="B197" s="28" cm="1">
        <f t="array" ref="B197:B251">MMULT(LOAD_COMBOS!A3:L57,Unit_Width_Strip_Foundation!B184:B195)</f>
        <v>-2.7768030864197528</v>
      </c>
      <c r="C197" s="28" cm="1">
        <f t="array" ref="C197:C251">MMULT(LOAD_COMBOS!A3:L57,Unit_Width_Strip_Foundation!C184:C195)</f>
        <v>11.917088271604939</v>
      </c>
      <c r="D197" s="28">
        <f>ABS(C197/B197)</f>
        <v>4.2916576727700679</v>
      </c>
      <c r="F197" s="28" cm="1">
        <f t="array" ref="F197:F251">MMULT(LOAD_COMBOS!A3:L57,Unit_Width_Strip_Foundation!F184:F195)</f>
        <v>1.3074111111111111</v>
      </c>
      <c r="G197" s="28" cm="1">
        <f t="array" ref="G197:G251">MMULT(LOAD_COMBOS!A3:L57,Unit_Width_Strip_Foundation!G184:G195)</f>
        <v>-1.8324333333333336</v>
      </c>
      <c r="H197" s="28">
        <f>ABS(G197/F197)</f>
        <v>1.4015739332183197</v>
      </c>
    </row>
    <row r="198" spans="1:8" x14ac:dyDescent="0.2">
      <c r="B198" s="28">
        <v>-3.8763364197530863</v>
      </c>
      <c r="C198" s="28">
        <v>11.917088271604939</v>
      </c>
      <c r="D198" s="28">
        <f t="shared" ref="D198:D251" si="21">ABS(C198/B198)</f>
        <v>3.0743173401765862</v>
      </c>
      <c r="F198" s="28">
        <v>1.487411111111111</v>
      </c>
      <c r="G198" s="28">
        <v>-1.8324333333333336</v>
      </c>
      <c r="H198" s="28">
        <f t="shared" ref="H198:H251" si="22">ABS(G198/F198)</f>
        <v>1.2319615738008622</v>
      </c>
    </row>
    <row r="199" spans="1:8" x14ac:dyDescent="0.2">
      <c r="B199" s="28">
        <v>-2.7768030864197528</v>
      </c>
      <c r="C199" s="28">
        <v>13.407788271604939</v>
      </c>
      <c r="D199" s="28">
        <f t="shared" si="21"/>
        <v>4.8284980440914724</v>
      </c>
      <c r="F199" s="28">
        <v>1.3074111111111111</v>
      </c>
      <c r="G199" s="28">
        <v>-2.0764333333333336</v>
      </c>
      <c r="H199" s="28">
        <f t="shared" si="22"/>
        <v>1.5882022997101994</v>
      </c>
    </row>
    <row r="200" spans="1:8" x14ac:dyDescent="0.2">
      <c r="B200" s="28">
        <v>-2.7768030864197528</v>
      </c>
      <c r="C200" s="28">
        <v>11.917088271604939</v>
      </c>
      <c r="D200" s="28">
        <f t="shared" si="21"/>
        <v>4.2916576727700679</v>
      </c>
      <c r="F200" s="28">
        <v>1.3074111111111111</v>
      </c>
      <c r="G200" s="28">
        <v>-1.8324333333333336</v>
      </c>
      <c r="H200" s="28">
        <f t="shared" si="22"/>
        <v>1.4015739332183197</v>
      </c>
    </row>
    <row r="201" spans="1:8" x14ac:dyDescent="0.2">
      <c r="B201" s="28">
        <v>-2.7768030864197528</v>
      </c>
      <c r="C201" s="28">
        <v>11.917088271604939</v>
      </c>
      <c r="D201" s="28">
        <f t="shared" si="21"/>
        <v>4.2916576727700679</v>
      </c>
      <c r="F201" s="28">
        <v>1.3074111111111111</v>
      </c>
      <c r="G201" s="28">
        <v>-1.8324333333333336</v>
      </c>
      <c r="H201" s="28">
        <f t="shared" si="22"/>
        <v>1.4015739332183197</v>
      </c>
    </row>
    <row r="202" spans="1:8" x14ac:dyDescent="0.2">
      <c r="B202" s="28">
        <v>-3.2781919753086419</v>
      </c>
      <c r="C202" s="28">
        <v>12.46708827160494</v>
      </c>
      <c r="D202" s="28">
        <f t="shared" si="21"/>
        <v>3.8030378835367515</v>
      </c>
      <c r="F202" s="28">
        <v>1.4657444444444443</v>
      </c>
      <c r="G202" s="28">
        <v>-1.8834333333333335</v>
      </c>
      <c r="H202" s="28">
        <f t="shared" si="22"/>
        <v>1.2849670626227101</v>
      </c>
    </row>
    <row r="203" spans="1:8" x14ac:dyDescent="0.2">
      <c r="B203" s="28">
        <v>-4.3777253086419758</v>
      </c>
      <c r="C203" s="28">
        <v>12.46708827160494</v>
      </c>
      <c r="D203" s="28">
        <f t="shared" si="21"/>
        <v>2.8478461741292724</v>
      </c>
      <c r="F203" s="28">
        <v>1.6457444444444442</v>
      </c>
      <c r="G203" s="28">
        <v>-1.8834333333333335</v>
      </c>
      <c r="H203" s="28">
        <f t="shared" si="22"/>
        <v>1.1444263656433769</v>
      </c>
    </row>
    <row r="204" spans="1:8" x14ac:dyDescent="0.2">
      <c r="B204" s="28">
        <v>-3.2781919753086419</v>
      </c>
      <c r="C204" s="28">
        <v>13.95778827160494</v>
      </c>
      <c r="D204" s="28">
        <f t="shared" si="21"/>
        <v>4.2577702516311033</v>
      </c>
      <c r="F204" s="28">
        <v>1.4657444444444443</v>
      </c>
      <c r="G204" s="28">
        <v>-2.1274333333333333</v>
      </c>
      <c r="H204" s="28">
        <f t="shared" si="22"/>
        <v>1.4514353722416369</v>
      </c>
    </row>
    <row r="205" spans="1:8" x14ac:dyDescent="0.2">
      <c r="B205" s="28">
        <v>-3.2781919753086419</v>
      </c>
      <c r="C205" s="28">
        <v>12.46708827160494</v>
      </c>
      <c r="D205" s="28">
        <f t="shared" si="21"/>
        <v>3.8030378835367515</v>
      </c>
      <c r="F205" s="28">
        <v>1.4657444444444443</v>
      </c>
      <c r="G205" s="28">
        <v>-1.8834333333333335</v>
      </c>
      <c r="H205" s="28">
        <f t="shared" si="22"/>
        <v>1.2849670626227101</v>
      </c>
    </row>
    <row r="206" spans="1:8" x14ac:dyDescent="0.2">
      <c r="B206" s="28">
        <v>-3.2781919753086419</v>
      </c>
      <c r="C206" s="28">
        <v>12.46708827160494</v>
      </c>
      <c r="D206" s="28">
        <f t="shared" si="21"/>
        <v>3.8030378835367515</v>
      </c>
      <c r="F206" s="28">
        <v>1.4657444444444443</v>
      </c>
      <c r="G206" s="28">
        <v>-1.8834333333333335</v>
      </c>
      <c r="H206" s="28">
        <f t="shared" si="22"/>
        <v>1.2849670626227101</v>
      </c>
    </row>
    <row r="207" spans="1:8" x14ac:dyDescent="0.2">
      <c r="B207" s="28">
        <v>-3.2781919753086419</v>
      </c>
      <c r="C207" s="28">
        <v>12.46708827160494</v>
      </c>
      <c r="D207" s="28">
        <f t="shared" si="21"/>
        <v>3.8030378835367515</v>
      </c>
      <c r="F207" s="28">
        <v>1.4657444444444443</v>
      </c>
      <c r="G207" s="28">
        <v>-1.8834333333333335</v>
      </c>
      <c r="H207" s="28">
        <f t="shared" si="22"/>
        <v>1.2849670626227101</v>
      </c>
    </row>
    <row r="208" spans="1:8" x14ac:dyDescent="0.2">
      <c r="B208" s="28">
        <v>-4.3777253086419758</v>
      </c>
      <c r="C208" s="28">
        <v>12.46708827160494</v>
      </c>
      <c r="D208" s="28">
        <f t="shared" si="21"/>
        <v>2.8478461741292724</v>
      </c>
      <c r="F208" s="28">
        <v>1.6457444444444442</v>
      </c>
      <c r="G208" s="28">
        <v>-1.8834333333333335</v>
      </c>
      <c r="H208" s="28">
        <f t="shared" si="22"/>
        <v>1.1444263656433769</v>
      </c>
    </row>
    <row r="209" spans="2:8" x14ac:dyDescent="0.2">
      <c r="B209" s="28">
        <v>-3.2781919753086419</v>
      </c>
      <c r="C209" s="28">
        <v>13.95778827160494</v>
      </c>
      <c r="D209" s="28">
        <f t="shared" si="21"/>
        <v>4.2577702516311033</v>
      </c>
      <c r="F209" s="28">
        <v>1.4657444444444443</v>
      </c>
      <c r="G209" s="28">
        <v>-2.1274333333333333</v>
      </c>
      <c r="H209" s="28">
        <f t="shared" si="22"/>
        <v>1.4514353722416369</v>
      </c>
    </row>
    <row r="210" spans="2:8" x14ac:dyDescent="0.2">
      <c r="B210" s="28">
        <v>-3.2781919753086419</v>
      </c>
      <c r="C210" s="28">
        <v>12.46708827160494</v>
      </c>
      <c r="D210" s="28">
        <f t="shared" si="21"/>
        <v>3.8030378835367515</v>
      </c>
      <c r="F210" s="28">
        <v>1.4657444444444443</v>
      </c>
      <c r="G210" s="28">
        <v>-1.8834333333333335</v>
      </c>
      <c r="H210" s="28">
        <f t="shared" si="22"/>
        <v>1.2849670626227101</v>
      </c>
    </row>
    <row r="211" spans="2:8" x14ac:dyDescent="0.2">
      <c r="B211" s="28">
        <v>-3.2781919753086419</v>
      </c>
      <c r="C211" s="28">
        <v>12.46708827160494</v>
      </c>
      <c r="D211" s="28">
        <f t="shared" si="21"/>
        <v>3.8030378835367515</v>
      </c>
      <c r="F211" s="28">
        <v>1.4657444444444443</v>
      </c>
      <c r="G211" s="28">
        <v>-1.8834333333333335</v>
      </c>
      <c r="H211" s="28">
        <f t="shared" si="22"/>
        <v>1.2849670626227101</v>
      </c>
    </row>
    <row r="212" spans="2:8" x14ac:dyDescent="0.2">
      <c r="B212" s="28">
        <v>-3.2781919753086419</v>
      </c>
      <c r="C212" s="28">
        <v>12.46708827160494</v>
      </c>
      <c r="D212" s="28">
        <f t="shared" si="21"/>
        <v>3.8030378835367515</v>
      </c>
      <c r="F212" s="28">
        <v>1.4657444444444443</v>
      </c>
      <c r="G212" s="28">
        <v>-1.8834333333333335</v>
      </c>
      <c r="H212" s="28">
        <f t="shared" si="22"/>
        <v>1.2849670626227101</v>
      </c>
    </row>
    <row r="213" spans="2:8" x14ac:dyDescent="0.2">
      <c r="B213" s="28">
        <v>-4.3777253086419758</v>
      </c>
      <c r="C213" s="28">
        <v>12.46708827160494</v>
      </c>
      <c r="D213" s="28">
        <f t="shared" si="21"/>
        <v>2.8478461741292724</v>
      </c>
      <c r="F213" s="28">
        <v>1.6457444444444442</v>
      </c>
      <c r="G213" s="28">
        <v>-1.8834333333333335</v>
      </c>
      <c r="H213" s="28">
        <f t="shared" si="22"/>
        <v>1.1444263656433769</v>
      </c>
    </row>
    <row r="214" spans="2:8" x14ac:dyDescent="0.2">
      <c r="B214" s="28">
        <v>-3.2781919753086419</v>
      </c>
      <c r="C214" s="28">
        <v>13.95778827160494</v>
      </c>
      <c r="D214" s="28">
        <f t="shared" si="21"/>
        <v>4.2577702516311033</v>
      </c>
      <c r="F214" s="28">
        <v>1.4657444444444443</v>
      </c>
      <c r="G214" s="28">
        <v>-2.1274333333333333</v>
      </c>
      <c r="H214" s="28">
        <f t="shared" si="22"/>
        <v>1.4514353722416369</v>
      </c>
    </row>
    <row r="215" spans="2:8" x14ac:dyDescent="0.2">
      <c r="B215" s="28">
        <v>-3.2781919753086419</v>
      </c>
      <c r="C215" s="28">
        <v>12.46708827160494</v>
      </c>
      <c r="D215" s="28">
        <f t="shared" si="21"/>
        <v>3.8030378835367515</v>
      </c>
      <c r="F215" s="28">
        <v>1.4657444444444443</v>
      </c>
      <c r="G215" s="28">
        <v>-1.8834333333333335</v>
      </c>
      <c r="H215" s="28">
        <f t="shared" si="22"/>
        <v>1.2849670626227101</v>
      </c>
    </row>
    <row r="216" spans="2:8" x14ac:dyDescent="0.2">
      <c r="B216" s="28">
        <v>-3.2781919753086419</v>
      </c>
      <c r="C216" s="28">
        <v>12.46708827160494</v>
      </c>
      <c r="D216" s="28">
        <f t="shared" si="21"/>
        <v>3.8030378835367515</v>
      </c>
      <c r="F216" s="28">
        <v>1.4657444444444443</v>
      </c>
      <c r="G216" s="28">
        <v>-1.8834333333333335</v>
      </c>
      <c r="H216" s="28">
        <f t="shared" si="22"/>
        <v>1.2849670626227101</v>
      </c>
    </row>
    <row r="217" spans="2:8" x14ac:dyDescent="0.2">
      <c r="B217" s="28">
        <v>-3.2781919753086419</v>
      </c>
      <c r="C217" s="28">
        <v>12.46708827160494</v>
      </c>
      <c r="D217" s="28">
        <f t="shared" si="21"/>
        <v>3.8030378835367515</v>
      </c>
      <c r="F217" s="28">
        <v>1.4657444444444443</v>
      </c>
      <c r="G217" s="28">
        <v>-1.8834333333333335</v>
      </c>
      <c r="H217" s="28">
        <f t="shared" si="22"/>
        <v>1.2849670626227101</v>
      </c>
    </row>
    <row r="218" spans="2:8" x14ac:dyDescent="0.2">
      <c r="B218" s="28">
        <v>-4.3777253086419758</v>
      </c>
      <c r="C218" s="28">
        <v>12.46708827160494</v>
      </c>
      <c r="D218" s="28">
        <f t="shared" si="21"/>
        <v>2.8478461741292724</v>
      </c>
      <c r="F218" s="28">
        <v>1.6457444444444442</v>
      </c>
      <c r="G218" s="28">
        <v>-1.8834333333333335</v>
      </c>
      <c r="H218" s="28">
        <f t="shared" si="22"/>
        <v>1.1444263656433769</v>
      </c>
    </row>
    <row r="219" spans="2:8" x14ac:dyDescent="0.2">
      <c r="B219" s="28">
        <v>-3.2781919753086419</v>
      </c>
      <c r="C219" s="28">
        <v>13.95778827160494</v>
      </c>
      <c r="D219" s="28">
        <f t="shared" si="21"/>
        <v>4.2577702516311033</v>
      </c>
      <c r="F219" s="28">
        <v>1.4657444444444443</v>
      </c>
      <c r="G219" s="28">
        <v>-2.1274333333333333</v>
      </c>
      <c r="H219" s="28">
        <f t="shared" si="22"/>
        <v>1.4514353722416369</v>
      </c>
    </row>
    <row r="220" spans="2:8" x14ac:dyDescent="0.2">
      <c r="B220" s="28">
        <v>-3.2781919753086419</v>
      </c>
      <c r="C220" s="28">
        <v>12.46708827160494</v>
      </c>
      <c r="D220" s="28">
        <f t="shared" si="21"/>
        <v>3.8030378835367515</v>
      </c>
      <c r="F220" s="28">
        <v>1.4657444444444443</v>
      </c>
      <c r="G220" s="28">
        <v>-1.8834333333333335</v>
      </c>
      <c r="H220" s="28">
        <f t="shared" si="22"/>
        <v>1.2849670626227101</v>
      </c>
    </row>
    <row r="221" spans="2:8" x14ac:dyDescent="0.2">
      <c r="B221" s="28">
        <v>-3.2781919753086419</v>
      </c>
      <c r="C221" s="28">
        <v>12.46708827160494</v>
      </c>
      <c r="D221" s="28">
        <f t="shared" si="21"/>
        <v>3.8030378835367515</v>
      </c>
      <c r="F221" s="28">
        <v>1.4657444444444443</v>
      </c>
      <c r="G221" s="28">
        <v>-1.8834333333333335</v>
      </c>
      <c r="H221" s="28">
        <f t="shared" si="22"/>
        <v>1.2849670626227101</v>
      </c>
    </row>
    <row r="222" spans="2:8" x14ac:dyDescent="0.2">
      <c r="B222" s="28">
        <v>-2.7768030864197528</v>
      </c>
      <c r="C222" s="28">
        <v>11.917088271604939</v>
      </c>
      <c r="D222" s="28">
        <f t="shared" si="21"/>
        <v>4.2916576727700679</v>
      </c>
      <c r="F222" s="28">
        <v>1.3074111111111111</v>
      </c>
      <c r="G222" s="28">
        <v>-1.8324333333333336</v>
      </c>
      <c r="H222" s="28">
        <f t="shared" si="22"/>
        <v>1.4015739332183197</v>
      </c>
    </row>
    <row r="223" spans="2:8" x14ac:dyDescent="0.2">
      <c r="B223" s="28">
        <v>-3.8763364197530863</v>
      </c>
      <c r="C223" s="28">
        <v>11.917088271604939</v>
      </c>
      <c r="D223" s="28">
        <f t="shared" si="21"/>
        <v>3.0743173401765862</v>
      </c>
      <c r="F223" s="28">
        <v>1.487411111111111</v>
      </c>
      <c r="G223" s="28">
        <v>-1.8324333333333336</v>
      </c>
      <c r="H223" s="28">
        <f t="shared" si="22"/>
        <v>1.2319615738008622</v>
      </c>
    </row>
    <row r="224" spans="2:8" x14ac:dyDescent="0.2">
      <c r="B224" s="28">
        <v>-2.7768030864197528</v>
      </c>
      <c r="C224" s="28">
        <v>13.407788271604939</v>
      </c>
      <c r="D224" s="28">
        <f t="shared" si="21"/>
        <v>4.8284980440914724</v>
      </c>
      <c r="F224" s="28">
        <v>1.3074111111111111</v>
      </c>
      <c r="G224" s="28">
        <v>-2.0764333333333336</v>
      </c>
      <c r="H224" s="28">
        <f t="shared" si="22"/>
        <v>1.5882022997101994</v>
      </c>
    </row>
    <row r="225" spans="2:8" x14ac:dyDescent="0.2">
      <c r="B225" s="28">
        <v>-2.7768030864197528</v>
      </c>
      <c r="C225" s="28">
        <v>11.917088271604939</v>
      </c>
      <c r="D225" s="28">
        <f t="shared" si="21"/>
        <v>4.2916576727700679</v>
      </c>
      <c r="F225" s="28">
        <v>1.3074111111111111</v>
      </c>
      <c r="G225" s="28">
        <v>-1.8324333333333336</v>
      </c>
      <c r="H225" s="28">
        <f t="shared" si="22"/>
        <v>1.4015739332183197</v>
      </c>
    </row>
    <row r="226" spans="2:8" x14ac:dyDescent="0.2">
      <c r="B226" s="28">
        <v>-2.7768030864197528</v>
      </c>
      <c r="C226" s="28">
        <v>11.917088271604939</v>
      </c>
      <c r="D226" s="28">
        <f t="shared" si="21"/>
        <v>4.2916576727700679</v>
      </c>
      <c r="F226" s="28">
        <v>1.3074111111111111</v>
      </c>
      <c r="G226" s="28">
        <v>-1.8324333333333336</v>
      </c>
      <c r="H226" s="28">
        <f t="shared" si="22"/>
        <v>1.4015739332183197</v>
      </c>
    </row>
    <row r="227" spans="2:8" x14ac:dyDescent="0.2">
      <c r="B227" s="28">
        <v>-2.7768030864197528</v>
      </c>
      <c r="C227" s="28">
        <v>11.917088271604939</v>
      </c>
      <c r="D227" s="28">
        <f t="shared" si="21"/>
        <v>4.2916576727700679</v>
      </c>
      <c r="F227" s="28">
        <v>1.3074111111111111</v>
      </c>
      <c r="G227" s="28">
        <v>-1.8324333333333336</v>
      </c>
      <c r="H227" s="28">
        <f t="shared" si="22"/>
        <v>1.4015739332183197</v>
      </c>
    </row>
    <row r="228" spans="2:8" x14ac:dyDescent="0.2">
      <c r="B228" s="28">
        <v>-3.8763364197530863</v>
      </c>
      <c r="C228" s="28">
        <v>11.917088271604939</v>
      </c>
      <c r="D228" s="28">
        <f t="shared" si="21"/>
        <v>3.0743173401765862</v>
      </c>
      <c r="F228" s="28">
        <v>1.487411111111111</v>
      </c>
      <c r="G228" s="28">
        <v>-1.8324333333333336</v>
      </c>
      <c r="H228" s="28">
        <f t="shared" si="22"/>
        <v>1.2319615738008622</v>
      </c>
    </row>
    <row r="229" spans="2:8" x14ac:dyDescent="0.2">
      <c r="B229" s="28">
        <v>-2.7768030864197528</v>
      </c>
      <c r="C229" s="28">
        <v>13.407788271604939</v>
      </c>
      <c r="D229" s="28">
        <f t="shared" si="21"/>
        <v>4.8284980440914724</v>
      </c>
      <c r="F229" s="28">
        <v>1.3074111111111111</v>
      </c>
      <c r="G229" s="28">
        <v>-2.0764333333333336</v>
      </c>
      <c r="H229" s="28">
        <f t="shared" si="22"/>
        <v>1.5882022997101994</v>
      </c>
    </row>
    <row r="230" spans="2:8" x14ac:dyDescent="0.2">
      <c r="B230" s="28">
        <v>-2.7768030864197528</v>
      </c>
      <c r="C230" s="28">
        <v>11.917088271604939</v>
      </c>
      <c r="D230" s="28">
        <f t="shared" si="21"/>
        <v>4.2916576727700679</v>
      </c>
      <c r="F230" s="28">
        <v>1.3074111111111111</v>
      </c>
      <c r="G230" s="28">
        <v>-1.8324333333333336</v>
      </c>
      <c r="H230" s="28">
        <f t="shared" si="22"/>
        <v>1.4015739332183197</v>
      </c>
    </row>
    <row r="231" spans="2:8" x14ac:dyDescent="0.2">
      <c r="B231" s="28">
        <v>-2.7768030864197528</v>
      </c>
      <c r="C231" s="28">
        <v>11.917088271604939</v>
      </c>
      <c r="D231" s="28">
        <f t="shared" si="21"/>
        <v>4.2916576727700679</v>
      </c>
      <c r="F231" s="28">
        <v>1.3074111111111111</v>
      </c>
      <c r="G231" s="28">
        <v>-1.8324333333333336</v>
      </c>
      <c r="H231" s="28">
        <f t="shared" si="22"/>
        <v>1.4015739332183197</v>
      </c>
    </row>
    <row r="232" spans="2:8" x14ac:dyDescent="0.2">
      <c r="B232" s="28">
        <v>-2.7768030864197528</v>
      </c>
      <c r="C232" s="28">
        <v>11.917088271604939</v>
      </c>
      <c r="D232" s="28">
        <f t="shared" si="21"/>
        <v>4.2916576727700679</v>
      </c>
      <c r="F232" s="28">
        <v>1.3074111111111111</v>
      </c>
      <c r="G232" s="28">
        <v>-1.8324333333333336</v>
      </c>
      <c r="H232" s="28">
        <f t="shared" si="22"/>
        <v>1.4015739332183197</v>
      </c>
    </row>
    <row r="233" spans="2:8" x14ac:dyDescent="0.2">
      <c r="B233" s="28">
        <v>-3.8763364197530863</v>
      </c>
      <c r="C233" s="28">
        <v>11.917088271604939</v>
      </c>
      <c r="D233" s="28">
        <f t="shared" si="21"/>
        <v>3.0743173401765862</v>
      </c>
      <c r="F233" s="28">
        <v>1.487411111111111</v>
      </c>
      <c r="G233" s="28">
        <v>-1.8324333333333336</v>
      </c>
      <c r="H233" s="28">
        <f t="shared" si="22"/>
        <v>1.2319615738008622</v>
      </c>
    </row>
    <row r="234" spans="2:8" x14ac:dyDescent="0.2">
      <c r="B234" s="28">
        <v>-2.7768030864197528</v>
      </c>
      <c r="C234" s="28">
        <v>13.407788271604939</v>
      </c>
      <c r="D234" s="28">
        <f t="shared" si="21"/>
        <v>4.8284980440914724</v>
      </c>
      <c r="F234" s="28">
        <v>1.3074111111111111</v>
      </c>
      <c r="G234" s="28">
        <v>-2.0764333333333336</v>
      </c>
      <c r="H234" s="28">
        <f t="shared" si="22"/>
        <v>1.5882022997101994</v>
      </c>
    </row>
    <row r="235" spans="2:8" x14ac:dyDescent="0.2">
      <c r="B235" s="28">
        <v>-2.7768030864197528</v>
      </c>
      <c r="C235" s="28">
        <v>11.917088271604939</v>
      </c>
      <c r="D235" s="28">
        <f t="shared" si="21"/>
        <v>4.2916576727700679</v>
      </c>
      <c r="F235" s="28">
        <v>1.3074111111111111</v>
      </c>
      <c r="G235" s="28">
        <v>-1.8324333333333336</v>
      </c>
      <c r="H235" s="28">
        <f t="shared" si="22"/>
        <v>1.4015739332183197</v>
      </c>
    </row>
    <row r="236" spans="2:8" x14ac:dyDescent="0.2">
      <c r="B236" s="28">
        <v>-2.7768030864197528</v>
      </c>
      <c r="C236" s="28">
        <v>11.917088271604939</v>
      </c>
      <c r="D236" s="28">
        <f t="shared" si="21"/>
        <v>4.2916576727700679</v>
      </c>
      <c r="F236" s="28">
        <v>1.3074111111111111</v>
      </c>
      <c r="G236" s="28">
        <v>-1.8324333333333336</v>
      </c>
      <c r="H236" s="28">
        <f t="shared" si="22"/>
        <v>1.4015739332183197</v>
      </c>
    </row>
    <row r="237" spans="2:8" x14ac:dyDescent="0.2">
      <c r="B237" s="28">
        <v>-2.7768030864197528</v>
      </c>
      <c r="C237" s="28">
        <v>11.917088271604939</v>
      </c>
      <c r="D237" s="28">
        <f t="shared" si="21"/>
        <v>4.2916576727700679</v>
      </c>
      <c r="F237" s="28">
        <v>1.3074111111111111</v>
      </c>
      <c r="G237" s="28">
        <v>-1.8324333333333336</v>
      </c>
      <c r="H237" s="28">
        <f t="shared" si="22"/>
        <v>1.4015739332183197</v>
      </c>
    </row>
    <row r="238" spans="2:8" x14ac:dyDescent="0.2">
      <c r="B238" s="28">
        <v>-3.8763364197530863</v>
      </c>
      <c r="C238" s="28">
        <v>11.917088271604939</v>
      </c>
      <c r="D238" s="28">
        <f t="shared" si="21"/>
        <v>3.0743173401765862</v>
      </c>
      <c r="F238" s="28">
        <v>1.487411111111111</v>
      </c>
      <c r="G238" s="28">
        <v>-1.8324333333333336</v>
      </c>
      <c r="H238" s="28">
        <f t="shared" si="22"/>
        <v>1.2319615738008622</v>
      </c>
    </row>
    <row r="239" spans="2:8" x14ac:dyDescent="0.2">
      <c r="B239" s="28">
        <v>-2.7768030864197528</v>
      </c>
      <c r="C239" s="28">
        <v>13.407788271604939</v>
      </c>
      <c r="D239" s="28">
        <f t="shared" si="21"/>
        <v>4.8284980440914724</v>
      </c>
      <c r="F239" s="28">
        <v>1.3074111111111111</v>
      </c>
      <c r="G239" s="28">
        <v>-2.0764333333333336</v>
      </c>
      <c r="H239" s="28">
        <f t="shared" si="22"/>
        <v>1.5882022997101994</v>
      </c>
    </row>
    <row r="240" spans="2:8" x14ac:dyDescent="0.2">
      <c r="B240" s="28">
        <v>-2.7768030864197528</v>
      </c>
      <c r="C240" s="28">
        <v>11.917088271604939</v>
      </c>
      <c r="D240" s="28">
        <f t="shared" si="21"/>
        <v>4.2916576727700679</v>
      </c>
      <c r="F240" s="28">
        <v>1.3074111111111111</v>
      </c>
      <c r="G240" s="28">
        <v>-1.8324333333333336</v>
      </c>
      <c r="H240" s="28">
        <f t="shared" si="22"/>
        <v>1.4015739332183197</v>
      </c>
    </row>
    <row r="241" spans="2:8" x14ac:dyDescent="0.2">
      <c r="B241" s="28">
        <v>-2.7768030864197528</v>
      </c>
      <c r="C241" s="28">
        <v>11.917088271604939</v>
      </c>
      <c r="D241" s="28">
        <f t="shared" si="21"/>
        <v>4.2916576727700679</v>
      </c>
      <c r="F241" s="28">
        <v>1.3074111111111111</v>
      </c>
      <c r="G241" s="28">
        <v>-1.8324333333333336</v>
      </c>
      <c r="H241" s="28">
        <f t="shared" si="22"/>
        <v>1.4015739332183197</v>
      </c>
    </row>
    <row r="242" spans="2:8" x14ac:dyDescent="0.2">
      <c r="B242" s="28">
        <v>-2.7768030864197528</v>
      </c>
      <c r="C242" s="28">
        <v>11.917088271604939</v>
      </c>
      <c r="D242" s="28">
        <f t="shared" si="21"/>
        <v>4.2916576727700679</v>
      </c>
      <c r="F242" s="28">
        <v>1.3074111111111111</v>
      </c>
      <c r="G242" s="28">
        <v>-1.8324333333333336</v>
      </c>
      <c r="H242" s="28">
        <f t="shared" si="22"/>
        <v>1.4015739332183197</v>
      </c>
    </row>
    <row r="243" spans="2:8" x14ac:dyDescent="0.2">
      <c r="B243" s="28">
        <v>-3.8763364197530863</v>
      </c>
      <c r="C243" s="28">
        <v>11.917088271604939</v>
      </c>
      <c r="D243" s="28">
        <f t="shared" si="21"/>
        <v>3.0743173401765862</v>
      </c>
      <c r="F243" s="28">
        <v>1.487411111111111</v>
      </c>
      <c r="G243" s="28">
        <v>-1.8324333333333336</v>
      </c>
      <c r="H243" s="28">
        <f t="shared" si="22"/>
        <v>1.2319615738008622</v>
      </c>
    </row>
    <row r="244" spans="2:8" x14ac:dyDescent="0.2">
      <c r="B244" s="28">
        <v>-2.7768030864197528</v>
      </c>
      <c r="C244" s="28">
        <v>13.407788271604939</v>
      </c>
      <c r="D244" s="28">
        <f t="shared" si="21"/>
        <v>4.8284980440914724</v>
      </c>
      <c r="F244" s="28">
        <v>1.3074111111111111</v>
      </c>
      <c r="G244" s="28">
        <v>-2.0764333333333336</v>
      </c>
      <c r="H244" s="28">
        <f t="shared" si="22"/>
        <v>1.5882022997101994</v>
      </c>
    </row>
    <row r="245" spans="2:8" x14ac:dyDescent="0.2">
      <c r="B245" s="28">
        <v>-2.7768030864197528</v>
      </c>
      <c r="C245" s="28">
        <v>11.917088271604939</v>
      </c>
      <c r="D245" s="28">
        <f t="shared" si="21"/>
        <v>4.2916576727700679</v>
      </c>
      <c r="F245" s="28">
        <v>1.3074111111111111</v>
      </c>
      <c r="G245" s="28">
        <v>-1.8324333333333336</v>
      </c>
      <c r="H245" s="28">
        <f t="shared" si="22"/>
        <v>1.4015739332183197</v>
      </c>
    </row>
    <row r="246" spans="2:8" x14ac:dyDescent="0.2">
      <c r="B246" s="28">
        <v>-2.7768030864197528</v>
      </c>
      <c r="C246" s="28">
        <v>11.917088271604939</v>
      </c>
      <c r="D246" s="28">
        <f t="shared" si="21"/>
        <v>4.2916576727700679</v>
      </c>
      <c r="F246" s="28">
        <v>1.3074111111111111</v>
      </c>
      <c r="G246" s="28">
        <v>-1.8324333333333336</v>
      </c>
      <c r="H246" s="28">
        <f t="shared" si="22"/>
        <v>1.4015739332183197</v>
      </c>
    </row>
    <row r="247" spans="2:8" x14ac:dyDescent="0.2">
      <c r="B247" s="28">
        <v>-2.7768030864197528</v>
      </c>
      <c r="C247" s="28">
        <v>11.917088271604939</v>
      </c>
      <c r="D247" s="28">
        <f t="shared" si="21"/>
        <v>4.2916576727700679</v>
      </c>
      <c r="F247" s="28">
        <v>1.3074111111111111</v>
      </c>
      <c r="G247" s="28">
        <v>-1.8324333333333336</v>
      </c>
      <c r="H247" s="28">
        <f t="shared" si="22"/>
        <v>1.4015739332183197</v>
      </c>
    </row>
    <row r="248" spans="2:8" x14ac:dyDescent="0.2">
      <c r="B248" s="28">
        <v>-3.8763364197530863</v>
      </c>
      <c r="C248" s="28">
        <v>11.917088271604939</v>
      </c>
      <c r="D248" s="28">
        <f t="shared" si="21"/>
        <v>3.0743173401765862</v>
      </c>
      <c r="F248" s="28">
        <v>1.487411111111111</v>
      </c>
      <c r="G248" s="28">
        <v>-1.8324333333333336</v>
      </c>
      <c r="H248" s="28">
        <f t="shared" si="22"/>
        <v>1.2319615738008622</v>
      </c>
    </row>
    <row r="249" spans="2:8" x14ac:dyDescent="0.2">
      <c r="B249" s="28">
        <v>-2.7768030864197528</v>
      </c>
      <c r="C249" s="28">
        <v>13.407788271604939</v>
      </c>
      <c r="D249" s="28">
        <f t="shared" si="21"/>
        <v>4.8284980440914724</v>
      </c>
      <c r="F249" s="28">
        <v>1.3074111111111111</v>
      </c>
      <c r="G249" s="28">
        <v>-2.0764333333333336</v>
      </c>
      <c r="H249" s="28">
        <f t="shared" si="22"/>
        <v>1.5882022997101994</v>
      </c>
    </row>
    <row r="250" spans="2:8" x14ac:dyDescent="0.2">
      <c r="B250" s="28">
        <v>-2.7768030864197528</v>
      </c>
      <c r="C250" s="28">
        <v>11.917088271604939</v>
      </c>
      <c r="D250" s="28">
        <f t="shared" si="21"/>
        <v>4.2916576727700679</v>
      </c>
      <c r="F250" s="28">
        <v>1.3074111111111111</v>
      </c>
      <c r="G250" s="28">
        <v>-1.8324333333333336</v>
      </c>
      <c r="H250" s="28">
        <f t="shared" si="22"/>
        <v>1.4015739332183197</v>
      </c>
    </row>
    <row r="251" spans="2:8" x14ac:dyDescent="0.2">
      <c r="B251" s="28">
        <v>-2.7768030864197528</v>
      </c>
      <c r="C251" s="28">
        <v>11.917088271604939</v>
      </c>
      <c r="D251" s="28">
        <f t="shared" si="21"/>
        <v>4.2916576727700679</v>
      </c>
      <c r="F251" s="28">
        <v>1.3074111111111111</v>
      </c>
      <c r="G251" s="28">
        <v>-1.8324333333333336</v>
      </c>
      <c r="H251" s="28">
        <f t="shared" si="22"/>
        <v>1.4015739332183197</v>
      </c>
    </row>
    <row r="253" spans="2:8" x14ac:dyDescent="0.2">
      <c r="B253" s="7" t="s">
        <v>110</v>
      </c>
      <c r="C253" s="3" t="s">
        <v>107</v>
      </c>
      <c r="D253" s="28">
        <f>MIN(D197:D251)</f>
        <v>2.8478461741292724</v>
      </c>
      <c r="F253" s="7" t="s">
        <v>109</v>
      </c>
      <c r="G253" s="3" t="s">
        <v>107</v>
      </c>
      <c r="H253" s="28">
        <f>MIN(H197:H251)</f>
        <v>1.1444263656433769</v>
      </c>
    </row>
    <row r="254" spans="2:8" x14ac:dyDescent="0.2">
      <c r="C254" s="3" t="s">
        <v>108</v>
      </c>
      <c r="D254" s="28">
        <f>MAX(D197:D251)</f>
        <v>4.8284980440914724</v>
      </c>
      <c r="G254" s="3" t="s">
        <v>108</v>
      </c>
      <c r="H254" s="28">
        <f>MAX(H197:H251)</f>
        <v>1.5882022997101994</v>
      </c>
    </row>
    <row r="296" spans="1:3" x14ac:dyDescent="0.2">
      <c r="A296" s="15" t="s">
        <v>111</v>
      </c>
    </row>
    <row r="297" spans="1:3" x14ac:dyDescent="0.2">
      <c r="A297" s="3" t="s">
        <v>112</v>
      </c>
    </row>
    <row r="298" spans="1:3" x14ac:dyDescent="0.2">
      <c r="A298" s="3" t="s">
        <v>113</v>
      </c>
    </row>
    <row r="300" spans="1:3" x14ac:dyDescent="0.2">
      <c r="B300" s="5" t="s">
        <v>80</v>
      </c>
      <c r="C300" s="17" t="s">
        <v>114</v>
      </c>
    </row>
    <row r="301" spans="1:3" x14ac:dyDescent="0.2">
      <c r="A301" s="5" t="s">
        <v>0</v>
      </c>
      <c r="B301" s="28">
        <f>SUMIF($E$125:$E$140,A301,$B$125:$B$140)</f>
        <v>4.3372222222222225</v>
      </c>
      <c r="C301" s="28">
        <f>SUMIF($E$125:$E$140,A301,$D$125:$D$140)+SUMIF($E$145:$E$158,A301,$D$145:$D$158)</f>
        <v>11.46941851851852</v>
      </c>
    </row>
    <row r="302" spans="1:3" x14ac:dyDescent="0.2">
      <c r="A302" s="5" t="s">
        <v>39</v>
      </c>
      <c r="B302" s="28">
        <f t="shared" ref="B302:B312" si="23">SUMIF($E$125:$E$140,A302,$B$125:$B$140)</f>
        <v>0</v>
      </c>
      <c r="C302" s="28">
        <f t="shared" ref="C302:C312" si="24">SUMIF($E$125:$E$140,A302,$D$125:$D$140)+SUMIF($E$145:$E$158,A302,$D$145:$D$158)</f>
        <v>0</v>
      </c>
    </row>
    <row r="303" spans="1:3" x14ac:dyDescent="0.2">
      <c r="A303" s="5" t="s">
        <v>29</v>
      </c>
      <c r="B303" s="28">
        <f t="shared" si="23"/>
        <v>0.15</v>
      </c>
      <c r="C303" s="28">
        <f t="shared" si="24"/>
        <v>4.861111111111116E-2</v>
      </c>
    </row>
    <row r="304" spans="1:3" x14ac:dyDescent="0.2">
      <c r="A304" s="5" t="s">
        <v>40</v>
      </c>
      <c r="B304" s="28">
        <f t="shared" si="23"/>
        <v>0</v>
      </c>
      <c r="C304" s="28">
        <f t="shared" si="24"/>
        <v>-2.7266641975308641</v>
      </c>
    </row>
    <row r="305" spans="1:8" x14ac:dyDescent="0.2">
      <c r="A305" s="5" t="s">
        <v>92</v>
      </c>
      <c r="B305" s="28">
        <f t="shared" si="23"/>
        <v>0</v>
      </c>
      <c r="C305" s="28">
        <f t="shared" si="24"/>
        <v>0.3975308641975307</v>
      </c>
    </row>
    <row r="306" spans="1:8" x14ac:dyDescent="0.2">
      <c r="A306" s="5" t="s">
        <v>41</v>
      </c>
      <c r="B306" s="28">
        <f t="shared" si="23"/>
        <v>0</v>
      </c>
      <c r="C306" s="28">
        <f t="shared" si="24"/>
        <v>0</v>
      </c>
    </row>
    <row r="307" spans="1:8" x14ac:dyDescent="0.2">
      <c r="A307" s="5" t="s">
        <v>42</v>
      </c>
      <c r="B307" s="28">
        <f t="shared" si="23"/>
        <v>0</v>
      </c>
      <c r="C307" s="28">
        <f t="shared" si="24"/>
        <v>0</v>
      </c>
    </row>
    <row r="308" spans="1:8" x14ac:dyDescent="0.2">
      <c r="A308" s="5" t="s">
        <v>43</v>
      </c>
      <c r="B308" s="28">
        <f t="shared" si="23"/>
        <v>0</v>
      </c>
      <c r="C308" s="28">
        <f t="shared" si="24"/>
        <v>0</v>
      </c>
    </row>
    <row r="309" spans="1:8" x14ac:dyDescent="0.2">
      <c r="A309" s="5" t="s">
        <v>44</v>
      </c>
      <c r="B309" s="28">
        <f t="shared" si="23"/>
        <v>0</v>
      </c>
      <c r="C309" s="28">
        <f t="shared" si="24"/>
        <v>-1.0995333333333335</v>
      </c>
    </row>
    <row r="310" spans="1:8" x14ac:dyDescent="0.2">
      <c r="A310" s="5" t="s">
        <v>45</v>
      </c>
      <c r="B310" s="28">
        <f t="shared" si="23"/>
        <v>0</v>
      </c>
      <c r="C310" s="28">
        <f t="shared" si="24"/>
        <v>1.4907000000000001</v>
      </c>
    </row>
    <row r="311" spans="1:8" x14ac:dyDescent="0.2">
      <c r="A311" s="5" t="s">
        <v>46</v>
      </c>
      <c r="B311" s="28">
        <f t="shared" si="23"/>
        <v>0</v>
      </c>
      <c r="C311" s="28">
        <f t="shared" si="24"/>
        <v>0</v>
      </c>
    </row>
    <row r="312" spans="1:8" x14ac:dyDescent="0.2">
      <c r="A312" s="5" t="s">
        <v>47</v>
      </c>
      <c r="B312" s="28">
        <f t="shared" si="23"/>
        <v>0</v>
      </c>
      <c r="C312" s="28">
        <f t="shared" si="24"/>
        <v>0</v>
      </c>
    </row>
    <row r="313" spans="1:8" x14ac:dyDescent="0.2">
      <c r="E313" s="6" t="s">
        <v>142</v>
      </c>
      <c r="F313" s="13">
        <f>B12/6</f>
        <v>0.86111111111111116</v>
      </c>
      <c r="G313" s="3" t="s">
        <v>7</v>
      </c>
    </row>
    <row r="314" spans="1:8" x14ac:dyDescent="0.2">
      <c r="A314" s="3" t="s">
        <v>138</v>
      </c>
      <c r="B314" s="5" t="s">
        <v>76</v>
      </c>
      <c r="C314" s="5" t="s">
        <v>139</v>
      </c>
      <c r="D314" s="5" t="s">
        <v>140</v>
      </c>
      <c r="E314" s="5" t="s">
        <v>141</v>
      </c>
      <c r="F314" s="5" t="s">
        <v>143</v>
      </c>
      <c r="G314" s="5" t="s">
        <v>146</v>
      </c>
      <c r="H314" s="5" t="s">
        <v>196</v>
      </c>
    </row>
    <row r="315" spans="1:8" x14ac:dyDescent="0.2">
      <c r="A315" s="3" t="str">
        <f>LOAD_COMBOS!O3</f>
        <v>16-8</v>
      </c>
      <c r="B315" s="29" cm="1">
        <f t="array" ref="B315:B338">MMULT(LOAD_COMBOS!P3:AA26,Unit_Width_Strip_Foundation!B301:B312)</f>
        <v>4.3372222222222225</v>
      </c>
      <c r="C315" s="29" cm="1">
        <f t="array" ref="C315:C338">MMULT(LOAD_COMBOS!P3:AA26,Unit_Width_Strip_Foundation!C301:C312)</f>
        <v>11.46941851851852</v>
      </c>
      <c r="D315" s="29">
        <f>C315/B315</f>
        <v>2.6444156953161695</v>
      </c>
      <c r="E315" s="29">
        <f>($B$12/2)-D315</f>
        <v>-6.1082361982836009E-2</v>
      </c>
      <c r="F315" s="13">
        <f>IF(ABS(E315)&lt;=$F$313,1,0)</f>
        <v>1</v>
      </c>
      <c r="G315" s="29">
        <f>IF(E315&gt;0,D315,($B$12/2)+E315)</f>
        <v>2.5222509713504975</v>
      </c>
      <c r="H315" s="29">
        <f>$B$12-D315</f>
        <v>2.5222509713504975</v>
      </c>
    </row>
    <row r="316" spans="1:8" x14ac:dyDescent="0.2">
      <c r="A316" s="3" t="str">
        <f>LOAD_COMBOS!O4</f>
        <v>16-9</v>
      </c>
      <c r="B316" s="29">
        <v>4.4872222222222229</v>
      </c>
      <c r="C316" s="29">
        <v>9.0298839506172843</v>
      </c>
      <c r="D316" s="29">
        <f t="shared" ref="D316:D338" si="25">C316/B316</f>
        <v>2.0123549722806873</v>
      </c>
      <c r="E316" s="29">
        <f t="shared" ref="E316:E338" si="26">($B$12/2)-D316</f>
        <v>0.57097836105264621</v>
      </c>
      <c r="F316" s="13">
        <f t="shared" ref="F316:F338" si="27">IF(ABS(E316)&lt;=$F$313,1,0)</f>
        <v>1</v>
      </c>
      <c r="G316" s="29">
        <f t="shared" ref="G316:G338" si="28">IF(E316&gt;0,D316,($B$12/2)+E316)</f>
        <v>2.0123549722806873</v>
      </c>
      <c r="H316" s="29">
        <f t="shared" ref="H316:H338" si="29">$B$12-D316</f>
        <v>3.1543116943859797</v>
      </c>
    </row>
    <row r="317" spans="1:8" x14ac:dyDescent="0.2">
      <c r="A317" s="3" t="str">
        <f>LOAD_COMBOS!O5</f>
        <v>16-10Lr</v>
      </c>
      <c r="B317" s="29">
        <v>4.3372222222222225</v>
      </c>
      <c r="C317" s="29">
        <v>8.9812728395061736</v>
      </c>
      <c r="D317" s="29">
        <f t="shared" si="25"/>
        <v>2.0707430653402219</v>
      </c>
      <c r="E317" s="29">
        <f t="shared" si="26"/>
        <v>0.51259026799311158</v>
      </c>
      <c r="F317" s="13">
        <f t="shared" si="27"/>
        <v>1</v>
      </c>
      <c r="G317" s="29">
        <f t="shared" si="28"/>
        <v>2.0707430653402219</v>
      </c>
      <c r="H317" s="29">
        <f t="shared" si="29"/>
        <v>3.0959236013264451</v>
      </c>
    </row>
    <row r="318" spans="1:8" x14ac:dyDescent="0.2">
      <c r="A318" s="3" t="str">
        <f>LOAD_COMBOS!O6</f>
        <v>16-10S</v>
      </c>
      <c r="B318" s="29">
        <v>4.3372222222222225</v>
      </c>
      <c r="C318" s="29">
        <v>8.9812728395061736</v>
      </c>
      <c r="D318" s="29">
        <f t="shared" si="25"/>
        <v>2.0707430653402219</v>
      </c>
      <c r="E318" s="29">
        <f t="shared" si="26"/>
        <v>0.51259026799311158</v>
      </c>
      <c r="F318" s="13">
        <f t="shared" si="27"/>
        <v>1</v>
      </c>
      <c r="G318" s="29">
        <f t="shared" si="28"/>
        <v>2.0707430653402219</v>
      </c>
      <c r="H318" s="29">
        <f t="shared" si="29"/>
        <v>3.0959236013264451</v>
      </c>
    </row>
    <row r="319" spans="1:8" x14ac:dyDescent="0.2">
      <c r="A319" s="3" t="str">
        <f>LOAD_COMBOS!O7</f>
        <v>16-10R</v>
      </c>
      <c r="B319" s="29">
        <v>4.3372222222222225</v>
      </c>
      <c r="C319" s="29">
        <v>8.9812728395061736</v>
      </c>
      <c r="D319" s="29">
        <f t="shared" si="25"/>
        <v>2.0707430653402219</v>
      </c>
      <c r="E319" s="29">
        <f t="shared" si="26"/>
        <v>0.51259026799311158</v>
      </c>
      <c r="F319" s="13">
        <f t="shared" si="27"/>
        <v>1</v>
      </c>
      <c r="G319" s="29">
        <f t="shared" si="28"/>
        <v>2.0707430653402219</v>
      </c>
      <c r="H319" s="29">
        <f t="shared" si="29"/>
        <v>3.0959236013264451</v>
      </c>
    </row>
    <row r="320" spans="1:8" x14ac:dyDescent="0.2">
      <c r="A320" s="3" t="str">
        <f>LOAD_COMBOS!O8</f>
        <v>16-11Lr</v>
      </c>
      <c r="B320" s="29">
        <v>4.4497222222222224</v>
      </c>
      <c r="C320" s="29">
        <v>9.0177311728395075</v>
      </c>
      <c r="D320" s="29">
        <f t="shared" si="25"/>
        <v>2.0265829466397545</v>
      </c>
      <c r="E320" s="29">
        <f t="shared" si="26"/>
        <v>0.55675038669357901</v>
      </c>
      <c r="F320" s="13">
        <f t="shared" si="27"/>
        <v>1</v>
      </c>
      <c r="G320" s="29">
        <f t="shared" si="28"/>
        <v>2.0265829466397545</v>
      </c>
      <c r="H320" s="29">
        <f t="shared" si="29"/>
        <v>3.1400837200269125</v>
      </c>
    </row>
    <row r="321" spans="1:8" x14ac:dyDescent="0.2">
      <c r="A321" s="3" t="str">
        <f>LOAD_COMBOS!O9</f>
        <v>16-11S</v>
      </c>
      <c r="B321" s="29">
        <v>4.4497222222222224</v>
      </c>
      <c r="C321" s="29">
        <v>9.0177311728395075</v>
      </c>
      <c r="D321" s="29">
        <f t="shared" si="25"/>
        <v>2.0265829466397545</v>
      </c>
      <c r="E321" s="29">
        <f t="shared" si="26"/>
        <v>0.55675038669357901</v>
      </c>
      <c r="F321" s="13">
        <f t="shared" si="27"/>
        <v>1</v>
      </c>
      <c r="G321" s="29">
        <f t="shared" si="28"/>
        <v>2.0265829466397545</v>
      </c>
      <c r="H321" s="29">
        <f t="shared" si="29"/>
        <v>3.1400837200269125</v>
      </c>
    </row>
    <row r="322" spans="1:8" x14ac:dyDescent="0.2">
      <c r="A322" s="3" t="str">
        <f>LOAD_COMBOS!O10</f>
        <v>16-11R</v>
      </c>
      <c r="B322" s="29">
        <v>4.4497222222222224</v>
      </c>
      <c r="C322" s="29">
        <v>9.0177311728395075</v>
      </c>
      <c r="D322" s="29">
        <f t="shared" si="25"/>
        <v>2.0265829466397545</v>
      </c>
      <c r="E322" s="29">
        <f t="shared" si="26"/>
        <v>0.55675038669357901</v>
      </c>
      <c r="F322" s="13">
        <f t="shared" si="27"/>
        <v>1</v>
      </c>
      <c r="G322" s="29">
        <f t="shared" si="28"/>
        <v>2.0265829466397545</v>
      </c>
      <c r="H322" s="29">
        <f t="shared" si="29"/>
        <v>3.1400837200269125</v>
      </c>
    </row>
    <row r="323" spans="1:8" x14ac:dyDescent="0.2">
      <c r="A323" s="3" t="str">
        <f>LOAD_COMBOS!O11</f>
        <v>16-12W1</v>
      </c>
      <c r="B323" s="29">
        <v>4.3372222222222225</v>
      </c>
      <c r="C323" s="29">
        <v>8.3215528395061735</v>
      </c>
      <c r="D323" s="29">
        <f t="shared" si="25"/>
        <v>1.9186364943142193</v>
      </c>
      <c r="E323" s="29">
        <f t="shared" si="26"/>
        <v>0.66469683901911414</v>
      </c>
      <c r="F323" s="13">
        <f t="shared" si="27"/>
        <v>1</v>
      </c>
      <c r="G323" s="29">
        <f t="shared" si="28"/>
        <v>1.9186364943142193</v>
      </c>
      <c r="H323" s="29">
        <f t="shared" si="29"/>
        <v>3.2480301723524478</v>
      </c>
    </row>
    <row r="324" spans="1:8" x14ac:dyDescent="0.2">
      <c r="A324" s="3" t="str">
        <f>LOAD_COMBOS!O12</f>
        <v>16-12W2</v>
      </c>
      <c r="B324" s="29">
        <v>4.3372222222222225</v>
      </c>
      <c r="C324" s="29">
        <v>9.8756928395061738</v>
      </c>
      <c r="D324" s="29">
        <f t="shared" si="25"/>
        <v>2.2769626119010007</v>
      </c>
      <c r="E324" s="29">
        <f t="shared" si="26"/>
        <v>0.30637072143233279</v>
      </c>
      <c r="F324" s="13">
        <f t="shared" si="27"/>
        <v>1</v>
      </c>
      <c r="G324" s="29">
        <f t="shared" si="28"/>
        <v>2.2769626119010007</v>
      </c>
      <c r="H324" s="29">
        <f t="shared" si="29"/>
        <v>2.8897040547656663</v>
      </c>
    </row>
    <row r="325" spans="1:8" x14ac:dyDescent="0.2">
      <c r="A325" s="3" t="str">
        <f>LOAD_COMBOS!O13</f>
        <v>16-12E1</v>
      </c>
      <c r="B325" s="29">
        <v>4.3372222222222225</v>
      </c>
      <c r="C325" s="29">
        <v>8.9812728395061736</v>
      </c>
      <c r="D325" s="29">
        <f t="shared" si="25"/>
        <v>2.0707430653402219</v>
      </c>
      <c r="E325" s="29">
        <f t="shared" si="26"/>
        <v>0.51259026799311158</v>
      </c>
      <c r="F325" s="13">
        <f t="shared" si="27"/>
        <v>1</v>
      </c>
      <c r="G325" s="29">
        <f t="shared" si="28"/>
        <v>2.0707430653402219</v>
      </c>
      <c r="H325" s="29">
        <f t="shared" si="29"/>
        <v>3.0959236013264451</v>
      </c>
    </row>
    <row r="326" spans="1:8" x14ac:dyDescent="0.2">
      <c r="A326" s="3" t="str">
        <f>LOAD_COMBOS!O14</f>
        <v>16-12E2</v>
      </c>
      <c r="B326" s="29">
        <v>4.3372222222222225</v>
      </c>
      <c r="C326" s="29">
        <v>8.9812728395061736</v>
      </c>
      <c r="D326" s="29">
        <f t="shared" si="25"/>
        <v>2.0707430653402219</v>
      </c>
      <c r="E326" s="29">
        <f t="shared" si="26"/>
        <v>0.51259026799311158</v>
      </c>
      <c r="F326" s="13">
        <f t="shared" si="27"/>
        <v>1</v>
      </c>
      <c r="G326" s="29">
        <f t="shared" si="28"/>
        <v>2.0707430653402219</v>
      </c>
      <c r="H326" s="29">
        <f t="shared" si="29"/>
        <v>3.0959236013264451</v>
      </c>
    </row>
    <row r="327" spans="1:8" x14ac:dyDescent="0.2">
      <c r="A327" s="3" t="str">
        <f>LOAD_COMBOS!O15</f>
        <v>16-13W1_Lr</v>
      </c>
      <c r="B327" s="29">
        <v>4.4497222222222224</v>
      </c>
      <c r="C327" s="29">
        <v>8.5229411728395075</v>
      </c>
      <c r="D327" s="29">
        <f t="shared" si="25"/>
        <v>1.915387241539561</v>
      </c>
      <c r="E327" s="29">
        <f t="shared" si="26"/>
        <v>0.66794609179377251</v>
      </c>
      <c r="F327" s="13">
        <f t="shared" si="27"/>
        <v>1</v>
      </c>
      <c r="G327" s="29">
        <f t="shared" si="28"/>
        <v>1.915387241539561</v>
      </c>
      <c r="H327" s="29">
        <f t="shared" si="29"/>
        <v>3.2512794251271062</v>
      </c>
    </row>
    <row r="328" spans="1:8" x14ac:dyDescent="0.2">
      <c r="A328" s="3" t="str">
        <f>LOAD_COMBOS!O16</f>
        <v>16-13W1_S</v>
      </c>
      <c r="B328" s="29">
        <v>4.4497222222222224</v>
      </c>
      <c r="C328" s="29">
        <v>8.5229411728395075</v>
      </c>
      <c r="D328" s="29">
        <f t="shared" si="25"/>
        <v>1.915387241539561</v>
      </c>
      <c r="E328" s="29">
        <f t="shared" si="26"/>
        <v>0.66794609179377251</v>
      </c>
      <c r="F328" s="13">
        <f t="shared" si="27"/>
        <v>1</v>
      </c>
      <c r="G328" s="29">
        <f t="shared" si="28"/>
        <v>1.915387241539561</v>
      </c>
      <c r="H328" s="29">
        <f t="shared" si="29"/>
        <v>3.2512794251271062</v>
      </c>
    </row>
    <row r="329" spans="1:8" x14ac:dyDescent="0.2">
      <c r="A329" s="3" t="str">
        <f>LOAD_COMBOS!O17</f>
        <v>16-13W1_R</v>
      </c>
      <c r="B329" s="29">
        <v>4.4497222222222224</v>
      </c>
      <c r="C329" s="29">
        <v>8.5229411728395075</v>
      </c>
      <c r="D329" s="29">
        <f t="shared" si="25"/>
        <v>1.915387241539561</v>
      </c>
      <c r="E329" s="29">
        <f t="shared" si="26"/>
        <v>0.66794609179377251</v>
      </c>
      <c r="F329" s="13">
        <f t="shared" si="27"/>
        <v>1</v>
      </c>
      <c r="G329" s="29">
        <f t="shared" si="28"/>
        <v>1.915387241539561</v>
      </c>
      <c r="H329" s="29">
        <f t="shared" si="29"/>
        <v>3.2512794251271062</v>
      </c>
    </row>
    <row r="330" spans="1:8" x14ac:dyDescent="0.2">
      <c r="A330" s="3" t="str">
        <f>LOAD_COMBOS!O18</f>
        <v>16-13W2_Lr</v>
      </c>
      <c r="B330" s="29">
        <v>4.4497222222222224</v>
      </c>
      <c r="C330" s="29">
        <v>9.6885461728395068</v>
      </c>
      <c r="D330" s="29">
        <f t="shared" si="25"/>
        <v>2.1773373008441363</v>
      </c>
      <c r="E330" s="29">
        <f t="shared" si="26"/>
        <v>0.40599603248919713</v>
      </c>
      <c r="F330" s="13">
        <f t="shared" si="27"/>
        <v>1</v>
      </c>
      <c r="G330" s="29">
        <f t="shared" si="28"/>
        <v>2.1773373008441363</v>
      </c>
      <c r="H330" s="29">
        <f t="shared" si="29"/>
        <v>2.9893293658225306</v>
      </c>
    </row>
    <row r="331" spans="1:8" x14ac:dyDescent="0.2">
      <c r="A331" s="3" t="str">
        <f>LOAD_COMBOS!O19</f>
        <v>16-13W2_S</v>
      </c>
      <c r="B331" s="29">
        <v>4.4497222222222224</v>
      </c>
      <c r="C331" s="29">
        <v>9.6885461728395068</v>
      </c>
      <c r="D331" s="29">
        <f t="shared" si="25"/>
        <v>2.1773373008441363</v>
      </c>
      <c r="E331" s="29">
        <f t="shared" si="26"/>
        <v>0.40599603248919713</v>
      </c>
      <c r="F331" s="13">
        <f t="shared" si="27"/>
        <v>1</v>
      </c>
      <c r="G331" s="29">
        <f t="shared" si="28"/>
        <v>2.1773373008441363</v>
      </c>
      <c r="H331" s="29">
        <f t="shared" si="29"/>
        <v>2.9893293658225306</v>
      </c>
    </row>
    <row r="332" spans="1:8" x14ac:dyDescent="0.2">
      <c r="A332" s="3" t="str">
        <f>LOAD_COMBOS!O20</f>
        <v>16-13W2_R</v>
      </c>
      <c r="B332" s="29">
        <v>4.4497222222222224</v>
      </c>
      <c r="C332" s="29">
        <v>9.6885461728395068</v>
      </c>
      <c r="D332" s="29">
        <f t="shared" si="25"/>
        <v>2.1773373008441363</v>
      </c>
      <c r="E332" s="29">
        <f t="shared" si="26"/>
        <v>0.40599603248919713</v>
      </c>
      <c r="F332" s="13">
        <f t="shared" si="27"/>
        <v>1</v>
      </c>
      <c r="G332" s="29">
        <f t="shared" si="28"/>
        <v>2.1773373008441363</v>
      </c>
      <c r="H332" s="29">
        <f t="shared" si="29"/>
        <v>2.9893293658225306</v>
      </c>
    </row>
    <row r="333" spans="1:8" x14ac:dyDescent="0.2">
      <c r="A333" s="3" t="str">
        <f>LOAD_COMBOS!O21</f>
        <v>16-14E1</v>
      </c>
      <c r="B333" s="29">
        <v>4.4497222222222224</v>
      </c>
      <c r="C333" s="29">
        <v>9.0177311728395075</v>
      </c>
      <c r="D333" s="29">
        <f t="shared" si="25"/>
        <v>2.0265829466397545</v>
      </c>
      <c r="E333" s="29">
        <f t="shared" si="26"/>
        <v>0.55675038669357901</v>
      </c>
      <c r="F333" s="13">
        <f t="shared" si="27"/>
        <v>1</v>
      </c>
      <c r="G333" s="29">
        <f t="shared" si="28"/>
        <v>2.0265829466397545</v>
      </c>
      <c r="H333" s="29">
        <f t="shared" si="29"/>
        <v>3.1400837200269125</v>
      </c>
    </row>
    <row r="334" spans="1:8" x14ac:dyDescent="0.2">
      <c r="A334" s="3" t="str">
        <f>LOAD_COMBOS!O22</f>
        <v>16-14E2</v>
      </c>
      <c r="B334" s="29">
        <v>4.4497222222222224</v>
      </c>
      <c r="C334" s="29">
        <v>9.0177311728395075</v>
      </c>
      <c r="D334" s="29">
        <f t="shared" si="25"/>
        <v>2.0265829466397545</v>
      </c>
      <c r="E334" s="29">
        <f t="shared" si="26"/>
        <v>0.55675038669357901</v>
      </c>
      <c r="F334" s="13">
        <f t="shared" si="27"/>
        <v>1</v>
      </c>
      <c r="G334" s="29">
        <f t="shared" si="28"/>
        <v>2.0265829466397545</v>
      </c>
      <c r="H334" s="29">
        <f t="shared" si="29"/>
        <v>3.1400837200269125</v>
      </c>
    </row>
    <row r="335" spans="1:8" x14ac:dyDescent="0.2">
      <c r="A335" s="3" t="str">
        <f>LOAD_COMBOS!O23</f>
        <v>16-15W1</v>
      </c>
      <c r="B335" s="29">
        <v>2.6023333333333336</v>
      </c>
      <c r="C335" s="29">
        <v>4.7290437037037041</v>
      </c>
      <c r="D335" s="29">
        <f t="shared" si="25"/>
        <v>1.8172321136302179</v>
      </c>
      <c r="E335" s="29">
        <f t="shared" si="26"/>
        <v>0.76610121970311562</v>
      </c>
      <c r="F335" s="13">
        <f t="shared" si="27"/>
        <v>1</v>
      </c>
      <c r="G335" s="29">
        <f t="shared" si="28"/>
        <v>1.8172321136302179</v>
      </c>
      <c r="H335" s="29">
        <f t="shared" si="29"/>
        <v>3.3494345530364491</v>
      </c>
    </row>
    <row r="336" spans="1:8" x14ac:dyDescent="0.2">
      <c r="A336" s="3" t="str">
        <f>LOAD_COMBOS!O24</f>
        <v>16-15W2</v>
      </c>
      <c r="B336" s="29">
        <v>2.6023333333333336</v>
      </c>
      <c r="C336" s="29">
        <v>6.2831837037037044</v>
      </c>
      <c r="D336" s="29">
        <f t="shared" si="25"/>
        <v>2.4144423096081864</v>
      </c>
      <c r="E336" s="29">
        <f t="shared" si="26"/>
        <v>0.16889102372514708</v>
      </c>
      <c r="F336" s="13">
        <f t="shared" si="27"/>
        <v>1</v>
      </c>
      <c r="G336" s="29">
        <f t="shared" si="28"/>
        <v>2.4144423096081864</v>
      </c>
      <c r="H336" s="29">
        <f t="shared" si="29"/>
        <v>2.7522243570584806</v>
      </c>
    </row>
    <row r="337" spans="1:8" x14ac:dyDescent="0.2">
      <c r="A337" s="3" t="str">
        <f>LOAD_COMBOS!O25</f>
        <v>16-16E1</v>
      </c>
      <c r="B337" s="29">
        <v>2.6023333333333336</v>
      </c>
      <c r="C337" s="29">
        <v>5.3887637037037042</v>
      </c>
      <c r="D337" s="29">
        <f t="shared" si="25"/>
        <v>2.0707430653402219</v>
      </c>
      <c r="E337" s="29">
        <f t="shared" si="26"/>
        <v>0.51259026799311158</v>
      </c>
      <c r="F337" s="13">
        <f t="shared" si="27"/>
        <v>1</v>
      </c>
      <c r="G337" s="29">
        <f t="shared" si="28"/>
        <v>2.0707430653402219</v>
      </c>
      <c r="H337" s="29">
        <f t="shared" si="29"/>
        <v>3.0959236013264451</v>
      </c>
    </row>
    <row r="338" spans="1:8" ht="12.75" thickBot="1" x14ac:dyDescent="0.25">
      <c r="A338" s="3" t="str">
        <f>LOAD_COMBOS!O26</f>
        <v>16-16E2</v>
      </c>
      <c r="B338" s="29">
        <v>2.6023333333333336</v>
      </c>
      <c r="C338" s="29">
        <v>5.3887637037037042</v>
      </c>
      <c r="D338" s="29">
        <f t="shared" si="25"/>
        <v>2.0707430653402219</v>
      </c>
      <c r="E338" s="29">
        <f t="shared" si="26"/>
        <v>0.51259026799311158</v>
      </c>
      <c r="F338" s="13">
        <f t="shared" si="27"/>
        <v>1</v>
      </c>
      <c r="G338" s="29">
        <f t="shared" si="28"/>
        <v>2.0707430653402219</v>
      </c>
      <c r="H338" s="29">
        <f t="shared" si="29"/>
        <v>3.0959236013264451</v>
      </c>
    </row>
    <row r="339" spans="1:8" ht="12.75" thickBot="1" x14ac:dyDescent="0.25">
      <c r="F339" s="16">
        <f>COUNTIF(F315:F338,0)</f>
        <v>0</v>
      </c>
    </row>
    <row r="355" spans="1:6" x14ac:dyDescent="0.2">
      <c r="A355" s="15" t="s">
        <v>234</v>
      </c>
    </row>
    <row r="356" spans="1:6" x14ac:dyDescent="0.2">
      <c r="B356" s="5" t="s">
        <v>145</v>
      </c>
      <c r="C356" s="5" t="s">
        <v>148</v>
      </c>
      <c r="D356" s="5" t="s">
        <v>147</v>
      </c>
      <c r="E356" s="5" t="s">
        <v>149</v>
      </c>
      <c r="F356" s="5" t="s">
        <v>195</v>
      </c>
    </row>
    <row r="357" spans="1:6" x14ac:dyDescent="0.2">
      <c r="A357" s="3" t="str">
        <f>A315</f>
        <v>16-8</v>
      </c>
      <c r="B357" s="28">
        <f>IF(F315=1,(B315*(1-((6*E315)/$B$12)))/$B$12,IF(E315&gt;0,0,(2*B315)/(3*G315)))</f>
        <v>0.89900908775581001</v>
      </c>
      <c r="C357" s="28">
        <f>IF(F315=1,0,IF(E315&lt;0,0,$B$12-(3*G315)))</f>
        <v>0</v>
      </c>
      <c r="D357" s="28">
        <f>IF(F315=1,(B315*(1+((6*E315)/$B$12)))/$B$12,IF(E315&lt;0,0,(2*B315)/(3*G315)))</f>
        <v>0.77991564342698572</v>
      </c>
      <c r="E357" s="28">
        <f>IF(F315=1,$B$12,IF(D357&lt;&gt;0,$B$12,3*G315))</f>
        <v>5.166666666666667</v>
      </c>
      <c r="F357" s="30">
        <f>MAX(D357,B357)</f>
        <v>0.89900908775581001</v>
      </c>
    </row>
    <row r="358" spans="1:6" x14ac:dyDescent="0.2">
      <c r="A358" s="3" t="str">
        <f t="shared" ref="A358:A380" si="30">A316</f>
        <v>16-9</v>
      </c>
      <c r="B358" s="28">
        <f t="shared" ref="B358:B380" si="31">IF(F316=1,(B316*(1-((6*E316)/$B$12)))/$B$12,IF(E316&gt;0,0,(2*B316)/(3*G316)))</f>
        <v>0.29262046479361764</v>
      </c>
      <c r="C358" s="28">
        <f t="shared" ref="C358:C379" si="32">IF(F316=1,0,IF(E316&lt;0,0,$B$12-(3*G316)))</f>
        <v>0</v>
      </c>
      <c r="D358" s="28">
        <f t="shared" ref="D358:D380" si="33">IF(F316=1,(B316*(1+((6*E316)/$B$12)))/$B$12,IF(E316&lt;0,0,(2*B316)/(3*G316)))</f>
        <v>1.4443687825182105</v>
      </c>
      <c r="E358" s="28">
        <f t="shared" ref="E358:E380" si="34">IF(F316=1,$B$12,IF(D358&lt;&gt;0,$B$12,3*G316))</f>
        <v>5.166666666666667</v>
      </c>
      <c r="F358" s="30">
        <f t="shared" ref="F358:F380" si="35">MAX(D358,B358)</f>
        <v>1.4443687825182105</v>
      </c>
    </row>
    <row r="359" spans="1:6" x14ac:dyDescent="0.2">
      <c r="A359" s="3" t="str">
        <f t="shared" si="30"/>
        <v>16-10Lr</v>
      </c>
      <c r="B359" s="28">
        <f t="shared" si="31"/>
        <v>0.33975886229621932</v>
      </c>
      <c r="C359" s="28">
        <f t="shared" si="32"/>
        <v>0</v>
      </c>
      <c r="D359" s="28">
        <f t="shared" si="33"/>
        <v>1.3391658688865764</v>
      </c>
      <c r="E359" s="28">
        <f t="shared" si="34"/>
        <v>5.166666666666667</v>
      </c>
      <c r="F359" s="30">
        <f t="shared" si="35"/>
        <v>1.3391658688865764</v>
      </c>
    </row>
    <row r="360" spans="1:6" x14ac:dyDescent="0.2">
      <c r="A360" s="3" t="str">
        <f t="shared" si="30"/>
        <v>16-10S</v>
      </c>
      <c r="B360" s="28">
        <f t="shared" si="31"/>
        <v>0.33975886229621932</v>
      </c>
      <c r="C360" s="28">
        <f t="shared" si="32"/>
        <v>0</v>
      </c>
      <c r="D360" s="28">
        <f t="shared" si="33"/>
        <v>1.3391658688865764</v>
      </c>
      <c r="E360" s="28">
        <f t="shared" si="34"/>
        <v>5.166666666666667</v>
      </c>
      <c r="F360" s="30">
        <f t="shared" si="35"/>
        <v>1.3391658688865764</v>
      </c>
    </row>
    <row r="361" spans="1:6" x14ac:dyDescent="0.2">
      <c r="A361" s="3" t="str">
        <f t="shared" si="30"/>
        <v>16-10R</v>
      </c>
      <c r="B361" s="28">
        <f t="shared" si="31"/>
        <v>0.33975886229621932</v>
      </c>
      <c r="C361" s="28">
        <f t="shared" si="32"/>
        <v>0</v>
      </c>
      <c r="D361" s="28">
        <f t="shared" si="33"/>
        <v>1.3391658688865764</v>
      </c>
      <c r="E361" s="28">
        <f t="shared" si="34"/>
        <v>5.166666666666667</v>
      </c>
      <c r="F361" s="30">
        <f t="shared" si="35"/>
        <v>1.3391658688865764</v>
      </c>
    </row>
    <row r="362" spans="1:6" x14ac:dyDescent="0.2">
      <c r="A362" s="3" t="str">
        <f t="shared" si="30"/>
        <v>16-11Lr</v>
      </c>
      <c r="B362" s="28">
        <f t="shared" si="31"/>
        <v>0.30440506416926832</v>
      </c>
      <c r="C362" s="28">
        <f t="shared" si="32"/>
        <v>0</v>
      </c>
      <c r="D362" s="28">
        <f t="shared" si="33"/>
        <v>1.4180680541103015</v>
      </c>
      <c r="E362" s="28">
        <f t="shared" si="34"/>
        <v>5.166666666666667</v>
      </c>
      <c r="F362" s="30">
        <f t="shared" si="35"/>
        <v>1.4180680541103015</v>
      </c>
    </row>
    <row r="363" spans="1:6" x14ac:dyDescent="0.2">
      <c r="A363" s="3" t="str">
        <f t="shared" si="30"/>
        <v>16-11S</v>
      </c>
      <c r="B363" s="28">
        <f t="shared" si="31"/>
        <v>0.30440506416926832</v>
      </c>
      <c r="C363" s="28">
        <f t="shared" si="32"/>
        <v>0</v>
      </c>
      <c r="D363" s="28">
        <f t="shared" si="33"/>
        <v>1.4180680541103015</v>
      </c>
      <c r="E363" s="28">
        <f t="shared" si="34"/>
        <v>5.166666666666667</v>
      </c>
      <c r="F363" s="30">
        <f t="shared" si="35"/>
        <v>1.4180680541103015</v>
      </c>
    </row>
    <row r="364" spans="1:6" x14ac:dyDescent="0.2">
      <c r="A364" s="3" t="str">
        <f t="shared" si="30"/>
        <v>16-11R</v>
      </c>
      <c r="B364" s="28">
        <f t="shared" si="31"/>
        <v>0.30440506416926832</v>
      </c>
      <c r="C364" s="28">
        <f t="shared" si="32"/>
        <v>0</v>
      </c>
      <c r="D364" s="28">
        <f t="shared" si="33"/>
        <v>1.4180680541103015</v>
      </c>
      <c r="E364" s="28">
        <f t="shared" si="34"/>
        <v>5.166666666666667</v>
      </c>
      <c r="F364" s="30">
        <f t="shared" si="35"/>
        <v>1.4180680541103015</v>
      </c>
    </row>
    <row r="365" spans="1:6" x14ac:dyDescent="0.2">
      <c r="A365" s="3" t="str">
        <f t="shared" si="30"/>
        <v>16-12W1</v>
      </c>
      <c r="B365" s="28">
        <f t="shared" si="31"/>
        <v>0.19147632327436681</v>
      </c>
      <c r="C365" s="28">
        <f t="shared" si="32"/>
        <v>0</v>
      </c>
      <c r="D365" s="28">
        <f t="shared" si="33"/>
        <v>1.4874484079084289</v>
      </c>
      <c r="E365" s="28">
        <f t="shared" si="34"/>
        <v>5.166666666666667</v>
      </c>
      <c r="F365" s="30">
        <f t="shared" si="35"/>
        <v>1.4874484079084289</v>
      </c>
    </row>
    <row r="366" spans="1:6" x14ac:dyDescent="0.2">
      <c r="A366" s="3" t="str">
        <f t="shared" si="30"/>
        <v>16-12W2</v>
      </c>
      <c r="B366" s="28">
        <f t="shared" si="31"/>
        <v>0.5407939507457511</v>
      </c>
      <c r="C366" s="28">
        <f t="shared" si="32"/>
        <v>0</v>
      </c>
      <c r="D366" s="28">
        <f t="shared" si="33"/>
        <v>1.1381307804370446</v>
      </c>
      <c r="E366" s="28">
        <f t="shared" si="34"/>
        <v>5.166666666666667</v>
      </c>
      <c r="F366" s="30">
        <f t="shared" si="35"/>
        <v>1.1381307804370446</v>
      </c>
    </row>
    <row r="367" spans="1:6" x14ac:dyDescent="0.2">
      <c r="A367" s="3" t="str">
        <f t="shared" si="30"/>
        <v>16-12E1</v>
      </c>
      <c r="B367" s="28">
        <f t="shared" si="31"/>
        <v>0.33975886229621932</v>
      </c>
      <c r="C367" s="28">
        <f t="shared" si="32"/>
        <v>0</v>
      </c>
      <c r="D367" s="28">
        <f t="shared" si="33"/>
        <v>1.3391658688865764</v>
      </c>
      <c r="E367" s="28">
        <f t="shared" si="34"/>
        <v>5.166666666666667</v>
      </c>
      <c r="F367" s="30">
        <f t="shared" si="35"/>
        <v>1.3391658688865764</v>
      </c>
    </row>
    <row r="368" spans="1:6" x14ac:dyDescent="0.2">
      <c r="A368" s="3" t="str">
        <f t="shared" si="30"/>
        <v>16-12E2</v>
      </c>
      <c r="B368" s="28">
        <f t="shared" si="31"/>
        <v>0.33975886229621932</v>
      </c>
      <c r="C368" s="28">
        <f t="shared" si="32"/>
        <v>0</v>
      </c>
      <c r="D368" s="28">
        <f t="shared" si="33"/>
        <v>1.3391658688865764</v>
      </c>
      <c r="E368" s="28">
        <f t="shared" si="34"/>
        <v>5.166666666666667</v>
      </c>
      <c r="F368" s="30">
        <f t="shared" si="35"/>
        <v>1.3391658688865764</v>
      </c>
    </row>
    <row r="369" spans="1:8" x14ac:dyDescent="0.2">
      <c r="A369" s="3" t="str">
        <f t="shared" si="30"/>
        <v>16-13W1_Lr</v>
      </c>
      <c r="B369" s="28">
        <f t="shared" si="31"/>
        <v>0.19319315990287908</v>
      </c>
      <c r="C369" s="28">
        <f t="shared" si="32"/>
        <v>0</v>
      </c>
      <c r="D369" s="28">
        <f t="shared" si="33"/>
        <v>1.5292799583766907</v>
      </c>
      <c r="E369" s="28">
        <f t="shared" si="34"/>
        <v>5.166666666666667</v>
      </c>
      <c r="F369" s="30">
        <f t="shared" si="35"/>
        <v>1.5292799583766907</v>
      </c>
    </row>
    <row r="370" spans="1:8" x14ac:dyDescent="0.2">
      <c r="A370" s="3" t="str">
        <f t="shared" si="30"/>
        <v>16-13W1_S</v>
      </c>
      <c r="B370" s="28">
        <f t="shared" si="31"/>
        <v>0.19319315990287908</v>
      </c>
      <c r="C370" s="28">
        <f t="shared" si="32"/>
        <v>0</v>
      </c>
      <c r="D370" s="28">
        <f t="shared" si="33"/>
        <v>1.5292799583766907</v>
      </c>
      <c r="E370" s="28">
        <f t="shared" si="34"/>
        <v>5.166666666666667</v>
      </c>
      <c r="F370" s="30">
        <f t="shared" si="35"/>
        <v>1.5292799583766907</v>
      </c>
    </row>
    <row r="371" spans="1:8" x14ac:dyDescent="0.2">
      <c r="A371" s="3" t="str">
        <f t="shared" si="30"/>
        <v>16-13W1_R</v>
      </c>
      <c r="B371" s="28">
        <f t="shared" si="31"/>
        <v>0.19319315990287908</v>
      </c>
      <c r="C371" s="28">
        <f t="shared" si="32"/>
        <v>0</v>
      </c>
      <c r="D371" s="28">
        <f t="shared" si="33"/>
        <v>1.5292799583766907</v>
      </c>
      <c r="E371" s="28">
        <f t="shared" si="34"/>
        <v>5.166666666666667</v>
      </c>
      <c r="F371" s="30">
        <f t="shared" si="35"/>
        <v>1.5292799583766907</v>
      </c>
    </row>
    <row r="372" spans="1:8" x14ac:dyDescent="0.2">
      <c r="A372" s="3" t="str">
        <f t="shared" si="30"/>
        <v>16-13W2_Lr</v>
      </c>
      <c r="B372" s="28">
        <f t="shared" si="31"/>
        <v>0.45518138050641671</v>
      </c>
      <c r="C372" s="28">
        <f t="shared" si="32"/>
        <v>0</v>
      </c>
      <c r="D372" s="28">
        <f t="shared" si="33"/>
        <v>1.2672917377731532</v>
      </c>
      <c r="E372" s="28">
        <f t="shared" si="34"/>
        <v>5.166666666666667</v>
      </c>
      <c r="F372" s="30">
        <f t="shared" si="35"/>
        <v>1.2672917377731532</v>
      </c>
    </row>
    <row r="373" spans="1:8" x14ac:dyDescent="0.2">
      <c r="A373" s="3" t="str">
        <f t="shared" si="30"/>
        <v>16-13W2_S</v>
      </c>
      <c r="B373" s="28">
        <f t="shared" si="31"/>
        <v>0.45518138050641671</v>
      </c>
      <c r="C373" s="28">
        <f t="shared" si="32"/>
        <v>0</v>
      </c>
      <c r="D373" s="28">
        <f t="shared" si="33"/>
        <v>1.2672917377731532</v>
      </c>
      <c r="E373" s="28">
        <f t="shared" si="34"/>
        <v>5.166666666666667</v>
      </c>
      <c r="F373" s="30">
        <f t="shared" si="35"/>
        <v>1.2672917377731532</v>
      </c>
    </row>
    <row r="374" spans="1:8" x14ac:dyDescent="0.2">
      <c r="A374" s="3" t="str">
        <f t="shared" si="30"/>
        <v>16-13W2_R</v>
      </c>
      <c r="B374" s="28">
        <f t="shared" si="31"/>
        <v>0.45518138050641671</v>
      </c>
      <c r="C374" s="28">
        <f t="shared" si="32"/>
        <v>0</v>
      </c>
      <c r="D374" s="28">
        <f t="shared" si="33"/>
        <v>1.2672917377731532</v>
      </c>
      <c r="E374" s="28">
        <f t="shared" si="34"/>
        <v>5.166666666666667</v>
      </c>
      <c r="F374" s="30">
        <f t="shared" si="35"/>
        <v>1.2672917377731532</v>
      </c>
    </row>
    <row r="375" spans="1:8" x14ac:dyDescent="0.2">
      <c r="A375" s="3" t="str">
        <f t="shared" si="30"/>
        <v>16-14E1</v>
      </c>
      <c r="B375" s="28">
        <f t="shared" si="31"/>
        <v>0.30440506416926832</v>
      </c>
      <c r="C375" s="28">
        <f t="shared" si="32"/>
        <v>0</v>
      </c>
      <c r="D375" s="28">
        <f t="shared" si="33"/>
        <v>1.4180680541103015</v>
      </c>
      <c r="E375" s="28">
        <f t="shared" si="34"/>
        <v>5.166666666666667</v>
      </c>
      <c r="F375" s="30">
        <f t="shared" si="35"/>
        <v>1.4180680541103015</v>
      </c>
    </row>
    <row r="376" spans="1:8" x14ac:dyDescent="0.2">
      <c r="A376" s="3" t="str">
        <f t="shared" si="30"/>
        <v>16-14E2</v>
      </c>
      <c r="B376" s="28">
        <f t="shared" si="31"/>
        <v>0.30440506416926832</v>
      </c>
      <c r="C376" s="28">
        <f t="shared" si="32"/>
        <v>0</v>
      </c>
      <c r="D376" s="28">
        <f t="shared" si="33"/>
        <v>1.4180680541103015</v>
      </c>
      <c r="E376" s="28">
        <f t="shared" si="34"/>
        <v>5.166666666666667</v>
      </c>
      <c r="F376" s="30">
        <f t="shared" si="35"/>
        <v>1.4180680541103015</v>
      </c>
    </row>
    <row r="377" spans="1:8" x14ac:dyDescent="0.2">
      <c r="A377" s="3" t="str">
        <f t="shared" si="30"/>
        <v>16-15W1</v>
      </c>
      <c r="B377" s="28">
        <f>IF(F335=1,(B335*(1-((6*E335)/$B$12)))/$B$12,IF(E335&gt;0,0,(2*B335)/(3*G335)))</f>
        <v>5.5572778355879197E-2</v>
      </c>
      <c r="C377" s="28">
        <f t="shared" si="32"/>
        <v>0</v>
      </c>
      <c r="D377" s="28">
        <f t="shared" si="33"/>
        <v>0.95178206035379831</v>
      </c>
      <c r="E377" s="28">
        <f t="shared" si="34"/>
        <v>5.166666666666667</v>
      </c>
      <c r="F377" s="30">
        <f t="shared" si="35"/>
        <v>0.95178206035379831</v>
      </c>
    </row>
    <row r="378" spans="1:8" x14ac:dyDescent="0.2">
      <c r="A378" s="3" t="str">
        <f t="shared" si="30"/>
        <v>16-15W2</v>
      </c>
      <c r="B378" s="28">
        <f t="shared" si="31"/>
        <v>0.40489040582726321</v>
      </c>
      <c r="C378" s="28">
        <f t="shared" si="32"/>
        <v>0</v>
      </c>
      <c r="D378" s="28">
        <f t="shared" si="33"/>
        <v>0.60246443288241425</v>
      </c>
      <c r="E378" s="28">
        <f t="shared" si="34"/>
        <v>5.166666666666667</v>
      </c>
      <c r="F378" s="30">
        <f t="shared" si="35"/>
        <v>0.60246443288241425</v>
      </c>
    </row>
    <row r="379" spans="1:8" x14ac:dyDescent="0.2">
      <c r="A379" s="3" t="str">
        <f t="shared" si="30"/>
        <v>16-16E1</v>
      </c>
      <c r="B379" s="28">
        <f t="shared" si="31"/>
        <v>0.2038553173777316</v>
      </c>
      <c r="C379" s="28">
        <f t="shared" si="32"/>
        <v>0</v>
      </c>
      <c r="D379" s="28">
        <f t="shared" si="33"/>
        <v>0.8034995213319458</v>
      </c>
      <c r="E379" s="28">
        <f t="shared" si="34"/>
        <v>5.166666666666667</v>
      </c>
      <c r="F379" s="30">
        <f t="shared" si="35"/>
        <v>0.8034995213319458</v>
      </c>
    </row>
    <row r="380" spans="1:8" x14ac:dyDescent="0.2">
      <c r="A380" s="3" t="str">
        <f t="shared" si="30"/>
        <v>16-16E2</v>
      </c>
      <c r="B380" s="28">
        <f t="shared" si="31"/>
        <v>0.2038553173777316</v>
      </c>
      <c r="C380" s="28">
        <f>IF(F338=1,0,IF(E338&lt;0,0,$B$12-(3*G338)))</f>
        <v>0</v>
      </c>
      <c r="D380" s="28">
        <f t="shared" si="33"/>
        <v>0.8034995213319458</v>
      </c>
      <c r="E380" s="28">
        <f t="shared" si="34"/>
        <v>5.166666666666667</v>
      </c>
      <c r="F380" s="30">
        <f t="shared" si="35"/>
        <v>0.8034995213319458</v>
      </c>
    </row>
    <row r="382" spans="1:8" x14ac:dyDescent="0.2">
      <c r="A382" s="15"/>
    </row>
    <row r="383" spans="1:8" x14ac:dyDescent="0.2">
      <c r="A383" s="3" t="s">
        <v>150</v>
      </c>
      <c r="B383" s="5" t="s">
        <v>76</v>
      </c>
      <c r="C383" s="5" t="s">
        <v>139</v>
      </c>
      <c r="D383" s="5" t="s">
        <v>140</v>
      </c>
      <c r="E383" s="5" t="s">
        <v>141</v>
      </c>
      <c r="F383" s="5" t="s">
        <v>143</v>
      </c>
      <c r="G383" s="5" t="s">
        <v>146</v>
      </c>
      <c r="H383" s="5" t="s">
        <v>196</v>
      </c>
    </row>
    <row r="384" spans="1:8" x14ac:dyDescent="0.2">
      <c r="A384" s="3" t="str">
        <f>LOAD_COMBOS!O30</f>
        <v>16-1</v>
      </c>
      <c r="B384" s="28" cm="1">
        <f t="array" ref="B384:B408">MMULT(LOAD_COMBOS!P30:AA54,Unit_Width_Strip_Foundation!B301:B312)</f>
        <v>6.072111111111111</v>
      </c>
      <c r="C384" s="28" cm="1">
        <f t="array" ref="C384:C408">MMULT(LOAD_COMBOS!P30:AA54,Unit_Width_Strip_Foundation!C301:C312)</f>
        <v>16.057185925925928</v>
      </c>
      <c r="D384" s="28">
        <f>C384/B384</f>
        <v>2.6444156953161695</v>
      </c>
      <c r="E384" s="28">
        <f>($B$12/2)-D384</f>
        <v>-6.1082361982836009E-2</v>
      </c>
      <c r="F384" s="28">
        <f>IF(ABS(E384)&lt;=$F$313,1,0)</f>
        <v>1</v>
      </c>
      <c r="G384" s="28">
        <f>IF(E384&gt;0,D384,($B$12/2)+E384)</f>
        <v>2.5222509713504975</v>
      </c>
      <c r="H384" s="27">
        <f>$B$12-D384</f>
        <v>2.5222509713504975</v>
      </c>
    </row>
    <row r="385" spans="1:8" x14ac:dyDescent="0.2">
      <c r="A385" s="3" t="str">
        <f>LOAD_COMBOS!O31</f>
        <v>16-2Lr</v>
      </c>
      <c r="B385" s="28">
        <v>5.4446666666666674</v>
      </c>
      <c r="C385" s="28">
        <v>10.050861728395065</v>
      </c>
      <c r="D385" s="28">
        <f t="shared" ref="D385:D408" si="36">C385/B385</f>
        <v>1.8460012969992157</v>
      </c>
      <c r="E385" s="28">
        <f t="shared" ref="E385:E408" si="37">($B$12/2)-D385</f>
        <v>0.73733203633411781</v>
      </c>
      <c r="F385" s="28">
        <f t="shared" ref="F385:F408" si="38">IF(ABS(E385)&lt;=$F$313,1,0)</f>
        <v>1</v>
      </c>
      <c r="G385" s="28">
        <f t="shared" ref="G385:G408" si="39">IF(E385&gt;0,D385,($B$12/2)+E385)</f>
        <v>1.8460012969992157</v>
      </c>
      <c r="H385" s="27">
        <f t="shared" ref="H385:H408" si="40">$B$12-D385</f>
        <v>3.3206653696674513</v>
      </c>
    </row>
    <row r="386" spans="1:8" x14ac:dyDescent="0.2">
      <c r="A386" s="3" t="str">
        <f>LOAD_COMBOS!O32</f>
        <v>16-2S</v>
      </c>
      <c r="B386" s="28">
        <v>5.4446666666666674</v>
      </c>
      <c r="C386" s="28">
        <v>10.050861728395065</v>
      </c>
      <c r="D386" s="28">
        <f t="shared" si="36"/>
        <v>1.8460012969992157</v>
      </c>
      <c r="E386" s="28">
        <f t="shared" si="37"/>
        <v>0.73733203633411781</v>
      </c>
      <c r="F386" s="28">
        <f t="shared" si="38"/>
        <v>1</v>
      </c>
      <c r="G386" s="28">
        <f t="shared" si="39"/>
        <v>1.8460012969992157</v>
      </c>
      <c r="H386" s="27">
        <f t="shared" si="40"/>
        <v>3.3206653696674513</v>
      </c>
    </row>
    <row r="387" spans="1:8" x14ac:dyDescent="0.2">
      <c r="A387" s="3" t="str">
        <f>LOAD_COMBOS!O33</f>
        <v>16-2R</v>
      </c>
      <c r="B387" s="28">
        <v>5.4446666666666674</v>
      </c>
      <c r="C387" s="28">
        <v>10.050861728395065</v>
      </c>
      <c r="D387" s="28">
        <f t="shared" si="36"/>
        <v>1.8460012969992157</v>
      </c>
      <c r="E387" s="28">
        <f t="shared" si="37"/>
        <v>0.73733203633411781</v>
      </c>
      <c r="F387" s="28">
        <f t="shared" si="38"/>
        <v>1</v>
      </c>
      <c r="G387" s="28">
        <f t="shared" si="39"/>
        <v>1.8460012969992157</v>
      </c>
      <c r="H387" s="27">
        <f t="shared" si="40"/>
        <v>3.3206653696674513</v>
      </c>
    </row>
    <row r="388" spans="1:8" x14ac:dyDescent="0.2">
      <c r="A388" s="3" t="str">
        <f>LOAD_COMBOS!O34</f>
        <v>16-3Lr_L</v>
      </c>
      <c r="B388" s="28">
        <v>5.2796666666666674</v>
      </c>
      <c r="C388" s="28">
        <v>9.9973895061728424</v>
      </c>
      <c r="D388" s="28">
        <f t="shared" si="36"/>
        <v>1.8935645254446949</v>
      </c>
      <c r="E388" s="28">
        <f t="shared" si="37"/>
        <v>0.68976880788863859</v>
      </c>
      <c r="F388" s="28">
        <f t="shared" si="38"/>
        <v>1</v>
      </c>
      <c r="G388" s="28">
        <f t="shared" si="39"/>
        <v>1.8935645254446949</v>
      </c>
      <c r="H388" s="27">
        <f t="shared" si="40"/>
        <v>3.2731021412219721</v>
      </c>
    </row>
    <row r="389" spans="1:8" x14ac:dyDescent="0.2">
      <c r="A389" s="3" t="str">
        <f>LOAD_COMBOS!O35</f>
        <v>16-3S_L</v>
      </c>
      <c r="B389" s="28">
        <v>5.2796666666666674</v>
      </c>
      <c r="C389" s="28">
        <v>9.9973895061728424</v>
      </c>
      <c r="D389" s="28">
        <f t="shared" si="36"/>
        <v>1.8935645254446949</v>
      </c>
      <c r="E389" s="28">
        <f t="shared" si="37"/>
        <v>0.68976880788863859</v>
      </c>
      <c r="F389" s="28">
        <f t="shared" si="38"/>
        <v>1</v>
      </c>
      <c r="G389" s="28">
        <f t="shared" si="39"/>
        <v>1.8935645254446949</v>
      </c>
      <c r="H389" s="27">
        <f t="shared" si="40"/>
        <v>3.2731021412219721</v>
      </c>
    </row>
    <row r="390" spans="1:8" x14ac:dyDescent="0.2">
      <c r="A390" s="3" t="str">
        <f>LOAD_COMBOS!O36</f>
        <v>16-3R_L</v>
      </c>
      <c r="B390" s="28">
        <v>5.2796666666666674</v>
      </c>
      <c r="C390" s="28">
        <v>9.9973895061728424</v>
      </c>
      <c r="D390" s="28">
        <f t="shared" si="36"/>
        <v>1.8935645254446949</v>
      </c>
      <c r="E390" s="28">
        <f t="shared" si="37"/>
        <v>0.68976880788863859</v>
      </c>
      <c r="F390" s="28">
        <f t="shared" si="38"/>
        <v>1</v>
      </c>
      <c r="G390" s="28">
        <f t="shared" si="39"/>
        <v>1.8935645254446949</v>
      </c>
      <c r="H390" s="27">
        <f t="shared" si="40"/>
        <v>3.2731021412219721</v>
      </c>
    </row>
    <row r="391" spans="1:8" x14ac:dyDescent="0.2">
      <c r="A391" s="3" t="str">
        <f>LOAD_COMBOS!O37</f>
        <v>16-3Lr_W1</v>
      </c>
      <c r="B391" s="28">
        <v>5.2046666666666672</v>
      </c>
      <c r="C391" s="28">
        <v>9.4233172839506185</v>
      </c>
      <c r="D391" s="28">
        <f t="shared" si="36"/>
        <v>1.8105515468074711</v>
      </c>
      <c r="E391" s="28">
        <f t="shared" si="37"/>
        <v>0.77278178652586238</v>
      </c>
      <c r="F391" s="28">
        <f t="shared" si="38"/>
        <v>1</v>
      </c>
      <c r="G391" s="28">
        <f t="shared" si="39"/>
        <v>1.8105515468074711</v>
      </c>
      <c r="H391" s="27">
        <f t="shared" si="40"/>
        <v>3.3561151198591959</v>
      </c>
    </row>
    <row r="392" spans="1:8" x14ac:dyDescent="0.2">
      <c r="A392" s="3" t="str">
        <f>LOAD_COMBOS!O38</f>
        <v>16-3S_W1</v>
      </c>
      <c r="B392" s="28">
        <v>5.2046666666666672</v>
      </c>
      <c r="C392" s="28">
        <v>9.4233172839506185</v>
      </c>
      <c r="D392" s="28">
        <f t="shared" si="36"/>
        <v>1.8105515468074711</v>
      </c>
      <c r="E392" s="28">
        <f t="shared" si="37"/>
        <v>0.77278178652586238</v>
      </c>
      <c r="F392" s="28">
        <f t="shared" si="38"/>
        <v>1</v>
      </c>
      <c r="G392" s="28">
        <f t="shared" si="39"/>
        <v>1.8105515468074711</v>
      </c>
      <c r="H392" s="27">
        <f t="shared" si="40"/>
        <v>3.3561151198591959</v>
      </c>
    </row>
    <row r="393" spans="1:8" x14ac:dyDescent="0.2">
      <c r="A393" s="3" t="str">
        <f>LOAD_COMBOS!O39</f>
        <v>16-3R_W1</v>
      </c>
      <c r="B393" s="28">
        <v>5.2046666666666672</v>
      </c>
      <c r="C393" s="28">
        <v>9.4233172839506185</v>
      </c>
      <c r="D393" s="28">
        <f t="shared" si="36"/>
        <v>1.8105515468074711</v>
      </c>
      <c r="E393" s="28">
        <f t="shared" si="37"/>
        <v>0.77278178652586238</v>
      </c>
      <c r="F393" s="28">
        <f t="shared" si="38"/>
        <v>1</v>
      </c>
      <c r="G393" s="28">
        <f t="shared" si="39"/>
        <v>1.8105515468074711</v>
      </c>
      <c r="H393" s="27">
        <f t="shared" si="40"/>
        <v>3.3561151198591959</v>
      </c>
    </row>
    <row r="394" spans="1:8" x14ac:dyDescent="0.2">
      <c r="A394" s="3" t="str">
        <f>LOAD_COMBOS!O40</f>
        <v>16-3Lr_W2</v>
      </c>
      <c r="B394" s="28">
        <v>5.2046666666666672</v>
      </c>
      <c r="C394" s="28">
        <v>10.718433950617285</v>
      </c>
      <c r="D394" s="28">
        <f t="shared" si="36"/>
        <v>2.0593891284649577</v>
      </c>
      <c r="E394" s="28">
        <f t="shared" si="37"/>
        <v>0.52394420486837578</v>
      </c>
      <c r="F394" s="28">
        <f t="shared" si="38"/>
        <v>1</v>
      </c>
      <c r="G394" s="28">
        <f t="shared" si="39"/>
        <v>2.0593891284649577</v>
      </c>
      <c r="H394" s="27">
        <f t="shared" si="40"/>
        <v>3.1072775382017093</v>
      </c>
    </row>
    <row r="395" spans="1:8" x14ac:dyDescent="0.2">
      <c r="A395" s="3" t="str">
        <f>LOAD_COMBOS!O41</f>
        <v>16-3S_W2</v>
      </c>
      <c r="B395" s="28">
        <v>5.2046666666666672</v>
      </c>
      <c r="C395" s="28">
        <v>10.718433950617285</v>
      </c>
      <c r="D395" s="28">
        <f t="shared" si="36"/>
        <v>2.0593891284649577</v>
      </c>
      <c r="E395" s="28">
        <f t="shared" si="37"/>
        <v>0.52394420486837578</v>
      </c>
      <c r="F395" s="28">
        <f t="shared" si="38"/>
        <v>1</v>
      </c>
      <c r="G395" s="28">
        <f t="shared" si="39"/>
        <v>2.0593891284649577</v>
      </c>
      <c r="H395" s="27">
        <f t="shared" si="40"/>
        <v>3.1072775382017093</v>
      </c>
    </row>
    <row r="396" spans="1:8" x14ac:dyDescent="0.2">
      <c r="A396" s="3" t="str">
        <f>LOAD_COMBOS!O42</f>
        <v>16-3R_W2</v>
      </c>
      <c r="B396" s="28">
        <v>5.2046666666666672</v>
      </c>
      <c r="C396" s="28">
        <v>10.718433950617285</v>
      </c>
      <c r="D396" s="28">
        <f t="shared" si="36"/>
        <v>2.0593891284649577</v>
      </c>
      <c r="E396" s="28">
        <f t="shared" si="37"/>
        <v>0.52394420486837578</v>
      </c>
      <c r="F396" s="28">
        <f t="shared" si="38"/>
        <v>1</v>
      </c>
      <c r="G396" s="28">
        <f t="shared" si="39"/>
        <v>2.0593891284649577</v>
      </c>
      <c r="H396" s="27">
        <f t="shared" si="40"/>
        <v>3.1072775382017093</v>
      </c>
    </row>
    <row r="397" spans="1:8" x14ac:dyDescent="0.2">
      <c r="A397" s="3" t="str">
        <f>LOAD_COMBOS!O43</f>
        <v>16-4W1_Lr</v>
      </c>
      <c r="B397" s="28">
        <v>5.2796666666666674</v>
      </c>
      <c r="C397" s="28">
        <v>8.8978561728395089</v>
      </c>
      <c r="D397" s="28">
        <f t="shared" si="36"/>
        <v>1.6853064283426051</v>
      </c>
      <c r="E397" s="28">
        <f t="shared" si="37"/>
        <v>0.89802690499072835</v>
      </c>
      <c r="F397" s="28">
        <f t="shared" si="38"/>
        <v>0</v>
      </c>
      <c r="G397" s="28">
        <f t="shared" si="39"/>
        <v>1.6853064283426051</v>
      </c>
      <c r="H397" s="27">
        <f t="shared" si="40"/>
        <v>3.4813602383240618</v>
      </c>
    </row>
    <row r="398" spans="1:8" x14ac:dyDescent="0.2">
      <c r="A398" s="3" t="str">
        <f>LOAD_COMBOS!O44</f>
        <v>16-4W1_S</v>
      </c>
      <c r="B398" s="28">
        <v>5.2796666666666674</v>
      </c>
      <c r="C398" s="28">
        <v>8.8978561728395089</v>
      </c>
      <c r="D398" s="28">
        <f t="shared" si="36"/>
        <v>1.6853064283426051</v>
      </c>
      <c r="E398" s="28">
        <f t="shared" si="37"/>
        <v>0.89802690499072835</v>
      </c>
      <c r="F398" s="28">
        <f t="shared" si="38"/>
        <v>0</v>
      </c>
      <c r="G398" s="28">
        <f t="shared" si="39"/>
        <v>1.6853064283426051</v>
      </c>
      <c r="H398" s="27">
        <f t="shared" si="40"/>
        <v>3.4813602383240618</v>
      </c>
    </row>
    <row r="399" spans="1:8" x14ac:dyDescent="0.2">
      <c r="A399" s="3" t="str">
        <f>LOAD_COMBOS!O45</f>
        <v>16-4W1_R</v>
      </c>
      <c r="B399" s="28">
        <v>5.2796666666666674</v>
      </c>
      <c r="C399" s="28">
        <v>8.8978561728395089</v>
      </c>
      <c r="D399" s="28">
        <f t="shared" si="36"/>
        <v>1.6853064283426051</v>
      </c>
      <c r="E399" s="28">
        <f t="shared" si="37"/>
        <v>0.89802690499072835</v>
      </c>
      <c r="F399" s="28">
        <f t="shared" si="38"/>
        <v>0</v>
      </c>
      <c r="G399" s="28">
        <f t="shared" si="39"/>
        <v>1.6853064283426051</v>
      </c>
      <c r="H399" s="27">
        <f t="shared" si="40"/>
        <v>3.4813602383240618</v>
      </c>
    </row>
    <row r="400" spans="1:8" x14ac:dyDescent="0.2">
      <c r="A400" s="3" t="str">
        <f>LOAD_COMBOS!O46</f>
        <v>16-4W2_Lr</v>
      </c>
      <c r="B400" s="28">
        <v>5.2796666666666674</v>
      </c>
      <c r="C400" s="28">
        <v>11.488089506172843</v>
      </c>
      <c r="D400" s="28">
        <f t="shared" si="36"/>
        <v>2.1759118958594938</v>
      </c>
      <c r="E400" s="28">
        <f t="shared" si="37"/>
        <v>0.40742143747383963</v>
      </c>
      <c r="F400" s="28">
        <f t="shared" si="38"/>
        <v>1</v>
      </c>
      <c r="G400" s="28">
        <f t="shared" si="39"/>
        <v>2.1759118958594938</v>
      </c>
      <c r="H400" s="27">
        <f t="shared" si="40"/>
        <v>2.9907547708071731</v>
      </c>
    </row>
    <row r="401" spans="1:8" x14ac:dyDescent="0.2">
      <c r="A401" s="3" t="str">
        <f>LOAD_COMBOS!O47</f>
        <v>16-4W2_S</v>
      </c>
      <c r="B401" s="28">
        <v>5.2796666666666674</v>
      </c>
      <c r="C401" s="28">
        <v>11.488089506172843</v>
      </c>
      <c r="D401" s="28">
        <f t="shared" si="36"/>
        <v>2.1759118958594938</v>
      </c>
      <c r="E401" s="28">
        <f t="shared" si="37"/>
        <v>0.40742143747383963</v>
      </c>
      <c r="F401" s="28">
        <f t="shared" si="38"/>
        <v>1</v>
      </c>
      <c r="G401" s="28">
        <f t="shared" si="39"/>
        <v>2.1759118958594938</v>
      </c>
      <c r="H401" s="27">
        <f t="shared" si="40"/>
        <v>2.9907547708071731</v>
      </c>
    </row>
    <row r="402" spans="1:8" x14ac:dyDescent="0.2">
      <c r="A402" s="3" t="str">
        <f>LOAD_COMBOS!O48</f>
        <v>16-4W2_R</v>
      </c>
      <c r="B402" s="28">
        <v>5.2796666666666674</v>
      </c>
      <c r="C402" s="28">
        <v>11.488089506172843</v>
      </c>
      <c r="D402" s="28">
        <f t="shared" si="36"/>
        <v>2.1759118958594938</v>
      </c>
      <c r="E402" s="28">
        <f t="shared" si="37"/>
        <v>0.40742143747383963</v>
      </c>
      <c r="F402" s="28">
        <f t="shared" si="38"/>
        <v>1</v>
      </c>
      <c r="G402" s="28">
        <f t="shared" si="39"/>
        <v>2.1759118958594938</v>
      </c>
      <c r="H402" s="27">
        <f t="shared" si="40"/>
        <v>2.9907547708071731</v>
      </c>
    </row>
    <row r="403" spans="1:8" x14ac:dyDescent="0.2">
      <c r="A403" s="3" t="str">
        <f>LOAD_COMBOS!O49</f>
        <v>16-5E1</v>
      </c>
      <c r="B403" s="28">
        <v>5.2796666666666674</v>
      </c>
      <c r="C403" s="28">
        <v>9.9973895061728424</v>
      </c>
      <c r="D403" s="28">
        <f t="shared" si="36"/>
        <v>1.8935645254446949</v>
      </c>
      <c r="E403" s="28">
        <f t="shared" si="37"/>
        <v>0.68976880788863859</v>
      </c>
      <c r="F403" s="28">
        <f t="shared" si="38"/>
        <v>1</v>
      </c>
      <c r="G403" s="28">
        <f t="shared" si="39"/>
        <v>1.8935645254446949</v>
      </c>
      <c r="H403" s="27">
        <f t="shared" si="40"/>
        <v>3.2731021412219721</v>
      </c>
    </row>
    <row r="404" spans="1:8" x14ac:dyDescent="0.2">
      <c r="A404" s="3" t="str">
        <f>LOAD_COMBOS!O50</f>
        <v>16-5E2</v>
      </c>
      <c r="B404" s="28">
        <v>5.2796666666666674</v>
      </c>
      <c r="C404" s="28">
        <v>9.9973895061728424</v>
      </c>
      <c r="D404" s="28">
        <f t="shared" si="36"/>
        <v>1.8935645254446949</v>
      </c>
      <c r="E404" s="28">
        <f t="shared" si="37"/>
        <v>0.68976880788863859</v>
      </c>
      <c r="F404" s="28">
        <f t="shared" si="38"/>
        <v>1</v>
      </c>
      <c r="G404" s="28">
        <f t="shared" si="39"/>
        <v>1.8935645254446949</v>
      </c>
      <c r="H404" s="27">
        <f t="shared" si="40"/>
        <v>3.2731021412219721</v>
      </c>
    </row>
    <row r="405" spans="1:8" x14ac:dyDescent="0.2">
      <c r="A405" s="3" t="str">
        <f>LOAD_COMBOS!O51</f>
        <v>16-6W1</v>
      </c>
      <c r="B405" s="28">
        <v>3.9035000000000002</v>
      </c>
      <c r="C405" s="28">
        <v>7.0909455555555567</v>
      </c>
      <c r="D405" s="28">
        <f t="shared" si="36"/>
        <v>1.8165609211106843</v>
      </c>
      <c r="E405" s="28">
        <f t="shared" si="37"/>
        <v>0.76677241222264914</v>
      </c>
      <c r="F405" s="28">
        <f t="shared" si="38"/>
        <v>1</v>
      </c>
      <c r="G405" s="28">
        <f t="shared" si="39"/>
        <v>1.8165609211106843</v>
      </c>
      <c r="H405" s="27">
        <f t="shared" si="40"/>
        <v>3.3501057455559824</v>
      </c>
    </row>
    <row r="406" spans="1:8" x14ac:dyDescent="0.2">
      <c r="A406" s="3" t="str">
        <f>LOAD_COMBOS!O52</f>
        <v>16-6W2</v>
      </c>
      <c r="B406" s="28">
        <v>3.9035000000000002</v>
      </c>
      <c r="C406" s="28">
        <v>9.6811788888888906</v>
      </c>
      <c r="D406" s="28">
        <f t="shared" si="36"/>
        <v>2.4801278055306493</v>
      </c>
      <c r="E406" s="28">
        <f t="shared" si="37"/>
        <v>0.10320552780268422</v>
      </c>
      <c r="F406" s="28">
        <f t="shared" si="38"/>
        <v>1</v>
      </c>
      <c r="G406" s="28">
        <f t="shared" si="39"/>
        <v>2.4801278055306493</v>
      </c>
      <c r="H406" s="27">
        <f t="shared" si="40"/>
        <v>2.6865388611360177</v>
      </c>
    </row>
    <row r="407" spans="1:8" x14ac:dyDescent="0.2">
      <c r="A407" s="3" t="str">
        <f>LOAD_COMBOS!O53</f>
        <v>16-7E1</v>
      </c>
      <c r="B407" s="28">
        <v>3.9035000000000002</v>
      </c>
      <c r="C407" s="28">
        <v>8.1904788888888902</v>
      </c>
      <c r="D407" s="28">
        <f t="shared" si="36"/>
        <v>2.098239756344022</v>
      </c>
      <c r="E407" s="28">
        <f t="shared" si="37"/>
        <v>0.48509357698931144</v>
      </c>
      <c r="F407" s="28">
        <f t="shared" si="38"/>
        <v>1</v>
      </c>
      <c r="G407" s="28">
        <f t="shared" si="39"/>
        <v>2.098239756344022</v>
      </c>
      <c r="H407" s="27">
        <f t="shared" si="40"/>
        <v>3.0684269103226449</v>
      </c>
    </row>
    <row r="408" spans="1:8" x14ac:dyDescent="0.2">
      <c r="A408" s="3" t="str">
        <f>LOAD_COMBOS!O54</f>
        <v>16-7E2</v>
      </c>
      <c r="B408" s="28">
        <v>3.9035000000000002</v>
      </c>
      <c r="C408" s="28">
        <v>8.1904788888888902</v>
      </c>
      <c r="D408" s="28">
        <f t="shared" si="36"/>
        <v>2.098239756344022</v>
      </c>
      <c r="E408" s="28">
        <f t="shared" si="37"/>
        <v>0.48509357698931144</v>
      </c>
      <c r="F408" s="28">
        <f t="shared" si="38"/>
        <v>1</v>
      </c>
      <c r="G408" s="28">
        <f t="shared" si="39"/>
        <v>2.098239756344022</v>
      </c>
      <c r="H408" s="27">
        <f t="shared" si="40"/>
        <v>3.0684269103226449</v>
      </c>
    </row>
    <row r="415" spans="1:8" x14ac:dyDescent="0.2">
      <c r="A415" s="15" t="s">
        <v>151</v>
      </c>
    </row>
    <row r="416" spans="1:8" x14ac:dyDescent="0.2">
      <c r="B416" s="5" t="s">
        <v>145</v>
      </c>
      <c r="C416" s="5" t="s">
        <v>148</v>
      </c>
      <c r="D416" s="5" t="s">
        <v>147</v>
      </c>
      <c r="E416" s="5" t="s">
        <v>149</v>
      </c>
    </row>
    <row r="417" spans="1:5" x14ac:dyDescent="0.2">
      <c r="A417" s="3" t="str">
        <f>A384</f>
        <v>16-1</v>
      </c>
      <c r="B417" s="28">
        <f>IF(F384=1,(B384*(1-((6*E384)/$B$12)))/$B$12,IF(E384&gt;0,0,(2*B384)/(3*G384)))</f>
        <v>1.2586127228581339</v>
      </c>
      <c r="C417" s="28">
        <f>IF(F384=1,0,IF(E384&lt;0,0,$B$12-(3*G384)))</f>
        <v>0</v>
      </c>
      <c r="D417" s="28">
        <f>IF(F384=1,(B384*(1+((6*E384)/$B$12)))/$B$12,IF(E384&lt;0,0,(2*B384)/(3*G384)))</f>
        <v>1.0918819007977798</v>
      </c>
      <c r="E417" s="28">
        <f>IF(F384=1,$B$12,IF(E384&gt;0,$B$12,3*G384))</f>
        <v>5.166666666666667</v>
      </c>
    </row>
    <row r="418" spans="1:5" x14ac:dyDescent="0.2">
      <c r="A418" s="3" t="str">
        <f t="shared" ref="A418:A441" si="41">A385</f>
        <v>16-2Lr</v>
      </c>
      <c r="B418" s="28">
        <f t="shared" ref="B418:B441" si="42">IF(F385=1,(B385*(1-((6*E385)/$B$12)))/$B$12,IF(E385&gt;0,0,(2*B385)/(3*G385)))</f>
        <v>0.15147776621574768</v>
      </c>
      <c r="C418" s="28">
        <f t="shared" ref="C418:C441" si="43">IF(F385=1,0,IF(E385&lt;0,0,$B$12-(3*G385)))</f>
        <v>0</v>
      </c>
      <c r="D418" s="28">
        <f t="shared" ref="D418:D441" si="44">IF(F385=1,(B385*(1+((6*E385)/$B$12)))/$B$12,IF(E385&lt;0,0,(2*B385)/(3*G385)))</f>
        <v>1.956135137010059</v>
      </c>
      <c r="E418" s="28">
        <f t="shared" ref="E418:E441" si="45">IF(F385=1,$B$12,IF(E385&gt;0,$B$12,3*G385))</f>
        <v>5.166666666666667</v>
      </c>
    </row>
    <row r="419" spans="1:5" x14ac:dyDescent="0.2">
      <c r="A419" s="3" t="str">
        <f t="shared" si="41"/>
        <v>16-2S</v>
      </c>
      <c r="B419" s="28">
        <f t="shared" si="42"/>
        <v>0.15147776621574768</v>
      </c>
      <c r="C419" s="28">
        <f t="shared" si="43"/>
        <v>0</v>
      </c>
      <c r="D419" s="28">
        <f t="shared" si="44"/>
        <v>1.956135137010059</v>
      </c>
      <c r="E419" s="28">
        <f t="shared" si="45"/>
        <v>5.166666666666667</v>
      </c>
    </row>
    <row r="420" spans="1:5" x14ac:dyDescent="0.2">
      <c r="A420" s="3" t="str">
        <f t="shared" si="41"/>
        <v>16-2R</v>
      </c>
      <c r="B420" s="28">
        <f t="shared" si="42"/>
        <v>0.15147776621574768</v>
      </c>
      <c r="C420" s="28">
        <f t="shared" si="43"/>
        <v>0</v>
      </c>
      <c r="D420" s="28">
        <f t="shared" si="44"/>
        <v>1.956135137010059</v>
      </c>
      <c r="E420" s="28">
        <f t="shared" si="45"/>
        <v>5.166666666666667</v>
      </c>
    </row>
    <row r="421" spans="1:5" x14ac:dyDescent="0.2">
      <c r="A421" s="3" t="str">
        <f t="shared" si="41"/>
        <v>16-3Lr_L</v>
      </c>
      <c r="B421" s="28">
        <f t="shared" si="42"/>
        <v>0.2033300034686093</v>
      </c>
      <c r="C421" s="28">
        <f t="shared" si="43"/>
        <v>0</v>
      </c>
      <c r="D421" s="28">
        <f t="shared" si="44"/>
        <v>1.8404119320152619</v>
      </c>
      <c r="E421" s="28">
        <f t="shared" si="45"/>
        <v>5.166666666666667</v>
      </c>
    </row>
    <row r="422" spans="1:5" x14ac:dyDescent="0.2">
      <c r="A422" s="3" t="str">
        <f t="shared" si="41"/>
        <v>16-3S_L</v>
      </c>
      <c r="B422" s="28">
        <f t="shared" si="42"/>
        <v>0.2033300034686093</v>
      </c>
      <c r="C422" s="28">
        <f t="shared" si="43"/>
        <v>0</v>
      </c>
      <c r="D422" s="28">
        <f t="shared" si="44"/>
        <v>1.8404119320152619</v>
      </c>
      <c r="E422" s="28">
        <f t="shared" si="45"/>
        <v>5.166666666666667</v>
      </c>
    </row>
    <row r="423" spans="1:5" x14ac:dyDescent="0.2">
      <c r="A423" s="3" t="str">
        <f t="shared" si="41"/>
        <v>16-3R_L</v>
      </c>
      <c r="B423" s="28">
        <f t="shared" si="42"/>
        <v>0.2033300034686093</v>
      </c>
      <c r="C423" s="28">
        <f t="shared" si="43"/>
        <v>0</v>
      </c>
      <c r="D423" s="28">
        <f t="shared" si="44"/>
        <v>1.8404119320152619</v>
      </c>
      <c r="E423" s="28">
        <f t="shared" si="45"/>
        <v>5.166666666666667</v>
      </c>
    </row>
    <row r="424" spans="1:5" x14ac:dyDescent="0.2">
      <c r="A424" s="3" t="str">
        <f t="shared" si="41"/>
        <v>16-3Lr_W1</v>
      </c>
      <c r="B424" s="28">
        <f t="shared" si="42"/>
        <v>0.10333041970169966</v>
      </c>
      <c r="C424" s="28">
        <f t="shared" si="43"/>
        <v>0</v>
      </c>
      <c r="D424" s="28">
        <f t="shared" si="44"/>
        <v>1.9113792577176554</v>
      </c>
      <c r="E424" s="28">
        <f t="shared" si="45"/>
        <v>5.166666666666667</v>
      </c>
    </row>
    <row r="425" spans="1:5" x14ac:dyDescent="0.2">
      <c r="A425" s="3" t="str">
        <f t="shared" si="41"/>
        <v>16-3S_W1</v>
      </c>
      <c r="B425" s="28">
        <f t="shared" si="42"/>
        <v>0.10333041970169966</v>
      </c>
      <c r="C425" s="28">
        <f t="shared" si="43"/>
        <v>0</v>
      </c>
      <c r="D425" s="28">
        <f t="shared" si="44"/>
        <v>1.9113792577176554</v>
      </c>
      <c r="E425" s="28">
        <f t="shared" si="45"/>
        <v>5.166666666666667</v>
      </c>
    </row>
    <row r="426" spans="1:5" x14ac:dyDescent="0.2">
      <c r="A426" s="3" t="str">
        <f t="shared" si="41"/>
        <v>16-3R_W1</v>
      </c>
      <c r="B426" s="28">
        <f t="shared" si="42"/>
        <v>0.10333041970169966</v>
      </c>
      <c r="C426" s="28">
        <f t="shared" si="43"/>
        <v>0</v>
      </c>
      <c r="D426" s="28">
        <f t="shared" si="44"/>
        <v>1.9113792577176554</v>
      </c>
      <c r="E426" s="28">
        <f t="shared" si="45"/>
        <v>5.166666666666667</v>
      </c>
    </row>
    <row r="427" spans="1:5" x14ac:dyDescent="0.2">
      <c r="A427" s="3" t="str">
        <f t="shared" si="41"/>
        <v>16-3Lr_W2</v>
      </c>
      <c r="B427" s="28">
        <f t="shared" si="42"/>
        <v>0.39442844259451937</v>
      </c>
      <c r="C427" s="28">
        <f t="shared" si="43"/>
        <v>0</v>
      </c>
      <c r="D427" s="28">
        <f t="shared" si="44"/>
        <v>1.6202812348248357</v>
      </c>
      <c r="E427" s="28">
        <f t="shared" si="45"/>
        <v>5.166666666666667</v>
      </c>
    </row>
    <row r="428" spans="1:5" x14ac:dyDescent="0.2">
      <c r="A428" s="3" t="str">
        <f t="shared" si="41"/>
        <v>16-3S_W2</v>
      </c>
      <c r="B428" s="28">
        <f t="shared" si="42"/>
        <v>0.39442844259451937</v>
      </c>
      <c r="C428" s="28">
        <f t="shared" si="43"/>
        <v>0</v>
      </c>
      <c r="D428" s="28">
        <f t="shared" si="44"/>
        <v>1.6202812348248357</v>
      </c>
      <c r="E428" s="28">
        <f t="shared" si="45"/>
        <v>5.166666666666667</v>
      </c>
    </row>
    <row r="429" spans="1:5" x14ac:dyDescent="0.2">
      <c r="A429" s="3" t="str">
        <f t="shared" si="41"/>
        <v>16-3R_W2</v>
      </c>
      <c r="B429" s="28">
        <f t="shared" si="42"/>
        <v>0.39442844259451937</v>
      </c>
      <c r="C429" s="28">
        <f t="shared" si="43"/>
        <v>0</v>
      </c>
      <c r="D429" s="28">
        <f t="shared" si="44"/>
        <v>1.6202812348248357</v>
      </c>
      <c r="E429" s="28">
        <f t="shared" si="45"/>
        <v>5.166666666666667</v>
      </c>
    </row>
    <row r="430" spans="1:5" x14ac:dyDescent="0.2">
      <c r="A430" s="3" t="str">
        <f t="shared" si="41"/>
        <v>16-4W1_Lr</v>
      </c>
      <c r="B430" s="28">
        <f t="shared" si="42"/>
        <v>0</v>
      </c>
      <c r="C430" s="28">
        <f t="shared" si="43"/>
        <v>0.11074738163885112</v>
      </c>
      <c r="D430" s="28">
        <f t="shared" si="44"/>
        <v>2.0885090797637686</v>
      </c>
      <c r="E430" s="28">
        <f t="shared" si="45"/>
        <v>5.166666666666667</v>
      </c>
    </row>
    <row r="431" spans="1:5" x14ac:dyDescent="0.2">
      <c r="A431" s="3" t="str">
        <f t="shared" si="41"/>
        <v>16-4W1_S</v>
      </c>
      <c r="B431" s="28">
        <f t="shared" si="42"/>
        <v>0</v>
      </c>
      <c r="C431" s="28">
        <f t="shared" si="43"/>
        <v>0.11074738163885112</v>
      </c>
      <c r="D431" s="28">
        <f t="shared" si="44"/>
        <v>2.0885090797637686</v>
      </c>
      <c r="E431" s="28">
        <f t="shared" si="45"/>
        <v>5.166666666666667</v>
      </c>
    </row>
    <row r="432" spans="1:5" x14ac:dyDescent="0.2">
      <c r="A432" s="3" t="str">
        <f t="shared" si="41"/>
        <v>16-4W1_R</v>
      </c>
      <c r="B432" s="28">
        <f t="shared" si="42"/>
        <v>0</v>
      </c>
      <c r="C432" s="28">
        <f t="shared" si="43"/>
        <v>0.11074738163885112</v>
      </c>
      <c r="D432" s="28">
        <f t="shared" si="44"/>
        <v>2.0885090797637686</v>
      </c>
      <c r="E432" s="28">
        <f t="shared" si="45"/>
        <v>5.166666666666667</v>
      </c>
    </row>
    <row r="433" spans="1:7" x14ac:dyDescent="0.2">
      <c r="A433" s="3" t="str">
        <f t="shared" si="41"/>
        <v>16-4W2_Lr</v>
      </c>
      <c r="B433" s="28">
        <f t="shared" si="42"/>
        <v>0.53838848421782881</v>
      </c>
      <c r="C433" s="28">
        <f t="shared" si="43"/>
        <v>0</v>
      </c>
      <c r="D433" s="28">
        <f t="shared" si="44"/>
        <v>1.5053534512660423</v>
      </c>
      <c r="E433" s="28">
        <f t="shared" si="45"/>
        <v>5.166666666666667</v>
      </c>
    </row>
    <row r="434" spans="1:7" x14ac:dyDescent="0.2">
      <c r="A434" s="3" t="str">
        <f t="shared" si="41"/>
        <v>16-4W2_S</v>
      </c>
      <c r="B434" s="28">
        <f t="shared" si="42"/>
        <v>0.53838848421782881</v>
      </c>
      <c r="C434" s="28">
        <f t="shared" si="43"/>
        <v>0</v>
      </c>
      <c r="D434" s="28">
        <f t="shared" si="44"/>
        <v>1.5053534512660423</v>
      </c>
      <c r="E434" s="28">
        <f t="shared" si="45"/>
        <v>5.166666666666667</v>
      </c>
    </row>
    <row r="435" spans="1:7" x14ac:dyDescent="0.2">
      <c r="A435" s="3" t="str">
        <f t="shared" si="41"/>
        <v>16-4W2_R</v>
      </c>
      <c r="B435" s="28">
        <f t="shared" si="42"/>
        <v>0.53838848421782881</v>
      </c>
      <c r="C435" s="28">
        <f t="shared" si="43"/>
        <v>0</v>
      </c>
      <c r="D435" s="28">
        <f t="shared" si="44"/>
        <v>1.5053534512660423</v>
      </c>
      <c r="E435" s="28">
        <f t="shared" si="45"/>
        <v>5.166666666666667</v>
      </c>
    </row>
    <row r="436" spans="1:7" x14ac:dyDescent="0.2">
      <c r="A436" s="3" t="str">
        <f t="shared" si="41"/>
        <v>16-5E1</v>
      </c>
      <c r="B436" s="28">
        <f t="shared" si="42"/>
        <v>0.2033300034686093</v>
      </c>
      <c r="C436" s="28">
        <f t="shared" si="43"/>
        <v>0</v>
      </c>
      <c r="D436" s="28">
        <f t="shared" si="44"/>
        <v>1.8404119320152619</v>
      </c>
      <c r="E436" s="28">
        <f t="shared" si="45"/>
        <v>5.166666666666667</v>
      </c>
    </row>
    <row r="437" spans="1:7" x14ac:dyDescent="0.2">
      <c r="A437" s="3" t="str">
        <f>A404</f>
        <v>16-5E2</v>
      </c>
      <c r="B437" s="28">
        <f t="shared" si="42"/>
        <v>0.2033300034686093</v>
      </c>
      <c r="C437" s="28">
        <f t="shared" si="43"/>
        <v>0</v>
      </c>
      <c r="D437" s="28">
        <f t="shared" si="44"/>
        <v>1.8404119320152619</v>
      </c>
      <c r="E437" s="28">
        <f t="shared" si="45"/>
        <v>5.166666666666667</v>
      </c>
    </row>
    <row r="438" spans="1:7" x14ac:dyDescent="0.2">
      <c r="A438" s="3" t="str">
        <f t="shared" si="41"/>
        <v>16-6W1</v>
      </c>
      <c r="B438" s="28">
        <f t="shared" si="42"/>
        <v>8.2770280957336212E-2</v>
      </c>
      <c r="C438" s="28">
        <f t="shared" si="43"/>
        <v>0</v>
      </c>
      <c r="D438" s="28">
        <f t="shared" si="44"/>
        <v>1.4282619771071798</v>
      </c>
      <c r="E438" s="28">
        <f t="shared" si="45"/>
        <v>5.166666666666667</v>
      </c>
    </row>
    <row r="439" spans="1:7" x14ac:dyDescent="0.2">
      <c r="A439" s="3" t="str">
        <f>A406</f>
        <v>16-6W2</v>
      </c>
      <c r="B439" s="28">
        <f t="shared" si="42"/>
        <v>0.66496632674297607</v>
      </c>
      <c r="C439" s="28">
        <f t="shared" si="43"/>
        <v>0</v>
      </c>
      <c r="D439" s="28">
        <f t="shared" si="44"/>
        <v>0.84606593132154007</v>
      </c>
      <c r="E439" s="28">
        <f t="shared" si="45"/>
        <v>5.166666666666667</v>
      </c>
    </row>
    <row r="440" spans="1:7" x14ac:dyDescent="0.2">
      <c r="A440" s="3" t="str">
        <f t="shared" si="41"/>
        <v>16-7E1</v>
      </c>
      <c r="B440" s="28">
        <f t="shared" si="42"/>
        <v>0.32990784599375667</v>
      </c>
      <c r="C440" s="28">
        <f t="shared" si="43"/>
        <v>0</v>
      </c>
      <c r="D440" s="28">
        <f t="shared" si="44"/>
        <v>1.1811244120707596</v>
      </c>
      <c r="E440" s="28">
        <f t="shared" si="45"/>
        <v>5.166666666666667</v>
      </c>
    </row>
    <row r="441" spans="1:7" x14ac:dyDescent="0.2">
      <c r="A441" s="3" t="str">
        <f t="shared" si="41"/>
        <v>16-7E2</v>
      </c>
      <c r="B441" s="28">
        <f t="shared" si="42"/>
        <v>0.32990784599375667</v>
      </c>
      <c r="C441" s="28">
        <f t="shared" si="43"/>
        <v>0</v>
      </c>
      <c r="D441" s="28">
        <f t="shared" si="44"/>
        <v>1.1811244120707596</v>
      </c>
      <c r="E441" s="28">
        <f t="shared" si="45"/>
        <v>5.166666666666667</v>
      </c>
    </row>
    <row r="443" spans="1:7" x14ac:dyDescent="0.2">
      <c r="A443" s="15" t="s">
        <v>171</v>
      </c>
    </row>
    <row r="445" spans="1:7" x14ac:dyDescent="0.2">
      <c r="A445" s="3" t="s">
        <v>172</v>
      </c>
      <c r="E445" s="3" t="s">
        <v>178</v>
      </c>
    </row>
    <row r="446" spans="1:7" x14ac:dyDescent="0.2">
      <c r="A446" s="5" t="s">
        <v>173</v>
      </c>
      <c r="B446" s="29" cm="1">
        <f t="array" ref="B446">MAX(ABS(FND_BENDING_MOMENTS!CI24:CJ24))</f>
        <v>1.1348411685661612</v>
      </c>
      <c r="C446" s="3" t="s">
        <v>176</v>
      </c>
      <c r="D446" s="5"/>
      <c r="E446" s="5" t="s">
        <v>173</v>
      </c>
      <c r="F446" s="29" cm="1">
        <f t="array" ref="F446">MAX(ABS(FND_BENDING_MOMENTS!CI28:CJ28))</f>
        <v>1.906046407546941</v>
      </c>
      <c r="G446" s="3" t="s">
        <v>176</v>
      </c>
    </row>
    <row r="447" spans="1:7" x14ac:dyDescent="0.2">
      <c r="A447" s="5" t="s">
        <v>174</v>
      </c>
      <c r="B447" s="29">
        <f>FND_BENDING_MOMENTS!CK24</f>
        <v>0.64654008526064821</v>
      </c>
      <c r="C447" s="3" t="s">
        <v>177</v>
      </c>
      <c r="D447" s="9"/>
      <c r="E447" s="5" t="s">
        <v>174</v>
      </c>
      <c r="F447" s="29">
        <f>FND_BENDING_MOMENTS!CK28</f>
        <v>1.5457141086848871</v>
      </c>
      <c r="G447" s="3" t="s">
        <v>177</v>
      </c>
    </row>
    <row r="448" spans="1:7" x14ac:dyDescent="0.2">
      <c r="A448" s="5" t="s">
        <v>175</v>
      </c>
      <c r="B448" s="29">
        <f>FND_BENDING_MOMENTS!CL24</f>
        <v>-2.6279898606030931</v>
      </c>
      <c r="C448" s="3" t="s">
        <v>177</v>
      </c>
      <c r="D448" s="9"/>
      <c r="E448" s="5" t="s">
        <v>175</v>
      </c>
      <c r="F448" s="29">
        <f>FND_BENDING_MOMENTS!CL28</f>
        <v>0.50348268352858527</v>
      </c>
      <c r="G448" s="3" t="s">
        <v>177</v>
      </c>
    </row>
    <row r="449" spans="1:6" x14ac:dyDescent="0.2">
      <c r="A449" s="5"/>
      <c r="B449" s="8"/>
      <c r="D449" s="9"/>
      <c r="E449" s="8"/>
      <c r="F449" s="9"/>
    </row>
    <row r="450" spans="1:6" x14ac:dyDescent="0.2">
      <c r="A450" s="5"/>
      <c r="B450" s="8"/>
      <c r="D450" s="9"/>
      <c r="E450" s="8"/>
      <c r="F450" s="8"/>
    </row>
    <row r="451" spans="1:6" x14ac:dyDescent="0.2">
      <c r="A451" s="5"/>
      <c r="B451" s="8"/>
      <c r="D451" s="9"/>
      <c r="E451" s="8"/>
      <c r="F451" s="8"/>
    </row>
    <row r="452" spans="1:6" x14ac:dyDescent="0.2">
      <c r="A452" s="5"/>
      <c r="B452" s="8"/>
      <c r="D452" s="9"/>
      <c r="E452" s="8"/>
      <c r="F452" s="8"/>
    </row>
    <row r="453" spans="1:6" x14ac:dyDescent="0.2">
      <c r="A453" s="5"/>
      <c r="B453" s="8"/>
      <c r="D453" s="9"/>
      <c r="E453" s="8"/>
      <c r="F453" s="8"/>
    </row>
    <row r="454" spans="1:6" x14ac:dyDescent="0.2">
      <c r="A454" s="5"/>
      <c r="B454" s="8"/>
      <c r="D454" s="9"/>
      <c r="E454" s="8"/>
      <c r="F454" s="8"/>
    </row>
    <row r="455" spans="1:6" x14ac:dyDescent="0.2">
      <c r="A455" s="5"/>
      <c r="B455" s="8"/>
      <c r="D455" s="9"/>
      <c r="E455" s="8"/>
      <c r="F455" s="8"/>
    </row>
    <row r="456" spans="1:6" x14ac:dyDescent="0.2">
      <c r="A456" s="5"/>
      <c r="B456" s="8"/>
      <c r="D456" s="9"/>
      <c r="E456" s="8"/>
      <c r="F456" s="8"/>
    </row>
    <row r="457" spans="1:6" x14ac:dyDescent="0.2">
      <c r="A457" s="5"/>
      <c r="B457" s="8"/>
      <c r="D457" s="9"/>
      <c r="E457" s="8"/>
      <c r="F457" s="8"/>
    </row>
    <row r="458" spans="1:6" x14ac:dyDescent="0.2">
      <c r="A458" s="5"/>
      <c r="B458" s="8"/>
      <c r="D458" s="9"/>
      <c r="E458" s="8"/>
      <c r="F458" s="8"/>
    </row>
    <row r="459" spans="1:6" x14ac:dyDescent="0.2">
      <c r="D459" s="9"/>
      <c r="E459" s="8"/>
      <c r="F459" s="8"/>
    </row>
    <row r="460" spans="1:6" x14ac:dyDescent="0.2">
      <c r="D460" s="9"/>
      <c r="E460" s="8"/>
      <c r="F460" s="8"/>
    </row>
    <row r="461" spans="1:6" x14ac:dyDescent="0.2">
      <c r="D461" s="9"/>
      <c r="E461" s="8"/>
      <c r="F461" s="8"/>
    </row>
    <row r="462" spans="1:6" x14ac:dyDescent="0.2">
      <c r="D462" s="9"/>
      <c r="E462" s="8"/>
      <c r="F462" s="8"/>
    </row>
    <row r="463" spans="1:6" x14ac:dyDescent="0.2">
      <c r="D463" s="9"/>
      <c r="E463" s="8"/>
      <c r="F463" s="8"/>
    </row>
    <row r="464" spans="1:6" x14ac:dyDescent="0.2">
      <c r="D464" s="9"/>
      <c r="E464" s="8"/>
      <c r="F464" s="8"/>
    </row>
    <row r="465" spans="1:8" x14ac:dyDescent="0.2">
      <c r="D465" s="9"/>
      <c r="E465" s="8"/>
      <c r="F465" s="8"/>
    </row>
    <row r="466" spans="1:8" x14ac:dyDescent="0.2">
      <c r="D466" s="9"/>
      <c r="E466" s="8"/>
      <c r="F466" s="8"/>
    </row>
    <row r="467" spans="1:8" x14ac:dyDescent="0.2">
      <c r="D467" s="9"/>
      <c r="E467" s="8"/>
      <c r="F467" s="8"/>
    </row>
    <row r="468" spans="1:8" x14ac:dyDescent="0.2">
      <c r="D468" s="9"/>
      <c r="E468" s="8"/>
      <c r="F468" s="8"/>
    </row>
    <row r="469" spans="1:8" x14ac:dyDescent="0.2">
      <c r="D469" s="9"/>
      <c r="E469" s="8"/>
      <c r="F469" s="8"/>
    </row>
    <row r="470" spans="1:8" x14ac:dyDescent="0.2">
      <c r="D470" s="9"/>
      <c r="E470" s="8"/>
      <c r="F470" s="8"/>
    </row>
    <row r="471" spans="1:8" x14ac:dyDescent="0.2">
      <c r="D471" s="9"/>
      <c r="E471" s="8"/>
      <c r="F471" s="8"/>
    </row>
    <row r="474" spans="1:8" x14ac:dyDescent="0.2">
      <c r="A474" s="15" t="s">
        <v>193</v>
      </c>
    </row>
    <row r="476" spans="1:8" x14ac:dyDescent="0.2">
      <c r="A476" s="3" t="s">
        <v>240</v>
      </c>
    </row>
    <row r="478" spans="1:8" x14ac:dyDescent="0.2">
      <c r="A478" s="3" t="s">
        <v>75</v>
      </c>
      <c r="B478" s="5" t="s">
        <v>154</v>
      </c>
      <c r="C478" s="5" t="s">
        <v>153</v>
      </c>
      <c r="D478" s="5" t="s">
        <v>37</v>
      </c>
      <c r="E478" s="5"/>
      <c r="G478" s="5" t="s">
        <v>154</v>
      </c>
      <c r="H478" s="5" t="s">
        <v>242</v>
      </c>
    </row>
    <row r="479" spans="1:8" x14ac:dyDescent="0.2">
      <c r="A479" s="3" t="s">
        <v>181</v>
      </c>
      <c r="B479" s="28">
        <f>(0.5*F21*(F21*B20))/1000</f>
        <v>0.80500000000000005</v>
      </c>
      <c r="C479" s="28">
        <f>((F21/3)*(0.5*F21*(F21*B20)))/1000</f>
        <v>1.3416666666666668</v>
      </c>
      <c r="D479" s="28" t="s">
        <v>40</v>
      </c>
      <c r="F479" s="5" t="s">
        <v>0</v>
      </c>
      <c r="G479" s="29">
        <f>SUMIF($D$479:$D$492,F479,$B$479:$B$492)</f>
        <v>1.2500000000000001E-2</v>
      </c>
      <c r="H479" s="29">
        <f>SUMIF($D$479:$D$492,F479,$C$479:$C$492)</f>
        <v>3.125E-2</v>
      </c>
    </row>
    <row r="480" spans="1:8" x14ac:dyDescent="0.2">
      <c r="A480" s="3" t="s">
        <v>182</v>
      </c>
      <c r="B480" s="28">
        <f>(-1*0.5*F38*(B35*F38))/1000</f>
        <v>-0.12879999999999994</v>
      </c>
      <c r="C480" s="28">
        <f>(-1*(F38/3)*(0.5*F38*(F38*B35)))/1000</f>
        <v>-8.5866666666666633E-2</v>
      </c>
      <c r="D480" s="28" t="s">
        <v>92</v>
      </c>
      <c r="F480" s="5" t="s">
        <v>39</v>
      </c>
      <c r="G480" s="29">
        <f t="shared" ref="G480:G490" si="46">SUMIF($D$479:$D$492,F480,$B$479:$B$492)</f>
        <v>0</v>
      </c>
      <c r="H480" s="29">
        <f t="shared" ref="H480:H490" si="47">SUMIF($D$479:$D$492,F480,$C$479:$C$492)</f>
        <v>0</v>
      </c>
    </row>
    <row r="481" spans="1:8" x14ac:dyDescent="0.2">
      <c r="A481" s="3" t="s">
        <v>84</v>
      </c>
      <c r="B481" s="28">
        <f>(C28*F21)/1000</f>
        <v>1.2500000000000001E-2</v>
      </c>
      <c r="C481" s="28">
        <f>B481*(F21/2)</f>
        <v>3.125E-2</v>
      </c>
      <c r="D481" s="28" t="s">
        <v>0</v>
      </c>
      <c r="F481" s="5" t="s">
        <v>29</v>
      </c>
      <c r="G481" s="29">
        <f t="shared" si="46"/>
        <v>0.125</v>
      </c>
      <c r="H481" s="29">
        <f t="shared" si="47"/>
        <v>0.3125</v>
      </c>
    </row>
    <row r="482" spans="1:8" x14ac:dyDescent="0.2">
      <c r="A482" s="3" t="s">
        <v>85</v>
      </c>
      <c r="B482" s="28">
        <f>(C29*F21)/1000</f>
        <v>0.125</v>
      </c>
      <c r="C482" s="28">
        <f>B482*(F21/2)</f>
        <v>0.3125</v>
      </c>
      <c r="D482" s="28" t="s">
        <v>29</v>
      </c>
      <c r="F482" s="5" t="s">
        <v>40</v>
      </c>
      <c r="G482" s="29">
        <f t="shared" si="46"/>
        <v>0.80500000000000005</v>
      </c>
      <c r="H482" s="29">
        <f t="shared" si="47"/>
        <v>1.3416666666666668</v>
      </c>
    </row>
    <row r="483" spans="1:8" x14ac:dyDescent="0.2">
      <c r="A483" s="3" t="str">
        <f>A76</f>
        <v>1H</v>
      </c>
      <c r="B483" s="28">
        <f>B76</f>
        <v>0.14000000000000001</v>
      </c>
      <c r="C483" s="28">
        <f>B483*(C76-($B$9/12))</f>
        <v>0.69953333333333345</v>
      </c>
      <c r="D483" s="28" t="str">
        <f>D76</f>
        <v>W1</v>
      </c>
      <c r="F483" s="5" t="s">
        <v>92</v>
      </c>
      <c r="G483" s="29">
        <f t="shared" si="46"/>
        <v>-0.12879999999999994</v>
      </c>
      <c r="H483" s="29">
        <f t="shared" si="47"/>
        <v>-8.5866666666666633E-2</v>
      </c>
    </row>
    <row r="484" spans="1:8" x14ac:dyDescent="0.2">
      <c r="A484" s="3" t="str">
        <f t="shared" ref="A484:B492" si="48">A77</f>
        <v>2H</v>
      </c>
      <c r="B484" s="28">
        <f t="shared" si="48"/>
        <v>-0.19</v>
      </c>
      <c r="C484" s="28">
        <f t="shared" ref="C484:C492" si="49">B484*(C77-($B$9/12))</f>
        <v>-0.94936666666666669</v>
      </c>
      <c r="D484" s="28" t="str">
        <f t="shared" ref="D484:D492" si="50">D77</f>
        <v>W2</v>
      </c>
      <c r="F484" s="5" t="s">
        <v>41</v>
      </c>
      <c r="G484" s="29">
        <f t="shared" si="46"/>
        <v>0</v>
      </c>
      <c r="H484" s="29">
        <f t="shared" si="47"/>
        <v>0</v>
      </c>
    </row>
    <row r="485" spans="1:8" x14ac:dyDescent="0.2">
      <c r="A485" s="3" t="str">
        <f t="shared" si="48"/>
        <v>3H</v>
      </c>
      <c r="B485" s="28">
        <f t="shared" si="48"/>
        <v>0</v>
      </c>
      <c r="C485" s="28">
        <f t="shared" si="49"/>
        <v>0</v>
      </c>
      <c r="D485" s="28" t="str">
        <f t="shared" si="50"/>
        <v>DL</v>
      </c>
      <c r="F485" s="5" t="s">
        <v>42</v>
      </c>
      <c r="G485" s="29">
        <f t="shared" si="46"/>
        <v>0</v>
      </c>
      <c r="H485" s="29">
        <f t="shared" si="47"/>
        <v>0</v>
      </c>
    </row>
    <row r="486" spans="1:8" x14ac:dyDescent="0.2">
      <c r="A486" s="3" t="str">
        <f t="shared" si="48"/>
        <v>4H</v>
      </c>
      <c r="B486" s="28">
        <f t="shared" si="48"/>
        <v>0</v>
      </c>
      <c r="C486" s="28">
        <f t="shared" si="49"/>
        <v>0</v>
      </c>
      <c r="D486" s="28" t="str">
        <f t="shared" si="50"/>
        <v>LL</v>
      </c>
      <c r="F486" s="5" t="s">
        <v>43</v>
      </c>
      <c r="G486" s="29">
        <f t="shared" si="46"/>
        <v>0</v>
      </c>
      <c r="H486" s="29">
        <f t="shared" si="47"/>
        <v>0</v>
      </c>
    </row>
    <row r="487" spans="1:8" x14ac:dyDescent="0.2">
      <c r="A487" s="3" t="str">
        <f t="shared" si="48"/>
        <v>5H</v>
      </c>
      <c r="B487" s="28">
        <f t="shared" si="48"/>
        <v>0</v>
      </c>
      <c r="C487" s="28">
        <f t="shared" si="49"/>
        <v>0</v>
      </c>
      <c r="D487" s="28" t="str">
        <f t="shared" si="50"/>
        <v>DL</v>
      </c>
      <c r="F487" s="5" t="s">
        <v>44</v>
      </c>
      <c r="G487" s="29">
        <f t="shared" si="46"/>
        <v>0.18000000000000002</v>
      </c>
      <c r="H487" s="29">
        <f t="shared" si="47"/>
        <v>0.85953333333333348</v>
      </c>
    </row>
    <row r="488" spans="1:8" x14ac:dyDescent="0.2">
      <c r="A488" s="3" t="str">
        <f t="shared" si="48"/>
        <v>6H</v>
      </c>
      <c r="B488" s="28">
        <f t="shared" si="48"/>
        <v>0</v>
      </c>
      <c r="C488" s="28">
        <f t="shared" si="49"/>
        <v>0</v>
      </c>
      <c r="D488" s="28" t="str">
        <f t="shared" si="50"/>
        <v>DL</v>
      </c>
      <c r="F488" s="5" t="s">
        <v>45</v>
      </c>
      <c r="G488" s="29">
        <f t="shared" si="46"/>
        <v>-0.24399999999999999</v>
      </c>
      <c r="H488" s="29">
        <f t="shared" si="47"/>
        <v>-1.1653666666666667</v>
      </c>
    </row>
    <row r="489" spans="1:8" x14ac:dyDescent="0.2">
      <c r="A489" s="3" t="str">
        <f t="shared" si="48"/>
        <v>7H</v>
      </c>
      <c r="B489" s="28">
        <f t="shared" si="48"/>
        <v>0</v>
      </c>
      <c r="C489" s="28">
        <f t="shared" si="49"/>
        <v>0</v>
      </c>
      <c r="D489" s="28" t="str">
        <f t="shared" si="50"/>
        <v>DL</v>
      </c>
      <c r="F489" s="5" t="s">
        <v>46</v>
      </c>
      <c r="G489" s="29">
        <f t="shared" si="46"/>
        <v>0</v>
      </c>
      <c r="H489" s="29">
        <f t="shared" si="47"/>
        <v>0</v>
      </c>
    </row>
    <row r="490" spans="1:8" x14ac:dyDescent="0.2">
      <c r="A490" s="3" t="str">
        <f t="shared" si="48"/>
        <v>8H</v>
      </c>
      <c r="B490" s="28">
        <f t="shared" si="48"/>
        <v>0</v>
      </c>
      <c r="C490" s="28">
        <f t="shared" si="49"/>
        <v>0</v>
      </c>
      <c r="D490" s="28" t="str">
        <f t="shared" si="50"/>
        <v>DL</v>
      </c>
      <c r="F490" s="5" t="s">
        <v>47</v>
      </c>
      <c r="G490" s="29">
        <f t="shared" si="46"/>
        <v>0</v>
      </c>
      <c r="H490" s="29">
        <f t="shared" si="47"/>
        <v>0</v>
      </c>
    </row>
    <row r="491" spans="1:8" x14ac:dyDescent="0.2">
      <c r="A491" s="3" t="str">
        <f t="shared" si="48"/>
        <v>9H</v>
      </c>
      <c r="B491" s="28">
        <f t="shared" si="48"/>
        <v>0.04</v>
      </c>
      <c r="C491" s="28">
        <f t="shared" si="49"/>
        <v>0.16</v>
      </c>
      <c r="D491" s="28" t="str">
        <f t="shared" si="50"/>
        <v>W1</v>
      </c>
    </row>
    <row r="492" spans="1:8" x14ac:dyDescent="0.2">
      <c r="A492" s="3" t="str">
        <f t="shared" si="48"/>
        <v>10H</v>
      </c>
      <c r="B492" s="28">
        <f t="shared" si="48"/>
        <v>-5.3999999999999999E-2</v>
      </c>
      <c r="C492" s="28">
        <f t="shared" si="49"/>
        <v>-0.216</v>
      </c>
      <c r="D492" s="28" t="str">
        <f t="shared" si="50"/>
        <v>W2</v>
      </c>
    </row>
    <row r="494" spans="1:8" x14ac:dyDescent="0.2">
      <c r="E494" s="11" t="s">
        <v>243</v>
      </c>
    </row>
    <row r="495" spans="1:8" x14ac:dyDescent="0.2">
      <c r="B495" s="5" t="s">
        <v>155</v>
      </c>
      <c r="C495" s="5" t="s">
        <v>152</v>
      </c>
      <c r="E495" s="23" t="s">
        <v>173</v>
      </c>
      <c r="F495" s="31" cm="1">
        <f t="array" ref="F495">MAX(ABS(B496:B520))</f>
        <v>1.3600280000000002</v>
      </c>
      <c r="G495" s="24" t="s">
        <v>176</v>
      </c>
    </row>
    <row r="496" spans="1:8" x14ac:dyDescent="0.2">
      <c r="A496" s="7" t="str">
        <f>LOAD_COMBOS!O30</f>
        <v>16-1</v>
      </c>
      <c r="B496" s="29" cm="1">
        <f t="array" ref="B496:B520">MMULT(LOAD_COMBOS!P30:AA54,Unit_Width_Strip_Foundation!G479:G490)</f>
        <v>1.7499999999999998E-2</v>
      </c>
      <c r="C496" s="29" cm="1">
        <f t="array" ref="C496:C520">MMULT(LOAD_COMBOS!P30:AA54,Unit_Width_Strip_Foundation!H479:H490)</f>
        <v>4.3749999999999997E-2</v>
      </c>
      <c r="E496" s="23" t="s">
        <v>174</v>
      </c>
      <c r="F496" s="31">
        <f>MAX(C496:C520)</f>
        <v>3.076302000000001</v>
      </c>
      <c r="G496" s="24" t="s">
        <v>177</v>
      </c>
    </row>
    <row r="497" spans="1:7" x14ac:dyDescent="0.2">
      <c r="A497" s="7" t="str">
        <f>LOAD_COMBOS!O31</f>
        <v>16-2Lr</v>
      </c>
      <c r="B497" s="29">
        <v>1.3175280000000005</v>
      </c>
      <c r="C497" s="29">
        <v>2.5605186666666673</v>
      </c>
      <c r="E497" s="23" t="s">
        <v>175</v>
      </c>
      <c r="F497" s="31">
        <f>MIN(_xlfn.ANCHORARRAY(C496))</f>
        <v>7.0633333333347537E-4</v>
      </c>
      <c r="G497" s="24" t="s">
        <v>177</v>
      </c>
    </row>
    <row r="498" spans="1:7" x14ac:dyDescent="0.2">
      <c r="A498" s="7" t="str">
        <f>LOAD_COMBOS!O32</f>
        <v>16-2S</v>
      </c>
      <c r="B498" s="29">
        <v>1.3175280000000005</v>
      </c>
      <c r="C498" s="29">
        <v>2.5605186666666673</v>
      </c>
    </row>
    <row r="499" spans="1:7" x14ac:dyDescent="0.2">
      <c r="A499" s="7" t="str">
        <f>LOAD_COMBOS!O33</f>
        <v>16-2R</v>
      </c>
      <c r="B499" s="29">
        <v>1.3175280000000005</v>
      </c>
      <c r="C499" s="29">
        <v>2.5605186666666673</v>
      </c>
      <c r="E499" s="11" t="str">
        <f>"+ M is tension on left wall face"</f>
        <v>+ M is tension on left wall face</v>
      </c>
    </row>
    <row r="500" spans="1:7" x14ac:dyDescent="0.2">
      <c r="A500" s="7" t="str">
        <f>LOAD_COMBOS!O34</f>
        <v>16-3Lr_L</v>
      </c>
      <c r="B500" s="29">
        <v>1.1800280000000003</v>
      </c>
      <c r="C500" s="29">
        <v>2.2167686666666673</v>
      </c>
    </row>
    <row r="501" spans="1:7" x14ac:dyDescent="0.2">
      <c r="A501" s="7" t="str">
        <f>LOAD_COMBOS!O35</f>
        <v>16-3S_L</v>
      </c>
      <c r="B501" s="29">
        <v>1.1800280000000003</v>
      </c>
      <c r="C501" s="29">
        <v>2.2167686666666673</v>
      </c>
    </row>
    <row r="502" spans="1:7" x14ac:dyDescent="0.2">
      <c r="A502" s="7" t="str">
        <f>LOAD_COMBOS!O36</f>
        <v>16-3R_L</v>
      </c>
      <c r="B502" s="29">
        <v>1.1800280000000003</v>
      </c>
      <c r="C502" s="29">
        <v>2.2167686666666673</v>
      </c>
    </row>
    <row r="503" spans="1:7" x14ac:dyDescent="0.2">
      <c r="A503" s="7" t="str">
        <f>LOAD_COMBOS!O37</f>
        <v>16-3Lr_W1</v>
      </c>
      <c r="B503" s="29">
        <v>1.2075280000000004</v>
      </c>
      <c r="C503" s="29">
        <v>2.4902853333333339</v>
      </c>
    </row>
    <row r="504" spans="1:7" x14ac:dyDescent="0.2">
      <c r="A504" s="7" t="str">
        <f>LOAD_COMBOS!O38</f>
        <v>16-3S_W1</v>
      </c>
      <c r="B504" s="29">
        <v>1.2075280000000004</v>
      </c>
      <c r="C504" s="29">
        <v>2.4902853333333339</v>
      </c>
    </row>
    <row r="505" spans="1:7" x14ac:dyDescent="0.2">
      <c r="A505" s="7" t="str">
        <f>LOAD_COMBOS!O39</f>
        <v>16-3R_W1</v>
      </c>
      <c r="B505" s="29">
        <v>1.2075280000000004</v>
      </c>
      <c r="C505" s="29">
        <v>2.4902853333333339</v>
      </c>
    </row>
    <row r="506" spans="1:7" x14ac:dyDescent="0.2">
      <c r="A506" s="7" t="str">
        <f>LOAD_COMBOS!O40</f>
        <v>16-3Lr_W2</v>
      </c>
      <c r="B506" s="29">
        <v>0.9955280000000003</v>
      </c>
      <c r="C506" s="29">
        <v>1.4778353333333341</v>
      </c>
    </row>
    <row r="507" spans="1:7" x14ac:dyDescent="0.2">
      <c r="A507" s="7" t="str">
        <f>LOAD_COMBOS!O41</f>
        <v>16-3S_W2</v>
      </c>
      <c r="B507" s="29">
        <v>0.9955280000000003</v>
      </c>
      <c r="C507" s="29">
        <v>1.4778353333333341</v>
      </c>
    </row>
    <row r="508" spans="1:7" x14ac:dyDescent="0.2">
      <c r="A508" s="7" t="str">
        <f>LOAD_COMBOS!O42</f>
        <v>16-3R_W2</v>
      </c>
      <c r="B508" s="29">
        <v>0.9955280000000003</v>
      </c>
      <c r="C508" s="29">
        <v>1.4778353333333341</v>
      </c>
    </row>
    <row r="509" spans="1:7" x14ac:dyDescent="0.2">
      <c r="A509" s="7" t="str">
        <f>LOAD_COMBOS!O43</f>
        <v>16-4W1_Lr</v>
      </c>
      <c r="B509" s="29">
        <v>1.3600280000000002</v>
      </c>
      <c r="C509" s="29">
        <v>3.076302000000001</v>
      </c>
    </row>
    <row r="510" spans="1:7" x14ac:dyDescent="0.2">
      <c r="A510" s="7" t="str">
        <f>LOAD_COMBOS!O44</f>
        <v>16-4W1_S</v>
      </c>
      <c r="B510" s="29">
        <v>1.3600280000000002</v>
      </c>
      <c r="C510" s="29">
        <v>3.076302000000001</v>
      </c>
    </row>
    <row r="511" spans="1:7" x14ac:dyDescent="0.2">
      <c r="A511" s="7" t="str">
        <f>LOAD_COMBOS!O45</f>
        <v>16-4W1_R</v>
      </c>
      <c r="B511" s="29">
        <v>1.3600280000000002</v>
      </c>
      <c r="C511" s="29">
        <v>3.076302000000001</v>
      </c>
    </row>
    <row r="512" spans="1:7" x14ac:dyDescent="0.2">
      <c r="A512" s="7" t="str">
        <f>LOAD_COMBOS!O46</f>
        <v>16-4W2_Lr</v>
      </c>
      <c r="B512" s="29">
        <v>0.9360280000000003</v>
      </c>
      <c r="C512" s="29">
        <v>1.0514020000000006</v>
      </c>
    </row>
    <row r="513" spans="1:3" x14ac:dyDescent="0.2">
      <c r="A513" s="7" t="str">
        <f>LOAD_COMBOS!O47</f>
        <v>16-4W2_S</v>
      </c>
      <c r="B513" s="29">
        <v>0.9360280000000003</v>
      </c>
      <c r="C513" s="29">
        <v>1.0514020000000006</v>
      </c>
    </row>
    <row r="514" spans="1:3" x14ac:dyDescent="0.2">
      <c r="A514" s="7" t="str">
        <f>LOAD_COMBOS!O48</f>
        <v>16-4W2_R</v>
      </c>
      <c r="B514" s="29">
        <v>0.9360280000000003</v>
      </c>
      <c r="C514" s="29">
        <v>1.0514020000000006</v>
      </c>
    </row>
    <row r="515" spans="1:3" x14ac:dyDescent="0.2">
      <c r="A515" s="7" t="str">
        <f>LOAD_COMBOS!O49</f>
        <v>16-5E1</v>
      </c>
      <c r="B515" s="29">
        <v>1.1800280000000003</v>
      </c>
      <c r="C515" s="29">
        <v>2.2167686666666673</v>
      </c>
    </row>
    <row r="516" spans="1:3" x14ac:dyDescent="0.2">
      <c r="A516" s="7" t="str">
        <f>LOAD_COMBOS!O50</f>
        <v>16-5E2</v>
      </c>
      <c r="B516" s="29">
        <v>1.1800280000000003</v>
      </c>
      <c r="C516" s="29">
        <v>2.2167686666666673</v>
      </c>
    </row>
    <row r="517" spans="1:3" x14ac:dyDescent="0.2">
      <c r="A517" s="7" t="str">
        <f>LOAD_COMBOS!O51</f>
        <v>16-6W1</v>
      </c>
      <c r="B517" s="29">
        <v>0.81142200000000009</v>
      </c>
      <c r="C517" s="29">
        <v>2.0256063333333336</v>
      </c>
    </row>
    <row r="518" spans="1:3" x14ac:dyDescent="0.2">
      <c r="A518" s="7" t="str">
        <f>LOAD_COMBOS!O52</f>
        <v>16-6W2</v>
      </c>
      <c r="B518" s="29">
        <v>0.38742200000000004</v>
      </c>
      <c r="C518" s="29">
        <v>7.0633333333347537E-4</v>
      </c>
    </row>
    <row r="519" spans="1:3" x14ac:dyDescent="0.2">
      <c r="A519" s="7" t="str">
        <f>LOAD_COMBOS!O53</f>
        <v>16-7E1</v>
      </c>
      <c r="B519" s="29">
        <v>0.63142200000000004</v>
      </c>
      <c r="C519" s="29">
        <v>1.1660730000000001</v>
      </c>
    </row>
    <row r="520" spans="1:3" x14ac:dyDescent="0.2">
      <c r="A520" s="7" t="str">
        <f>LOAD_COMBOS!O54</f>
        <v>16-7E2</v>
      </c>
      <c r="B520" s="29">
        <v>0.63142200000000004</v>
      </c>
      <c r="C520" s="29">
        <v>1.1660730000000001</v>
      </c>
    </row>
  </sheetData>
  <dataValidations count="2">
    <dataValidation type="list" allowBlank="1" showInputMessage="1" showErrorMessage="1" sqref="B48" xr:uid="{8AD84E0B-6FB8-48DC-AD4B-425DA617AE02}">
      <formula1>"1,0.5"</formula1>
    </dataValidation>
    <dataValidation type="list" allowBlank="1" showInputMessage="1" showErrorMessage="1" sqref="B49" xr:uid="{6D74FD99-FF1F-42AF-9007-2453204FB3EA}">
      <formula1>"0.7,0.2"</formula1>
    </dataValidation>
  </dataValidations>
  <pageMargins left="0.7" right="0.7" top="0.75" bottom="0.75" header="0.3" footer="0.3"/>
  <pageSetup orientation="portrait" r:id="rId1"/>
  <headerFooter>
    <oddHeader xml:space="preserve">&amp;L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4CD0AE2-3A56-4B15-9E43-9D2909671BBC}">
          <x14:formula1>
            <xm:f>DATA!$A$2:$A$13</xm:f>
          </x14:formula1>
          <xm:sqref>D63:D72 D76:D85</xm:sqref>
        </x14:dataValidation>
        <x14:dataValidation type="list" allowBlank="1" showInputMessage="1" showErrorMessage="1" xr:uid="{EFAD2291-CF68-4D90-A647-542069D6ECFC}">
          <x14:formula1>
            <xm:f>LOAD_COMBOS!$O$3:$O$26</xm:f>
          </x14:formula1>
          <xm:sqref>M60</xm:sqref>
        </x14:dataValidation>
        <x14:dataValidation type="list" allowBlank="1" showInputMessage="1" showErrorMessage="1" xr:uid="{F53362EA-2D98-4461-8744-A94F84183E03}">
          <x14:formula1>
            <xm:f>LOAD_COMBOS!$O$30:$O$54</xm:f>
          </x14:formula1>
          <xm:sqref>M84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4CF71-1F6F-4C04-82F2-F0A9DA26F680}">
  <sheetPr codeName="Sheet2"/>
  <dimension ref="A1:AO57"/>
  <sheetViews>
    <sheetView topLeftCell="D10" workbookViewId="0">
      <selection activeCell="T1" sqref="T1"/>
    </sheetView>
  </sheetViews>
  <sheetFormatPr defaultRowHeight="15" x14ac:dyDescent="0.25"/>
  <sheetData>
    <row r="1" spans="1:41" x14ac:dyDescent="0.25">
      <c r="A1" s="15" t="s">
        <v>105</v>
      </c>
      <c r="B1" s="3"/>
      <c r="C1" s="3"/>
      <c r="D1" s="3"/>
      <c r="E1" s="3"/>
      <c r="F1" s="3"/>
      <c r="O1" s="15" t="s">
        <v>115</v>
      </c>
      <c r="P1" s="3"/>
      <c r="Q1" s="3"/>
      <c r="R1" s="3"/>
      <c r="S1" s="3"/>
      <c r="T1" s="3" t="s">
        <v>184</v>
      </c>
      <c r="U1" s="3"/>
      <c r="V1" s="3"/>
    </row>
    <row r="2" spans="1:41" x14ac:dyDescent="0.25">
      <c r="A2" s="5" t="s">
        <v>0</v>
      </c>
      <c r="B2" s="5" t="s">
        <v>39</v>
      </c>
      <c r="C2" s="5" t="s">
        <v>29</v>
      </c>
      <c r="D2" s="5" t="s">
        <v>40</v>
      </c>
      <c r="E2" s="5" t="s">
        <v>92</v>
      </c>
      <c r="F2" s="5" t="s">
        <v>41</v>
      </c>
      <c r="G2" s="5" t="s">
        <v>42</v>
      </c>
      <c r="H2" s="5" t="s">
        <v>43</v>
      </c>
      <c r="I2" s="5" t="s">
        <v>44</v>
      </c>
      <c r="J2" s="5" t="s">
        <v>45</v>
      </c>
      <c r="K2" s="5" t="s">
        <v>46</v>
      </c>
      <c r="L2" s="5" t="s">
        <v>47</v>
      </c>
      <c r="O2" s="5" t="s">
        <v>116</v>
      </c>
      <c r="P2" s="5" t="s">
        <v>117</v>
      </c>
      <c r="Q2" s="5" t="s">
        <v>39</v>
      </c>
      <c r="R2" s="5" t="s">
        <v>118</v>
      </c>
      <c r="S2" s="5" t="s">
        <v>40</v>
      </c>
      <c r="T2" s="5" t="s">
        <v>92</v>
      </c>
      <c r="U2" s="5" t="s">
        <v>41</v>
      </c>
      <c r="V2" s="5" t="s">
        <v>42</v>
      </c>
      <c r="W2" s="5" t="s">
        <v>43</v>
      </c>
      <c r="X2" s="5" t="s">
        <v>44</v>
      </c>
      <c r="Y2" s="5" t="s">
        <v>45</v>
      </c>
      <c r="Z2" s="5" t="s">
        <v>46</v>
      </c>
      <c r="AA2" s="5" t="s">
        <v>47</v>
      </c>
    </row>
    <row r="3" spans="1:41" x14ac:dyDescent="0.25">
      <c r="A3" s="10">
        <v>1</v>
      </c>
      <c r="B3" s="10">
        <v>1</v>
      </c>
      <c r="C3" s="10">
        <v>0</v>
      </c>
      <c r="D3" s="10">
        <v>1</v>
      </c>
      <c r="E3" s="10">
        <v>1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O3" s="6" t="s">
        <v>119</v>
      </c>
      <c r="P3" s="12">
        <v>1</v>
      </c>
      <c r="Q3" s="12">
        <v>1</v>
      </c>
      <c r="R3" s="12">
        <v>0</v>
      </c>
      <c r="S3" s="12">
        <v>0</v>
      </c>
      <c r="T3" s="35">
        <f>0.6*S3</f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C3" t="str">
        <f>IF(P3&lt;&gt;0,IF(P3=1,P$2,P3&amp;" "&amp;P$2),"")</f>
        <v>D</v>
      </c>
      <c r="AD3" t="str">
        <f>IF(Q3&lt;&gt;0,IF(Q3=1," + "&amp;Q$2," + "&amp;Q3&amp;" "&amp;Q$2),"")</f>
        <v xml:space="preserve"> + F</v>
      </c>
      <c r="AE3" t="str">
        <f t="shared" ref="AE3:AN3" si="0">IF(R3&lt;&gt;0,IF(R3=1," + "&amp;R$2," + "&amp;R3&amp;" "&amp;R$2),"")</f>
        <v/>
      </c>
      <c r="AF3" t="str">
        <f t="shared" si="0"/>
        <v/>
      </c>
      <c r="AG3" t="str">
        <f t="shared" si="0"/>
        <v/>
      </c>
      <c r="AH3" t="str">
        <f t="shared" si="0"/>
        <v/>
      </c>
      <c r="AI3" t="str">
        <f t="shared" si="0"/>
        <v/>
      </c>
      <c r="AJ3" t="str">
        <f t="shared" si="0"/>
        <v/>
      </c>
      <c r="AK3" t="str">
        <f t="shared" si="0"/>
        <v/>
      </c>
      <c r="AL3" t="str">
        <f t="shared" si="0"/>
        <v/>
      </c>
      <c r="AM3" t="str">
        <f t="shared" si="0"/>
        <v/>
      </c>
      <c r="AN3" t="str">
        <f t="shared" si="0"/>
        <v/>
      </c>
      <c r="AO3" t="str">
        <f>_xlfn.CONCAT(AC3:AN3)</f>
        <v>D + F</v>
      </c>
    </row>
    <row r="4" spans="1:41" x14ac:dyDescent="0.25">
      <c r="A4" s="10">
        <v>1</v>
      </c>
      <c r="B4" s="10">
        <v>1</v>
      </c>
      <c r="C4" s="10">
        <v>0</v>
      </c>
      <c r="D4" s="10">
        <v>1</v>
      </c>
      <c r="E4" s="10">
        <v>1</v>
      </c>
      <c r="F4" s="10">
        <v>0</v>
      </c>
      <c r="G4" s="10">
        <v>0</v>
      </c>
      <c r="H4" s="10">
        <v>0</v>
      </c>
      <c r="I4" s="10">
        <v>1</v>
      </c>
      <c r="J4" s="10">
        <v>0</v>
      </c>
      <c r="K4" s="10">
        <v>0</v>
      </c>
      <c r="L4" s="10">
        <v>0</v>
      </c>
      <c r="O4" s="6" t="s">
        <v>120</v>
      </c>
      <c r="P4" s="12">
        <v>1</v>
      </c>
      <c r="Q4" s="12">
        <v>1</v>
      </c>
      <c r="R4" s="12">
        <v>1</v>
      </c>
      <c r="S4" s="12">
        <v>1</v>
      </c>
      <c r="T4" s="35">
        <f t="shared" ref="T4:T26" si="1">0.6*S4</f>
        <v>0.6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C4" t="str">
        <f t="shared" ref="AC4:AC26" si="2">IF(P4&lt;&gt;0,IF(P4=1,P$2,P4&amp;" "&amp;P$2),"")</f>
        <v>D</v>
      </c>
      <c r="AD4" t="str">
        <f t="shared" ref="AD4:AD26" si="3">IF(Q4&lt;&gt;0,IF(Q4=1," + "&amp;Q$2," + "&amp;Q4&amp;" "&amp;Q$2),"")</f>
        <v xml:space="preserve"> + F</v>
      </c>
      <c r="AE4" t="str">
        <f t="shared" ref="AE4:AE26" si="4">IF(R4&lt;&gt;0,IF(R4=1," + "&amp;R$2," + "&amp;R4&amp;" "&amp;R$2),"")</f>
        <v xml:space="preserve"> + L</v>
      </c>
      <c r="AF4" t="str">
        <f t="shared" ref="AF4:AF26" si="5">IF(S4&lt;&gt;0,IF(S4=1," + "&amp;S$2," + "&amp;S4&amp;" "&amp;S$2),"")</f>
        <v xml:space="preserve"> + H</v>
      </c>
      <c r="AG4" t="str">
        <f t="shared" ref="AG4:AG26" si="6">IF(T4&lt;&gt;0,IF(T4=1," + "&amp;T$2," + "&amp;T4&amp;" "&amp;T$2),"")</f>
        <v xml:space="preserve"> + 0.6 Hr</v>
      </c>
      <c r="AH4" t="str">
        <f t="shared" ref="AH4:AH26" si="7">IF(U4&lt;&gt;0,IF(U4=1," + "&amp;U$2," + "&amp;U4&amp;" "&amp;U$2),"")</f>
        <v/>
      </c>
      <c r="AI4" t="str">
        <f t="shared" ref="AI4:AI26" si="8">IF(V4&lt;&gt;0,IF(V4=1," + "&amp;V$2," + "&amp;V4&amp;" "&amp;V$2),"")</f>
        <v/>
      </c>
      <c r="AJ4" t="str">
        <f t="shared" ref="AJ4:AJ26" si="9">IF(W4&lt;&gt;0,IF(W4=1," + "&amp;W$2," + "&amp;W4&amp;" "&amp;W$2),"")</f>
        <v/>
      </c>
      <c r="AK4" t="str">
        <f t="shared" ref="AK4:AK26" si="10">IF(X4&lt;&gt;0,IF(X4=1," + "&amp;X$2," + "&amp;X4&amp;" "&amp;X$2),"")</f>
        <v/>
      </c>
      <c r="AL4" t="str">
        <f t="shared" ref="AL4:AL26" si="11">IF(Y4&lt;&gt;0,IF(Y4=1," + "&amp;Y$2," + "&amp;Y4&amp;" "&amp;Y$2),"")</f>
        <v/>
      </c>
      <c r="AM4" t="str">
        <f t="shared" ref="AM4:AM26" si="12">IF(Z4&lt;&gt;0,IF(Z4=1," + "&amp;Z$2," + "&amp;Z4&amp;" "&amp;Z$2),"")</f>
        <v/>
      </c>
      <c r="AN4" t="str">
        <f t="shared" ref="AN4:AN26" si="13">IF(AA4&lt;&gt;0,IF(AA4=1," + "&amp;AA$2," + "&amp;AA4&amp;" "&amp;AA$2),"")</f>
        <v/>
      </c>
      <c r="AO4" t="str">
        <f t="shared" ref="AO4:AO26" si="14">_xlfn.CONCAT(AC4:AN4)</f>
        <v>D + F + L + H + 0.6 Hr</v>
      </c>
    </row>
    <row r="5" spans="1:41" x14ac:dyDescent="0.25">
      <c r="A5" s="10">
        <v>1</v>
      </c>
      <c r="B5" s="10">
        <v>1</v>
      </c>
      <c r="C5" s="10">
        <v>0</v>
      </c>
      <c r="D5" s="10">
        <v>1</v>
      </c>
      <c r="E5" s="10">
        <v>1</v>
      </c>
      <c r="F5" s="10">
        <v>0</v>
      </c>
      <c r="G5" s="10">
        <v>0</v>
      </c>
      <c r="H5" s="10">
        <v>0</v>
      </c>
      <c r="I5" s="10">
        <v>0</v>
      </c>
      <c r="J5" s="10">
        <v>1</v>
      </c>
      <c r="K5" s="10">
        <v>0</v>
      </c>
      <c r="L5" s="10">
        <v>0</v>
      </c>
      <c r="O5" s="6" t="s">
        <v>121</v>
      </c>
      <c r="P5" s="12">
        <v>1</v>
      </c>
      <c r="Q5" s="12">
        <v>1</v>
      </c>
      <c r="R5" s="12">
        <v>0</v>
      </c>
      <c r="S5" s="12">
        <v>1</v>
      </c>
      <c r="T5" s="35">
        <f t="shared" si="1"/>
        <v>0.6</v>
      </c>
      <c r="U5" s="12">
        <v>1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C5" t="str">
        <f t="shared" si="2"/>
        <v>D</v>
      </c>
      <c r="AD5" t="str">
        <f t="shared" si="3"/>
        <v xml:space="preserve"> + F</v>
      </c>
      <c r="AE5" t="str">
        <f t="shared" si="4"/>
        <v/>
      </c>
      <c r="AF5" t="str">
        <f t="shared" si="5"/>
        <v xml:space="preserve"> + H</v>
      </c>
      <c r="AG5" t="str">
        <f t="shared" si="6"/>
        <v xml:space="preserve"> + 0.6 Hr</v>
      </c>
      <c r="AH5" t="str">
        <f t="shared" si="7"/>
        <v xml:space="preserve"> + LLr</v>
      </c>
      <c r="AI5" t="str">
        <f t="shared" si="8"/>
        <v/>
      </c>
      <c r="AJ5" t="str">
        <f t="shared" si="9"/>
        <v/>
      </c>
      <c r="AK5" t="str">
        <f t="shared" si="10"/>
        <v/>
      </c>
      <c r="AL5" t="str">
        <f t="shared" si="11"/>
        <v/>
      </c>
      <c r="AM5" t="str">
        <f t="shared" si="12"/>
        <v/>
      </c>
      <c r="AN5" t="str">
        <f t="shared" si="13"/>
        <v/>
      </c>
      <c r="AO5" t="str">
        <f t="shared" si="14"/>
        <v>D + F + H + 0.6 Hr + LLr</v>
      </c>
    </row>
    <row r="6" spans="1:41" x14ac:dyDescent="0.25">
      <c r="A6" s="10">
        <v>1</v>
      </c>
      <c r="B6" s="10">
        <v>1</v>
      </c>
      <c r="C6" s="10">
        <v>0</v>
      </c>
      <c r="D6" s="10">
        <v>1</v>
      </c>
      <c r="E6" s="10">
        <v>1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0.7</v>
      </c>
      <c r="L6" s="10">
        <v>0</v>
      </c>
      <c r="O6" s="6" t="s">
        <v>122</v>
      </c>
      <c r="P6" s="12">
        <v>1</v>
      </c>
      <c r="Q6" s="12">
        <v>1</v>
      </c>
      <c r="R6" s="12">
        <v>0</v>
      </c>
      <c r="S6" s="12">
        <v>1</v>
      </c>
      <c r="T6" s="35">
        <f t="shared" si="1"/>
        <v>0.6</v>
      </c>
      <c r="U6" s="12">
        <v>0</v>
      </c>
      <c r="V6" s="12">
        <v>1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C6" t="str">
        <f t="shared" si="2"/>
        <v>D</v>
      </c>
      <c r="AD6" t="str">
        <f t="shared" si="3"/>
        <v xml:space="preserve"> + F</v>
      </c>
      <c r="AE6" t="str">
        <f t="shared" si="4"/>
        <v/>
      </c>
      <c r="AF6" t="str">
        <f t="shared" si="5"/>
        <v xml:space="preserve"> + H</v>
      </c>
      <c r="AG6" t="str">
        <f t="shared" si="6"/>
        <v xml:space="preserve"> + 0.6 Hr</v>
      </c>
      <c r="AH6" t="str">
        <f t="shared" si="7"/>
        <v/>
      </c>
      <c r="AI6" t="str">
        <f t="shared" si="8"/>
        <v xml:space="preserve"> + S</v>
      </c>
      <c r="AJ6" t="str">
        <f t="shared" si="9"/>
        <v/>
      </c>
      <c r="AK6" t="str">
        <f t="shared" si="10"/>
        <v/>
      </c>
      <c r="AL6" t="str">
        <f t="shared" si="11"/>
        <v/>
      </c>
      <c r="AM6" t="str">
        <f t="shared" si="12"/>
        <v/>
      </c>
      <c r="AN6" t="str">
        <f t="shared" si="13"/>
        <v/>
      </c>
      <c r="AO6" t="str">
        <f t="shared" si="14"/>
        <v>D + F + H + 0.6 Hr + S</v>
      </c>
    </row>
    <row r="7" spans="1:41" x14ac:dyDescent="0.25">
      <c r="A7" s="10">
        <v>1</v>
      </c>
      <c r="B7" s="10">
        <v>1</v>
      </c>
      <c r="C7" s="10">
        <v>0</v>
      </c>
      <c r="D7" s="10">
        <v>1</v>
      </c>
      <c r="E7" s="10">
        <v>1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0.7</v>
      </c>
      <c r="O7" s="6" t="s">
        <v>123</v>
      </c>
      <c r="P7" s="12">
        <v>1</v>
      </c>
      <c r="Q7" s="12">
        <v>1</v>
      </c>
      <c r="R7" s="12">
        <v>0</v>
      </c>
      <c r="S7" s="12">
        <v>1</v>
      </c>
      <c r="T7" s="35">
        <f t="shared" si="1"/>
        <v>0.6</v>
      </c>
      <c r="U7" s="12">
        <v>0</v>
      </c>
      <c r="V7" s="12">
        <v>0</v>
      </c>
      <c r="W7" s="12">
        <v>1</v>
      </c>
      <c r="X7" s="12">
        <v>0</v>
      </c>
      <c r="Y7" s="12">
        <v>0</v>
      </c>
      <c r="Z7" s="12">
        <v>0</v>
      </c>
      <c r="AA7" s="12">
        <v>0</v>
      </c>
      <c r="AC7" t="str">
        <f t="shared" si="2"/>
        <v>D</v>
      </c>
      <c r="AD7" t="str">
        <f t="shared" si="3"/>
        <v xml:space="preserve"> + F</v>
      </c>
      <c r="AE7" t="str">
        <f t="shared" si="4"/>
        <v/>
      </c>
      <c r="AF7" t="str">
        <f t="shared" si="5"/>
        <v xml:space="preserve"> + H</v>
      </c>
      <c r="AG7" t="str">
        <f t="shared" si="6"/>
        <v xml:space="preserve"> + 0.6 Hr</v>
      </c>
      <c r="AH7" t="str">
        <f t="shared" si="7"/>
        <v/>
      </c>
      <c r="AI7" t="str">
        <f t="shared" si="8"/>
        <v/>
      </c>
      <c r="AJ7" t="str">
        <f t="shared" si="9"/>
        <v xml:space="preserve"> + R</v>
      </c>
      <c r="AK7" t="str">
        <f t="shared" si="10"/>
        <v/>
      </c>
      <c r="AL7" t="str">
        <f t="shared" si="11"/>
        <v/>
      </c>
      <c r="AM7" t="str">
        <f t="shared" si="12"/>
        <v/>
      </c>
      <c r="AN7" t="str">
        <f t="shared" si="13"/>
        <v/>
      </c>
      <c r="AO7" t="str">
        <f t="shared" si="14"/>
        <v>D + F + H + 0.6 Hr + R</v>
      </c>
    </row>
    <row r="8" spans="1:41" x14ac:dyDescent="0.25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O8" s="6" t="s">
        <v>124</v>
      </c>
      <c r="P8" s="12">
        <v>1</v>
      </c>
      <c r="Q8" s="12">
        <v>1</v>
      </c>
      <c r="R8" s="12">
        <v>0.75</v>
      </c>
      <c r="S8" s="12">
        <v>1</v>
      </c>
      <c r="T8" s="35">
        <f t="shared" si="1"/>
        <v>0.6</v>
      </c>
      <c r="U8" s="12">
        <v>0.75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C8" t="str">
        <f t="shared" si="2"/>
        <v>D</v>
      </c>
      <c r="AD8" t="str">
        <f t="shared" si="3"/>
        <v xml:space="preserve"> + F</v>
      </c>
      <c r="AE8" t="str">
        <f t="shared" si="4"/>
        <v xml:space="preserve"> + 0.75 L</v>
      </c>
      <c r="AF8" t="str">
        <f t="shared" si="5"/>
        <v xml:space="preserve"> + H</v>
      </c>
      <c r="AG8" t="str">
        <f t="shared" si="6"/>
        <v xml:space="preserve"> + 0.6 Hr</v>
      </c>
      <c r="AH8" t="str">
        <f t="shared" si="7"/>
        <v xml:space="preserve"> + 0.75 LLr</v>
      </c>
      <c r="AI8" t="str">
        <f t="shared" si="8"/>
        <v/>
      </c>
      <c r="AJ8" t="str">
        <f t="shared" si="9"/>
        <v/>
      </c>
      <c r="AK8" t="str">
        <f t="shared" si="10"/>
        <v/>
      </c>
      <c r="AL8" t="str">
        <f t="shared" si="11"/>
        <v/>
      </c>
      <c r="AM8" t="str">
        <f t="shared" si="12"/>
        <v/>
      </c>
      <c r="AN8" t="str">
        <f t="shared" si="13"/>
        <v/>
      </c>
      <c r="AO8" t="str">
        <f t="shared" si="14"/>
        <v>D + F + 0.75 L + H + 0.6 Hr + 0.75 LLr</v>
      </c>
    </row>
    <row r="9" spans="1:41" x14ac:dyDescent="0.25">
      <c r="A9" s="1">
        <v>1</v>
      </c>
      <c r="B9" s="1">
        <v>1</v>
      </c>
      <c r="C9" s="1">
        <v>1</v>
      </c>
      <c r="D9" s="1">
        <v>1</v>
      </c>
      <c r="E9" s="1">
        <v>1</v>
      </c>
      <c r="F9" s="1">
        <v>0</v>
      </c>
      <c r="G9" s="1">
        <v>0</v>
      </c>
      <c r="H9" s="1">
        <v>0</v>
      </c>
      <c r="I9" s="1">
        <v>1</v>
      </c>
      <c r="J9" s="1">
        <v>0</v>
      </c>
      <c r="K9" s="1">
        <v>0</v>
      </c>
      <c r="L9" s="1">
        <v>0</v>
      </c>
      <c r="O9" s="6" t="s">
        <v>125</v>
      </c>
      <c r="P9" s="12">
        <v>1</v>
      </c>
      <c r="Q9" s="12">
        <v>1</v>
      </c>
      <c r="R9" s="12">
        <v>0.75</v>
      </c>
      <c r="S9" s="12">
        <v>1</v>
      </c>
      <c r="T9" s="35">
        <f t="shared" si="1"/>
        <v>0.6</v>
      </c>
      <c r="U9" s="12">
        <v>0</v>
      </c>
      <c r="V9" s="12">
        <v>0.75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C9" t="str">
        <f t="shared" si="2"/>
        <v>D</v>
      </c>
      <c r="AD9" t="str">
        <f t="shared" si="3"/>
        <v xml:space="preserve"> + F</v>
      </c>
      <c r="AE9" t="str">
        <f t="shared" si="4"/>
        <v xml:space="preserve"> + 0.75 L</v>
      </c>
      <c r="AF9" t="str">
        <f t="shared" si="5"/>
        <v xml:space="preserve"> + H</v>
      </c>
      <c r="AG9" t="str">
        <f t="shared" si="6"/>
        <v xml:space="preserve"> + 0.6 Hr</v>
      </c>
      <c r="AH9" t="str">
        <f t="shared" si="7"/>
        <v/>
      </c>
      <c r="AI9" t="str">
        <f t="shared" si="8"/>
        <v xml:space="preserve"> + 0.75 S</v>
      </c>
      <c r="AJ9" t="str">
        <f t="shared" si="9"/>
        <v/>
      </c>
      <c r="AK9" t="str">
        <f t="shared" si="10"/>
        <v/>
      </c>
      <c r="AL9" t="str">
        <f t="shared" si="11"/>
        <v/>
      </c>
      <c r="AM9" t="str">
        <f t="shared" si="12"/>
        <v/>
      </c>
      <c r="AN9" t="str">
        <f t="shared" si="13"/>
        <v/>
      </c>
      <c r="AO9" t="str">
        <f t="shared" si="14"/>
        <v>D + F + 0.75 L + H + 0.6 Hr + 0.75 S</v>
      </c>
    </row>
    <row r="10" spans="1:41" x14ac:dyDescent="0.25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0</v>
      </c>
      <c r="G10" s="1">
        <v>0</v>
      </c>
      <c r="H10" s="1">
        <v>0</v>
      </c>
      <c r="I10" s="1">
        <v>0</v>
      </c>
      <c r="J10" s="1">
        <v>1</v>
      </c>
      <c r="K10" s="1">
        <v>0</v>
      </c>
      <c r="L10" s="1">
        <v>0</v>
      </c>
      <c r="O10" s="6" t="s">
        <v>126</v>
      </c>
      <c r="P10" s="12">
        <v>1</v>
      </c>
      <c r="Q10" s="12">
        <v>1</v>
      </c>
      <c r="R10" s="12">
        <v>0.75</v>
      </c>
      <c r="S10" s="12">
        <v>1</v>
      </c>
      <c r="T10" s="35">
        <f t="shared" si="1"/>
        <v>0.6</v>
      </c>
      <c r="U10" s="12">
        <v>0</v>
      </c>
      <c r="V10" s="12">
        <v>0</v>
      </c>
      <c r="W10" s="12">
        <v>0.75</v>
      </c>
      <c r="X10" s="12">
        <v>0</v>
      </c>
      <c r="Y10" s="12">
        <v>0</v>
      </c>
      <c r="Z10" s="12">
        <v>0</v>
      </c>
      <c r="AA10" s="12">
        <v>0</v>
      </c>
      <c r="AC10" t="str">
        <f t="shared" si="2"/>
        <v>D</v>
      </c>
      <c r="AD10" t="str">
        <f t="shared" si="3"/>
        <v xml:space="preserve"> + F</v>
      </c>
      <c r="AE10" t="str">
        <f t="shared" si="4"/>
        <v xml:space="preserve"> + 0.75 L</v>
      </c>
      <c r="AF10" t="str">
        <f t="shared" si="5"/>
        <v xml:space="preserve"> + H</v>
      </c>
      <c r="AG10" t="str">
        <f t="shared" si="6"/>
        <v xml:space="preserve"> + 0.6 Hr</v>
      </c>
      <c r="AH10" t="str">
        <f t="shared" si="7"/>
        <v/>
      </c>
      <c r="AI10" t="str">
        <f t="shared" si="8"/>
        <v/>
      </c>
      <c r="AJ10" t="str">
        <f t="shared" si="9"/>
        <v xml:space="preserve"> + 0.75 R</v>
      </c>
      <c r="AK10" t="str">
        <f t="shared" si="10"/>
        <v/>
      </c>
      <c r="AL10" t="str">
        <f t="shared" si="11"/>
        <v/>
      </c>
      <c r="AM10" t="str">
        <f t="shared" si="12"/>
        <v/>
      </c>
      <c r="AN10" t="str">
        <f t="shared" si="13"/>
        <v/>
      </c>
      <c r="AO10" t="str">
        <f t="shared" si="14"/>
        <v>D + F + 0.75 L + H + 0.6 Hr + 0.75 R</v>
      </c>
    </row>
    <row r="11" spans="1:41" x14ac:dyDescent="0.25">
      <c r="A11" s="1">
        <v>1</v>
      </c>
      <c r="B11" s="1">
        <v>1</v>
      </c>
      <c r="C11" s="1">
        <v>1</v>
      </c>
      <c r="D11" s="1">
        <v>1</v>
      </c>
      <c r="E11" s="1">
        <v>1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0.7</v>
      </c>
      <c r="L11" s="1">
        <v>0</v>
      </c>
      <c r="O11" s="6" t="s">
        <v>200</v>
      </c>
      <c r="P11" s="12">
        <v>1</v>
      </c>
      <c r="Q11" s="12">
        <v>1</v>
      </c>
      <c r="R11" s="12">
        <v>0</v>
      </c>
      <c r="S11" s="12">
        <v>1</v>
      </c>
      <c r="T11" s="35">
        <f t="shared" si="1"/>
        <v>0.6</v>
      </c>
      <c r="U11" s="12">
        <v>0</v>
      </c>
      <c r="V11" s="12">
        <v>0</v>
      </c>
      <c r="W11" s="12">
        <v>0</v>
      </c>
      <c r="X11" s="12">
        <v>0.6</v>
      </c>
      <c r="Y11" s="12">
        <v>0</v>
      </c>
      <c r="Z11" s="12">
        <v>0</v>
      </c>
      <c r="AA11" s="12">
        <v>0</v>
      </c>
      <c r="AC11" t="str">
        <f t="shared" si="2"/>
        <v>D</v>
      </c>
      <c r="AD11" t="str">
        <f t="shared" si="3"/>
        <v xml:space="preserve"> + F</v>
      </c>
      <c r="AE11" t="str">
        <f t="shared" si="4"/>
        <v/>
      </c>
      <c r="AF11" t="str">
        <f t="shared" si="5"/>
        <v xml:space="preserve"> + H</v>
      </c>
      <c r="AG11" t="str">
        <f t="shared" si="6"/>
        <v xml:space="preserve"> + 0.6 Hr</v>
      </c>
      <c r="AH11" t="str">
        <f t="shared" si="7"/>
        <v/>
      </c>
      <c r="AI11" t="str">
        <f t="shared" si="8"/>
        <v/>
      </c>
      <c r="AJ11" t="str">
        <f t="shared" si="9"/>
        <v/>
      </c>
      <c r="AK11" t="str">
        <f t="shared" si="10"/>
        <v xml:space="preserve"> + 0.6 W1</v>
      </c>
      <c r="AL11" t="str">
        <f t="shared" si="11"/>
        <v/>
      </c>
      <c r="AM11" t="str">
        <f t="shared" si="12"/>
        <v/>
      </c>
      <c r="AN11" t="str">
        <f t="shared" si="13"/>
        <v/>
      </c>
      <c r="AO11" t="str">
        <f t="shared" si="14"/>
        <v>D + F + H + 0.6 Hr + 0.6 W1</v>
      </c>
    </row>
    <row r="12" spans="1:41" x14ac:dyDescent="0.25">
      <c r="A12" s="1">
        <v>1</v>
      </c>
      <c r="B12" s="1">
        <v>1</v>
      </c>
      <c r="C12" s="1">
        <v>1</v>
      </c>
      <c r="D12" s="1">
        <v>1</v>
      </c>
      <c r="E12" s="1">
        <v>1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0.7</v>
      </c>
      <c r="O12" s="6" t="s">
        <v>201</v>
      </c>
      <c r="P12" s="12">
        <v>1</v>
      </c>
      <c r="Q12" s="12">
        <v>1</v>
      </c>
      <c r="R12" s="12">
        <v>0</v>
      </c>
      <c r="S12" s="12">
        <v>1</v>
      </c>
      <c r="T12" s="35">
        <f t="shared" si="1"/>
        <v>0.6</v>
      </c>
      <c r="U12" s="12">
        <v>0</v>
      </c>
      <c r="V12" s="12">
        <v>0</v>
      </c>
      <c r="W12" s="12">
        <v>0</v>
      </c>
      <c r="X12" s="12">
        <v>0</v>
      </c>
      <c r="Y12" s="12">
        <v>0.6</v>
      </c>
      <c r="Z12" s="12">
        <v>0</v>
      </c>
      <c r="AA12" s="12">
        <v>0</v>
      </c>
      <c r="AC12" t="str">
        <f t="shared" si="2"/>
        <v>D</v>
      </c>
      <c r="AD12" t="str">
        <f t="shared" si="3"/>
        <v xml:space="preserve"> + F</v>
      </c>
      <c r="AE12" t="str">
        <f t="shared" si="4"/>
        <v/>
      </c>
      <c r="AF12" t="str">
        <f t="shared" si="5"/>
        <v xml:space="preserve"> + H</v>
      </c>
      <c r="AG12" t="str">
        <f t="shared" si="6"/>
        <v xml:space="preserve"> + 0.6 Hr</v>
      </c>
      <c r="AH12" t="str">
        <f t="shared" si="7"/>
        <v/>
      </c>
      <c r="AI12" t="str">
        <f t="shared" si="8"/>
        <v/>
      </c>
      <c r="AJ12" t="str">
        <f t="shared" si="9"/>
        <v/>
      </c>
      <c r="AK12" t="str">
        <f t="shared" si="10"/>
        <v/>
      </c>
      <c r="AL12" t="str">
        <f t="shared" si="11"/>
        <v xml:space="preserve"> + 0.6 W2</v>
      </c>
      <c r="AM12" t="str">
        <f t="shared" si="12"/>
        <v/>
      </c>
      <c r="AN12" t="str">
        <f t="shared" si="13"/>
        <v/>
      </c>
      <c r="AO12" t="str">
        <f t="shared" si="14"/>
        <v>D + F + H + 0.6 Hr + 0.6 W2</v>
      </c>
    </row>
    <row r="13" spans="1:41" x14ac:dyDescent="0.25">
      <c r="A13" s="10">
        <v>1</v>
      </c>
      <c r="B13" s="10">
        <v>1</v>
      </c>
      <c r="C13" s="10">
        <v>1</v>
      </c>
      <c r="D13" s="10">
        <v>1</v>
      </c>
      <c r="E13" s="10">
        <v>1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O13" s="6" t="s">
        <v>202</v>
      </c>
      <c r="P13" s="12">
        <v>1</v>
      </c>
      <c r="Q13" s="12">
        <v>1</v>
      </c>
      <c r="R13" s="12">
        <v>0</v>
      </c>
      <c r="S13" s="12">
        <v>1</v>
      </c>
      <c r="T13" s="35">
        <f t="shared" si="1"/>
        <v>0.6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0.7</v>
      </c>
      <c r="AA13" s="12">
        <v>0</v>
      </c>
      <c r="AC13" t="str">
        <f t="shared" si="2"/>
        <v>D</v>
      </c>
      <c r="AD13" t="str">
        <f t="shared" si="3"/>
        <v xml:space="preserve"> + F</v>
      </c>
      <c r="AE13" t="str">
        <f t="shared" si="4"/>
        <v/>
      </c>
      <c r="AF13" t="str">
        <f t="shared" si="5"/>
        <v xml:space="preserve"> + H</v>
      </c>
      <c r="AG13" t="str">
        <f t="shared" si="6"/>
        <v xml:space="preserve"> + 0.6 Hr</v>
      </c>
      <c r="AH13" t="str">
        <f t="shared" si="7"/>
        <v/>
      </c>
      <c r="AI13" t="str">
        <f t="shared" si="8"/>
        <v/>
      </c>
      <c r="AJ13" t="str">
        <f t="shared" si="9"/>
        <v/>
      </c>
      <c r="AK13" t="str">
        <f t="shared" si="10"/>
        <v/>
      </c>
      <c r="AL13" t="str">
        <f t="shared" si="11"/>
        <v/>
      </c>
      <c r="AM13" t="str">
        <f t="shared" si="12"/>
        <v xml:space="preserve"> + 0.7 E1</v>
      </c>
      <c r="AN13" t="str">
        <f t="shared" si="13"/>
        <v/>
      </c>
      <c r="AO13" t="str">
        <f t="shared" si="14"/>
        <v>D + F + H + 0.6 Hr + 0.7 E1</v>
      </c>
    </row>
    <row r="14" spans="1:41" x14ac:dyDescent="0.25">
      <c r="A14" s="10">
        <v>1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0</v>
      </c>
      <c r="H14" s="10">
        <v>0</v>
      </c>
      <c r="I14" s="10">
        <v>1</v>
      </c>
      <c r="J14" s="10">
        <v>0</v>
      </c>
      <c r="K14" s="10">
        <v>0</v>
      </c>
      <c r="L14" s="10">
        <v>0</v>
      </c>
      <c r="O14" s="6" t="s">
        <v>203</v>
      </c>
      <c r="P14" s="12">
        <v>1</v>
      </c>
      <c r="Q14" s="12">
        <v>1</v>
      </c>
      <c r="R14" s="12">
        <v>0</v>
      </c>
      <c r="S14" s="12">
        <v>1</v>
      </c>
      <c r="T14" s="35">
        <f t="shared" si="1"/>
        <v>0.6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0.7</v>
      </c>
      <c r="AC14" t="str">
        <f t="shared" si="2"/>
        <v>D</v>
      </c>
      <c r="AD14" t="str">
        <f t="shared" si="3"/>
        <v xml:space="preserve"> + F</v>
      </c>
      <c r="AE14" t="str">
        <f t="shared" si="4"/>
        <v/>
      </c>
      <c r="AF14" t="str">
        <f t="shared" si="5"/>
        <v xml:space="preserve"> + H</v>
      </c>
      <c r="AG14" t="str">
        <f t="shared" si="6"/>
        <v xml:space="preserve"> + 0.6 Hr</v>
      </c>
      <c r="AH14" t="str">
        <f t="shared" si="7"/>
        <v/>
      </c>
      <c r="AI14" t="str">
        <f t="shared" si="8"/>
        <v/>
      </c>
      <c r="AJ14" t="str">
        <f t="shared" si="9"/>
        <v/>
      </c>
      <c r="AK14" t="str">
        <f t="shared" si="10"/>
        <v/>
      </c>
      <c r="AL14" t="str">
        <f t="shared" si="11"/>
        <v/>
      </c>
      <c r="AM14" t="str">
        <f t="shared" si="12"/>
        <v/>
      </c>
      <c r="AN14" t="str">
        <f t="shared" si="13"/>
        <v xml:space="preserve"> + 0.7 E2</v>
      </c>
      <c r="AO14" t="str">
        <f t="shared" si="14"/>
        <v>D + F + H + 0.6 Hr + 0.7 E2</v>
      </c>
    </row>
    <row r="15" spans="1:41" x14ac:dyDescent="0.25">
      <c r="A15" s="10">
        <v>1</v>
      </c>
      <c r="B15" s="10">
        <v>1</v>
      </c>
      <c r="C15" s="10">
        <v>1</v>
      </c>
      <c r="D15" s="10">
        <v>1</v>
      </c>
      <c r="E15" s="10">
        <v>1</v>
      </c>
      <c r="F15" s="10">
        <v>1</v>
      </c>
      <c r="G15" s="10">
        <v>0</v>
      </c>
      <c r="H15" s="10">
        <v>0</v>
      </c>
      <c r="I15" s="10">
        <v>0</v>
      </c>
      <c r="J15" s="10">
        <v>1</v>
      </c>
      <c r="K15" s="10">
        <v>0</v>
      </c>
      <c r="L15" s="10">
        <v>0</v>
      </c>
      <c r="O15" s="6" t="s">
        <v>204</v>
      </c>
      <c r="P15" s="12">
        <v>1</v>
      </c>
      <c r="Q15" s="12">
        <v>1</v>
      </c>
      <c r="R15" s="12">
        <v>0.75</v>
      </c>
      <c r="S15" s="12">
        <v>1</v>
      </c>
      <c r="T15" s="35">
        <f t="shared" si="1"/>
        <v>0.6</v>
      </c>
      <c r="U15" s="12">
        <v>0.75</v>
      </c>
      <c r="V15" s="12">
        <v>0</v>
      </c>
      <c r="W15" s="12">
        <v>0</v>
      </c>
      <c r="X15" s="13">
        <f>0.75*0.6</f>
        <v>0.44999999999999996</v>
      </c>
      <c r="Y15" s="12">
        <v>0</v>
      </c>
      <c r="Z15" s="12">
        <v>0</v>
      </c>
      <c r="AA15" s="12">
        <v>0</v>
      </c>
      <c r="AC15" t="str">
        <f t="shared" si="2"/>
        <v>D</v>
      </c>
      <c r="AD15" t="str">
        <f t="shared" si="3"/>
        <v xml:space="preserve"> + F</v>
      </c>
      <c r="AE15" t="str">
        <f t="shared" si="4"/>
        <v xml:space="preserve"> + 0.75 L</v>
      </c>
      <c r="AF15" t="str">
        <f t="shared" si="5"/>
        <v xml:space="preserve"> + H</v>
      </c>
      <c r="AG15" t="str">
        <f t="shared" si="6"/>
        <v xml:space="preserve"> + 0.6 Hr</v>
      </c>
      <c r="AH15" t="str">
        <f t="shared" si="7"/>
        <v xml:space="preserve"> + 0.75 LLr</v>
      </c>
      <c r="AI15" t="str">
        <f t="shared" si="8"/>
        <v/>
      </c>
      <c r="AJ15" t="str">
        <f t="shared" si="9"/>
        <v/>
      </c>
      <c r="AK15" t="str">
        <f t="shared" si="10"/>
        <v xml:space="preserve"> + 0.45 W1</v>
      </c>
      <c r="AL15" t="str">
        <f t="shared" si="11"/>
        <v/>
      </c>
      <c r="AM15" t="str">
        <f t="shared" si="12"/>
        <v/>
      </c>
      <c r="AN15" t="str">
        <f t="shared" si="13"/>
        <v/>
      </c>
      <c r="AO15" t="str">
        <f t="shared" si="14"/>
        <v>D + F + 0.75 L + H + 0.6 Hr + 0.75 LLr + 0.45 W1</v>
      </c>
    </row>
    <row r="16" spans="1:41" x14ac:dyDescent="0.25">
      <c r="A16" s="10">
        <v>1</v>
      </c>
      <c r="B16" s="10">
        <v>1</v>
      </c>
      <c r="C16" s="10">
        <v>1</v>
      </c>
      <c r="D16" s="10">
        <v>1</v>
      </c>
      <c r="E16" s="10">
        <v>1</v>
      </c>
      <c r="F16" s="10">
        <v>1</v>
      </c>
      <c r="G16" s="10">
        <v>0</v>
      </c>
      <c r="H16" s="10">
        <v>0</v>
      </c>
      <c r="I16" s="10">
        <v>0</v>
      </c>
      <c r="J16" s="10">
        <v>0</v>
      </c>
      <c r="K16" s="10">
        <v>0.7</v>
      </c>
      <c r="L16" s="10">
        <v>0</v>
      </c>
      <c r="O16" s="6" t="s">
        <v>205</v>
      </c>
      <c r="P16" s="12">
        <v>1</v>
      </c>
      <c r="Q16" s="12">
        <v>1</v>
      </c>
      <c r="R16" s="12">
        <v>0.75</v>
      </c>
      <c r="S16" s="12">
        <v>1</v>
      </c>
      <c r="T16" s="35">
        <f t="shared" si="1"/>
        <v>0.6</v>
      </c>
      <c r="U16" s="12">
        <v>0</v>
      </c>
      <c r="V16" s="12">
        <v>0.75</v>
      </c>
      <c r="W16" s="12">
        <v>0</v>
      </c>
      <c r="X16" s="13">
        <f>0.75*0.6</f>
        <v>0.44999999999999996</v>
      </c>
      <c r="Y16" s="12">
        <v>0</v>
      </c>
      <c r="Z16" s="12">
        <v>0</v>
      </c>
      <c r="AA16" s="12">
        <v>0</v>
      </c>
      <c r="AC16" t="str">
        <f t="shared" si="2"/>
        <v>D</v>
      </c>
      <c r="AD16" t="str">
        <f t="shared" si="3"/>
        <v xml:space="preserve"> + F</v>
      </c>
      <c r="AE16" t="str">
        <f t="shared" si="4"/>
        <v xml:space="preserve"> + 0.75 L</v>
      </c>
      <c r="AF16" t="str">
        <f t="shared" si="5"/>
        <v xml:space="preserve"> + H</v>
      </c>
      <c r="AG16" t="str">
        <f t="shared" si="6"/>
        <v xml:space="preserve"> + 0.6 Hr</v>
      </c>
      <c r="AH16" t="str">
        <f t="shared" si="7"/>
        <v/>
      </c>
      <c r="AI16" t="str">
        <f t="shared" si="8"/>
        <v xml:space="preserve"> + 0.75 S</v>
      </c>
      <c r="AJ16" t="str">
        <f t="shared" si="9"/>
        <v/>
      </c>
      <c r="AK16" t="str">
        <f t="shared" si="10"/>
        <v xml:space="preserve"> + 0.45 W1</v>
      </c>
      <c r="AL16" t="str">
        <f t="shared" si="11"/>
        <v/>
      </c>
      <c r="AM16" t="str">
        <f t="shared" si="12"/>
        <v/>
      </c>
      <c r="AN16" t="str">
        <f t="shared" si="13"/>
        <v/>
      </c>
      <c r="AO16" t="str">
        <f t="shared" si="14"/>
        <v>D + F + 0.75 L + H + 0.6 Hr + 0.75 S + 0.45 W1</v>
      </c>
    </row>
    <row r="17" spans="1:41" x14ac:dyDescent="0.25">
      <c r="A17" s="10">
        <v>1</v>
      </c>
      <c r="B17" s="10">
        <v>1</v>
      </c>
      <c r="C17" s="10">
        <v>1</v>
      </c>
      <c r="D17" s="10">
        <v>1</v>
      </c>
      <c r="E17" s="10">
        <v>1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0.7</v>
      </c>
      <c r="O17" s="6" t="s">
        <v>206</v>
      </c>
      <c r="P17" s="12">
        <v>1</v>
      </c>
      <c r="Q17" s="12">
        <v>1</v>
      </c>
      <c r="R17" s="12">
        <v>0.75</v>
      </c>
      <c r="S17" s="12">
        <v>1</v>
      </c>
      <c r="T17" s="35">
        <f t="shared" si="1"/>
        <v>0.6</v>
      </c>
      <c r="U17" s="12">
        <v>0</v>
      </c>
      <c r="V17" s="12">
        <v>0</v>
      </c>
      <c r="W17" s="12">
        <v>0.75</v>
      </c>
      <c r="X17" s="13">
        <f>0.75*0.6</f>
        <v>0.44999999999999996</v>
      </c>
      <c r="Y17" s="12">
        <v>0</v>
      </c>
      <c r="Z17" s="12">
        <v>0</v>
      </c>
      <c r="AA17" s="12">
        <v>0</v>
      </c>
      <c r="AC17" t="str">
        <f t="shared" si="2"/>
        <v>D</v>
      </c>
      <c r="AD17" t="str">
        <f t="shared" si="3"/>
        <v xml:space="preserve"> + F</v>
      </c>
      <c r="AE17" t="str">
        <f t="shared" si="4"/>
        <v xml:space="preserve"> + 0.75 L</v>
      </c>
      <c r="AF17" t="str">
        <f t="shared" si="5"/>
        <v xml:space="preserve"> + H</v>
      </c>
      <c r="AG17" t="str">
        <f t="shared" si="6"/>
        <v xml:space="preserve"> + 0.6 Hr</v>
      </c>
      <c r="AH17" t="str">
        <f t="shared" si="7"/>
        <v/>
      </c>
      <c r="AI17" t="str">
        <f t="shared" si="8"/>
        <v/>
      </c>
      <c r="AJ17" t="str">
        <f t="shared" si="9"/>
        <v xml:space="preserve"> + 0.75 R</v>
      </c>
      <c r="AK17" t="str">
        <f t="shared" si="10"/>
        <v xml:space="preserve"> + 0.45 W1</v>
      </c>
      <c r="AL17" t="str">
        <f t="shared" si="11"/>
        <v/>
      </c>
      <c r="AM17" t="str">
        <f t="shared" si="12"/>
        <v/>
      </c>
      <c r="AN17" t="str">
        <f t="shared" si="13"/>
        <v/>
      </c>
      <c r="AO17" t="str">
        <f t="shared" si="14"/>
        <v>D + F + 0.75 L + H + 0.6 Hr + 0.75 R + 0.45 W1</v>
      </c>
    </row>
    <row r="18" spans="1:41" x14ac:dyDescent="0.25">
      <c r="A18" s="1">
        <v>1</v>
      </c>
      <c r="B18" s="1">
        <v>1</v>
      </c>
      <c r="C18" s="1">
        <v>1</v>
      </c>
      <c r="D18" s="1">
        <v>1</v>
      </c>
      <c r="E18" s="1">
        <v>1</v>
      </c>
      <c r="F18" s="1">
        <v>0</v>
      </c>
      <c r="G18" s="1">
        <v>1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O18" s="6" t="s">
        <v>207</v>
      </c>
      <c r="P18" s="12">
        <v>1</v>
      </c>
      <c r="Q18" s="12">
        <v>1</v>
      </c>
      <c r="R18" s="12">
        <v>0.75</v>
      </c>
      <c r="S18" s="12">
        <v>1</v>
      </c>
      <c r="T18" s="35">
        <f t="shared" si="1"/>
        <v>0.6</v>
      </c>
      <c r="U18" s="12">
        <v>0.75</v>
      </c>
      <c r="V18" s="12">
        <v>0</v>
      </c>
      <c r="W18" s="12">
        <v>0</v>
      </c>
      <c r="X18" s="12">
        <v>0</v>
      </c>
      <c r="Y18" s="13">
        <f>0.75*0.6</f>
        <v>0.44999999999999996</v>
      </c>
      <c r="Z18" s="12">
        <v>0</v>
      </c>
      <c r="AA18" s="12">
        <v>0</v>
      </c>
      <c r="AC18" t="str">
        <f t="shared" si="2"/>
        <v>D</v>
      </c>
      <c r="AD18" t="str">
        <f t="shared" si="3"/>
        <v xml:space="preserve"> + F</v>
      </c>
      <c r="AE18" t="str">
        <f t="shared" si="4"/>
        <v xml:space="preserve"> + 0.75 L</v>
      </c>
      <c r="AF18" t="str">
        <f t="shared" si="5"/>
        <v xml:space="preserve"> + H</v>
      </c>
      <c r="AG18" t="str">
        <f t="shared" si="6"/>
        <v xml:space="preserve"> + 0.6 Hr</v>
      </c>
      <c r="AH18" t="str">
        <f t="shared" si="7"/>
        <v xml:space="preserve"> + 0.75 LLr</v>
      </c>
      <c r="AI18" t="str">
        <f t="shared" si="8"/>
        <v/>
      </c>
      <c r="AJ18" t="str">
        <f t="shared" si="9"/>
        <v/>
      </c>
      <c r="AK18" t="str">
        <f t="shared" si="10"/>
        <v/>
      </c>
      <c r="AL18" t="str">
        <f t="shared" si="11"/>
        <v xml:space="preserve"> + 0.45 W2</v>
      </c>
      <c r="AM18" t="str">
        <f t="shared" si="12"/>
        <v/>
      </c>
      <c r="AN18" t="str">
        <f t="shared" si="13"/>
        <v/>
      </c>
      <c r="AO18" t="str">
        <f t="shared" si="14"/>
        <v>D + F + 0.75 L + H + 0.6 Hr + 0.75 LLr + 0.45 W2</v>
      </c>
    </row>
    <row r="19" spans="1:41" x14ac:dyDescent="0.25">
      <c r="A19" s="1">
        <v>1</v>
      </c>
      <c r="B19" s="1">
        <v>1</v>
      </c>
      <c r="C19" s="1">
        <v>1</v>
      </c>
      <c r="D19" s="1">
        <v>1</v>
      </c>
      <c r="E19" s="1">
        <v>1</v>
      </c>
      <c r="F19" s="1">
        <v>0</v>
      </c>
      <c r="G19" s="1">
        <v>1</v>
      </c>
      <c r="H19" s="1">
        <v>0</v>
      </c>
      <c r="I19" s="1">
        <v>1</v>
      </c>
      <c r="J19" s="1">
        <v>0</v>
      </c>
      <c r="K19" s="1">
        <v>0</v>
      </c>
      <c r="L19" s="1">
        <v>0</v>
      </c>
      <c r="O19" s="6" t="s">
        <v>208</v>
      </c>
      <c r="P19" s="12">
        <v>1</v>
      </c>
      <c r="Q19" s="12">
        <v>1</v>
      </c>
      <c r="R19" s="12">
        <v>0.75</v>
      </c>
      <c r="S19" s="12">
        <v>1</v>
      </c>
      <c r="T19" s="35">
        <f t="shared" si="1"/>
        <v>0.6</v>
      </c>
      <c r="U19" s="12">
        <v>0</v>
      </c>
      <c r="V19" s="12">
        <v>0.75</v>
      </c>
      <c r="W19" s="12">
        <v>0</v>
      </c>
      <c r="X19" s="12">
        <v>0</v>
      </c>
      <c r="Y19" s="13">
        <f>0.75*0.6</f>
        <v>0.44999999999999996</v>
      </c>
      <c r="Z19" s="12">
        <v>0</v>
      </c>
      <c r="AA19" s="12">
        <v>0</v>
      </c>
      <c r="AC19" t="str">
        <f t="shared" si="2"/>
        <v>D</v>
      </c>
      <c r="AD19" t="str">
        <f t="shared" si="3"/>
        <v xml:space="preserve"> + F</v>
      </c>
      <c r="AE19" t="str">
        <f t="shared" si="4"/>
        <v xml:space="preserve"> + 0.75 L</v>
      </c>
      <c r="AF19" t="str">
        <f t="shared" si="5"/>
        <v xml:space="preserve"> + H</v>
      </c>
      <c r="AG19" t="str">
        <f t="shared" si="6"/>
        <v xml:space="preserve"> + 0.6 Hr</v>
      </c>
      <c r="AH19" t="str">
        <f t="shared" si="7"/>
        <v/>
      </c>
      <c r="AI19" t="str">
        <f t="shared" si="8"/>
        <v xml:space="preserve"> + 0.75 S</v>
      </c>
      <c r="AJ19" t="str">
        <f t="shared" si="9"/>
        <v/>
      </c>
      <c r="AK19" t="str">
        <f t="shared" si="10"/>
        <v/>
      </c>
      <c r="AL19" t="str">
        <f t="shared" si="11"/>
        <v xml:space="preserve"> + 0.45 W2</v>
      </c>
      <c r="AM19" t="str">
        <f t="shared" si="12"/>
        <v/>
      </c>
      <c r="AN19" t="str">
        <f t="shared" si="13"/>
        <v/>
      </c>
      <c r="AO19" t="str">
        <f t="shared" si="14"/>
        <v>D + F + 0.75 L + H + 0.6 Hr + 0.75 S + 0.45 W2</v>
      </c>
    </row>
    <row r="20" spans="1:41" x14ac:dyDescent="0.25">
      <c r="A20" s="1">
        <v>1</v>
      </c>
      <c r="B20" s="1">
        <v>1</v>
      </c>
      <c r="C20" s="1">
        <v>1</v>
      </c>
      <c r="D20" s="1">
        <v>1</v>
      </c>
      <c r="E20" s="1">
        <v>1</v>
      </c>
      <c r="F20" s="1">
        <v>0</v>
      </c>
      <c r="G20" s="1">
        <v>1</v>
      </c>
      <c r="H20" s="1">
        <v>0</v>
      </c>
      <c r="I20" s="1">
        <v>0</v>
      </c>
      <c r="J20" s="1">
        <v>1</v>
      </c>
      <c r="K20" s="1">
        <v>0</v>
      </c>
      <c r="L20" s="1">
        <v>0</v>
      </c>
      <c r="O20" s="6" t="s">
        <v>209</v>
      </c>
      <c r="P20" s="12">
        <v>1</v>
      </c>
      <c r="Q20" s="12">
        <v>1</v>
      </c>
      <c r="R20" s="12">
        <v>0.75</v>
      </c>
      <c r="S20" s="12">
        <v>1</v>
      </c>
      <c r="T20" s="35">
        <f t="shared" si="1"/>
        <v>0.6</v>
      </c>
      <c r="U20" s="12">
        <v>0</v>
      </c>
      <c r="V20" s="12">
        <v>0</v>
      </c>
      <c r="W20" s="12">
        <v>0.75</v>
      </c>
      <c r="X20" s="12">
        <v>0</v>
      </c>
      <c r="Y20" s="13">
        <f>0.75*0.6</f>
        <v>0.44999999999999996</v>
      </c>
      <c r="Z20" s="12">
        <v>0</v>
      </c>
      <c r="AA20" s="12">
        <v>0</v>
      </c>
      <c r="AC20" t="str">
        <f t="shared" si="2"/>
        <v>D</v>
      </c>
      <c r="AD20" t="str">
        <f t="shared" si="3"/>
        <v xml:space="preserve"> + F</v>
      </c>
      <c r="AE20" t="str">
        <f t="shared" si="4"/>
        <v xml:space="preserve"> + 0.75 L</v>
      </c>
      <c r="AF20" t="str">
        <f t="shared" si="5"/>
        <v xml:space="preserve"> + H</v>
      </c>
      <c r="AG20" t="str">
        <f t="shared" si="6"/>
        <v xml:space="preserve"> + 0.6 Hr</v>
      </c>
      <c r="AH20" t="str">
        <f t="shared" si="7"/>
        <v/>
      </c>
      <c r="AI20" t="str">
        <f t="shared" si="8"/>
        <v/>
      </c>
      <c r="AJ20" t="str">
        <f t="shared" si="9"/>
        <v xml:space="preserve"> + 0.75 R</v>
      </c>
      <c r="AK20" t="str">
        <f t="shared" si="10"/>
        <v/>
      </c>
      <c r="AL20" t="str">
        <f t="shared" si="11"/>
        <v xml:space="preserve"> + 0.45 W2</v>
      </c>
      <c r="AM20" t="str">
        <f t="shared" si="12"/>
        <v/>
      </c>
      <c r="AN20" t="str">
        <f t="shared" si="13"/>
        <v/>
      </c>
      <c r="AO20" t="str">
        <f t="shared" si="14"/>
        <v>D + F + 0.75 L + H + 0.6 Hr + 0.75 R + 0.45 W2</v>
      </c>
    </row>
    <row r="21" spans="1:41" x14ac:dyDescent="0.25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0</v>
      </c>
      <c r="G21" s="1">
        <v>1</v>
      </c>
      <c r="H21" s="1">
        <v>0</v>
      </c>
      <c r="I21" s="1">
        <v>0</v>
      </c>
      <c r="J21" s="1">
        <v>0</v>
      </c>
      <c r="K21" s="1">
        <v>0.7</v>
      </c>
      <c r="L21" s="1">
        <v>0</v>
      </c>
      <c r="O21" s="6" t="s">
        <v>210</v>
      </c>
      <c r="P21" s="12">
        <v>1</v>
      </c>
      <c r="Q21" s="12">
        <v>1</v>
      </c>
      <c r="R21" s="12">
        <v>0.75</v>
      </c>
      <c r="S21" s="12">
        <v>1</v>
      </c>
      <c r="T21" s="35">
        <f t="shared" si="1"/>
        <v>0.6</v>
      </c>
      <c r="U21" s="12">
        <v>0</v>
      </c>
      <c r="V21" s="12">
        <v>0.75</v>
      </c>
      <c r="W21" s="12">
        <v>0</v>
      </c>
      <c r="X21" s="12">
        <v>0</v>
      </c>
      <c r="Y21" s="12">
        <v>0</v>
      </c>
      <c r="Z21" s="13">
        <f>0.75*0.7</f>
        <v>0.52499999999999991</v>
      </c>
      <c r="AA21" s="12">
        <v>0</v>
      </c>
      <c r="AC21" t="str">
        <f t="shared" si="2"/>
        <v>D</v>
      </c>
      <c r="AD21" t="str">
        <f t="shared" si="3"/>
        <v xml:space="preserve"> + F</v>
      </c>
      <c r="AE21" t="str">
        <f t="shared" si="4"/>
        <v xml:space="preserve"> + 0.75 L</v>
      </c>
      <c r="AF21" t="str">
        <f t="shared" si="5"/>
        <v xml:space="preserve"> + H</v>
      </c>
      <c r="AG21" t="str">
        <f t="shared" si="6"/>
        <v xml:space="preserve"> + 0.6 Hr</v>
      </c>
      <c r="AH21" t="str">
        <f t="shared" si="7"/>
        <v/>
      </c>
      <c r="AI21" t="str">
        <f t="shared" si="8"/>
        <v xml:space="preserve"> + 0.75 S</v>
      </c>
      <c r="AJ21" t="str">
        <f t="shared" si="9"/>
        <v/>
      </c>
      <c r="AK21" t="str">
        <f t="shared" si="10"/>
        <v/>
      </c>
      <c r="AL21" t="str">
        <f t="shared" si="11"/>
        <v/>
      </c>
      <c r="AM21" t="str">
        <f t="shared" si="12"/>
        <v xml:space="preserve"> + 0.525 E1</v>
      </c>
      <c r="AN21" t="str">
        <f t="shared" si="13"/>
        <v/>
      </c>
      <c r="AO21" t="str">
        <f t="shared" si="14"/>
        <v>D + F + 0.75 L + H + 0.6 Hr + 0.75 S + 0.525 E1</v>
      </c>
    </row>
    <row r="22" spans="1:41" x14ac:dyDescent="0.25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0</v>
      </c>
      <c r="G22" s="1">
        <v>1</v>
      </c>
      <c r="H22" s="1">
        <v>0</v>
      </c>
      <c r="I22" s="1">
        <v>0</v>
      </c>
      <c r="J22" s="1">
        <v>0</v>
      </c>
      <c r="K22" s="1">
        <v>0</v>
      </c>
      <c r="L22" s="1">
        <v>0.7</v>
      </c>
      <c r="O22" s="6" t="s">
        <v>211</v>
      </c>
      <c r="P22" s="12">
        <v>1</v>
      </c>
      <c r="Q22" s="12">
        <v>1</v>
      </c>
      <c r="R22" s="12">
        <v>0.75</v>
      </c>
      <c r="S22" s="12">
        <v>1</v>
      </c>
      <c r="T22" s="35">
        <f t="shared" si="1"/>
        <v>0.6</v>
      </c>
      <c r="U22" s="12">
        <v>0</v>
      </c>
      <c r="V22" s="12">
        <v>0.75</v>
      </c>
      <c r="W22" s="12">
        <v>0</v>
      </c>
      <c r="X22" s="12">
        <v>0</v>
      </c>
      <c r="Y22" s="12">
        <v>0</v>
      </c>
      <c r="Z22" s="12">
        <v>0</v>
      </c>
      <c r="AA22" s="13">
        <f>0.75*0.7</f>
        <v>0.52499999999999991</v>
      </c>
      <c r="AC22" t="str">
        <f t="shared" si="2"/>
        <v>D</v>
      </c>
      <c r="AD22" t="str">
        <f t="shared" si="3"/>
        <v xml:space="preserve"> + F</v>
      </c>
      <c r="AE22" t="str">
        <f t="shared" si="4"/>
        <v xml:space="preserve"> + 0.75 L</v>
      </c>
      <c r="AF22" t="str">
        <f t="shared" si="5"/>
        <v xml:space="preserve"> + H</v>
      </c>
      <c r="AG22" t="str">
        <f t="shared" si="6"/>
        <v xml:space="preserve"> + 0.6 Hr</v>
      </c>
      <c r="AH22" t="str">
        <f t="shared" si="7"/>
        <v/>
      </c>
      <c r="AI22" t="str">
        <f t="shared" si="8"/>
        <v xml:space="preserve"> + 0.75 S</v>
      </c>
      <c r="AJ22" t="str">
        <f t="shared" si="9"/>
        <v/>
      </c>
      <c r="AK22" t="str">
        <f t="shared" si="10"/>
        <v/>
      </c>
      <c r="AL22" t="str">
        <f t="shared" si="11"/>
        <v/>
      </c>
      <c r="AM22" t="str">
        <f t="shared" si="12"/>
        <v/>
      </c>
      <c r="AN22" t="str">
        <f t="shared" si="13"/>
        <v xml:space="preserve"> + 0.525 E2</v>
      </c>
      <c r="AO22" t="str">
        <f t="shared" si="14"/>
        <v>D + F + 0.75 L + H + 0.6 Hr + 0.75 S + 0.525 E2</v>
      </c>
    </row>
    <row r="23" spans="1:41" x14ac:dyDescent="0.25">
      <c r="A23" s="10">
        <v>1</v>
      </c>
      <c r="B23" s="10">
        <v>1</v>
      </c>
      <c r="C23" s="10">
        <v>1</v>
      </c>
      <c r="D23" s="10">
        <v>1</v>
      </c>
      <c r="E23" s="10">
        <v>1</v>
      </c>
      <c r="F23" s="10">
        <v>0</v>
      </c>
      <c r="G23" s="10">
        <v>0</v>
      </c>
      <c r="H23" s="10">
        <v>1</v>
      </c>
      <c r="I23" s="10">
        <v>0</v>
      </c>
      <c r="J23" s="10">
        <v>0</v>
      </c>
      <c r="K23" s="10">
        <v>0</v>
      </c>
      <c r="L23" s="10">
        <v>0</v>
      </c>
      <c r="O23" s="6" t="s">
        <v>212</v>
      </c>
      <c r="P23" s="12">
        <v>0.6</v>
      </c>
      <c r="Q23" s="12">
        <v>0</v>
      </c>
      <c r="R23" s="12">
        <v>0</v>
      </c>
      <c r="S23" s="12">
        <v>0.6</v>
      </c>
      <c r="T23" s="35">
        <f t="shared" si="1"/>
        <v>0.36</v>
      </c>
      <c r="U23" s="12">
        <v>0</v>
      </c>
      <c r="V23" s="12">
        <v>0</v>
      </c>
      <c r="W23" s="12">
        <v>0</v>
      </c>
      <c r="X23" s="12">
        <v>0.6</v>
      </c>
      <c r="Y23" s="12">
        <v>0</v>
      </c>
      <c r="Z23" s="12">
        <v>0</v>
      </c>
      <c r="AA23" s="12">
        <v>0</v>
      </c>
      <c r="AC23" t="str">
        <f t="shared" si="2"/>
        <v>0.6 D</v>
      </c>
      <c r="AD23" t="str">
        <f t="shared" si="3"/>
        <v/>
      </c>
      <c r="AE23" t="str">
        <f t="shared" si="4"/>
        <v/>
      </c>
      <c r="AF23" t="str">
        <f t="shared" si="5"/>
        <v xml:space="preserve"> + 0.6 H</v>
      </c>
      <c r="AG23" t="str">
        <f t="shared" si="6"/>
        <v xml:space="preserve"> + 0.36 Hr</v>
      </c>
      <c r="AH23" t="str">
        <f t="shared" si="7"/>
        <v/>
      </c>
      <c r="AI23" t="str">
        <f t="shared" si="8"/>
        <v/>
      </c>
      <c r="AJ23" t="str">
        <f t="shared" si="9"/>
        <v/>
      </c>
      <c r="AK23" t="str">
        <f t="shared" si="10"/>
        <v xml:space="preserve"> + 0.6 W1</v>
      </c>
      <c r="AL23" t="str">
        <f t="shared" si="11"/>
        <v/>
      </c>
      <c r="AM23" t="str">
        <f t="shared" si="12"/>
        <v/>
      </c>
      <c r="AN23" t="str">
        <f t="shared" si="13"/>
        <v/>
      </c>
      <c r="AO23" t="str">
        <f t="shared" si="14"/>
        <v>0.6 D + 0.6 H + 0.36 Hr + 0.6 W1</v>
      </c>
    </row>
    <row r="24" spans="1:41" x14ac:dyDescent="0.25">
      <c r="A24" s="10">
        <v>1</v>
      </c>
      <c r="B24" s="10">
        <v>1</v>
      </c>
      <c r="C24" s="10">
        <v>1</v>
      </c>
      <c r="D24" s="10">
        <v>1</v>
      </c>
      <c r="E24" s="10">
        <v>1</v>
      </c>
      <c r="F24" s="10">
        <v>0</v>
      </c>
      <c r="G24" s="10">
        <v>0</v>
      </c>
      <c r="H24" s="10">
        <v>1</v>
      </c>
      <c r="I24" s="10">
        <v>1</v>
      </c>
      <c r="J24" s="10">
        <v>0</v>
      </c>
      <c r="K24" s="10">
        <v>0</v>
      </c>
      <c r="L24" s="10">
        <v>0</v>
      </c>
      <c r="O24" s="6" t="s">
        <v>213</v>
      </c>
      <c r="P24" s="12">
        <v>0.6</v>
      </c>
      <c r="Q24" s="12">
        <v>0</v>
      </c>
      <c r="R24" s="12">
        <v>0</v>
      </c>
      <c r="S24" s="12">
        <v>0.6</v>
      </c>
      <c r="T24" s="35">
        <f t="shared" si="1"/>
        <v>0.36</v>
      </c>
      <c r="U24" s="12">
        <v>0</v>
      </c>
      <c r="V24" s="12">
        <v>0</v>
      </c>
      <c r="W24" s="12">
        <v>0</v>
      </c>
      <c r="X24" s="12">
        <v>0</v>
      </c>
      <c r="Y24" s="12">
        <v>0.6</v>
      </c>
      <c r="Z24" s="12">
        <v>0</v>
      </c>
      <c r="AA24" s="12">
        <v>0</v>
      </c>
      <c r="AC24" t="str">
        <f t="shared" si="2"/>
        <v>0.6 D</v>
      </c>
      <c r="AD24" t="str">
        <f t="shared" si="3"/>
        <v/>
      </c>
      <c r="AE24" t="str">
        <f t="shared" si="4"/>
        <v/>
      </c>
      <c r="AF24" t="str">
        <f t="shared" si="5"/>
        <v xml:space="preserve"> + 0.6 H</v>
      </c>
      <c r="AG24" t="str">
        <f t="shared" si="6"/>
        <v xml:space="preserve"> + 0.36 Hr</v>
      </c>
      <c r="AH24" t="str">
        <f t="shared" si="7"/>
        <v/>
      </c>
      <c r="AI24" t="str">
        <f t="shared" si="8"/>
        <v/>
      </c>
      <c r="AJ24" t="str">
        <f t="shared" si="9"/>
        <v/>
      </c>
      <c r="AK24" t="str">
        <f t="shared" si="10"/>
        <v/>
      </c>
      <c r="AL24" t="str">
        <f t="shared" si="11"/>
        <v xml:space="preserve"> + 0.6 W2</v>
      </c>
      <c r="AM24" t="str">
        <f t="shared" si="12"/>
        <v/>
      </c>
      <c r="AN24" t="str">
        <f t="shared" si="13"/>
        <v/>
      </c>
      <c r="AO24" t="str">
        <f t="shared" si="14"/>
        <v>0.6 D + 0.6 H + 0.36 Hr + 0.6 W2</v>
      </c>
    </row>
    <row r="25" spans="1:41" x14ac:dyDescent="0.25">
      <c r="A25" s="10">
        <v>1</v>
      </c>
      <c r="B25" s="10">
        <v>1</v>
      </c>
      <c r="C25" s="10">
        <v>1</v>
      </c>
      <c r="D25" s="10">
        <v>1</v>
      </c>
      <c r="E25" s="10">
        <v>1</v>
      </c>
      <c r="F25" s="10">
        <v>0</v>
      </c>
      <c r="G25" s="10">
        <v>0</v>
      </c>
      <c r="H25" s="10">
        <v>1</v>
      </c>
      <c r="I25" s="10">
        <v>0</v>
      </c>
      <c r="J25" s="10">
        <v>1</v>
      </c>
      <c r="K25" s="10">
        <v>0</v>
      </c>
      <c r="L25" s="10">
        <v>0</v>
      </c>
      <c r="O25" s="6" t="s">
        <v>214</v>
      </c>
      <c r="P25" s="12">
        <v>0.6</v>
      </c>
      <c r="Q25" s="12">
        <v>0.6</v>
      </c>
      <c r="R25" s="12">
        <v>0</v>
      </c>
      <c r="S25" s="12">
        <v>0.6</v>
      </c>
      <c r="T25" s="35">
        <f t="shared" si="1"/>
        <v>0.36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0.7</v>
      </c>
      <c r="AA25" s="12">
        <v>0</v>
      </c>
      <c r="AC25" t="str">
        <f t="shared" si="2"/>
        <v>0.6 D</v>
      </c>
      <c r="AD25" t="str">
        <f t="shared" si="3"/>
        <v xml:space="preserve"> + 0.6 F</v>
      </c>
      <c r="AE25" t="str">
        <f t="shared" si="4"/>
        <v/>
      </c>
      <c r="AF25" t="str">
        <f t="shared" si="5"/>
        <v xml:space="preserve"> + 0.6 H</v>
      </c>
      <c r="AG25" t="str">
        <f t="shared" si="6"/>
        <v xml:space="preserve"> + 0.36 Hr</v>
      </c>
      <c r="AH25" t="str">
        <f t="shared" si="7"/>
        <v/>
      </c>
      <c r="AI25" t="str">
        <f t="shared" si="8"/>
        <v/>
      </c>
      <c r="AJ25" t="str">
        <f t="shared" si="9"/>
        <v/>
      </c>
      <c r="AK25" t="str">
        <f t="shared" si="10"/>
        <v/>
      </c>
      <c r="AL25" t="str">
        <f t="shared" si="11"/>
        <v/>
      </c>
      <c r="AM25" t="str">
        <f t="shared" si="12"/>
        <v xml:space="preserve"> + 0.7 E1</v>
      </c>
      <c r="AN25" t="str">
        <f t="shared" si="13"/>
        <v/>
      </c>
      <c r="AO25" t="str">
        <f t="shared" si="14"/>
        <v>0.6 D + 0.6 F + 0.6 H + 0.36 Hr + 0.7 E1</v>
      </c>
    </row>
    <row r="26" spans="1:41" x14ac:dyDescent="0.25">
      <c r="A26" s="10">
        <v>1</v>
      </c>
      <c r="B26" s="10">
        <v>1</v>
      </c>
      <c r="C26" s="10">
        <v>1</v>
      </c>
      <c r="D26" s="10">
        <v>1</v>
      </c>
      <c r="E26" s="10">
        <v>1</v>
      </c>
      <c r="F26" s="10">
        <v>0</v>
      </c>
      <c r="G26" s="10">
        <v>0</v>
      </c>
      <c r="H26" s="10">
        <v>1</v>
      </c>
      <c r="I26" s="10">
        <v>0</v>
      </c>
      <c r="J26" s="10">
        <v>0</v>
      </c>
      <c r="K26" s="10">
        <v>0.7</v>
      </c>
      <c r="L26" s="10">
        <v>0</v>
      </c>
      <c r="O26" s="6" t="s">
        <v>215</v>
      </c>
      <c r="P26" s="12">
        <v>0.6</v>
      </c>
      <c r="Q26" s="12">
        <v>0.6</v>
      </c>
      <c r="R26" s="12">
        <v>0</v>
      </c>
      <c r="S26" s="12">
        <v>0.6</v>
      </c>
      <c r="T26" s="35">
        <f t="shared" si="1"/>
        <v>0.36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0.7</v>
      </c>
      <c r="AC26" t="str">
        <f t="shared" si="2"/>
        <v>0.6 D</v>
      </c>
      <c r="AD26" t="str">
        <f t="shared" si="3"/>
        <v xml:space="preserve"> + 0.6 F</v>
      </c>
      <c r="AE26" t="str">
        <f t="shared" si="4"/>
        <v/>
      </c>
      <c r="AF26" t="str">
        <f t="shared" si="5"/>
        <v xml:space="preserve"> + 0.6 H</v>
      </c>
      <c r="AG26" t="str">
        <f t="shared" si="6"/>
        <v xml:space="preserve"> + 0.36 Hr</v>
      </c>
      <c r="AH26" t="str">
        <f t="shared" si="7"/>
        <v/>
      </c>
      <c r="AI26" t="str">
        <f t="shared" si="8"/>
        <v/>
      </c>
      <c r="AJ26" t="str">
        <f t="shared" si="9"/>
        <v/>
      </c>
      <c r="AK26" t="str">
        <f t="shared" si="10"/>
        <v/>
      </c>
      <c r="AL26" t="str">
        <f t="shared" si="11"/>
        <v/>
      </c>
      <c r="AM26" t="str">
        <f t="shared" si="12"/>
        <v/>
      </c>
      <c r="AN26" t="str">
        <f t="shared" si="13"/>
        <v xml:space="preserve"> + 0.7 E2</v>
      </c>
      <c r="AO26" t="str">
        <f t="shared" si="14"/>
        <v>0.6 D + 0.6 F + 0.6 H + 0.36 Hr + 0.7 E2</v>
      </c>
    </row>
    <row r="27" spans="1:41" x14ac:dyDescent="0.25">
      <c r="A27" s="10">
        <v>1</v>
      </c>
      <c r="B27" s="10">
        <v>1</v>
      </c>
      <c r="C27" s="10">
        <v>1</v>
      </c>
      <c r="D27" s="10">
        <v>1</v>
      </c>
      <c r="E27" s="10">
        <v>1</v>
      </c>
      <c r="F27" s="10">
        <v>0</v>
      </c>
      <c r="G27" s="10">
        <v>0</v>
      </c>
      <c r="H27" s="10">
        <v>1</v>
      </c>
      <c r="I27" s="10">
        <v>0</v>
      </c>
      <c r="J27" s="10">
        <v>0</v>
      </c>
      <c r="K27" s="10">
        <v>0</v>
      </c>
      <c r="L27" s="10">
        <v>0.7</v>
      </c>
    </row>
    <row r="28" spans="1:41" x14ac:dyDescent="0.25">
      <c r="A28" s="1">
        <v>1</v>
      </c>
      <c r="B28" s="1">
        <v>1</v>
      </c>
      <c r="C28" s="1">
        <v>0</v>
      </c>
      <c r="D28" s="1">
        <v>1</v>
      </c>
      <c r="E28" s="1">
        <v>1</v>
      </c>
      <c r="F28" s="1">
        <v>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O28" s="15" t="s">
        <v>127</v>
      </c>
      <c r="P28" s="3"/>
      <c r="Q28" s="3"/>
      <c r="R28" s="3"/>
      <c r="S28" s="3"/>
      <c r="T28" s="3"/>
      <c r="U28" s="3"/>
      <c r="V28" s="3"/>
    </row>
    <row r="29" spans="1:41" x14ac:dyDescent="0.25">
      <c r="A29" s="1">
        <v>1</v>
      </c>
      <c r="B29" s="1">
        <v>1</v>
      </c>
      <c r="C29" s="1">
        <v>0</v>
      </c>
      <c r="D29" s="1">
        <v>1</v>
      </c>
      <c r="E29" s="1">
        <v>1</v>
      </c>
      <c r="F29" s="1">
        <v>1</v>
      </c>
      <c r="G29" s="1">
        <v>0</v>
      </c>
      <c r="H29" s="1">
        <v>0</v>
      </c>
      <c r="I29" s="1">
        <v>1</v>
      </c>
      <c r="J29" s="1">
        <v>0</v>
      </c>
      <c r="K29" s="1">
        <v>0</v>
      </c>
      <c r="L29" s="1">
        <v>0</v>
      </c>
      <c r="O29" s="5" t="s">
        <v>116</v>
      </c>
      <c r="P29" s="5" t="s">
        <v>117</v>
      </c>
      <c r="Q29" s="5" t="s">
        <v>39</v>
      </c>
      <c r="R29" s="5" t="s">
        <v>118</v>
      </c>
      <c r="S29" s="5" t="s">
        <v>40</v>
      </c>
      <c r="T29" s="5" t="s">
        <v>92</v>
      </c>
      <c r="U29" s="5" t="s">
        <v>41</v>
      </c>
      <c r="V29" s="5" t="s">
        <v>42</v>
      </c>
      <c r="W29" s="5" t="s">
        <v>43</v>
      </c>
      <c r="X29" s="5" t="s">
        <v>44</v>
      </c>
      <c r="Y29" s="5" t="s">
        <v>45</v>
      </c>
      <c r="Z29" s="5" t="s">
        <v>46</v>
      </c>
      <c r="AA29" s="5" t="s">
        <v>47</v>
      </c>
    </row>
    <row r="30" spans="1:41" x14ac:dyDescent="0.25">
      <c r="A30" s="1">
        <v>1</v>
      </c>
      <c r="B30" s="1">
        <v>1</v>
      </c>
      <c r="C30" s="1">
        <v>0</v>
      </c>
      <c r="D30" s="1">
        <v>1</v>
      </c>
      <c r="E30" s="1">
        <v>1</v>
      </c>
      <c r="F30" s="1">
        <v>1</v>
      </c>
      <c r="G30" s="1">
        <v>0</v>
      </c>
      <c r="H30" s="1">
        <v>0</v>
      </c>
      <c r="I30" s="1">
        <v>0</v>
      </c>
      <c r="J30" s="1">
        <v>1</v>
      </c>
      <c r="K30" s="1">
        <v>0</v>
      </c>
      <c r="L30" s="1">
        <v>0</v>
      </c>
      <c r="O30" s="6" t="s">
        <v>128</v>
      </c>
      <c r="P30" s="12">
        <v>1.4</v>
      </c>
      <c r="Q30" s="12">
        <v>1.4</v>
      </c>
      <c r="R30" s="12">
        <v>0</v>
      </c>
      <c r="S30" s="12">
        <v>0</v>
      </c>
      <c r="T30" s="35">
        <f>S30*0.9</f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C30" t="str">
        <f>IF(P30&lt;&gt;0,IF(P30=1,P$29,P30&amp;" "&amp;P$29),"")</f>
        <v>1.4 D</v>
      </c>
      <c r="AD30" t="str">
        <f>IF(Q30&lt;&gt;0,IF(Q30=1," + "&amp;Q$29," + "&amp;Q30&amp;" "&amp;Q$29),"")</f>
        <v xml:space="preserve"> + 1.4 F</v>
      </c>
      <c r="AE30" t="str">
        <f t="shared" ref="AE30:AN30" si="15">IF(R30&lt;&gt;0,IF(R30=1," + "&amp;R$29," + "&amp;R30&amp;" "&amp;R$29),"")</f>
        <v/>
      </c>
      <c r="AF30" t="str">
        <f t="shared" si="15"/>
        <v/>
      </c>
      <c r="AG30" t="str">
        <f t="shared" si="15"/>
        <v/>
      </c>
      <c r="AH30" t="str">
        <f t="shared" si="15"/>
        <v/>
      </c>
      <c r="AI30" t="str">
        <f t="shared" si="15"/>
        <v/>
      </c>
      <c r="AJ30" t="str">
        <f t="shared" si="15"/>
        <v/>
      </c>
      <c r="AK30" t="str">
        <f t="shared" si="15"/>
        <v/>
      </c>
      <c r="AL30" t="str">
        <f t="shared" si="15"/>
        <v/>
      </c>
      <c r="AM30" t="str">
        <f t="shared" si="15"/>
        <v/>
      </c>
      <c r="AN30" t="str">
        <f t="shared" si="15"/>
        <v/>
      </c>
      <c r="AO30" t="str">
        <f>_xlfn.CONCAT(AC30:AN30)</f>
        <v>1.4 D + 1.4 F</v>
      </c>
    </row>
    <row r="31" spans="1:41" x14ac:dyDescent="0.25">
      <c r="A31" s="1">
        <v>1</v>
      </c>
      <c r="B31" s="1">
        <v>1</v>
      </c>
      <c r="C31" s="1">
        <v>0</v>
      </c>
      <c r="D31" s="1">
        <v>1</v>
      </c>
      <c r="E31" s="1">
        <v>1</v>
      </c>
      <c r="F31" s="1">
        <v>1</v>
      </c>
      <c r="G31" s="1">
        <v>0</v>
      </c>
      <c r="H31" s="1">
        <v>0</v>
      </c>
      <c r="I31" s="1">
        <v>0</v>
      </c>
      <c r="J31" s="1">
        <v>0</v>
      </c>
      <c r="K31" s="1">
        <v>0.7</v>
      </c>
      <c r="L31" s="1">
        <v>0</v>
      </c>
      <c r="O31" s="6" t="s">
        <v>129</v>
      </c>
      <c r="P31" s="12">
        <v>1.2</v>
      </c>
      <c r="Q31" s="12">
        <v>1.2</v>
      </c>
      <c r="R31" s="12">
        <v>1.6</v>
      </c>
      <c r="S31" s="12">
        <v>1.6</v>
      </c>
      <c r="T31" s="35">
        <f t="shared" ref="T31:T54" si="16">S31*0.9</f>
        <v>1.4400000000000002</v>
      </c>
      <c r="U31" s="12">
        <v>0.5</v>
      </c>
      <c r="V31" s="12">
        <v>0</v>
      </c>
      <c r="W31" s="12">
        <v>0</v>
      </c>
      <c r="X31" s="12">
        <v>0</v>
      </c>
      <c r="Y31" s="12">
        <v>0</v>
      </c>
      <c r="Z31" s="12">
        <v>0</v>
      </c>
      <c r="AA31" s="12">
        <v>0</v>
      </c>
      <c r="AC31" t="str">
        <f t="shared" ref="AC31:AC54" si="17">IF(P31&lt;&gt;0,IF(P31=1,P$29,P31&amp;" "&amp;P$29),"")</f>
        <v>1.2 D</v>
      </c>
      <c r="AD31" t="str">
        <f t="shared" ref="AD31:AD54" si="18">IF(Q31&lt;&gt;0,IF(Q31=1," + "&amp;Q$29," + "&amp;Q31&amp;" "&amp;Q$29),"")</f>
        <v xml:space="preserve"> + 1.2 F</v>
      </c>
      <c r="AE31" t="str">
        <f t="shared" ref="AE31:AE54" si="19">IF(R31&lt;&gt;0,IF(R31=1," + "&amp;R$29," + "&amp;R31&amp;" "&amp;R$29),"")</f>
        <v xml:space="preserve"> + 1.6 L</v>
      </c>
      <c r="AF31" t="str">
        <f t="shared" ref="AF31:AF54" si="20">IF(S31&lt;&gt;0,IF(S31=1," + "&amp;S$29," + "&amp;S31&amp;" "&amp;S$29),"")</f>
        <v xml:space="preserve"> + 1.6 H</v>
      </c>
      <c r="AG31" t="str">
        <f t="shared" ref="AG31:AG54" si="21">IF(T31&lt;&gt;0,IF(T31=1," + "&amp;T$29," + "&amp;T31&amp;" "&amp;T$29),"")</f>
        <v xml:space="preserve"> + 1.44 Hr</v>
      </c>
      <c r="AH31" t="str">
        <f t="shared" ref="AH31:AH54" si="22">IF(U31&lt;&gt;0,IF(U31=1," + "&amp;U$29," + "&amp;U31&amp;" "&amp;U$29),"")</f>
        <v xml:space="preserve"> + 0.5 LLr</v>
      </c>
      <c r="AI31" t="str">
        <f t="shared" ref="AI31:AI54" si="23">IF(V31&lt;&gt;0,IF(V31=1," + "&amp;V$29," + "&amp;V31&amp;" "&amp;V$29),"")</f>
        <v/>
      </c>
      <c r="AJ31" t="str">
        <f t="shared" ref="AJ31:AJ54" si="24">IF(W31&lt;&gt;0,IF(W31=1," + "&amp;W$29," + "&amp;W31&amp;" "&amp;W$29),"")</f>
        <v/>
      </c>
      <c r="AK31" t="str">
        <f t="shared" ref="AK31:AK54" si="25">IF(X31&lt;&gt;0,IF(X31=1," + "&amp;X$29," + "&amp;X31&amp;" "&amp;X$29),"")</f>
        <v/>
      </c>
      <c r="AL31" t="str">
        <f t="shared" ref="AL31:AL54" si="26">IF(Y31&lt;&gt;0,IF(Y31=1," + "&amp;Y$29," + "&amp;Y31&amp;" "&amp;Y$29),"")</f>
        <v/>
      </c>
      <c r="AM31" t="str">
        <f t="shared" ref="AM31:AM54" si="27">IF(Z31&lt;&gt;0,IF(Z31=1," + "&amp;Z$29," + "&amp;Z31&amp;" "&amp;Z$29),"")</f>
        <v/>
      </c>
      <c r="AN31" t="str">
        <f t="shared" ref="AN31:AN54" si="28">IF(AA31&lt;&gt;0,IF(AA31=1," + "&amp;AA$29," + "&amp;AA31&amp;" "&amp;AA$29),"")</f>
        <v/>
      </c>
      <c r="AO31" t="str">
        <f t="shared" ref="AO31:AO54" si="29">_xlfn.CONCAT(AC31:AN31)</f>
        <v>1.2 D + 1.2 F + 1.6 L + 1.6 H + 1.44 Hr + 0.5 LLr</v>
      </c>
    </row>
    <row r="32" spans="1:41" x14ac:dyDescent="0.25">
      <c r="A32" s="1">
        <v>1</v>
      </c>
      <c r="B32" s="1">
        <v>1</v>
      </c>
      <c r="C32" s="1">
        <v>0</v>
      </c>
      <c r="D32" s="1">
        <v>1</v>
      </c>
      <c r="E32" s="1">
        <v>1</v>
      </c>
      <c r="F32" s="1">
        <v>1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0.7</v>
      </c>
      <c r="O32" s="6" t="s">
        <v>130</v>
      </c>
      <c r="P32" s="12">
        <v>1.2</v>
      </c>
      <c r="Q32" s="12">
        <v>1.2</v>
      </c>
      <c r="R32" s="12">
        <v>1.6</v>
      </c>
      <c r="S32" s="12">
        <v>1.6</v>
      </c>
      <c r="T32" s="35">
        <f t="shared" si="16"/>
        <v>1.4400000000000002</v>
      </c>
      <c r="U32" s="12">
        <v>0</v>
      </c>
      <c r="V32" s="12">
        <v>0.5</v>
      </c>
      <c r="W32" s="12">
        <v>0</v>
      </c>
      <c r="X32" s="12">
        <v>0</v>
      </c>
      <c r="Y32" s="12">
        <v>0</v>
      </c>
      <c r="Z32" s="12">
        <v>0</v>
      </c>
      <c r="AA32" s="12">
        <v>0</v>
      </c>
      <c r="AC32" t="str">
        <f t="shared" si="17"/>
        <v>1.2 D</v>
      </c>
      <c r="AD32" t="str">
        <f t="shared" si="18"/>
        <v xml:space="preserve"> + 1.2 F</v>
      </c>
      <c r="AE32" t="str">
        <f t="shared" si="19"/>
        <v xml:space="preserve"> + 1.6 L</v>
      </c>
      <c r="AF32" t="str">
        <f t="shared" si="20"/>
        <v xml:space="preserve"> + 1.6 H</v>
      </c>
      <c r="AG32" t="str">
        <f t="shared" si="21"/>
        <v xml:space="preserve"> + 1.44 Hr</v>
      </c>
      <c r="AH32" t="str">
        <f t="shared" si="22"/>
        <v/>
      </c>
      <c r="AI32" t="str">
        <f t="shared" si="23"/>
        <v xml:space="preserve"> + 0.5 S</v>
      </c>
      <c r="AJ32" t="str">
        <f t="shared" si="24"/>
        <v/>
      </c>
      <c r="AK32" t="str">
        <f t="shared" si="25"/>
        <v/>
      </c>
      <c r="AL32" t="str">
        <f t="shared" si="26"/>
        <v/>
      </c>
      <c r="AM32" t="str">
        <f t="shared" si="27"/>
        <v/>
      </c>
      <c r="AN32" t="str">
        <f t="shared" si="28"/>
        <v/>
      </c>
      <c r="AO32" t="str">
        <f t="shared" si="29"/>
        <v>1.2 D + 1.2 F + 1.6 L + 1.6 H + 1.44 Hr + 0.5 S</v>
      </c>
    </row>
    <row r="33" spans="1:41" x14ac:dyDescent="0.25">
      <c r="A33" s="10">
        <v>1</v>
      </c>
      <c r="B33" s="10">
        <v>1</v>
      </c>
      <c r="C33" s="10">
        <v>0</v>
      </c>
      <c r="D33" s="10">
        <v>1</v>
      </c>
      <c r="E33" s="10">
        <v>1</v>
      </c>
      <c r="F33" s="10">
        <v>1</v>
      </c>
      <c r="G33" s="10">
        <v>1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O33" s="6" t="s">
        <v>131</v>
      </c>
      <c r="P33" s="12">
        <v>1.2</v>
      </c>
      <c r="Q33" s="12">
        <v>1.2</v>
      </c>
      <c r="R33" s="12">
        <v>1.6</v>
      </c>
      <c r="S33" s="12">
        <v>1.6</v>
      </c>
      <c r="T33" s="35">
        <f t="shared" si="16"/>
        <v>1.4400000000000002</v>
      </c>
      <c r="U33" s="12">
        <v>0</v>
      </c>
      <c r="V33" s="12">
        <v>0</v>
      </c>
      <c r="W33" s="12">
        <v>0.5</v>
      </c>
      <c r="X33" s="12">
        <v>0</v>
      </c>
      <c r="Y33" s="12">
        <v>0</v>
      </c>
      <c r="Z33" s="12">
        <v>0</v>
      </c>
      <c r="AA33" s="12">
        <v>0</v>
      </c>
      <c r="AC33" t="str">
        <f t="shared" si="17"/>
        <v>1.2 D</v>
      </c>
      <c r="AD33" t="str">
        <f t="shared" si="18"/>
        <v xml:space="preserve"> + 1.2 F</v>
      </c>
      <c r="AE33" t="str">
        <f t="shared" si="19"/>
        <v xml:space="preserve"> + 1.6 L</v>
      </c>
      <c r="AF33" t="str">
        <f t="shared" si="20"/>
        <v xml:space="preserve"> + 1.6 H</v>
      </c>
      <c r="AG33" t="str">
        <f t="shared" si="21"/>
        <v xml:space="preserve"> + 1.44 Hr</v>
      </c>
      <c r="AH33" t="str">
        <f t="shared" si="22"/>
        <v/>
      </c>
      <c r="AI33" t="str">
        <f t="shared" si="23"/>
        <v/>
      </c>
      <c r="AJ33" t="str">
        <f t="shared" si="24"/>
        <v xml:space="preserve"> + 0.5 R</v>
      </c>
      <c r="AK33" t="str">
        <f t="shared" si="25"/>
        <v/>
      </c>
      <c r="AL33" t="str">
        <f t="shared" si="26"/>
        <v/>
      </c>
      <c r="AM33" t="str">
        <f t="shared" si="27"/>
        <v/>
      </c>
      <c r="AN33" t="str">
        <f t="shared" si="28"/>
        <v/>
      </c>
      <c r="AO33" t="str">
        <f t="shared" si="29"/>
        <v>1.2 D + 1.2 F + 1.6 L + 1.6 H + 1.44 Hr + 0.5 R</v>
      </c>
    </row>
    <row r="34" spans="1:41" x14ac:dyDescent="0.25">
      <c r="A34" s="10">
        <v>1</v>
      </c>
      <c r="B34" s="10">
        <v>1</v>
      </c>
      <c r="C34" s="10">
        <v>0</v>
      </c>
      <c r="D34" s="10">
        <v>1</v>
      </c>
      <c r="E34" s="10">
        <v>1</v>
      </c>
      <c r="F34" s="10">
        <v>1</v>
      </c>
      <c r="G34" s="10">
        <v>1</v>
      </c>
      <c r="H34" s="10">
        <v>0</v>
      </c>
      <c r="I34" s="10">
        <v>1</v>
      </c>
      <c r="J34" s="10">
        <v>0</v>
      </c>
      <c r="K34" s="10">
        <v>0</v>
      </c>
      <c r="L34" s="10">
        <v>0</v>
      </c>
      <c r="O34" s="6" t="s">
        <v>132</v>
      </c>
      <c r="P34" s="12">
        <v>1.2</v>
      </c>
      <c r="Q34" s="12">
        <v>1.2</v>
      </c>
      <c r="R34" s="13">
        <f>LRFD_f1</f>
        <v>0.5</v>
      </c>
      <c r="S34" s="12">
        <v>1.6</v>
      </c>
      <c r="T34" s="35">
        <f t="shared" si="16"/>
        <v>1.4400000000000002</v>
      </c>
      <c r="U34" s="12">
        <v>1.6</v>
      </c>
      <c r="V34" s="12">
        <v>0</v>
      </c>
      <c r="W34" s="12">
        <v>0</v>
      </c>
      <c r="X34" s="12">
        <v>0</v>
      </c>
      <c r="Y34" s="12">
        <v>0</v>
      </c>
      <c r="Z34" s="12">
        <v>0</v>
      </c>
      <c r="AA34" s="12">
        <v>0</v>
      </c>
      <c r="AC34" t="str">
        <f t="shared" si="17"/>
        <v>1.2 D</v>
      </c>
      <c r="AD34" t="str">
        <f t="shared" si="18"/>
        <v xml:space="preserve"> + 1.2 F</v>
      </c>
      <c r="AE34" t="str">
        <f t="shared" si="19"/>
        <v xml:space="preserve"> + 0.5 L</v>
      </c>
      <c r="AF34" t="str">
        <f t="shared" si="20"/>
        <v xml:space="preserve"> + 1.6 H</v>
      </c>
      <c r="AG34" t="str">
        <f t="shared" si="21"/>
        <v xml:space="preserve"> + 1.44 Hr</v>
      </c>
      <c r="AH34" t="str">
        <f t="shared" si="22"/>
        <v xml:space="preserve"> + 1.6 LLr</v>
      </c>
      <c r="AI34" t="str">
        <f t="shared" si="23"/>
        <v/>
      </c>
      <c r="AJ34" t="str">
        <f t="shared" si="24"/>
        <v/>
      </c>
      <c r="AK34" t="str">
        <f t="shared" si="25"/>
        <v/>
      </c>
      <c r="AL34" t="str">
        <f t="shared" si="26"/>
        <v/>
      </c>
      <c r="AM34" t="str">
        <f t="shared" si="27"/>
        <v/>
      </c>
      <c r="AN34" t="str">
        <f t="shared" si="28"/>
        <v/>
      </c>
      <c r="AO34" t="str">
        <f t="shared" si="29"/>
        <v>1.2 D + 1.2 F + 0.5 L + 1.6 H + 1.44 Hr + 1.6 LLr</v>
      </c>
    </row>
    <row r="35" spans="1:41" x14ac:dyDescent="0.25">
      <c r="A35" s="10">
        <v>1</v>
      </c>
      <c r="B35" s="10">
        <v>1</v>
      </c>
      <c r="C35" s="10">
        <v>0</v>
      </c>
      <c r="D35" s="10">
        <v>1</v>
      </c>
      <c r="E35" s="10">
        <v>1</v>
      </c>
      <c r="F35" s="10">
        <v>1</v>
      </c>
      <c r="G35" s="10">
        <v>1</v>
      </c>
      <c r="H35" s="10">
        <v>0</v>
      </c>
      <c r="I35" s="10">
        <v>0</v>
      </c>
      <c r="J35" s="10">
        <v>1</v>
      </c>
      <c r="K35" s="10">
        <v>0</v>
      </c>
      <c r="L35" s="10">
        <v>0</v>
      </c>
      <c r="O35" s="6" t="s">
        <v>133</v>
      </c>
      <c r="P35" s="12">
        <v>1.2</v>
      </c>
      <c r="Q35" s="12">
        <v>1.2</v>
      </c>
      <c r="R35" s="13">
        <f>LRFD_f1</f>
        <v>0.5</v>
      </c>
      <c r="S35" s="12">
        <v>1.6</v>
      </c>
      <c r="T35" s="35">
        <f t="shared" si="16"/>
        <v>1.4400000000000002</v>
      </c>
      <c r="U35" s="12">
        <v>0</v>
      </c>
      <c r="V35" s="12">
        <v>1.6</v>
      </c>
      <c r="W35" s="12">
        <v>0</v>
      </c>
      <c r="X35" s="12">
        <v>0</v>
      </c>
      <c r="Y35" s="12">
        <v>0</v>
      </c>
      <c r="Z35" s="12">
        <v>0</v>
      </c>
      <c r="AA35" s="12">
        <v>0</v>
      </c>
      <c r="AC35" t="str">
        <f t="shared" si="17"/>
        <v>1.2 D</v>
      </c>
      <c r="AD35" t="str">
        <f t="shared" si="18"/>
        <v xml:space="preserve"> + 1.2 F</v>
      </c>
      <c r="AE35" t="str">
        <f t="shared" si="19"/>
        <v xml:space="preserve"> + 0.5 L</v>
      </c>
      <c r="AF35" t="str">
        <f t="shared" si="20"/>
        <v xml:space="preserve"> + 1.6 H</v>
      </c>
      <c r="AG35" t="str">
        <f t="shared" si="21"/>
        <v xml:space="preserve"> + 1.44 Hr</v>
      </c>
      <c r="AH35" t="str">
        <f t="shared" si="22"/>
        <v/>
      </c>
      <c r="AI35" t="str">
        <f t="shared" si="23"/>
        <v xml:space="preserve"> + 1.6 S</v>
      </c>
      <c r="AJ35" t="str">
        <f t="shared" si="24"/>
        <v/>
      </c>
      <c r="AK35" t="str">
        <f t="shared" si="25"/>
        <v/>
      </c>
      <c r="AL35" t="str">
        <f t="shared" si="26"/>
        <v/>
      </c>
      <c r="AM35" t="str">
        <f t="shared" si="27"/>
        <v/>
      </c>
      <c r="AN35" t="str">
        <f t="shared" si="28"/>
        <v/>
      </c>
      <c r="AO35" t="str">
        <f t="shared" si="29"/>
        <v>1.2 D + 1.2 F + 0.5 L + 1.6 H + 1.44 Hr + 1.6 S</v>
      </c>
    </row>
    <row r="36" spans="1:41" x14ac:dyDescent="0.25">
      <c r="A36" s="10">
        <v>1</v>
      </c>
      <c r="B36" s="10">
        <v>1</v>
      </c>
      <c r="C36" s="10">
        <v>0</v>
      </c>
      <c r="D36" s="10">
        <v>1</v>
      </c>
      <c r="E36" s="10">
        <v>1</v>
      </c>
      <c r="F36" s="10">
        <v>1</v>
      </c>
      <c r="G36" s="10">
        <v>1</v>
      </c>
      <c r="H36" s="10">
        <v>0</v>
      </c>
      <c r="I36" s="10">
        <v>0</v>
      </c>
      <c r="J36" s="10">
        <v>0</v>
      </c>
      <c r="K36" s="10">
        <v>0.7</v>
      </c>
      <c r="L36" s="10">
        <v>0</v>
      </c>
      <c r="O36" s="6" t="s">
        <v>134</v>
      </c>
      <c r="P36" s="12">
        <v>1.2</v>
      </c>
      <c r="Q36" s="12">
        <v>1.2</v>
      </c>
      <c r="R36" s="13">
        <f>LRFD_f1</f>
        <v>0.5</v>
      </c>
      <c r="S36" s="12">
        <v>1.6</v>
      </c>
      <c r="T36" s="35">
        <f t="shared" si="16"/>
        <v>1.4400000000000002</v>
      </c>
      <c r="U36" s="12">
        <v>0</v>
      </c>
      <c r="V36" s="12">
        <v>0</v>
      </c>
      <c r="W36" s="12">
        <v>1.6</v>
      </c>
      <c r="X36" s="12">
        <v>0</v>
      </c>
      <c r="Y36" s="12">
        <v>0</v>
      </c>
      <c r="Z36" s="12">
        <v>0</v>
      </c>
      <c r="AA36" s="12">
        <v>0</v>
      </c>
      <c r="AC36" t="str">
        <f t="shared" si="17"/>
        <v>1.2 D</v>
      </c>
      <c r="AD36" t="str">
        <f t="shared" si="18"/>
        <v xml:space="preserve"> + 1.2 F</v>
      </c>
      <c r="AE36" t="str">
        <f t="shared" si="19"/>
        <v xml:space="preserve"> + 0.5 L</v>
      </c>
      <c r="AF36" t="str">
        <f t="shared" si="20"/>
        <v xml:space="preserve"> + 1.6 H</v>
      </c>
      <c r="AG36" t="str">
        <f t="shared" si="21"/>
        <v xml:space="preserve"> + 1.44 Hr</v>
      </c>
      <c r="AH36" t="str">
        <f t="shared" si="22"/>
        <v/>
      </c>
      <c r="AI36" t="str">
        <f t="shared" si="23"/>
        <v/>
      </c>
      <c r="AJ36" t="str">
        <f t="shared" si="24"/>
        <v xml:space="preserve"> + 1.6 R</v>
      </c>
      <c r="AK36" t="str">
        <f t="shared" si="25"/>
        <v/>
      </c>
      <c r="AL36" t="str">
        <f t="shared" si="26"/>
        <v/>
      </c>
      <c r="AM36" t="str">
        <f t="shared" si="27"/>
        <v/>
      </c>
      <c r="AN36" t="str">
        <f t="shared" si="28"/>
        <v/>
      </c>
      <c r="AO36" t="str">
        <f t="shared" si="29"/>
        <v>1.2 D + 1.2 F + 0.5 L + 1.6 H + 1.44 Hr + 1.6 R</v>
      </c>
    </row>
    <row r="37" spans="1:41" x14ac:dyDescent="0.25">
      <c r="A37" s="10">
        <v>1</v>
      </c>
      <c r="B37" s="10">
        <v>1</v>
      </c>
      <c r="C37" s="10">
        <v>0</v>
      </c>
      <c r="D37" s="10">
        <v>1</v>
      </c>
      <c r="E37" s="10">
        <v>1</v>
      </c>
      <c r="F37" s="10">
        <v>1</v>
      </c>
      <c r="G37" s="10">
        <v>1</v>
      </c>
      <c r="H37" s="10">
        <v>0</v>
      </c>
      <c r="I37" s="10">
        <v>0</v>
      </c>
      <c r="J37" s="10">
        <v>0</v>
      </c>
      <c r="K37" s="10">
        <v>0</v>
      </c>
      <c r="L37" s="10">
        <v>0.7</v>
      </c>
      <c r="O37" s="6" t="s">
        <v>216</v>
      </c>
      <c r="P37" s="12">
        <v>1.2</v>
      </c>
      <c r="Q37" s="12">
        <v>1.2</v>
      </c>
      <c r="R37" s="12">
        <v>0</v>
      </c>
      <c r="S37" s="12">
        <v>1.6</v>
      </c>
      <c r="T37" s="35">
        <f t="shared" si="16"/>
        <v>1.4400000000000002</v>
      </c>
      <c r="U37" s="12">
        <v>1.6</v>
      </c>
      <c r="V37" s="12">
        <v>0</v>
      </c>
      <c r="W37" s="12">
        <v>0</v>
      </c>
      <c r="X37" s="12">
        <v>0.5</v>
      </c>
      <c r="Y37" s="12">
        <v>0</v>
      </c>
      <c r="Z37" s="12">
        <v>0</v>
      </c>
      <c r="AA37" s="12">
        <v>0</v>
      </c>
      <c r="AC37" t="str">
        <f t="shared" si="17"/>
        <v>1.2 D</v>
      </c>
      <c r="AD37" t="str">
        <f t="shared" si="18"/>
        <v xml:space="preserve"> + 1.2 F</v>
      </c>
      <c r="AE37" t="str">
        <f t="shared" si="19"/>
        <v/>
      </c>
      <c r="AF37" t="str">
        <f t="shared" si="20"/>
        <v xml:space="preserve"> + 1.6 H</v>
      </c>
      <c r="AG37" t="str">
        <f t="shared" si="21"/>
        <v xml:space="preserve"> + 1.44 Hr</v>
      </c>
      <c r="AH37" t="str">
        <f t="shared" si="22"/>
        <v xml:space="preserve"> + 1.6 LLr</v>
      </c>
      <c r="AI37" t="str">
        <f t="shared" si="23"/>
        <v/>
      </c>
      <c r="AJ37" t="str">
        <f t="shared" si="24"/>
        <v/>
      </c>
      <c r="AK37" t="str">
        <f t="shared" si="25"/>
        <v xml:space="preserve"> + 0.5 W1</v>
      </c>
      <c r="AL37" t="str">
        <f t="shared" si="26"/>
        <v/>
      </c>
      <c r="AM37" t="str">
        <f t="shared" si="27"/>
        <v/>
      </c>
      <c r="AN37" t="str">
        <f t="shared" si="28"/>
        <v/>
      </c>
      <c r="AO37" t="str">
        <f t="shared" si="29"/>
        <v>1.2 D + 1.2 F + 1.6 H + 1.44 Hr + 1.6 LLr + 0.5 W1</v>
      </c>
    </row>
    <row r="38" spans="1:41" x14ac:dyDescent="0.25">
      <c r="A38" s="1">
        <v>1</v>
      </c>
      <c r="B38" s="1">
        <v>1</v>
      </c>
      <c r="C38" s="1">
        <v>0</v>
      </c>
      <c r="D38" s="1">
        <v>1</v>
      </c>
      <c r="E38" s="1">
        <v>1</v>
      </c>
      <c r="F38" s="1">
        <v>1</v>
      </c>
      <c r="G38" s="1">
        <v>0</v>
      </c>
      <c r="H38" s="1">
        <v>1</v>
      </c>
      <c r="I38" s="1">
        <v>0</v>
      </c>
      <c r="J38" s="1">
        <v>0</v>
      </c>
      <c r="K38" s="1">
        <v>0</v>
      </c>
      <c r="L38" s="1">
        <v>0</v>
      </c>
      <c r="O38" s="6" t="s">
        <v>217</v>
      </c>
      <c r="P38" s="12">
        <v>1.2</v>
      </c>
      <c r="Q38" s="12">
        <v>1.2</v>
      </c>
      <c r="R38" s="12">
        <v>0</v>
      </c>
      <c r="S38" s="12">
        <v>1.6</v>
      </c>
      <c r="T38" s="35">
        <f t="shared" si="16"/>
        <v>1.4400000000000002</v>
      </c>
      <c r="U38" s="12">
        <v>0</v>
      </c>
      <c r="V38" s="12">
        <v>1.6</v>
      </c>
      <c r="W38" s="12">
        <v>0</v>
      </c>
      <c r="X38" s="12">
        <v>0.5</v>
      </c>
      <c r="Y38" s="12">
        <v>0</v>
      </c>
      <c r="Z38" s="12">
        <v>0</v>
      </c>
      <c r="AA38" s="12">
        <v>0</v>
      </c>
      <c r="AC38" t="str">
        <f t="shared" si="17"/>
        <v>1.2 D</v>
      </c>
      <c r="AD38" t="str">
        <f t="shared" si="18"/>
        <v xml:space="preserve"> + 1.2 F</v>
      </c>
      <c r="AE38" t="str">
        <f t="shared" si="19"/>
        <v/>
      </c>
      <c r="AF38" t="str">
        <f t="shared" si="20"/>
        <v xml:space="preserve"> + 1.6 H</v>
      </c>
      <c r="AG38" t="str">
        <f t="shared" si="21"/>
        <v xml:space="preserve"> + 1.44 Hr</v>
      </c>
      <c r="AH38" t="str">
        <f t="shared" si="22"/>
        <v/>
      </c>
      <c r="AI38" t="str">
        <f t="shared" si="23"/>
        <v xml:space="preserve"> + 1.6 S</v>
      </c>
      <c r="AJ38" t="str">
        <f t="shared" si="24"/>
        <v/>
      </c>
      <c r="AK38" t="str">
        <f t="shared" si="25"/>
        <v xml:space="preserve"> + 0.5 W1</v>
      </c>
      <c r="AL38" t="str">
        <f t="shared" si="26"/>
        <v/>
      </c>
      <c r="AM38" t="str">
        <f t="shared" si="27"/>
        <v/>
      </c>
      <c r="AN38" t="str">
        <f t="shared" si="28"/>
        <v/>
      </c>
      <c r="AO38" t="str">
        <f t="shared" si="29"/>
        <v>1.2 D + 1.2 F + 1.6 H + 1.44 Hr + 1.6 S + 0.5 W1</v>
      </c>
    </row>
    <row r="39" spans="1:41" x14ac:dyDescent="0.25">
      <c r="A39" s="1">
        <v>1</v>
      </c>
      <c r="B39" s="1">
        <v>1</v>
      </c>
      <c r="C39" s="1">
        <v>0</v>
      </c>
      <c r="D39" s="1">
        <v>1</v>
      </c>
      <c r="E39" s="1">
        <v>1</v>
      </c>
      <c r="F39" s="1">
        <v>1</v>
      </c>
      <c r="G39" s="1">
        <v>0</v>
      </c>
      <c r="H39" s="1">
        <v>1</v>
      </c>
      <c r="I39" s="1">
        <v>1</v>
      </c>
      <c r="J39" s="1">
        <v>0</v>
      </c>
      <c r="K39" s="1">
        <v>0</v>
      </c>
      <c r="L39" s="1">
        <v>0</v>
      </c>
      <c r="O39" s="6" t="s">
        <v>218</v>
      </c>
      <c r="P39" s="12">
        <v>1.2</v>
      </c>
      <c r="Q39" s="12">
        <v>1.2</v>
      </c>
      <c r="R39" s="12">
        <v>0</v>
      </c>
      <c r="S39" s="12">
        <v>1.6</v>
      </c>
      <c r="T39" s="35">
        <f t="shared" si="16"/>
        <v>1.4400000000000002</v>
      </c>
      <c r="U39" s="12">
        <v>0</v>
      </c>
      <c r="V39" s="12">
        <v>0</v>
      </c>
      <c r="W39" s="12">
        <v>1.6</v>
      </c>
      <c r="X39" s="12">
        <v>0.5</v>
      </c>
      <c r="Y39" s="12">
        <v>0</v>
      </c>
      <c r="Z39" s="12">
        <v>0</v>
      </c>
      <c r="AA39" s="12">
        <v>0</v>
      </c>
      <c r="AC39" t="str">
        <f t="shared" si="17"/>
        <v>1.2 D</v>
      </c>
      <c r="AD39" t="str">
        <f t="shared" si="18"/>
        <v xml:space="preserve"> + 1.2 F</v>
      </c>
      <c r="AE39" t="str">
        <f t="shared" si="19"/>
        <v/>
      </c>
      <c r="AF39" t="str">
        <f t="shared" si="20"/>
        <v xml:space="preserve"> + 1.6 H</v>
      </c>
      <c r="AG39" t="str">
        <f t="shared" si="21"/>
        <v xml:space="preserve"> + 1.44 Hr</v>
      </c>
      <c r="AH39" t="str">
        <f t="shared" si="22"/>
        <v/>
      </c>
      <c r="AI39" t="str">
        <f t="shared" si="23"/>
        <v/>
      </c>
      <c r="AJ39" t="str">
        <f t="shared" si="24"/>
        <v xml:space="preserve"> + 1.6 R</v>
      </c>
      <c r="AK39" t="str">
        <f t="shared" si="25"/>
        <v xml:space="preserve"> + 0.5 W1</v>
      </c>
      <c r="AL39" t="str">
        <f t="shared" si="26"/>
        <v/>
      </c>
      <c r="AM39" t="str">
        <f t="shared" si="27"/>
        <v/>
      </c>
      <c r="AN39" t="str">
        <f t="shared" si="28"/>
        <v/>
      </c>
      <c r="AO39" t="str">
        <f t="shared" si="29"/>
        <v>1.2 D + 1.2 F + 1.6 H + 1.44 Hr + 1.6 R + 0.5 W1</v>
      </c>
    </row>
    <row r="40" spans="1:41" x14ac:dyDescent="0.25">
      <c r="A40" s="1">
        <v>1</v>
      </c>
      <c r="B40" s="1">
        <v>1</v>
      </c>
      <c r="C40" s="1">
        <v>0</v>
      </c>
      <c r="D40" s="1">
        <v>1</v>
      </c>
      <c r="E40" s="1">
        <v>1</v>
      </c>
      <c r="F40" s="1">
        <v>1</v>
      </c>
      <c r="G40" s="1">
        <v>0</v>
      </c>
      <c r="H40" s="1">
        <v>1</v>
      </c>
      <c r="I40" s="1">
        <v>0</v>
      </c>
      <c r="J40" s="1">
        <v>1</v>
      </c>
      <c r="K40" s="1">
        <v>0</v>
      </c>
      <c r="L40" s="1">
        <v>0</v>
      </c>
      <c r="O40" s="6" t="s">
        <v>219</v>
      </c>
      <c r="P40" s="12">
        <v>1.2</v>
      </c>
      <c r="Q40" s="12">
        <v>1.2</v>
      </c>
      <c r="R40" s="12">
        <v>0</v>
      </c>
      <c r="S40" s="12">
        <v>1.6</v>
      </c>
      <c r="T40" s="35">
        <f t="shared" si="16"/>
        <v>1.4400000000000002</v>
      </c>
      <c r="U40" s="12">
        <v>1.6</v>
      </c>
      <c r="V40" s="12">
        <v>0</v>
      </c>
      <c r="W40" s="12">
        <v>0</v>
      </c>
      <c r="X40" s="12">
        <v>0</v>
      </c>
      <c r="Y40" s="12">
        <v>0.5</v>
      </c>
      <c r="Z40" s="12">
        <v>0</v>
      </c>
      <c r="AA40" s="12">
        <v>0</v>
      </c>
      <c r="AC40" t="str">
        <f t="shared" si="17"/>
        <v>1.2 D</v>
      </c>
      <c r="AD40" t="str">
        <f t="shared" si="18"/>
        <v xml:space="preserve"> + 1.2 F</v>
      </c>
      <c r="AE40" t="str">
        <f t="shared" si="19"/>
        <v/>
      </c>
      <c r="AF40" t="str">
        <f t="shared" si="20"/>
        <v xml:space="preserve"> + 1.6 H</v>
      </c>
      <c r="AG40" t="str">
        <f t="shared" si="21"/>
        <v xml:space="preserve"> + 1.44 Hr</v>
      </c>
      <c r="AH40" t="str">
        <f t="shared" si="22"/>
        <v xml:space="preserve"> + 1.6 LLr</v>
      </c>
      <c r="AI40" t="str">
        <f t="shared" si="23"/>
        <v/>
      </c>
      <c r="AJ40" t="str">
        <f t="shared" si="24"/>
        <v/>
      </c>
      <c r="AK40" t="str">
        <f t="shared" si="25"/>
        <v/>
      </c>
      <c r="AL40" t="str">
        <f t="shared" si="26"/>
        <v xml:space="preserve"> + 0.5 W2</v>
      </c>
      <c r="AM40" t="str">
        <f t="shared" si="27"/>
        <v/>
      </c>
      <c r="AN40" t="str">
        <f t="shared" si="28"/>
        <v/>
      </c>
      <c r="AO40" t="str">
        <f t="shared" si="29"/>
        <v>1.2 D + 1.2 F + 1.6 H + 1.44 Hr + 1.6 LLr + 0.5 W2</v>
      </c>
    </row>
    <row r="41" spans="1:41" x14ac:dyDescent="0.25">
      <c r="A41" s="1">
        <v>1</v>
      </c>
      <c r="B41" s="1">
        <v>1</v>
      </c>
      <c r="C41" s="1">
        <v>0</v>
      </c>
      <c r="D41" s="1">
        <v>1</v>
      </c>
      <c r="E41" s="1">
        <v>1</v>
      </c>
      <c r="F41" s="1">
        <v>1</v>
      </c>
      <c r="G41" s="1">
        <v>0</v>
      </c>
      <c r="H41" s="1">
        <v>1</v>
      </c>
      <c r="I41" s="1">
        <v>0</v>
      </c>
      <c r="J41" s="1">
        <v>0</v>
      </c>
      <c r="K41" s="1">
        <v>0.7</v>
      </c>
      <c r="L41" s="1">
        <v>0</v>
      </c>
      <c r="O41" s="6" t="s">
        <v>220</v>
      </c>
      <c r="P41" s="12">
        <v>1.2</v>
      </c>
      <c r="Q41" s="12">
        <v>1.2</v>
      </c>
      <c r="R41" s="12">
        <v>0</v>
      </c>
      <c r="S41" s="12">
        <v>1.6</v>
      </c>
      <c r="T41" s="35">
        <f t="shared" si="16"/>
        <v>1.4400000000000002</v>
      </c>
      <c r="U41" s="12">
        <v>0</v>
      </c>
      <c r="V41" s="12">
        <v>1.6</v>
      </c>
      <c r="W41" s="12">
        <v>0</v>
      </c>
      <c r="X41" s="12">
        <v>0</v>
      </c>
      <c r="Y41" s="12">
        <v>0.5</v>
      </c>
      <c r="Z41" s="12">
        <v>0</v>
      </c>
      <c r="AA41" s="12">
        <v>0</v>
      </c>
      <c r="AC41" t="str">
        <f t="shared" si="17"/>
        <v>1.2 D</v>
      </c>
      <c r="AD41" t="str">
        <f t="shared" si="18"/>
        <v xml:space="preserve"> + 1.2 F</v>
      </c>
      <c r="AE41" t="str">
        <f t="shared" si="19"/>
        <v/>
      </c>
      <c r="AF41" t="str">
        <f t="shared" si="20"/>
        <v xml:space="preserve"> + 1.6 H</v>
      </c>
      <c r="AG41" t="str">
        <f t="shared" si="21"/>
        <v xml:space="preserve"> + 1.44 Hr</v>
      </c>
      <c r="AH41" t="str">
        <f t="shared" si="22"/>
        <v/>
      </c>
      <c r="AI41" t="str">
        <f t="shared" si="23"/>
        <v xml:space="preserve"> + 1.6 S</v>
      </c>
      <c r="AJ41" t="str">
        <f t="shared" si="24"/>
        <v/>
      </c>
      <c r="AK41" t="str">
        <f t="shared" si="25"/>
        <v/>
      </c>
      <c r="AL41" t="str">
        <f t="shared" si="26"/>
        <v xml:space="preserve"> + 0.5 W2</v>
      </c>
      <c r="AM41" t="str">
        <f t="shared" si="27"/>
        <v/>
      </c>
      <c r="AN41" t="str">
        <f t="shared" si="28"/>
        <v/>
      </c>
      <c r="AO41" t="str">
        <f t="shared" si="29"/>
        <v>1.2 D + 1.2 F + 1.6 H + 1.44 Hr + 1.6 S + 0.5 W2</v>
      </c>
    </row>
    <row r="42" spans="1:41" x14ac:dyDescent="0.25">
      <c r="A42" s="1">
        <v>1</v>
      </c>
      <c r="B42" s="1">
        <v>1</v>
      </c>
      <c r="C42" s="1">
        <v>0</v>
      </c>
      <c r="D42" s="1">
        <v>1</v>
      </c>
      <c r="E42" s="1">
        <v>1</v>
      </c>
      <c r="F42" s="1">
        <v>1</v>
      </c>
      <c r="G42" s="1">
        <v>0</v>
      </c>
      <c r="H42" s="1">
        <v>1</v>
      </c>
      <c r="I42" s="1">
        <v>0</v>
      </c>
      <c r="J42" s="1">
        <v>0</v>
      </c>
      <c r="K42" s="1">
        <v>0</v>
      </c>
      <c r="L42" s="1">
        <v>0.7</v>
      </c>
      <c r="O42" s="6" t="s">
        <v>221</v>
      </c>
      <c r="P42" s="12">
        <v>1.2</v>
      </c>
      <c r="Q42" s="12">
        <v>1.2</v>
      </c>
      <c r="R42" s="12">
        <v>0</v>
      </c>
      <c r="S42" s="12">
        <v>1.6</v>
      </c>
      <c r="T42" s="35">
        <f t="shared" si="16"/>
        <v>1.4400000000000002</v>
      </c>
      <c r="U42" s="12">
        <v>0</v>
      </c>
      <c r="V42" s="12">
        <v>0</v>
      </c>
      <c r="W42" s="12">
        <v>1.6</v>
      </c>
      <c r="X42" s="12">
        <v>0</v>
      </c>
      <c r="Y42" s="12">
        <v>0.5</v>
      </c>
      <c r="Z42" s="12">
        <v>0</v>
      </c>
      <c r="AA42" s="12">
        <v>0</v>
      </c>
      <c r="AC42" t="str">
        <f t="shared" si="17"/>
        <v>1.2 D</v>
      </c>
      <c r="AD42" t="str">
        <f t="shared" si="18"/>
        <v xml:space="preserve"> + 1.2 F</v>
      </c>
      <c r="AE42" t="str">
        <f t="shared" si="19"/>
        <v/>
      </c>
      <c r="AF42" t="str">
        <f t="shared" si="20"/>
        <v xml:space="preserve"> + 1.6 H</v>
      </c>
      <c r="AG42" t="str">
        <f t="shared" si="21"/>
        <v xml:space="preserve"> + 1.44 Hr</v>
      </c>
      <c r="AH42" t="str">
        <f t="shared" si="22"/>
        <v/>
      </c>
      <c r="AI42" t="str">
        <f t="shared" si="23"/>
        <v/>
      </c>
      <c r="AJ42" t="str">
        <f t="shared" si="24"/>
        <v xml:space="preserve"> + 1.6 R</v>
      </c>
      <c r="AK42" t="str">
        <f t="shared" si="25"/>
        <v/>
      </c>
      <c r="AL42" t="str">
        <f t="shared" si="26"/>
        <v xml:space="preserve"> + 0.5 W2</v>
      </c>
      <c r="AM42" t="str">
        <f t="shared" si="27"/>
        <v/>
      </c>
      <c r="AN42" t="str">
        <f t="shared" si="28"/>
        <v/>
      </c>
      <c r="AO42" t="str">
        <f t="shared" si="29"/>
        <v>1.2 D + 1.2 F + 1.6 H + 1.44 Hr + 1.6 R + 0.5 W2</v>
      </c>
    </row>
    <row r="43" spans="1:41" x14ac:dyDescent="0.25">
      <c r="A43" s="10">
        <v>1</v>
      </c>
      <c r="B43" s="10">
        <v>1</v>
      </c>
      <c r="C43" s="10">
        <v>0</v>
      </c>
      <c r="D43" s="10">
        <v>1</v>
      </c>
      <c r="E43" s="10">
        <v>1</v>
      </c>
      <c r="F43" s="10">
        <v>0</v>
      </c>
      <c r="G43" s="10">
        <v>1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O43" s="6" t="s">
        <v>222</v>
      </c>
      <c r="P43" s="12">
        <v>1.2</v>
      </c>
      <c r="Q43" s="12">
        <v>1.2</v>
      </c>
      <c r="R43" s="13">
        <f t="shared" ref="R43:R50" si="30">LRFD_f1</f>
        <v>0.5</v>
      </c>
      <c r="S43" s="12">
        <v>1.6</v>
      </c>
      <c r="T43" s="35">
        <f t="shared" si="16"/>
        <v>1.4400000000000002</v>
      </c>
      <c r="U43" s="12">
        <v>0.5</v>
      </c>
      <c r="V43" s="12">
        <v>0</v>
      </c>
      <c r="W43" s="12">
        <v>0</v>
      </c>
      <c r="X43" s="12">
        <v>1</v>
      </c>
      <c r="Y43" s="12">
        <v>0</v>
      </c>
      <c r="Z43" s="12">
        <v>0</v>
      </c>
      <c r="AA43" s="12">
        <v>0</v>
      </c>
      <c r="AC43" t="str">
        <f t="shared" si="17"/>
        <v>1.2 D</v>
      </c>
      <c r="AD43" t="str">
        <f t="shared" si="18"/>
        <v xml:space="preserve"> + 1.2 F</v>
      </c>
      <c r="AE43" t="str">
        <f t="shared" si="19"/>
        <v xml:space="preserve"> + 0.5 L</v>
      </c>
      <c r="AF43" t="str">
        <f t="shared" si="20"/>
        <v xml:space="preserve"> + 1.6 H</v>
      </c>
      <c r="AG43" t="str">
        <f t="shared" si="21"/>
        <v xml:space="preserve"> + 1.44 Hr</v>
      </c>
      <c r="AH43" t="str">
        <f t="shared" si="22"/>
        <v xml:space="preserve"> + 0.5 LLr</v>
      </c>
      <c r="AI43" t="str">
        <f t="shared" si="23"/>
        <v/>
      </c>
      <c r="AJ43" t="str">
        <f t="shared" si="24"/>
        <v/>
      </c>
      <c r="AK43" t="str">
        <f t="shared" si="25"/>
        <v xml:space="preserve"> + W1</v>
      </c>
      <c r="AL43" t="str">
        <f t="shared" si="26"/>
        <v/>
      </c>
      <c r="AM43" t="str">
        <f t="shared" si="27"/>
        <v/>
      </c>
      <c r="AN43" t="str">
        <f t="shared" si="28"/>
        <v/>
      </c>
      <c r="AO43" t="str">
        <f t="shared" si="29"/>
        <v>1.2 D + 1.2 F + 0.5 L + 1.6 H + 1.44 Hr + 0.5 LLr + W1</v>
      </c>
    </row>
    <row r="44" spans="1:41" x14ac:dyDescent="0.25">
      <c r="A44" s="10">
        <v>1</v>
      </c>
      <c r="B44" s="10">
        <v>1</v>
      </c>
      <c r="C44" s="10">
        <v>0</v>
      </c>
      <c r="D44" s="10">
        <v>1</v>
      </c>
      <c r="E44" s="10">
        <v>1</v>
      </c>
      <c r="F44" s="10">
        <v>0</v>
      </c>
      <c r="G44" s="10">
        <v>1</v>
      </c>
      <c r="H44" s="10">
        <v>0</v>
      </c>
      <c r="I44" s="10">
        <v>1</v>
      </c>
      <c r="J44" s="10">
        <v>0</v>
      </c>
      <c r="K44" s="10">
        <v>0</v>
      </c>
      <c r="L44" s="10">
        <v>0</v>
      </c>
      <c r="O44" s="6" t="s">
        <v>223</v>
      </c>
      <c r="P44" s="12">
        <v>1.2</v>
      </c>
      <c r="Q44" s="12">
        <v>1.2</v>
      </c>
      <c r="R44" s="13">
        <f t="shared" si="30"/>
        <v>0.5</v>
      </c>
      <c r="S44" s="12">
        <v>1.6</v>
      </c>
      <c r="T44" s="35">
        <f t="shared" si="16"/>
        <v>1.4400000000000002</v>
      </c>
      <c r="U44" s="12">
        <v>0</v>
      </c>
      <c r="V44" s="12">
        <v>0.5</v>
      </c>
      <c r="W44" s="12">
        <v>0</v>
      </c>
      <c r="X44" s="12">
        <v>1</v>
      </c>
      <c r="Y44" s="12">
        <v>0</v>
      </c>
      <c r="Z44" s="12">
        <v>0</v>
      </c>
      <c r="AA44" s="12">
        <v>0</v>
      </c>
      <c r="AC44" t="str">
        <f t="shared" si="17"/>
        <v>1.2 D</v>
      </c>
      <c r="AD44" t="str">
        <f t="shared" si="18"/>
        <v xml:space="preserve"> + 1.2 F</v>
      </c>
      <c r="AE44" t="str">
        <f t="shared" si="19"/>
        <v xml:space="preserve"> + 0.5 L</v>
      </c>
      <c r="AF44" t="str">
        <f t="shared" si="20"/>
        <v xml:space="preserve"> + 1.6 H</v>
      </c>
      <c r="AG44" t="str">
        <f t="shared" si="21"/>
        <v xml:space="preserve"> + 1.44 Hr</v>
      </c>
      <c r="AH44" t="str">
        <f t="shared" si="22"/>
        <v/>
      </c>
      <c r="AI44" t="str">
        <f t="shared" si="23"/>
        <v xml:space="preserve"> + 0.5 S</v>
      </c>
      <c r="AJ44" t="str">
        <f t="shared" si="24"/>
        <v/>
      </c>
      <c r="AK44" t="str">
        <f t="shared" si="25"/>
        <v xml:space="preserve"> + W1</v>
      </c>
      <c r="AL44" t="str">
        <f t="shared" si="26"/>
        <v/>
      </c>
      <c r="AM44" t="str">
        <f t="shared" si="27"/>
        <v/>
      </c>
      <c r="AN44" t="str">
        <f t="shared" si="28"/>
        <v/>
      </c>
      <c r="AO44" t="str">
        <f t="shared" si="29"/>
        <v>1.2 D + 1.2 F + 0.5 L + 1.6 H + 1.44 Hr + 0.5 S + W1</v>
      </c>
    </row>
    <row r="45" spans="1:41" x14ac:dyDescent="0.25">
      <c r="A45" s="10">
        <v>1</v>
      </c>
      <c r="B45" s="10">
        <v>1</v>
      </c>
      <c r="C45" s="10">
        <v>0</v>
      </c>
      <c r="D45" s="10">
        <v>1</v>
      </c>
      <c r="E45" s="10">
        <v>1</v>
      </c>
      <c r="F45" s="10">
        <v>0</v>
      </c>
      <c r="G45" s="10">
        <v>1</v>
      </c>
      <c r="H45" s="10">
        <v>0</v>
      </c>
      <c r="I45" s="10">
        <v>0</v>
      </c>
      <c r="J45" s="10">
        <v>1</v>
      </c>
      <c r="K45" s="10">
        <v>0</v>
      </c>
      <c r="L45" s="10">
        <v>0</v>
      </c>
      <c r="O45" s="6" t="s">
        <v>224</v>
      </c>
      <c r="P45" s="12">
        <v>1.2</v>
      </c>
      <c r="Q45" s="12">
        <v>1.2</v>
      </c>
      <c r="R45" s="13">
        <f t="shared" si="30"/>
        <v>0.5</v>
      </c>
      <c r="S45" s="12">
        <v>1.6</v>
      </c>
      <c r="T45" s="35">
        <f t="shared" si="16"/>
        <v>1.4400000000000002</v>
      </c>
      <c r="U45" s="12">
        <v>0</v>
      </c>
      <c r="V45" s="12">
        <v>0</v>
      </c>
      <c r="W45" s="12">
        <v>0.5</v>
      </c>
      <c r="X45" s="12">
        <v>1</v>
      </c>
      <c r="Y45" s="12">
        <v>0</v>
      </c>
      <c r="Z45" s="12">
        <v>0</v>
      </c>
      <c r="AA45" s="12">
        <v>0</v>
      </c>
      <c r="AC45" t="str">
        <f t="shared" si="17"/>
        <v>1.2 D</v>
      </c>
      <c r="AD45" t="str">
        <f t="shared" si="18"/>
        <v xml:space="preserve"> + 1.2 F</v>
      </c>
      <c r="AE45" t="str">
        <f t="shared" si="19"/>
        <v xml:space="preserve"> + 0.5 L</v>
      </c>
      <c r="AF45" t="str">
        <f t="shared" si="20"/>
        <v xml:space="preserve"> + 1.6 H</v>
      </c>
      <c r="AG45" t="str">
        <f t="shared" si="21"/>
        <v xml:space="preserve"> + 1.44 Hr</v>
      </c>
      <c r="AH45" t="str">
        <f t="shared" si="22"/>
        <v/>
      </c>
      <c r="AI45" t="str">
        <f t="shared" si="23"/>
        <v/>
      </c>
      <c r="AJ45" t="str">
        <f t="shared" si="24"/>
        <v xml:space="preserve"> + 0.5 R</v>
      </c>
      <c r="AK45" t="str">
        <f t="shared" si="25"/>
        <v xml:space="preserve"> + W1</v>
      </c>
      <c r="AL45" t="str">
        <f t="shared" si="26"/>
        <v/>
      </c>
      <c r="AM45" t="str">
        <f t="shared" si="27"/>
        <v/>
      </c>
      <c r="AN45" t="str">
        <f t="shared" si="28"/>
        <v/>
      </c>
      <c r="AO45" t="str">
        <f t="shared" si="29"/>
        <v>1.2 D + 1.2 F + 0.5 L + 1.6 H + 1.44 Hr + 0.5 R + W1</v>
      </c>
    </row>
    <row r="46" spans="1:41" x14ac:dyDescent="0.25">
      <c r="A46" s="10">
        <v>1</v>
      </c>
      <c r="B46" s="10">
        <v>1</v>
      </c>
      <c r="C46" s="10">
        <v>0</v>
      </c>
      <c r="D46" s="10">
        <v>1</v>
      </c>
      <c r="E46" s="10">
        <v>1</v>
      </c>
      <c r="F46" s="10">
        <v>0</v>
      </c>
      <c r="G46" s="10">
        <v>1</v>
      </c>
      <c r="H46" s="10">
        <v>0</v>
      </c>
      <c r="I46" s="10">
        <v>0</v>
      </c>
      <c r="J46" s="10">
        <v>0</v>
      </c>
      <c r="K46" s="10">
        <v>0.7</v>
      </c>
      <c r="L46" s="10">
        <v>0</v>
      </c>
      <c r="O46" s="6" t="s">
        <v>225</v>
      </c>
      <c r="P46" s="12">
        <v>1.2</v>
      </c>
      <c r="Q46" s="12">
        <v>1.2</v>
      </c>
      <c r="R46" s="13">
        <f t="shared" si="30"/>
        <v>0.5</v>
      </c>
      <c r="S46" s="12">
        <v>1.6</v>
      </c>
      <c r="T46" s="35">
        <f t="shared" si="16"/>
        <v>1.4400000000000002</v>
      </c>
      <c r="U46" s="12">
        <v>0.5</v>
      </c>
      <c r="V46" s="12">
        <v>0</v>
      </c>
      <c r="W46" s="12">
        <v>0</v>
      </c>
      <c r="X46" s="12">
        <v>0</v>
      </c>
      <c r="Y46" s="12">
        <v>1</v>
      </c>
      <c r="Z46" s="12">
        <v>0</v>
      </c>
      <c r="AA46" s="12">
        <v>0</v>
      </c>
      <c r="AC46" t="str">
        <f t="shared" si="17"/>
        <v>1.2 D</v>
      </c>
      <c r="AD46" t="str">
        <f t="shared" si="18"/>
        <v xml:space="preserve"> + 1.2 F</v>
      </c>
      <c r="AE46" t="str">
        <f t="shared" si="19"/>
        <v xml:space="preserve"> + 0.5 L</v>
      </c>
      <c r="AF46" t="str">
        <f t="shared" si="20"/>
        <v xml:space="preserve"> + 1.6 H</v>
      </c>
      <c r="AG46" t="str">
        <f t="shared" si="21"/>
        <v xml:space="preserve"> + 1.44 Hr</v>
      </c>
      <c r="AH46" t="str">
        <f t="shared" si="22"/>
        <v xml:space="preserve"> + 0.5 LLr</v>
      </c>
      <c r="AI46" t="str">
        <f t="shared" si="23"/>
        <v/>
      </c>
      <c r="AJ46" t="str">
        <f t="shared" si="24"/>
        <v/>
      </c>
      <c r="AK46" t="str">
        <f t="shared" si="25"/>
        <v/>
      </c>
      <c r="AL46" t="str">
        <f t="shared" si="26"/>
        <v xml:space="preserve"> + W2</v>
      </c>
      <c r="AM46" t="str">
        <f t="shared" si="27"/>
        <v/>
      </c>
      <c r="AN46" t="str">
        <f t="shared" si="28"/>
        <v/>
      </c>
      <c r="AO46" t="str">
        <f t="shared" si="29"/>
        <v>1.2 D + 1.2 F + 0.5 L + 1.6 H + 1.44 Hr + 0.5 LLr + W2</v>
      </c>
    </row>
    <row r="47" spans="1:41" x14ac:dyDescent="0.25">
      <c r="A47" s="10">
        <v>1</v>
      </c>
      <c r="B47" s="10">
        <v>1</v>
      </c>
      <c r="C47" s="10">
        <v>0</v>
      </c>
      <c r="D47" s="10">
        <v>1</v>
      </c>
      <c r="E47" s="10">
        <v>1</v>
      </c>
      <c r="F47" s="10">
        <v>0</v>
      </c>
      <c r="G47" s="10">
        <v>1</v>
      </c>
      <c r="H47" s="10">
        <v>0</v>
      </c>
      <c r="I47" s="10">
        <v>0</v>
      </c>
      <c r="J47" s="10">
        <v>0</v>
      </c>
      <c r="K47" s="10">
        <v>0</v>
      </c>
      <c r="L47" s="10">
        <v>0.7</v>
      </c>
      <c r="O47" s="6" t="s">
        <v>226</v>
      </c>
      <c r="P47" s="12">
        <v>1.2</v>
      </c>
      <c r="Q47" s="12">
        <v>1.2</v>
      </c>
      <c r="R47" s="13">
        <f t="shared" si="30"/>
        <v>0.5</v>
      </c>
      <c r="S47" s="12">
        <v>1.6</v>
      </c>
      <c r="T47" s="35">
        <f t="shared" si="16"/>
        <v>1.4400000000000002</v>
      </c>
      <c r="U47" s="12">
        <v>0</v>
      </c>
      <c r="V47" s="12">
        <v>0.5</v>
      </c>
      <c r="W47" s="12">
        <v>0</v>
      </c>
      <c r="X47" s="12">
        <v>0</v>
      </c>
      <c r="Y47" s="12">
        <v>1</v>
      </c>
      <c r="Z47" s="12">
        <v>0</v>
      </c>
      <c r="AA47" s="12">
        <v>0</v>
      </c>
      <c r="AC47" t="str">
        <f t="shared" si="17"/>
        <v>1.2 D</v>
      </c>
      <c r="AD47" t="str">
        <f t="shared" si="18"/>
        <v xml:space="preserve"> + 1.2 F</v>
      </c>
      <c r="AE47" t="str">
        <f t="shared" si="19"/>
        <v xml:space="preserve"> + 0.5 L</v>
      </c>
      <c r="AF47" t="str">
        <f t="shared" si="20"/>
        <v xml:space="preserve"> + 1.6 H</v>
      </c>
      <c r="AG47" t="str">
        <f t="shared" si="21"/>
        <v xml:space="preserve"> + 1.44 Hr</v>
      </c>
      <c r="AH47" t="str">
        <f t="shared" si="22"/>
        <v/>
      </c>
      <c r="AI47" t="str">
        <f t="shared" si="23"/>
        <v xml:space="preserve"> + 0.5 S</v>
      </c>
      <c r="AJ47" t="str">
        <f t="shared" si="24"/>
        <v/>
      </c>
      <c r="AK47" t="str">
        <f t="shared" si="25"/>
        <v/>
      </c>
      <c r="AL47" t="str">
        <f t="shared" si="26"/>
        <v xml:space="preserve"> + W2</v>
      </c>
      <c r="AM47" t="str">
        <f t="shared" si="27"/>
        <v/>
      </c>
      <c r="AN47" t="str">
        <f t="shared" si="28"/>
        <v/>
      </c>
      <c r="AO47" t="str">
        <f t="shared" si="29"/>
        <v>1.2 D + 1.2 F + 0.5 L + 1.6 H + 1.44 Hr + 0.5 S + W2</v>
      </c>
    </row>
    <row r="48" spans="1:41" x14ac:dyDescent="0.25">
      <c r="A48" s="1">
        <v>1</v>
      </c>
      <c r="B48" s="1">
        <v>1</v>
      </c>
      <c r="C48" s="1">
        <v>0</v>
      </c>
      <c r="D48" s="1">
        <v>1</v>
      </c>
      <c r="E48" s="1">
        <v>1</v>
      </c>
      <c r="F48" s="1">
        <v>1</v>
      </c>
      <c r="G48" s="1">
        <v>1</v>
      </c>
      <c r="H48" s="1">
        <v>1</v>
      </c>
      <c r="I48" s="1">
        <v>0</v>
      </c>
      <c r="J48" s="1">
        <v>0</v>
      </c>
      <c r="K48" s="1">
        <v>0</v>
      </c>
      <c r="L48" s="1">
        <v>0</v>
      </c>
      <c r="O48" s="6" t="s">
        <v>227</v>
      </c>
      <c r="P48" s="12">
        <v>1.2</v>
      </c>
      <c r="Q48" s="12">
        <v>1.2</v>
      </c>
      <c r="R48" s="13">
        <f t="shared" si="30"/>
        <v>0.5</v>
      </c>
      <c r="S48" s="12">
        <v>1.6</v>
      </c>
      <c r="T48" s="35">
        <f t="shared" si="16"/>
        <v>1.4400000000000002</v>
      </c>
      <c r="U48" s="12">
        <v>0</v>
      </c>
      <c r="V48" s="12">
        <v>0</v>
      </c>
      <c r="W48" s="12">
        <v>0.5</v>
      </c>
      <c r="X48" s="12">
        <v>0</v>
      </c>
      <c r="Y48" s="12">
        <v>1</v>
      </c>
      <c r="Z48" s="12">
        <v>0</v>
      </c>
      <c r="AA48" s="12">
        <v>0</v>
      </c>
      <c r="AC48" t="str">
        <f t="shared" si="17"/>
        <v>1.2 D</v>
      </c>
      <c r="AD48" t="str">
        <f t="shared" si="18"/>
        <v xml:space="preserve"> + 1.2 F</v>
      </c>
      <c r="AE48" t="str">
        <f t="shared" si="19"/>
        <v xml:space="preserve"> + 0.5 L</v>
      </c>
      <c r="AF48" t="str">
        <f t="shared" si="20"/>
        <v xml:space="preserve"> + 1.6 H</v>
      </c>
      <c r="AG48" t="str">
        <f t="shared" si="21"/>
        <v xml:space="preserve"> + 1.44 Hr</v>
      </c>
      <c r="AH48" t="str">
        <f t="shared" si="22"/>
        <v/>
      </c>
      <c r="AI48" t="str">
        <f t="shared" si="23"/>
        <v/>
      </c>
      <c r="AJ48" t="str">
        <f t="shared" si="24"/>
        <v xml:space="preserve"> + 0.5 R</v>
      </c>
      <c r="AK48" t="str">
        <f t="shared" si="25"/>
        <v/>
      </c>
      <c r="AL48" t="str">
        <f t="shared" si="26"/>
        <v xml:space="preserve"> + W2</v>
      </c>
      <c r="AM48" t="str">
        <f t="shared" si="27"/>
        <v/>
      </c>
      <c r="AN48" t="str">
        <f t="shared" si="28"/>
        <v/>
      </c>
      <c r="AO48" t="str">
        <f t="shared" si="29"/>
        <v>1.2 D + 1.2 F + 0.5 L + 1.6 H + 1.44 Hr + 0.5 R + W2</v>
      </c>
    </row>
    <row r="49" spans="1:41" x14ac:dyDescent="0.25">
      <c r="A49" s="1">
        <v>1</v>
      </c>
      <c r="B49" s="1">
        <v>1</v>
      </c>
      <c r="C49" s="1">
        <v>0</v>
      </c>
      <c r="D49" s="1">
        <v>1</v>
      </c>
      <c r="E49" s="1">
        <v>1</v>
      </c>
      <c r="F49" s="1">
        <v>1</v>
      </c>
      <c r="G49" s="1">
        <v>1</v>
      </c>
      <c r="H49" s="1">
        <v>1</v>
      </c>
      <c r="I49" s="1">
        <v>1</v>
      </c>
      <c r="J49" s="1">
        <v>0</v>
      </c>
      <c r="K49" s="1">
        <v>0</v>
      </c>
      <c r="L49" s="1">
        <v>0</v>
      </c>
      <c r="O49" s="6" t="s">
        <v>228</v>
      </c>
      <c r="P49" s="12">
        <v>1.2</v>
      </c>
      <c r="Q49" s="12">
        <v>1.2</v>
      </c>
      <c r="R49" s="13">
        <f t="shared" si="30"/>
        <v>0.5</v>
      </c>
      <c r="S49" s="12">
        <v>1.6</v>
      </c>
      <c r="T49" s="35">
        <f t="shared" si="16"/>
        <v>1.4400000000000002</v>
      </c>
      <c r="U49" s="12">
        <v>0</v>
      </c>
      <c r="V49" s="13">
        <f>LRFD_f2</f>
        <v>0.7</v>
      </c>
      <c r="W49" s="12">
        <v>0</v>
      </c>
      <c r="X49" s="12">
        <v>0</v>
      </c>
      <c r="Y49" s="12">
        <v>0</v>
      </c>
      <c r="Z49" s="12">
        <v>1</v>
      </c>
      <c r="AA49" s="12">
        <v>0</v>
      </c>
      <c r="AC49" t="str">
        <f t="shared" si="17"/>
        <v>1.2 D</v>
      </c>
      <c r="AD49" t="str">
        <f t="shared" si="18"/>
        <v xml:space="preserve"> + 1.2 F</v>
      </c>
      <c r="AE49" t="str">
        <f t="shared" si="19"/>
        <v xml:space="preserve"> + 0.5 L</v>
      </c>
      <c r="AF49" t="str">
        <f t="shared" si="20"/>
        <v xml:space="preserve"> + 1.6 H</v>
      </c>
      <c r="AG49" t="str">
        <f t="shared" si="21"/>
        <v xml:space="preserve"> + 1.44 Hr</v>
      </c>
      <c r="AH49" t="str">
        <f t="shared" si="22"/>
        <v/>
      </c>
      <c r="AI49" t="str">
        <f t="shared" si="23"/>
        <v xml:space="preserve"> + 0.7 S</v>
      </c>
      <c r="AJ49" t="str">
        <f t="shared" si="24"/>
        <v/>
      </c>
      <c r="AK49" t="str">
        <f t="shared" si="25"/>
        <v/>
      </c>
      <c r="AL49" t="str">
        <f t="shared" si="26"/>
        <v/>
      </c>
      <c r="AM49" t="str">
        <f t="shared" si="27"/>
        <v xml:space="preserve"> + E1</v>
      </c>
      <c r="AN49" t="str">
        <f t="shared" si="28"/>
        <v/>
      </c>
      <c r="AO49" t="str">
        <f t="shared" si="29"/>
        <v>1.2 D + 1.2 F + 0.5 L + 1.6 H + 1.44 Hr + 0.7 S + E1</v>
      </c>
    </row>
    <row r="50" spans="1:41" x14ac:dyDescent="0.25">
      <c r="A50" s="1">
        <v>1</v>
      </c>
      <c r="B50" s="1">
        <v>1</v>
      </c>
      <c r="C50" s="1">
        <v>0</v>
      </c>
      <c r="D50" s="1">
        <v>1</v>
      </c>
      <c r="E50" s="1">
        <v>1</v>
      </c>
      <c r="F50" s="1">
        <v>1</v>
      </c>
      <c r="G50" s="1">
        <v>1</v>
      </c>
      <c r="H50" s="1">
        <v>1</v>
      </c>
      <c r="I50" s="1">
        <v>0</v>
      </c>
      <c r="J50" s="1">
        <v>1</v>
      </c>
      <c r="K50" s="1">
        <v>0</v>
      </c>
      <c r="L50" s="1">
        <v>0</v>
      </c>
      <c r="O50" s="6" t="s">
        <v>229</v>
      </c>
      <c r="P50" s="12">
        <v>1.2</v>
      </c>
      <c r="Q50" s="12">
        <v>1.2</v>
      </c>
      <c r="R50" s="13">
        <f t="shared" si="30"/>
        <v>0.5</v>
      </c>
      <c r="S50" s="12">
        <v>1.6</v>
      </c>
      <c r="T50" s="35">
        <f t="shared" si="16"/>
        <v>1.4400000000000002</v>
      </c>
      <c r="U50" s="12">
        <v>0</v>
      </c>
      <c r="V50" s="13">
        <f>LRFD_f2</f>
        <v>0.7</v>
      </c>
      <c r="W50" s="12">
        <v>0</v>
      </c>
      <c r="X50" s="12">
        <v>0</v>
      </c>
      <c r="Y50" s="12">
        <v>0</v>
      </c>
      <c r="Z50" s="12">
        <v>0</v>
      </c>
      <c r="AA50" s="12">
        <v>1</v>
      </c>
      <c r="AC50" t="str">
        <f t="shared" si="17"/>
        <v>1.2 D</v>
      </c>
      <c r="AD50" t="str">
        <f t="shared" si="18"/>
        <v xml:space="preserve"> + 1.2 F</v>
      </c>
      <c r="AE50" t="str">
        <f t="shared" si="19"/>
        <v xml:space="preserve"> + 0.5 L</v>
      </c>
      <c r="AF50" t="str">
        <f t="shared" si="20"/>
        <v xml:space="preserve"> + 1.6 H</v>
      </c>
      <c r="AG50" t="str">
        <f t="shared" si="21"/>
        <v xml:space="preserve"> + 1.44 Hr</v>
      </c>
      <c r="AH50" t="str">
        <f t="shared" si="22"/>
        <v/>
      </c>
      <c r="AI50" t="str">
        <f t="shared" si="23"/>
        <v xml:space="preserve"> + 0.7 S</v>
      </c>
      <c r="AJ50" t="str">
        <f t="shared" si="24"/>
        <v/>
      </c>
      <c r="AK50" t="str">
        <f t="shared" si="25"/>
        <v/>
      </c>
      <c r="AL50" t="str">
        <f t="shared" si="26"/>
        <v/>
      </c>
      <c r="AM50" t="str">
        <f t="shared" si="27"/>
        <v/>
      </c>
      <c r="AN50" t="str">
        <f t="shared" si="28"/>
        <v xml:space="preserve"> + E2</v>
      </c>
      <c r="AO50" t="str">
        <f t="shared" si="29"/>
        <v>1.2 D + 1.2 F + 0.5 L + 1.6 H + 1.44 Hr + 0.7 S + E2</v>
      </c>
    </row>
    <row r="51" spans="1:41" x14ac:dyDescent="0.25">
      <c r="A51" s="1">
        <v>1</v>
      </c>
      <c r="B51" s="1">
        <v>1</v>
      </c>
      <c r="C51" s="1">
        <v>0</v>
      </c>
      <c r="D51" s="1">
        <v>1</v>
      </c>
      <c r="E51" s="1">
        <v>1</v>
      </c>
      <c r="F51" s="1">
        <v>1</v>
      </c>
      <c r="G51" s="1">
        <v>1</v>
      </c>
      <c r="H51" s="1">
        <v>1</v>
      </c>
      <c r="I51" s="1">
        <v>0</v>
      </c>
      <c r="J51" s="1">
        <v>0</v>
      </c>
      <c r="K51" s="1">
        <v>0.7</v>
      </c>
      <c r="L51" s="1">
        <v>0</v>
      </c>
      <c r="O51" s="6" t="s">
        <v>230</v>
      </c>
      <c r="P51" s="12">
        <v>0.9</v>
      </c>
      <c r="Q51" s="12">
        <v>0</v>
      </c>
      <c r="R51" s="12">
        <v>0</v>
      </c>
      <c r="S51" s="12">
        <v>0.9</v>
      </c>
      <c r="T51" s="35">
        <f t="shared" si="16"/>
        <v>0.81</v>
      </c>
      <c r="U51" s="12">
        <v>0</v>
      </c>
      <c r="V51" s="12">
        <v>0</v>
      </c>
      <c r="W51" s="12">
        <v>0</v>
      </c>
      <c r="X51" s="12">
        <v>1</v>
      </c>
      <c r="Y51" s="12">
        <v>0</v>
      </c>
      <c r="Z51" s="12">
        <v>0</v>
      </c>
      <c r="AA51" s="12">
        <v>0</v>
      </c>
      <c r="AC51" t="str">
        <f t="shared" si="17"/>
        <v>0.9 D</v>
      </c>
      <c r="AD51" t="str">
        <f t="shared" si="18"/>
        <v/>
      </c>
      <c r="AE51" t="str">
        <f t="shared" si="19"/>
        <v/>
      </c>
      <c r="AF51" t="str">
        <f t="shared" si="20"/>
        <v xml:space="preserve"> + 0.9 H</v>
      </c>
      <c r="AG51" t="str">
        <f t="shared" si="21"/>
        <v xml:space="preserve"> + 0.81 Hr</v>
      </c>
      <c r="AH51" t="str">
        <f t="shared" si="22"/>
        <v/>
      </c>
      <c r="AI51" t="str">
        <f t="shared" si="23"/>
        <v/>
      </c>
      <c r="AJ51" t="str">
        <f t="shared" si="24"/>
        <v/>
      </c>
      <c r="AK51" t="str">
        <f t="shared" si="25"/>
        <v xml:space="preserve"> + W1</v>
      </c>
      <c r="AL51" t="str">
        <f t="shared" si="26"/>
        <v/>
      </c>
      <c r="AM51" t="str">
        <f t="shared" si="27"/>
        <v/>
      </c>
      <c r="AN51" t="str">
        <f t="shared" si="28"/>
        <v/>
      </c>
      <c r="AO51" t="str">
        <f t="shared" si="29"/>
        <v>0.9 D + 0.9 H + 0.81 Hr + W1</v>
      </c>
    </row>
    <row r="52" spans="1:41" x14ac:dyDescent="0.25">
      <c r="A52" s="1">
        <v>1</v>
      </c>
      <c r="B52" s="1">
        <v>1</v>
      </c>
      <c r="C52" s="1">
        <v>0</v>
      </c>
      <c r="D52" s="1">
        <v>1</v>
      </c>
      <c r="E52" s="1">
        <v>1</v>
      </c>
      <c r="F52" s="1">
        <v>1</v>
      </c>
      <c r="G52" s="1">
        <v>1</v>
      </c>
      <c r="H52" s="1">
        <v>1</v>
      </c>
      <c r="I52" s="1">
        <v>0</v>
      </c>
      <c r="J52" s="1">
        <v>0</v>
      </c>
      <c r="K52" s="1">
        <v>0</v>
      </c>
      <c r="L52" s="1">
        <v>0.7</v>
      </c>
      <c r="O52" s="6" t="s">
        <v>231</v>
      </c>
      <c r="P52" s="12">
        <v>0.9</v>
      </c>
      <c r="Q52" s="12">
        <v>0</v>
      </c>
      <c r="R52" s="12">
        <v>0</v>
      </c>
      <c r="S52" s="12">
        <v>0.9</v>
      </c>
      <c r="T52" s="35">
        <f t="shared" si="16"/>
        <v>0.81</v>
      </c>
      <c r="U52" s="12">
        <v>0</v>
      </c>
      <c r="V52" s="12">
        <v>0</v>
      </c>
      <c r="W52" s="12">
        <v>0</v>
      </c>
      <c r="X52" s="12">
        <v>0</v>
      </c>
      <c r="Y52" s="12">
        <v>1</v>
      </c>
      <c r="Z52" s="12">
        <v>0</v>
      </c>
      <c r="AA52" s="12">
        <v>0</v>
      </c>
      <c r="AC52" t="str">
        <f t="shared" si="17"/>
        <v>0.9 D</v>
      </c>
      <c r="AD52" t="str">
        <f t="shared" si="18"/>
        <v/>
      </c>
      <c r="AE52" t="str">
        <f t="shared" si="19"/>
        <v/>
      </c>
      <c r="AF52" t="str">
        <f t="shared" si="20"/>
        <v xml:space="preserve"> + 0.9 H</v>
      </c>
      <c r="AG52" t="str">
        <f t="shared" si="21"/>
        <v xml:space="preserve"> + 0.81 Hr</v>
      </c>
      <c r="AH52" t="str">
        <f t="shared" si="22"/>
        <v/>
      </c>
      <c r="AI52" t="str">
        <f t="shared" si="23"/>
        <v/>
      </c>
      <c r="AJ52" t="str">
        <f t="shared" si="24"/>
        <v/>
      </c>
      <c r="AK52" t="str">
        <f t="shared" si="25"/>
        <v/>
      </c>
      <c r="AL52" t="str">
        <f t="shared" si="26"/>
        <v xml:space="preserve"> + W2</v>
      </c>
      <c r="AM52" t="str">
        <f t="shared" si="27"/>
        <v/>
      </c>
      <c r="AN52" t="str">
        <f t="shared" si="28"/>
        <v/>
      </c>
      <c r="AO52" t="str">
        <f t="shared" si="29"/>
        <v>0.9 D + 0.9 H + 0.81 Hr + W2</v>
      </c>
    </row>
    <row r="53" spans="1:41" x14ac:dyDescent="0.25">
      <c r="A53" s="10">
        <v>1</v>
      </c>
      <c r="B53" s="10">
        <v>1</v>
      </c>
      <c r="C53" s="10">
        <v>0</v>
      </c>
      <c r="D53" s="10">
        <v>1</v>
      </c>
      <c r="E53" s="10">
        <v>1</v>
      </c>
      <c r="F53" s="10">
        <v>0</v>
      </c>
      <c r="G53" s="10">
        <v>0</v>
      </c>
      <c r="H53" s="10">
        <v>1</v>
      </c>
      <c r="I53" s="10">
        <v>0</v>
      </c>
      <c r="J53" s="10">
        <v>0</v>
      </c>
      <c r="K53" s="10">
        <v>0</v>
      </c>
      <c r="L53" s="10">
        <v>0</v>
      </c>
      <c r="O53" s="6" t="s">
        <v>232</v>
      </c>
      <c r="P53" s="12">
        <v>0.9</v>
      </c>
      <c r="Q53" s="12">
        <v>0.9</v>
      </c>
      <c r="R53" s="12">
        <v>0</v>
      </c>
      <c r="S53" s="12">
        <v>0.9</v>
      </c>
      <c r="T53" s="35">
        <f t="shared" si="16"/>
        <v>0.81</v>
      </c>
      <c r="U53" s="12">
        <v>0</v>
      </c>
      <c r="V53" s="12">
        <v>0</v>
      </c>
      <c r="W53" s="12">
        <v>0</v>
      </c>
      <c r="X53" s="12">
        <v>0</v>
      </c>
      <c r="Y53" s="12">
        <v>0</v>
      </c>
      <c r="Z53" s="12">
        <v>1</v>
      </c>
      <c r="AA53" s="12">
        <v>0</v>
      </c>
      <c r="AC53" t="str">
        <f t="shared" si="17"/>
        <v>0.9 D</v>
      </c>
      <c r="AD53" t="str">
        <f t="shared" si="18"/>
        <v xml:space="preserve"> + 0.9 F</v>
      </c>
      <c r="AE53" t="str">
        <f t="shared" si="19"/>
        <v/>
      </c>
      <c r="AF53" t="str">
        <f t="shared" si="20"/>
        <v xml:space="preserve"> + 0.9 H</v>
      </c>
      <c r="AG53" t="str">
        <f t="shared" si="21"/>
        <v xml:space="preserve"> + 0.81 Hr</v>
      </c>
      <c r="AH53" t="str">
        <f t="shared" si="22"/>
        <v/>
      </c>
      <c r="AI53" t="str">
        <f t="shared" si="23"/>
        <v/>
      </c>
      <c r="AJ53" t="str">
        <f t="shared" si="24"/>
        <v/>
      </c>
      <c r="AK53" t="str">
        <f t="shared" si="25"/>
        <v/>
      </c>
      <c r="AL53" t="str">
        <f t="shared" si="26"/>
        <v/>
      </c>
      <c r="AM53" t="str">
        <f t="shared" si="27"/>
        <v xml:space="preserve"> + E1</v>
      </c>
      <c r="AN53" t="str">
        <f t="shared" si="28"/>
        <v/>
      </c>
      <c r="AO53" t="str">
        <f t="shared" si="29"/>
        <v>0.9 D + 0.9 F + 0.9 H + 0.81 Hr + E1</v>
      </c>
    </row>
    <row r="54" spans="1:41" x14ac:dyDescent="0.25">
      <c r="A54" s="10">
        <v>1</v>
      </c>
      <c r="B54" s="10">
        <v>1</v>
      </c>
      <c r="C54" s="10">
        <v>0</v>
      </c>
      <c r="D54" s="10">
        <v>1</v>
      </c>
      <c r="E54" s="10">
        <v>1</v>
      </c>
      <c r="F54" s="10">
        <v>0</v>
      </c>
      <c r="G54" s="10">
        <v>0</v>
      </c>
      <c r="H54" s="10">
        <v>1</v>
      </c>
      <c r="I54" s="10">
        <v>1</v>
      </c>
      <c r="J54" s="10">
        <v>0</v>
      </c>
      <c r="K54" s="10">
        <v>0</v>
      </c>
      <c r="L54" s="10">
        <v>0</v>
      </c>
      <c r="O54" s="6" t="s">
        <v>233</v>
      </c>
      <c r="P54" s="12">
        <v>0.9</v>
      </c>
      <c r="Q54" s="12">
        <v>0.9</v>
      </c>
      <c r="R54" s="12">
        <v>0</v>
      </c>
      <c r="S54" s="12">
        <v>0.9</v>
      </c>
      <c r="T54" s="35">
        <f t="shared" si="16"/>
        <v>0.81</v>
      </c>
      <c r="U54" s="12">
        <v>0</v>
      </c>
      <c r="V54" s="12">
        <v>0</v>
      </c>
      <c r="W54" s="12">
        <v>0</v>
      </c>
      <c r="X54" s="12">
        <v>0</v>
      </c>
      <c r="Y54" s="12">
        <v>0</v>
      </c>
      <c r="Z54" s="12">
        <v>0</v>
      </c>
      <c r="AA54" s="12">
        <v>1</v>
      </c>
      <c r="AC54" t="str">
        <f t="shared" si="17"/>
        <v>0.9 D</v>
      </c>
      <c r="AD54" t="str">
        <f t="shared" si="18"/>
        <v xml:space="preserve"> + 0.9 F</v>
      </c>
      <c r="AE54" t="str">
        <f t="shared" si="19"/>
        <v/>
      </c>
      <c r="AF54" t="str">
        <f t="shared" si="20"/>
        <v xml:space="preserve"> + 0.9 H</v>
      </c>
      <c r="AG54" t="str">
        <f t="shared" si="21"/>
        <v xml:space="preserve"> + 0.81 Hr</v>
      </c>
      <c r="AH54" t="str">
        <f t="shared" si="22"/>
        <v/>
      </c>
      <c r="AI54" t="str">
        <f t="shared" si="23"/>
        <v/>
      </c>
      <c r="AJ54" t="str">
        <f t="shared" si="24"/>
        <v/>
      </c>
      <c r="AK54" t="str">
        <f t="shared" si="25"/>
        <v/>
      </c>
      <c r="AL54" t="str">
        <f t="shared" si="26"/>
        <v/>
      </c>
      <c r="AM54" t="str">
        <f t="shared" si="27"/>
        <v/>
      </c>
      <c r="AN54" t="str">
        <f t="shared" si="28"/>
        <v xml:space="preserve"> + E2</v>
      </c>
      <c r="AO54" t="str">
        <f t="shared" si="29"/>
        <v>0.9 D + 0.9 F + 0.9 H + 0.81 Hr + E2</v>
      </c>
    </row>
    <row r="55" spans="1:41" x14ac:dyDescent="0.25">
      <c r="A55" s="10">
        <v>1</v>
      </c>
      <c r="B55" s="10">
        <v>1</v>
      </c>
      <c r="C55" s="10">
        <v>0</v>
      </c>
      <c r="D55" s="10">
        <v>1</v>
      </c>
      <c r="E55" s="10">
        <v>1</v>
      </c>
      <c r="F55" s="10">
        <v>0</v>
      </c>
      <c r="G55" s="10">
        <v>0</v>
      </c>
      <c r="H55" s="10">
        <v>1</v>
      </c>
      <c r="I55" s="10">
        <v>0</v>
      </c>
      <c r="J55" s="10">
        <v>1</v>
      </c>
      <c r="K55" s="10">
        <v>0</v>
      </c>
      <c r="L55" s="10">
        <v>0</v>
      </c>
    </row>
    <row r="56" spans="1:41" x14ac:dyDescent="0.25">
      <c r="A56" s="10">
        <v>1</v>
      </c>
      <c r="B56" s="10">
        <v>1</v>
      </c>
      <c r="C56" s="10">
        <v>0</v>
      </c>
      <c r="D56" s="10">
        <v>1</v>
      </c>
      <c r="E56" s="10">
        <v>1</v>
      </c>
      <c r="F56" s="10">
        <v>0</v>
      </c>
      <c r="G56" s="10">
        <v>0</v>
      </c>
      <c r="H56" s="10">
        <v>1</v>
      </c>
      <c r="I56" s="10">
        <v>0</v>
      </c>
      <c r="J56" s="10">
        <v>0</v>
      </c>
      <c r="K56" s="10">
        <v>0.7</v>
      </c>
      <c r="L56" s="10">
        <v>0</v>
      </c>
    </row>
    <row r="57" spans="1:41" x14ac:dyDescent="0.25">
      <c r="A57" s="10">
        <v>1</v>
      </c>
      <c r="B57" s="10">
        <v>1</v>
      </c>
      <c r="C57" s="10">
        <v>0</v>
      </c>
      <c r="D57" s="10">
        <v>1</v>
      </c>
      <c r="E57" s="10">
        <v>1</v>
      </c>
      <c r="F57" s="10">
        <v>0</v>
      </c>
      <c r="G57" s="10">
        <v>0</v>
      </c>
      <c r="H57" s="10">
        <v>1</v>
      </c>
      <c r="I57" s="10">
        <v>0</v>
      </c>
      <c r="J57" s="10">
        <v>0</v>
      </c>
      <c r="K57" s="10">
        <v>0</v>
      </c>
      <c r="L57" s="10">
        <v>0.7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335F7-3CC0-4C3F-B803-695007C36911}">
  <sheetPr codeName="Sheet4"/>
  <dimension ref="A2:CL57"/>
  <sheetViews>
    <sheetView workbookViewId="0">
      <selection activeCell="L28" sqref="L28"/>
    </sheetView>
  </sheetViews>
  <sheetFormatPr defaultRowHeight="15" x14ac:dyDescent="0.25"/>
  <cols>
    <col min="1" max="1" width="11.5703125" bestFit="1" customWidth="1"/>
    <col min="12" max="12" width="12" bestFit="1" customWidth="1"/>
  </cols>
  <sheetData>
    <row r="2" spans="1:90" ht="36" x14ac:dyDescent="0.25">
      <c r="A2" t="s">
        <v>156</v>
      </c>
      <c r="B2" s="18" t="s">
        <v>157</v>
      </c>
      <c r="C2" s="18" t="s">
        <v>158</v>
      </c>
      <c r="D2" s="19" t="s">
        <v>159</v>
      </c>
      <c r="E2" s="19" t="s">
        <v>160</v>
      </c>
      <c r="F2" s="19" t="s">
        <v>37</v>
      </c>
      <c r="G2" s="19" t="s">
        <v>161</v>
      </c>
    </row>
    <row r="3" spans="1:90" x14ac:dyDescent="0.25">
      <c r="A3" t="s">
        <v>1</v>
      </c>
      <c r="B3">
        <f>Unit_Width_Strip_Foundation!B6/1000</f>
        <v>0.48333333333333334</v>
      </c>
      <c r="C3">
        <v>0</v>
      </c>
      <c r="D3">
        <f>Unit_Width_Strip_Foundation!D6</f>
        <v>3.3333333333333335</v>
      </c>
      <c r="E3">
        <v>0</v>
      </c>
      <c r="F3" t="s">
        <v>162</v>
      </c>
      <c r="G3" t="str">
        <f>Unit_Width_Strip_Foundation!E125</f>
        <v>DL</v>
      </c>
      <c r="J3" t="s">
        <v>165</v>
      </c>
      <c r="K3">
        <f>Unit_Width_Strip_Foundation!F10/20</f>
        <v>0.15</v>
      </c>
      <c r="L3" t="s">
        <v>76</v>
      </c>
      <c r="M3" t="s">
        <v>53</v>
      </c>
      <c r="N3" t="s">
        <v>139</v>
      </c>
      <c r="O3" t="s">
        <v>76</v>
      </c>
      <c r="P3" t="s">
        <v>53</v>
      </c>
      <c r="Q3" t="s">
        <v>139</v>
      </c>
      <c r="R3" t="s">
        <v>76</v>
      </c>
      <c r="S3" t="s">
        <v>53</v>
      </c>
      <c r="T3" t="s">
        <v>139</v>
      </c>
      <c r="U3" t="s">
        <v>76</v>
      </c>
      <c r="V3" t="s">
        <v>53</v>
      </c>
      <c r="W3" t="s">
        <v>139</v>
      </c>
      <c r="X3" t="s">
        <v>76</v>
      </c>
      <c r="Y3" t="s">
        <v>53</v>
      </c>
      <c r="Z3" t="s">
        <v>139</v>
      </c>
      <c r="AA3" t="s">
        <v>76</v>
      </c>
      <c r="AB3" t="s">
        <v>53</v>
      </c>
      <c r="AC3" t="s">
        <v>139</v>
      </c>
      <c r="AD3" t="s">
        <v>76</v>
      </c>
      <c r="AE3" t="s">
        <v>53</v>
      </c>
      <c r="AF3" t="s">
        <v>139</v>
      </c>
      <c r="AG3" t="s">
        <v>76</v>
      </c>
      <c r="AH3" t="s">
        <v>53</v>
      </c>
      <c r="AI3" t="s">
        <v>139</v>
      </c>
      <c r="AJ3" t="s">
        <v>76</v>
      </c>
      <c r="AK3" t="s">
        <v>53</v>
      </c>
      <c r="AL3" t="s">
        <v>139</v>
      </c>
      <c r="AM3" t="s">
        <v>76</v>
      </c>
      <c r="AN3" t="s">
        <v>53</v>
      </c>
      <c r="AO3" t="s">
        <v>139</v>
      </c>
      <c r="AP3" t="s">
        <v>76</v>
      </c>
      <c r="AQ3" t="s">
        <v>53</v>
      </c>
      <c r="AR3" t="s">
        <v>139</v>
      </c>
      <c r="AS3" t="s">
        <v>76</v>
      </c>
      <c r="AT3" t="s">
        <v>53</v>
      </c>
      <c r="AU3" t="s">
        <v>139</v>
      </c>
      <c r="AV3" t="s">
        <v>76</v>
      </c>
      <c r="AW3" t="s">
        <v>53</v>
      </c>
      <c r="AX3" t="s">
        <v>139</v>
      </c>
      <c r="AY3" t="s">
        <v>76</v>
      </c>
      <c r="AZ3" t="s">
        <v>53</v>
      </c>
      <c r="BA3" t="s">
        <v>139</v>
      </c>
      <c r="BB3" t="s">
        <v>76</v>
      </c>
      <c r="BC3" t="s">
        <v>53</v>
      </c>
      <c r="BD3" t="s">
        <v>139</v>
      </c>
      <c r="BE3" t="s">
        <v>76</v>
      </c>
      <c r="BF3" t="s">
        <v>53</v>
      </c>
      <c r="BG3" t="s">
        <v>139</v>
      </c>
      <c r="BH3" t="s">
        <v>76</v>
      </c>
      <c r="BI3" t="s">
        <v>53</v>
      </c>
      <c r="BJ3" t="s">
        <v>139</v>
      </c>
      <c r="BK3" t="s">
        <v>76</v>
      </c>
      <c r="BL3" t="s">
        <v>53</v>
      </c>
      <c r="BM3" t="s">
        <v>139</v>
      </c>
      <c r="BN3" t="s">
        <v>76</v>
      </c>
      <c r="BO3" t="s">
        <v>53</v>
      </c>
      <c r="BP3" t="s">
        <v>139</v>
      </c>
      <c r="BQ3" t="s">
        <v>76</v>
      </c>
      <c r="BR3" t="s">
        <v>53</v>
      </c>
      <c r="BS3" t="s">
        <v>139</v>
      </c>
      <c r="BT3" t="s">
        <v>76</v>
      </c>
      <c r="BU3" t="s">
        <v>53</v>
      </c>
      <c r="BV3" t="s">
        <v>139</v>
      </c>
      <c r="BW3" t="s">
        <v>76</v>
      </c>
      <c r="BX3" t="s">
        <v>53</v>
      </c>
      <c r="BY3" t="s">
        <v>139</v>
      </c>
      <c r="BZ3" t="s">
        <v>76</v>
      </c>
      <c r="CA3" t="s">
        <v>53</v>
      </c>
      <c r="CB3" t="s">
        <v>139</v>
      </c>
      <c r="CC3" t="s">
        <v>76</v>
      </c>
      <c r="CD3" t="s">
        <v>53</v>
      </c>
      <c r="CE3" t="s">
        <v>139</v>
      </c>
      <c r="CF3" t="s">
        <v>76</v>
      </c>
      <c r="CG3" t="s">
        <v>53</v>
      </c>
      <c r="CH3" t="s">
        <v>139</v>
      </c>
      <c r="CI3" t="s">
        <v>166</v>
      </c>
      <c r="CJ3" t="s">
        <v>167</v>
      </c>
      <c r="CK3" t="s">
        <v>168</v>
      </c>
      <c r="CL3" t="s">
        <v>169</v>
      </c>
    </row>
    <row r="4" spans="1:90" x14ac:dyDescent="0.25">
      <c r="A4" t="s">
        <v>78</v>
      </c>
      <c r="B4">
        <f>Unit_Width_Strip_Foundation!B14/(Unit_Width_Strip_Foundation!B12*1000)</f>
        <v>0.19333333333333333</v>
      </c>
      <c r="C4">
        <v>0</v>
      </c>
      <c r="D4">
        <v>0</v>
      </c>
      <c r="E4">
        <f>Unit_Width_Strip_Foundation!B12</f>
        <v>5.166666666666667</v>
      </c>
      <c r="F4" t="s">
        <v>163</v>
      </c>
      <c r="G4" t="str">
        <f>Unit_Width_Strip_Foundation!E126</f>
        <v>DL</v>
      </c>
      <c r="K4">
        <v>0</v>
      </c>
      <c r="L4" cm="1">
        <f t="array" ref="L4:CH4">LRFD_Analysis(Unit_Width_Strip_Foundation!$B$12,K4,$B$3:$G$57,LOAD_COMBOS!$O$30:$AA$54)</f>
        <v>0</v>
      </c>
      <c r="M4">
        <v>0</v>
      </c>
      <c r="N4">
        <v>0</v>
      </c>
      <c r="O4">
        <v>-8.8817841970012523E-16</v>
      </c>
      <c r="P4">
        <v>0</v>
      </c>
      <c r="Q4">
        <v>0</v>
      </c>
      <c r="R4">
        <v>-8.8817841970012523E-16</v>
      </c>
      <c r="S4">
        <v>0</v>
      </c>
      <c r="T4">
        <v>0</v>
      </c>
      <c r="U4">
        <v>-8.8817841970012523E-16</v>
      </c>
      <c r="V4">
        <v>0</v>
      </c>
      <c r="W4">
        <v>0</v>
      </c>
      <c r="X4">
        <v>-1.7763568394002505E-15</v>
      </c>
      <c r="Y4">
        <v>0</v>
      </c>
      <c r="Z4">
        <v>0</v>
      </c>
      <c r="AA4">
        <v>-1.7763568394002505E-15</v>
      </c>
      <c r="AB4">
        <v>0</v>
      </c>
      <c r="AC4">
        <v>0</v>
      </c>
      <c r="AD4">
        <v>-1.7763568394002505E-15</v>
      </c>
      <c r="AE4">
        <v>0</v>
      </c>
      <c r="AF4">
        <v>0</v>
      </c>
      <c r="AG4">
        <v>-8.8817841970012523E-16</v>
      </c>
      <c r="AH4">
        <v>0</v>
      </c>
      <c r="AI4">
        <v>0</v>
      </c>
      <c r="AJ4">
        <v>-8.8817841970012523E-16</v>
      </c>
      <c r="AK4">
        <v>0</v>
      </c>
      <c r="AL4">
        <v>0</v>
      </c>
      <c r="AM4">
        <v>-8.8817841970012523E-16</v>
      </c>
      <c r="AN4">
        <v>0</v>
      </c>
      <c r="AO4">
        <v>0</v>
      </c>
      <c r="AP4">
        <v>-8.8817841970012523E-16</v>
      </c>
      <c r="AQ4">
        <v>0</v>
      </c>
      <c r="AR4">
        <v>0</v>
      </c>
      <c r="AS4">
        <v>-8.8817841970012523E-16</v>
      </c>
      <c r="AT4">
        <v>0</v>
      </c>
      <c r="AU4">
        <v>0</v>
      </c>
      <c r="AV4">
        <v>-8.8817841970012523E-16</v>
      </c>
      <c r="AW4">
        <v>0</v>
      </c>
      <c r="AX4">
        <v>0</v>
      </c>
      <c r="AY4">
        <v>-1.7763568394002505E-15</v>
      </c>
      <c r="AZ4">
        <v>0</v>
      </c>
      <c r="BA4">
        <v>0</v>
      </c>
      <c r="BB4">
        <v>-1.7763568394002505E-15</v>
      </c>
      <c r="BC4">
        <v>0</v>
      </c>
      <c r="BD4">
        <v>0</v>
      </c>
      <c r="BE4">
        <v>-1.7763568394002505E-15</v>
      </c>
      <c r="BF4">
        <v>0</v>
      </c>
      <c r="BG4">
        <v>0</v>
      </c>
      <c r="BH4">
        <v>-1.7763568394002505E-15</v>
      </c>
      <c r="BI4">
        <v>0</v>
      </c>
      <c r="BJ4">
        <v>0</v>
      </c>
      <c r="BK4">
        <v>-1.7763568394002505E-15</v>
      </c>
      <c r="BL4">
        <v>0</v>
      </c>
      <c r="BM4">
        <v>0</v>
      </c>
      <c r="BN4">
        <v>-1.7763568394002505E-15</v>
      </c>
      <c r="BO4">
        <v>0</v>
      </c>
      <c r="BP4">
        <v>0</v>
      </c>
      <c r="BQ4">
        <v>-1.7763568394002505E-15</v>
      </c>
      <c r="BR4">
        <v>0</v>
      </c>
      <c r="BS4">
        <v>0</v>
      </c>
      <c r="BT4">
        <v>-1.7763568394002505E-15</v>
      </c>
      <c r="BU4">
        <v>0</v>
      </c>
      <c r="BV4">
        <v>0</v>
      </c>
      <c r="BW4">
        <v>4.4408920985006262E-16</v>
      </c>
      <c r="BX4">
        <v>0</v>
      </c>
      <c r="BY4">
        <v>0</v>
      </c>
      <c r="BZ4">
        <v>4.4408920985006262E-16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f>MAX(CG4,CD4,CA4,BX4,BU4,BR4,BO4,BL4,BI4,BF4,BC4,AZ4,AW4,AT4,AQ4,AN4,AK4,AH4,AE4,AB4,Y4,V4,S4,P4,M4)</f>
        <v>0</v>
      </c>
      <c r="CJ4">
        <f>MIN(CG4,CD4,CA4,BX4,BU4,BR4,BO4,BL4,BI4,BF4,BC4,AZ4,AW4,AT4,AQ4,AN4,AK4,AH4,AE4,AB4,Y4,V4,S4,P4,M4)</f>
        <v>0</v>
      </c>
      <c r="CK4">
        <f>MAX(CH4,CE4,CB4,BY4,BV4,BS4,BP4,BM4,BJ4,BG4,BD4,BA4,AX4,AU4,AR4,AO4,AL4,AI4,AF4,AC4,Z4,W4,T4,Q4,N4)</f>
        <v>0</v>
      </c>
      <c r="CL4">
        <f>MIN(CH4,CE4,CB4,BY4,BV4,BS4,BP4,BM4,BJ4,BG4,BD4,BA4,AX4,AU4,AR4,AO4,AL4,AI4,AF4,AC4,Z4,W4,T4,Q4,N4)</f>
        <v>0</v>
      </c>
    </row>
    <row r="5" spans="1:90" x14ac:dyDescent="0.25">
      <c r="A5" t="str">
        <f>Unit_Width_Strip_Foundation!A127</f>
        <v>Left Soil</v>
      </c>
      <c r="B5">
        <f>Unit_Width_Strip_Foundation!B127/Unit_Width_Strip_Foundation!F10</f>
        <v>0.57500000000000007</v>
      </c>
      <c r="C5">
        <v>0</v>
      </c>
      <c r="D5">
        <v>0</v>
      </c>
      <c r="E5">
        <f>Unit_Width_Strip_Foundation!F10</f>
        <v>3</v>
      </c>
      <c r="F5" t="s">
        <v>163</v>
      </c>
      <c r="G5" t="str">
        <f>Unit_Width_Strip_Foundation!E127</f>
        <v>DL</v>
      </c>
      <c r="K5">
        <f>K4+$K$3</f>
        <v>0.15</v>
      </c>
      <c r="L5" cm="1">
        <f t="array" ref="L5:CH5">LRFD_Analysis(Unit_Width_Strip_Foundation!$B$12,K5,$B$3:$G$57,LOAD_COMBOS!$O$30:$AA$54)</f>
        <v>0</v>
      </c>
      <c r="M5">
        <v>-2.6028865509717725E-2</v>
      </c>
      <c r="N5">
        <v>1.9612409862038906E-3</v>
      </c>
      <c r="O5">
        <v>-8.8817841970012523E-16</v>
      </c>
      <c r="P5">
        <v>0.12454883917961801</v>
      </c>
      <c r="Q5">
        <v>-9.4394003356718451E-3</v>
      </c>
      <c r="R5">
        <v>-8.8817841970012523E-16</v>
      </c>
      <c r="S5">
        <v>0.12454883917961801</v>
      </c>
      <c r="T5">
        <v>-9.4394003356718451E-3</v>
      </c>
      <c r="U5">
        <v>-8.8817841970012523E-16</v>
      </c>
      <c r="V5">
        <v>0.12454883917961801</v>
      </c>
      <c r="W5">
        <v>-9.4394003356718451E-3</v>
      </c>
      <c r="X5">
        <v>-1.7763568394002505E-15</v>
      </c>
      <c r="Y5">
        <v>0.10888588560303447</v>
      </c>
      <c r="Z5">
        <v>-8.2555567671444372E-3</v>
      </c>
      <c r="AA5">
        <v>-1.7763568394002505E-15</v>
      </c>
      <c r="AB5">
        <v>0.10888588560303447</v>
      </c>
      <c r="AC5">
        <v>-8.2555567671444372E-3</v>
      </c>
      <c r="AD5">
        <v>-1.7763568394002505E-15</v>
      </c>
      <c r="AE5">
        <v>0.10888588560303447</v>
      </c>
      <c r="AF5">
        <v>-8.2555567671444372E-3</v>
      </c>
      <c r="AG5">
        <v>-8.8817841970012523E-16</v>
      </c>
      <c r="AH5">
        <v>0.11976355651035549</v>
      </c>
      <c r="AI5">
        <v>-9.0806887516363989E-3</v>
      </c>
      <c r="AJ5">
        <v>-8.8817841970012523E-16</v>
      </c>
      <c r="AK5">
        <v>0.11976355651035549</v>
      </c>
      <c r="AL5">
        <v>-9.0806887516363989E-3</v>
      </c>
      <c r="AM5">
        <v>-8.8817841970012523E-16</v>
      </c>
      <c r="AN5">
        <v>0.11976355651035549</v>
      </c>
      <c r="AO5">
        <v>-9.0806887516363989E-3</v>
      </c>
      <c r="AP5">
        <v>-8.8817841970012523E-16</v>
      </c>
      <c r="AQ5">
        <v>7.7366538014836755E-2</v>
      </c>
      <c r="AR5">
        <v>-5.8692202410123885E-3</v>
      </c>
      <c r="AS5">
        <v>-8.8817841970012523E-16</v>
      </c>
      <c r="AT5">
        <v>7.7366538014836755E-2</v>
      </c>
      <c r="AU5">
        <v>-5.8692202410123885E-3</v>
      </c>
      <c r="AV5">
        <v>-8.8817841970012523E-16</v>
      </c>
      <c r="AW5">
        <v>7.7366538014836755E-2</v>
      </c>
      <c r="AX5">
        <v>-5.8692202410123885E-3</v>
      </c>
      <c r="AY5">
        <v>-1.7763568394002505E-15</v>
      </c>
      <c r="AZ5">
        <v>0.14263176825250978</v>
      </c>
      <c r="BA5">
        <v>-1.0717086190221787E-2</v>
      </c>
      <c r="BB5">
        <v>-1.7763568394002505E-15</v>
      </c>
      <c r="BC5">
        <v>0.14263176825250978</v>
      </c>
      <c r="BD5">
        <v>-1.0717086190221787E-2</v>
      </c>
      <c r="BE5">
        <v>-1.7763568394002505E-15</v>
      </c>
      <c r="BF5">
        <v>0.14263176825250978</v>
      </c>
      <c r="BG5">
        <v>-1.0717086190221787E-2</v>
      </c>
      <c r="BH5">
        <v>-1.7763568394002505E-15</v>
      </c>
      <c r="BI5">
        <v>6.0086239132623953E-2</v>
      </c>
      <c r="BJ5">
        <v>-4.5591051408143375E-3</v>
      </c>
      <c r="BK5">
        <v>-1.7763568394002505E-15</v>
      </c>
      <c r="BL5">
        <v>6.0086239132623953E-2</v>
      </c>
      <c r="BM5">
        <v>-4.5591051408143375E-3</v>
      </c>
      <c r="BN5">
        <v>-1.7763568394002505E-15</v>
      </c>
      <c r="BO5">
        <v>6.0086239132623953E-2</v>
      </c>
      <c r="BP5">
        <v>-4.5591051408143375E-3</v>
      </c>
      <c r="BQ5">
        <v>-1.7763568394002505E-15</v>
      </c>
      <c r="BR5">
        <v>0.10888588560303447</v>
      </c>
      <c r="BS5">
        <v>-8.2555567671444372E-3</v>
      </c>
      <c r="BT5">
        <v>-1.7763568394002505E-15</v>
      </c>
      <c r="BU5">
        <v>0.10888588560303447</v>
      </c>
      <c r="BV5">
        <v>-8.2555567671444372E-3</v>
      </c>
      <c r="BW5">
        <v>4.4408920985006262E-16</v>
      </c>
      <c r="BX5">
        <v>8.9054758195428144E-2</v>
      </c>
      <c r="BY5">
        <v>-6.7523493561813964E-3</v>
      </c>
      <c r="BZ5">
        <v>4.4408920985006262E-16</v>
      </c>
      <c r="CA5">
        <v>4.2607212043905829E-3</v>
      </c>
      <c r="CB5">
        <v>-3.2941233493336865E-4</v>
      </c>
      <c r="CC5">
        <v>0</v>
      </c>
      <c r="CD5">
        <v>5.3060367674801094E-2</v>
      </c>
      <c r="CE5">
        <v>-4.0258639612634674E-3</v>
      </c>
      <c r="CF5">
        <v>0</v>
      </c>
      <c r="CG5">
        <v>5.3060367674801094E-2</v>
      </c>
      <c r="CH5">
        <v>-4.0258639612634674E-3</v>
      </c>
      <c r="CI5">
        <f t="shared" ref="CI5:CI48" si="0">MAX(CG5,CD5,CA5,BX5,BU5,BR5,BO5,BL5,BI5,BF5,BC5,AZ5,AW5,AT5,AQ5,AN5,AK5,AH5,AE5,AB5,Y5,V5,S5,P5,M5)</f>
        <v>0.14263176825250978</v>
      </c>
      <c r="CJ5">
        <f t="shared" ref="CJ5:CJ48" si="1">MIN(CG5,CD5,CA5,BX5,BU5,BR5,BO5,BL5,BI5,BF5,BC5,AZ5,AW5,AT5,AQ5,AN5,AK5,AH5,AE5,AB5,Y5,V5,S5,P5,M5)</f>
        <v>-2.6028865509717725E-2</v>
      </c>
      <c r="CK5">
        <f t="shared" ref="CK5:CK48" si="2">MAX(CH5,CE5,CB5,BY5,BV5,BS5,BP5,BM5,BJ5,BG5,BD5,BA5,AX5,AU5,AR5,AO5,AL5,AI5,AF5,AC5,Z5,W5,T5,Q5,N5)</f>
        <v>1.9612409862038906E-3</v>
      </c>
      <c r="CL5">
        <f t="shared" ref="CL5:CL48" si="3">MIN(CH5,CE5,CB5,BY5,BV5,BS5,BP5,BM5,BJ5,BG5,BD5,BA5,AX5,AU5,AR5,AO5,AL5,AI5,AF5,AC5,Z5,W5,T5,Q5,N5)</f>
        <v>-1.0717086190221787E-2</v>
      </c>
    </row>
    <row r="6" spans="1:90" x14ac:dyDescent="0.25">
      <c r="A6" t="str">
        <f>Unit_Width_Strip_Foundation!A128</f>
        <v>Right Soil</v>
      </c>
      <c r="B6">
        <f>Unit_Width_Strip_Foundation!B128/Unit_Width_Strip_Foundation!F11</f>
        <v>0.22999999999999998</v>
      </c>
      <c r="C6">
        <v>0</v>
      </c>
      <c r="D6">
        <f>Unit_Width_Strip_Foundation!F10+(Unit_Width_Strip_Foundation!B3/12)</f>
        <v>3.6666666666666665</v>
      </c>
      <c r="E6">
        <f>Unit_Width_Strip_Foundation!B12</f>
        <v>5.166666666666667</v>
      </c>
      <c r="F6" t="s">
        <v>163</v>
      </c>
      <c r="G6" t="str">
        <f>Unit_Width_Strip_Foundation!E128</f>
        <v>DL</v>
      </c>
      <c r="K6">
        <f t="shared" ref="K6:K24" si="4">K5+$K$3</f>
        <v>0.3</v>
      </c>
      <c r="L6" cm="1">
        <f t="array" ref="L6:CH6">LRFD_Analysis(Unit_Width_Strip_Foundation!$B$12,K6,$B$3:$G$57,LOAD_COMBOS!$O$30:$AA$54)</f>
        <v>0</v>
      </c>
      <c r="M6">
        <v>-5.133164518143063E-2</v>
      </c>
      <c r="N6">
        <v>7.7723553610150667E-3</v>
      </c>
      <c r="O6">
        <v>-8.8817841970012523E-16</v>
      </c>
      <c r="P6">
        <v>0.24123868658319628</v>
      </c>
      <c r="Q6">
        <v>-3.69717021650834E-2</v>
      </c>
      <c r="R6">
        <v>-8.8817841970012523E-16</v>
      </c>
      <c r="S6">
        <v>0.24123868658319628</v>
      </c>
      <c r="T6">
        <v>-3.69717021650834E-2</v>
      </c>
      <c r="U6">
        <v>-8.8817841970012523E-16</v>
      </c>
      <c r="V6">
        <v>0.24123868658319628</v>
      </c>
      <c r="W6">
        <v>-3.69717021650834E-2</v>
      </c>
      <c r="X6">
        <v>-1.7763568394002505E-15</v>
      </c>
      <c r="Y6">
        <v>0.2106425434527206</v>
      </c>
      <c r="Z6">
        <v>-3.230930429324292E-2</v>
      </c>
      <c r="AA6">
        <v>-1.7763568394002505E-15</v>
      </c>
      <c r="AB6">
        <v>0.2106425434527206</v>
      </c>
      <c r="AC6">
        <v>-3.230930429324292E-2</v>
      </c>
      <c r="AD6">
        <v>-1.7763568394002505E-15</v>
      </c>
      <c r="AE6">
        <v>0.2106425434527206</v>
      </c>
      <c r="AF6">
        <v>-3.230930429324292E-2</v>
      </c>
      <c r="AG6">
        <v>-8.8817841970012523E-16</v>
      </c>
      <c r="AH6">
        <v>0.23165335195193182</v>
      </c>
      <c r="AI6">
        <v>-3.553537889966768E-2</v>
      </c>
      <c r="AJ6">
        <v>-8.8817841970012523E-16</v>
      </c>
      <c r="AK6">
        <v>0.23165335195193182</v>
      </c>
      <c r="AL6">
        <v>-3.553537889966768E-2</v>
      </c>
      <c r="AM6">
        <v>-8.8817841970012523E-16</v>
      </c>
      <c r="AN6">
        <v>0.23165335195193182</v>
      </c>
      <c r="AO6">
        <v>-3.553537889966768E-2</v>
      </c>
      <c r="AP6">
        <v>-8.8817841970012523E-16</v>
      </c>
      <c r="AQ6">
        <v>0.14939468483770277</v>
      </c>
      <c r="AR6">
        <v>-2.2943041844852487E-2</v>
      </c>
      <c r="AS6">
        <v>-8.8817841970012523E-16</v>
      </c>
      <c r="AT6">
        <v>0.14939468483770277</v>
      </c>
      <c r="AU6">
        <v>-2.2943041844852487E-2</v>
      </c>
      <c r="AV6">
        <v>-8.8817841970012523E-16</v>
      </c>
      <c r="AW6">
        <v>0.14939468483770277</v>
      </c>
      <c r="AX6">
        <v>-2.2943041844852487E-2</v>
      </c>
      <c r="AY6">
        <v>-1.7763568394002505E-15</v>
      </c>
      <c r="AZ6">
        <v>0.27850241381520696</v>
      </c>
      <c r="BA6">
        <v>-4.2418329148325218E-2</v>
      </c>
      <c r="BB6">
        <v>-1.7763568394002505E-15</v>
      </c>
      <c r="BC6">
        <v>0.27850241381520696</v>
      </c>
      <c r="BD6">
        <v>-4.2418329148325218E-2</v>
      </c>
      <c r="BE6">
        <v>-1.7763568394002505E-15</v>
      </c>
      <c r="BF6">
        <v>0.27850241381520696</v>
      </c>
      <c r="BG6">
        <v>-4.2418329148325218E-2</v>
      </c>
      <c r="BH6">
        <v>-1.7763568394002505E-15</v>
      </c>
      <c r="BI6">
        <v>0.11596150179584438</v>
      </c>
      <c r="BJ6">
        <v>-1.7815322916317006E-2</v>
      </c>
      <c r="BK6">
        <v>-1.7763568394002505E-15</v>
      </c>
      <c r="BL6">
        <v>0.11596150179584438</v>
      </c>
      <c r="BM6">
        <v>-1.7815322916317006E-2</v>
      </c>
      <c r="BN6">
        <v>-1.7763568394002505E-15</v>
      </c>
      <c r="BO6">
        <v>0.11596150179584438</v>
      </c>
      <c r="BP6">
        <v>-1.7815322916317006E-2</v>
      </c>
      <c r="BQ6">
        <v>-1.7763568394002505E-15</v>
      </c>
      <c r="BR6">
        <v>0.2106425434527206</v>
      </c>
      <c r="BS6">
        <v>-3.230930429324292E-2</v>
      </c>
      <c r="BT6">
        <v>-1.7763568394002505E-15</v>
      </c>
      <c r="BU6">
        <v>0.2106425434527206</v>
      </c>
      <c r="BV6">
        <v>-3.230930429324292E-2</v>
      </c>
      <c r="BW6">
        <v>4.4408920985006262E-16</v>
      </c>
      <c r="BX6">
        <v>0.17225011706891341</v>
      </c>
      <c r="BY6">
        <v>-2.6423457492531298E-2</v>
      </c>
      <c r="BZ6">
        <v>4.4408920985006262E-16</v>
      </c>
      <c r="CA6">
        <v>7.732782840455199E-3</v>
      </c>
      <c r="CB6">
        <v>-1.2387833829008883E-3</v>
      </c>
      <c r="CC6">
        <v>0</v>
      </c>
      <c r="CD6">
        <v>0.10241382449733137</v>
      </c>
      <c r="CE6">
        <v>-1.5732764759826788E-2</v>
      </c>
      <c r="CF6">
        <v>0</v>
      </c>
      <c r="CG6">
        <v>0.10241382449733137</v>
      </c>
      <c r="CH6">
        <v>-1.5732764759826788E-2</v>
      </c>
      <c r="CI6">
        <f t="shared" si="0"/>
        <v>0.27850241381520696</v>
      </c>
      <c r="CJ6">
        <f t="shared" si="1"/>
        <v>-5.133164518143063E-2</v>
      </c>
      <c r="CK6">
        <f t="shared" si="2"/>
        <v>7.7723553610150667E-3</v>
      </c>
      <c r="CL6">
        <f t="shared" si="3"/>
        <v>-4.2418329148325218E-2</v>
      </c>
    </row>
    <row r="7" spans="1:90" x14ac:dyDescent="0.25">
      <c r="A7" t="str">
        <f>Unit_Width_Strip_Foundation!A129</f>
        <v>DL Surcharge</v>
      </c>
      <c r="B7">
        <f>Unit_Width_Strip_Foundation!B129/Unit_Width_Strip_Foundation!F10</f>
        <v>5.0000000000000001E-3</v>
      </c>
      <c r="C7">
        <v>0</v>
      </c>
      <c r="D7">
        <f>D5</f>
        <v>0</v>
      </c>
      <c r="E7">
        <f>E5</f>
        <v>3</v>
      </c>
      <c r="F7" t="s">
        <v>163</v>
      </c>
      <c r="G7" t="str">
        <f>Unit_Width_Strip_Foundation!E129</f>
        <v>DL</v>
      </c>
      <c r="K7">
        <f t="shared" si="4"/>
        <v>0.44999999999999996</v>
      </c>
      <c r="L7" cm="1">
        <f t="array" ref="L7:CH7">LRFD_Analysis(Unit_Width_Strip_Foundation!$B$12,K7,$B$3:$G$57,LOAD_COMBOS!$O$30:$AA$54)</f>
        <v>0</v>
      </c>
      <c r="M7">
        <v>-7.590833901513877E-2</v>
      </c>
      <c r="N7">
        <v>1.73244302487328E-2</v>
      </c>
      <c r="O7">
        <v>-8.8817841970012523E-16</v>
      </c>
      <c r="P7">
        <v>0.35006954221073461</v>
      </c>
      <c r="Q7">
        <v>-8.141805672182871E-2</v>
      </c>
      <c r="R7">
        <v>-8.8817841970012523E-16</v>
      </c>
      <c r="S7">
        <v>0.35006954221073461</v>
      </c>
      <c r="T7">
        <v>-8.141805672182871E-2</v>
      </c>
      <c r="U7">
        <v>-8.8817841970012523E-16</v>
      </c>
      <c r="V7">
        <v>0.35006954221073461</v>
      </c>
      <c r="W7">
        <v>-8.141805672182871E-2</v>
      </c>
      <c r="X7">
        <v>-1.7763568394002505E-15</v>
      </c>
      <c r="Y7">
        <v>0.30526997354905827</v>
      </c>
      <c r="Z7">
        <v>-7.1091858415293196E-2</v>
      </c>
      <c r="AA7">
        <v>-1.7763568394002505E-15</v>
      </c>
      <c r="AB7">
        <v>0.30526997354905827</v>
      </c>
      <c r="AC7">
        <v>-7.1091858415293196E-2</v>
      </c>
      <c r="AD7">
        <v>-1.7763568394002505E-15</v>
      </c>
      <c r="AE7">
        <v>0.30526997354905827</v>
      </c>
      <c r="AF7">
        <v>-7.1091858415293196E-2</v>
      </c>
      <c r="AG7">
        <v>-8.8817841970012523E-16</v>
      </c>
      <c r="AH7">
        <v>0.33566938632472887</v>
      </c>
      <c r="AI7">
        <v>-7.8183006283776973E-2</v>
      </c>
      <c r="AJ7">
        <v>-8.8817841970012523E-16</v>
      </c>
      <c r="AK7">
        <v>0.33566938632472887</v>
      </c>
      <c r="AL7">
        <v>-7.8183006283776973E-2</v>
      </c>
      <c r="AM7">
        <v>-8.8817841970012523E-16</v>
      </c>
      <c r="AN7">
        <v>0.33566938632472887</v>
      </c>
      <c r="AO7">
        <v>-7.8183006283776973E-2</v>
      </c>
      <c r="AP7">
        <v>-8.8817841970012523E-16</v>
      </c>
      <c r="AQ7">
        <v>0.21608444046859793</v>
      </c>
      <c r="AR7">
        <v>-5.042070613272466E-2</v>
      </c>
      <c r="AS7">
        <v>-8.8817841970012523E-16</v>
      </c>
      <c r="AT7">
        <v>0.21608444046859793</v>
      </c>
      <c r="AU7">
        <v>-5.042070613272466E-2</v>
      </c>
      <c r="AV7">
        <v>-8.8817841970012523E-16</v>
      </c>
      <c r="AW7">
        <v>0.21608444046859793</v>
      </c>
      <c r="AX7">
        <v>-5.042070613272466E-2</v>
      </c>
      <c r="AY7">
        <v>-1.7763568394002505E-15</v>
      </c>
      <c r="AZ7">
        <v>0.40507871513592975</v>
      </c>
      <c r="BA7">
        <v>-9.3803093122685144E-2</v>
      </c>
      <c r="BB7">
        <v>-1.7763568394002505E-15</v>
      </c>
      <c r="BC7">
        <v>0.40507871513592975</v>
      </c>
      <c r="BD7">
        <v>-9.3803093122685144E-2</v>
      </c>
      <c r="BE7">
        <v>-1.7763568394002505E-15</v>
      </c>
      <c r="BF7">
        <v>0.40507871513592975</v>
      </c>
      <c r="BG7">
        <v>-9.3803093122685144E-2</v>
      </c>
      <c r="BH7">
        <v>-1.7763568394002505E-15</v>
      </c>
      <c r="BI7">
        <v>0.16762578798966116</v>
      </c>
      <c r="BJ7">
        <v>-3.9137006856097452E-2</v>
      </c>
      <c r="BK7">
        <v>-1.7763568394002505E-15</v>
      </c>
      <c r="BL7">
        <v>0.16762578798966116</v>
      </c>
      <c r="BM7">
        <v>-3.9137006856097452E-2</v>
      </c>
      <c r="BN7">
        <v>-1.7763568394002505E-15</v>
      </c>
      <c r="BO7">
        <v>0.16762578798966116</v>
      </c>
      <c r="BP7">
        <v>-3.9137006856097452E-2</v>
      </c>
      <c r="BQ7">
        <v>-1.7763568394002505E-15</v>
      </c>
      <c r="BR7">
        <v>0.30526997354905827</v>
      </c>
      <c r="BS7">
        <v>-7.1091858415293196E-2</v>
      </c>
      <c r="BT7">
        <v>-1.7763568394002505E-15</v>
      </c>
      <c r="BU7">
        <v>0.30526997354905827</v>
      </c>
      <c r="BV7">
        <v>-7.1091858415293196E-2</v>
      </c>
      <c r="BW7">
        <v>4.4408920985006262E-16</v>
      </c>
      <c r="BX7">
        <v>0.24958607662045579</v>
      </c>
      <c r="BY7">
        <v>-5.8134414510758264E-2</v>
      </c>
      <c r="BZ7">
        <v>4.4408920985006262E-16</v>
      </c>
      <c r="CA7">
        <v>1.0416184908193793E-2</v>
      </c>
      <c r="CB7">
        <v>-2.6098142086536519E-3</v>
      </c>
      <c r="CC7">
        <v>0</v>
      </c>
      <c r="CD7">
        <v>0.14806037046759082</v>
      </c>
      <c r="CE7">
        <v>-3.4564665767849327E-2</v>
      </c>
      <c r="CF7">
        <v>0</v>
      </c>
      <c r="CG7">
        <v>0.14806037046759082</v>
      </c>
      <c r="CH7">
        <v>-3.4564665767849327E-2</v>
      </c>
      <c r="CI7">
        <f t="shared" si="0"/>
        <v>0.40507871513592975</v>
      </c>
      <c r="CJ7">
        <f t="shared" si="1"/>
        <v>-7.590833901513877E-2</v>
      </c>
      <c r="CK7">
        <f t="shared" si="2"/>
        <v>1.73244302487328E-2</v>
      </c>
      <c r="CL7">
        <f t="shared" si="3"/>
        <v>-9.3803093122685144E-2</v>
      </c>
    </row>
    <row r="8" spans="1:90" x14ac:dyDescent="0.25">
      <c r="A8" t="str">
        <f>Unit_Width_Strip_Foundation!A130</f>
        <v>LL Surcharge</v>
      </c>
      <c r="B8">
        <f>Unit_Width_Strip_Foundation!B130/Unit_Width_Strip_Foundation!F10</f>
        <v>4.9999999999999996E-2</v>
      </c>
      <c r="C8">
        <v>0</v>
      </c>
      <c r="D8">
        <v>0</v>
      </c>
      <c r="E8">
        <f>E5</f>
        <v>3</v>
      </c>
      <c r="F8" t="s">
        <v>163</v>
      </c>
      <c r="G8" t="str">
        <f>Unit_Width_Strip_Foundation!E130</f>
        <v>LL</v>
      </c>
      <c r="K8">
        <f t="shared" si="4"/>
        <v>0.6</v>
      </c>
      <c r="L8" cm="1">
        <f t="array" ref="L8:CH8">LRFD_Analysis(Unit_Width_Strip_Foundation!$B$12,K8,$B$3:$G$57,LOAD_COMBOS!$O$30:$AA$54)</f>
        <v>0</v>
      </c>
      <c r="M8">
        <v>-9.9758947010842203E-2</v>
      </c>
      <c r="N8">
        <v>3.0508552773656467E-2</v>
      </c>
      <c r="O8">
        <v>-8.8817841970012523E-16</v>
      </c>
      <c r="P8">
        <v>0.45104140606223359</v>
      </c>
      <c r="Q8">
        <v>-0.14159961523950182</v>
      </c>
      <c r="R8">
        <v>-8.8817841970012523E-16</v>
      </c>
      <c r="S8">
        <v>0.45104140606223359</v>
      </c>
      <c r="T8">
        <v>-0.14159961523950182</v>
      </c>
      <c r="U8">
        <v>-8.8817841970012523E-16</v>
      </c>
      <c r="V8">
        <v>0.45104140606223359</v>
      </c>
      <c r="W8">
        <v>-0.14159961523950182</v>
      </c>
      <c r="X8">
        <v>-1.7763568394002505E-15</v>
      </c>
      <c r="Y8">
        <v>0.39276817589204793</v>
      </c>
      <c r="Z8">
        <v>-0.12353383497029299</v>
      </c>
      <c r="AA8">
        <v>-1.7763568394002505E-15</v>
      </c>
      <c r="AB8">
        <v>0.39276817589204793</v>
      </c>
      <c r="AC8">
        <v>-0.12353383497029299</v>
      </c>
      <c r="AD8">
        <v>-1.7763568394002505E-15</v>
      </c>
      <c r="AE8">
        <v>0.39276817589204793</v>
      </c>
      <c r="AF8">
        <v>-0.12353383497029299</v>
      </c>
      <c r="AG8">
        <v>-8.8817841970012523E-16</v>
      </c>
      <c r="AH8">
        <v>0.43181165962874701</v>
      </c>
      <c r="AI8">
        <v>-0.1358425067436474</v>
      </c>
      <c r="AJ8">
        <v>-8.8817841970012523E-16</v>
      </c>
      <c r="AK8">
        <v>0.43181165962874701</v>
      </c>
      <c r="AL8">
        <v>-0.1358425067436474</v>
      </c>
      <c r="AM8">
        <v>-8.8817841970012523E-16</v>
      </c>
      <c r="AN8">
        <v>0.43181165962874701</v>
      </c>
      <c r="AO8">
        <v>-0.1358425067436474</v>
      </c>
      <c r="AP8">
        <v>-8.8817841970012523E-16</v>
      </c>
      <c r="AQ8">
        <v>0.27743580490752262</v>
      </c>
      <c r="AR8">
        <v>-8.7501454425833347E-2</v>
      </c>
      <c r="AS8">
        <v>-8.8817841970012523E-16</v>
      </c>
      <c r="AT8">
        <v>0.27743580490752262</v>
      </c>
      <c r="AU8">
        <v>-8.7501454425833347E-2</v>
      </c>
      <c r="AV8">
        <v>-8.8817841970012523E-16</v>
      </c>
      <c r="AW8">
        <v>0.27743580490752262</v>
      </c>
      <c r="AX8">
        <v>-8.7501454425833347E-2</v>
      </c>
      <c r="AY8">
        <v>-1.7763568394002505E-15</v>
      </c>
      <c r="AZ8">
        <v>0.52236067221467863</v>
      </c>
      <c r="BA8">
        <v>-0.16347722647700547</v>
      </c>
      <c r="BB8">
        <v>-1.7763568394002505E-15</v>
      </c>
      <c r="BC8">
        <v>0.52236067221467863</v>
      </c>
      <c r="BD8">
        <v>-0.16347722647700547</v>
      </c>
      <c r="BE8">
        <v>-1.7763568394002505E-15</v>
      </c>
      <c r="BF8">
        <v>0.52236067221467863</v>
      </c>
      <c r="BG8">
        <v>-0.16347722647700547</v>
      </c>
      <c r="BH8">
        <v>-1.7763568394002505E-15</v>
      </c>
      <c r="BI8">
        <v>0.2150790977140748</v>
      </c>
      <c r="BJ8">
        <v>-6.789251048974522E-2</v>
      </c>
      <c r="BK8">
        <v>-1.7763568394002505E-15</v>
      </c>
      <c r="BL8">
        <v>0.2150790977140748</v>
      </c>
      <c r="BM8">
        <v>-6.789251048974522E-2</v>
      </c>
      <c r="BN8">
        <v>-1.7763568394002505E-15</v>
      </c>
      <c r="BO8">
        <v>0.2150790977140748</v>
      </c>
      <c r="BP8">
        <v>-6.789251048974522E-2</v>
      </c>
      <c r="BQ8">
        <v>-1.7763568394002505E-15</v>
      </c>
      <c r="BR8">
        <v>0.39276817589204793</v>
      </c>
      <c r="BS8">
        <v>-0.12353383497029299</v>
      </c>
      <c r="BT8">
        <v>-1.7763568394002505E-15</v>
      </c>
      <c r="BU8">
        <v>0.39276817589204793</v>
      </c>
      <c r="BV8">
        <v>-0.12353383497029299</v>
      </c>
      <c r="BW8">
        <v>4.4408920985006262E-16</v>
      </c>
      <c r="BX8">
        <v>0.32106263685005537</v>
      </c>
      <c r="BY8">
        <v>-0.10100631051257089</v>
      </c>
      <c r="BZ8">
        <v>4.4408920985006262E-16</v>
      </c>
      <c r="CA8">
        <v>1.2310927407606365E-2</v>
      </c>
      <c r="CB8">
        <v>-4.3242058769427244E-3</v>
      </c>
      <c r="CC8">
        <v>0</v>
      </c>
      <c r="CD8">
        <v>0.1900000055855795</v>
      </c>
      <c r="CE8">
        <v>-5.9965530357490499E-2</v>
      </c>
      <c r="CF8">
        <v>0</v>
      </c>
      <c r="CG8">
        <v>0.1900000055855795</v>
      </c>
      <c r="CH8">
        <v>-5.9965530357490499E-2</v>
      </c>
      <c r="CI8">
        <f t="shared" si="0"/>
        <v>0.52236067221467863</v>
      </c>
      <c r="CJ8">
        <f t="shared" si="1"/>
        <v>-9.9758947010842203E-2</v>
      </c>
      <c r="CK8">
        <f t="shared" si="2"/>
        <v>3.0508552773656467E-2</v>
      </c>
      <c r="CL8">
        <f t="shared" si="3"/>
        <v>-0.16347722647700547</v>
      </c>
    </row>
    <row r="9" spans="1:90" x14ac:dyDescent="0.25">
      <c r="A9" t="str">
        <f>Unit_Width_Strip_Foundation!A131</f>
        <v>1V</v>
      </c>
      <c r="B9">
        <f>Unit_Width_Strip_Foundation!B131</f>
        <v>0.77</v>
      </c>
      <c r="C9">
        <v>0</v>
      </c>
      <c r="D9">
        <f>Unit_Width_Strip_Foundation!C63</f>
        <v>3.33</v>
      </c>
      <c r="E9">
        <v>0</v>
      </c>
      <c r="F9" t="s">
        <v>162</v>
      </c>
      <c r="G9" t="str">
        <f>Unit_Width_Strip_Foundation!E131</f>
        <v>DL</v>
      </c>
      <c r="K9">
        <f t="shared" si="4"/>
        <v>0.75</v>
      </c>
      <c r="L9" cm="1">
        <f t="array" ref="L9:CH9">LRFD_Analysis(Unit_Width_Strip_Foundation!$B$12,K9,$B$3:$G$57,LOAD_COMBOS!$O$30:$AA$54)</f>
        <v>0</v>
      </c>
      <c r="M9">
        <v>-0.12288346916854087</v>
      </c>
      <c r="N9">
        <v>4.7215810060085295E-2</v>
      </c>
      <c r="O9">
        <v>-8.8817841970012523E-16</v>
      </c>
      <c r="P9">
        <v>0.54415427813769246</v>
      </c>
      <c r="Q9">
        <v>-0.21633752895169678</v>
      </c>
      <c r="R9">
        <v>-8.8817841970012523E-16</v>
      </c>
      <c r="S9">
        <v>0.54415427813769246</v>
      </c>
      <c r="T9">
        <v>-0.21633752895169678</v>
      </c>
      <c r="U9">
        <v>-8.8817841970012523E-16</v>
      </c>
      <c r="V9">
        <v>0.54415427813769246</v>
      </c>
      <c r="W9">
        <v>-0.21633752895169678</v>
      </c>
      <c r="X9">
        <v>-1.7763568394002505E-15</v>
      </c>
      <c r="Y9">
        <v>0.47313715048168897</v>
      </c>
      <c r="Z9">
        <v>-0.1885658497952401</v>
      </c>
      <c r="AA9">
        <v>-1.7763568394002505E-15</v>
      </c>
      <c r="AB9">
        <v>0.47313715048168897</v>
      </c>
      <c r="AC9">
        <v>-0.1885658497952401</v>
      </c>
      <c r="AD9">
        <v>-1.7763568394002505E-15</v>
      </c>
      <c r="AE9">
        <v>0.47313715048168897</v>
      </c>
      <c r="AF9">
        <v>-0.1885658497952401</v>
      </c>
      <c r="AG9">
        <v>-8.8817841970012523E-16</v>
      </c>
      <c r="AH9">
        <v>0.5200801718639857</v>
      </c>
      <c r="AI9">
        <v>-0.20733281611896209</v>
      </c>
      <c r="AJ9">
        <v>-8.8817841970012523E-16</v>
      </c>
      <c r="AK9">
        <v>0.5200801718639857</v>
      </c>
      <c r="AL9">
        <v>-0.20733281611896209</v>
      </c>
      <c r="AM9">
        <v>-8.8817841970012523E-16</v>
      </c>
      <c r="AN9">
        <v>0.5200801718639857</v>
      </c>
      <c r="AO9">
        <v>-0.20733281611896209</v>
      </c>
      <c r="AP9">
        <v>-8.8817841970012523E-16</v>
      </c>
      <c r="AQ9">
        <v>0.33344877815447627</v>
      </c>
      <c r="AR9">
        <v>-0.13338452804538287</v>
      </c>
      <c r="AS9">
        <v>-8.8817841970012523E-16</v>
      </c>
      <c r="AT9">
        <v>0.33344877815447627</v>
      </c>
      <c r="AU9">
        <v>-0.13338452804538287</v>
      </c>
      <c r="AV9">
        <v>-8.8817841970012523E-16</v>
      </c>
      <c r="AW9">
        <v>0.33344877815447627</v>
      </c>
      <c r="AX9">
        <v>-0.13338452804538287</v>
      </c>
      <c r="AY9">
        <v>-1.7763568394002505E-15</v>
      </c>
      <c r="AZ9">
        <v>0.63034828505145302</v>
      </c>
      <c r="BA9">
        <v>-0.25004657757498999</v>
      </c>
      <c r="BB9">
        <v>-1.7763568394002505E-15</v>
      </c>
      <c r="BC9">
        <v>0.63034828505145302</v>
      </c>
      <c r="BD9">
        <v>-0.25004657757498999</v>
      </c>
      <c r="BE9">
        <v>-1.7763568394002505E-15</v>
      </c>
      <c r="BF9">
        <v>0.63034828505145302</v>
      </c>
      <c r="BG9">
        <v>-0.25004657757498999</v>
      </c>
      <c r="BH9">
        <v>-1.7763568394002505E-15</v>
      </c>
      <c r="BI9">
        <v>0.2583214309690845</v>
      </c>
      <c r="BJ9">
        <v>-0.10345018734684969</v>
      </c>
      <c r="BK9">
        <v>-1.7763568394002505E-15</v>
      </c>
      <c r="BL9">
        <v>0.2583214309690845</v>
      </c>
      <c r="BM9">
        <v>-0.10345018734684969</v>
      </c>
      <c r="BN9">
        <v>-1.7763568394002505E-15</v>
      </c>
      <c r="BO9">
        <v>0.2583214309690845</v>
      </c>
      <c r="BP9">
        <v>-0.10345018734684969</v>
      </c>
      <c r="BQ9">
        <v>-1.7763568394002505E-15</v>
      </c>
      <c r="BR9">
        <v>0.47313715048168897</v>
      </c>
      <c r="BS9">
        <v>-0.1885658497952401</v>
      </c>
      <c r="BT9">
        <v>-1.7763568394002505E-15</v>
      </c>
      <c r="BU9">
        <v>0.47313715048168897</v>
      </c>
      <c r="BV9">
        <v>-0.1885658497952401</v>
      </c>
      <c r="BW9">
        <v>4.4408920985006262E-16</v>
      </c>
      <c r="BX9">
        <v>0.38667979775771216</v>
      </c>
      <c r="BY9">
        <v>-0.15416023559967776</v>
      </c>
      <c r="BZ9">
        <v>4.4408920985006262E-16</v>
      </c>
      <c r="CA9">
        <v>1.3417010338692914E-2</v>
      </c>
      <c r="CB9">
        <v>-6.2636594525191658E-3</v>
      </c>
      <c r="CC9">
        <v>0</v>
      </c>
      <c r="CD9">
        <v>0.22823272985129739</v>
      </c>
      <c r="CE9">
        <v>-9.1379321900909624E-2</v>
      </c>
      <c r="CF9">
        <v>0</v>
      </c>
      <c r="CG9">
        <v>0.22823272985129739</v>
      </c>
      <c r="CH9">
        <v>-9.1379321900909624E-2</v>
      </c>
      <c r="CI9">
        <f t="shared" si="0"/>
        <v>0.63034828505145302</v>
      </c>
      <c r="CJ9">
        <f t="shared" si="1"/>
        <v>-0.12288346916854087</v>
      </c>
      <c r="CK9">
        <f t="shared" si="2"/>
        <v>4.7215810060085295E-2</v>
      </c>
      <c r="CL9">
        <f t="shared" si="3"/>
        <v>-0.25004657757498999</v>
      </c>
    </row>
    <row r="10" spans="1:90" x14ac:dyDescent="0.25">
      <c r="A10" t="str">
        <f>Unit_Width_Strip_Foundation!A132</f>
        <v>2V</v>
      </c>
      <c r="B10">
        <f>Unit_Width_Strip_Foundation!B132</f>
        <v>0</v>
      </c>
      <c r="C10">
        <v>0</v>
      </c>
      <c r="D10">
        <f>Unit_Width_Strip_Foundation!C64</f>
        <v>3.33</v>
      </c>
      <c r="E10">
        <v>0</v>
      </c>
      <c r="F10" t="s">
        <v>162</v>
      </c>
      <c r="G10" t="str">
        <f>Unit_Width_Strip_Foundation!E132</f>
        <v>DL</v>
      </c>
      <c r="K10">
        <f t="shared" si="4"/>
        <v>0.9</v>
      </c>
      <c r="L10" cm="1">
        <f t="array" ref="L10:CH10">LRFD_Analysis(Unit_Width_Strip_Foundation!$B$12,K10,$B$3:$G$57,LOAD_COMBOS!$O$30:$AA$54)</f>
        <v>0</v>
      </c>
      <c r="M10">
        <v>-0.14528190548823483</v>
      </c>
      <c r="N10">
        <v>6.7337289232318798E-2</v>
      </c>
      <c r="O10">
        <v>-8.8817841970012523E-16</v>
      </c>
      <c r="P10">
        <v>0.62940815843711162</v>
      </c>
      <c r="Q10">
        <v>-0.30445294909200754</v>
      </c>
      <c r="R10">
        <v>-8.8817841970012523E-16</v>
      </c>
      <c r="S10">
        <v>0.62940815843711162</v>
      </c>
      <c r="T10">
        <v>-0.30445294909200754</v>
      </c>
      <c r="U10">
        <v>-8.8817841970012523E-16</v>
      </c>
      <c r="V10">
        <v>0.62940815843711162</v>
      </c>
      <c r="W10">
        <v>-0.30445294909200754</v>
      </c>
      <c r="X10">
        <v>-1.7763568394002505E-15</v>
      </c>
      <c r="Y10">
        <v>0.54637689731798167</v>
      </c>
      <c r="Z10">
        <v>-0.26511851872713221</v>
      </c>
      <c r="AA10">
        <v>-1.7763568394002505E-15</v>
      </c>
      <c r="AB10">
        <v>0.54637689731798167</v>
      </c>
      <c r="AC10">
        <v>-0.26511851872713221</v>
      </c>
      <c r="AD10">
        <v>-1.7763568394002505E-15</v>
      </c>
      <c r="AE10">
        <v>0.54637689731798167</v>
      </c>
      <c r="AF10">
        <v>-0.26511851872713221</v>
      </c>
      <c r="AG10">
        <v>-8.8817841970012523E-16</v>
      </c>
      <c r="AH10">
        <v>0.60047492303044547</v>
      </c>
      <c r="AI10">
        <v>-0.29147287024940416</v>
      </c>
      <c r="AJ10">
        <v>-8.8817841970012523E-16</v>
      </c>
      <c r="AK10">
        <v>0.60047492303044547</v>
      </c>
      <c r="AL10">
        <v>-0.29147287024940416</v>
      </c>
      <c r="AM10">
        <v>-8.8817841970012523E-16</v>
      </c>
      <c r="AN10">
        <v>0.60047492303044547</v>
      </c>
      <c r="AO10">
        <v>-0.29147287024940416</v>
      </c>
      <c r="AP10">
        <v>-8.8817841970012523E-16</v>
      </c>
      <c r="AQ10">
        <v>0.38412336020945942</v>
      </c>
      <c r="AR10">
        <v>-0.18726916831257773</v>
      </c>
      <c r="AS10">
        <v>-8.8817841970012523E-16</v>
      </c>
      <c r="AT10">
        <v>0.38412336020945942</v>
      </c>
      <c r="AU10">
        <v>-0.18726916831257773</v>
      </c>
      <c r="AV10">
        <v>-8.8817841970012523E-16</v>
      </c>
      <c r="AW10">
        <v>0.38412336020945942</v>
      </c>
      <c r="AX10">
        <v>-0.18726916831257773</v>
      </c>
      <c r="AY10">
        <v>-1.7763568394002505E-15</v>
      </c>
      <c r="AZ10">
        <v>0.72904155364625323</v>
      </c>
      <c r="BA10">
        <v>-0.35211699478034264</v>
      </c>
      <c r="BB10">
        <v>-1.7763568394002505E-15</v>
      </c>
      <c r="BC10">
        <v>0.72904155364625323</v>
      </c>
      <c r="BD10">
        <v>-0.35211699478034264</v>
      </c>
      <c r="BE10">
        <v>-1.7763568394002505E-15</v>
      </c>
      <c r="BF10">
        <v>0.72904155364625323</v>
      </c>
      <c r="BG10">
        <v>-0.35211699478034264</v>
      </c>
      <c r="BH10">
        <v>-1.7763568394002505E-15</v>
      </c>
      <c r="BI10">
        <v>0.29735278775469087</v>
      </c>
      <c r="BJ10">
        <v>-0.14517839095700036</v>
      </c>
      <c r="BK10">
        <v>-1.7763568394002505E-15</v>
      </c>
      <c r="BL10">
        <v>0.29735278775469087</v>
      </c>
      <c r="BM10">
        <v>-0.14517839095700036</v>
      </c>
      <c r="BN10">
        <v>-1.7763568394002505E-15</v>
      </c>
      <c r="BO10">
        <v>0.29735278775469087</v>
      </c>
      <c r="BP10">
        <v>-0.14517839095700036</v>
      </c>
      <c r="BQ10">
        <v>-1.7763568394002505E-15</v>
      </c>
      <c r="BR10">
        <v>0.54637689731798167</v>
      </c>
      <c r="BS10">
        <v>-0.26511851872713221</v>
      </c>
      <c r="BT10">
        <v>-1.7763568394002505E-15</v>
      </c>
      <c r="BU10">
        <v>0.54637689731798167</v>
      </c>
      <c r="BV10">
        <v>-0.26511851872713221</v>
      </c>
      <c r="BW10">
        <v>4.4408920985006262E-16</v>
      </c>
      <c r="BX10">
        <v>0.44643755934342588</v>
      </c>
      <c r="BY10">
        <v>-0.21671727987378736</v>
      </c>
      <c r="BZ10">
        <v>4.4408920985006262E-16</v>
      </c>
      <c r="CA10">
        <v>1.3734433701453441E-2</v>
      </c>
      <c r="CB10">
        <v>-8.3098760001342753E-3</v>
      </c>
      <c r="CC10">
        <v>0</v>
      </c>
      <c r="CD10">
        <v>0.26275854326474429</v>
      </c>
      <c r="CE10">
        <v>-0.12825000377026616</v>
      </c>
      <c r="CF10">
        <v>0</v>
      </c>
      <c r="CG10">
        <v>0.26275854326474429</v>
      </c>
      <c r="CH10">
        <v>-0.12825000377026616</v>
      </c>
      <c r="CI10">
        <f t="shared" si="0"/>
        <v>0.72904155364625323</v>
      </c>
      <c r="CJ10">
        <f t="shared" si="1"/>
        <v>-0.14528190548823483</v>
      </c>
      <c r="CK10">
        <f t="shared" si="2"/>
        <v>6.7337289232318798E-2</v>
      </c>
      <c r="CL10">
        <f t="shared" si="3"/>
        <v>-0.35211699478034264</v>
      </c>
    </row>
    <row r="11" spans="1:90" x14ac:dyDescent="0.25">
      <c r="A11" t="str">
        <f>Unit_Width_Strip_Foundation!A133</f>
        <v>3V</v>
      </c>
      <c r="B11">
        <f>Unit_Width_Strip_Foundation!B133</f>
        <v>0</v>
      </c>
      <c r="C11">
        <v>0</v>
      </c>
      <c r="D11">
        <f>Unit_Width_Strip_Foundation!C65</f>
        <v>0</v>
      </c>
      <c r="E11">
        <v>0</v>
      </c>
      <c r="F11" t="s">
        <v>162</v>
      </c>
      <c r="G11" t="str">
        <f>Unit_Width_Strip_Foundation!E133</f>
        <v>DL</v>
      </c>
      <c r="K11">
        <f t="shared" si="4"/>
        <v>1.05</v>
      </c>
      <c r="L11" cm="1">
        <f t="array" ref="L11:CH11">LRFD_Analysis(Unit_Width_Strip_Foundation!$B$12,K11,$B$3:$G$57,LOAD_COMBOS!$O$30:$AA$54)</f>
        <v>0</v>
      </c>
      <c r="M11">
        <v>-0.16695425596992353</v>
      </c>
      <c r="N11">
        <v>9.0764077414655309E-2</v>
      </c>
      <c r="O11">
        <v>-8.8817841970012523E-16</v>
      </c>
      <c r="P11">
        <v>0.70680304696049134</v>
      </c>
      <c r="Q11">
        <v>-0.40476702689402844</v>
      </c>
      <c r="R11">
        <v>-8.8817841970012523E-16</v>
      </c>
      <c r="S11">
        <v>0.70680304696049134</v>
      </c>
      <c r="T11">
        <v>-0.40476702689402844</v>
      </c>
      <c r="U11">
        <v>-8.8817841970012523E-16</v>
      </c>
      <c r="V11">
        <v>0.70680304696049134</v>
      </c>
      <c r="W11">
        <v>-0.40476702689402844</v>
      </c>
      <c r="X11">
        <v>-1.7763568394002505E-15</v>
      </c>
      <c r="Y11">
        <v>0.61248741640092641</v>
      </c>
      <c r="Z11">
        <v>-0.35212245760296734</v>
      </c>
      <c r="AA11">
        <v>-1.7763568394002505E-15</v>
      </c>
      <c r="AB11">
        <v>0.61248741640092641</v>
      </c>
      <c r="AC11">
        <v>-0.35212245760296734</v>
      </c>
      <c r="AD11">
        <v>-1.7763568394002505E-15</v>
      </c>
      <c r="AE11">
        <v>0.61248741640092641</v>
      </c>
      <c r="AF11">
        <v>-0.35212245760296734</v>
      </c>
      <c r="AG11">
        <v>-8.8817841970012523E-16</v>
      </c>
      <c r="AH11">
        <v>0.67299591312812601</v>
      </c>
      <c r="AI11">
        <v>-0.38708160497465682</v>
      </c>
      <c r="AJ11">
        <v>-8.8817841970012523E-16</v>
      </c>
      <c r="AK11">
        <v>0.67299591312812601</v>
      </c>
      <c r="AL11">
        <v>-0.38708160497465682</v>
      </c>
      <c r="AM11">
        <v>-8.8817841970012523E-16</v>
      </c>
      <c r="AN11">
        <v>0.67299591312812601</v>
      </c>
      <c r="AO11">
        <v>-0.38708160497465682</v>
      </c>
      <c r="AP11">
        <v>-8.8817841970012523E-16</v>
      </c>
      <c r="AQ11">
        <v>0.4294595510724718</v>
      </c>
      <c r="AR11">
        <v>-0.24835461654862218</v>
      </c>
      <c r="AS11">
        <v>-8.8817841970012523E-16</v>
      </c>
      <c r="AT11">
        <v>0.4294595510724718</v>
      </c>
      <c r="AU11">
        <v>-0.24835461654862218</v>
      </c>
      <c r="AV11">
        <v>-8.8817841970012523E-16</v>
      </c>
      <c r="AW11">
        <v>0.4294595510724718</v>
      </c>
      <c r="AX11">
        <v>-0.24835461654862218</v>
      </c>
      <c r="AY11">
        <v>-1.7763568394002505E-15</v>
      </c>
      <c r="AZ11">
        <v>0.81844047799907949</v>
      </c>
      <c r="BA11">
        <v>-0.46829432645676733</v>
      </c>
      <c r="BB11">
        <v>-1.7763568394002505E-15</v>
      </c>
      <c r="BC11">
        <v>0.81844047799907949</v>
      </c>
      <c r="BD11">
        <v>-0.46829432645676733</v>
      </c>
      <c r="BE11">
        <v>-1.7763568394002505E-15</v>
      </c>
      <c r="BF11">
        <v>0.81844047799907949</v>
      </c>
      <c r="BG11">
        <v>-0.46829432645676733</v>
      </c>
      <c r="BH11">
        <v>-1.7763568394002505E-15</v>
      </c>
      <c r="BI11">
        <v>0.33217316807089403</v>
      </c>
      <c r="BJ11">
        <v>-0.19244547484978686</v>
      </c>
      <c r="BK11">
        <v>-1.7763568394002505E-15</v>
      </c>
      <c r="BL11">
        <v>0.33217316807089403</v>
      </c>
      <c r="BM11">
        <v>-0.19244547484978686</v>
      </c>
      <c r="BN11">
        <v>-1.7763568394002505E-15</v>
      </c>
      <c r="BO11">
        <v>0.33217316807089403</v>
      </c>
      <c r="BP11">
        <v>-0.19244547484978686</v>
      </c>
      <c r="BQ11">
        <v>-1.7763568394002505E-15</v>
      </c>
      <c r="BR11">
        <v>0.61248741640092641</v>
      </c>
      <c r="BS11">
        <v>-0.35212245760296734</v>
      </c>
      <c r="BT11">
        <v>-1.7763568394002505E-15</v>
      </c>
      <c r="BU11">
        <v>0.61248741640092641</v>
      </c>
      <c r="BV11">
        <v>-0.35212245760296734</v>
      </c>
      <c r="BW11">
        <v>4.4408920985006262E-16</v>
      </c>
      <c r="BX11">
        <v>0.50033592160719698</v>
      </c>
      <c r="BY11">
        <v>-0.28779853343660844</v>
      </c>
      <c r="BZ11">
        <v>4.4408920985006262E-16</v>
      </c>
      <c r="CA11">
        <v>1.3263197495888224E-2</v>
      </c>
      <c r="CB11">
        <v>-1.0344556584539089E-2</v>
      </c>
      <c r="CC11">
        <v>0</v>
      </c>
      <c r="CD11">
        <v>0.29357744582592066</v>
      </c>
      <c r="CE11">
        <v>-0.17002153933771949</v>
      </c>
      <c r="CF11">
        <v>0</v>
      </c>
      <c r="CG11">
        <v>0.29357744582592066</v>
      </c>
      <c r="CH11">
        <v>-0.17002153933771949</v>
      </c>
      <c r="CI11">
        <f t="shared" si="0"/>
        <v>0.81844047799907949</v>
      </c>
      <c r="CJ11">
        <f t="shared" si="1"/>
        <v>-0.16695425596992353</v>
      </c>
      <c r="CK11">
        <f t="shared" si="2"/>
        <v>9.0764077414655309E-2</v>
      </c>
      <c r="CL11">
        <f t="shared" si="3"/>
        <v>-0.46829432645676733</v>
      </c>
    </row>
    <row r="12" spans="1:90" x14ac:dyDescent="0.25">
      <c r="A12" t="str">
        <f>Unit_Width_Strip_Foundation!A134</f>
        <v>4V</v>
      </c>
      <c r="B12">
        <f>Unit_Width_Strip_Foundation!B134</f>
        <v>0</v>
      </c>
      <c r="C12">
        <v>0</v>
      </c>
      <c r="D12">
        <f>Unit_Width_Strip_Foundation!C66</f>
        <v>0</v>
      </c>
      <c r="E12">
        <v>0</v>
      </c>
      <c r="F12" t="s">
        <v>162</v>
      </c>
      <c r="G12" t="str">
        <f>Unit_Width_Strip_Foundation!E134</f>
        <v>DL</v>
      </c>
      <c r="K12">
        <f t="shared" si="4"/>
        <v>1.2</v>
      </c>
      <c r="L12" cm="1">
        <f t="array" ref="L12:CH12">LRFD_Analysis(Unit_Width_Strip_Foundation!$B$12,K12,$B$3:$G$57,LOAD_COMBOS!$O$30:$AA$54)</f>
        <v>0</v>
      </c>
      <c r="M12">
        <v>-0.18790052061360796</v>
      </c>
      <c r="N12">
        <v>0.11738726173139524</v>
      </c>
      <c r="O12">
        <v>-8.8817841970012523E-16</v>
      </c>
      <c r="P12">
        <v>0.77633894370783119</v>
      </c>
      <c r="Q12">
        <v>-0.51610091359135291</v>
      </c>
      <c r="R12">
        <v>-8.8817841970012523E-16</v>
      </c>
      <c r="S12">
        <v>0.77633894370783119</v>
      </c>
      <c r="T12">
        <v>-0.51610091359135291</v>
      </c>
      <c r="U12">
        <v>-8.8817841970012523E-16</v>
      </c>
      <c r="V12">
        <v>0.77633894370783119</v>
      </c>
      <c r="W12">
        <v>-0.51610091359135291</v>
      </c>
      <c r="X12">
        <v>-1.7763568394002505E-15</v>
      </c>
      <c r="Y12">
        <v>0.67146870773052258</v>
      </c>
      <c r="Z12">
        <v>-0.44850828225974271</v>
      </c>
      <c r="AA12">
        <v>-1.7763568394002505E-15</v>
      </c>
      <c r="AB12">
        <v>0.67146870773052258</v>
      </c>
      <c r="AC12">
        <v>-0.44850828225974271</v>
      </c>
      <c r="AD12">
        <v>-1.7763568394002505E-15</v>
      </c>
      <c r="AE12">
        <v>0.67146870773052258</v>
      </c>
      <c r="AF12">
        <v>-0.44850828225974271</v>
      </c>
      <c r="AG12">
        <v>-8.8817841970012523E-16</v>
      </c>
      <c r="AH12">
        <v>0.73764314215702742</v>
      </c>
      <c r="AI12">
        <v>-0.49297795613440298</v>
      </c>
      <c r="AJ12">
        <v>-8.8817841970012523E-16</v>
      </c>
      <c r="AK12">
        <v>0.73764314215702742</v>
      </c>
      <c r="AL12">
        <v>-0.49297795613440298</v>
      </c>
      <c r="AM12">
        <v>-8.8817841970012523E-16</v>
      </c>
      <c r="AN12">
        <v>0.73764314215702742</v>
      </c>
      <c r="AO12">
        <v>-0.49297795613440298</v>
      </c>
      <c r="AP12">
        <v>-8.8817841970012523E-16</v>
      </c>
      <c r="AQ12">
        <v>0.46945735074351347</v>
      </c>
      <c r="AR12">
        <v>-0.31584011407472068</v>
      </c>
      <c r="AS12">
        <v>-8.8817841970012523E-16</v>
      </c>
      <c r="AT12">
        <v>0.46945735074351347</v>
      </c>
      <c r="AU12">
        <v>-0.31584011407472068</v>
      </c>
      <c r="AV12">
        <v>-8.8817841970012523E-16</v>
      </c>
      <c r="AW12">
        <v>0.46945735074351347</v>
      </c>
      <c r="AX12">
        <v>-0.31584011407472068</v>
      </c>
      <c r="AY12">
        <v>-1.7763568394002505E-15</v>
      </c>
      <c r="AZ12">
        <v>0.89854505810993113</v>
      </c>
      <c r="BA12">
        <v>-0.59718442096796776</v>
      </c>
      <c r="BB12">
        <v>-1.7763568394002505E-15</v>
      </c>
      <c r="BC12">
        <v>0.89854505810993113</v>
      </c>
      <c r="BD12">
        <v>-0.59718442096796776</v>
      </c>
      <c r="BE12">
        <v>-1.7763568394002505E-15</v>
      </c>
      <c r="BF12">
        <v>0.89854505810993113</v>
      </c>
      <c r="BG12">
        <v>-0.59718442096796776</v>
      </c>
      <c r="BH12">
        <v>-1.7763568394002505E-15</v>
      </c>
      <c r="BI12">
        <v>0.36278257191769336</v>
      </c>
      <c r="BJ12">
        <v>-0.24461979255479843</v>
      </c>
      <c r="BK12">
        <v>-1.7763568394002505E-15</v>
      </c>
      <c r="BL12">
        <v>0.36278257191769336</v>
      </c>
      <c r="BM12">
        <v>-0.24461979255479843</v>
      </c>
      <c r="BN12">
        <v>-1.7763568394002505E-15</v>
      </c>
      <c r="BO12">
        <v>0.36278257191769336</v>
      </c>
      <c r="BP12">
        <v>-0.24461979255479843</v>
      </c>
      <c r="BQ12">
        <v>-1.7763568394002505E-15</v>
      </c>
      <c r="BR12">
        <v>0.67146870773052258</v>
      </c>
      <c r="BS12">
        <v>-0.44850828225974271</v>
      </c>
      <c r="BT12">
        <v>-1.7763568394002505E-15</v>
      </c>
      <c r="BU12">
        <v>0.67146870773052258</v>
      </c>
      <c r="BV12">
        <v>-0.44850828225974271</v>
      </c>
      <c r="BW12">
        <v>4.4408920985006262E-16</v>
      </c>
      <c r="BX12">
        <v>0.54837488454902483</v>
      </c>
      <c r="BY12">
        <v>-0.36652508638984926</v>
      </c>
      <c r="BZ12">
        <v>4.4408920985006262E-16</v>
      </c>
      <c r="CA12">
        <v>1.2003301721996706E-2</v>
      </c>
      <c r="CB12">
        <v>-1.2249402270484488E-2</v>
      </c>
      <c r="CC12">
        <v>0</v>
      </c>
      <c r="CD12">
        <v>0.32068943753482593</v>
      </c>
      <c r="CE12">
        <v>-0.21613789197542871</v>
      </c>
      <c r="CF12">
        <v>0</v>
      </c>
      <c r="CG12">
        <v>0.32068943753482593</v>
      </c>
      <c r="CH12">
        <v>-0.21613789197542871</v>
      </c>
      <c r="CI12">
        <f t="shared" si="0"/>
        <v>0.89854505810993113</v>
      </c>
      <c r="CJ12">
        <f t="shared" si="1"/>
        <v>-0.18790052061360796</v>
      </c>
      <c r="CK12">
        <f t="shared" si="2"/>
        <v>0.11738726173139524</v>
      </c>
      <c r="CL12">
        <f t="shared" si="3"/>
        <v>-0.59718442096796776</v>
      </c>
    </row>
    <row r="13" spans="1:90" x14ac:dyDescent="0.25">
      <c r="A13" t="str">
        <f>Unit_Width_Strip_Foundation!A135</f>
        <v>5V</v>
      </c>
      <c r="B13">
        <f>Unit_Width_Strip_Foundation!B135</f>
        <v>0</v>
      </c>
      <c r="C13">
        <v>0</v>
      </c>
      <c r="D13">
        <f>Unit_Width_Strip_Foundation!C67</f>
        <v>0</v>
      </c>
      <c r="E13">
        <v>0</v>
      </c>
      <c r="F13" t="s">
        <v>162</v>
      </c>
      <c r="G13" t="str">
        <f>Unit_Width_Strip_Foundation!E135</f>
        <v>DL</v>
      </c>
      <c r="K13">
        <f t="shared" si="4"/>
        <v>1.3499999999999999</v>
      </c>
      <c r="L13" cm="1">
        <f t="array" ref="L13:CH13">LRFD_Analysis(Unit_Width_Strip_Foundation!$B$12,K13,$B$3:$G$57,LOAD_COMBOS!$O$30:$AA$54)</f>
        <v>0</v>
      </c>
      <c r="M13">
        <v>-0.20812069941928768</v>
      </c>
      <c r="N13">
        <v>0.14709792930683774</v>
      </c>
      <c r="O13">
        <v>-8.8817841970012523E-16</v>
      </c>
      <c r="P13">
        <v>0.83801584867913093</v>
      </c>
      <c r="Q13">
        <v>-0.63727576041757539</v>
      </c>
      <c r="R13">
        <v>-8.8817841970012523E-16</v>
      </c>
      <c r="S13">
        <v>0.83801584867913093</v>
      </c>
      <c r="T13">
        <v>-0.63727576041757539</v>
      </c>
      <c r="U13">
        <v>-8.8817841970012523E-16</v>
      </c>
      <c r="V13">
        <v>0.83801584867913093</v>
      </c>
      <c r="W13">
        <v>-0.63727576041757539</v>
      </c>
      <c r="X13">
        <v>-1.7763568394002505E-15</v>
      </c>
      <c r="Y13">
        <v>0.7233207713067703</v>
      </c>
      <c r="Z13">
        <v>-0.55320660853445647</v>
      </c>
      <c r="AA13">
        <v>-1.7763568394002505E-15</v>
      </c>
      <c r="AB13">
        <v>0.7233207713067703</v>
      </c>
      <c r="AC13">
        <v>-0.55320660853445647</v>
      </c>
      <c r="AD13">
        <v>-1.7763568394002505E-15</v>
      </c>
      <c r="AE13">
        <v>0.7233207713067703</v>
      </c>
      <c r="AF13">
        <v>-0.55320660853445647</v>
      </c>
      <c r="AG13">
        <v>-8.8817841970012523E-16</v>
      </c>
      <c r="AH13">
        <v>0.79441661011714948</v>
      </c>
      <c r="AI13">
        <v>-0.60798085956832593</v>
      </c>
      <c r="AJ13">
        <v>-8.8817841970012523E-16</v>
      </c>
      <c r="AK13">
        <v>0.79441661011714948</v>
      </c>
      <c r="AL13">
        <v>-0.60798085956832593</v>
      </c>
      <c r="AM13">
        <v>-8.8817841970012523E-16</v>
      </c>
      <c r="AN13">
        <v>0.79441661011714948</v>
      </c>
      <c r="AO13">
        <v>-0.60798085956832593</v>
      </c>
      <c r="AP13">
        <v>-8.8817841970012523E-16</v>
      </c>
      <c r="AQ13">
        <v>0.50411675922258425</v>
      </c>
      <c r="AR13">
        <v>-0.38892490221207754</v>
      </c>
      <c r="AS13">
        <v>-8.8817841970012523E-16</v>
      </c>
      <c r="AT13">
        <v>0.50411675922258425</v>
      </c>
      <c r="AU13">
        <v>-0.38892490221207754</v>
      </c>
      <c r="AV13">
        <v>-8.8817841970012523E-16</v>
      </c>
      <c r="AW13">
        <v>0.50411675922258425</v>
      </c>
      <c r="AX13">
        <v>-0.38892490221207754</v>
      </c>
      <c r="AY13">
        <v>-1.7763568394002505E-15</v>
      </c>
      <c r="AZ13">
        <v>0.96935529397880837</v>
      </c>
      <c r="BA13">
        <v>-0.73739312667764767</v>
      </c>
      <c r="BB13">
        <v>-1.7763568394002505E-15</v>
      </c>
      <c r="BC13">
        <v>0.96935529397880837</v>
      </c>
      <c r="BD13">
        <v>-0.73739312667764767</v>
      </c>
      <c r="BE13">
        <v>-1.7763568394002505E-15</v>
      </c>
      <c r="BF13">
        <v>0.96935529397880837</v>
      </c>
      <c r="BG13">
        <v>-0.73739312667764767</v>
      </c>
      <c r="BH13">
        <v>-1.7763568394002505E-15</v>
      </c>
      <c r="BI13">
        <v>0.38918099929508898</v>
      </c>
      <c r="BJ13">
        <v>-0.30106969760162461</v>
      </c>
      <c r="BK13">
        <v>-1.7763568394002505E-15</v>
      </c>
      <c r="BL13">
        <v>0.38918099929508898</v>
      </c>
      <c r="BM13">
        <v>-0.30106969760162461</v>
      </c>
      <c r="BN13">
        <v>-1.7763568394002505E-15</v>
      </c>
      <c r="BO13">
        <v>0.38918099929508898</v>
      </c>
      <c r="BP13">
        <v>-0.30106969760162461</v>
      </c>
      <c r="BQ13">
        <v>-1.7763568394002505E-15</v>
      </c>
      <c r="BR13">
        <v>0.7233207713067703</v>
      </c>
      <c r="BS13">
        <v>-0.55320660853445647</v>
      </c>
      <c r="BT13">
        <v>-1.7763568394002505E-15</v>
      </c>
      <c r="BU13">
        <v>0.7233207713067703</v>
      </c>
      <c r="BV13">
        <v>-0.55320660853445647</v>
      </c>
      <c r="BW13">
        <v>4.4408920985006262E-16</v>
      </c>
      <c r="BX13">
        <v>0.59055444816891023</v>
      </c>
      <c r="BY13">
        <v>-0.45201802883521858</v>
      </c>
      <c r="BZ13">
        <v>4.4408920985006262E-16</v>
      </c>
      <c r="CA13">
        <v>9.9547463797793334E-3</v>
      </c>
      <c r="CB13">
        <v>-1.390611412272158E-2</v>
      </c>
      <c r="CC13">
        <v>0</v>
      </c>
      <c r="CD13">
        <v>0.34409451839146055</v>
      </c>
      <c r="CE13">
        <v>-0.26604302505555355</v>
      </c>
      <c r="CF13">
        <v>0</v>
      </c>
      <c r="CG13">
        <v>0.34409451839146055</v>
      </c>
      <c r="CH13">
        <v>-0.26604302505555355</v>
      </c>
      <c r="CI13">
        <f t="shared" si="0"/>
        <v>0.96935529397880837</v>
      </c>
      <c r="CJ13">
        <f t="shared" si="1"/>
        <v>-0.20812069941928768</v>
      </c>
      <c r="CK13">
        <f t="shared" si="2"/>
        <v>0.14709792930683774</v>
      </c>
      <c r="CL13">
        <f t="shared" si="3"/>
        <v>-0.73739312667764767</v>
      </c>
    </row>
    <row r="14" spans="1:90" x14ac:dyDescent="0.25">
      <c r="A14" t="str">
        <f>Unit_Width_Strip_Foundation!A136</f>
        <v>6V</v>
      </c>
      <c r="B14">
        <f>Unit_Width_Strip_Foundation!B136</f>
        <v>0</v>
      </c>
      <c r="C14">
        <v>0</v>
      </c>
      <c r="D14">
        <f>Unit_Width_Strip_Foundation!C68</f>
        <v>0</v>
      </c>
      <c r="E14">
        <v>0</v>
      </c>
      <c r="F14" t="s">
        <v>162</v>
      </c>
      <c r="G14" t="str">
        <f>Unit_Width_Strip_Foundation!E136</f>
        <v>DL</v>
      </c>
      <c r="K14">
        <f t="shared" si="4"/>
        <v>1.4999999999999998</v>
      </c>
      <c r="L14" cm="1">
        <f t="array" ref="L14:CH14">LRFD_Analysis(Unit_Width_Strip_Foundation!$B$12,K14,$B$3:$G$57,LOAD_COMBOS!$O$30:$AA$54)</f>
        <v>0</v>
      </c>
      <c r="M14">
        <v>-0.22761479238696269</v>
      </c>
      <c r="N14">
        <v>0.17978716726528177</v>
      </c>
      <c r="O14">
        <v>-8.8817841970012523E-16</v>
      </c>
      <c r="P14">
        <v>0.89183376187439101</v>
      </c>
      <c r="Q14">
        <v>-0.76711271860628982</v>
      </c>
      <c r="R14">
        <v>-8.8817841970012523E-16</v>
      </c>
      <c r="S14">
        <v>0.89183376187439101</v>
      </c>
      <c r="T14">
        <v>-0.76711271860628982</v>
      </c>
      <c r="U14">
        <v>-8.8817841970012523E-16</v>
      </c>
      <c r="V14">
        <v>0.89183376187439101</v>
      </c>
      <c r="W14">
        <v>-0.76711271860628982</v>
      </c>
      <c r="X14">
        <v>-1.7763568394002505E-15</v>
      </c>
      <c r="Y14">
        <v>0.76804360712966968</v>
      </c>
      <c r="Z14">
        <v>-0.66514805226410612</v>
      </c>
      <c r="AA14">
        <v>-1.7763568394002505E-15</v>
      </c>
      <c r="AB14">
        <v>0.76804360712966968</v>
      </c>
      <c r="AC14">
        <v>-0.66514805226410612</v>
      </c>
      <c r="AD14">
        <v>-1.7763568394002505E-15</v>
      </c>
      <c r="AE14">
        <v>0.76804360712966968</v>
      </c>
      <c r="AF14">
        <v>-0.66514805226410612</v>
      </c>
      <c r="AG14">
        <v>-8.8817841970012523E-16</v>
      </c>
      <c r="AH14">
        <v>0.8433163170084923</v>
      </c>
      <c r="AI14">
        <v>-0.7309092511161086</v>
      </c>
      <c r="AJ14">
        <v>-8.8817841970012523E-16</v>
      </c>
      <c r="AK14">
        <v>0.8433163170084923</v>
      </c>
      <c r="AL14">
        <v>-0.7309092511161086</v>
      </c>
      <c r="AM14">
        <v>-8.8817841970012523E-16</v>
      </c>
      <c r="AN14">
        <v>0.8433163170084923</v>
      </c>
      <c r="AO14">
        <v>-0.7309092511161086</v>
      </c>
      <c r="AP14">
        <v>-8.8817841970012523E-16</v>
      </c>
      <c r="AQ14">
        <v>0.53343777650968416</v>
      </c>
      <c r="AR14">
        <v>-0.46680822228189711</v>
      </c>
      <c r="AS14">
        <v>-8.8817841970012523E-16</v>
      </c>
      <c r="AT14">
        <v>0.53343777650968416</v>
      </c>
      <c r="AU14">
        <v>-0.46680822228189711</v>
      </c>
      <c r="AV14">
        <v>-8.8817841970012523E-16</v>
      </c>
      <c r="AW14">
        <v>0.53343777650968416</v>
      </c>
      <c r="AX14">
        <v>-0.46680822228189711</v>
      </c>
      <c r="AY14">
        <v>-1.7763568394002505E-15</v>
      </c>
      <c r="AZ14">
        <v>1.0308711856057116</v>
      </c>
      <c r="BA14">
        <v>-0.88752629194951116</v>
      </c>
      <c r="BB14">
        <v>-1.7763568394002505E-15</v>
      </c>
      <c r="BC14">
        <v>1.0308711856057116</v>
      </c>
      <c r="BD14">
        <v>-0.88752629194951116</v>
      </c>
      <c r="BE14">
        <v>-1.7763568394002505E-15</v>
      </c>
      <c r="BF14">
        <v>1.0308711856057116</v>
      </c>
      <c r="BG14">
        <v>-0.88752629194951116</v>
      </c>
      <c r="BH14">
        <v>-1.7763568394002505E-15</v>
      </c>
      <c r="BI14">
        <v>0.41136845020308122</v>
      </c>
      <c r="BJ14">
        <v>-0.36116354351985469</v>
      </c>
      <c r="BK14">
        <v>-1.7763568394002505E-15</v>
      </c>
      <c r="BL14">
        <v>0.41136845020308122</v>
      </c>
      <c r="BM14">
        <v>-0.36116354351985469</v>
      </c>
      <c r="BN14">
        <v>-1.7763568394002505E-15</v>
      </c>
      <c r="BO14">
        <v>0.41136845020308122</v>
      </c>
      <c r="BP14">
        <v>-0.36116354351985469</v>
      </c>
      <c r="BQ14">
        <v>-1.7763568394002505E-15</v>
      </c>
      <c r="BR14">
        <v>0.76804360712966968</v>
      </c>
      <c r="BS14">
        <v>-0.66514805226410612</v>
      </c>
      <c r="BT14">
        <v>-1.7763568394002505E-15</v>
      </c>
      <c r="BU14">
        <v>0.76804360712966968</v>
      </c>
      <c r="BV14">
        <v>-0.66514805226410612</v>
      </c>
      <c r="BW14">
        <v>4.4408920985006262E-16</v>
      </c>
      <c r="BX14">
        <v>0.6268746124668525</v>
      </c>
      <c r="BY14">
        <v>-0.54339845087442495</v>
      </c>
      <c r="BZ14">
        <v>4.4408920985006262E-16</v>
      </c>
      <c r="CA14">
        <v>7.1175314692357716E-3</v>
      </c>
      <c r="CB14">
        <v>-1.5196393206001524E-2</v>
      </c>
      <c r="CC14">
        <v>0</v>
      </c>
      <c r="CD14">
        <v>0.36379268839582424</v>
      </c>
      <c r="CE14">
        <v>-0.31918090195025306</v>
      </c>
      <c r="CF14">
        <v>0</v>
      </c>
      <c r="CG14">
        <v>0.36379268839582424</v>
      </c>
      <c r="CH14">
        <v>-0.31918090195025306</v>
      </c>
      <c r="CI14">
        <f t="shared" si="0"/>
        <v>1.0308711856057116</v>
      </c>
      <c r="CJ14">
        <f t="shared" si="1"/>
        <v>-0.22761479238696269</v>
      </c>
      <c r="CK14">
        <f t="shared" si="2"/>
        <v>0.17978716726528177</v>
      </c>
      <c r="CL14">
        <f t="shared" si="3"/>
        <v>-0.88752629194951116</v>
      </c>
    </row>
    <row r="15" spans="1:90" x14ac:dyDescent="0.25">
      <c r="A15" t="str">
        <f>Unit_Width_Strip_Foundation!A137</f>
        <v>7V</v>
      </c>
      <c r="B15">
        <f>Unit_Width_Strip_Foundation!B137</f>
        <v>0</v>
      </c>
      <c r="C15">
        <v>0</v>
      </c>
      <c r="D15">
        <f>Unit_Width_Strip_Foundation!C69</f>
        <v>0</v>
      </c>
      <c r="E15">
        <v>0</v>
      </c>
      <c r="F15" t="s">
        <v>162</v>
      </c>
      <c r="G15" t="str">
        <f>Unit_Width_Strip_Foundation!E137</f>
        <v>DL</v>
      </c>
      <c r="K15">
        <f t="shared" si="4"/>
        <v>1.6499999999999997</v>
      </c>
      <c r="L15" cm="1">
        <f t="array" ref="L15:CH15">LRFD_Analysis(Unit_Width_Strip_Foundation!$B$12,K15,$B$3:$G$57,LOAD_COMBOS!$O$30:$AA$54)</f>
        <v>0</v>
      </c>
      <c r="M15">
        <v>-0.24638279951663233</v>
      </c>
      <c r="N15">
        <v>0.2153460627310253</v>
      </c>
      <c r="O15">
        <v>-8.8817841970012523E-16</v>
      </c>
      <c r="P15">
        <v>0.93779268329361165</v>
      </c>
      <c r="Q15">
        <v>-0.90443293939109093</v>
      </c>
      <c r="R15">
        <v>-8.8817841970012523E-16</v>
      </c>
      <c r="S15">
        <v>0.93779268329361165</v>
      </c>
      <c r="T15">
        <v>-0.90443293939109093</v>
      </c>
      <c r="U15">
        <v>-8.8817841970012523E-16</v>
      </c>
      <c r="V15">
        <v>0.93779268329361165</v>
      </c>
      <c r="W15">
        <v>-0.90443293939109093</v>
      </c>
      <c r="X15">
        <v>-1.7763568394002505E-15</v>
      </c>
      <c r="Y15">
        <v>0.80563721519922082</v>
      </c>
      <c r="Z15">
        <v>-0.78326322928569003</v>
      </c>
      <c r="AA15">
        <v>-1.7763568394002505E-15</v>
      </c>
      <c r="AB15">
        <v>0.80563721519922082</v>
      </c>
      <c r="AC15">
        <v>-0.78326322928569003</v>
      </c>
      <c r="AD15">
        <v>-1.7763568394002505E-15</v>
      </c>
      <c r="AE15">
        <v>0.80563721519922082</v>
      </c>
      <c r="AF15">
        <v>-0.78326322928569003</v>
      </c>
      <c r="AG15">
        <v>-8.8817841970012523E-16</v>
      </c>
      <c r="AH15">
        <v>0.88434226283105621</v>
      </c>
      <c r="AI15">
        <v>-0.86058206661743497</v>
      </c>
      <c r="AJ15">
        <v>-8.8817841970012523E-16</v>
      </c>
      <c r="AK15">
        <v>0.88434226283105621</v>
      </c>
      <c r="AL15">
        <v>-0.86058206661743497</v>
      </c>
      <c r="AM15">
        <v>-8.8817841970012523E-16</v>
      </c>
      <c r="AN15">
        <v>0.88434226283105621</v>
      </c>
      <c r="AO15">
        <v>-0.86058206661743497</v>
      </c>
      <c r="AP15">
        <v>-8.8817841970012523E-16</v>
      </c>
      <c r="AQ15">
        <v>0.55742040260481351</v>
      </c>
      <c r="AR15">
        <v>-0.54868931560538436</v>
      </c>
      <c r="AS15">
        <v>-8.8817841970012523E-16</v>
      </c>
      <c r="AT15">
        <v>0.55742040260481351</v>
      </c>
      <c r="AU15">
        <v>-0.54868931560538436</v>
      </c>
      <c r="AV15">
        <v>-8.8817841970012523E-16</v>
      </c>
      <c r="AW15">
        <v>0.55742040260481351</v>
      </c>
      <c r="AX15">
        <v>-0.54868931560538436</v>
      </c>
      <c r="AY15">
        <v>-1.7763568394002505E-15</v>
      </c>
      <c r="AZ15">
        <v>1.0830927329906406</v>
      </c>
      <c r="BA15">
        <v>-1.0461897651472625</v>
      </c>
      <c r="BB15">
        <v>-1.7763568394002505E-15</v>
      </c>
      <c r="BC15">
        <v>1.0830927329906406</v>
      </c>
      <c r="BD15">
        <v>-1.0461897651472625</v>
      </c>
      <c r="BE15">
        <v>-1.7763568394002505E-15</v>
      </c>
      <c r="BF15">
        <v>1.0830927329906406</v>
      </c>
      <c r="BG15">
        <v>-1.0461897651472625</v>
      </c>
      <c r="BH15">
        <v>-1.7763568394002505E-15</v>
      </c>
      <c r="BI15">
        <v>0.42934492464167007</v>
      </c>
      <c r="BJ15">
        <v>-0.4242696838390787</v>
      </c>
      <c r="BK15">
        <v>-1.7763568394002505E-15</v>
      </c>
      <c r="BL15">
        <v>0.42934492464167007</v>
      </c>
      <c r="BM15">
        <v>-0.4242696838390787</v>
      </c>
      <c r="BN15">
        <v>-1.7763568394002505E-15</v>
      </c>
      <c r="BO15">
        <v>0.42934492464167007</v>
      </c>
      <c r="BP15">
        <v>-0.4242696838390787</v>
      </c>
      <c r="BQ15">
        <v>-1.7763568394002505E-15</v>
      </c>
      <c r="BR15">
        <v>0.80563721519922082</v>
      </c>
      <c r="BS15">
        <v>-0.78326322928569003</v>
      </c>
      <c r="BT15">
        <v>-1.7763568394002505E-15</v>
      </c>
      <c r="BU15">
        <v>0.80563721519922082</v>
      </c>
      <c r="BV15">
        <v>-0.78326322928569003</v>
      </c>
      <c r="BW15">
        <v>4.4408920985006262E-16</v>
      </c>
      <c r="BX15">
        <v>0.65733537744285209</v>
      </c>
      <c r="BY15">
        <v>-0.6397874426091773</v>
      </c>
      <c r="BZ15">
        <v>4.4408920985006262E-16</v>
      </c>
      <c r="CA15">
        <v>3.4916569903664652E-3</v>
      </c>
      <c r="CB15">
        <v>-1.6001940585076202E-2</v>
      </c>
      <c r="CC15">
        <v>0</v>
      </c>
      <c r="CD15">
        <v>0.37978394754791722</v>
      </c>
      <c r="CE15">
        <v>-0.37499548603168742</v>
      </c>
      <c r="CF15">
        <v>0</v>
      </c>
      <c r="CG15">
        <v>0.37978394754791722</v>
      </c>
      <c r="CH15">
        <v>-0.37499548603168742</v>
      </c>
      <c r="CI15">
        <f t="shared" si="0"/>
        <v>1.0830927329906406</v>
      </c>
      <c r="CJ15">
        <f t="shared" si="1"/>
        <v>-0.24638279951663233</v>
      </c>
      <c r="CK15">
        <f t="shared" si="2"/>
        <v>0.2153460627310253</v>
      </c>
      <c r="CL15">
        <f t="shared" si="3"/>
        <v>-1.0461897651472625</v>
      </c>
    </row>
    <row r="16" spans="1:90" x14ac:dyDescent="0.25">
      <c r="A16" t="str">
        <f>Unit_Width_Strip_Foundation!A138</f>
        <v>8V</v>
      </c>
      <c r="B16">
        <f>Unit_Width_Strip_Foundation!B138</f>
        <v>0</v>
      </c>
      <c r="C16">
        <v>0</v>
      </c>
      <c r="D16">
        <f>Unit_Width_Strip_Foundation!C70</f>
        <v>0</v>
      </c>
      <c r="E16">
        <v>0</v>
      </c>
      <c r="F16" t="s">
        <v>162</v>
      </c>
      <c r="G16" t="str">
        <f>Unit_Width_Strip_Foundation!E138</f>
        <v>DL</v>
      </c>
      <c r="K16">
        <f t="shared" si="4"/>
        <v>1.7999999999999996</v>
      </c>
      <c r="L16" cm="1">
        <f t="array" ref="L16:CH16">LRFD_Analysis(Unit_Width_Strip_Foundation!$B$12,K16,$B$3:$G$57,LOAD_COMBOS!$O$30:$AA$54)</f>
        <v>0</v>
      </c>
      <c r="M16">
        <v>-0.26442472080829726</v>
      </c>
      <c r="N16">
        <v>0.25366570282836998</v>
      </c>
      <c r="O16">
        <v>-8.8817841970012523E-16</v>
      </c>
      <c r="P16">
        <v>0.97589261293679253</v>
      </c>
      <c r="Q16">
        <v>-1.0480575740055715</v>
      </c>
      <c r="R16">
        <v>-8.8817841970012523E-16</v>
      </c>
      <c r="S16">
        <v>0.97589261293679253</v>
      </c>
      <c r="T16">
        <v>-1.0480575740055715</v>
      </c>
      <c r="U16">
        <v>-8.8817841970012523E-16</v>
      </c>
      <c r="V16">
        <v>0.97589261293679253</v>
      </c>
      <c r="W16">
        <v>-1.0480575740055715</v>
      </c>
      <c r="X16">
        <v>-1.7763568394002505E-15</v>
      </c>
      <c r="Y16">
        <v>0.83610159551542373</v>
      </c>
      <c r="Z16">
        <v>-0.90648275543620538</v>
      </c>
      <c r="AA16">
        <v>-1.7763568394002505E-15</v>
      </c>
      <c r="AB16">
        <v>0.83610159551542373</v>
      </c>
      <c r="AC16">
        <v>-0.90648275543620538</v>
      </c>
      <c r="AD16">
        <v>-1.7763568394002505E-15</v>
      </c>
      <c r="AE16">
        <v>0.83610159551542373</v>
      </c>
      <c r="AF16">
        <v>-0.90648275543620538</v>
      </c>
      <c r="AG16">
        <v>-8.8817841970012523E-16</v>
      </c>
      <c r="AH16">
        <v>0.917494447584841</v>
      </c>
      <c r="AI16">
        <v>-0.99581824191198676</v>
      </c>
      <c r="AJ16">
        <v>-8.8817841970012523E-16</v>
      </c>
      <c r="AK16">
        <v>0.917494447584841</v>
      </c>
      <c r="AL16">
        <v>-0.99581824191198676</v>
      </c>
      <c r="AM16">
        <v>-8.8817841970012523E-16</v>
      </c>
      <c r="AN16">
        <v>0.917494447584841</v>
      </c>
      <c r="AO16">
        <v>-0.99581824191198676</v>
      </c>
      <c r="AP16">
        <v>-8.8817841970012523E-16</v>
      </c>
      <c r="AQ16">
        <v>0.57606463750797254</v>
      </c>
      <c r="AR16">
        <v>-0.63376742350374315</v>
      </c>
      <c r="AS16">
        <v>-8.8817841970012523E-16</v>
      </c>
      <c r="AT16">
        <v>0.57606463750797254</v>
      </c>
      <c r="AU16">
        <v>-0.63376742350374315</v>
      </c>
      <c r="AV16">
        <v>-8.8817841970012523E-16</v>
      </c>
      <c r="AW16">
        <v>0.57606463750797254</v>
      </c>
      <c r="AX16">
        <v>-0.63376742350374315</v>
      </c>
      <c r="AY16">
        <v>-1.7763568394002505E-15</v>
      </c>
      <c r="AZ16">
        <v>1.1260199361335952</v>
      </c>
      <c r="BA16">
        <v>-1.2119893946346048</v>
      </c>
      <c r="BB16">
        <v>-1.7763568394002505E-15</v>
      </c>
      <c r="BC16">
        <v>1.1260199361335952</v>
      </c>
      <c r="BD16">
        <v>-1.2119893946346048</v>
      </c>
      <c r="BE16">
        <v>-1.7763568394002505E-15</v>
      </c>
      <c r="BF16">
        <v>1.1260199361335952</v>
      </c>
      <c r="BG16">
        <v>-1.2119893946346048</v>
      </c>
      <c r="BH16">
        <v>-1.7763568394002505E-15</v>
      </c>
      <c r="BI16">
        <v>0.44311042261085531</v>
      </c>
      <c r="BJ16">
        <v>-0.48975647208888584</v>
      </c>
      <c r="BK16">
        <v>-1.7763568394002505E-15</v>
      </c>
      <c r="BL16">
        <v>0.44311042261085531</v>
      </c>
      <c r="BM16">
        <v>-0.48975647208888584</v>
      </c>
      <c r="BN16">
        <v>-1.7763568394002505E-15</v>
      </c>
      <c r="BO16">
        <v>0.44311042261085531</v>
      </c>
      <c r="BP16">
        <v>-0.48975647208888584</v>
      </c>
      <c r="BQ16">
        <v>-1.7763568394002505E-15</v>
      </c>
      <c r="BR16">
        <v>0.83610159551542373</v>
      </c>
      <c r="BS16">
        <v>-0.90648275543620538</v>
      </c>
      <c r="BT16">
        <v>-1.7763568394002505E-15</v>
      </c>
      <c r="BU16">
        <v>0.83610159551542373</v>
      </c>
      <c r="BV16">
        <v>-0.90648275543620538</v>
      </c>
      <c r="BW16">
        <v>4.4408920985006262E-16</v>
      </c>
      <c r="BX16">
        <v>0.68193674309690866</v>
      </c>
      <c r="BY16">
        <v>-0.74030609414118365</v>
      </c>
      <c r="BZ16">
        <v>4.4408920985006262E-16</v>
      </c>
      <c r="CA16">
        <v>-9.228770568290301E-4</v>
      </c>
      <c r="CB16">
        <v>-1.6204457324695776E-2</v>
      </c>
      <c r="CC16">
        <v>0</v>
      </c>
      <c r="CD16">
        <v>0.39206829584773917</v>
      </c>
      <c r="CE16">
        <v>-0.43293074067201498</v>
      </c>
      <c r="CF16">
        <v>0</v>
      </c>
      <c r="CG16">
        <v>0.39206829584773917</v>
      </c>
      <c r="CH16">
        <v>-0.43293074067201498</v>
      </c>
      <c r="CI16">
        <f t="shared" si="0"/>
        <v>1.1260199361335952</v>
      </c>
      <c r="CJ16">
        <f t="shared" si="1"/>
        <v>-0.26442472080829726</v>
      </c>
      <c r="CK16">
        <f t="shared" si="2"/>
        <v>0.25366570282836998</v>
      </c>
      <c r="CL16">
        <f t="shared" si="3"/>
        <v>-1.2119893946346048</v>
      </c>
    </row>
    <row r="17" spans="1:90" x14ac:dyDescent="0.25">
      <c r="A17" t="str">
        <f>Unit_Width_Strip_Foundation!A139</f>
        <v>9V</v>
      </c>
      <c r="B17">
        <f>Unit_Width_Strip_Foundation!B139</f>
        <v>0</v>
      </c>
      <c r="C17">
        <v>0</v>
      </c>
      <c r="D17">
        <f>Unit_Width_Strip_Foundation!C71</f>
        <v>0</v>
      </c>
      <c r="E17">
        <v>0</v>
      </c>
      <c r="F17" t="s">
        <v>162</v>
      </c>
      <c r="G17" t="str">
        <f>Unit_Width_Strip_Foundation!E139</f>
        <v>DL</v>
      </c>
      <c r="K17">
        <f t="shared" si="4"/>
        <v>1.9499999999999995</v>
      </c>
      <c r="L17" cm="1">
        <f t="array" ref="L17:CH17">LRFD_Analysis(Unit_Width_Strip_Foundation!$B$12,K17,$B$3:$G$57,LOAD_COMBOS!$O$30:$AA$54)</f>
        <v>0</v>
      </c>
      <c r="M17">
        <v>-0.28174055626195793</v>
      </c>
      <c r="N17">
        <v>0.29463717468161477</v>
      </c>
      <c r="O17">
        <v>-8.8817841970012523E-16</v>
      </c>
      <c r="P17">
        <v>1.0061335508039337</v>
      </c>
      <c r="Q17">
        <v>-1.1968077736833262</v>
      </c>
      <c r="R17">
        <v>-8.8817841970012523E-16</v>
      </c>
      <c r="S17">
        <v>1.0061335508039337</v>
      </c>
      <c r="T17">
        <v>-1.1968077736833262</v>
      </c>
      <c r="U17">
        <v>-8.8817841970012523E-16</v>
      </c>
      <c r="V17">
        <v>1.0061335508039337</v>
      </c>
      <c r="W17">
        <v>-1.1968077736833262</v>
      </c>
      <c r="X17">
        <v>-1.7763568394002505E-15</v>
      </c>
      <c r="Y17">
        <v>0.85943674807827841</v>
      </c>
      <c r="Z17">
        <v>-1.0337372465526495</v>
      </c>
      <c r="AA17">
        <v>-1.7763568394002505E-15</v>
      </c>
      <c r="AB17">
        <v>0.85943674807827841</v>
      </c>
      <c r="AC17">
        <v>-1.0337372465526495</v>
      </c>
      <c r="AD17">
        <v>-1.7763568394002505E-15</v>
      </c>
      <c r="AE17">
        <v>0.85943674807827841</v>
      </c>
      <c r="AF17">
        <v>-1.0337372465526495</v>
      </c>
      <c r="AG17">
        <v>-8.8817841970012523E-16</v>
      </c>
      <c r="AH17">
        <v>0.94277287126984655</v>
      </c>
      <c r="AI17">
        <v>-1.135436712839448</v>
      </c>
      <c r="AJ17">
        <v>-8.8817841970012523E-16</v>
      </c>
      <c r="AK17">
        <v>0.94277287126984655</v>
      </c>
      <c r="AL17">
        <v>-1.135436712839448</v>
      </c>
      <c r="AM17">
        <v>-8.8817841970012523E-16</v>
      </c>
      <c r="AN17">
        <v>0.94277287126984655</v>
      </c>
      <c r="AO17">
        <v>-1.135436712839448</v>
      </c>
      <c r="AP17">
        <v>-8.8817841970012523E-16</v>
      </c>
      <c r="AQ17">
        <v>0.58937048121916047</v>
      </c>
      <c r="AR17">
        <v>-0.72124178729817734</v>
      </c>
      <c r="AS17">
        <v>-8.8817841970012523E-16</v>
      </c>
      <c r="AT17">
        <v>0.58937048121916047</v>
      </c>
      <c r="AU17">
        <v>-0.72124178729817734</v>
      </c>
      <c r="AV17">
        <v>-8.8817841970012523E-16</v>
      </c>
      <c r="AW17">
        <v>0.58937048121916047</v>
      </c>
      <c r="AX17">
        <v>-0.72124178729817734</v>
      </c>
      <c r="AY17">
        <v>-1.7763568394002505E-15</v>
      </c>
      <c r="AZ17">
        <v>1.1596527950345761</v>
      </c>
      <c r="BA17">
        <v>-1.3835310287752423</v>
      </c>
      <c r="BB17">
        <v>-1.7763568394002505E-15</v>
      </c>
      <c r="BC17">
        <v>1.1596527950345761</v>
      </c>
      <c r="BD17">
        <v>-1.3835310287752423</v>
      </c>
      <c r="BE17">
        <v>-1.7763568394002505E-15</v>
      </c>
      <c r="BF17">
        <v>1.1596527950345761</v>
      </c>
      <c r="BG17">
        <v>-1.3835310287752423</v>
      </c>
      <c r="BH17">
        <v>-1.7763568394002505E-15</v>
      </c>
      <c r="BI17">
        <v>0.4526649441106374</v>
      </c>
      <c r="BJ17">
        <v>-0.55699226179886518</v>
      </c>
      <c r="BK17">
        <v>-1.7763568394002505E-15</v>
      </c>
      <c r="BL17">
        <v>0.4526649441106374</v>
      </c>
      <c r="BM17">
        <v>-0.55699226179886518</v>
      </c>
      <c r="BN17">
        <v>-1.7763568394002505E-15</v>
      </c>
      <c r="BO17">
        <v>0.4526649441106374</v>
      </c>
      <c r="BP17">
        <v>-0.55699226179886518</v>
      </c>
      <c r="BQ17">
        <v>-1.7763568394002505E-15</v>
      </c>
      <c r="BR17">
        <v>0.85943674807827841</v>
      </c>
      <c r="BS17">
        <v>-1.0337372465526495</v>
      </c>
      <c r="BT17">
        <v>-1.7763568394002505E-15</v>
      </c>
      <c r="BU17">
        <v>0.85943674807827841</v>
      </c>
      <c r="BV17">
        <v>-1.0337372465526495</v>
      </c>
      <c r="BW17">
        <v>4.4408920985006262E-16</v>
      </c>
      <c r="BX17">
        <v>0.70067870942902211</v>
      </c>
      <c r="BY17">
        <v>-0.84407549557215256</v>
      </c>
      <c r="BZ17">
        <v>4.4408920985006262E-16</v>
      </c>
      <c r="CA17">
        <v>-6.1260706723507141E-3</v>
      </c>
      <c r="CB17">
        <v>-1.5685644489610961E-2</v>
      </c>
      <c r="CC17">
        <v>0</v>
      </c>
      <c r="CD17">
        <v>0.40064573329529041</v>
      </c>
      <c r="CE17">
        <v>-0.49243062924339553</v>
      </c>
      <c r="CF17">
        <v>0</v>
      </c>
      <c r="CG17">
        <v>0.40064573329529041</v>
      </c>
      <c r="CH17">
        <v>-0.49243062924339553</v>
      </c>
      <c r="CI17">
        <f t="shared" si="0"/>
        <v>1.1596527950345761</v>
      </c>
      <c r="CJ17">
        <f t="shared" si="1"/>
        <v>-0.28174055626195793</v>
      </c>
      <c r="CK17">
        <f t="shared" si="2"/>
        <v>0.29463717468161477</v>
      </c>
      <c r="CL17">
        <f t="shared" si="3"/>
        <v>-1.3835310287752423</v>
      </c>
    </row>
    <row r="18" spans="1:90" x14ac:dyDescent="0.25">
      <c r="A18" t="str">
        <f>Unit_Width_Strip_Foundation!A140</f>
        <v>10V</v>
      </c>
      <c r="B18">
        <f>Unit_Width_Strip_Foundation!B140</f>
        <v>0</v>
      </c>
      <c r="C18">
        <v>0</v>
      </c>
      <c r="D18">
        <f>Unit_Width_Strip_Foundation!C72</f>
        <v>0</v>
      </c>
      <c r="E18">
        <v>0</v>
      </c>
      <c r="F18" t="s">
        <v>162</v>
      </c>
      <c r="G18" t="str">
        <f>Unit_Width_Strip_Foundation!E140</f>
        <v>DL</v>
      </c>
      <c r="K18">
        <f t="shared" si="4"/>
        <v>2.0999999999999996</v>
      </c>
      <c r="L18" cm="1">
        <f t="array" ref="L18:CH18">LRFD_Analysis(Unit_Width_Strip_Foundation!$B$12,K18,$B$3:$G$57,LOAD_COMBOS!$O$30:$AA$54)</f>
        <v>0</v>
      </c>
      <c r="M18">
        <v>-0.29833030587761433</v>
      </c>
      <c r="N18">
        <v>0.3381515654150582</v>
      </c>
      <c r="O18">
        <v>-8.8817841970012523E-16</v>
      </c>
      <c r="P18">
        <v>1.0285154968950354</v>
      </c>
      <c r="Q18">
        <v>-1.3495046896579508</v>
      </c>
      <c r="R18">
        <v>-8.8817841970012523E-16</v>
      </c>
      <c r="S18">
        <v>1.0285154968950354</v>
      </c>
      <c r="T18">
        <v>-1.3495046896579508</v>
      </c>
      <c r="U18">
        <v>-8.8817841970012523E-16</v>
      </c>
      <c r="V18">
        <v>1.0285154968950354</v>
      </c>
      <c r="W18">
        <v>-1.3495046896579508</v>
      </c>
      <c r="X18">
        <v>-1.7763568394002505E-15</v>
      </c>
      <c r="Y18">
        <v>0.87564267288778463</v>
      </c>
      <c r="Z18">
        <v>-1.163957318472022</v>
      </c>
      <c r="AA18">
        <v>-1.7763568394002505E-15</v>
      </c>
      <c r="AB18">
        <v>0.87564267288778463</v>
      </c>
      <c r="AC18">
        <v>-1.163957318472022</v>
      </c>
      <c r="AD18">
        <v>-1.7763568394002505E-15</v>
      </c>
      <c r="AE18">
        <v>0.87564267288778463</v>
      </c>
      <c r="AF18">
        <v>-1.163957318472022</v>
      </c>
      <c r="AG18">
        <v>-8.8817841970012523E-16</v>
      </c>
      <c r="AH18">
        <v>0.96017753388607308</v>
      </c>
      <c r="AI18">
        <v>-1.278256415239502</v>
      </c>
      <c r="AJ18">
        <v>-8.8817841970012523E-16</v>
      </c>
      <c r="AK18">
        <v>0.96017753388607308</v>
      </c>
      <c r="AL18">
        <v>-1.278256415239502</v>
      </c>
      <c r="AM18">
        <v>-8.8817841970012523E-16</v>
      </c>
      <c r="AN18">
        <v>0.96017753388607308</v>
      </c>
      <c r="AO18">
        <v>-1.278256415239502</v>
      </c>
      <c r="AP18">
        <v>-8.8817841970012523E-16</v>
      </c>
      <c r="AQ18">
        <v>0.59733793373837774</v>
      </c>
      <c r="AR18">
        <v>-0.81031164830989288</v>
      </c>
      <c r="AS18">
        <v>-8.8817841970012523E-16</v>
      </c>
      <c r="AT18">
        <v>0.59733793373837774</v>
      </c>
      <c r="AU18">
        <v>-0.81031164830989288</v>
      </c>
      <c r="AV18">
        <v>-8.8817841970012523E-16</v>
      </c>
      <c r="AW18">
        <v>0.59733793373837774</v>
      </c>
      <c r="AX18">
        <v>-0.81031164830989288</v>
      </c>
      <c r="AY18">
        <v>-1.7763568394002505E-15</v>
      </c>
      <c r="AZ18">
        <v>1.1839913096935821</v>
      </c>
      <c r="BA18">
        <v>-1.5594205159328793</v>
      </c>
      <c r="BB18">
        <v>-1.7763568394002505E-15</v>
      </c>
      <c r="BC18">
        <v>1.1839913096935821</v>
      </c>
      <c r="BD18">
        <v>-1.5594205159328793</v>
      </c>
      <c r="BE18">
        <v>-1.7763568394002505E-15</v>
      </c>
      <c r="BF18">
        <v>1.1839913096935821</v>
      </c>
      <c r="BG18">
        <v>-1.5594205159328793</v>
      </c>
      <c r="BH18">
        <v>-1.7763568394002505E-15</v>
      </c>
      <c r="BI18">
        <v>0.45800848914101544</v>
      </c>
      <c r="BJ18">
        <v>-0.62534540649860726</v>
      </c>
      <c r="BK18">
        <v>-1.7763568394002505E-15</v>
      </c>
      <c r="BL18">
        <v>0.45800848914101544</v>
      </c>
      <c r="BM18">
        <v>-0.62534540649860726</v>
      </c>
      <c r="BN18">
        <v>-1.7763568394002505E-15</v>
      </c>
      <c r="BO18">
        <v>0.45800848914101544</v>
      </c>
      <c r="BP18">
        <v>-0.62534540649860726</v>
      </c>
      <c r="BQ18">
        <v>-1.7763568394002505E-15</v>
      </c>
      <c r="BR18">
        <v>0.87564267288778463</v>
      </c>
      <c r="BS18">
        <v>-1.163957318472022</v>
      </c>
      <c r="BT18">
        <v>-1.7763568394002505E-15</v>
      </c>
      <c r="BU18">
        <v>0.87564267288778463</v>
      </c>
      <c r="BV18">
        <v>-1.163957318472022</v>
      </c>
      <c r="BW18">
        <v>4.4408920985006262E-16</v>
      </c>
      <c r="BX18">
        <v>0.71356127643919331</v>
      </c>
      <c r="BY18">
        <v>-0.95021673700379317</v>
      </c>
      <c r="BZ18">
        <v>4.4408920985006262E-16</v>
      </c>
      <c r="CA18">
        <v>-1.2117923856197921E-2</v>
      </c>
      <c r="CB18">
        <v>-1.4327203144573808E-2</v>
      </c>
      <c r="CC18">
        <v>0</v>
      </c>
      <c r="CD18">
        <v>0.40551625989057105</v>
      </c>
      <c r="CE18">
        <v>-0.55293911511798899</v>
      </c>
      <c r="CF18">
        <v>0</v>
      </c>
      <c r="CG18">
        <v>0.40551625989057105</v>
      </c>
      <c r="CH18">
        <v>-0.55293911511798899</v>
      </c>
      <c r="CI18">
        <f t="shared" si="0"/>
        <v>1.1839913096935821</v>
      </c>
      <c r="CJ18">
        <f t="shared" si="1"/>
        <v>-0.29833030587761433</v>
      </c>
      <c r="CK18">
        <f t="shared" si="2"/>
        <v>0.3381515654150582</v>
      </c>
      <c r="CL18">
        <f t="shared" si="3"/>
        <v>-1.5594205159328793</v>
      </c>
    </row>
    <row r="19" spans="1:90" x14ac:dyDescent="0.25">
      <c r="A19" t="str">
        <f>Unit_Width_Strip_Foundation!A417</f>
        <v>16-1</v>
      </c>
      <c r="B19">
        <f>-1*Unit_Width_Strip_Foundation!B417</f>
        <v>-1.2586127228581339</v>
      </c>
      <c r="C19">
        <f>-1*Unit_Width_Strip_Foundation!D417</f>
        <v>-1.0918819007977798</v>
      </c>
      <c r="D19">
        <f>Unit_Width_Strip_Foundation!C417</f>
        <v>0</v>
      </c>
      <c r="E19">
        <f>Unit_Width_Strip_Foundation!E417</f>
        <v>5.166666666666667</v>
      </c>
      <c r="F19" t="s">
        <v>164</v>
      </c>
      <c r="G19" t="str">
        <f>A19</f>
        <v>16-1</v>
      </c>
      <c r="K19">
        <f t="shared" si="4"/>
        <v>2.2499999999999996</v>
      </c>
      <c r="L19" cm="1">
        <f t="array" ref="L19:CH19">LRFD_Analysis(Unit_Width_Strip_Foundation!$B$12,K19,$B$3:$G$57,LOAD_COMBOS!$O$30:$AA$54)</f>
        <v>0</v>
      </c>
      <c r="M19">
        <v>-0.31419396965526492</v>
      </c>
      <c r="N19">
        <v>0.38409996215299946</v>
      </c>
      <c r="O19">
        <v>-8.8817841970012523E-16</v>
      </c>
      <c r="P19">
        <v>1.0430384512100968</v>
      </c>
      <c r="Q19">
        <v>-1.504969473163035</v>
      </c>
      <c r="R19">
        <v>-8.8817841970012523E-16</v>
      </c>
      <c r="S19">
        <v>1.0430384512100968</v>
      </c>
      <c r="T19">
        <v>-1.504969473163035</v>
      </c>
      <c r="U19">
        <v>-8.8817841970012523E-16</v>
      </c>
      <c r="V19">
        <v>1.0430384512100968</v>
      </c>
      <c r="W19">
        <v>-1.504969473163035</v>
      </c>
      <c r="X19">
        <v>-1.7763568394002505E-15</v>
      </c>
      <c r="Y19">
        <v>0.8847193699439424</v>
      </c>
      <c r="Z19">
        <v>-1.2960735870313178</v>
      </c>
      <c r="AA19">
        <v>-1.7763568394002505E-15</v>
      </c>
      <c r="AB19">
        <v>0.8847193699439424</v>
      </c>
      <c r="AC19">
        <v>-1.2960735870313178</v>
      </c>
      <c r="AD19">
        <v>-1.7763568394002505E-15</v>
      </c>
      <c r="AE19">
        <v>0.8847193699439424</v>
      </c>
      <c r="AF19">
        <v>-1.2960735870313178</v>
      </c>
      <c r="AG19">
        <v>-8.8817841970012523E-16</v>
      </c>
      <c r="AH19">
        <v>0.96970843543352014</v>
      </c>
      <c r="AI19">
        <v>-1.4230962849518307</v>
      </c>
      <c r="AJ19">
        <v>-8.8817841970012523E-16</v>
      </c>
      <c r="AK19">
        <v>0.96970843543352014</v>
      </c>
      <c r="AL19">
        <v>-1.4230962849518307</v>
      </c>
      <c r="AM19">
        <v>-8.8817841970012523E-16</v>
      </c>
      <c r="AN19">
        <v>0.96970843543352014</v>
      </c>
      <c r="AO19">
        <v>-1.4230962849518307</v>
      </c>
      <c r="AP19">
        <v>-8.8817841970012523E-16</v>
      </c>
      <c r="AQ19">
        <v>0.59996699506562412</v>
      </c>
      <c r="AR19">
        <v>-0.90017624786009254</v>
      </c>
      <c r="AS19">
        <v>-8.8817841970012523E-16</v>
      </c>
      <c r="AT19">
        <v>0.59996699506562412</v>
      </c>
      <c r="AU19">
        <v>-0.90017624786009254</v>
      </c>
      <c r="AV19">
        <v>-8.8817841970012523E-16</v>
      </c>
      <c r="AW19">
        <v>0.59996699506562412</v>
      </c>
      <c r="AX19">
        <v>-0.90017624786009254</v>
      </c>
      <c r="AY19">
        <v>-1.7763568394002505E-15</v>
      </c>
      <c r="AZ19">
        <v>1.1990354801106142</v>
      </c>
      <c r="BA19">
        <v>-1.7382637044712186</v>
      </c>
      <c r="BB19">
        <v>-1.7763568394002505E-15</v>
      </c>
      <c r="BC19">
        <v>1.1990354801106142</v>
      </c>
      <c r="BD19">
        <v>-1.7382637044712186</v>
      </c>
      <c r="BE19">
        <v>-1.7763568394002505E-15</v>
      </c>
      <c r="BF19">
        <v>1.1990354801106142</v>
      </c>
      <c r="BG19">
        <v>-1.7382637044712186</v>
      </c>
      <c r="BH19">
        <v>-1.7763568394002505E-15</v>
      </c>
      <c r="BI19">
        <v>0.45914105770199032</v>
      </c>
      <c r="BJ19">
        <v>-0.6941842597176997</v>
      </c>
      <c r="BK19">
        <v>-1.7763568394002505E-15</v>
      </c>
      <c r="BL19">
        <v>0.45914105770199032</v>
      </c>
      <c r="BM19">
        <v>-0.6941842597176997</v>
      </c>
      <c r="BN19">
        <v>-1.7763568394002505E-15</v>
      </c>
      <c r="BO19">
        <v>0.45914105770199032</v>
      </c>
      <c r="BP19">
        <v>-0.6941842597176997</v>
      </c>
      <c r="BQ19">
        <v>-1.7763568394002505E-15</v>
      </c>
      <c r="BR19">
        <v>0.8847193699439424</v>
      </c>
      <c r="BS19">
        <v>-1.2960735870313178</v>
      </c>
      <c r="BT19">
        <v>-1.7763568394002505E-15</v>
      </c>
      <c r="BU19">
        <v>0.8847193699439424</v>
      </c>
      <c r="BV19">
        <v>-1.2960735870313178</v>
      </c>
      <c r="BW19">
        <v>4.4408920985006262E-16</v>
      </c>
      <c r="BX19">
        <v>0.72058444412742129</v>
      </c>
      <c r="BY19">
        <v>-1.0578509085378134</v>
      </c>
      <c r="BZ19">
        <v>4.4408920985006262E-16</v>
      </c>
      <c r="CA19">
        <v>-1.8898436608371538E-2</v>
      </c>
      <c r="CB19">
        <v>-1.2010834354335698E-2</v>
      </c>
      <c r="CC19">
        <v>0</v>
      </c>
      <c r="CD19">
        <v>0.40667987563358032</v>
      </c>
      <c r="CE19">
        <v>-0.61390016166795291</v>
      </c>
      <c r="CF19">
        <v>0</v>
      </c>
      <c r="CG19">
        <v>0.40667987563358032</v>
      </c>
      <c r="CH19">
        <v>-0.61390016166795291</v>
      </c>
      <c r="CI19">
        <f t="shared" si="0"/>
        <v>1.1990354801106142</v>
      </c>
      <c r="CJ19">
        <f t="shared" si="1"/>
        <v>-0.31419396965526492</v>
      </c>
      <c r="CK19">
        <f t="shared" si="2"/>
        <v>0.38409996215299946</v>
      </c>
      <c r="CL19">
        <f t="shared" si="3"/>
        <v>-1.7382637044712186</v>
      </c>
    </row>
    <row r="20" spans="1:90" x14ac:dyDescent="0.25">
      <c r="A20" t="str">
        <f>Unit_Width_Strip_Foundation!A418</f>
        <v>16-2Lr</v>
      </c>
      <c r="B20">
        <f>-1*Unit_Width_Strip_Foundation!B418</f>
        <v>-0.15147776621574768</v>
      </c>
      <c r="C20">
        <f>-1*Unit_Width_Strip_Foundation!D418</f>
        <v>-1.956135137010059</v>
      </c>
      <c r="D20">
        <f>Unit_Width_Strip_Foundation!C418</f>
        <v>0</v>
      </c>
      <c r="E20">
        <f>Unit_Width_Strip_Foundation!E418</f>
        <v>5.166666666666667</v>
      </c>
      <c r="F20" t="s">
        <v>164</v>
      </c>
      <c r="G20" t="str">
        <f t="shared" ref="G20:G43" si="5">A20</f>
        <v>16-2Lr</v>
      </c>
      <c r="K20">
        <f t="shared" si="4"/>
        <v>2.3999999999999995</v>
      </c>
      <c r="L20" cm="1">
        <f t="array" ref="L20:CH20">LRFD_Analysis(Unit_Width_Strip_Foundation!$B$12,K20,$B$3:$G$57,LOAD_COMBOS!$O$30:$AA$54)</f>
        <v>0</v>
      </c>
      <c r="M20">
        <v>-0.32933154759491101</v>
      </c>
      <c r="N20">
        <v>0.43237345201973687</v>
      </c>
      <c r="O20">
        <v>-8.8817841970012523E-16</v>
      </c>
      <c r="P20">
        <v>1.0497024137491191</v>
      </c>
      <c r="Q20">
        <v>-1.6620232754321766</v>
      </c>
      <c r="R20">
        <v>-8.8817841970012523E-16</v>
      </c>
      <c r="S20">
        <v>1.0497024137491191</v>
      </c>
      <c r="T20">
        <v>-1.6620232754321766</v>
      </c>
      <c r="U20">
        <v>-8.8817841970012523E-16</v>
      </c>
      <c r="V20">
        <v>1.0497024137491191</v>
      </c>
      <c r="W20">
        <v>-1.6620232754321766</v>
      </c>
      <c r="X20">
        <v>-1.7763568394002505E-15</v>
      </c>
      <c r="Y20">
        <v>0.88666683924675249</v>
      </c>
      <c r="Z20">
        <v>-1.4290166680675367</v>
      </c>
      <c r="AA20">
        <v>-1.7763568394002505E-15</v>
      </c>
      <c r="AB20">
        <v>0.88666683924675249</v>
      </c>
      <c r="AC20">
        <v>-1.4290166680675367</v>
      </c>
      <c r="AD20">
        <v>-1.7763568394002505E-15</v>
      </c>
      <c r="AE20">
        <v>0.88666683924675249</v>
      </c>
      <c r="AF20">
        <v>-1.4290166680675367</v>
      </c>
      <c r="AG20">
        <v>-8.8817841970012523E-16</v>
      </c>
      <c r="AH20">
        <v>0.97136557591218864</v>
      </c>
      <c r="AI20">
        <v>-1.5687752578161189</v>
      </c>
      <c r="AJ20">
        <v>-8.8817841970012523E-16</v>
      </c>
      <c r="AK20">
        <v>0.97136557591218864</v>
      </c>
      <c r="AL20">
        <v>-1.5687752578161189</v>
      </c>
      <c r="AM20">
        <v>-8.8817841970012523E-16</v>
      </c>
      <c r="AN20">
        <v>0.97136557591218864</v>
      </c>
      <c r="AO20">
        <v>-1.5687752578161189</v>
      </c>
      <c r="AP20">
        <v>-8.8817841970012523E-16</v>
      </c>
      <c r="AQ20">
        <v>0.59725766520090029</v>
      </c>
      <c r="AR20">
        <v>-0.99003482726998149</v>
      </c>
      <c r="AS20">
        <v>-8.8817841970012523E-16</v>
      </c>
      <c r="AT20">
        <v>0.59725766520090029</v>
      </c>
      <c r="AU20">
        <v>-0.99003482726998149</v>
      </c>
      <c r="AV20">
        <v>-8.8817841970012523E-16</v>
      </c>
      <c r="AW20">
        <v>0.59725766520090029</v>
      </c>
      <c r="AX20">
        <v>-0.99003482726998149</v>
      </c>
      <c r="AY20">
        <v>-1.7763568394002505E-15</v>
      </c>
      <c r="AZ20">
        <v>1.2047853062856726</v>
      </c>
      <c r="BA20">
        <v>-1.9186664427539641</v>
      </c>
      <c r="BB20">
        <v>-1.7763568394002505E-15</v>
      </c>
      <c r="BC20">
        <v>1.2047853062856726</v>
      </c>
      <c r="BD20">
        <v>-1.9186664427539641</v>
      </c>
      <c r="BE20">
        <v>-1.7763568394002505E-15</v>
      </c>
      <c r="BF20">
        <v>1.2047853062856726</v>
      </c>
      <c r="BG20">
        <v>-1.9186664427539641</v>
      </c>
      <c r="BH20">
        <v>-1.7763568394002505E-15</v>
      </c>
      <c r="BI20">
        <v>0.45606264979356204</v>
      </c>
      <c r="BJ20">
        <v>-0.76287717498573304</v>
      </c>
      <c r="BK20">
        <v>-1.7763568394002505E-15</v>
      </c>
      <c r="BL20">
        <v>0.45606264979356204</v>
      </c>
      <c r="BM20">
        <v>-0.76287717498573304</v>
      </c>
      <c r="BN20">
        <v>-1.7763568394002505E-15</v>
      </c>
      <c r="BO20">
        <v>0.45606264979356204</v>
      </c>
      <c r="BP20">
        <v>-0.76287717498573304</v>
      </c>
      <c r="BQ20">
        <v>-1.7763568394002505E-15</v>
      </c>
      <c r="BR20">
        <v>0.88666683924675249</v>
      </c>
      <c r="BS20">
        <v>-1.4290166680675367</v>
      </c>
      <c r="BT20">
        <v>-1.7763568394002505E-15</v>
      </c>
      <c r="BU20">
        <v>0.88666683924675249</v>
      </c>
      <c r="BV20">
        <v>-1.4290166680675367</v>
      </c>
      <c r="BW20">
        <v>4.4408920985006262E-16</v>
      </c>
      <c r="BX20">
        <v>0.72174821249370658</v>
      </c>
      <c r="BY20">
        <v>-1.166099100275922</v>
      </c>
      <c r="BZ20">
        <v>4.4408920985006262E-16</v>
      </c>
      <c r="CA20">
        <v>-2.6467608928870678E-2</v>
      </c>
      <c r="CB20">
        <v>-8.6182391836460148E-3</v>
      </c>
      <c r="CC20">
        <v>0</v>
      </c>
      <c r="CD20">
        <v>0.40413658052431956</v>
      </c>
      <c r="CE20">
        <v>-0.67475773226544944</v>
      </c>
      <c r="CF20">
        <v>0</v>
      </c>
      <c r="CG20">
        <v>0.40413658052431956</v>
      </c>
      <c r="CH20">
        <v>-0.67475773226544944</v>
      </c>
      <c r="CI20">
        <f t="shared" si="0"/>
        <v>1.2047853062856726</v>
      </c>
      <c r="CJ20">
        <f t="shared" si="1"/>
        <v>-0.32933154759491101</v>
      </c>
      <c r="CK20">
        <f t="shared" si="2"/>
        <v>0.43237345201973687</v>
      </c>
      <c r="CL20">
        <f t="shared" si="3"/>
        <v>-1.9186664427539641</v>
      </c>
    </row>
    <row r="21" spans="1:90" x14ac:dyDescent="0.25">
      <c r="A21" t="str">
        <f>Unit_Width_Strip_Foundation!A419</f>
        <v>16-2S</v>
      </c>
      <c r="B21">
        <f>-1*Unit_Width_Strip_Foundation!B419</f>
        <v>-0.15147776621574768</v>
      </c>
      <c r="C21">
        <f>-1*Unit_Width_Strip_Foundation!D419</f>
        <v>-1.956135137010059</v>
      </c>
      <c r="D21">
        <f>Unit_Width_Strip_Foundation!C419</f>
        <v>0</v>
      </c>
      <c r="E21">
        <f>Unit_Width_Strip_Foundation!E419</f>
        <v>5.166666666666667</v>
      </c>
      <c r="F21" t="s">
        <v>164</v>
      </c>
      <c r="G21" t="str">
        <f t="shared" si="5"/>
        <v>16-2S</v>
      </c>
      <c r="K21">
        <f t="shared" si="4"/>
        <v>2.5499999999999994</v>
      </c>
      <c r="L21" cm="1">
        <f t="array" ref="L21:CH21">LRFD_Analysis(Unit_Width_Strip_Foundation!$B$12,K21,$B$3:$G$57,LOAD_COMBOS!$O$30:$AA$54)</f>
        <v>0</v>
      </c>
      <c r="M21">
        <v>-0.34374303969655173</v>
      </c>
      <c r="N21">
        <v>0.48286312213957183</v>
      </c>
      <c r="O21">
        <v>-8.8817841970012523E-16</v>
      </c>
      <c r="P21">
        <v>1.0485073845121007</v>
      </c>
      <c r="Q21">
        <v>-1.8194872476989681</v>
      </c>
      <c r="R21">
        <v>-8.8817841970012523E-16</v>
      </c>
      <c r="S21">
        <v>1.0485073845121007</v>
      </c>
      <c r="T21">
        <v>-1.8194872476989681</v>
      </c>
      <c r="U21">
        <v>-8.8817841970012523E-16</v>
      </c>
      <c r="V21">
        <v>1.0485073845121007</v>
      </c>
      <c r="W21">
        <v>-1.8194872476989681</v>
      </c>
      <c r="X21">
        <v>-1.7763568394002505E-15</v>
      </c>
      <c r="Y21">
        <v>0.88148508079621335</v>
      </c>
      <c r="Z21">
        <v>-1.5617171774176755</v>
      </c>
      <c r="AA21">
        <v>-1.7763568394002505E-15</v>
      </c>
      <c r="AB21">
        <v>0.88148508079621335</v>
      </c>
      <c r="AC21">
        <v>-1.5617171774176755</v>
      </c>
      <c r="AD21">
        <v>-1.7763568394002505E-15</v>
      </c>
      <c r="AE21">
        <v>0.88148508079621335</v>
      </c>
      <c r="AF21">
        <v>-1.5617171774176755</v>
      </c>
      <c r="AG21">
        <v>-8.8817841970012523E-16</v>
      </c>
      <c r="AH21">
        <v>0.96514895532207712</v>
      </c>
      <c r="AI21">
        <v>-1.7141122696720474</v>
      </c>
      <c r="AJ21">
        <v>-8.8817841970012523E-16</v>
      </c>
      <c r="AK21">
        <v>0.96514895532207712</v>
      </c>
      <c r="AL21">
        <v>-1.7141122696720474</v>
      </c>
      <c r="AM21">
        <v>-8.8817841970012523E-16</v>
      </c>
      <c r="AN21">
        <v>0.96514895532207712</v>
      </c>
      <c r="AO21">
        <v>-1.7141122696720474</v>
      </c>
      <c r="AP21">
        <v>-8.8817841970012523E-16</v>
      </c>
      <c r="AQ21">
        <v>0.58920994414420513</v>
      </c>
      <c r="AR21">
        <v>-1.079086627860764</v>
      </c>
      <c r="AS21">
        <v>-8.8817841970012523E-16</v>
      </c>
      <c r="AT21">
        <v>0.58920994414420513</v>
      </c>
      <c r="AU21">
        <v>-1.079086627860764</v>
      </c>
      <c r="AV21">
        <v>-8.8817841970012523E-16</v>
      </c>
      <c r="AW21">
        <v>0.58920994414420513</v>
      </c>
      <c r="AX21">
        <v>-1.079086627860764</v>
      </c>
      <c r="AY21">
        <v>-1.7763568394002505E-15</v>
      </c>
      <c r="AZ21">
        <v>1.2012407882187557</v>
      </c>
      <c r="BA21">
        <v>-2.0992345791448206</v>
      </c>
      <c r="BB21">
        <v>-1.7763568394002505E-15</v>
      </c>
      <c r="BC21">
        <v>1.2012407882187557</v>
      </c>
      <c r="BD21">
        <v>-2.0992345791448206</v>
      </c>
      <c r="BE21">
        <v>-1.7763568394002505E-15</v>
      </c>
      <c r="BF21">
        <v>1.2012407882187557</v>
      </c>
      <c r="BG21">
        <v>-2.0992345791448206</v>
      </c>
      <c r="BH21">
        <v>-1.7763568394002505E-15</v>
      </c>
      <c r="BI21">
        <v>0.44877326541572948</v>
      </c>
      <c r="BJ21">
        <v>-0.83079250583229802</v>
      </c>
      <c r="BK21">
        <v>-1.7763568394002505E-15</v>
      </c>
      <c r="BL21">
        <v>0.44877326541572948</v>
      </c>
      <c r="BM21">
        <v>-0.83079250583229802</v>
      </c>
      <c r="BN21">
        <v>-1.7763568394002505E-15</v>
      </c>
      <c r="BO21">
        <v>0.44877326541572948</v>
      </c>
      <c r="BP21">
        <v>-0.83079250583229802</v>
      </c>
      <c r="BQ21">
        <v>-1.7763568394002505E-15</v>
      </c>
      <c r="BR21">
        <v>0.88148508079621335</v>
      </c>
      <c r="BS21">
        <v>-1.5617171774176755</v>
      </c>
      <c r="BT21">
        <v>-1.7763568394002505E-15</v>
      </c>
      <c r="BU21">
        <v>0.88148508079621335</v>
      </c>
      <c r="BV21">
        <v>-1.5617171774176755</v>
      </c>
      <c r="BW21">
        <v>4.4408920985006262E-16</v>
      </c>
      <c r="BX21">
        <v>0.71705258153804863</v>
      </c>
      <c r="BY21">
        <v>-1.2740824023198285</v>
      </c>
      <c r="BZ21">
        <v>4.4408920985006262E-16</v>
      </c>
      <c r="CA21">
        <v>-3.4825440817696451E-2</v>
      </c>
      <c r="CB21">
        <v>-4.0311186972581403E-3</v>
      </c>
      <c r="CC21">
        <v>0</v>
      </c>
      <c r="CD21">
        <v>0.39788637456278741</v>
      </c>
      <c r="CE21">
        <v>-0.7349557902826358</v>
      </c>
      <c r="CF21">
        <v>0</v>
      </c>
      <c r="CG21">
        <v>0.39788637456278741</v>
      </c>
      <c r="CH21">
        <v>-0.7349557902826358</v>
      </c>
      <c r="CI21">
        <f t="shared" si="0"/>
        <v>1.2012407882187557</v>
      </c>
      <c r="CJ21">
        <f t="shared" si="1"/>
        <v>-0.34374303969655173</v>
      </c>
      <c r="CK21">
        <f t="shared" si="2"/>
        <v>0.48286312213957183</v>
      </c>
      <c r="CL21">
        <f t="shared" si="3"/>
        <v>-2.0992345791448206</v>
      </c>
    </row>
    <row r="22" spans="1:90" x14ac:dyDescent="0.25">
      <c r="A22" t="str">
        <f>Unit_Width_Strip_Foundation!A420</f>
        <v>16-2R</v>
      </c>
      <c r="B22">
        <f>-1*Unit_Width_Strip_Foundation!B420</f>
        <v>-0.15147776621574768</v>
      </c>
      <c r="C22">
        <f>-1*Unit_Width_Strip_Foundation!D420</f>
        <v>-1.956135137010059</v>
      </c>
      <c r="D22">
        <f>Unit_Width_Strip_Foundation!C420</f>
        <v>0</v>
      </c>
      <c r="E22">
        <f>Unit_Width_Strip_Foundation!E420</f>
        <v>5.166666666666667</v>
      </c>
      <c r="F22" t="s">
        <v>164</v>
      </c>
      <c r="G22" t="str">
        <f t="shared" si="5"/>
        <v>16-2R</v>
      </c>
      <c r="K22">
        <f t="shared" si="4"/>
        <v>2.6999999999999993</v>
      </c>
      <c r="L22" cm="1">
        <f t="array" ref="L22:CH22">LRFD_Analysis(Unit_Width_Strip_Foundation!$B$12,K22,$B$3:$G$57,LOAD_COMBOS!$O$30:$AA$54)</f>
        <v>0</v>
      </c>
      <c r="M22">
        <v>-0.35742844596018886</v>
      </c>
      <c r="N22">
        <v>0.53546005963680265</v>
      </c>
      <c r="O22">
        <v>-8.8817841970012523E-16</v>
      </c>
      <c r="P22">
        <v>1.039453363499043</v>
      </c>
      <c r="Q22">
        <v>-1.9761825411970046</v>
      </c>
      <c r="R22">
        <v>-8.8817841970012523E-16</v>
      </c>
      <c r="S22">
        <v>1.039453363499043</v>
      </c>
      <c r="T22">
        <v>-1.9761825411970046</v>
      </c>
      <c r="U22">
        <v>-8.8817841970012523E-16</v>
      </c>
      <c r="V22">
        <v>1.039453363499043</v>
      </c>
      <c r="W22">
        <v>-1.9761825411970046</v>
      </c>
      <c r="X22">
        <v>-1.7763568394002505E-15</v>
      </c>
      <c r="Y22">
        <v>0.86917409459232631</v>
      </c>
      <c r="Z22">
        <v>-1.6931057309187327</v>
      </c>
      <c r="AA22">
        <v>-1.7763568394002505E-15</v>
      </c>
      <c r="AB22">
        <v>0.86917409459232631</v>
      </c>
      <c r="AC22">
        <v>-1.6931057309187327</v>
      </c>
      <c r="AD22">
        <v>-1.7763568394002505E-15</v>
      </c>
      <c r="AE22">
        <v>0.86917409459232631</v>
      </c>
      <c r="AF22">
        <v>-1.6931057309187327</v>
      </c>
      <c r="AG22">
        <v>-8.8817841970012523E-16</v>
      </c>
      <c r="AH22">
        <v>0.95105857366318691</v>
      </c>
      <c r="AI22">
        <v>-1.8579262563593018</v>
      </c>
      <c r="AJ22">
        <v>-8.8817841970012523E-16</v>
      </c>
      <c r="AK22">
        <v>0.95105857366318691</v>
      </c>
      <c r="AL22">
        <v>-1.8579262563593018</v>
      </c>
      <c r="AM22">
        <v>-8.8817841970012523E-16</v>
      </c>
      <c r="AN22">
        <v>0.95105857366318691</v>
      </c>
      <c r="AO22">
        <v>-1.8579262563593018</v>
      </c>
      <c r="AP22">
        <v>-8.8817841970012523E-16</v>
      </c>
      <c r="AQ22">
        <v>0.57582383189553976</v>
      </c>
      <c r="AR22">
        <v>-1.1665308909536445</v>
      </c>
      <c r="AS22">
        <v>-8.8817841970012523E-16</v>
      </c>
      <c r="AT22">
        <v>0.57582383189553976</v>
      </c>
      <c r="AU22">
        <v>-1.1665308909536445</v>
      </c>
      <c r="AV22">
        <v>-8.8817841970012523E-16</v>
      </c>
      <c r="AW22">
        <v>0.57582383189553976</v>
      </c>
      <c r="AX22">
        <v>-1.1665308909536445</v>
      </c>
      <c r="AY22">
        <v>-1.7763568394002505E-15</v>
      </c>
      <c r="AZ22">
        <v>1.188401925909865</v>
      </c>
      <c r="BA22">
        <v>-2.2785739620074916</v>
      </c>
      <c r="BB22">
        <v>-1.7763568394002505E-15</v>
      </c>
      <c r="BC22">
        <v>1.188401925909865</v>
      </c>
      <c r="BD22">
        <v>-2.2785739620074916</v>
      </c>
      <c r="BE22">
        <v>-1.7763568394002505E-15</v>
      </c>
      <c r="BF22">
        <v>1.188401925909865</v>
      </c>
      <c r="BG22">
        <v>-2.2785739620074916</v>
      </c>
      <c r="BH22">
        <v>-1.7763568394002505E-15</v>
      </c>
      <c r="BI22">
        <v>0.43727290456849355</v>
      </c>
      <c r="BJ22">
        <v>-0.89729860578698206</v>
      </c>
      <c r="BK22">
        <v>-1.7763568394002505E-15</v>
      </c>
      <c r="BL22">
        <v>0.43727290456849355</v>
      </c>
      <c r="BM22">
        <v>-0.89729860578698206</v>
      </c>
      <c r="BN22">
        <v>-1.7763568394002505E-15</v>
      </c>
      <c r="BO22">
        <v>0.43727290456849355</v>
      </c>
      <c r="BP22">
        <v>-0.89729860578698206</v>
      </c>
      <c r="BQ22">
        <v>-1.7763568394002505E-15</v>
      </c>
      <c r="BR22">
        <v>0.86917409459232631</v>
      </c>
      <c r="BS22">
        <v>-1.6931057309187327</v>
      </c>
      <c r="BT22">
        <v>-1.7763568394002505E-15</v>
      </c>
      <c r="BU22">
        <v>0.86917409459232631</v>
      </c>
      <c r="BV22">
        <v>-1.6931057309187327</v>
      </c>
      <c r="BW22">
        <v>4.4408920985006262E-16</v>
      </c>
      <c r="BX22">
        <v>0.70649755126044833</v>
      </c>
      <c r="BY22">
        <v>-1.3809219047712396</v>
      </c>
      <c r="BZ22">
        <v>4.4408920985006262E-16</v>
      </c>
      <c r="CA22">
        <v>-4.3971932274847969E-2</v>
      </c>
      <c r="CB22">
        <v>1.8688260400794299E-3</v>
      </c>
      <c r="CC22">
        <v>0</v>
      </c>
      <c r="CD22">
        <v>0.38792925774898457</v>
      </c>
      <c r="CE22">
        <v>-0.79393829909167168</v>
      </c>
      <c r="CF22">
        <v>0</v>
      </c>
      <c r="CG22">
        <v>0.38792925774898457</v>
      </c>
      <c r="CH22">
        <v>-0.79393829909167168</v>
      </c>
      <c r="CI22">
        <f t="shared" si="0"/>
        <v>1.188401925909865</v>
      </c>
      <c r="CJ22">
        <f t="shared" si="1"/>
        <v>-0.35742844596018886</v>
      </c>
      <c r="CK22">
        <f t="shared" si="2"/>
        <v>0.53546005963680265</v>
      </c>
      <c r="CL22">
        <f t="shared" si="3"/>
        <v>-2.2785739620074916</v>
      </c>
    </row>
    <row r="23" spans="1:90" x14ac:dyDescent="0.25">
      <c r="A23" t="str">
        <f>Unit_Width_Strip_Foundation!A421</f>
        <v>16-3Lr_L</v>
      </c>
      <c r="B23">
        <f>-1*Unit_Width_Strip_Foundation!B421</f>
        <v>-0.2033300034686093</v>
      </c>
      <c r="C23">
        <f>-1*Unit_Width_Strip_Foundation!D421</f>
        <v>-1.8404119320152619</v>
      </c>
      <c r="D23">
        <f>Unit_Width_Strip_Foundation!C421</f>
        <v>0</v>
      </c>
      <c r="E23">
        <f>Unit_Width_Strip_Foundation!E421</f>
        <v>5.166666666666667</v>
      </c>
      <c r="F23" t="s">
        <v>164</v>
      </c>
      <c r="G23" t="str">
        <f t="shared" si="5"/>
        <v>16-3Lr_L</v>
      </c>
      <c r="K23">
        <f t="shared" si="4"/>
        <v>2.8499999999999992</v>
      </c>
      <c r="L23" cm="1">
        <f t="array" ref="L23:CH23">LRFD_Analysis(Unit_Width_Strip_Foundation!$B$12,K23,$B$3:$G$57,LOAD_COMBOS!$O$30:$AA$54)</f>
        <v>0</v>
      </c>
      <c r="M23">
        <v>-0.37038776638582105</v>
      </c>
      <c r="N23">
        <v>0.59005535163572898</v>
      </c>
      <c r="O23">
        <v>-8.8817841970012523E-16</v>
      </c>
      <c r="P23">
        <v>1.0225403507099455</v>
      </c>
      <c r="Q23">
        <v>-2.1309303071598795</v>
      </c>
      <c r="R23">
        <v>-8.8817841970012523E-16</v>
      </c>
      <c r="S23">
        <v>1.0225403507099455</v>
      </c>
      <c r="T23">
        <v>-2.1309303071598795</v>
      </c>
      <c r="U23">
        <v>-8.8817841970012523E-16</v>
      </c>
      <c r="V23">
        <v>1.0225403507099455</v>
      </c>
      <c r="W23">
        <v>-2.1309303071598795</v>
      </c>
      <c r="X23">
        <v>-1.7763568394002505E-15</v>
      </c>
      <c r="Y23">
        <v>0.84973388063509092</v>
      </c>
      <c r="Z23">
        <v>-1.8221129444077055</v>
      </c>
      <c r="AA23">
        <v>-1.7763568394002505E-15</v>
      </c>
      <c r="AB23">
        <v>0.84973388063509092</v>
      </c>
      <c r="AC23">
        <v>-1.8221129444077055</v>
      </c>
      <c r="AD23">
        <v>-1.7763568394002505E-15</v>
      </c>
      <c r="AE23">
        <v>0.84973388063509092</v>
      </c>
      <c r="AF23">
        <v>-1.8221129444077055</v>
      </c>
      <c r="AG23">
        <v>-8.8817841970012523E-16</v>
      </c>
      <c r="AH23">
        <v>0.92909443093551736</v>
      </c>
      <c r="AI23">
        <v>-1.9990361537175643</v>
      </c>
      <c r="AJ23">
        <v>-8.8817841970012523E-16</v>
      </c>
      <c r="AK23">
        <v>0.92909443093551736</v>
      </c>
      <c r="AL23">
        <v>-1.9990361537175643</v>
      </c>
      <c r="AM23">
        <v>-8.8817841970012523E-16</v>
      </c>
      <c r="AN23">
        <v>0.92909443093551736</v>
      </c>
      <c r="AO23">
        <v>-1.9990361537175643</v>
      </c>
      <c r="AP23">
        <v>-8.8817841970012523E-16</v>
      </c>
      <c r="AQ23">
        <v>0.55709932845490284</v>
      </c>
      <c r="AR23">
        <v>-1.2515668578698267</v>
      </c>
      <c r="AS23">
        <v>-8.8817841970012523E-16</v>
      </c>
      <c r="AT23">
        <v>0.55709932845490284</v>
      </c>
      <c r="AU23">
        <v>-1.2515668578698267</v>
      </c>
      <c r="AV23">
        <v>-8.8817841970012523E-16</v>
      </c>
      <c r="AW23">
        <v>0.55709932845490284</v>
      </c>
      <c r="AX23">
        <v>-1.2515668578698267</v>
      </c>
      <c r="AY23">
        <v>-1.7763568394002505E-15</v>
      </c>
      <c r="AZ23">
        <v>1.1662687193590002</v>
      </c>
      <c r="BA23">
        <v>-2.4552904397056809</v>
      </c>
      <c r="BB23">
        <v>-1.7763568394002505E-15</v>
      </c>
      <c r="BC23">
        <v>1.1662687193590002</v>
      </c>
      <c r="BD23">
        <v>-2.4552904397056809</v>
      </c>
      <c r="BE23">
        <v>-1.7763568394002505E-15</v>
      </c>
      <c r="BF23">
        <v>1.1662687193590002</v>
      </c>
      <c r="BG23">
        <v>-2.4552904397056809</v>
      </c>
      <c r="BH23">
        <v>-1.7763568394002505E-15</v>
      </c>
      <c r="BI23">
        <v>0.42156156725185401</v>
      </c>
      <c r="BJ23">
        <v>-0.9617638283793748</v>
      </c>
      <c r="BK23">
        <v>-1.7763568394002505E-15</v>
      </c>
      <c r="BL23">
        <v>0.42156156725185401</v>
      </c>
      <c r="BM23">
        <v>-0.9617638283793748</v>
      </c>
      <c r="BN23">
        <v>-1.7763568394002505E-15</v>
      </c>
      <c r="BO23">
        <v>0.42156156725185401</v>
      </c>
      <c r="BP23">
        <v>-0.9617638283793748</v>
      </c>
      <c r="BQ23">
        <v>-1.7763568394002505E-15</v>
      </c>
      <c r="BR23">
        <v>0.84973388063509092</v>
      </c>
      <c r="BS23">
        <v>-1.8221129444077055</v>
      </c>
      <c r="BT23">
        <v>-1.7763568394002505E-15</v>
      </c>
      <c r="BU23">
        <v>0.84973388063509092</v>
      </c>
      <c r="BV23">
        <v>-1.8221129444077055</v>
      </c>
      <c r="BW23">
        <v>4.4408920985006262E-16</v>
      </c>
      <c r="BX23">
        <v>0.69008312166090469</v>
      </c>
      <c r="BY23">
        <v>-1.4857386977318647</v>
      </c>
      <c r="BZ23">
        <v>4.4408920985006262E-16</v>
      </c>
      <c r="CA23">
        <v>-5.3907083300325453E-2</v>
      </c>
      <c r="CB23">
        <v>9.1998939636135368E-3</v>
      </c>
      <c r="CC23">
        <v>0</v>
      </c>
      <c r="CD23">
        <v>0.37426523008291124</v>
      </c>
      <c r="CE23">
        <v>-0.85114922206471766</v>
      </c>
      <c r="CF23">
        <v>0</v>
      </c>
      <c r="CG23">
        <v>0.37426523008291124</v>
      </c>
      <c r="CH23">
        <v>-0.85114922206471766</v>
      </c>
      <c r="CI23">
        <f t="shared" si="0"/>
        <v>1.1662687193590002</v>
      </c>
      <c r="CJ23">
        <f t="shared" si="1"/>
        <v>-0.37038776638582105</v>
      </c>
      <c r="CK23">
        <f t="shared" si="2"/>
        <v>0.59005535163572898</v>
      </c>
      <c r="CL23">
        <f t="shared" si="3"/>
        <v>-2.4552904397056809</v>
      </c>
    </row>
    <row r="24" spans="1:90" x14ac:dyDescent="0.25">
      <c r="A24" t="str">
        <f>Unit_Width_Strip_Foundation!A422</f>
        <v>16-3S_L</v>
      </c>
      <c r="B24">
        <f>-1*Unit_Width_Strip_Foundation!B422</f>
        <v>-0.2033300034686093</v>
      </c>
      <c r="C24">
        <f>-1*Unit_Width_Strip_Foundation!D422</f>
        <v>-1.8404119320152619</v>
      </c>
      <c r="D24">
        <f>Unit_Width_Strip_Foundation!C422</f>
        <v>0</v>
      </c>
      <c r="E24">
        <f>Unit_Width_Strip_Foundation!E422</f>
        <v>5.166666666666667</v>
      </c>
      <c r="F24" t="s">
        <v>164</v>
      </c>
      <c r="G24" t="str">
        <f t="shared" si="5"/>
        <v>16-3S_L</v>
      </c>
      <c r="K24">
        <f t="shared" si="4"/>
        <v>2.9999999999999991</v>
      </c>
      <c r="L24" cm="1">
        <f t="array" ref="L24:CH24">LRFD_Analysis(Unit_Width_Strip_Foundation!$B$12,K24,$B$3:$G$57,LOAD_COMBOS!$O$30:$AA$54)</f>
        <v>0</v>
      </c>
      <c r="M24">
        <v>-0.38262100097344831</v>
      </c>
      <c r="N24">
        <v>0.64654008526064821</v>
      </c>
      <c r="O24">
        <v>-8.8817841970012523E-16</v>
      </c>
      <c r="P24">
        <v>0.99776834614480814</v>
      </c>
      <c r="Q24">
        <v>-2.2825516968211859</v>
      </c>
      <c r="R24">
        <v>-8.8817841970012523E-16</v>
      </c>
      <c r="S24">
        <v>0.99776834614480814</v>
      </c>
      <c r="T24">
        <v>-2.2825516968211859</v>
      </c>
      <c r="U24">
        <v>-8.8817841970012523E-16</v>
      </c>
      <c r="V24">
        <v>0.99776834614480814</v>
      </c>
      <c r="W24">
        <v>-2.2825516968211859</v>
      </c>
      <c r="X24">
        <v>-1.7763568394002505E-15</v>
      </c>
      <c r="Y24">
        <v>0.82316443892450719</v>
      </c>
      <c r="Z24">
        <v>-1.9476694337215927</v>
      </c>
      <c r="AA24">
        <v>-1.7763568394002505E-15</v>
      </c>
      <c r="AB24">
        <v>0.82316443892450719</v>
      </c>
      <c r="AC24">
        <v>-1.9476694337215927</v>
      </c>
      <c r="AD24">
        <v>-1.7763568394002505E-15</v>
      </c>
      <c r="AE24">
        <v>0.82316443892450719</v>
      </c>
      <c r="AF24">
        <v>-1.9476694337215927</v>
      </c>
      <c r="AG24">
        <v>-8.8817841970012523E-16</v>
      </c>
      <c r="AH24">
        <v>0.89925652713906845</v>
      </c>
      <c r="AI24">
        <v>-2.136260897586518</v>
      </c>
      <c r="AJ24">
        <v>-8.8817841970012523E-16</v>
      </c>
      <c r="AK24">
        <v>0.89925652713906845</v>
      </c>
      <c r="AL24">
        <v>-2.136260897586518</v>
      </c>
      <c r="AM24">
        <v>-8.8817841970012523E-16</v>
      </c>
      <c r="AN24">
        <v>0.89925652713906845</v>
      </c>
      <c r="AO24">
        <v>-2.136260897586518</v>
      </c>
      <c r="AP24">
        <v>-8.8817841970012523E-16</v>
      </c>
      <c r="AQ24">
        <v>0.53303643382229549</v>
      </c>
      <c r="AR24">
        <v>-1.3333937699305154</v>
      </c>
      <c r="AS24">
        <v>-8.8817841970012523E-16</v>
      </c>
      <c r="AT24">
        <v>0.53303643382229549</v>
      </c>
      <c r="AU24">
        <v>-1.3333937699305154</v>
      </c>
      <c r="AV24">
        <v>-8.8817841970012523E-16</v>
      </c>
      <c r="AW24">
        <v>0.53303643382229549</v>
      </c>
      <c r="AX24">
        <v>-1.3333937699305154</v>
      </c>
      <c r="AY24">
        <v>-1.7763568394002505E-15</v>
      </c>
      <c r="AZ24">
        <v>1.1348411685661612</v>
      </c>
      <c r="BA24">
        <v>-2.6279898606030931</v>
      </c>
      <c r="BB24">
        <v>-1.7763568394002505E-15</v>
      </c>
      <c r="BC24">
        <v>1.1348411685661612</v>
      </c>
      <c r="BD24">
        <v>-2.6279898606030931</v>
      </c>
      <c r="BE24">
        <v>-1.7763568394002505E-15</v>
      </c>
      <c r="BF24">
        <v>1.1348411685661612</v>
      </c>
      <c r="BG24">
        <v>-2.6279898606030931</v>
      </c>
      <c r="BH24">
        <v>-1.7763568394002505E-15</v>
      </c>
      <c r="BI24">
        <v>0.40163925346581175</v>
      </c>
      <c r="BJ24">
        <v>-1.0235565271390676</v>
      </c>
      <c r="BK24">
        <v>-1.7763568394002505E-15</v>
      </c>
      <c r="BL24">
        <v>0.40163925346581175</v>
      </c>
      <c r="BM24">
        <v>-1.0235565271390676</v>
      </c>
      <c r="BN24">
        <v>-1.7763568394002505E-15</v>
      </c>
      <c r="BO24">
        <v>0.40163925346581175</v>
      </c>
      <c r="BP24">
        <v>-1.0235565271390676</v>
      </c>
      <c r="BQ24">
        <v>-1.7763568394002505E-15</v>
      </c>
      <c r="BR24">
        <v>0.82316443892450719</v>
      </c>
      <c r="BS24">
        <v>-1.9476694337215927</v>
      </c>
      <c r="BT24">
        <v>-1.7763568394002505E-15</v>
      </c>
      <c r="BU24">
        <v>0.82316443892450719</v>
      </c>
      <c r="BV24">
        <v>-1.9476694337215927</v>
      </c>
      <c r="BW24">
        <v>4.4408920985006262E-16</v>
      </c>
      <c r="BX24">
        <v>0.66780929273941836</v>
      </c>
      <c r="BY24">
        <v>-1.5876538713034138</v>
      </c>
      <c r="BZ24">
        <v>4.4408920985006262E-16</v>
      </c>
      <c r="CA24">
        <v>-6.4630893894128683E-2</v>
      </c>
      <c r="CB24">
        <v>1.808038400859191E-2</v>
      </c>
      <c r="CC24">
        <v>0</v>
      </c>
      <c r="CD24">
        <v>0.35689429156456653</v>
      </c>
      <c r="CE24">
        <v>-0.90603252257393141</v>
      </c>
      <c r="CF24">
        <v>0</v>
      </c>
      <c r="CG24">
        <v>0.35689429156456653</v>
      </c>
      <c r="CH24">
        <v>-0.90603252257393141</v>
      </c>
      <c r="CI24">
        <f t="shared" si="0"/>
        <v>1.1348411685661612</v>
      </c>
      <c r="CJ24">
        <f t="shared" si="1"/>
        <v>-0.38262100097344831</v>
      </c>
      <c r="CK24">
        <f t="shared" si="2"/>
        <v>0.64654008526064821</v>
      </c>
      <c r="CL24">
        <f t="shared" si="3"/>
        <v>-2.6279898606030931</v>
      </c>
    </row>
    <row r="25" spans="1:90" x14ac:dyDescent="0.25">
      <c r="A25" t="str">
        <f>Unit_Width_Strip_Foundation!A423</f>
        <v>16-3R_L</v>
      </c>
      <c r="B25">
        <f>-1*Unit_Width_Strip_Foundation!B423</f>
        <v>-0.2033300034686093</v>
      </c>
      <c r="C25">
        <f>-1*Unit_Width_Strip_Foundation!D423</f>
        <v>-1.8404119320152619</v>
      </c>
      <c r="D25">
        <f>Unit_Width_Strip_Foundation!C423</f>
        <v>0</v>
      </c>
      <c r="E25">
        <f>Unit_Width_Strip_Foundation!E423</f>
        <v>5.166666666666667</v>
      </c>
      <c r="F25" t="s">
        <v>164</v>
      </c>
      <c r="G25" t="str">
        <f t="shared" si="5"/>
        <v>16-3R_L</v>
      </c>
    </row>
    <row r="26" spans="1:90" x14ac:dyDescent="0.25">
      <c r="A26" t="str">
        <f>Unit_Width_Strip_Foundation!A424</f>
        <v>16-3Lr_W1</v>
      </c>
      <c r="B26">
        <f>-1*Unit_Width_Strip_Foundation!B424</f>
        <v>-0.10333041970169966</v>
      </c>
      <c r="C26">
        <f>-1*Unit_Width_Strip_Foundation!D424</f>
        <v>-1.9113792577176554</v>
      </c>
      <c r="D26">
        <f>Unit_Width_Strip_Foundation!C424</f>
        <v>0</v>
      </c>
      <c r="E26">
        <f>Unit_Width_Strip_Foundation!E424</f>
        <v>5.166666666666667</v>
      </c>
      <c r="F26" t="s">
        <v>164</v>
      </c>
      <c r="G26" t="str">
        <f t="shared" si="5"/>
        <v>16-3Lr_W1</v>
      </c>
    </row>
    <row r="27" spans="1:90" x14ac:dyDescent="0.25">
      <c r="A27" t="str">
        <f>Unit_Width_Strip_Foundation!A425</f>
        <v>16-3S_W1</v>
      </c>
      <c r="B27">
        <f>-1*Unit_Width_Strip_Foundation!B425</f>
        <v>-0.10333041970169966</v>
      </c>
      <c r="C27">
        <f>-1*Unit_Width_Strip_Foundation!D425</f>
        <v>-1.9113792577176554</v>
      </c>
      <c r="D27">
        <f>Unit_Width_Strip_Foundation!C425</f>
        <v>0</v>
      </c>
      <c r="E27">
        <f>Unit_Width_Strip_Foundation!E425</f>
        <v>5.166666666666667</v>
      </c>
      <c r="F27" t="s">
        <v>164</v>
      </c>
      <c r="G27" t="str">
        <f t="shared" si="5"/>
        <v>16-3S_W1</v>
      </c>
    </row>
    <row r="28" spans="1:90" x14ac:dyDescent="0.25">
      <c r="A28" t="str">
        <f>Unit_Width_Strip_Foundation!A426</f>
        <v>16-3R_W1</v>
      </c>
      <c r="B28">
        <f>-1*Unit_Width_Strip_Foundation!B426</f>
        <v>-0.10333041970169966</v>
      </c>
      <c r="C28">
        <f>-1*Unit_Width_Strip_Foundation!D426</f>
        <v>-1.9113792577176554</v>
      </c>
      <c r="D28">
        <f>Unit_Width_Strip_Foundation!C426</f>
        <v>0</v>
      </c>
      <c r="E28">
        <f>Unit_Width_Strip_Foundation!E426</f>
        <v>5.166666666666667</v>
      </c>
      <c r="F28" t="s">
        <v>164</v>
      </c>
      <c r="G28" t="str">
        <f t="shared" si="5"/>
        <v>16-3R_W1</v>
      </c>
      <c r="K28">
        <f>Unit_Width_Strip_Foundation!F10+(Unit_Width_Strip_Foundation!B3/12)</f>
        <v>3.6666666666666665</v>
      </c>
      <c r="L28" cm="1">
        <f t="array" ref="L28:CH28">LRFD_Analysis(Unit_Width_Strip_Foundation!$B$12,K28,$B$3:$G$57,LOAD_COMBOS!$O$30:$AA$54)</f>
        <v>0</v>
      </c>
      <c r="M28">
        <v>0.78512714309690956</v>
      </c>
      <c r="N28">
        <v>0.57976928434762232</v>
      </c>
      <c r="O28">
        <v>-8.8817841970012523E-16</v>
      </c>
      <c r="P28">
        <v>1.7792531167131007</v>
      </c>
      <c r="Q28">
        <v>1.4326772347353258</v>
      </c>
      <c r="R28">
        <v>-8.8817841970012523E-16</v>
      </c>
      <c r="S28">
        <v>1.7792531167131007</v>
      </c>
      <c r="T28">
        <v>1.4326772347353258</v>
      </c>
      <c r="U28">
        <v>-8.8817841970012523E-16</v>
      </c>
      <c r="V28">
        <v>1.7792531167131007</v>
      </c>
      <c r="W28">
        <v>1.4326772347353258</v>
      </c>
      <c r="X28">
        <v>-1.7763568394002505E-15</v>
      </c>
      <c r="Y28">
        <v>1.6421565103554769</v>
      </c>
      <c r="Z28">
        <v>1.3207327296834643</v>
      </c>
      <c r="AA28">
        <v>-1.7763568394002505E-15</v>
      </c>
      <c r="AB28">
        <v>1.6421565103554769</v>
      </c>
      <c r="AC28">
        <v>1.3207327296834643</v>
      </c>
      <c r="AD28">
        <v>-1.7763568394002505E-15</v>
      </c>
      <c r="AE28">
        <v>1.6421565103554769</v>
      </c>
      <c r="AF28">
        <v>1.3207327296834643</v>
      </c>
      <c r="AG28">
        <v>-8.8817841970012523E-16</v>
      </c>
      <c r="AH28">
        <v>1.711380833137524</v>
      </c>
      <c r="AI28">
        <v>1.3819576382128866</v>
      </c>
      <c r="AJ28">
        <v>-8.8817841970012523E-16</v>
      </c>
      <c r="AK28">
        <v>1.711380833137524</v>
      </c>
      <c r="AL28">
        <v>1.3819576382128866</v>
      </c>
      <c r="AM28">
        <v>-8.8817841970012523E-16</v>
      </c>
      <c r="AN28">
        <v>1.711380833137524</v>
      </c>
      <c r="AO28">
        <v>1.3819576382128866</v>
      </c>
      <c r="AP28">
        <v>-8.8817841970012523E-16</v>
      </c>
      <c r="AQ28">
        <v>1.4015022926387157</v>
      </c>
      <c r="AR28">
        <v>1.1178566093786735</v>
      </c>
      <c r="AS28">
        <v>-8.8817841970012523E-16</v>
      </c>
      <c r="AT28">
        <v>1.4015022926387157</v>
      </c>
      <c r="AU28">
        <v>1.1178566093786735</v>
      </c>
      <c r="AV28">
        <v>-8.8817841970012523E-16</v>
      </c>
      <c r="AW28">
        <v>1.4015022926387157</v>
      </c>
      <c r="AX28">
        <v>1.1178566093786735</v>
      </c>
      <c r="AY28">
        <v>-1.7763568394002505E-15</v>
      </c>
      <c r="AZ28">
        <v>1.906046407546941</v>
      </c>
      <c r="BA28">
        <v>1.5457141086848871</v>
      </c>
      <c r="BB28">
        <v>-1.7763568394002505E-15</v>
      </c>
      <c r="BC28">
        <v>1.906046407546941</v>
      </c>
      <c r="BD28">
        <v>1.5457141086848871</v>
      </c>
      <c r="BE28">
        <v>-1.7763568394002505E-15</v>
      </c>
      <c r="BF28">
        <v>1.906046407546941</v>
      </c>
      <c r="BG28">
        <v>1.5457141086848871</v>
      </c>
      <c r="BH28">
        <v>-1.7763568394002505E-15</v>
      </c>
      <c r="BI28">
        <v>1.2854813534288883</v>
      </c>
      <c r="BJ28">
        <v>1.0167482209392127</v>
      </c>
      <c r="BK28">
        <v>-1.7763568394002505E-15</v>
      </c>
      <c r="BL28">
        <v>1.2854813534288883</v>
      </c>
      <c r="BM28">
        <v>1.0167482209392127</v>
      </c>
      <c r="BN28">
        <v>-1.7763568394002505E-15</v>
      </c>
      <c r="BO28">
        <v>1.2854813534288883</v>
      </c>
      <c r="BP28">
        <v>1.0167482209392127</v>
      </c>
      <c r="BQ28">
        <v>-1.7763568394002505E-15</v>
      </c>
      <c r="BR28">
        <v>1.6421565103554769</v>
      </c>
      <c r="BS28">
        <v>1.3207327296834643</v>
      </c>
      <c r="BT28">
        <v>-1.7763568394002505E-15</v>
      </c>
      <c r="BU28">
        <v>1.6421565103554769</v>
      </c>
      <c r="BV28">
        <v>1.3207327296834643</v>
      </c>
      <c r="BW28">
        <v>4.4408920985006262E-16</v>
      </c>
      <c r="BX28">
        <v>1.2779229995636272</v>
      </c>
      <c r="BY28">
        <v>1.0316847411970071</v>
      </c>
      <c r="BZ28">
        <v>4.4408920985006262E-16</v>
      </c>
      <c r="CA28">
        <v>0.65816591856600981</v>
      </c>
      <c r="CB28">
        <v>0.50348268352858527</v>
      </c>
      <c r="CC28">
        <v>0</v>
      </c>
      <c r="CD28">
        <v>1.0148410754925989</v>
      </c>
      <c r="CE28">
        <v>0.80746719227283414</v>
      </c>
      <c r="CF28">
        <v>0</v>
      </c>
      <c r="CG28">
        <v>1.0148410754925989</v>
      </c>
      <c r="CH28">
        <v>0.80746719227283414</v>
      </c>
      <c r="CI28">
        <f t="shared" si="0"/>
        <v>1.906046407546941</v>
      </c>
      <c r="CJ28">
        <f t="shared" si="1"/>
        <v>0.65816591856600981</v>
      </c>
      <c r="CK28">
        <f t="shared" si="2"/>
        <v>1.5457141086848871</v>
      </c>
      <c r="CL28">
        <f t="shared" si="3"/>
        <v>0.50348268352858527</v>
      </c>
    </row>
    <row r="29" spans="1:90" x14ac:dyDescent="0.25">
      <c r="A29" t="str">
        <f>Unit_Width_Strip_Foundation!A427</f>
        <v>16-3Lr_W2</v>
      </c>
      <c r="B29">
        <f>-1*Unit_Width_Strip_Foundation!B427</f>
        <v>-0.39442844259451937</v>
      </c>
      <c r="C29">
        <f>-1*Unit_Width_Strip_Foundation!D427</f>
        <v>-1.6202812348248357</v>
      </c>
      <c r="D29">
        <f>Unit_Width_Strip_Foundation!C427</f>
        <v>0</v>
      </c>
      <c r="E29">
        <f>Unit_Width_Strip_Foundation!E427</f>
        <v>5.166666666666667</v>
      </c>
      <c r="F29" t="s">
        <v>164</v>
      </c>
      <c r="G29" t="str">
        <f t="shared" si="5"/>
        <v>16-3Lr_W2</v>
      </c>
      <c r="J29">
        <f>Unit_Width_Strip_Foundation!F11/20</f>
        <v>7.4999999999999997E-2</v>
      </c>
      <c r="K29">
        <f>K28+$J$29</f>
        <v>3.7416666666666667</v>
      </c>
      <c r="L29" cm="1">
        <f t="array" ref="L29:CH29">LRFD_Analysis(Unit_Width_Strip_Foundation!$B$12,K29,$B$3:$G$57,LOAD_COMBOS!$O$30:$AA$54)</f>
        <v>0</v>
      </c>
      <c r="M29">
        <v>0.74414633207680225</v>
      </c>
      <c r="N29">
        <v>0.52242266353772826</v>
      </c>
      <c r="O29">
        <v>-8.8817841970012523E-16</v>
      </c>
      <c r="P29">
        <v>1.7089555663455398</v>
      </c>
      <c r="Q29">
        <v>1.3018571294459735</v>
      </c>
      <c r="R29">
        <v>-8.8817841970012523E-16</v>
      </c>
      <c r="S29">
        <v>1.7089555663455398</v>
      </c>
      <c r="T29">
        <v>1.3018571294459735</v>
      </c>
      <c r="U29">
        <v>-8.8817841970012523E-16</v>
      </c>
      <c r="V29">
        <v>1.7089555663455398</v>
      </c>
      <c r="W29">
        <v>1.3018571294459735</v>
      </c>
      <c r="X29">
        <v>-1.7763568394002505E-15</v>
      </c>
      <c r="Y29">
        <v>1.5769806007519049</v>
      </c>
      <c r="Z29">
        <v>1.2000039485985701</v>
      </c>
      <c r="AA29">
        <v>-1.7763568394002505E-15</v>
      </c>
      <c r="AB29">
        <v>1.5769806007519049</v>
      </c>
      <c r="AC29">
        <v>1.2000039485985701</v>
      </c>
      <c r="AD29">
        <v>-1.7763568394002505E-15</v>
      </c>
      <c r="AE29">
        <v>1.5769806007519049</v>
      </c>
      <c r="AF29">
        <v>1.2000039485985701</v>
      </c>
      <c r="AG29">
        <v>-8.8817841970012523E-16</v>
      </c>
      <c r="AH29">
        <v>1.644511974018998</v>
      </c>
      <c r="AI29">
        <v>1.2560993551928445</v>
      </c>
      <c r="AJ29">
        <v>-8.8817841970012523E-16</v>
      </c>
      <c r="AK29">
        <v>1.644511974018998</v>
      </c>
      <c r="AL29">
        <v>1.2560993551928445</v>
      </c>
      <c r="AM29">
        <v>-8.8817841970012523E-16</v>
      </c>
      <c r="AN29">
        <v>1.644511974018998</v>
      </c>
      <c r="AO29">
        <v>1.2560993551928445</v>
      </c>
      <c r="AP29">
        <v>-8.8817841970012523E-16</v>
      </c>
      <c r="AQ29">
        <v>1.3441058570877105</v>
      </c>
      <c r="AR29">
        <v>1.014887962527693</v>
      </c>
      <c r="AS29">
        <v>-8.8817841970012523E-16</v>
      </c>
      <c r="AT29">
        <v>1.3441058570877105</v>
      </c>
      <c r="AU29">
        <v>1.014887962527693</v>
      </c>
      <c r="AV29">
        <v>-8.8817841970012523E-16</v>
      </c>
      <c r="AW29">
        <v>1.3441058570877105</v>
      </c>
      <c r="AX29">
        <v>1.014887962527693</v>
      </c>
      <c r="AY29">
        <v>-1.7763568394002505E-15</v>
      </c>
      <c r="AZ29">
        <v>1.8328181547442828</v>
      </c>
      <c r="BA29">
        <v>1.4054921651860859</v>
      </c>
      <c r="BB29">
        <v>-1.7763568394002505E-15</v>
      </c>
      <c r="BC29">
        <v>1.8328181547442828</v>
      </c>
      <c r="BD29">
        <v>1.4054921651860859</v>
      </c>
      <c r="BE29">
        <v>-1.7763568394002505E-15</v>
      </c>
      <c r="BF29">
        <v>1.8328181547442828</v>
      </c>
      <c r="BG29">
        <v>1.4054921651860859</v>
      </c>
      <c r="BH29">
        <v>-1.7763568394002505E-15</v>
      </c>
      <c r="BI29">
        <v>1.2312083548722774</v>
      </c>
      <c r="BJ29">
        <v>0.9223657772271816</v>
      </c>
      <c r="BK29">
        <v>-1.7763568394002505E-15</v>
      </c>
      <c r="BL29">
        <v>1.2312083548722774</v>
      </c>
      <c r="BM29">
        <v>0.9223657772271816</v>
      </c>
      <c r="BN29">
        <v>-1.7763568394002505E-15</v>
      </c>
      <c r="BO29">
        <v>1.2312083548722774</v>
      </c>
      <c r="BP29">
        <v>0.9223657772271816</v>
      </c>
      <c r="BQ29">
        <v>-1.7763568394002505E-15</v>
      </c>
      <c r="BR29">
        <v>1.5769806007519049</v>
      </c>
      <c r="BS29">
        <v>1.2000039485985701</v>
      </c>
      <c r="BT29">
        <v>-1.7763568394002505E-15</v>
      </c>
      <c r="BU29">
        <v>1.5769806007519049</v>
      </c>
      <c r="BV29">
        <v>1.2000039485985701</v>
      </c>
      <c r="BW29">
        <v>4.4408920985006262E-16</v>
      </c>
      <c r="BX29">
        <v>1.2279429229750605</v>
      </c>
      <c r="BY29">
        <v>0.93770561379036543</v>
      </c>
      <c r="BZ29">
        <v>4.4408920985006262E-16</v>
      </c>
      <c r="CA29">
        <v>0.6271306891124846</v>
      </c>
      <c r="CB29">
        <v>0.45528282846006324</v>
      </c>
      <c r="CC29">
        <v>0</v>
      </c>
      <c r="CD29">
        <v>0.97290293499211211</v>
      </c>
      <c r="CE29">
        <v>0.73292099983145242</v>
      </c>
      <c r="CF29">
        <v>0</v>
      </c>
      <c r="CG29">
        <v>0.97290293499211211</v>
      </c>
      <c r="CH29">
        <v>0.73292099983145242</v>
      </c>
      <c r="CI29">
        <f t="shared" si="0"/>
        <v>1.8328181547442828</v>
      </c>
      <c r="CJ29">
        <f t="shared" si="1"/>
        <v>0.6271306891124846</v>
      </c>
      <c r="CK29">
        <f t="shared" si="2"/>
        <v>1.4054921651860859</v>
      </c>
      <c r="CL29">
        <f t="shared" si="3"/>
        <v>0.45528282846006324</v>
      </c>
    </row>
    <row r="30" spans="1:90" x14ac:dyDescent="0.25">
      <c r="A30" t="str">
        <f>Unit_Width_Strip_Foundation!A428</f>
        <v>16-3S_W2</v>
      </c>
      <c r="B30">
        <f>-1*Unit_Width_Strip_Foundation!B428</f>
        <v>-0.39442844259451937</v>
      </c>
      <c r="C30">
        <f>-1*Unit_Width_Strip_Foundation!D428</f>
        <v>-1.6202812348248357</v>
      </c>
      <c r="D30">
        <f>Unit_Width_Strip_Foundation!C428</f>
        <v>0</v>
      </c>
      <c r="E30">
        <f>Unit_Width_Strip_Foundation!E428</f>
        <v>5.166666666666667</v>
      </c>
      <c r="F30" t="s">
        <v>164</v>
      </c>
      <c r="G30" t="str">
        <f t="shared" si="5"/>
        <v>16-3S_W2</v>
      </c>
      <c r="K30">
        <f t="shared" ref="K30:K48" si="6">K29+$J$29</f>
        <v>3.8166666666666669</v>
      </c>
      <c r="L30" cm="1">
        <f t="array" ref="L30:CH30">LRFD_Analysis(Unit_Width_Strip_Foundation!$B$12,K30,$B$3:$G$57,LOAD_COMBOS!$O$30:$AA$54)</f>
        <v>0</v>
      </c>
      <c r="M30">
        <v>0.70334704251619495</v>
      </c>
      <c r="N30">
        <v>0.46814279649961654</v>
      </c>
      <c r="O30">
        <v>-8.8817841970012523E-16</v>
      </c>
      <c r="P30">
        <v>1.636693268033969</v>
      </c>
      <c r="Q30">
        <v>1.1763830184820923</v>
      </c>
      <c r="R30">
        <v>-8.8817841970012523E-16</v>
      </c>
      <c r="S30">
        <v>1.636693268033969</v>
      </c>
      <c r="T30">
        <v>1.1763830184820923</v>
      </c>
      <c r="U30">
        <v>-8.8817841970012523E-16</v>
      </c>
      <c r="V30">
        <v>1.636693268033969</v>
      </c>
      <c r="W30">
        <v>1.1763830184820923</v>
      </c>
      <c r="X30">
        <v>-1.7763568394002505E-15</v>
      </c>
      <c r="Y30">
        <v>1.5100223842099956</v>
      </c>
      <c r="Z30">
        <v>1.0842301972441346</v>
      </c>
      <c r="AA30">
        <v>-1.7763568394002505E-15</v>
      </c>
      <c r="AB30">
        <v>1.5100223842099956</v>
      </c>
      <c r="AC30">
        <v>1.0842301972441346</v>
      </c>
      <c r="AD30">
        <v>-1.7763568394002505E-15</v>
      </c>
      <c r="AE30">
        <v>1.5100223842099956</v>
      </c>
      <c r="AF30">
        <v>1.0842301972441346</v>
      </c>
      <c r="AG30">
        <v>-8.8817841970012523E-16</v>
      </c>
      <c r="AH30">
        <v>1.575674674633277</v>
      </c>
      <c r="AI30">
        <v>1.135330053116715</v>
      </c>
      <c r="AJ30">
        <v>-8.8817841970012523E-16</v>
      </c>
      <c r="AK30">
        <v>1.575674674633277</v>
      </c>
      <c r="AL30">
        <v>1.135330053116715</v>
      </c>
      <c r="AM30">
        <v>-8.8817841970012523E-16</v>
      </c>
      <c r="AN30">
        <v>1.575674674633277</v>
      </c>
      <c r="AO30">
        <v>1.135330053116715</v>
      </c>
      <c r="AP30">
        <v>-8.8817841970012523E-16</v>
      </c>
      <c r="AQ30">
        <v>1.2853748237387128</v>
      </c>
      <c r="AR30">
        <v>0.91627409576046215</v>
      </c>
      <c r="AS30">
        <v>-8.8817841970012523E-16</v>
      </c>
      <c r="AT30">
        <v>1.2853748237387128</v>
      </c>
      <c r="AU30">
        <v>0.91627409576046215</v>
      </c>
      <c r="AV30">
        <v>-8.8817841970012523E-16</v>
      </c>
      <c r="AW30">
        <v>1.2853748237387128</v>
      </c>
      <c r="AX30">
        <v>0.91627409576046215</v>
      </c>
      <c r="AY30">
        <v>-1.7763568394002505E-15</v>
      </c>
      <c r="AZ30">
        <v>1.7572663158811297</v>
      </c>
      <c r="BA30">
        <v>1.2708494751247565</v>
      </c>
      <c r="BB30">
        <v>-1.7763568394002505E-15</v>
      </c>
      <c r="BC30">
        <v>1.7572663158811297</v>
      </c>
      <c r="BD30">
        <v>1.2708494751247565</v>
      </c>
      <c r="BE30">
        <v>-1.7763568394002505E-15</v>
      </c>
      <c r="BF30">
        <v>1.7572663158811297</v>
      </c>
      <c r="BG30">
        <v>1.2708494751247565</v>
      </c>
      <c r="BH30">
        <v>-1.7763568394002505E-15</v>
      </c>
      <c r="BI30">
        <v>1.1758826121983139</v>
      </c>
      <c r="BJ30">
        <v>0.8320932863113033</v>
      </c>
      <c r="BK30">
        <v>-1.7763568394002505E-15</v>
      </c>
      <c r="BL30">
        <v>1.1758826121983139</v>
      </c>
      <c r="BM30">
        <v>0.8320932863113033</v>
      </c>
      <c r="BN30">
        <v>-1.7763568394002505E-15</v>
      </c>
      <c r="BO30">
        <v>1.1758826121983139</v>
      </c>
      <c r="BP30">
        <v>0.8320932863113033</v>
      </c>
      <c r="BQ30">
        <v>-1.7763568394002505E-15</v>
      </c>
      <c r="BR30">
        <v>1.5100223842099956</v>
      </c>
      <c r="BS30">
        <v>1.0842301972441346</v>
      </c>
      <c r="BT30">
        <v>-1.7763568394002505E-15</v>
      </c>
      <c r="BU30">
        <v>1.5100223842099956</v>
      </c>
      <c r="BV30">
        <v>1.0842301972441346</v>
      </c>
      <c r="BW30">
        <v>4.4408920985006262E-16</v>
      </c>
      <c r="BX30">
        <v>1.1764979965560074</v>
      </c>
      <c r="BY30">
        <v>0.84752992399650928</v>
      </c>
      <c r="BZ30">
        <v>4.4408920985006262E-16</v>
      </c>
      <c r="CA30">
        <v>0.59589829476687584</v>
      </c>
      <c r="CB30">
        <v>0.4094180092840119</v>
      </c>
      <c r="CC30">
        <v>0</v>
      </c>
      <c r="CD30">
        <v>0.93003806677855705</v>
      </c>
      <c r="CE30">
        <v>0.66155492021684481</v>
      </c>
      <c r="CF30">
        <v>0</v>
      </c>
      <c r="CG30">
        <v>0.93003806677855705</v>
      </c>
      <c r="CH30">
        <v>0.66155492021684481</v>
      </c>
      <c r="CI30">
        <f t="shared" si="0"/>
        <v>1.7572663158811297</v>
      </c>
      <c r="CJ30">
        <f t="shared" si="1"/>
        <v>0.59589829476687584</v>
      </c>
      <c r="CK30">
        <f t="shared" si="2"/>
        <v>1.2708494751247565</v>
      </c>
      <c r="CL30">
        <f t="shared" si="3"/>
        <v>0.4094180092840119</v>
      </c>
    </row>
    <row r="31" spans="1:90" x14ac:dyDescent="0.25">
      <c r="A31" t="str">
        <f>Unit_Width_Strip_Foundation!A429</f>
        <v>16-3R_W2</v>
      </c>
      <c r="B31">
        <f>-1*Unit_Width_Strip_Foundation!B429</f>
        <v>-0.39442844259451937</v>
      </c>
      <c r="C31">
        <f>-1*Unit_Width_Strip_Foundation!D429</f>
        <v>-1.6202812348248357</v>
      </c>
      <c r="D31">
        <f>Unit_Width_Strip_Foundation!C429</f>
        <v>0</v>
      </c>
      <c r="E31">
        <f>Unit_Width_Strip_Foundation!E429</f>
        <v>5.166666666666667</v>
      </c>
      <c r="F31" t="s">
        <v>164</v>
      </c>
      <c r="G31" t="str">
        <f t="shared" si="5"/>
        <v>16-3R_W2</v>
      </c>
      <c r="K31">
        <f t="shared" si="6"/>
        <v>3.8916666666666671</v>
      </c>
      <c r="L31" cm="1">
        <f t="array" ref="L31:CH31">LRFD_Analysis(Unit_Width_Strip_Foundation!$B$12,K31,$B$3:$G$57,LOAD_COMBOS!$O$30:$AA$54)</f>
        <v>0</v>
      </c>
      <c r="M31">
        <v>0.66272927441509299</v>
      </c>
      <c r="N31">
        <v>0.41691606912381451</v>
      </c>
      <c r="O31">
        <v>-8.8817841970012523E-16</v>
      </c>
      <c r="P31">
        <v>1.5624662217783878</v>
      </c>
      <c r="Q31">
        <v>1.0564022579394812</v>
      </c>
      <c r="R31">
        <v>-8.8817841970012523E-16</v>
      </c>
      <c r="S31">
        <v>1.5624662217783878</v>
      </c>
      <c r="T31">
        <v>1.0564022579394812</v>
      </c>
      <c r="U31">
        <v>-8.8817841970012523E-16</v>
      </c>
      <c r="V31">
        <v>1.5624662217783878</v>
      </c>
      <c r="W31">
        <v>1.0564022579394812</v>
      </c>
      <c r="X31">
        <v>-1.7763568394002505E-15</v>
      </c>
      <c r="Y31">
        <v>1.4412818607297502</v>
      </c>
      <c r="Z31">
        <v>0.97354514864052988</v>
      </c>
      <c r="AA31">
        <v>-1.7763568394002505E-15</v>
      </c>
      <c r="AB31">
        <v>1.4412818607297502</v>
      </c>
      <c r="AC31">
        <v>0.97354514864052988</v>
      </c>
      <c r="AD31">
        <v>-1.7763568394002505E-15</v>
      </c>
      <c r="AE31">
        <v>1.4412818607297502</v>
      </c>
      <c r="AF31">
        <v>0.97354514864052988</v>
      </c>
      <c r="AG31">
        <v>-8.8817841970012523E-16</v>
      </c>
      <c r="AH31">
        <v>1.5048689349803612</v>
      </c>
      <c r="AI31">
        <v>1.0197973650045353</v>
      </c>
      <c r="AJ31">
        <v>-8.8817841970012523E-16</v>
      </c>
      <c r="AK31">
        <v>1.5048689349803612</v>
      </c>
      <c r="AL31">
        <v>1.0197973650045353</v>
      </c>
      <c r="AM31">
        <v>-8.8817841970012523E-16</v>
      </c>
      <c r="AN31">
        <v>1.5048689349803612</v>
      </c>
      <c r="AO31">
        <v>1.0197973650045353</v>
      </c>
      <c r="AP31">
        <v>-8.8817841970012523E-16</v>
      </c>
      <c r="AQ31">
        <v>1.225309192591721</v>
      </c>
      <c r="AR31">
        <v>0.82211510391183829</v>
      </c>
      <c r="AS31">
        <v>-8.8817841970012523E-16</v>
      </c>
      <c r="AT31">
        <v>1.225309192591721</v>
      </c>
      <c r="AU31">
        <v>0.82211510391183829</v>
      </c>
      <c r="AV31">
        <v>-8.8817841970012523E-16</v>
      </c>
      <c r="AW31">
        <v>1.225309192591721</v>
      </c>
      <c r="AX31">
        <v>0.82211510391183829</v>
      </c>
      <c r="AY31">
        <v>-1.7763568394002505E-15</v>
      </c>
      <c r="AZ31">
        <v>1.6793908909574848</v>
      </c>
      <c r="BA31">
        <v>1.1419603074554292</v>
      </c>
      <c r="BB31">
        <v>-1.7763568394002505E-15</v>
      </c>
      <c r="BC31">
        <v>1.6793908909574848</v>
      </c>
      <c r="BD31">
        <v>1.1419603074554292</v>
      </c>
      <c r="BE31">
        <v>-1.7763568394002505E-15</v>
      </c>
      <c r="BF31">
        <v>1.6793908909574848</v>
      </c>
      <c r="BG31">
        <v>1.1419603074554292</v>
      </c>
      <c r="BH31">
        <v>-1.7763568394002505E-15</v>
      </c>
      <c r="BI31">
        <v>1.1195041254070017</v>
      </c>
      <c r="BJ31">
        <v>0.74600970400037103</v>
      </c>
      <c r="BK31">
        <v>-1.7763568394002505E-15</v>
      </c>
      <c r="BL31">
        <v>1.1195041254070017</v>
      </c>
      <c r="BM31">
        <v>0.74600970400037103</v>
      </c>
      <c r="BN31">
        <v>-1.7763568394002505E-15</v>
      </c>
      <c r="BO31">
        <v>1.1195041254070017</v>
      </c>
      <c r="BP31">
        <v>0.74600970400037103</v>
      </c>
      <c r="BQ31">
        <v>-1.7763568394002505E-15</v>
      </c>
      <c r="BR31">
        <v>1.4412818607297502</v>
      </c>
      <c r="BS31">
        <v>0.97354514864052988</v>
      </c>
      <c r="BT31">
        <v>-1.7763568394002505E-15</v>
      </c>
      <c r="BU31">
        <v>1.4412818607297502</v>
      </c>
      <c r="BV31">
        <v>0.97354514864052988</v>
      </c>
      <c r="BW31">
        <v>4.4408920985006262E-16</v>
      </c>
      <c r="BX31">
        <v>1.1235882203064684</v>
      </c>
      <c r="BY31">
        <v>0.76126753555272764</v>
      </c>
      <c r="BZ31">
        <v>4.4408920985006262E-16</v>
      </c>
      <c r="CA31">
        <v>0.56446873552918708</v>
      </c>
      <c r="CB31">
        <v>0.36590301336733561</v>
      </c>
      <c r="CC31">
        <v>0</v>
      </c>
      <c r="CD31">
        <v>0.88624647085193509</v>
      </c>
      <c r="CE31">
        <v>0.59343845800749595</v>
      </c>
      <c r="CF31">
        <v>0</v>
      </c>
      <c r="CG31">
        <v>0.88624647085193509</v>
      </c>
      <c r="CH31">
        <v>0.59343845800749595</v>
      </c>
      <c r="CI31">
        <f t="shared" si="0"/>
        <v>1.6793908909574848</v>
      </c>
      <c r="CJ31">
        <f t="shared" si="1"/>
        <v>0.56446873552918708</v>
      </c>
      <c r="CK31">
        <f t="shared" si="2"/>
        <v>1.1419603074554292</v>
      </c>
      <c r="CL31">
        <f t="shared" si="3"/>
        <v>0.36590301336733561</v>
      </c>
    </row>
    <row r="32" spans="1:90" x14ac:dyDescent="0.25">
      <c r="A32" t="str">
        <f>Unit_Width_Strip_Foundation!A430</f>
        <v>16-4W1_Lr</v>
      </c>
      <c r="B32">
        <f>-1*Unit_Width_Strip_Foundation!B430</f>
        <v>0</v>
      </c>
      <c r="C32">
        <f>-1*Unit_Width_Strip_Foundation!D430</f>
        <v>-2.0885090797637686</v>
      </c>
      <c r="D32">
        <f>Unit_Width_Strip_Foundation!C430</f>
        <v>0.11074738163885112</v>
      </c>
      <c r="E32">
        <f>Unit_Width_Strip_Foundation!E430</f>
        <v>5.166666666666667</v>
      </c>
      <c r="F32" t="s">
        <v>164</v>
      </c>
      <c r="G32" t="str">
        <f t="shared" si="5"/>
        <v>16-4W1_Lr</v>
      </c>
      <c r="K32">
        <f t="shared" si="6"/>
        <v>3.9666666666666672</v>
      </c>
      <c r="L32" cm="1">
        <f t="array" ref="L32:CH32">LRFD_Analysis(Unit_Width_Strip_Foundation!$B$12,K32,$B$3:$G$57,LOAD_COMBOS!$O$30:$AA$54)</f>
        <v>0</v>
      </c>
      <c r="M32">
        <v>0.62229302777348838</v>
      </c>
      <c r="N32">
        <v>0.36872886730086107</v>
      </c>
      <c r="O32">
        <v>-8.8817841970012523E-16</v>
      </c>
      <c r="P32">
        <v>1.4862744275787971</v>
      </c>
      <c r="Q32">
        <v>0.94206220391393414</v>
      </c>
      <c r="R32">
        <v>-8.8817841970012523E-16</v>
      </c>
      <c r="S32">
        <v>1.4862744275787971</v>
      </c>
      <c r="T32">
        <v>0.94206220391393414</v>
      </c>
      <c r="U32">
        <v>-8.8817841970012523E-16</v>
      </c>
      <c r="V32">
        <v>1.4862744275787971</v>
      </c>
      <c r="W32">
        <v>0.94206220391393414</v>
      </c>
      <c r="X32">
        <v>-1.7763568394002505E-15</v>
      </c>
      <c r="Y32">
        <v>1.370759030311167</v>
      </c>
      <c r="Z32">
        <v>0.86808247580813014</v>
      </c>
      <c r="AA32">
        <v>-1.7763568394002505E-15</v>
      </c>
      <c r="AB32">
        <v>1.370759030311167</v>
      </c>
      <c r="AC32">
        <v>0.86808247580813014</v>
      </c>
      <c r="AD32">
        <v>-1.7763568394002505E-15</v>
      </c>
      <c r="AE32">
        <v>1.370759030311167</v>
      </c>
      <c r="AF32">
        <v>0.86808247580813014</v>
      </c>
      <c r="AG32">
        <v>-8.8817841970012523E-16</v>
      </c>
      <c r="AH32">
        <v>1.432094755060251</v>
      </c>
      <c r="AI32">
        <v>0.90964892387633944</v>
      </c>
      <c r="AJ32">
        <v>-8.8817841970012523E-16</v>
      </c>
      <c r="AK32">
        <v>1.432094755060251</v>
      </c>
      <c r="AL32">
        <v>0.90964892387633944</v>
      </c>
      <c r="AM32">
        <v>-8.8817841970012523E-16</v>
      </c>
      <c r="AN32">
        <v>1.432094755060251</v>
      </c>
      <c r="AO32">
        <v>0.90964892387633944</v>
      </c>
      <c r="AP32">
        <v>-8.8817841970012523E-16</v>
      </c>
      <c r="AQ32">
        <v>1.1639089636467372</v>
      </c>
      <c r="AR32">
        <v>0.73251108181665703</v>
      </c>
      <c r="AS32">
        <v>-8.8817841970012523E-16</v>
      </c>
      <c r="AT32">
        <v>1.1639089636467372</v>
      </c>
      <c r="AU32">
        <v>0.73251108181665703</v>
      </c>
      <c r="AV32">
        <v>-8.8817841970012523E-16</v>
      </c>
      <c r="AW32">
        <v>1.1639089636467372</v>
      </c>
      <c r="AX32">
        <v>0.73251108181665703</v>
      </c>
      <c r="AY32">
        <v>-1.7763568394002505E-15</v>
      </c>
      <c r="AZ32">
        <v>1.5991918799733464</v>
      </c>
      <c r="BA32">
        <v>1.0189989311326411</v>
      </c>
      <c r="BB32">
        <v>-1.7763568394002505E-15</v>
      </c>
      <c r="BC32">
        <v>1.5991918799733464</v>
      </c>
      <c r="BD32">
        <v>1.0189989311326411</v>
      </c>
      <c r="BE32">
        <v>-1.7763568394002505E-15</v>
      </c>
      <c r="BF32">
        <v>1.5991918799733464</v>
      </c>
      <c r="BG32">
        <v>1.0189989311326411</v>
      </c>
      <c r="BH32">
        <v>-1.7763568394002505E-15</v>
      </c>
      <c r="BI32">
        <v>1.0620728944983377</v>
      </c>
      <c r="BJ32">
        <v>0.66419398610318425</v>
      </c>
      <c r="BK32">
        <v>-1.7763568394002505E-15</v>
      </c>
      <c r="BL32">
        <v>1.0620728944983377</v>
      </c>
      <c r="BM32">
        <v>0.66419398610318425</v>
      </c>
      <c r="BN32">
        <v>-1.7763568394002505E-15</v>
      </c>
      <c r="BO32">
        <v>1.0620728944983377</v>
      </c>
      <c r="BP32">
        <v>0.66419398610318425</v>
      </c>
      <c r="BQ32">
        <v>-1.7763568394002505E-15</v>
      </c>
      <c r="BR32">
        <v>1.370759030311167</v>
      </c>
      <c r="BS32">
        <v>0.86808247580813014</v>
      </c>
      <c r="BT32">
        <v>-1.7763568394002505E-15</v>
      </c>
      <c r="BU32">
        <v>1.370759030311167</v>
      </c>
      <c r="BV32">
        <v>0.86808247580813014</v>
      </c>
      <c r="BW32">
        <v>4.4408920985006262E-16</v>
      </c>
      <c r="BX32">
        <v>1.0692135942264436</v>
      </c>
      <c r="BY32">
        <v>0.67902831219630144</v>
      </c>
      <c r="BZ32">
        <v>4.4408920985006262E-16</v>
      </c>
      <c r="CA32">
        <v>0.53284201139941612</v>
      </c>
      <c r="CB32">
        <v>0.324752628076936</v>
      </c>
      <c r="CC32">
        <v>0</v>
      </c>
      <c r="CD32">
        <v>0.84152814721224489</v>
      </c>
      <c r="CE32">
        <v>0.52864111778188072</v>
      </c>
      <c r="CF32">
        <v>0</v>
      </c>
      <c r="CG32">
        <v>0.84152814721224489</v>
      </c>
      <c r="CH32">
        <v>0.52864111778188072</v>
      </c>
      <c r="CI32">
        <f t="shared" si="0"/>
        <v>1.5991918799733464</v>
      </c>
      <c r="CJ32">
        <f t="shared" si="1"/>
        <v>0.53284201139941612</v>
      </c>
      <c r="CK32">
        <f t="shared" si="2"/>
        <v>1.0189989311326411</v>
      </c>
      <c r="CL32">
        <f t="shared" si="3"/>
        <v>0.324752628076936</v>
      </c>
    </row>
    <row r="33" spans="1:90" x14ac:dyDescent="0.25">
      <c r="A33" t="str">
        <f>Unit_Width_Strip_Foundation!A431</f>
        <v>16-4W1_S</v>
      </c>
      <c r="B33">
        <f>-1*Unit_Width_Strip_Foundation!B431</f>
        <v>0</v>
      </c>
      <c r="C33">
        <f>-1*Unit_Width_Strip_Foundation!D431</f>
        <v>-2.0885090797637686</v>
      </c>
      <c r="D33">
        <f>Unit_Width_Strip_Foundation!C431</f>
        <v>0.11074738163885112</v>
      </c>
      <c r="E33">
        <f>Unit_Width_Strip_Foundation!E431</f>
        <v>5.166666666666667</v>
      </c>
      <c r="F33" t="s">
        <v>164</v>
      </c>
      <c r="G33" t="str">
        <f t="shared" si="5"/>
        <v>16-4W1_S</v>
      </c>
      <c r="K33">
        <f t="shared" si="6"/>
        <v>4.041666666666667</v>
      </c>
      <c r="L33" cm="1">
        <f t="array" ref="L33:CH33">LRFD_Analysis(Unit_Width_Strip_Foundation!$B$12,K33,$B$3:$G$57,LOAD_COMBOS!$O$30:$AA$54)</f>
        <v>0</v>
      </c>
      <c r="M33">
        <v>0.58203830259138645</v>
      </c>
      <c r="N33">
        <v>0.32356757692130222</v>
      </c>
      <c r="O33">
        <v>-8.8817841970012523E-16</v>
      </c>
      <c r="P33">
        <v>1.4081178854351974</v>
      </c>
      <c r="Q33">
        <v>0.83351021250126112</v>
      </c>
      <c r="R33">
        <v>-8.8817841970012523E-16</v>
      </c>
      <c r="S33">
        <v>1.4081178854351974</v>
      </c>
      <c r="T33">
        <v>0.83351021250126112</v>
      </c>
      <c r="U33">
        <v>-8.8817841970012523E-16</v>
      </c>
      <c r="V33">
        <v>1.4081178854351974</v>
      </c>
      <c r="W33">
        <v>0.83351021250126112</v>
      </c>
      <c r="X33">
        <v>-1.7763568394002505E-15</v>
      </c>
      <c r="Y33">
        <v>1.2984538929542468</v>
      </c>
      <c r="Z33">
        <v>0.76797585176731442</v>
      </c>
      <c r="AA33">
        <v>-1.7763568394002505E-15</v>
      </c>
      <c r="AB33">
        <v>1.2984538929542468</v>
      </c>
      <c r="AC33">
        <v>0.76797585176731442</v>
      </c>
      <c r="AD33">
        <v>-1.7763568394002505E-15</v>
      </c>
      <c r="AE33">
        <v>1.2984538929542468</v>
      </c>
      <c r="AF33">
        <v>0.76797585176731442</v>
      </c>
      <c r="AG33">
        <v>-8.8817841970012523E-16</v>
      </c>
      <c r="AH33">
        <v>1.3573521348729467</v>
      </c>
      <c r="AI33">
        <v>0.80503236275217449</v>
      </c>
      <c r="AJ33">
        <v>-8.8817841970012523E-16</v>
      </c>
      <c r="AK33">
        <v>1.3573521348729467</v>
      </c>
      <c r="AL33">
        <v>0.80503236275217449</v>
      </c>
      <c r="AM33">
        <v>-8.8817841970012523E-16</v>
      </c>
      <c r="AN33">
        <v>1.3573521348729467</v>
      </c>
      <c r="AO33">
        <v>0.80503236275217449</v>
      </c>
      <c r="AP33">
        <v>-8.8817841970012523E-16</v>
      </c>
      <c r="AQ33">
        <v>1.1011741369037624</v>
      </c>
      <c r="AR33">
        <v>0.64756212430977456</v>
      </c>
      <c r="AS33">
        <v>-8.8817841970012523E-16</v>
      </c>
      <c r="AT33">
        <v>1.1011741369037624</v>
      </c>
      <c r="AU33">
        <v>0.64756212430977456</v>
      </c>
      <c r="AV33">
        <v>-8.8817841970012523E-16</v>
      </c>
      <c r="AW33">
        <v>1.1011741369037624</v>
      </c>
      <c r="AX33">
        <v>0.64756212430977456</v>
      </c>
      <c r="AY33">
        <v>-1.7763568394002505E-15</v>
      </c>
      <c r="AZ33">
        <v>1.5166692829287132</v>
      </c>
      <c r="BA33">
        <v>0.90213961511093999</v>
      </c>
      <c r="BB33">
        <v>-1.7763568394002505E-15</v>
      </c>
      <c r="BC33">
        <v>1.5166692829287132</v>
      </c>
      <c r="BD33">
        <v>0.90213961511093999</v>
      </c>
      <c r="BE33">
        <v>-1.7763568394002505E-15</v>
      </c>
      <c r="BF33">
        <v>1.5166692829287132</v>
      </c>
      <c r="BG33">
        <v>0.90213961511093999</v>
      </c>
      <c r="BH33">
        <v>-1.7763568394002505E-15</v>
      </c>
      <c r="BI33">
        <v>1.0035889194723229</v>
      </c>
      <c r="BJ33">
        <v>0.58672508842855131</v>
      </c>
      <c r="BK33">
        <v>-1.7763568394002505E-15</v>
      </c>
      <c r="BL33">
        <v>1.0035889194723229</v>
      </c>
      <c r="BM33">
        <v>0.58672508842855131</v>
      </c>
      <c r="BN33">
        <v>-1.7763568394002505E-15</v>
      </c>
      <c r="BO33">
        <v>1.0035889194723229</v>
      </c>
      <c r="BP33">
        <v>0.58672508842855131</v>
      </c>
      <c r="BQ33">
        <v>-1.7763568394002505E-15</v>
      </c>
      <c r="BR33">
        <v>1.2984538929542468</v>
      </c>
      <c r="BS33">
        <v>0.76797585176731442</v>
      </c>
      <c r="BT33">
        <v>-1.7763568394002505E-15</v>
      </c>
      <c r="BU33">
        <v>1.2984538929542468</v>
      </c>
      <c r="BV33">
        <v>0.76797585176731442</v>
      </c>
      <c r="BW33">
        <v>4.4408920985006262E-16</v>
      </c>
      <c r="BX33">
        <v>1.013374118315935</v>
      </c>
      <c r="BY33">
        <v>0.60092211766452053</v>
      </c>
      <c r="BZ33">
        <v>4.4408920985006262E-16</v>
      </c>
      <c r="CA33">
        <v>0.50101812237756427</v>
      </c>
      <c r="CB33">
        <v>0.28598164077972449</v>
      </c>
      <c r="CC33">
        <v>0</v>
      </c>
      <c r="CD33">
        <v>0.79588309585948824</v>
      </c>
      <c r="CE33">
        <v>0.46723240411848371</v>
      </c>
      <c r="CF33">
        <v>0</v>
      </c>
      <c r="CG33">
        <v>0.79588309585948824</v>
      </c>
      <c r="CH33">
        <v>0.46723240411848371</v>
      </c>
      <c r="CI33">
        <f t="shared" si="0"/>
        <v>1.5166692829287132</v>
      </c>
      <c r="CJ33">
        <f t="shared" si="1"/>
        <v>0.50101812237756427</v>
      </c>
      <c r="CK33">
        <f t="shared" si="2"/>
        <v>0.90213961511093999</v>
      </c>
      <c r="CL33">
        <f t="shared" si="3"/>
        <v>0.28598164077972449</v>
      </c>
    </row>
    <row r="34" spans="1:90" x14ac:dyDescent="0.25">
      <c r="A34" t="str">
        <f>Unit_Width_Strip_Foundation!A432</f>
        <v>16-4W1_R</v>
      </c>
      <c r="B34">
        <f>-1*Unit_Width_Strip_Foundation!B432</f>
        <v>0</v>
      </c>
      <c r="C34">
        <f>-1*Unit_Width_Strip_Foundation!D432</f>
        <v>-2.0885090797637686</v>
      </c>
      <c r="D34">
        <f>Unit_Width_Strip_Foundation!C432</f>
        <v>0.11074738163885112</v>
      </c>
      <c r="E34">
        <f>Unit_Width_Strip_Foundation!E432</f>
        <v>5.166666666666667</v>
      </c>
      <c r="F34" t="s">
        <v>164</v>
      </c>
      <c r="G34" t="str">
        <f t="shared" si="5"/>
        <v>16-4W1_R</v>
      </c>
      <c r="K34">
        <f t="shared" si="6"/>
        <v>4.1166666666666671</v>
      </c>
      <c r="L34" cm="1">
        <f t="array" ref="L34:CH34">LRFD_Analysis(Unit_Width_Strip_Foundation!$B$12,K34,$B$3:$G$57,LOAD_COMBOS!$O$30:$AA$54)</f>
        <v>0</v>
      </c>
      <c r="M34">
        <v>0.54196509886878719</v>
      </c>
      <c r="N34">
        <v>0.28141858387566443</v>
      </c>
      <c r="O34">
        <v>-8.8817841970012523E-16</v>
      </c>
      <c r="P34">
        <v>1.3279965953475865</v>
      </c>
      <c r="Q34">
        <v>0.73089363979725297</v>
      </c>
      <c r="R34">
        <v>-8.8817841970012523E-16</v>
      </c>
      <c r="S34">
        <v>1.3279965953475865</v>
      </c>
      <c r="T34">
        <v>0.73089363979725297</v>
      </c>
      <c r="U34">
        <v>-8.8817841970012523E-16</v>
      </c>
      <c r="V34">
        <v>1.3279965953475865</v>
      </c>
      <c r="W34">
        <v>0.73089363979725297</v>
      </c>
      <c r="X34">
        <v>-1.7763568394002505E-15</v>
      </c>
      <c r="Y34">
        <v>1.2243664486589902</v>
      </c>
      <c r="Z34">
        <v>0.67335894953845177</v>
      </c>
      <c r="AA34">
        <v>-1.7763568394002505E-15</v>
      </c>
      <c r="AB34">
        <v>1.2243664486589902</v>
      </c>
      <c r="AC34">
        <v>0.67335894953845177</v>
      </c>
      <c r="AD34">
        <v>-1.7763568394002505E-15</v>
      </c>
      <c r="AE34">
        <v>1.2243664486589902</v>
      </c>
      <c r="AF34">
        <v>0.67335894953845177</v>
      </c>
      <c r="AG34">
        <v>-8.8817841970012523E-16</v>
      </c>
      <c r="AH34">
        <v>1.2806410744184467</v>
      </c>
      <c r="AI34">
        <v>0.70609531465207698</v>
      </c>
      <c r="AJ34">
        <v>-8.8817841970012523E-16</v>
      </c>
      <c r="AK34">
        <v>1.2806410744184467</v>
      </c>
      <c r="AL34">
        <v>0.70609531465207698</v>
      </c>
      <c r="AM34">
        <v>-8.8817841970012523E-16</v>
      </c>
      <c r="AN34">
        <v>1.2806410744184467</v>
      </c>
      <c r="AO34">
        <v>0.70609531465207698</v>
      </c>
      <c r="AP34">
        <v>-8.8817841970012523E-16</v>
      </c>
      <c r="AQ34">
        <v>1.0371047123627934</v>
      </c>
      <c r="AR34">
        <v>0.56736832622603728</v>
      </c>
      <c r="AS34">
        <v>-8.8817841970012523E-16</v>
      </c>
      <c r="AT34">
        <v>1.0371047123627934</v>
      </c>
      <c r="AU34">
        <v>0.56736832622603728</v>
      </c>
      <c r="AV34">
        <v>-8.8817841970012523E-16</v>
      </c>
      <c r="AW34">
        <v>1.0371047123627934</v>
      </c>
      <c r="AX34">
        <v>0.56736832622603728</v>
      </c>
      <c r="AY34">
        <v>-1.7763568394002505E-15</v>
      </c>
      <c r="AZ34">
        <v>1.4318230998235877</v>
      </c>
      <c r="BA34">
        <v>0.79155662834484986</v>
      </c>
      <c r="BB34">
        <v>-1.7763568394002505E-15</v>
      </c>
      <c r="BC34">
        <v>1.4318230998235877</v>
      </c>
      <c r="BD34">
        <v>0.79155662834484986</v>
      </c>
      <c r="BE34">
        <v>-1.7763568394002505E-15</v>
      </c>
      <c r="BF34">
        <v>1.4318230998235877</v>
      </c>
      <c r="BG34">
        <v>0.79155662834484986</v>
      </c>
      <c r="BH34">
        <v>-1.7763568394002505E-15</v>
      </c>
      <c r="BI34">
        <v>0.94405220032895798</v>
      </c>
      <c r="BJ34">
        <v>0.51368196678527078</v>
      </c>
      <c r="BK34">
        <v>-1.7763568394002505E-15</v>
      </c>
      <c r="BL34">
        <v>0.94405220032895798</v>
      </c>
      <c r="BM34">
        <v>0.51368196678527078</v>
      </c>
      <c r="BN34">
        <v>-1.7763568394002505E-15</v>
      </c>
      <c r="BO34">
        <v>0.94405220032895798</v>
      </c>
      <c r="BP34">
        <v>0.51368196678527078</v>
      </c>
      <c r="BQ34">
        <v>-1.7763568394002505E-15</v>
      </c>
      <c r="BR34">
        <v>1.2243664486589902</v>
      </c>
      <c r="BS34">
        <v>0.67335894953845177</v>
      </c>
      <c r="BT34">
        <v>-1.7763568394002505E-15</v>
      </c>
      <c r="BU34">
        <v>1.2243664486589902</v>
      </c>
      <c r="BV34">
        <v>0.67335894953845177</v>
      </c>
      <c r="BW34">
        <v>4.4408920985006262E-16</v>
      </c>
      <c r="BX34">
        <v>0.9560697925749384</v>
      </c>
      <c r="BY34">
        <v>0.52705881569467383</v>
      </c>
      <c r="BZ34">
        <v>4.4408920985006262E-16</v>
      </c>
      <c r="CA34">
        <v>0.46899706846363021</v>
      </c>
      <c r="CB34">
        <v>0.24960483884260271</v>
      </c>
      <c r="CC34">
        <v>0</v>
      </c>
      <c r="CD34">
        <v>0.74931131679366159</v>
      </c>
      <c r="CE34">
        <v>0.40928182159578524</v>
      </c>
      <c r="CF34">
        <v>0</v>
      </c>
      <c r="CG34">
        <v>0.74931131679366159</v>
      </c>
      <c r="CH34">
        <v>0.40928182159578524</v>
      </c>
      <c r="CI34">
        <f t="shared" si="0"/>
        <v>1.4318230998235877</v>
      </c>
      <c r="CJ34">
        <f t="shared" si="1"/>
        <v>0.46899706846363021</v>
      </c>
      <c r="CK34">
        <f t="shared" si="2"/>
        <v>0.79155662834484986</v>
      </c>
      <c r="CL34">
        <f t="shared" si="3"/>
        <v>0.24960483884260271</v>
      </c>
    </row>
    <row r="35" spans="1:90" x14ac:dyDescent="0.25">
      <c r="A35" t="str">
        <f>Unit_Width_Strip_Foundation!A433</f>
        <v>16-4W2_Lr</v>
      </c>
      <c r="B35">
        <f>-1*Unit_Width_Strip_Foundation!B433</f>
        <v>-0.53838848421782881</v>
      </c>
      <c r="C35">
        <f>-1*Unit_Width_Strip_Foundation!D433</f>
        <v>-1.5053534512660423</v>
      </c>
      <c r="D35">
        <f>Unit_Width_Strip_Foundation!C433</f>
        <v>0</v>
      </c>
      <c r="E35">
        <f>Unit_Width_Strip_Foundation!E433</f>
        <v>5.166666666666667</v>
      </c>
      <c r="F35" t="s">
        <v>164</v>
      </c>
      <c r="G35" t="str">
        <f t="shared" si="5"/>
        <v>16-4W2_Lr</v>
      </c>
      <c r="K35">
        <f t="shared" si="6"/>
        <v>4.1916666666666673</v>
      </c>
      <c r="L35" cm="1">
        <f t="array" ref="L35:CH35">LRFD_Analysis(Unit_Width_Strip_Foundation!$B$12,K35,$B$3:$G$57,LOAD_COMBOS!$O$30:$AA$54)</f>
        <v>0</v>
      </c>
      <c r="M35">
        <v>0.50207341660568616</v>
      </c>
      <c r="N35">
        <v>0.24226827405449189</v>
      </c>
      <c r="O35">
        <v>-8.8817841970012523E-16</v>
      </c>
      <c r="P35">
        <v>1.2459105573159661</v>
      </c>
      <c r="Q35">
        <v>0.63435984189772432</v>
      </c>
      <c r="R35">
        <v>-8.8817841970012523E-16</v>
      </c>
      <c r="S35">
        <v>1.2459105573159661</v>
      </c>
      <c r="T35">
        <v>0.63435984189772432</v>
      </c>
      <c r="U35">
        <v>-8.8817841970012523E-16</v>
      </c>
      <c r="V35">
        <v>1.2459105573159661</v>
      </c>
      <c r="W35">
        <v>0.63435984189772432</v>
      </c>
      <c r="X35">
        <v>-1.7763568394002505E-15</v>
      </c>
      <c r="Y35">
        <v>1.1484966974253958</v>
      </c>
      <c r="Z35">
        <v>0.58436544214192487</v>
      </c>
      <c r="AA35">
        <v>-1.7763568394002505E-15</v>
      </c>
      <c r="AB35">
        <v>1.1484966974253958</v>
      </c>
      <c r="AC35">
        <v>0.58436544214192487</v>
      </c>
      <c r="AD35">
        <v>-1.7763568394002505E-15</v>
      </c>
      <c r="AE35">
        <v>1.1484966974253958</v>
      </c>
      <c r="AF35">
        <v>0.58436544214192487</v>
      </c>
      <c r="AG35">
        <v>-8.8817841970012523E-16</v>
      </c>
      <c r="AH35">
        <v>1.2019615736967517</v>
      </c>
      <c r="AI35">
        <v>0.61298541259608785</v>
      </c>
      <c r="AJ35">
        <v>-8.8817841970012523E-16</v>
      </c>
      <c r="AK35">
        <v>1.2019615736967517</v>
      </c>
      <c r="AL35">
        <v>0.61298541259608785</v>
      </c>
      <c r="AM35">
        <v>-8.8817841970012523E-16</v>
      </c>
      <c r="AN35">
        <v>1.2019615736967517</v>
      </c>
      <c r="AO35">
        <v>0.61298541259608785</v>
      </c>
      <c r="AP35">
        <v>-8.8817841970012523E-16</v>
      </c>
      <c r="AQ35">
        <v>0.97170069002383164</v>
      </c>
      <c r="AR35">
        <v>0.49202978240030404</v>
      </c>
      <c r="AS35">
        <v>-8.8817841970012523E-16</v>
      </c>
      <c r="AT35">
        <v>0.97170069002383164</v>
      </c>
      <c r="AU35">
        <v>0.49202978240030404</v>
      </c>
      <c r="AV35">
        <v>-8.8817841970012523E-16</v>
      </c>
      <c r="AW35">
        <v>0.97170069002383164</v>
      </c>
      <c r="AX35">
        <v>0.49202978240030404</v>
      </c>
      <c r="AY35">
        <v>-1.7763568394002505E-15</v>
      </c>
      <c r="AZ35">
        <v>1.3446533306579678</v>
      </c>
      <c r="BA35">
        <v>0.68742423978891587</v>
      </c>
      <c r="BB35">
        <v>-1.7763568394002505E-15</v>
      </c>
      <c r="BC35">
        <v>1.3446533306579678</v>
      </c>
      <c r="BD35">
        <v>0.68742423978891587</v>
      </c>
      <c r="BE35">
        <v>-1.7763568394002505E-15</v>
      </c>
      <c r="BF35">
        <v>1.3446533306579678</v>
      </c>
      <c r="BG35">
        <v>0.68742423978891587</v>
      </c>
      <c r="BH35">
        <v>-1.7763568394002505E-15</v>
      </c>
      <c r="BI35">
        <v>0.8834627370682413</v>
      </c>
      <c r="BJ35">
        <v>0.44514357698214574</v>
      </c>
      <c r="BK35">
        <v>-1.7763568394002505E-15</v>
      </c>
      <c r="BL35">
        <v>0.8834627370682413</v>
      </c>
      <c r="BM35">
        <v>0.44514357698214574</v>
      </c>
      <c r="BN35">
        <v>-1.7763568394002505E-15</v>
      </c>
      <c r="BO35">
        <v>0.8834627370682413</v>
      </c>
      <c r="BP35">
        <v>0.44514357698214574</v>
      </c>
      <c r="BQ35">
        <v>-1.7763568394002505E-15</v>
      </c>
      <c r="BR35">
        <v>1.1484966974253958</v>
      </c>
      <c r="BS35">
        <v>0.58436544214192487</v>
      </c>
      <c r="BT35">
        <v>-1.7763568394002505E-15</v>
      </c>
      <c r="BU35">
        <v>1.1484966974253958</v>
      </c>
      <c r="BV35">
        <v>0.58436544214192487</v>
      </c>
      <c r="BW35">
        <v>4.4408920985006262E-16</v>
      </c>
      <c r="BX35">
        <v>0.89730061700345765</v>
      </c>
      <c r="BY35">
        <v>0.45754827002404325</v>
      </c>
      <c r="BZ35">
        <v>4.4408920985006262E-16</v>
      </c>
      <c r="CA35">
        <v>0.43677884965761526</v>
      </c>
      <c r="CB35">
        <v>0.2156370096324785</v>
      </c>
      <c r="CC35">
        <v>0</v>
      </c>
      <c r="CD35">
        <v>0.70181281001476892</v>
      </c>
      <c r="CE35">
        <v>0.35485887479226191</v>
      </c>
      <c r="CF35">
        <v>0</v>
      </c>
      <c r="CG35">
        <v>0.70181281001476892</v>
      </c>
      <c r="CH35">
        <v>0.35485887479226191</v>
      </c>
      <c r="CI35">
        <f t="shared" si="0"/>
        <v>1.3446533306579678</v>
      </c>
      <c r="CJ35">
        <f t="shared" si="1"/>
        <v>0.43677884965761526</v>
      </c>
      <c r="CK35">
        <f t="shared" si="2"/>
        <v>0.68742423978891587</v>
      </c>
      <c r="CL35">
        <f t="shared" si="3"/>
        <v>0.2156370096324785</v>
      </c>
    </row>
    <row r="36" spans="1:90" x14ac:dyDescent="0.25">
      <c r="A36" t="str">
        <f>Unit_Width_Strip_Foundation!A434</f>
        <v>16-4W2_S</v>
      </c>
      <c r="B36">
        <f>-1*Unit_Width_Strip_Foundation!B434</f>
        <v>-0.53838848421782881</v>
      </c>
      <c r="C36">
        <f>-1*Unit_Width_Strip_Foundation!D434</f>
        <v>-1.5053534512660423</v>
      </c>
      <c r="D36">
        <f>Unit_Width_Strip_Foundation!C434</f>
        <v>0</v>
      </c>
      <c r="E36">
        <f>Unit_Width_Strip_Foundation!E434</f>
        <v>5.166666666666667</v>
      </c>
      <c r="F36" t="s">
        <v>164</v>
      </c>
      <c r="G36" t="str">
        <f t="shared" si="5"/>
        <v>16-4W2_S</v>
      </c>
      <c r="K36">
        <f t="shared" si="6"/>
        <v>4.2666666666666675</v>
      </c>
      <c r="L36" cm="1">
        <f t="array" ref="L36:CH36">LRFD_Analysis(Unit_Width_Strip_Foundation!$B$12,K36,$B$3:$G$57,LOAD_COMBOS!$O$30:$AA$54)</f>
        <v>0</v>
      </c>
      <c r="M36">
        <v>0.46236325580208781</v>
      </c>
      <c r="N36">
        <v>0.20610303334832533</v>
      </c>
      <c r="O36">
        <v>-8.8817841970012523E-16</v>
      </c>
      <c r="P36">
        <v>1.1618597713403354</v>
      </c>
      <c r="Q36">
        <v>0.54405617489845914</v>
      </c>
      <c r="R36">
        <v>-8.8817841970012523E-16</v>
      </c>
      <c r="S36">
        <v>1.1618597713403354</v>
      </c>
      <c r="T36">
        <v>0.54405617489845914</v>
      </c>
      <c r="U36">
        <v>-8.8817841970012523E-16</v>
      </c>
      <c r="V36">
        <v>1.1618597713403354</v>
      </c>
      <c r="W36">
        <v>0.54405617489845914</v>
      </c>
      <c r="X36">
        <v>-1.7763568394002505E-15</v>
      </c>
      <c r="Y36">
        <v>1.070844639253465</v>
      </c>
      <c r="Z36">
        <v>0.50112900259810189</v>
      </c>
      <c r="AA36">
        <v>-1.7763568394002505E-15</v>
      </c>
      <c r="AB36">
        <v>1.070844639253465</v>
      </c>
      <c r="AC36">
        <v>0.50112900259810189</v>
      </c>
      <c r="AD36">
        <v>-1.7763568394002505E-15</v>
      </c>
      <c r="AE36">
        <v>1.070844639253465</v>
      </c>
      <c r="AF36">
        <v>0.50112900259810189</v>
      </c>
      <c r="AG36">
        <v>-8.8817841970012523E-16</v>
      </c>
      <c r="AH36">
        <v>1.1213136327078623</v>
      </c>
      <c r="AI36">
        <v>0.52585028960424529</v>
      </c>
      <c r="AJ36">
        <v>-8.8817841970012523E-16</v>
      </c>
      <c r="AK36">
        <v>1.1213136327078623</v>
      </c>
      <c r="AL36">
        <v>0.52585028960424529</v>
      </c>
      <c r="AM36">
        <v>-8.8817841970012523E-16</v>
      </c>
      <c r="AN36">
        <v>1.1213136327078623</v>
      </c>
      <c r="AO36">
        <v>0.52585028960424529</v>
      </c>
      <c r="AP36">
        <v>-8.8817841970012523E-16</v>
      </c>
      <c r="AQ36">
        <v>0.90496206988687744</v>
      </c>
      <c r="AR36">
        <v>0.42164658766741503</v>
      </c>
      <c r="AS36">
        <v>-8.8817841970012523E-16</v>
      </c>
      <c r="AT36">
        <v>0.90496206988687744</v>
      </c>
      <c r="AU36">
        <v>0.42164658766741503</v>
      </c>
      <c r="AV36">
        <v>-8.8817841970012523E-16</v>
      </c>
      <c r="AW36">
        <v>0.90496206988687744</v>
      </c>
      <c r="AX36">
        <v>0.42164658766741503</v>
      </c>
      <c r="AY36">
        <v>-1.7763568394002505E-15</v>
      </c>
      <c r="AZ36">
        <v>1.2551599754318543</v>
      </c>
      <c r="BA36">
        <v>0.58991671839766724</v>
      </c>
      <c r="BB36">
        <v>-1.7763568394002505E-15</v>
      </c>
      <c r="BC36">
        <v>1.2551599754318543</v>
      </c>
      <c r="BD36">
        <v>0.58991671839766724</v>
      </c>
      <c r="BE36">
        <v>-1.7763568394002505E-15</v>
      </c>
      <c r="BF36">
        <v>1.2551599754318543</v>
      </c>
      <c r="BG36">
        <v>0.58991671839766724</v>
      </c>
      <c r="BH36">
        <v>-1.7763568394002505E-15</v>
      </c>
      <c r="BI36">
        <v>0.82182052969017416</v>
      </c>
      <c r="BJ36">
        <v>0.3811888748279702</v>
      </c>
      <c r="BK36">
        <v>-1.7763568394002505E-15</v>
      </c>
      <c r="BL36">
        <v>0.82182052969017416</v>
      </c>
      <c r="BM36">
        <v>0.3811888748279702</v>
      </c>
      <c r="BN36">
        <v>-1.7763568394002505E-15</v>
      </c>
      <c r="BO36">
        <v>0.82182052969017416</v>
      </c>
      <c r="BP36">
        <v>0.3811888748279702</v>
      </c>
      <c r="BQ36">
        <v>-1.7763568394002505E-15</v>
      </c>
      <c r="BR36">
        <v>1.070844639253465</v>
      </c>
      <c r="BS36">
        <v>0.50112900259810189</v>
      </c>
      <c r="BT36">
        <v>-1.7763568394002505E-15</v>
      </c>
      <c r="BU36">
        <v>1.070844639253465</v>
      </c>
      <c r="BV36">
        <v>0.50112900259810189</v>
      </c>
      <c r="BW36">
        <v>4.4408920985006262E-16</v>
      </c>
      <c r="BX36">
        <v>0.83706659160149055</v>
      </c>
      <c r="BY36">
        <v>0.39250034438991493</v>
      </c>
      <c r="BZ36">
        <v>4.4408920985006262E-16</v>
      </c>
      <c r="CA36">
        <v>0.40436346595951767</v>
      </c>
      <c r="CB36">
        <v>0.18409294051626418</v>
      </c>
      <c r="CC36">
        <v>0</v>
      </c>
      <c r="CD36">
        <v>0.65338757552280891</v>
      </c>
      <c r="CE36">
        <v>0.30403306828639393</v>
      </c>
      <c r="CF36">
        <v>0</v>
      </c>
      <c r="CG36">
        <v>0.65338757552280891</v>
      </c>
      <c r="CH36">
        <v>0.30403306828639393</v>
      </c>
      <c r="CI36">
        <f t="shared" si="0"/>
        <v>1.2551599754318543</v>
      </c>
      <c r="CJ36">
        <f t="shared" si="1"/>
        <v>0.40436346595951767</v>
      </c>
      <c r="CK36">
        <f t="shared" si="2"/>
        <v>0.58991671839766724</v>
      </c>
      <c r="CL36">
        <f t="shared" si="3"/>
        <v>0.18409294051626418</v>
      </c>
    </row>
    <row r="37" spans="1:90" x14ac:dyDescent="0.25">
      <c r="A37" t="str">
        <f>Unit_Width_Strip_Foundation!A435</f>
        <v>16-4W2_R</v>
      </c>
      <c r="B37">
        <f>-1*Unit_Width_Strip_Foundation!B435</f>
        <v>-0.53838848421782881</v>
      </c>
      <c r="C37">
        <f>-1*Unit_Width_Strip_Foundation!D435</f>
        <v>-1.5053534512660423</v>
      </c>
      <c r="D37">
        <f>Unit_Width_Strip_Foundation!C435</f>
        <v>0</v>
      </c>
      <c r="E37">
        <f>Unit_Width_Strip_Foundation!E435</f>
        <v>5.166666666666667</v>
      </c>
      <c r="F37" t="s">
        <v>164</v>
      </c>
      <c r="G37" t="str">
        <f t="shared" si="5"/>
        <v>16-4W2_R</v>
      </c>
      <c r="K37">
        <f t="shared" si="6"/>
        <v>4.3416666666666677</v>
      </c>
      <c r="L37" cm="1">
        <f t="array" ref="L37:CH37">LRFD_Analysis(Unit_Width_Strip_Foundation!$B$12,K37,$B$3:$G$57,LOAD_COMBOS!$O$30:$AA$54)</f>
        <v>0</v>
      </c>
      <c r="M37">
        <v>0.42283461645799125</v>
      </c>
      <c r="N37">
        <v>0.17290924764769297</v>
      </c>
      <c r="O37">
        <v>-8.8817841970012523E-16</v>
      </c>
      <c r="P37">
        <v>1.0758442374206951</v>
      </c>
      <c r="Q37">
        <v>0.46012999489526824</v>
      </c>
      <c r="R37">
        <v>-8.8817841970012523E-16</v>
      </c>
      <c r="S37">
        <v>1.0758442374206951</v>
      </c>
      <c r="T37">
        <v>0.46012999489526824</v>
      </c>
      <c r="U37">
        <v>-8.8817841970012523E-16</v>
      </c>
      <c r="V37">
        <v>1.0758442374206951</v>
      </c>
      <c r="W37">
        <v>0.46012999489526824</v>
      </c>
      <c r="X37">
        <v>-1.7763568394002505E-15</v>
      </c>
      <c r="Y37">
        <v>0.99141027414319627</v>
      </c>
      <c r="Z37">
        <v>0.42378330392735647</v>
      </c>
      <c r="AA37">
        <v>-1.7763568394002505E-15</v>
      </c>
      <c r="AB37">
        <v>0.99141027414319627</v>
      </c>
      <c r="AC37">
        <v>0.42378330392735647</v>
      </c>
      <c r="AD37">
        <v>-1.7763568394002505E-15</v>
      </c>
      <c r="AE37">
        <v>0.99141027414319627</v>
      </c>
      <c r="AF37">
        <v>0.42378330392735647</v>
      </c>
      <c r="AG37">
        <v>-8.8817841970012523E-16</v>
      </c>
      <c r="AH37">
        <v>1.038697251451778</v>
      </c>
      <c r="AI37">
        <v>0.4448375786965878</v>
      </c>
      <c r="AJ37">
        <v>-8.8817841970012523E-16</v>
      </c>
      <c r="AK37">
        <v>1.038697251451778</v>
      </c>
      <c r="AL37">
        <v>0.4448375786965878</v>
      </c>
      <c r="AM37">
        <v>-8.8817841970012523E-16</v>
      </c>
      <c r="AN37">
        <v>1.038697251451778</v>
      </c>
      <c r="AO37">
        <v>0.4448375786965878</v>
      </c>
      <c r="AP37">
        <v>-8.8817841970012523E-16</v>
      </c>
      <c r="AQ37">
        <v>0.83688885195192997</v>
      </c>
      <c r="AR37">
        <v>0.35631883686221932</v>
      </c>
      <c r="AS37">
        <v>-8.8817841970012523E-16</v>
      </c>
      <c r="AT37">
        <v>0.83688885195192997</v>
      </c>
      <c r="AU37">
        <v>0.35631883686221932</v>
      </c>
      <c r="AV37">
        <v>-8.8817841970012523E-16</v>
      </c>
      <c r="AW37">
        <v>0.83688885195192997</v>
      </c>
      <c r="AX37">
        <v>0.35631883686221932</v>
      </c>
      <c r="AY37">
        <v>-1.7763568394002505E-15</v>
      </c>
      <c r="AZ37">
        <v>1.1633430341452473</v>
      </c>
      <c r="BA37">
        <v>0.49920833312564744</v>
      </c>
      <c r="BB37">
        <v>-1.7763568394002505E-15</v>
      </c>
      <c r="BC37">
        <v>1.1633430341452473</v>
      </c>
      <c r="BD37">
        <v>0.49920833312564744</v>
      </c>
      <c r="BE37">
        <v>-1.7763568394002505E-15</v>
      </c>
      <c r="BF37">
        <v>1.1633430341452473</v>
      </c>
      <c r="BG37">
        <v>0.49920833312564744</v>
      </c>
      <c r="BH37">
        <v>-1.7763568394002505E-15</v>
      </c>
      <c r="BI37">
        <v>0.75912557819475612</v>
      </c>
      <c r="BJ37">
        <v>0.3218968161315508</v>
      </c>
      <c r="BK37">
        <v>-1.7763568394002505E-15</v>
      </c>
      <c r="BL37">
        <v>0.75912557819475612</v>
      </c>
      <c r="BM37">
        <v>0.3218968161315508</v>
      </c>
      <c r="BN37">
        <v>-1.7763568394002505E-15</v>
      </c>
      <c r="BO37">
        <v>0.75912557819475612</v>
      </c>
      <c r="BP37">
        <v>0.3218968161315508</v>
      </c>
      <c r="BQ37">
        <v>-1.7763568394002505E-15</v>
      </c>
      <c r="BR37">
        <v>0.99141027414319627</v>
      </c>
      <c r="BS37">
        <v>0.42378330392735647</v>
      </c>
      <c r="BT37">
        <v>-1.7763568394002505E-15</v>
      </c>
      <c r="BU37">
        <v>0.99141027414319627</v>
      </c>
      <c r="BV37">
        <v>0.42378330392735647</v>
      </c>
      <c r="BW37">
        <v>4.4408920985006262E-16</v>
      </c>
      <c r="BX37">
        <v>0.77536771636903712</v>
      </c>
      <c r="BY37">
        <v>0.33202490252958322</v>
      </c>
      <c r="BZ37">
        <v>4.4408920985006262E-16</v>
      </c>
      <c r="CA37">
        <v>0.37175091736934007</v>
      </c>
      <c r="CB37">
        <v>0.15498741886085604</v>
      </c>
      <c r="CC37">
        <v>0</v>
      </c>
      <c r="CD37">
        <v>0.60403561331778022</v>
      </c>
      <c r="CE37">
        <v>0.25687390665666593</v>
      </c>
      <c r="CF37">
        <v>0</v>
      </c>
      <c r="CG37">
        <v>0.60403561331778022</v>
      </c>
      <c r="CH37">
        <v>0.25687390665666593</v>
      </c>
      <c r="CI37">
        <f t="shared" si="0"/>
        <v>1.1633430341452473</v>
      </c>
      <c r="CJ37">
        <f t="shared" si="1"/>
        <v>0.37175091736934007</v>
      </c>
      <c r="CK37">
        <f t="shared" si="2"/>
        <v>0.49920833312564744</v>
      </c>
      <c r="CL37">
        <f t="shared" si="3"/>
        <v>0.15498741886085604</v>
      </c>
    </row>
    <row r="38" spans="1:90" x14ac:dyDescent="0.25">
      <c r="A38" t="str">
        <f>Unit_Width_Strip_Foundation!A436</f>
        <v>16-5E1</v>
      </c>
      <c r="B38">
        <f>-1*Unit_Width_Strip_Foundation!B436</f>
        <v>-0.2033300034686093</v>
      </c>
      <c r="C38">
        <f>-1*Unit_Width_Strip_Foundation!D436</f>
        <v>-1.8404119320152619</v>
      </c>
      <c r="D38">
        <f>Unit_Width_Strip_Foundation!C436</f>
        <v>0</v>
      </c>
      <c r="E38">
        <f>Unit_Width_Strip_Foundation!E436</f>
        <v>5.166666666666667</v>
      </c>
      <c r="F38" t="s">
        <v>164</v>
      </c>
      <c r="G38" t="str">
        <f t="shared" si="5"/>
        <v>16-5E1</v>
      </c>
      <c r="K38">
        <f t="shared" si="6"/>
        <v>4.4166666666666679</v>
      </c>
      <c r="L38" cm="1">
        <f t="array" ref="L38:CH38">LRFD_Analysis(Unit_Width_Strip_Foundation!$B$12,K38,$B$3:$G$57,LOAD_COMBOS!$O$30:$AA$54)</f>
        <v>0</v>
      </c>
      <c r="M38">
        <v>0.3834874985733947</v>
      </c>
      <c r="N38">
        <v>0.14267330284314081</v>
      </c>
      <c r="O38">
        <v>-8.8817841970012523E-16</v>
      </c>
      <c r="P38">
        <v>0.98786395555704498</v>
      </c>
      <c r="Q38">
        <v>0.38272865798395689</v>
      </c>
      <c r="R38">
        <v>-8.8817841970012523E-16</v>
      </c>
      <c r="S38">
        <v>0.98786395555704498</v>
      </c>
      <c r="T38">
        <v>0.38272865798395689</v>
      </c>
      <c r="U38">
        <v>-8.8817841970012523E-16</v>
      </c>
      <c r="V38">
        <v>0.98786395555704498</v>
      </c>
      <c r="W38">
        <v>0.38272865798395689</v>
      </c>
      <c r="X38">
        <v>-1.7763568394002505E-15</v>
      </c>
      <c r="Y38">
        <v>0.9101936020945911</v>
      </c>
      <c r="Z38">
        <v>0.35246201915007985</v>
      </c>
      <c r="AA38">
        <v>-1.7763568394002505E-15</v>
      </c>
      <c r="AB38">
        <v>0.9101936020945911</v>
      </c>
      <c r="AC38">
        <v>0.35246201915007985</v>
      </c>
      <c r="AD38">
        <v>-1.7763568394002505E-15</v>
      </c>
      <c r="AE38">
        <v>0.9101936020945911</v>
      </c>
      <c r="AF38">
        <v>0.35246201915007985</v>
      </c>
      <c r="AG38">
        <v>-8.8817841970012523E-16</v>
      </c>
      <c r="AH38">
        <v>0.95411242992849932</v>
      </c>
      <c r="AI38">
        <v>0.37009491289315888</v>
      </c>
      <c r="AJ38">
        <v>-8.8817841970012523E-16</v>
      </c>
      <c r="AK38">
        <v>0.95411242992849932</v>
      </c>
      <c r="AL38">
        <v>0.37009491289315888</v>
      </c>
      <c r="AM38">
        <v>-8.8817841970012523E-16</v>
      </c>
      <c r="AN38">
        <v>0.95411242992849932</v>
      </c>
      <c r="AO38">
        <v>0.37009491289315888</v>
      </c>
      <c r="AP38">
        <v>-8.8817841970012523E-16</v>
      </c>
      <c r="AQ38">
        <v>0.76748103621899055</v>
      </c>
      <c r="AR38">
        <v>0.29614662481957665</v>
      </c>
      <c r="AS38">
        <v>-8.8817841970012523E-16</v>
      </c>
      <c r="AT38">
        <v>0.76748103621899055</v>
      </c>
      <c r="AU38">
        <v>0.29614662481957665</v>
      </c>
      <c r="AV38">
        <v>-8.8817841970012523E-16</v>
      </c>
      <c r="AW38">
        <v>0.76748103621899055</v>
      </c>
      <c r="AX38">
        <v>0.29614662481957665</v>
      </c>
      <c r="AY38">
        <v>-1.7763568394002505E-15</v>
      </c>
      <c r="AZ38">
        <v>1.0692025067981468</v>
      </c>
      <c r="BA38">
        <v>0.41547335292739446</v>
      </c>
      <c r="BB38">
        <v>-1.7763568394002505E-15</v>
      </c>
      <c r="BC38">
        <v>1.0692025067981468</v>
      </c>
      <c r="BD38">
        <v>0.41547335292739446</v>
      </c>
      <c r="BE38">
        <v>-1.7763568394002505E-15</v>
      </c>
      <c r="BF38">
        <v>1.0692025067981468</v>
      </c>
      <c r="BG38">
        <v>0.41547335292739446</v>
      </c>
      <c r="BH38">
        <v>-1.7763568394002505E-15</v>
      </c>
      <c r="BI38">
        <v>0.69537788258198674</v>
      </c>
      <c r="BJ38">
        <v>0.26734635670169232</v>
      </c>
      <c r="BK38">
        <v>-1.7763568394002505E-15</v>
      </c>
      <c r="BL38">
        <v>0.69537788258198674</v>
      </c>
      <c r="BM38">
        <v>0.26734635670169232</v>
      </c>
      <c r="BN38">
        <v>-1.7763568394002505E-15</v>
      </c>
      <c r="BO38">
        <v>0.69537788258198674</v>
      </c>
      <c r="BP38">
        <v>0.26734635670169232</v>
      </c>
      <c r="BQ38">
        <v>-1.7763568394002505E-15</v>
      </c>
      <c r="BR38">
        <v>0.9101936020945911</v>
      </c>
      <c r="BS38">
        <v>0.35246201915007985</v>
      </c>
      <c r="BT38">
        <v>-1.7763568394002505E-15</v>
      </c>
      <c r="BU38">
        <v>0.9101936020945911</v>
      </c>
      <c r="BV38">
        <v>0.35246201915007985</v>
      </c>
      <c r="BW38">
        <v>4.4408920985006262E-16</v>
      </c>
      <c r="BX38">
        <v>0.71220399130609824</v>
      </c>
      <c r="BY38">
        <v>0.27623180818032372</v>
      </c>
      <c r="BZ38">
        <v>4.4408920985006262E-16</v>
      </c>
      <c r="CA38">
        <v>0.33894120388707938</v>
      </c>
      <c r="CB38">
        <v>0.12833523203316727</v>
      </c>
      <c r="CC38">
        <v>0</v>
      </c>
      <c r="CD38">
        <v>0.55375692339968374</v>
      </c>
      <c r="CE38">
        <v>0.21345089448155638</v>
      </c>
      <c r="CF38">
        <v>0</v>
      </c>
      <c r="CG38">
        <v>0.55375692339968374</v>
      </c>
      <c r="CH38">
        <v>0.21345089448155638</v>
      </c>
      <c r="CI38">
        <f t="shared" si="0"/>
        <v>1.0692025067981468</v>
      </c>
      <c r="CJ38">
        <f t="shared" si="1"/>
        <v>0.33894120388707938</v>
      </c>
      <c r="CK38">
        <f t="shared" si="2"/>
        <v>0.41547335292739446</v>
      </c>
      <c r="CL38">
        <f t="shared" si="3"/>
        <v>0.12833523203316727</v>
      </c>
    </row>
    <row r="39" spans="1:90" x14ac:dyDescent="0.25">
      <c r="A39" t="str">
        <f>Unit_Width_Strip_Foundation!A437</f>
        <v>16-5E2</v>
      </c>
      <c r="B39">
        <f>-1*Unit_Width_Strip_Foundation!B437</f>
        <v>-0.2033300034686093</v>
      </c>
      <c r="C39">
        <f>-1*Unit_Width_Strip_Foundation!D437</f>
        <v>-1.8404119320152619</v>
      </c>
      <c r="D39">
        <f>Unit_Width_Strip_Foundation!C437</f>
        <v>0</v>
      </c>
      <c r="E39">
        <f>Unit_Width_Strip_Foundation!E437</f>
        <v>5.166666666666667</v>
      </c>
      <c r="F39" t="s">
        <v>164</v>
      </c>
      <c r="G39" t="str">
        <f t="shared" si="5"/>
        <v>16-5E2</v>
      </c>
      <c r="K39">
        <f t="shared" si="6"/>
        <v>4.491666666666668</v>
      </c>
      <c r="L39" cm="1">
        <f t="array" ref="L39:CH39">LRFD_Analysis(Unit_Width_Strip_Foundation!$B$12,K39,$B$3:$G$57,LOAD_COMBOS!$O$30:$AA$54)</f>
        <v>0</v>
      </c>
      <c r="M39">
        <v>0.34432190214830083</v>
      </c>
      <c r="N39">
        <v>0.11538158482519709</v>
      </c>
      <c r="O39">
        <v>-8.8817841970012523E-16</v>
      </c>
      <c r="P39">
        <v>0.89791892574938448</v>
      </c>
      <c r="Q39">
        <v>0.31199952026031103</v>
      </c>
      <c r="R39">
        <v>-8.8817841970012523E-16</v>
      </c>
      <c r="S39">
        <v>0.89791892574938448</v>
      </c>
      <c r="T39">
        <v>0.31199952026031103</v>
      </c>
      <c r="U39">
        <v>-8.8817841970012523E-16</v>
      </c>
      <c r="V39">
        <v>0.89791892574938448</v>
      </c>
      <c r="W39">
        <v>0.31199952026031103</v>
      </c>
      <c r="X39">
        <v>-1.7763568394002505E-15</v>
      </c>
      <c r="Y39">
        <v>0.82719462310764857</v>
      </c>
      <c r="Z39">
        <v>0.28729882128662793</v>
      </c>
      <c r="AA39">
        <v>-1.7763568394002505E-15</v>
      </c>
      <c r="AB39">
        <v>0.82719462310764857</v>
      </c>
      <c r="AC39">
        <v>0.28729882128662793</v>
      </c>
      <c r="AD39">
        <v>-1.7763568394002505E-15</v>
      </c>
      <c r="AE39">
        <v>0.82719462310764857</v>
      </c>
      <c r="AF39">
        <v>0.28729882128662793</v>
      </c>
      <c r="AG39">
        <v>-8.8817841970012523E-16</v>
      </c>
      <c r="AH39">
        <v>0.86755916813802569</v>
      </c>
      <c r="AI39">
        <v>0.30176992521398971</v>
      </c>
      <c r="AJ39">
        <v>-8.8817841970012523E-16</v>
      </c>
      <c r="AK39">
        <v>0.86755916813802569</v>
      </c>
      <c r="AL39">
        <v>0.30176992521398971</v>
      </c>
      <c r="AM39">
        <v>-8.8817841970012523E-16</v>
      </c>
      <c r="AN39">
        <v>0.86755916813802569</v>
      </c>
      <c r="AO39">
        <v>0.30176992521398971</v>
      </c>
      <c r="AP39">
        <v>-8.8817841970012523E-16</v>
      </c>
      <c r="AQ39">
        <v>0.69673862268805919</v>
      </c>
      <c r="AR39">
        <v>0.24123004637432013</v>
      </c>
      <c r="AS39">
        <v>-8.8817841970012523E-16</v>
      </c>
      <c r="AT39">
        <v>0.69673862268805919</v>
      </c>
      <c r="AU39">
        <v>0.24123004637432013</v>
      </c>
      <c r="AV39">
        <v>-8.8817841970012523E-16</v>
      </c>
      <c r="AW39">
        <v>0.69673862268805919</v>
      </c>
      <c r="AX39">
        <v>0.24123004637432013</v>
      </c>
      <c r="AY39">
        <v>-1.7763568394002505E-15</v>
      </c>
      <c r="AZ39">
        <v>0.97273839339055268</v>
      </c>
      <c r="BA39">
        <v>0.33888604675743933</v>
      </c>
      <c r="BB39">
        <v>-1.7763568394002505E-15</v>
      </c>
      <c r="BC39">
        <v>0.97273839339055268</v>
      </c>
      <c r="BD39">
        <v>0.33888604675743933</v>
      </c>
      <c r="BE39">
        <v>-1.7763568394002505E-15</v>
      </c>
      <c r="BF39">
        <v>0.97273839339055268</v>
      </c>
      <c r="BG39">
        <v>0.33888604675743933</v>
      </c>
      <c r="BH39">
        <v>-1.7763568394002505E-15</v>
      </c>
      <c r="BI39">
        <v>0.63057744285186601</v>
      </c>
      <c r="BJ39">
        <v>0.2176164523471889</v>
      </c>
      <c r="BK39">
        <v>-1.7763568394002505E-15</v>
      </c>
      <c r="BL39">
        <v>0.63057744285186601</v>
      </c>
      <c r="BM39">
        <v>0.2176164523471889</v>
      </c>
      <c r="BN39">
        <v>-1.7763568394002505E-15</v>
      </c>
      <c r="BO39">
        <v>0.63057744285186601</v>
      </c>
      <c r="BP39">
        <v>0.2176164523471889</v>
      </c>
      <c r="BQ39">
        <v>-1.7763568394002505E-15</v>
      </c>
      <c r="BR39">
        <v>0.82719462310764857</v>
      </c>
      <c r="BS39">
        <v>0.28729882128662793</v>
      </c>
      <c r="BT39">
        <v>-1.7763568394002505E-15</v>
      </c>
      <c r="BU39">
        <v>0.82719462310764857</v>
      </c>
      <c r="BV39">
        <v>0.28729882128662793</v>
      </c>
      <c r="BW39">
        <v>4.4408920985006262E-16</v>
      </c>
      <c r="BX39">
        <v>0.64757541641267391</v>
      </c>
      <c r="BY39">
        <v>0.22523092507942982</v>
      </c>
      <c r="BZ39">
        <v>4.4408920985006262E-16</v>
      </c>
      <c r="CA39">
        <v>0.30593432551273869</v>
      </c>
      <c r="CB39">
        <v>0.10415116740009595</v>
      </c>
      <c r="CC39">
        <v>0</v>
      </c>
      <c r="CD39">
        <v>0.50255150576851992</v>
      </c>
      <c r="CE39">
        <v>0.17383353633954188</v>
      </c>
      <c r="CF39">
        <v>0</v>
      </c>
      <c r="CG39">
        <v>0.50255150576851992</v>
      </c>
      <c r="CH39">
        <v>0.17383353633954188</v>
      </c>
      <c r="CI39">
        <f t="shared" si="0"/>
        <v>0.97273839339055268</v>
      </c>
      <c r="CJ39">
        <f t="shared" si="1"/>
        <v>0.30593432551273869</v>
      </c>
      <c r="CK39">
        <f t="shared" si="2"/>
        <v>0.33888604675743933</v>
      </c>
      <c r="CL39">
        <f t="shared" si="3"/>
        <v>0.10415116740009595</v>
      </c>
    </row>
    <row r="40" spans="1:90" x14ac:dyDescent="0.25">
      <c r="A40" t="str">
        <f>Unit_Width_Strip_Foundation!A438</f>
        <v>16-6W1</v>
      </c>
      <c r="B40">
        <f>-1*Unit_Width_Strip_Foundation!B438</f>
        <v>-8.2770280957336212E-2</v>
      </c>
      <c r="C40">
        <f>-1*Unit_Width_Strip_Foundation!D438</f>
        <v>-1.4282619771071798</v>
      </c>
      <c r="D40">
        <f>Unit_Width_Strip_Foundation!C438</f>
        <v>0</v>
      </c>
      <c r="E40">
        <f>Unit_Width_Strip_Foundation!E438</f>
        <v>5.166666666666667</v>
      </c>
      <c r="F40" t="s">
        <v>164</v>
      </c>
      <c r="G40" t="str">
        <f t="shared" si="5"/>
        <v>16-6W1</v>
      </c>
      <c r="K40">
        <f t="shared" si="6"/>
        <v>4.5666666666666682</v>
      </c>
      <c r="L40" cm="1">
        <f t="array" ref="L40:CH40">LRFD_Analysis(Unit_Width_Strip_Foundation!$B$12,K40,$B$3:$G$57,LOAD_COMBOS!$O$30:$AA$54)</f>
        <v>0</v>
      </c>
      <c r="M40">
        <v>0.30533782718270519</v>
      </c>
      <c r="N40">
        <v>9.1020479484407807E-2</v>
      </c>
      <c r="O40">
        <v>-8.8817841970012523E-16</v>
      </c>
      <c r="P40">
        <v>0.80600914799771406</v>
      </c>
      <c r="Q40">
        <v>0.24808993782014677</v>
      </c>
      <c r="R40">
        <v>-8.8817841970012523E-16</v>
      </c>
      <c r="S40">
        <v>0.80600914799771406</v>
      </c>
      <c r="T40">
        <v>0.24808993782014677</v>
      </c>
      <c r="U40">
        <v>-8.8817841970012523E-16</v>
      </c>
      <c r="V40">
        <v>0.80600914799771406</v>
      </c>
      <c r="W40">
        <v>0.24808993782014677</v>
      </c>
      <c r="X40">
        <v>-1.7763568394002505E-15</v>
      </c>
      <c r="Y40">
        <v>0.74241333718236824</v>
      </c>
      <c r="Z40">
        <v>0.22842738335738672</v>
      </c>
      <c r="AA40">
        <v>-1.7763568394002505E-15</v>
      </c>
      <c r="AB40">
        <v>0.74241333718236824</v>
      </c>
      <c r="AC40">
        <v>0.22842738335738672</v>
      </c>
      <c r="AD40">
        <v>-1.7763568394002505E-15</v>
      </c>
      <c r="AE40">
        <v>0.74241333718236824</v>
      </c>
      <c r="AF40">
        <v>0.22842738335738672</v>
      </c>
      <c r="AG40">
        <v>-8.8817841970012523E-16</v>
      </c>
      <c r="AH40">
        <v>0.77903746608035718</v>
      </c>
      <c r="AI40">
        <v>0.24001024867912749</v>
      </c>
      <c r="AJ40">
        <v>-8.8817841970012523E-16</v>
      </c>
      <c r="AK40">
        <v>0.77903746608035718</v>
      </c>
      <c r="AL40">
        <v>0.24001024867912749</v>
      </c>
      <c r="AM40">
        <v>-8.8817841970012523E-16</v>
      </c>
      <c r="AN40">
        <v>0.77903746608035718</v>
      </c>
      <c r="AO40">
        <v>0.24001024867912749</v>
      </c>
      <c r="AP40">
        <v>-8.8817841970012523E-16</v>
      </c>
      <c r="AQ40">
        <v>0.62466161135913367</v>
      </c>
      <c r="AR40">
        <v>0.19166919636131477</v>
      </c>
      <c r="AS40">
        <v>-8.8817841970012523E-16</v>
      </c>
      <c r="AT40">
        <v>0.62466161135913367</v>
      </c>
      <c r="AU40">
        <v>0.19166919636131477</v>
      </c>
      <c r="AV40">
        <v>-8.8817841970012523E-16</v>
      </c>
      <c r="AW40">
        <v>0.62466161135913367</v>
      </c>
      <c r="AX40">
        <v>0.19166919636131477</v>
      </c>
      <c r="AY40">
        <v>-1.7763568394002505E-15</v>
      </c>
      <c r="AZ40">
        <v>0.87395069392246505</v>
      </c>
      <c r="BA40">
        <v>0.26962068357031838</v>
      </c>
      <c r="BB40">
        <v>-1.7763568394002505E-15</v>
      </c>
      <c r="BC40">
        <v>0.87395069392246505</v>
      </c>
      <c r="BD40">
        <v>0.26962068357031838</v>
      </c>
      <c r="BE40">
        <v>-1.7763568394002505E-15</v>
      </c>
      <c r="BF40">
        <v>0.87395069392246505</v>
      </c>
      <c r="BG40">
        <v>0.26962068357031838</v>
      </c>
      <c r="BH40">
        <v>-1.7763568394002505E-15</v>
      </c>
      <c r="BI40">
        <v>0.56472425900439571</v>
      </c>
      <c r="BJ40">
        <v>0.17278605887683823</v>
      </c>
      <c r="BK40">
        <v>-1.7763568394002505E-15</v>
      </c>
      <c r="BL40">
        <v>0.56472425900439571</v>
      </c>
      <c r="BM40">
        <v>0.17278605887683823</v>
      </c>
      <c r="BN40">
        <v>-1.7763568394002505E-15</v>
      </c>
      <c r="BO40">
        <v>0.56472425900439571</v>
      </c>
      <c r="BP40">
        <v>0.17278605887683823</v>
      </c>
      <c r="BQ40">
        <v>-1.7763568394002505E-15</v>
      </c>
      <c r="BR40">
        <v>0.74241333718236824</v>
      </c>
      <c r="BS40">
        <v>0.22842738335738672</v>
      </c>
      <c r="BT40">
        <v>-1.7763568394002505E-15</v>
      </c>
      <c r="BU40">
        <v>0.74241333718236824</v>
      </c>
      <c r="BV40">
        <v>0.22842738335738672</v>
      </c>
      <c r="BW40">
        <v>4.4408920985006262E-16</v>
      </c>
      <c r="BX40">
        <v>0.58148199168876369</v>
      </c>
      <c r="BY40">
        <v>0.17913211696418424</v>
      </c>
      <c r="BZ40">
        <v>4.4408920985006262E-16</v>
      </c>
      <c r="CA40">
        <v>0.27273028224631579</v>
      </c>
      <c r="CB40">
        <v>8.2450012328553479E-2</v>
      </c>
      <c r="CC40">
        <v>0</v>
      </c>
      <c r="CD40">
        <v>0.45041936042428832</v>
      </c>
      <c r="CE40">
        <v>0.13809133680910354</v>
      </c>
      <c r="CF40">
        <v>0</v>
      </c>
      <c r="CG40">
        <v>0.45041936042428832</v>
      </c>
      <c r="CH40">
        <v>0.13809133680910354</v>
      </c>
      <c r="CI40">
        <f t="shared" si="0"/>
        <v>0.87395069392246505</v>
      </c>
      <c r="CJ40">
        <f t="shared" si="1"/>
        <v>0.27273028224631579</v>
      </c>
      <c r="CK40">
        <f t="shared" si="2"/>
        <v>0.26962068357031838</v>
      </c>
      <c r="CL40">
        <f t="shared" si="3"/>
        <v>8.2450012328553479E-2</v>
      </c>
    </row>
    <row r="41" spans="1:90" x14ac:dyDescent="0.25">
      <c r="A41" t="str">
        <f>Unit_Width_Strip_Foundation!A439</f>
        <v>16-6W2</v>
      </c>
      <c r="B41">
        <f>-1*Unit_Width_Strip_Foundation!B439</f>
        <v>-0.66496632674297607</v>
      </c>
      <c r="C41">
        <f>-1*Unit_Width_Strip_Foundation!D439</f>
        <v>-0.84606593132154007</v>
      </c>
      <c r="D41">
        <f>Unit_Width_Strip_Foundation!C439</f>
        <v>0</v>
      </c>
      <c r="E41">
        <f>Unit_Width_Strip_Foundation!E439</f>
        <v>5.166666666666667</v>
      </c>
      <c r="F41" t="s">
        <v>164</v>
      </c>
      <c r="G41" t="str">
        <f t="shared" si="5"/>
        <v>16-6W2</v>
      </c>
      <c r="K41">
        <f t="shared" si="6"/>
        <v>4.6416666666666684</v>
      </c>
      <c r="L41" cm="1">
        <f t="array" ref="L41:CH41">LRFD_Analysis(Unit_Width_Strip_Foundation!$B$12,K41,$B$3:$G$57,LOAD_COMBOS!$O$30:$AA$54)</f>
        <v>0</v>
      </c>
      <c r="M41">
        <v>0.26653527367661223</v>
      </c>
      <c r="N41">
        <v>6.9576372711306539E-2</v>
      </c>
      <c r="O41">
        <v>-8.8817841970012523E-16</v>
      </c>
      <c r="P41">
        <v>0.7121346223020355</v>
      </c>
      <c r="Q41">
        <v>0.19114726675926053</v>
      </c>
      <c r="R41">
        <v>-8.8817841970012523E-16</v>
      </c>
      <c r="S41">
        <v>0.7121346223020355</v>
      </c>
      <c r="T41">
        <v>0.19114726675926053</v>
      </c>
      <c r="U41">
        <v>-8.8817841970012523E-16</v>
      </c>
      <c r="V41">
        <v>0.7121346223020355</v>
      </c>
      <c r="W41">
        <v>0.19114726675926053</v>
      </c>
      <c r="X41">
        <v>-1.7763568394002505E-15</v>
      </c>
      <c r="Y41">
        <v>0.65584974431875054</v>
      </c>
      <c r="Z41">
        <v>0.1759813783827387</v>
      </c>
      <c r="AA41">
        <v>-1.7763568394002505E-15</v>
      </c>
      <c r="AB41">
        <v>0.65584974431875054</v>
      </c>
      <c r="AC41">
        <v>0.1759813783827387</v>
      </c>
      <c r="AD41">
        <v>-1.7763568394002505E-15</v>
      </c>
      <c r="AE41">
        <v>0.65584974431875054</v>
      </c>
      <c r="AF41">
        <v>0.1759813783827387</v>
      </c>
      <c r="AG41">
        <v>-8.8817841970012523E-16</v>
      </c>
      <c r="AH41">
        <v>0.68854732375549421</v>
      </c>
      <c r="AI41">
        <v>0.18496351630861932</v>
      </c>
      <c r="AJ41">
        <v>-8.8817841970012523E-16</v>
      </c>
      <c r="AK41">
        <v>0.68854732375549421</v>
      </c>
      <c r="AL41">
        <v>0.18496351630861932</v>
      </c>
      <c r="AM41">
        <v>-8.8817841970012523E-16</v>
      </c>
      <c r="AN41">
        <v>0.68854732375549421</v>
      </c>
      <c r="AO41">
        <v>0.18496351630861932</v>
      </c>
      <c r="AP41">
        <v>-8.8817841970012523E-16</v>
      </c>
      <c r="AQ41">
        <v>0.55125000223221665</v>
      </c>
      <c r="AR41">
        <v>0.14756416961540433</v>
      </c>
      <c r="AS41">
        <v>-8.8817841970012523E-16</v>
      </c>
      <c r="AT41">
        <v>0.55125000223221665</v>
      </c>
      <c r="AU41">
        <v>0.14756416961540433</v>
      </c>
      <c r="AV41">
        <v>-8.8817841970012523E-16</v>
      </c>
      <c r="AW41">
        <v>0.55125000223221665</v>
      </c>
      <c r="AX41">
        <v>0.14756416961540433</v>
      </c>
      <c r="AY41">
        <v>-1.7763568394002505E-15</v>
      </c>
      <c r="AZ41">
        <v>0.77283940839388343</v>
      </c>
      <c r="BA41">
        <v>0.20785153232058212</v>
      </c>
      <c r="BB41">
        <v>-1.7763568394002505E-15</v>
      </c>
      <c r="BC41">
        <v>0.77283940839388343</v>
      </c>
      <c r="BD41">
        <v>0.20785153232058212</v>
      </c>
      <c r="BE41">
        <v>-1.7763568394002505E-15</v>
      </c>
      <c r="BF41">
        <v>0.77283940839388343</v>
      </c>
      <c r="BG41">
        <v>0.20785153232058212</v>
      </c>
      <c r="BH41">
        <v>-1.7763568394002505E-15</v>
      </c>
      <c r="BI41">
        <v>0.49781833103957407</v>
      </c>
      <c r="BJ41">
        <v>0.13293413209946109</v>
      </c>
      <c r="BK41">
        <v>-1.7763568394002505E-15</v>
      </c>
      <c r="BL41">
        <v>0.49781833103957407</v>
      </c>
      <c r="BM41">
        <v>0.13293413209946109</v>
      </c>
      <c r="BN41">
        <v>-1.7763568394002505E-15</v>
      </c>
      <c r="BO41">
        <v>0.49781833103957407</v>
      </c>
      <c r="BP41">
        <v>0.13293413209946109</v>
      </c>
      <c r="BQ41">
        <v>-1.7763568394002505E-15</v>
      </c>
      <c r="BR41">
        <v>0.65584974431875054</v>
      </c>
      <c r="BS41">
        <v>0.1759813783827387</v>
      </c>
      <c r="BT41">
        <v>-1.7763568394002505E-15</v>
      </c>
      <c r="BU41">
        <v>0.65584974431875054</v>
      </c>
      <c r="BV41">
        <v>0.1759813783827387</v>
      </c>
      <c r="BW41">
        <v>4.4408920985006262E-16</v>
      </c>
      <c r="BX41">
        <v>0.51392371713436802</v>
      </c>
      <c r="BY41">
        <v>0.13804524757187681</v>
      </c>
      <c r="BZ41">
        <v>4.4408920985006262E-16</v>
      </c>
      <c r="CA41">
        <v>0.23932907408781112</v>
      </c>
      <c r="CB41">
        <v>6.324655418545394E-2</v>
      </c>
      <c r="CC41">
        <v>0</v>
      </c>
      <c r="CD41">
        <v>0.39736048736698892</v>
      </c>
      <c r="CE41">
        <v>0.10629380046872602</v>
      </c>
      <c r="CF41">
        <v>0</v>
      </c>
      <c r="CG41">
        <v>0.39736048736698892</v>
      </c>
      <c r="CH41">
        <v>0.10629380046872602</v>
      </c>
      <c r="CI41">
        <f t="shared" si="0"/>
        <v>0.77283940839388343</v>
      </c>
      <c r="CJ41">
        <f t="shared" si="1"/>
        <v>0.23932907408781112</v>
      </c>
      <c r="CK41">
        <f t="shared" si="2"/>
        <v>0.20785153232058212</v>
      </c>
      <c r="CL41">
        <f t="shared" si="3"/>
        <v>6.324655418545394E-2</v>
      </c>
    </row>
    <row r="42" spans="1:90" x14ac:dyDescent="0.25">
      <c r="A42" t="str">
        <f>Unit_Width_Strip_Foundation!A440</f>
        <v>16-7E1</v>
      </c>
      <c r="B42">
        <f>-1*Unit_Width_Strip_Foundation!B440</f>
        <v>-0.32990784599375667</v>
      </c>
      <c r="C42">
        <f>-1*Unit_Width_Strip_Foundation!D440</f>
        <v>-1.1811244120707596</v>
      </c>
      <c r="D42">
        <f>Unit_Width_Strip_Foundation!C440</f>
        <v>0</v>
      </c>
      <c r="E42">
        <f>Unit_Width_Strip_Foundation!E440</f>
        <v>5.166666666666667</v>
      </c>
      <c r="F42" t="s">
        <v>164</v>
      </c>
      <c r="G42" t="str">
        <f t="shared" si="5"/>
        <v>16-7E1</v>
      </c>
      <c r="K42">
        <f t="shared" si="6"/>
        <v>4.7166666666666686</v>
      </c>
      <c r="L42" cm="1">
        <f t="array" ref="L42:CH42">LRFD_Analysis(Unit_Width_Strip_Foundation!$B$12,K42,$B$3:$G$57,LOAD_COMBOS!$O$30:$AA$54)</f>
        <v>0</v>
      </c>
      <c r="M42">
        <v>0.22791424163002283</v>
      </c>
      <c r="N42">
        <v>5.1035650396425075E-2</v>
      </c>
      <c r="O42">
        <v>-8.8817841970012523E-16</v>
      </c>
      <c r="P42">
        <v>0.61629534866234525</v>
      </c>
      <c r="Q42">
        <v>0.14131886317344</v>
      </c>
      <c r="R42">
        <v>-8.8817841970012523E-16</v>
      </c>
      <c r="S42">
        <v>0.61629534866234525</v>
      </c>
      <c r="T42">
        <v>0.14131886317344</v>
      </c>
      <c r="U42">
        <v>-8.8817841970012523E-16</v>
      </c>
      <c r="V42">
        <v>0.61629534866234525</v>
      </c>
      <c r="W42">
        <v>0.14131886317344</v>
      </c>
      <c r="X42">
        <v>-1.7763568394002505E-15</v>
      </c>
      <c r="Y42">
        <v>0.56750384451679725</v>
      </c>
      <c r="Z42">
        <v>0.13009447938303437</v>
      </c>
      <c r="AA42">
        <v>-1.7763568394002505E-15</v>
      </c>
      <c r="AB42">
        <v>0.56750384451679725</v>
      </c>
      <c r="AC42">
        <v>0.13009447938303437</v>
      </c>
      <c r="AD42">
        <v>-1.7763568394002505E-15</v>
      </c>
      <c r="AE42">
        <v>0.56750384451679725</v>
      </c>
      <c r="AF42">
        <v>0.13009447938303437</v>
      </c>
      <c r="AG42">
        <v>-8.8817841970012523E-16</v>
      </c>
      <c r="AH42">
        <v>0.59608874116343635</v>
      </c>
      <c r="AI42">
        <v>0.13677736112248398</v>
      </c>
      <c r="AJ42">
        <v>-8.8817841970012523E-16</v>
      </c>
      <c r="AK42">
        <v>0.59608874116343635</v>
      </c>
      <c r="AL42">
        <v>0.13677736112248398</v>
      </c>
      <c r="AM42">
        <v>-8.8817841970012523E-16</v>
      </c>
      <c r="AN42">
        <v>0.59608874116343635</v>
      </c>
      <c r="AO42">
        <v>0.13677736112248398</v>
      </c>
      <c r="AP42">
        <v>-8.8817841970012523E-16</v>
      </c>
      <c r="AQ42">
        <v>0.47650379530730635</v>
      </c>
      <c r="AR42">
        <v>0.10901506097142902</v>
      </c>
      <c r="AS42">
        <v>-8.8817841970012523E-16</v>
      </c>
      <c r="AT42">
        <v>0.47650379530730635</v>
      </c>
      <c r="AU42">
        <v>0.10901506097142902</v>
      </c>
      <c r="AV42">
        <v>-8.8817841970012523E-16</v>
      </c>
      <c r="AW42">
        <v>0.47650379530730635</v>
      </c>
      <c r="AX42">
        <v>0.10901506097142902</v>
      </c>
      <c r="AY42">
        <v>-1.7763568394002505E-15</v>
      </c>
      <c r="AZ42">
        <v>0.66940453680480871</v>
      </c>
      <c r="BA42">
        <v>0.15375286196274912</v>
      </c>
      <c r="BB42">
        <v>-1.7763568394002505E-15</v>
      </c>
      <c r="BC42">
        <v>0.66940453680480871</v>
      </c>
      <c r="BD42">
        <v>0.15375286196274912</v>
      </c>
      <c r="BE42">
        <v>-1.7763568394002505E-15</v>
      </c>
      <c r="BF42">
        <v>0.66940453680480871</v>
      </c>
      <c r="BG42">
        <v>0.15375286196274912</v>
      </c>
      <c r="BH42">
        <v>-1.7763568394002505E-15</v>
      </c>
      <c r="BI42">
        <v>0.42985965895740108</v>
      </c>
      <c r="BJ42">
        <v>9.8139627823837394E-2</v>
      </c>
      <c r="BK42">
        <v>-1.7763568394002505E-15</v>
      </c>
      <c r="BL42">
        <v>0.42985965895740108</v>
      </c>
      <c r="BM42">
        <v>9.8139627823837394E-2</v>
      </c>
      <c r="BN42">
        <v>-1.7763568394002505E-15</v>
      </c>
      <c r="BO42">
        <v>0.42985965895740108</v>
      </c>
      <c r="BP42">
        <v>9.8139627823837394E-2</v>
      </c>
      <c r="BQ42">
        <v>-1.7763568394002505E-15</v>
      </c>
      <c r="BR42">
        <v>0.56750384451679725</v>
      </c>
      <c r="BS42">
        <v>0.13009447938303437</v>
      </c>
      <c r="BT42">
        <v>-1.7763568394002505E-15</v>
      </c>
      <c r="BU42">
        <v>0.56750384451679725</v>
      </c>
      <c r="BV42">
        <v>0.13009447938303437</v>
      </c>
      <c r="BW42">
        <v>4.4408920985006262E-16</v>
      </c>
      <c r="BX42">
        <v>0.4449005927494869</v>
      </c>
      <c r="BY42">
        <v>0.10208018063979113</v>
      </c>
      <c r="BZ42">
        <v>4.4408920985006262E-16</v>
      </c>
      <c r="CA42">
        <v>0.20573070103722557</v>
      </c>
      <c r="CB42">
        <v>4.6555580337682978E-2</v>
      </c>
      <c r="CC42">
        <v>0</v>
      </c>
      <c r="CD42">
        <v>0.34337488659662174</v>
      </c>
      <c r="CE42">
        <v>7.8510431896881533E-2</v>
      </c>
      <c r="CF42">
        <v>0</v>
      </c>
      <c r="CG42">
        <v>0.34337488659662174</v>
      </c>
      <c r="CH42">
        <v>7.8510431896881533E-2</v>
      </c>
      <c r="CI42">
        <f t="shared" si="0"/>
        <v>0.66940453680480871</v>
      </c>
      <c r="CJ42">
        <f t="shared" si="1"/>
        <v>0.20573070103722557</v>
      </c>
      <c r="CK42">
        <f t="shared" si="2"/>
        <v>0.15375286196274912</v>
      </c>
      <c r="CL42">
        <f t="shared" si="3"/>
        <v>4.6555580337682978E-2</v>
      </c>
    </row>
    <row r="43" spans="1:90" x14ac:dyDescent="0.25">
      <c r="A43" t="str">
        <f>Unit_Width_Strip_Foundation!A441</f>
        <v>16-7E2</v>
      </c>
      <c r="B43">
        <f>-1*Unit_Width_Strip_Foundation!B441</f>
        <v>-0.32990784599375667</v>
      </c>
      <c r="C43">
        <f>-1*Unit_Width_Strip_Foundation!D441</f>
        <v>-1.1811244120707596</v>
      </c>
      <c r="D43">
        <f>Unit_Width_Strip_Foundation!C441</f>
        <v>0</v>
      </c>
      <c r="E43">
        <f>Unit_Width_Strip_Foundation!E441</f>
        <v>5.166666666666667</v>
      </c>
      <c r="F43" t="s">
        <v>164</v>
      </c>
      <c r="G43" t="str">
        <f t="shared" si="5"/>
        <v>16-7E2</v>
      </c>
      <c r="K43">
        <f>K42+$J$29</f>
        <v>4.7916666666666687</v>
      </c>
      <c r="L43" cm="1">
        <f t="array" ref="L43:CH43">LRFD_Analysis(Unit_Width_Strip_Foundation!$B$12,K43,$B$3:$G$57,LOAD_COMBOS!$O$30:$AA$54)</f>
        <v>0</v>
      </c>
      <c r="M43">
        <v>0.18947473104293078</v>
      </c>
      <c r="N43">
        <v>3.5384698430320077E-2</v>
      </c>
      <c r="O43">
        <v>-8.8817841970012523E-16</v>
      </c>
      <c r="P43">
        <v>0.51849132707864332</v>
      </c>
      <c r="Q43">
        <v>9.8752083158506587E-2</v>
      </c>
      <c r="R43">
        <v>-8.8817841970012523E-16</v>
      </c>
      <c r="S43">
        <v>0.51849132707864332</v>
      </c>
      <c r="T43">
        <v>9.8752083158506587E-2</v>
      </c>
      <c r="U43">
        <v>-8.8817841970012523E-16</v>
      </c>
      <c r="V43">
        <v>0.51849132707864332</v>
      </c>
      <c r="W43">
        <v>9.8752083158506587E-2</v>
      </c>
      <c r="X43">
        <v>-1.7763568394002505E-15</v>
      </c>
      <c r="Y43">
        <v>0.4773756377765066</v>
      </c>
      <c r="Z43">
        <v>9.0900359378672191E-2</v>
      </c>
      <c r="AA43">
        <v>-1.7763568394002505E-15</v>
      </c>
      <c r="AB43">
        <v>0.4773756377765066</v>
      </c>
      <c r="AC43">
        <v>9.0900359378672191E-2</v>
      </c>
      <c r="AD43">
        <v>-1.7763568394002505E-15</v>
      </c>
      <c r="AE43">
        <v>0.4773756377765066</v>
      </c>
      <c r="AF43">
        <v>9.0900359378672191E-2</v>
      </c>
      <c r="AG43">
        <v>-8.8817841970012523E-16</v>
      </c>
      <c r="AH43">
        <v>0.50166171830418094</v>
      </c>
      <c r="AI43">
        <v>9.559941614078285E-2</v>
      </c>
      <c r="AJ43">
        <v>-8.8817841970012523E-16</v>
      </c>
      <c r="AK43">
        <v>0.50166171830418094</v>
      </c>
      <c r="AL43">
        <v>9.559941614078285E-2</v>
      </c>
      <c r="AM43">
        <v>-8.8817841970012523E-16</v>
      </c>
      <c r="AN43">
        <v>0.50166171830418094</v>
      </c>
      <c r="AO43">
        <v>9.559941614078285E-2</v>
      </c>
      <c r="AP43">
        <v>-8.8817841970012523E-16</v>
      </c>
      <c r="AQ43">
        <v>0.40042299058440101</v>
      </c>
      <c r="AR43">
        <v>7.6121965264253882E-2</v>
      </c>
      <c r="AS43">
        <v>-8.8817841970012523E-16</v>
      </c>
      <c r="AT43">
        <v>0.40042299058440101</v>
      </c>
      <c r="AU43">
        <v>7.6121965264253882E-2</v>
      </c>
      <c r="AV43">
        <v>-8.8817841970012523E-16</v>
      </c>
      <c r="AW43">
        <v>0.40042299058440101</v>
      </c>
      <c r="AX43">
        <v>7.6121965264253882E-2</v>
      </c>
      <c r="AY43">
        <v>-1.7763568394002505E-15</v>
      </c>
      <c r="AZ43">
        <v>0.56364607915524001</v>
      </c>
      <c r="BA43">
        <v>0.10749894145137168</v>
      </c>
      <c r="BB43">
        <v>-1.7763568394002505E-15</v>
      </c>
      <c r="BC43">
        <v>0.56364607915524001</v>
      </c>
      <c r="BD43">
        <v>0.10749894145137168</v>
      </c>
      <c r="BE43">
        <v>-1.7763568394002505E-15</v>
      </c>
      <c r="BF43">
        <v>0.56364607915524001</v>
      </c>
      <c r="BG43">
        <v>0.10749894145137168</v>
      </c>
      <c r="BH43">
        <v>-1.7763568394002505E-15</v>
      </c>
      <c r="BI43">
        <v>0.36084824275787675</v>
      </c>
      <c r="BJ43">
        <v>6.8481501858786153E-2</v>
      </c>
      <c r="BK43">
        <v>-1.7763568394002505E-15</v>
      </c>
      <c r="BL43">
        <v>0.36084824275787675</v>
      </c>
      <c r="BM43">
        <v>6.8481501858786153E-2</v>
      </c>
      <c r="BN43">
        <v>-1.7763568394002505E-15</v>
      </c>
      <c r="BO43">
        <v>0.36084824275787675</v>
      </c>
      <c r="BP43">
        <v>6.8481501858786153E-2</v>
      </c>
      <c r="BQ43">
        <v>-1.7763568394002505E-15</v>
      </c>
      <c r="BR43">
        <v>0.4773756377765066</v>
      </c>
      <c r="BS43">
        <v>9.0900359378672191E-2</v>
      </c>
      <c r="BT43">
        <v>-1.7763568394002505E-15</v>
      </c>
      <c r="BU43">
        <v>0.4773756377765066</v>
      </c>
      <c r="BV43">
        <v>9.0900359378672191E-2</v>
      </c>
      <c r="BW43">
        <v>4.4408920985006262E-16</v>
      </c>
      <c r="BX43">
        <v>0.374412618534119</v>
      </c>
      <c r="BY43">
        <v>7.134677990521715E-2</v>
      </c>
      <c r="BZ43">
        <v>4.4408920985006262E-16</v>
      </c>
      <c r="CA43">
        <v>0.17193516309455825</v>
      </c>
      <c r="CB43">
        <v>3.2391878152166209E-2</v>
      </c>
      <c r="CC43">
        <v>0</v>
      </c>
      <c r="CD43">
        <v>0.28846255811318677</v>
      </c>
      <c r="CE43">
        <v>5.4810735672060927E-2</v>
      </c>
      <c r="CF43">
        <v>0</v>
      </c>
      <c r="CG43">
        <v>0.28846255811318677</v>
      </c>
      <c r="CH43">
        <v>5.4810735672060927E-2</v>
      </c>
      <c r="CI43">
        <f t="shared" si="0"/>
        <v>0.56364607915524001</v>
      </c>
      <c r="CJ43">
        <f t="shared" si="1"/>
        <v>0.17193516309455825</v>
      </c>
      <c r="CK43">
        <f t="shared" si="2"/>
        <v>0.10749894145137168</v>
      </c>
      <c r="CL43">
        <f t="shared" si="3"/>
        <v>3.2391878152166209E-2</v>
      </c>
    </row>
    <row r="44" spans="1:90" x14ac:dyDescent="0.25">
      <c r="A44" t="str">
        <f>Unit_Width_Strip_Foundation!A145</f>
        <v>left soil</v>
      </c>
      <c r="B44">
        <f>Unit_Width_Strip_Foundation!D145*-1</f>
        <v>2.7266641975308641</v>
      </c>
      <c r="C44">
        <v>0</v>
      </c>
      <c r="D44">
        <f>Unit_Width_Strip_Foundation!$F$10+(Unit_Width_Strip_Foundation!$B$3/24)</f>
        <v>3.3333333333333335</v>
      </c>
      <c r="E44">
        <v>0</v>
      </c>
      <c r="F44" t="s">
        <v>170</v>
      </c>
      <c r="G44" t="str">
        <f>Unit_Width_Strip_Foundation!E145</f>
        <v>H</v>
      </c>
      <c r="K44">
        <f t="shared" si="6"/>
        <v>4.8666666666666689</v>
      </c>
      <c r="L44" cm="1">
        <f t="array" ref="L44:CH44">LRFD_Analysis(Unit_Width_Strip_Foundation!$B$12,K44,$B$3:$G$57,LOAD_COMBOS!$O$30:$AA$54)</f>
        <v>0</v>
      </c>
      <c r="M44">
        <v>0.15121674191534229</v>
      </c>
      <c r="N44">
        <v>2.2609902703496693E-2</v>
      </c>
      <c r="O44">
        <v>-8.8817841970012523E-16</v>
      </c>
      <c r="P44">
        <v>0.41872255755093502</v>
      </c>
      <c r="Q44">
        <v>6.3594282810244374E-2</v>
      </c>
      <c r="R44">
        <v>-8.8817841970012523E-16</v>
      </c>
      <c r="S44">
        <v>0.41872255755093502</v>
      </c>
      <c r="T44">
        <v>6.3594282810244374E-2</v>
      </c>
      <c r="U44">
        <v>-8.8817841970012523E-16</v>
      </c>
      <c r="V44">
        <v>0.41872255755093502</v>
      </c>
      <c r="W44">
        <v>6.3594282810244374E-2</v>
      </c>
      <c r="X44">
        <v>-1.7763568394002505E-15</v>
      </c>
      <c r="Y44">
        <v>0.3854651240978777</v>
      </c>
      <c r="Z44">
        <v>5.8532691390022207E-2</v>
      </c>
      <c r="AA44">
        <v>-1.7763568394002505E-15</v>
      </c>
      <c r="AB44">
        <v>0.3854651240978777</v>
      </c>
      <c r="AC44">
        <v>5.8532691390022207E-2</v>
      </c>
      <c r="AD44">
        <v>-1.7763568394002505E-15</v>
      </c>
      <c r="AE44">
        <v>0.3854651240978777</v>
      </c>
      <c r="AF44">
        <v>5.8532691390022207E-2</v>
      </c>
      <c r="AG44">
        <v>-8.8817841970012523E-16</v>
      </c>
      <c r="AH44">
        <v>0.40526625517773507</v>
      </c>
      <c r="AI44">
        <v>6.1577314383538223E-2</v>
      </c>
      <c r="AJ44">
        <v>-8.8817841970012523E-16</v>
      </c>
      <c r="AK44">
        <v>0.40526625517773507</v>
      </c>
      <c r="AL44">
        <v>6.1577314383538223E-2</v>
      </c>
      <c r="AM44">
        <v>-8.8817841970012523E-16</v>
      </c>
      <c r="AN44">
        <v>0.40526625517773507</v>
      </c>
      <c r="AO44">
        <v>6.1577314383538223E-2</v>
      </c>
      <c r="AP44">
        <v>-8.8817841970012523E-16</v>
      </c>
      <c r="AQ44">
        <v>0.32300758806350682</v>
      </c>
      <c r="AR44">
        <v>4.8984977328722673E-2</v>
      </c>
      <c r="AS44">
        <v>-8.8817841970012523E-16</v>
      </c>
      <c r="AT44">
        <v>0.32300758806350682</v>
      </c>
      <c r="AU44">
        <v>4.8984977328722673E-2</v>
      </c>
      <c r="AV44">
        <v>-8.8817841970012523E-16</v>
      </c>
      <c r="AW44">
        <v>0.32300758806350682</v>
      </c>
      <c r="AX44">
        <v>4.8984977328722673E-2</v>
      </c>
      <c r="AY44">
        <v>-1.7763568394002505E-15</v>
      </c>
      <c r="AZ44">
        <v>0.45556403544517821</v>
      </c>
      <c r="BA44">
        <v>6.9264039740977112E-2</v>
      </c>
      <c r="BB44">
        <v>-1.7763568394002505E-15</v>
      </c>
      <c r="BC44">
        <v>0.45556403544517821</v>
      </c>
      <c r="BD44">
        <v>6.9264039740977112E-2</v>
      </c>
      <c r="BE44">
        <v>-1.7763568394002505E-15</v>
      </c>
      <c r="BF44">
        <v>0.45556403544517821</v>
      </c>
      <c r="BG44">
        <v>6.9264039740977112E-2</v>
      </c>
      <c r="BH44">
        <v>-1.7763568394002505E-15</v>
      </c>
      <c r="BI44">
        <v>0.29078408244100284</v>
      </c>
      <c r="BJ44">
        <v>4.4038710013094395E-2</v>
      </c>
      <c r="BK44">
        <v>-1.7763568394002505E-15</v>
      </c>
      <c r="BL44">
        <v>0.29078408244100284</v>
      </c>
      <c r="BM44">
        <v>4.4038710013094395E-2</v>
      </c>
      <c r="BN44">
        <v>-1.7763568394002505E-15</v>
      </c>
      <c r="BO44">
        <v>0.29078408244100284</v>
      </c>
      <c r="BP44">
        <v>4.4038710013094395E-2</v>
      </c>
      <c r="BQ44">
        <v>-1.7763568394002505E-15</v>
      </c>
      <c r="BR44">
        <v>0.3854651240978777</v>
      </c>
      <c r="BS44">
        <v>5.8532691390022207E-2</v>
      </c>
      <c r="BT44">
        <v>-1.7763568394002505E-15</v>
      </c>
      <c r="BU44">
        <v>0.3854651240978777</v>
      </c>
      <c r="BV44">
        <v>5.8532691390022207E-2</v>
      </c>
      <c r="BW44">
        <v>4.4408920985006262E-16</v>
      </c>
      <c r="BX44">
        <v>0.30245979448826654</v>
      </c>
      <c r="BY44">
        <v>4.5954909105435593E-2</v>
      </c>
      <c r="BZ44">
        <v>4.4408920985006262E-16</v>
      </c>
      <c r="CA44">
        <v>0.13794246025980916</v>
      </c>
      <c r="CB44">
        <v>2.0770234995804382E-2</v>
      </c>
      <c r="CC44">
        <v>0</v>
      </c>
      <c r="CD44">
        <v>0.23262350191668446</v>
      </c>
      <c r="CE44">
        <v>3.5264216372728439E-2</v>
      </c>
      <c r="CF44">
        <v>0</v>
      </c>
      <c r="CG44">
        <v>0.23262350191668446</v>
      </c>
      <c r="CH44">
        <v>3.5264216372728439E-2</v>
      </c>
      <c r="CI44">
        <f t="shared" si="0"/>
        <v>0.45556403544517821</v>
      </c>
      <c r="CJ44">
        <f t="shared" si="1"/>
        <v>0.13794246025980916</v>
      </c>
      <c r="CK44">
        <f t="shared" si="2"/>
        <v>6.9264039740977112E-2</v>
      </c>
      <c r="CL44">
        <f t="shared" si="3"/>
        <v>2.0770234995804382E-2</v>
      </c>
    </row>
    <row r="45" spans="1:90" x14ac:dyDescent="0.25">
      <c r="A45" t="str">
        <f>Unit_Width_Strip_Foundation!A146</f>
        <v>right soil</v>
      </c>
      <c r="B45">
        <f>Unit_Width_Strip_Foundation!D146*-1</f>
        <v>-0.3975308641975307</v>
      </c>
      <c r="C45">
        <v>0</v>
      </c>
      <c r="D45">
        <f>Unit_Width_Strip_Foundation!$F$10+(Unit_Width_Strip_Foundation!$B$3/24)</f>
        <v>3.3333333333333335</v>
      </c>
      <c r="E45">
        <v>0</v>
      </c>
      <c r="F45" t="s">
        <v>170</v>
      </c>
      <c r="G45" t="str">
        <f>Unit_Width_Strip_Foundation!E146</f>
        <v>Hr</v>
      </c>
      <c r="K45">
        <f t="shared" si="6"/>
        <v>4.9416666666666691</v>
      </c>
      <c r="L45" cm="1">
        <f t="array" ref="L45:CH45">LRFD_Analysis(Unit_Width_Strip_Foundation!$B$12,K45,$B$3:$G$57,LOAD_COMBOS!$O$30:$AA$54)</f>
        <v>0</v>
      </c>
      <c r="M45">
        <v>0.11314027424725559</v>
      </c>
      <c r="N45">
        <v>1.2697649106525793E-2</v>
      </c>
      <c r="O45">
        <v>-8.8817841970012523E-16</v>
      </c>
      <c r="P45">
        <v>0.31698904007921502</v>
      </c>
      <c r="Q45">
        <v>3.5992818224465872E-2</v>
      </c>
      <c r="R45">
        <v>-8.8817841970012523E-16</v>
      </c>
      <c r="S45">
        <v>0.31698904007921502</v>
      </c>
      <c r="T45">
        <v>3.5992818224465872E-2</v>
      </c>
      <c r="U45">
        <v>-8.8817841970012523E-16</v>
      </c>
      <c r="V45">
        <v>0.31698904007921502</v>
      </c>
      <c r="W45">
        <v>3.5992818224465872E-2</v>
      </c>
      <c r="X45">
        <v>-1.7763568394002505E-15</v>
      </c>
      <c r="Y45">
        <v>0.29177230348091321</v>
      </c>
      <c r="Z45">
        <v>3.3125148437449126E-2</v>
      </c>
      <c r="AA45">
        <v>-1.7763568394002505E-15</v>
      </c>
      <c r="AB45">
        <v>0.29177230348091321</v>
      </c>
      <c r="AC45">
        <v>3.3125148437449126E-2</v>
      </c>
      <c r="AD45">
        <v>-1.7763568394002505E-15</v>
      </c>
      <c r="AE45">
        <v>0.29177230348091321</v>
      </c>
      <c r="AF45">
        <v>3.3125148437449126E-2</v>
      </c>
      <c r="AG45">
        <v>-8.8817841970012523E-16</v>
      </c>
      <c r="AH45">
        <v>0.30690235178409253</v>
      </c>
      <c r="AI45">
        <v>3.4858688870799098E-2</v>
      </c>
      <c r="AJ45">
        <v>-8.8817841970012523E-16</v>
      </c>
      <c r="AK45">
        <v>0.30690235178409253</v>
      </c>
      <c r="AL45">
        <v>3.4858688870799098E-2</v>
      </c>
      <c r="AM45">
        <v>-8.8817841970012523E-16</v>
      </c>
      <c r="AN45">
        <v>0.30690235178409253</v>
      </c>
      <c r="AO45">
        <v>3.4858688870799098E-2</v>
      </c>
      <c r="AP45">
        <v>-8.8817841970012523E-16</v>
      </c>
      <c r="AQ45">
        <v>0.24425758774461848</v>
      </c>
      <c r="AR45">
        <v>2.7704191999680911E-2</v>
      </c>
      <c r="AS45">
        <v>-8.8817841970012523E-16</v>
      </c>
      <c r="AT45">
        <v>0.24425758774461848</v>
      </c>
      <c r="AU45">
        <v>2.7704191999680911E-2</v>
      </c>
      <c r="AV45">
        <v>-8.8817841970012523E-16</v>
      </c>
      <c r="AW45">
        <v>0.24425758774461848</v>
      </c>
      <c r="AX45">
        <v>2.7704191999680911E-2</v>
      </c>
      <c r="AY45">
        <v>-1.7763568394002505E-15</v>
      </c>
      <c r="AZ45">
        <v>0.34515840567462241</v>
      </c>
      <c r="BA45">
        <v>3.9222425786107296E-2</v>
      </c>
      <c r="BB45">
        <v>-1.7763568394002505E-15</v>
      </c>
      <c r="BC45">
        <v>0.34515840567462241</v>
      </c>
      <c r="BD45">
        <v>3.9222425786107296E-2</v>
      </c>
      <c r="BE45">
        <v>-1.7763568394002505E-15</v>
      </c>
      <c r="BF45">
        <v>0.34515840567462241</v>
      </c>
      <c r="BG45">
        <v>3.9222425786107296E-2</v>
      </c>
      <c r="BH45">
        <v>-1.7763568394002505E-15</v>
      </c>
      <c r="BI45">
        <v>0.2196671780067776</v>
      </c>
      <c r="BJ45">
        <v>2.4890208095566912E-2</v>
      </c>
      <c r="BK45">
        <v>-1.7763568394002505E-15</v>
      </c>
      <c r="BL45">
        <v>0.2196671780067776</v>
      </c>
      <c r="BM45">
        <v>2.4890208095566912E-2</v>
      </c>
      <c r="BN45">
        <v>-1.7763568394002505E-15</v>
      </c>
      <c r="BO45">
        <v>0.2196671780067776</v>
      </c>
      <c r="BP45">
        <v>2.4890208095566912E-2</v>
      </c>
      <c r="BQ45">
        <v>-1.7763568394002505E-15</v>
      </c>
      <c r="BR45">
        <v>0.29177230348091321</v>
      </c>
      <c r="BS45">
        <v>3.3125148437449126E-2</v>
      </c>
      <c r="BT45">
        <v>-1.7763568394002505E-15</v>
      </c>
      <c r="BU45">
        <v>0.29177230348091321</v>
      </c>
      <c r="BV45">
        <v>3.3125148437449126E-2</v>
      </c>
      <c r="BW45">
        <v>4.4408920985006262E-16</v>
      </c>
      <c r="BX45">
        <v>0.22904212061192775</v>
      </c>
      <c r="BY45">
        <v>2.6014431977736396E-2</v>
      </c>
      <c r="BZ45">
        <v>4.4408920985006262E-16</v>
      </c>
      <c r="CA45">
        <v>0.10375259253297919</v>
      </c>
      <c r="CB45">
        <v>1.1705438235498244E-2</v>
      </c>
      <c r="CC45">
        <v>0</v>
      </c>
      <c r="CD45">
        <v>0.17585771800711392</v>
      </c>
      <c r="CE45">
        <v>1.9940378577383809E-2</v>
      </c>
      <c r="CF45">
        <v>0</v>
      </c>
      <c r="CG45">
        <v>0.17585771800711392</v>
      </c>
      <c r="CH45">
        <v>1.9940378577383809E-2</v>
      </c>
      <c r="CI45">
        <f t="shared" si="0"/>
        <v>0.34515840567462241</v>
      </c>
      <c r="CJ45">
        <f t="shared" si="1"/>
        <v>0.10375259253297919</v>
      </c>
      <c r="CK45">
        <f t="shared" si="2"/>
        <v>3.9222425786107296E-2</v>
      </c>
      <c r="CL45">
        <f t="shared" si="3"/>
        <v>1.1705438235498244E-2</v>
      </c>
    </row>
    <row r="46" spans="1:90" x14ac:dyDescent="0.25">
      <c r="A46" t="str">
        <f>Unit_Width_Strip_Foundation!A147</f>
        <v>DL Surcharge</v>
      </c>
      <c r="B46">
        <f>Unit_Width_Strip_Foundation!D147*-1</f>
        <v>5.0138888888888879E-2</v>
      </c>
      <c r="C46">
        <v>0</v>
      </c>
      <c r="D46">
        <f>Unit_Width_Strip_Foundation!$F$10+(Unit_Width_Strip_Foundation!$B$3/24)</f>
        <v>3.3333333333333335</v>
      </c>
      <c r="E46">
        <v>0</v>
      </c>
      <c r="F46" t="s">
        <v>170</v>
      </c>
      <c r="G46" t="str">
        <f>Unit_Width_Strip_Foundation!E147</f>
        <v>DL</v>
      </c>
      <c r="K46">
        <f t="shared" si="6"/>
        <v>5.0166666666666693</v>
      </c>
      <c r="L46" cm="1">
        <f t="array" ref="L46:CH46">LRFD_Analysis(Unit_Width_Strip_Foundation!$B$12,K46,$B$3:$G$57,LOAD_COMBOS!$O$30:$AA$54)</f>
        <v>0</v>
      </c>
      <c r="M46">
        <v>7.5245328038668013E-2</v>
      </c>
      <c r="N46">
        <v>5.6343235299249617E-3</v>
      </c>
      <c r="O46">
        <v>-8.8817841970012523E-16</v>
      </c>
      <c r="P46">
        <v>0.21329077466348512</v>
      </c>
      <c r="Q46">
        <v>1.6095045496962279E-2</v>
      </c>
      <c r="R46">
        <v>-8.8817841970012523E-16</v>
      </c>
      <c r="S46">
        <v>0.21329077466348512</v>
      </c>
      <c r="T46">
        <v>1.6095045496962279E-2</v>
      </c>
      <c r="U46">
        <v>-8.8817841970012523E-16</v>
      </c>
      <c r="V46">
        <v>0.21329077466348512</v>
      </c>
      <c r="W46">
        <v>1.6095045496962279E-2</v>
      </c>
      <c r="X46">
        <v>-1.7763568394002505E-15</v>
      </c>
      <c r="Y46">
        <v>0.19629717592561047</v>
      </c>
      <c r="Z46">
        <v>1.4811403541335422E-2</v>
      </c>
      <c r="AA46">
        <v>-1.7763568394002505E-15</v>
      </c>
      <c r="AB46">
        <v>0.19629717592561047</v>
      </c>
      <c r="AC46">
        <v>1.4811403541335422E-2</v>
      </c>
      <c r="AD46">
        <v>-1.7763568394002505E-15</v>
      </c>
      <c r="AE46">
        <v>0.19629717592561047</v>
      </c>
      <c r="AF46">
        <v>1.4811403541335422E-2</v>
      </c>
      <c r="AG46">
        <v>-8.8817841970012523E-16</v>
      </c>
      <c r="AH46">
        <v>0.2065700081232551</v>
      </c>
      <c r="AI46">
        <v>1.5591172622605426E-2</v>
      </c>
      <c r="AJ46">
        <v>-8.8817841970012523E-16</v>
      </c>
      <c r="AK46">
        <v>0.2065700081232551</v>
      </c>
      <c r="AL46">
        <v>1.5591172622605426E-2</v>
      </c>
      <c r="AM46">
        <v>-8.8817841970012523E-16</v>
      </c>
      <c r="AN46">
        <v>0.2065700081232551</v>
      </c>
      <c r="AO46">
        <v>1.5591172622605426E-2</v>
      </c>
      <c r="AP46">
        <v>-8.8817841970012523E-16</v>
      </c>
      <c r="AQ46">
        <v>0.16417298962773685</v>
      </c>
      <c r="AR46">
        <v>1.2379704111974116E-2</v>
      </c>
      <c r="AS46">
        <v>-8.8817841970012523E-16</v>
      </c>
      <c r="AT46">
        <v>0.16417298962773685</v>
      </c>
      <c r="AU46">
        <v>1.2379704111974116E-2</v>
      </c>
      <c r="AV46">
        <v>-8.8817841970012523E-16</v>
      </c>
      <c r="AW46">
        <v>0.16417298962773685</v>
      </c>
      <c r="AX46">
        <v>1.2379704111974116E-2</v>
      </c>
      <c r="AY46">
        <v>-1.7763568394002505E-15</v>
      </c>
      <c r="AZ46">
        <v>0.23242918984357264</v>
      </c>
      <c r="BA46">
        <v>1.7548368541294879E-2</v>
      </c>
      <c r="BB46">
        <v>-1.7763568394002505E-15</v>
      </c>
      <c r="BC46">
        <v>0.23242918984357264</v>
      </c>
      <c r="BD46">
        <v>1.7548368541294879E-2</v>
      </c>
      <c r="BE46">
        <v>-1.7763568394002505E-15</v>
      </c>
      <c r="BF46">
        <v>0.23242918984357264</v>
      </c>
      <c r="BG46">
        <v>1.7548368541294879E-2</v>
      </c>
      <c r="BH46">
        <v>-1.7763568394002505E-15</v>
      </c>
      <c r="BI46">
        <v>0.14749752945520189</v>
      </c>
      <c r="BJ46">
        <v>1.1114951915004945E-2</v>
      </c>
      <c r="BK46">
        <v>-1.7763568394002505E-15</v>
      </c>
      <c r="BL46">
        <v>0.14749752945520189</v>
      </c>
      <c r="BM46">
        <v>1.1114951915004945E-2</v>
      </c>
      <c r="BN46">
        <v>-1.7763568394002505E-15</v>
      </c>
      <c r="BO46">
        <v>0.14749752945520189</v>
      </c>
      <c r="BP46">
        <v>1.1114951915004945E-2</v>
      </c>
      <c r="BQ46">
        <v>-1.7763568394002505E-15</v>
      </c>
      <c r="BR46">
        <v>0.19629717592561047</v>
      </c>
      <c r="BS46">
        <v>1.4811403541335422E-2</v>
      </c>
      <c r="BT46">
        <v>-1.7763568394002505E-15</v>
      </c>
      <c r="BU46">
        <v>0.19629717592561047</v>
      </c>
      <c r="BV46">
        <v>1.4811403541335422E-2</v>
      </c>
      <c r="BW46">
        <v>4.4408920985006262E-16</v>
      </c>
      <c r="BX46">
        <v>0.15415959690510395</v>
      </c>
      <c r="BY46">
        <v>1.1635212259405836E-2</v>
      </c>
      <c r="BZ46">
        <v>4.4408920985006262E-16</v>
      </c>
      <c r="CA46">
        <v>6.9365559914067454E-2</v>
      </c>
      <c r="CB46">
        <v>5.2122752381574267E-3</v>
      </c>
      <c r="CC46">
        <v>0</v>
      </c>
      <c r="CD46">
        <v>0.11816520638447736</v>
      </c>
      <c r="CE46">
        <v>8.908726864485926E-3</v>
      </c>
      <c r="CF46">
        <v>0</v>
      </c>
      <c r="CG46">
        <v>0.11816520638447736</v>
      </c>
      <c r="CH46">
        <v>8.908726864485926E-3</v>
      </c>
      <c r="CI46">
        <f t="shared" si="0"/>
        <v>0.23242918984357264</v>
      </c>
      <c r="CJ46">
        <f t="shared" si="1"/>
        <v>6.9365559914067454E-2</v>
      </c>
      <c r="CK46">
        <f t="shared" si="2"/>
        <v>1.7548368541294879E-2</v>
      </c>
      <c r="CL46">
        <f t="shared" si="3"/>
        <v>5.2122752381574267E-3</v>
      </c>
    </row>
    <row r="47" spans="1:90" x14ac:dyDescent="0.25">
      <c r="A47" t="str">
        <f>Unit_Width_Strip_Foundation!A148</f>
        <v>LL Surcharge</v>
      </c>
      <c r="B47">
        <f>Unit_Width_Strip_Foundation!D148*-1</f>
        <v>0.50138888888888888</v>
      </c>
      <c r="C47">
        <v>0</v>
      </c>
      <c r="D47">
        <f>Unit_Width_Strip_Foundation!$F$10+(Unit_Width_Strip_Foundation!$B$3/24)</f>
        <v>3.3333333333333335</v>
      </c>
      <c r="E47">
        <v>0</v>
      </c>
      <c r="F47" t="s">
        <v>170</v>
      </c>
      <c r="G47" t="str">
        <f>Unit_Width_Strip_Foundation!E148</f>
        <v>LL</v>
      </c>
      <c r="K47">
        <f t="shared" si="6"/>
        <v>5.0916666666666694</v>
      </c>
      <c r="L47" cm="1">
        <f t="array" ref="L47:CH47">LRFD_Analysis(Unit_Width_Strip_Foundation!$B$12,K47,$B$3:$G$57,LOAD_COMBOS!$O$30:$AA$54)</f>
        <v>0</v>
      </c>
      <c r="M47">
        <v>3.7531903289582225E-2</v>
      </c>
      <c r="N47">
        <v>1.4063118642402006E-3</v>
      </c>
      <c r="O47">
        <v>-8.8817841970012523E-16</v>
      </c>
      <c r="P47">
        <v>0.1076277613037453</v>
      </c>
      <c r="Q47">
        <v>4.0483207235443297E-3</v>
      </c>
      <c r="R47">
        <v>-8.8817841970012523E-16</v>
      </c>
      <c r="S47">
        <v>0.1076277613037453</v>
      </c>
      <c r="T47">
        <v>4.0483207235443297E-3</v>
      </c>
      <c r="U47">
        <v>-8.8817841970012523E-16</v>
      </c>
      <c r="V47">
        <v>0.1076277613037453</v>
      </c>
      <c r="W47">
        <v>4.0483207235443297E-3</v>
      </c>
      <c r="X47">
        <v>-1.7763568394002505E-15</v>
      </c>
      <c r="Y47">
        <v>9.9039741431972139E-2</v>
      </c>
      <c r="Z47">
        <v>3.7251297220653456E-3</v>
      </c>
      <c r="AA47">
        <v>-1.7763568394002505E-15</v>
      </c>
      <c r="AB47">
        <v>9.9039741431972139E-2</v>
      </c>
      <c r="AC47">
        <v>3.7251297220653456E-3</v>
      </c>
      <c r="AD47">
        <v>-1.7763568394002505E-15</v>
      </c>
      <c r="AE47">
        <v>9.9039741431972139E-2</v>
      </c>
      <c r="AF47">
        <v>3.7251297220653456E-3</v>
      </c>
      <c r="AG47">
        <v>-8.8817841970012523E-16</v>
      </c>
      <c r="AH47">
        <v>0.10426922419522278</v>
      </c>
      <c r="AI47">
        <v>3.9223986589919935E-3</v>
      </c>
      <c r="AJ47">
        <v>-8.8817841970012523E-16</v>
      </c>
      <c r="AK47">
        <v>0.10426922419522278</v>
      </c>
      <c r="AL47">
        <v>3.9223986589919935E-3</v>
      </c>
      <c r="AM47">
        <v>-8.8817841970012523E-16</v>
      </c>
      <c r="AN47">
        <v>0.10426922419522278</v>
      </c>
      <c r="AO47">
        <v>3.9223986589919935E-3</v>
      </c>
      <c r="AP47">
        <v>-8.8817841970012523E-16</v>
      </c>
      <c r="AQ47">
        <v>8.2753793712862844E-2</v>
      </c>
      <c r="AR47">
        <v>3.1116085004673499E-3</v>
      </c>
      <c r="AS47">
        <v>-8.8817841970012523E-16</v>
      </c>
      <c r="AT47">
        <v>8.2753793712862844E-2</v>
      </c>
      <c r="AU47">
        <v>3.1116085004673499E-3</v>
      </c>
      <c r="AV47">
        <v>-8.8817841970012523E-16</v>
      </c>
      <c r="AW47">
        <v>8.2753793712862844E-2</v>
      </c>
      <c r="AX47">
        <v>3.1116085004673499E-3</v>
      </c>
      <c r="AY47">
        <v>-1.7763568394002505E-15</v>
      </c>
      <c r="AZ47">
        <v>0.11737638795203154</v>
      </c>
      <c r="BA47">
        <v>4.4161369610779544E-3</v>
      </c>
      <c r="BB47">
        <v>-1.7763568394002505E-15</v>
      </c>
      <c r="BC47">
        <v>0.11737638795203154</v>
      </c>
      <c r="BD47">
        <v>4.4161369610779544E-3</v>
      </c>
      <c r="BE47">
        <v>-1.7763568394002505E-15</v>
      </c>
      <c r="BF47">
        <v>0.11737638795203154</v>
      </c>
      <c r="BG47">
        <v>4.4161369610779544E-3</v>
      </c>
      <c r="BH47">
        <v>-1.7763568394002505E-15</v>
      </c>
      <c r="BI47">
        <v>7.4275136786273954E-2</v>
      </c>
      <c r="BJ47">
        <v>2.7918972802186137E-3</v>
      </c>
      <c r="BK47">
        <v>-1.7763568394002505E-15</v>
      </c>
      <c r="BL47">
        <v>7.4275136786273954E-2</v>
      </c>
      <c r="BM47">
        <v>2.7918972802186137E-3</v>
      </c>
      <c r="BN47">
        <v>-1.7763568394002505E-15</v>
      </c>
      <c r="BO47">
        <v>7.4275136786273954E-2</v>
      </c>
      <c r="BP47">
        <v>2.7918972802186137E-3</v>
      </c>
      <c r="BQ47">
        <v>-1.7763568394002505E-15</v>
      </c>
      <c r="BR47">
        <v>9.9039741431972139E-2</v>
      </c>
      <c r="BS47">
        <v>3.7251297220653456E-3</v>
      </c>
      <c r="BT47">
        <v>-1.7763568394002505E-15</v>
      </c>
      <c r="BU47">
        <v>9.9039741431972139E-2</v>
      </c>
      <c r="BV47">
        <v>3.7251297220653456E-3</v>
      </c>
      <c r="BW47">
        <v>4.4408920985006262E-16</v>
      </c>
      <c r="BX47">
        <v>7.7812223367793365E-2</v>
      </c>
      <c r="BY47">
        <v>2.92711368773374E-3</v>
      </c>
      <c r="BZ47">
        <v>4.4408920985006262E-16</v>
      </c>
      <c r="CA47">
        <v>3.4781362403073945E-2</v>
      </c>
      <c r="CB47">
        <v>1.3055333706880057E-3</v>
      </c>
      <c r="CC47">
        <v>0</v>
      </c>
      <c r="CD47">
        <v>5.9545967048771686E-2</v>
      </c>
      <c r="CE47">
        <v>2.23876581253276E-3</v>
      </c>
      <c r="CF47">
        <v>0</v>
      </c>
      <c r="CG47">
        <v>5.9545967048771686E-2</v>
      </c>
      <c r="CH47">
        <v>2.23876581253276E-3</v>
      </c>
      <c r="CI47">
        <f t="shared" si="0"/>
        <v>0.11737638795203154</v>
      </c>
      <c r="CJ47">
        <f t="shared" si="1"/>
        <v>3.4781362403073945E-2</v>
      </c>
      <c r="CK47">
        <f t="shared" si="2"/>
        <v>4.4161369610779544E-3</v>
      </c>
      <c r="CL47">
        <f t="shared" si="3"/>
        <v>1.3055333706880057E-3</v>
      </c>
    </row>
    <row r="48" spans="1:90" x14ac:dyDescent="0.25">
      <c r="A48" t="str">
        <f>Unit_Width_Strip_Foundation!A149</f>
        <v>1H</v>
      </c>
      <c r="B48">
        <f>Unit_Width_Strip_Foundation!D149*-1</f>
        <v>0.8862000000000001</v>
      </c>
      <c r="C48">
        <v>0</v>
      </c>
      <c r="D48">
        <f>Unit_Width_Strip_Foundation!$F$10+(Unit_Width_Strip_Foundation!$B$3/24)</f>
        <v>3.3333333333333335</v>
      </c>
      <c r="E48">
        <v>0</v>
      </c>
      <c r="F48" t="s">
        <v>170</v>
      </c>
      <c r="G48" t="str">
        <f>Unit_Width_Strip_Foundation!E149</f>
        <v>W1</v>
      </c>
      <c r="K48">
        <f t="shared" si="6"/>
        <v>5.1666666666666696</v>
      </c>
      <c r="L48" cm="1">
        <f t="array" ref="L48">LRFD_Analysis(Unit_Width_Strip_Foundation!$B$12,K48,$B$3:$G$57,LOAD_COMBOS!$O$30:$AA$54)</f>
        <v>0</v>
      </c>
      <c r="CI48">
        <f t="shared" si="0"/>
        <v>0</v>
      </c>
      <c r="CJ48">
        <f t="shared" si="1"/>
        <v>0</v>
      </c>
      <c r="CK48">
        <f t="shared" si="2"/>
        <v>0</v>
      </c>
      <c r="CL48">
        <f t="shared" si="3"/>
        <v>0</v>
      </c>
    </row>
    <row r="49" spans="1:7" x14ac:dyDescent="0.25">
      <c r="A49" t="str">
        <f>Unit_Width_Strip_Foundation!A150</f>
        <v>2H</v>
      </c>
      <c r="B49">
        <f>Unit_Width_Strip_Foundation!D150*-1</f>
        <v>-1.2027000000000001</v>
      </c>
      <c r="C49">
        <v>0</v>
      </c>
      <c r="D49">
        <f>Unit_Width_Strip_Foundation!$F$10+(Unit_Width_Strip_Foundation!$B$3/24)</f>
        <v>3.3333333333333335</v>
      </c>
      <c r="E49">
        <v>0</v>
      </c>
      <c r="F49" t="s">
        <v>170</v>
      </c>
      <c r="G49" t="str">
        <f>Unit_Width_Strip_Foundation!E150</f>
        <v>W2</v>
      </c>
    </row>
    <row r="50" spans="1:7" x14ac:dyDescent="0.25">
      <c r="A50" t="str">
        <f>Unit_Width_Strip_Foundation!A151</f>
        <v>3H</v>
      </c>
      <c r="B50">
        <f>Unit_Width_Strip_Foundation!D151*-1</f>
        <v>0</v>
      </c>
      <c r="C50">
        <v>0</v>
      </c>
      <c r="D50">
        <f>Unit_Width_Strip_Foundation!$F$10+(Unit_Width_Strip_Foundation!$B$3/24)</f>
        <v>3.3333333333333335</v>
      </c>
      <c r="E50">
        <v>0</v>
      </c>
      <c r="F50" t="s">
        <v>170</v>
      </c>
      <c r="G50" t="str">
        <f>Unit_Width_Strip_Foundation!E151</f>
        <v>DL</v>
      </c>
    </row>
    <row r="51" spans="1:7" x14ac:dyDescent="0.25">
      <c r="A51" t="str">
        <f>Unit_Width_Strip_Foundation!A152</f>
        <v>4H</v>
      </c>
      <c r="B51">
        <f>Unit_Width_Strip_Foundation!D152*-1</f>
        <v>0</v>
      </c>
      <c r="C51">
        <v>0</v>
      </c>
      <c r="D51">
        <f>Unit_Width_Strip_Foundation!$F$10+(Unit_Width_Strip_Foundation!$B$3/24)</f>
        <v>3.3333333333333335</v>
      </c>
      <c r="E51">
        <v>0</v>
      </c>
      <c r="F51" t="s">
        <v>170</v>
      </c>
      <c r="G51" t="str">
        <f>Unit_Width_Strip_Foundation!E152</f>
        <v>LL</v>
      </c>
    </row>
    <row r="52" spans="1:7" x14ac:dyDescent="0.25">
      <c r="A52" t="str">
        <f>Unit_Width_Strip_Foundation!A153</f>
        <v>5H</v>
      </c>
      <c r="B52">
        <f>Unit_Width_Strip_Foundation!D153*-1</f>
        <v>0</v>
      </c>
      <c r="C52">
        <v>0</v>
      </c>
      <c r="D52">
        <f>Unit_Width_Strip_Foundation!$F$10+(Unit_Width_Strip_Foundation!$B$3/24)</f>
        <v>3.3333333333333335</v>
      </c>
      <c r="E52">
        <v>0</v>
      </c>
      <c r="F52" t="s">
        <v>170</v>
      </c>
      <c r="G52" t="str">
        <f>Unit_Width_Strip_Foundation!E153</f>
        <v>DL</v>
      </c>
    </row>
    <row r="53" spans="1:7" x14ac:dyDescent="0.25">
      <c r="A53" t="str">
        <f>Unit_Width_Strip_Foundation!A154</f>
        <v>6H</v>
      </c>
      <c r="B53">
        <f>Unit_Width_Strip_Foundation!D154*-1</f>
        <v>0</v>
      </c>
      <c r="C53">
        <v>0</v>
      </c>
      <c r="D53">
        <f>Unit_Width_Strip_Foundation!$F$10+(Unit_Width_Strip_Foundation!$B$3/24)</f>
        <v>3.3333333333333335</v>
      </c>
      <c r="E53">
        <v>0</v>
      </c>
      <c r="F53" t="s">
        <v>170</v>
      </c>
      <c r="G53" t="str">
        <f>Unit_Width_Strip_Foundation!E154</f>
        <v>DL</v>
      </c>
    </row>
    <row r="54" spans="1:7" x14ac:dyDescent="0.25">
      <c r="A54" t="str">
        <f>Unit_Width_Strip_Foundation!A155</f>
        <v>7H</v>
      </c>
      <c r="B54">
        <f>Unit_Width_Strip_Foundation!D155*-1</f>
        <v>0</v>
      </c>
      <c r="C54">
        <v>0</v>
      </c>
      <c r="D54">
        <f>Unit_Width_Strip_Foundation!$F$10+(Unit_Width_Strip_Foundation!$B$3/24)</f>
        <v>3.3333333333333335</v>
      </c>
      <c r="E54">
        <v>0</v>
      </c>
      <c r="F54" t="s">
        <v>170</v>
      </c>
      <c r="G54" t="str">
        <f>Unit_Width_Strip_Foundation!E155</f>
        <v>DL</v>
      </c>
    </row>
    <row r="55" spans="1:7" x14ac:dyDescent="0.25">
      <c r="A55" t="str">
        <f>Unit_Width_Strip_Foundation!A156</f>
        <v>8H</v>
      </c>
      <c r="B55">
        <f>Unit_Width_Strip_Foundation!D156*-1</f>
        <v>0</v>
      </c>
      <c r="C55">
        <v>0</v>
      </c>
      <c r="D55">
        <f>Unit_Width_Strip_Foundation!$F$10+(Unit_Width_Strip_Foundation!$B$3/24)</f>
        <v>3.3333333333333335</v>
      </c>
      <c r="E55">
        <v>0</v>
      </c>
      <c r="F55" t="s">
        <v>170</v>
      </c>
      <c r="G55" t="str">
        <f>Unit_Width_Strip_Foundation!E156</f>
        <v>DL</v>
      </c>
    </row>
    <row r="56" spans="1:7" x14ac:dyDescent="0.25">
      <c r="A56" t="str">
        <f>Unit_Width_Strip_Foundation!A157</f>
        <v>9H</v>
      </c>
      <c r="B56">
        <f>Unit_Width_Strip_Foundation!D157*-1</f>
        <v>0.21333333333333332</v>
      </c>
      <c r="C56">
        <v>0</v>
      </c>
      <c r="D56">
        <f>Unit_Width_Strip_Foundation!$F$10+(Unit_Width_Strip_Foundation!$B$3/24)</f>
        <v>3.3333333333333335</v>
      </c>
      <c r="E56">
        <v>0</v>
      </c>
      <c r="F56" t="s">
        <v>170</v>
      </c>
      <c r="G56" t="str">
        <f>Unit_Width_Strip_Foundation!E157</f>
        <v>W1</v>
      </c>
    </row>
    <row r="57" spans="1:7" x14ac:dyDescent="0.25">
      <c r="A57" t="str">
        <f>Unit_Width_Strip_Foundation!A158</f>
        <v>10H</v>
      </c>
      <c r="B57">
        <f>Unit_Width_Strip_Foundation!D158*-1</f>
        <v>-0.28799999999999998</v>
      </c>
      <c r="C57">
        <v>0</v>
      </c>
      <c r="D57">
        <f>Unit_Width_Strip_Foundation!$F$10+(Unit_Width_Strip_Foundation!$B$3/24)</f>
        <v>3.3333333333333335</v>
      </c>
      <c r="E57">
        <v>0</v>
      </c>
      <c r="F57" t="s">
        <v>170</v>
      </c>
      <c r="G57" t="str">
        <f>Unit_Width_Strip_Foundation!E158</f>
        <v>W2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FD8F3-55F0-42A9-AADE-CF6E1D76B2EF}">
  <sheetPr codeName="Sheet3"/>
  <dimension ref="A1:A13"/>
  <sheetViews>
    <sheetView workbookViewId="0">
      <selection activeCell="J22" sqref="J22"/>
    </sheetView>
  </sheetViews>
  <sheetFormatPr defaultRowHeight="15" x14ac:dyDescent="0.25"/>
  <sheetData>
    <row r="1" spans="1:1" x14ac:dyDescent="0.25">
      <c r="A1" t="s">
        <v>38</v>
      </c>
    </row>
    <row r="2" spans="1:1" x14ac:dyDescent="0.25">
      <c r="A2" s="2" t="s">
        <v>0</v>
      </c>
    </row>
    <row r="3" spans="1:1" x14ac:dyDescent="0.25">
      <c r="A3" s="2" t="s">
        <v>39</v>
      </c>
    </row>
    <row r="4" spans="1:1" x14ac:dyDescent="0.25">
      <c r="A4" s="2" t="s">
        <v>29</v>
      </c>
    </row>
    <row r="5" spans="1:1" x14ac:dyDescent="0.25">
      <c r="A5" s="2" t="s">
        <v>40</v>
      </c>
    </row>
    <row r="6" spans="1:1" x14ac:dyDescent="0.25">
      <c r="A6" s="2" t="s">
        <v>92</v>
      </c>
    </row>
    <row r="7" spans="1:1" x14ac:dyDescent="0.25">
      <c r="A7" s="2" t="s">
        <v>41</v>
      </c>
    </row>
    <row r="8" spans="1:1" x14ac:dyDescent="0.25">
      <c r="A8" s="2" t="s">
        <v>42</v>
      </c>
    </row>
    <row r="9" spans="1:1" x14ac:dyDescent="0.25">
      <c r="A9" s="2" t="s">
        <v>43</v>
      </c>
    </row>
    <row r="10" spans="1:1" x14ac:dyDescent="0.25">
      <c r="A10" s="1" t="s">
        <v>44</v>
      </c>
    </row>
    <row r="11" spans="1:1" x14ac:dyDescent="0.25">
      <c r="A11" s="1" t="s">
        <v>45</v>
      </c>
    </row>
    <row r="12" spans="1:1" x14ac:dyDescent="0.25">
      <c r="A12" s="1" t="s">
        <v>46</v>
      </c>
    </row>
    <row r="13" spans="1:1" x14ac:dyDescent="0.25">
      <c r="A13" s="1" t="s">
        <v>47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DA1A3-DED5-4E3D-B7D3-566609C08375}">
  <sheetPr codeName="Sheet5"/>
  <dimension ref="A2:U41"/>
  <sheetViews>
    <sheetView topLeftCell="A13" workbookViewId="0">
      <selection activeCell="G32" sqref="G32"/>
    </sheetView>
  </sheetViews>
  <sheetFormatPr defaultRowHeight="15" x14ac:dyDescent="0.25"/>
  <sheetData>
    <row r="2" spans="1:14" x14ac:dyDescent="0.25">
      <c r="A2" s="20" t="s">
        <v>179</v>
      </c>
    </row>
    <row r="3" spans="1:14" x14ac:dyDescent="0.25">
      <c r="A3" t="s">
        <v>180</v>
      </c>
    </row>
    <row r="5" spans="1:14" x14ac:dyDescent="0.25">
      <c r="A5" t="s">
        <v>86</v>
      </c>
      <c r="D5" t="s">
        <v>5</v>
      </c>
      <c r="G5" t="s">
        <v>181</v>
      </c>
      <c r="J5" t="s">
        <v>182</v>
      </c>
      <c r="M5" t="s">
        <v>183</v>
      </c>
    </row>
    <row r="6" spans="1:14" x14ac:dyDescent="0.25">
      <c r="A6" t="s">
        <v>73</v>
      </c>
      <c r="B6" t="s">
        <v>72</v>
      </c>
      <c r="D6" t="s">
        <v>73</v>
      </c>
      <c r="E6" t="s">
        <v>72</v>
      </c>
      <c r="G6" t="s">
        <v>73</v>
      </c>
      <c r="H6" t="s">
        <v>72</v>
      </c>
      <c r="J6" t="s">
        <v>73</v>
      </c>
      <c r="K6" t="s">
        <v>72</v>
      </c>
      <c r="M6" t="s">
        <v>73</v>
      </c>
      <c r="N6" t="s">
        <v>72</v>
      </c>
    </row>
    <row r="7" spans="1:14" x14ac:dyDescent="0.25">
      <c r="A7">
        <v>0</v>
      </c>
      <c r="B7">
        <v>0</v>
      </c>
      <c r="D7">
        <f>Unit_Width_Strip_Foundation!F10</f>
        <v>3</v>
      </c>
      <c r="E7">
        <f>Unit_Width_Strip_Foundation!B9/12</f>
        <v>1.3333333333333333</v>
      </c>
      <c r="G7">
        <v>0</v>
      </c>
      <c r="H7">
        <f>Unit_Width_Strip_Foundation!B9/12</f>
        <v>1.3333333333333333</v>
      </c>
      <c r="J7">
        <f>Unit_Width_Strip_Foundation!B12</f>
        <v>5.166666666666667</v>
      </c>
      <c r="K7">
        <v>0</v>
      </c>
      <c r="M7">
        <f>Unit_Width_Strip_Foundation!B12-Unit_Width_Strip_Foundation!F11</f>
        <v>3.666666666666667</v>
      </c>
      <c r="N7" s="26">
        <f>Unit_Width_Strip_Foundation!F36+(Unit_Width_Strip_Foundation!B9/12)</f>
        <v>4.333333333333333</v>
      </c>
    </row>
    <row r="8" spans="1:14" x14ac:dyDescent="0.25">
      <c r="A8">
        <f>Unit_Width_Strip_Foundation!B12</f>
        <v>5.166666666666667</v>
      </c>
      <c r="B8">
        <v>0</v>
      </c>
      <c r="D8">
        <f>D7+(Unit_Width_Strip_Foundation!B3/12)</f>
        <v>3.6666666666666665</v>
      </c>
      <c r="E8">
        <f>E7</f>
        <v>1.3333333333333333</v>
      </c>
      <c r="G8">
        <f>Unit_Width_Strip_Foundation!F10</f>
        <v>3</v>
      </c>
      <c r="H8">
        <f>H7</f>
        <v>1.3333333333333333</v>
      </c>
      <c r="J8">
        <f>J7+1</f>
        <v>6.166666666666667</v>
      </c>
      <c r="K8">
        <v>0</v>
      </c>
      <c r="M8">
        <f>J8</f>
        <v>6.166666666666667</v>
      </c>
      <c r="N8" s="26">
        <f>N7</f>
        <v>4.333333333333333</v>
      </c>
    </row>
    <row r="9" spans="1:14" x14ac:dyDescent="0.25">
      <c r="A9">
        <f>A8</f>
        <v>5.166666666666667</v>
      </c>
      <c r="B9">
        <f>Unit_Width_Strip_Foundation!B9/12</f>
        <v>1.3333333333333333</v>
      </c>
      <c r="D9">
        <f>D8</f>
        <v>3.6666666666666665</v>
      </c>
      <c r="E9" s="26">
        <f>E8+(Unit_Width_Strip_Foundation!F4)</f>
        <v>6.333333333333333</v>
      </c>
      <c r="G9">
        <f>G8</f>
        <v>3</v>
      </c>
      <c r="H9" s="26">
        <f>H8+Unit_Width_Strip_Foundation!F21</f>
        <v>6.333333333333333</v>
      </c>
      <c r="J9">
        <f>J8</f>
        <v>6.166666666666667</v>
      </c>
      <c r="K9">
        <f>Unit_Width_Strip_Foundation!B38</f>
        <v>3.333333333333333</v>
      </c>
      <c r="M9">
        <f>M8</f>
        <v>6.166666666666667</v>
      </c>
      <c r="N9" s="26">
        <f>Unit_Width_Strip_Foundation!B38</f>
        <v>3.333333333333333</v>
      </c>
    </row>
    <row r="10" spans="1:14" x14ac:dyDescent="0.25">
      <c r="A10">
        <v>0</v>
      </c>
      <c r="B10">
        <f>B9</f>
        <v>1.3333333333333333</v>
      </c>
      <c r="D10">
        <f>D7</f>
        <v>3</v>
      </c>
      <c r="E10">
        <f>E9</f>
        <v>6.333333333333333</v>
      </c>
      <c r="G10">
        <v>0</v>
      </c>
      <c r="H10">
        <f>H9</f>
        <v>6.333333333333333</v>
      </c>
      <c r="J10">
        <f>IF(K9&lt;=(Unit_Width_Strip_Foundation!B9/12),PLOT_DATA!J7,J9-1-Unit_Width_Strip_Foundation!F11)</f>
        <v>3.666666666666667</v>
      </c>
      <c r="K10">
        <f>K9</f>
        <v>3.333333333333333</v>
      </c>
      <c r="M10">
        <f>J7</f>
        <v>5.166666666666667</v>
      </c>
      <c r="N10" s="26">
        <f>N9</f>
        <v>3.333333333333333</v>
      </c>
    </row>
    <row r="11" spans="1:14" x14ac:dyDescent="0.25">
      <c r="A11">
        <v>0</v>
      </c>
      <c r="B11">
        <v>0</v>
      </c>
      <c r="D11">
        <f>D10</f>
        <v>3</v>
      </c>
      <c r="E11">
        <f>E7</f>
        <v>1.3333333333333333</v>
      </c>
      <c r="G11">
        <v>0</v>
      </c>
      <c r="H11">
        <f>H7</f>
        <v>1.3333333333333333</v>
      </c>
      <c r="J11">
        <f>J10</f>
        <v>3.666666666666667</v>
      </c>
      <c r="K11">
        <f>IF(K9&lt;=Unit_Width_Strip_Foundation!B9/12,K9,Unit_Width_Strip_Foundation!B9/12)</f>
        <v>1.3333333333333333</v>
      </c>
      <c r="M11">
        <f>M10</f>
        <v>5.166666666666667</v>
      </c>
      <c r="N11">
        <f>IF(Unit_Width_Strip_Foundation!B38&lt;=Unit_Width_Strip_Foundation!B9/12,(Unit_Width_Strip_Foundation!B9/12),Unit_Width_Strip_Foundation!B38)</f>
        <v>3.333333333333333</v>
      </c>
    </row>
    <row r="12" spans="1:14" x14ac:dyDescent="0.25">
      <c r="J12">
        <f>J7</f>
        <v>5.166666666666667</v>
      </c>
      <c r="K12">
        <f>K11</f>
        <v>1.3333333333333333</v>
      </c>
      <c r="M12">
        <f>M7</f>
        <v>3.666666666666667</v>
      </c>
      <c r="N12">
        <f>N11</f>
        <v>3.333333333333333</v>
      </c>
    </row>
    <row r="13" spans="1:14" x14ac:dyDescent="0.25">
      <c r="J13">
        <f>J12</f>
        <v>5.166666666666667</v>
      </c>
      <c r="K13">
        <v>0</v>
      </c>
      <c r="M13">
        <f>M7</f>
        <v>3.666666666666667</v>
      </c>
      <c r="N13" s="26">
        <f>N7</f>
        <v>4.333333333333333</v>
      </c>
    </row>
    <row r="16" spans="1:14" x14ac:dyDescent="0.25">
      <c r="A16" t="s">
        <v>144</v>
      </c>
    </row>
    <row r="18" spans="1:21" x14ac:dyDescent="0.25">
      <c r="A18" t="s">
        <v>194</v>
      </c>
      <c r="B18" s="1" t="str">
        <f ca="1">OFFSET(Unit_Width_Strip_Foundation!A356,MATCH(MAX(Unit_Width_Strip_Foundation!F357:F380),Unit_Width_Strip_Foundation!F357:F380,0),0)</f>
        <v>16-13W1_Lr</v>
      </c>
      <c r="E18" t="str">
        <f ca="1">"Q,max: "&amp;ROUND(ABS(MIN(C22:C23)),2)&amp;" psf - Combo: "&amp;B18</f>
        <v>Q,max: 1529.28 psf - Combo: 16-13W1_Lr</v>
      </c>
    </row>
    <row r="19" spans="1:21" x14ac:dyDescent="0.25">
      <c r="E19" t="s">
        <v>76</v>
      </c>
      <c r="H19" t="s">
        <v>78</v>
      </c>
      <c r="K19" t="s">
        <v>199</v>
      </c>
      <c r="N19" t="s">
        <v>258</v>
      </c>
      <c r="Q19" t="s">
        <v>260</v>
      </c>
      <c r="T19" t="s">
        <v>259</v>
      </c>
    </row>
    <row r="20" spans="1:21" x14ac:dyDescent="0.25">
      <c r="B20" s="1" t="s">
        <v>73</v>
      </c>
      <c r="C20" s="1" t="s">
        <v>72</v>
      </c>
      <c r="E20" t="s">
        <v>73</v>
      </c>
      <c r="F20" t="s">
        <v>72</v>
      </c>
      <c r="H20" t="s">
        <v>73</v>
      </c>
      <c r="I20" t="s">
        <v>72</v>
      </c>
      <c r="K20" t="s">
        <v>73</v>
      </c>
      <c r="L20" t="s">
        <v>72</v>
      </c>
      <c r="N20" t="s">
        <v>73</v>
      </c>
      <c r="O20" t="s">
        <v>72</v>
      </c>
      <c r="Q20" t="s">
        <v>73</v>
      </c>
      <c r="R20" t="s">
        <v>72</v>
      </c>
      <c r="T20" t="s">
        <v>73</v>
      </c>
      <c r="U20" t="s">
        <v>72</v>
      </c>
    </row>
    <row r="21" spans="1:21" x14ac:dyDescent="0.25">
      <c r="B21">
        <f ca="1">OFFSET(Unit_Width_Strip_Foundation!$A$356,MATCH(PLOT_DATA!B18,Unit_Width_Strip_Foundation!$A$357:$A$380,0),2)</f>
        <v>0</v>
      </c>
      <c r="C21">
        <v>0</v>
      </c>
      <c r="E21">
        <f ca="1">OFFSET(Unit_Width_Strip_Foundation!$A$314,MATCH(PLOT_DATA!B18,Unit_Width_Strip_Foundation!$A$315:$A$338,0),7)</f>
        <v>3.2512794251271062</v>
      </c>
      <c r="F21">
        <v>0</v>
      </c>
      <c r="H21">
        <v>0</v>
      </c>
      <c r="I21">
        <v>0</v>
      </c>
      <c r="K21">
        <v>0</v>
      </c>
      <c r="L21">
        <f>-1000*Unit_Width_Strip_Foundation!B52</f>
        <v>-3000</v>
      </c>
      <c r="N21">
        <f>Unit_Width_Strip_Foundation!$B$12/2</f>
        <v>2.5833333333333335</v>
      </c>
      <c r="O21">
        <f>L21</f>
        <v>-3000</v>
      </c>
      <c r="Q21">
        <f>N21+Unit_Width_Strip_Foundation!$F$313</f>
        <v>3.4444444444444446</v>
      </c>
      <c r="R21">
        <f>O21</f>
        <v>-3000</v>
      </c>
      <c r="T21">
        <f>N21-Unit_Width_Strip_Foundation!$F$313</f>
        <v>1.7222222222222223</v>
      </c>
      <c r="U21">
        <f>R21</f>
        <v>-3000</v>
      </c>
    </row>
    <row r="22" spans="1:21" x14ac:dyDescent="0.25">
      <c r="B22">
        <f ca="1">B21</f>
        <v>0</v>
      </c>
      <c r="C22">
        <f ca="1">OFFSET(Unit_Width_Strip_Foundation!$A$356,MATCH(PLOT_DATA!B18,Unit_Width_Strip_Foundation!$A$357:$A$380,0),1)*-1000</f>
        <v>-193.19315990287907</v>
      </c>
      <c r="E22">
        <f ca="1">OFFSET(Unit_Width_Strip_Foundation!$A$314,MATCH(PLOT_DATA!B18,Unit_Width_Strip_Foundation!$A$315:$A$338,0),7)</f>
        <v>3.2512794251271062</v>
      </c>
      <c r="F22">
        <f ca="1">OFFSET(Unit_Width_Strip_Foundation!$A$314,MATCH(PLOT_DATA!B18,Unit_Width_Strip_Foundation!$A$315:$A$338,0),1)</f>
        <v>4.4497222222222224</v>
      </c>
      <c r="H22">
        <f>Unit_Width_Strip_Foundation!B12</f>
        <v>5.166666666666667</v>
      </c>
      <c r="I22">
        <v>0</v>
      </c>
      <c r="K22">
        <f>H22</f>
        <v>5.166666666666667</v>
      </c>
      <c r="L22">
        <f>L21</f>
        <v>-3000</v>
      </c>
      <c r="N22">
        <f>N21</f>
        <v>2.5833333333333335</v>
      </c>
      <c r="O22">
        <f ca="1">100+F22</f>
        <v>104.44972222222222</v>
      </c>
      <c r="Q22">
        <f>Q21</f>
        <v>3.4444444444444446</v>
      </c>
      <c r="R22">
        <f ca="1">O22</f>
        <v>104.44972222222222</v>
      </c>
      <c r="T22">
        <f>T21</f>
        <v>1.7222222222222223</v>
      </c>
      <c r="U22">
        <f ca="1">R22</f>
        <v>104.44972222222222</v>
      </c>
    </row>
    <row r="23" spans="1:21" x14ac:dyDescent="0.25">
      <c r="B23">
        <f ca="1">OFFSET(Unit_Width_Strip_Foundation!$A$356,MATCH(PLOT_DATA!B18,Unit_Width_Strip_Foundation!$A$357:$A$380,0),4)</f>
        <v>5.166666666666667</v>
      </c>
      <c r="C23">
        <f ca="1">OFFSET(Unit_Width_Strip_Foundation!$A$356,MATCH(PLOT_DATA!B18,Unit_Width_Strip_Foundation!$A$357:$A$380,0),3)*-1000</f>
        <v>-1529.2799583766907</v>
      </c>
    </row>
    <row r="24" spans="1:21" x14ac:dyDescent="0.25">
      <c r="B24">
        <f ca="1">B23</f>
        <v>5.166666666666667</v>
      </c>
      <c r="C24">
        <f>0</f>
        <v>0</v>
      </c>
    </row>
    <row r="26" spans="1:21" x14ac:dyDescent="0.25">
      <c r="A26" t="s">
        <v>249</v>
      </c>
      <c r="B26" t="str">
        <f>Unit_Width_Strip_Foundation!M60</f>
        <v>16-9</v>
      </c>
      <c r="E26" t="str">
        <f ca="1">"Q,asd: "&amp;ROUND(ABS(MIN(C30:C31)),2)&amp;" psf - Combo: "&amp;B26</f>
        <v>Q,asd: 1444.37 psf - Combo: 16-9</v>
      </c>
    </row>
    <row r="27" spans="1:21" x14ac:dyDescent="0.25">
      <c r="E27" t="s">
        <v>76</v>
      </c>
      <c r="N27" t="s">
        <v>258</v>
      </c>
      <c r="Q27" t="s">
        <v>260</v>
      </c>
      <c r="T27" t="s">
        <v>259</v>
      </c>
    </row>
    <row r="28" spans="1:21" x14ac:dyDescent="0.25">
      <c r="B28" s="1" t="s">
        <v>73</v>
      </c>
      <c r="C28" s="1" t="s">
        <v>72</v>
      </c>
      <c r="E28" t="s">
        <v>73</v>
      </c>
      <c r="F28" t="s">
        <v>72</v>
      </c>
      <c r="N28" t="s">
        <v>73</v>
      </c>
      <c r="O28" t="s">
        <v>72</v>
      </c>
      <c r="Q28" t="s">
        <v>73</v>
      </c>
      <c r="R28" t="s">
        <v>72</v>
      </c>
      <c r="T28" t="s">
        <v>73</v>
      </c>
      <c r="U28" t="s">
        <v>72</v>
      </c>
    </row>
    <row r="29" spans="1:21" x14ac:dyDescent="0.25">
      <c r="B29">
        <f ca="1">OFFSET(Unit_Width_Strip_Foundation!$A$356,MATCH(PLOT_DATA!B26,Unit_Width_Strip_Foundation!$A$357:$A$380,0),2)</f>
        <v>0</v>
      </c>
      <c r="C29">
        <v>0</v>
      </c>
      <c r="E29">
        <f ca="1">OFFSET(Unit_Width_Strip_Foundation!$A$314,MATCH(PLOT_DATA!B26,Unit_Width_Strip_Foundation!$A$315:$A$338,0),7)</f>
        <v>3.1543116943859797</v>
      </c>
      <c r="F29">
        <v>0</v>
      </c>
      <c r="N29">
        <f>Unit_Width_Strip_Foundation!$B$12/2</f>
        <v>2.5833333333333335</v>
      </c>
      <c r="O29">
        <f>L21</f>
        <v>-3000</v>
      </c>
      <c r="Q29">
        <f>N29+Unit_Width_Strip_Foundation!$F$313</f>
        <v>3.4444444444444446</v>
      </c>
      <c r="R29">
        <f>O29</f>
        <v>-3000</v>
      </c>
      <c r="T29">
        <f>N29-Unit_Width_Strip_Foundation!$F$313</f>
        <v>1.7222222222222223</v>
      </c>
      <c r="U29">
        <f>R29</f>
        <v>-3000</v>
      </c>
    </row>
    <row r="30" spans="1:21" x14ac:dyDescent="0.25">
      <c r="B30">
        <f ca="1">B29</f>
        <v>0</v>
      </c>
      <c r="C30">
        <f ca="1">OFFSET(Unit_Width_Strip_Foundation!$A$356,MATCH(PLOT_DATA!B26,Unit_Width_Strip_Foundation!$A$357:$A$380,0),1)*-1000</f>
        <v>-292.62046479361766</v>
      </c>
      <c r="E30">
        <f ca="1">OFFSET(Unit_Width_Strip_Foundation!$A$314,MATCH(PLOT_DATA!B26,Unit_Width_Strip_Foundation!$A$315:$A$338,0),7)</f>
        <v>3.1543116943859797</v>
      </c>
      <c r="F30">
        <f ca="1">OFFSET(Unit_Width_Strip_Foundation!$A$314,MATCH(PLOT_DATA!B26,Unit_Width_Strip_Foundation!$A$315:$A$338,0),1)</f>
        <v>4.4872222222222229</v>
      </c>
      <c r="N30">
        <f>N29</f>
        <v>2.5833333333333335</v>
      </c>
      <c r="O30">
        <f ca="1">100+F30</f>
        <v>104.48722222222223</v>
      </c>
      <c r="Q30">
        <f>Q29</f>
        <v>3.4444444444444446</v>
      </c>
      <c r="R30">
        <f ca="1">O30</f>
        <v>104.48722222222223</v>
      </c>
      <c r="T30">
        <f>T29</f>
        <v>1.7222222222222223</v>
      </c>
      <c r="U30">
        <f ca="1">R30</f>
        <v>104.48722222222223</v>
      </c>
    </row>
    <row r="31" spans="1:21" x14ac:dyDescent="0.25">
      <c r="B31">
        <f ca="1">OFFSET(Unit_Width_Strip_Foundation!$A$356,MATCH(PLOT_DATA!B26,Unit_Width_Strip_Foundation!$A$357:$A$380,0),4)</f>
        <v>5.166666666666667</v>
      </c>
      <c r="C31">
        <f ca="1">OFFSET(Unit_Width_Strip_Foundation!$A$356,MATCH(PLOT_DATA!B26,Unit_Width_Strip_Foundation!$A$357:$A$380,0),3)*-1000</f>
        <v>-1444.3687825182105</v>
      </c>
    </row>
    <row r="32" spans="1:21" x14ac:dyDescent="0.25">
      <c r="B32">
        <f ca="1">B31</f>
        <v>5.166666666666667</v>
      </c>
      <c r="C32">
        <f>0</f>
        <v>0</v>
      </c>
    </row>
    <row r="35" spans="1:21" x14ac:dyDescent="0.25">
      <c r="A35" t="s">
        <v>252</v>
      </c>
      <c r="B35" t="str">
        <f>Unit_Width_Strip_Foundation!M84</f>
        <v>16-2S</v>
      </c>
      <c r="E35" t="str">
        <f ca="1">"Q,LRFD: "&amp;ROUND(ABS(MIN(C39:C40)),2)&amp;" psf - Combo: "&amp;B35</f>
        <v>Q,LRFD: 1956.14 psf - Combo: 16-2S</v>
      </c>
    </row>
    <row r="36" spans="1:21" x14ac:dyDescent="0.25">
      <c r="E36" t="s">
        <v>76</v>
      </c>
      <c r="N36" t="s">
        <v>258</v>
      </c>
      <c r="Q36" t="s">
        <v>260</v>
      </c>
      <c r="T36" t="s">
        <v>259</v>
      </c>
    </row>
    <row r="37" spans="1:21" x14ac:dyDescent="0.25">
      <c r="B37" s="1" t="s">
        <v>73</v>
      </c>
      <c r="C37" s="1" t="s">
        <v>72</v>
      </c>
      <c r="E37" t="s">
        <v>73</v>
      </c>
      <c r="F37" t="s">
        <v>72</v>
      </c>
      <c r="N37" t="s">
        <v>73</v>
      </c>
      <c r="O37" t="s">
        <v>72</v>
      </c>
      <c r="Q37" t="s">
        <v>73</v>
      </c>
      <c r="R37" t="s">
        <v>72</v>
      </c>
      <c r="T37" t="s">
        <v>73</v>
      </c>
      <c r="U37" t="s">
        <v>72</v>
      </c>
    </row>
    <row r="38" spans="1:21" x14ac:dyDescent="0.25">
      <c r="B38">
        <f ca="1">OFFSET(Unit_Width_Strip_Foundation!$A$416,MATCH(PLOT_DATA!B35,Unit_Width_Strip_Foundation!$A$417:$A$441,0),2)</f>
        <v>0</v>
      </c>
      <c r="C38">
        <v>0</v>
      </c>
      <c r="E38">
        <f ca="1">OFFSET(Unit_Width_Strip_Foundation!$A$383,MATCH(PLOT_DATA!B35,Unit_Width_Strip_Foundation!$A$384:$A$408,0),7)</f>
        <v>3.3206653696674513</v>
      </c>
      <c r="F38">
        <v>0</v>
      </c>
      <c r="N38">
        <f>Unit_Width_Strip_Foundation!$B$12/2</f>
        <v>2.5833333333333335</v>
      </c>
      <c r="O38">
        <f>L21</f>
        <v>-3000</v>
      </c>
      <c r="Q38">
        <f>N38+Unit_Width_Strip_Foundation!$F$313</f>
        <v>3.4444444444444446</v>
      </c>
      <c r="R38">
        <f>O38</f>
        <v>-3000</v>
      </c>
      <c r="T38">
        <f>N38-Unit_Width_Strip_Foundation!$F$313</f>
        <v>1.7222222222222223</v>
      </c>
      <c r="U38">
        <f>R38</f>
        <v>-3000</v>
      </c>
    </row>
    <row r="39" spans="1:21" x14ac:dyDescent="0.25">
      <c r="B39">
        <f ca="1">B38</f>
        <v>0</v>
      </c>
      <c r="C39">
        <f ca="1">OFFSET(Unit_Width_Strip_Foundation!$A$416,MATCH(PLOT_DATA!B35,Unit_Width_Strip_Foundation!$A$417:$A$441,0),1)*-1000</f>
        <v>-151.47776621574769</v>
      </c>
      <c r="E39">
        <f ca="1">OFFSET(Unit_Width_Strip_Foundation!$A$383,MATCH(PLOT_DATA!B35,Unit_Width_Strip_Foundation!$A$384:$A$408,0),7)</f>
        <v>3.3206653696674513</v>
      </c>
      <c r="F39">
        <f ca="1">OFFSET(Unit_Width_Strip_Foundation!$A$383,MATCH(PLOT_DATA!B35,Unit_Width_Strip_Foundation!$A$384:$A$408,0),1)</f>
        <v>5.4446666666666674</v>
      </c>
      <c r="N39">
        <f>N38</f>
        <v>2.5833333333333335</v>
      </c>
      <c r="O39">
        <f ca="1">100+F39</f>
        <v>105.44466666666666</v>
      </c>
      <c r="Q39">
        <f>Q38</f>
        <v>3.4444444444444446</v>
      </c>
      <c r="R39">
        <f ca="1">O39</f>
        <v>105.44466666666666</v>
      </c>
      <c r="T39">
        <f>T38</f>
        <v>1.7222222222222223</v>
      </c>
      <c r="U39">
        <f ca="1">R39</f>
        <v>105.44466666666666</v>
      </c>
    </row>
    <row r="40" spans="1:21" x14ac:dyDescent="0.25">
      <c r="B40">
        <f ca="1">OFFSET(Unit_Width_Strip_Foundation!$A$416,MATCH(PLOT_DATA!B35,Unit_Width_Strip_Foundation!$A$417:$A$441,0),4)</f>
        <v>5.166666666666667</v>
      </c>
      <c r="C40">
        <f ca="1">OFFSET(Unit_Width_Strip_Foundation!$A$416,MATCH(PLOT_DATA!B35,Unit_Width_Strip_Foundation!$A$417:$A$441,0),3)*-1000</f>
        <v>-1956.135137010059</v>
      </c>
    </row>
    <row r="41" spans="1:21" x14ac:dyDescent="0.25">
      <c r="B41">
        <f ca="1">B40</f>
        <v>5.166666666666667</v>
      </c>
      <c r="C41">
        <f>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LICENSE</vt:lpstr>
      <vt:lpstr>Unit_Width_Strip_Foundation</vt:lpstr>
      <vt:lpstr>LOAD_COMBOS</vt:lpstr>
      <vt:lpstr>FND_BENDING_MOMENTS</vt:lpstr>
      <vt:lpstr>DATA</vt:lpstr>
      <vt:lpstr>PLOT_DATA</vt:lpstr>
      <vt:lpstr>LRFD_f1</vt:lpstr>
      <vt:lpstr>LRFD_f2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 III</cp:lastModifiedBy>
  <cp:lastPrinted>2021-05-02T16:01:27Z</cp:lastPrinted>
  <dcterms:created xsi:type="dcterms:W3CDTF">2021-04-30T15:37:10Z</dcterms:created>
  <dcterms:modified xsi:type="dcterms:W3CDTF">2021-11-27T15:48:42Z</dcterms:modified>
</cp:coreProperties>
</file>