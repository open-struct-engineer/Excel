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F09FE1FB-27E7-4DD1-8092-43C92668EA69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46" i="3" l="1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6" l="1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J19" i="3"/>
  <c r="G22" i="3"/>
  <c r="J19" i="5"/>
  <c r="D22" i="2"/>
  <c r="O13" i="2" s="1"/>
  <c r="W13" i="2" s="1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F22" i="2"/>
  <c r="R19" i="2" s="1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E22" i="2" l="1"/>
  <c r="L13" i="2"/>
  <c r="M13" i="2"/>
  <c r="P13" i="2"/>
  <c r="F22" i="3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M13" i="4" s="1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V13" i="2" l="1"/>
  <c r="Y20" i="2"/>
  <c r="AA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I3" i="2" s="1" a="1"/>
  <c r="I3" i="2" s="1"/>
  <c r="I5" i="2" s="1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20" i="3" l="1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J64" i="1" s="1"/>
  <c r="AD18" i="1"/>
  <c r="AD21" i="1"/>
  <c r="AD15" i="1"/>
  <c r="AD14" i="1"/>
  <c r="AD16" i="1"/>
  <c r="AD17" i="1"/>
  <c r="P13" i="1"/>
  <c r="AI14" i="1" s="1"/>
  <c r="AI20" i="1"/>
  <c r="AI21" i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7" i="1"/>
  <c r="AA15" i="1"/>
  <c r="B132" i="1"/>
  <c r="Q13" i="1"/>
  <c r="T13" i="1" s="1"/>
  <c r="R13" i="1"/>
  <c r="AM20" i="1" l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K20" i="1" s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G21" i="1" l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G18" i="1"/>
  <c r="AC18" i="1" s="1"/>
  <c r="AN18" i="1" s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N14" i="1" l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Q65" i="1" l="1"/>
  <c r="J66" i="1"/>
  <c r="F126" i="1"/>
  <c r="F127" i="1"/>
  <c r="AC23" i="1"/>
  <c r="AC24" i="1"/>
  <c r="AC22" i="1"/>
  <c r="Q66" i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l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R80" i="1" l="1"/>
  <c r="R83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I67" i="1" l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K148" i="4" l="1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  <c r="Q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<sst xmlns="http://schemas.openxmlformats.org/spreadsheetml/2006/main" count="2366" uniqueCount="191">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</sst>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6FD1FBB-3E8D-4D54-9482-93E7DF787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920D6B-F89B-49DE-A6C1-7EAADDEF9F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B37F9-01CC-412F-9B88-416371FBEA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E4A7E0-6066-4033-8139-7204E5C4C9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58A8AB-A983-42DC-A274-7C15D3AC9A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46811C-ED45-4A72-82C4-841D72D44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792F72-48C6-48F6-A3BC-ED8C34E758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3.1957 kips</c:v>
                  </c:pt>
                  <c:pt idx="1">
                    <c:v>
5.3285 kips</c:v>
                  </c:pt>
                  <c:pt idx="2">
                    <c:v>
5.3285 kips</c:v>
                  </c:pt>
                  <c:pt idx="3">
                    <c:v>
3.1957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6169716535907424"/>
                  <c:y val="-0.43203012670160146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0384DA18-E25A-420D-8136-AA9AE402066A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NG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-2.9545738162558957</c:v>
                </c:pt>
                <c:pt idx="1">
                  <c:v>10.459639746117208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1.5403602538828034</c:v>
                </c:pt>
                <c:pt idx="1">
                  <c:v>14.954573816255888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A96F9B-4A5D-4C9A-9553-6C0AF2BAA9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1.8762664824653303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10.123733517534674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47.0483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8A773C-A679-4601-A93A-ACAB67E32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CA9E75-9CF3-4BE9-89F0-989DCF1E65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7.5050659298613169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</c:v>
                </c:pt>
                <c:pt idx="5">
                  <c:v>12.000000000000004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4">
                    <c:v>0 ksi</c:v>
                  </c:pt>
                  <c:pt idx="5">
                    <c:v>5.0117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F4D332-D8EF-4B06-B667-03FF6EE132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4.4949340701386964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5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6C9BE3-3792-4FC1-A748-DC0C9D11FD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940BC8-890B-486D-9705-01D4538F6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006631-F9A0-4A7D-BAF9-E0C41707D9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NG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-2.9545738162558957</c:v>
                </c:pt>
                <c:pt idx="1">
                  <c:v>10.459639746117208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1.5403602538828034</c:v>
                </c:pt>
                <c:pt idx="1">
                  <c:v>14.954573816255888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1.8762664824653303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10.123733517534674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5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-8.4852813742385678</c:v>
                </c:pt>
                <c:pt idx="1">
                  <c:v>-4.2426406871192786</c:v>
                </c:pt>
                <c:pt idx="2">
                  <c:v>0</c:v>
                </c:pt>
                <c:pt idx="3">
                  <c:v>4.242640687119291</c:v>
                </c:pt>
                <c:pt idx="4">
                  <c:v>8.4852813742385731</c:v>
                </c:pt>
                <c:pt idx="5">
                  <c:v>0</c:v>
                </c:pt>
                <c:pt idx="6">
                  <c:v>-8.4852813742385678</c:v>
                </c:pt>
                <c:pt idx="7">
                  <c:v>-8.4852813742385678</c:v>
                </c:pt>
                <c:pt idx="8">
                  <c:v>-8.4852813742385678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-4.242640687119291</c:v>
                </c:pt>
                <c:pt idx="1">
                  <c:v>-8.4852813742385731</c:v>
                </c:pt>
                <c:pt idx="2">
                  <c:v>-4.2426406871192857</c:v>
                </c:pt>
                <c:pt idx="3">
                  <c:v>-8.4852813742385678</c:v>
                </c:pt>
                <c:pt idx="4">
                  <c:v>-4.2426406871192786</c:v>
                </c:pt>
                <c:pt idx="5">
                  <c:v>4.2426406871192857</c:v>
                </c:pt>
                <c:pt idx="6">
                  <c:v>-4.242640687119291</c:v>
                </c:pt>
                <c:pt idx="7">
                  <c:v>-4.242640687119291</c:v>
                </c:pt>
                <c:pt idx="8">
                  <c:v>-4.242640687119291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-6.3639610306789249</c:v>
                </c:pt>
                <c:pt idx="1">
                  <c:v>-4.2426406871192812</c:v>
                </c:pt>
                <c:pt idx="2">
                  <c:v>4.2426406871192892</c:v>
                </c:pt>
                <c:pt idx="3">
                  <c:v>6.3639610306789312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-4.2426406871192892</c:v>
                </c:pt>
                <c:pt idx="1">
                  <c:v>-6.3639610306789312</c:v>
                </c:pt>
                <c:pt idx="2">
                  <c:v>-6.3639610306789249</c:v>
                </c:pt>
                <c:pt idx="3">
                  <c:v>-4.2426406871192812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-9.4852813742385678</c:v>
                </c:pt>
                <c:pt idx="1">
                  <c:v>9.4852813742385731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-1.0642423251377693</c:v>
                </c:pt>
                <c:pt idx="1">
                  <c:v>-1.0642423251377693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5.3068830122570603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-1.0642423251377693</c:v>
                </c:pt>
                <c:pt idx="5">
                  <c:v>4.2426406871192857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-5.3068830122570487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4.2426406871192857</c:v>
                </c:pt>
                <c:pt idx="5">
                  <c:v>-1.0642423251377693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2.9449716887205338E-15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1.589199180990758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-9.4852813742385731</c:v>
                </c:pt>
                <c:pt idx="1">
                  <c:v>9.4852813742385731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-9.4852813742385731</c:v>
                </c:pt>
                <c:pt idx="1">
                  <c:v>9.4852813742385731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-8.4852813742385678</c:v>
                </c:pt>
                <c:pt idx="1">
                  <c:v>-8.4852813742385678</c:v>
                </c:pt>
                <c:pt idx="2">
                  <c:v>-8.4852813742385678</c:v>
                </c:pt>
                <c:pt idx="3">
                  <c:v>-8.4852813742385678</c:v>
                </c:pt>
                <c:pt idx="4">
                  <c:v>-8.4852813742385678</c:v>
                </c:pt>
                <c:pt idx="5">
                  <c:v>-8.4852813742385678</c:v>
                </c:pt>
                <c:pt idx="6">
                  <c:v>-8.4852813742385678</c:v>
                </c:pt>
                <c:pt idx="7">
                  <c:v>-8.4852813742385678</c:v>
                </c:pt>
                <c:pt idx="8">
                  <c:v>-8.4852813742385678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-4.242640687119291</c:v>
                </c:pt>
                <c:pt idx="1">
                  <c:v>-4.242640687119291</c:v>
                </c:pt>
                <c:pt idx="2">
                  <c:v>-4.242640687119291</c:v>
                </c:pt>
                <c:pt idx="3">
                  <c:v>-4.242640687119291</c:v>
                </c:pt>
                <c:pt idx="4">
                  <c:v>-4.242640687119291</c:v>
                </c:pt>
                <c:pt idx="5">
                  <c:v>-4.242640687119291</c:v>
                </c:pt>
                <c:pt idx="6">
                  <c:v>-4.242640687119291</c:v>
                </c:pt>
                <c:pt idx="7">
                  <c:v>-4.242640687119291</c:v>
                </c:pt>
                <c:pt idx="8">
                  <c:v>-4.242640687119291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-6.3639610306789249</c:v>
                </c:pt>
                <c:pt idx="1">
                  <c:v>-4.2426406871192812</c:v>
                </c:pt>
                <c:pt idx="2">
                  <c:v>4.2426406871192892</c:v>
                </c:pt>
                <c:pt idx="3">
                  <c:v>6.3639610306789312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-4.2426406871192892</c:v>
                </c:pt>
                <c:pt idx="1">
                  <c:v>-6.3639610306789312</c:v>
                </c:pt>
                <c:pt idx="2">
                  <c:v>-6.3639610306789249</c:v>
                </c:pt>
                <c:pt idx="3">
                  <c:v>-4.2426406871192812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zoomScale="85" zoomScaleNormal="85" workbookViewId="0">
      <selection activeCell="B4" sqref="B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30</v>
      </c>
      <c r="C2" t="s">
        <v>36</v>
      </c>
      <c r="D2" t="s">
        <v>103</v>
      </c>
      <c r="H2" s="10" t="s">
        <v>187</v>
      </c>
      <c r="I2">
        <f>B2/D22</f>
        <v>0.27777777777777779</v>
      </c>
      <c r="J2" t="s">
        <v>11</v>
      </c>
      <c r="N2" t="s">
        <v>189</v>
      </c>
    </row>
    <row r="3" spans="1:40" x14ac:dyDescent="0.25">
      <c r="A3" s="10" t="s">
        <v>79</v>
      </c>
      <c r="B3" s="2">
        <v>-120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-2</v>
      </c>
      <c r="J3" t="s">
        <v>22</v>
      </c>
      <c r="K3" t="s">
        <v>180</v>
      </c>
      <c r="L3" s="4">
        <f>B2*I3</f>
        <v>-60</v>
      </c>
      <c r="M3" t="str">
        <f>"+My"</f>
        <v>+My</v>
      </c>
      <c r="N3" s="4">
        <f>L3+B4</f>
        <v>-180</v>
      </c>
      <c r="O3" t="s">
        <v>102</v>
      </c>
    </row>
    <row r="4" spans="1:40" x14ac:dyDescent="0.25">
      <c r="A4" s="10" t="s">
        <v>80</v>
      </c>
      <c r="B4" s="2">
        <v>-120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2</v>
      </c>
      <c r="J4" t="s">
        <v>22</v>
      </c>
      <c r="K4" t="s">
        <v>181</v>
      </c>
      <c r="L4" s="4">
        <f>B2*I4*-1</f>
        <v>-60</v>
      </c>
      <c r="M4" t="str">
        <f>"+Mx"</f>
        <v>+Mx</v>
      </c>
      <c r="N4" s="4">
        <f>B3+L4</f>
        <v>-180</v>
      </c>
      <c r="O4" t="s">
        <v>102</v>
      </c>
    </row>
    <row r="5" spans="1:40" x14ac:dyDescent="0.25">
      <c r="A5" s="10" t="s">
        <v>104</v>
      </c>
      <c r="B5" s="20">
        <f>IF(AND(B3=0,B4=0),0,ATAN2(B3,B4))</f>
        <v>-2.3561944901923448</v>
      </c>
      <c r="C5" t="s">
        <v>19</v>
      </c>
      <c r="M5" s="10" t="s">
        <v>104</v>
      </c>
      <c r="N5" s="20">
        <f>IF(AND(N4=0,N3=0),0,ATAN2(N4,N3))</f>
        <v>-2.3561944901923448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</row>
    <row r="8" spans="1:40" x14ac:dyDescent="0.25">
      <c r="B8" s="1" t="s">
        <v>6</v>
      </c>
      <c r="C8" s="1" t="s">
        <v>7</v>
      </c>
    </row>
    <row r="9" spans="1:40" x14ac:dyDescent="0.25">
      <c r="B9" s="2">
        <v>3</v>
      </c>
      <c r="C9" s="2">
        <v>9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G22-(D22*F22*F22)</f>
        <v>1188</v>
      </c>
      <c r="O13" s="19">
        <f>H22-(D22*E22*E22)</f>
        <v>1188</v>
      </c>
      <c r="P13" s="19">
        <f>I22-(D22*E22*F22)</f>
        <v>432</v>
      </c>
      <c r="Q13" s="19">
        <f>N13+O13</f>
        <v>2376</v>
      </c>
      <c r="R13" s="19">
        <f>SQRT(ABS(N13/D22))</f>
        <v>3.3166247903553998</v>
      </c>
      <c r="S13" s="19">
        <f>SQRT(O13/D22)</f>
        <v>3.3166247903553998</v>
      </c>
      <c r="T13" s="19">
        <f>SQRT(Q13/D22)</f>
        <v>4.6904157598234297</v>
      </c>
      <c r="U13" s="19">
        <f>N13/(MAX(C13:C20)-F22)</f>
        <v>237.6</v>
      </c>
      <c r="V13" s="19">
        <f>N13/(MIN(C13:C20)-F22)</f>
        <v>-169.71428571428572</v>
      </c>
      <c r="W13" s="19">
        <f>O13/(MIN(B13:B20)-E22)</f>
        <v>-237.6</v>
      </c>
      <c r="X13" s="19">
        <f>O13/(MAX(B13:B20)-E22)</f>
        <v>169.71428571428572</v>
      </c>
    </row>
    <row r="14" spans="1:40" x14ac:dyDescent="0.25">
      <c r="A14">
        <v>2</v>
      </c>
      <c r="B14" s="7">
        <v>6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$N$13/(C14-$F$22)</f>
        <v>-169.71428571428572</v>
      </c>
      <c r="Z14">
        <f>$O$13/(B14-$E$22)</f>
        <v>1188</v>
      </c>
      <c r="AA14">
        <f>-1*$B$3/Y14</f>
        <v>-0.70707070707070707</v>
      </c>
      <c r="AB14">
        <f>$B$4/Z14</f>
        <v>-0.10101010101010101</v>
      </c>
      <c r="AC14">
        <f>$I$2+AG14+AK14</f>
        <v>-1.626984126984127</v>
      </c>
      <c r="AD14" s="9">
        <f>C14-$F$22</f>
        <v>-7</v>
      </c>
      <c r="AE14">
        <f>(AD14*$N$4*$O$13)/(($N$13*$O$13)-($P$13*$P$13))</f>
        <v>1.2222222222222223</v>
      </c>
      <c r="AF14">
        <f>(AD14*$N$3*$P$13)/(($N$13*$O$13)-($P$13*$P$13))</f>
        <v>0.44444444444444442</v>
      </c>
      <c r="AG14">
        <f>(AE14+AF14)*-1</f>
        <v>-1.6666666666666667</v>
      </c>
      <c r="AH14" s="9">
        <f>B14-$E$22</f>
        <v>1</v>
      </c>
      <c r="AI14">
        <f>(-1*AH14*$N$3*$N$13)/(($N$13*$O$13)-($P$13*$P$13))</f>
        <v>0.17460317460317459</v>
      </c>
      <c r="AJ14">
        <f>(-1*AH14*$N$4*$P$13)/(($N$13*$O$13)-($P$13*$P$13))</f>
        <v>6.3492063492063489E-2</v>
      </c>
      <c r="AK14">
        <f>(AI14+AJ14)*-1</f>
        <v>-0.23809523809523808</v>
      </c>
      <c r="AM14">
        <f>AA14+AB14+$I$2</f>
        <v>-0.53030303030303028</v>
      </c>
      <c r="AN14" t="b">
        <f>AM14=AC14</f>
        <v>0</v>
      </c>
    </row>
    <row r="15" spans="1:40" x14ac:dyDescent="0.25">
      <c r="A15">
        <v>3</v>
      </c>
      <c r="B15" s="7">
        <v>6</v>
      </c>
      <c r="C15" s="7">
        <v>6</v>
      </c>
      <c r="D15" s="5">
        <f t="shared" ref="D15:D18" si="0">((B14*C15)-(B15*C14))*0.5</f>
        <v>18</v>
      </c>
      <c r="E15" s="5">
        <f t="shared" ref="E15:E18" si="1">(B15+B14)*((B14*C15)-(B15*C14))*(1/6)</f>
        <v>72</v>
      </c>
      <c r="F15" s="5">
        <f t="shared" ref="F15:F18" si="2">(C15+C14)*((B14*C15)-(B15*C14))*(1/6)</f>
        <v>36</v>
      </c>
      <c r="G15" s="5">
        <f t="shared" ref="G15:G18" si="3">(((C14*C14)+(C14*C15)+(C15*C15))*((B14*C15)-(B15*C14)))/12</f>
        <v>108</v>
      </c>
      <c r="H15" s="5">
        <f t="shared" ref="H15:H18" si="4">(((B14*B14)+(B14*B15)+(B15*B15))*((B14*C15)-(B15*C14)))/12</f>
        <v>324</v>
      </c>
      <c r="I15" s="5">
        <f t="shared" ref="I15:I18" si="5">(((B14*C15)+(2*B14*C14)+(2*B15*C15)+(B15*C14))*((B14*C15)-(B15*C14)))/24</f>
        <v>162</v>
      </c>
      <c r="J15" s="5">
        <f t="shared" ref="J15:J18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1" si="8">$N$13/(C15-$F$22)</f>
        <v>-1188</v>
      </c>
      <c r="Z15">
        <f t="shared" ref="Z15:Z21" si="9">$O$13/(B15-$E$22)</f>
        <v>1188</v>
      </c>
      <c r="AA15">
        <f t="shared" ref="AA15:AA21" si="10">-1*$B$3/Y15</f>
        <v>-0.10101010101010101</v>
      </c>
      <c r="AB15">
        <f t="shared" ref="AB15:AB21" si="11">$B$4/Z15</f>
        <v>-0.10101010101010101</v>
      </c>
      <c r="AC15">
        <f t="shared" ref="AC15:AC21" si="12">$I$2+AG15+AK15</f>
        <v>-0.19841269841269837</v>
      </c>
      <c r="AD15" s="9">
        <f t="shared" ref="AD15:AD21" si="13">C15-$F$22</f>
        <v>-1</v>
      </c>
      <c r="AE15">
        <f t="shared" ref="AE15:AE21" si="14">(AD15*$N$4*$O$13)/(($N$13*$O$13)-($P$13*$P$13))</f>
        <v>0.17460317460317459</v>
      </c>
      <c r="AF15">
        <f t="shared" ref="AF15:AF21" si="15">(AD15*$N$3*$P$13)/(($N$13*$O$13)-($P$13*$P$13))</f>
        <v>6.3492063492063489E-2</v>
      </c>
      <c r="AG15">
        <f t="shared" ref="AG15:AG21" si="16">(AE15+AF15)*-1</f>
        <v>-0.23809523809523808</v>
      </c>
      <c r="AH15" s="9">
        <f t="shared" ref="AH15:AH21" si="17">B15-$E$22</f>
        <v>1</v>
      </c>
      <c r="AI15">
        <f t="shared" ref="AI15:AI21" si="18">(-1*AH15*$N$3*$N$13)/(($N$13*$O$13)-($P$13*$P$13))</f>
        <v>0.17460317460317459</v>
      </c>
      <c r="AJ15">
        <f t="shared" ref="AJ15:AJ21" si="19">(-1*AH15*$N$4*$P$13)/(($N$13*$O$13)-($P$13*$P$13))</f>
        <v>6.3492063492063489E-2</v>
      </c>
      <c r="AK15">
        <f t="shared" ref="AK15:AK21" si="20">(AI15+AJ15)*-1</f>
        <v>-0.23809523809523808</v>
      </c>
      <c r="AM15">
        <f t="shared" ref="AM15:AM21" si="21">AA15+AB15+$I$2</f>
        <v>7.5757575757575774E-2</v>
      </c>
      <c r="AN15" t="b">
        <f t="shared" ref="AN15:AN21" si="22">AM15=AC15</f>
        <v>0</v>
      </c>
    </row>
    <row r="16" spans="1:40" x14ac:dyDescent="0.25">
      <c r="A16">
        <v>4</v>
      </c>
      <c r="B16" s="7">
        <v>12</v>
      </c>
      <c r="C16" s="7"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-1188</v>
      </c>
      <c r="Z16">
        <f t="shared" si="9"/>
        <v>169.71428571428572</v>
      </c>
      <c r="AA16">
        <f t="shared" si="10"/>
        <v>-0.10101010101010101</v>
      </c>
      <c r="AB16">
        <f t="shared" si="11"/>
        <v>-0.70707070707070707</v>
      </c>
      <c r="AC16">
        <f t="shared" si="12"/>
        <v>-1.626984126984127</v>
      </c>
      <c r="AD16" s="9">
        <f t="shared" si="13"/>
        <v>-1</v>
      </c>
      <c r="AE16">
        <f t="shared" si="14"/>
        <v>0.17460317460317459</v>
      </c>
      <c r="AF16">
        <f t="shared" si="15"/>
        <v>6.3492063492063489E-2</v>
      </c>
      <c r="AG16">
        <f t="shared" si="16"/>
        <v>-0.23809523809523808</v>
      </c>
      <c r="AH16" s="9">
        <f t="shared" si="17"/>
        <v>7</v>
      </c>
      <c r="AI16">
        <f t="shared" si="18"/>
        <v>1.2222222222222223</v>
      </c>
      <c r="AJ16">
        <f t="shared" si="19"/>
        <v>0.44444444444444442</v>
      </c>
      <c r="AK16">
        <f t="shared" si="20"/>
        <v>-1.6666666666666667</v>
      </c>
      <c r="AM16">
        <f t="shared" si="21"/>
        <v>-0.53030303030303028</v>
      </c>
      <c r="AN16" t="b">
        <f t="shared" si="22"/>
        <v>0</v>
      </c>
    </row>
    <row r="17" spans="1:40" x14ac:dyDescent="0.25">
      <c r="A17">
        <v>5</v>
      </c>
      <c r="B17" s="7">
        <v>12</v>
      </c>
      <c r="C17" s="7"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237.6</v>
      </c>
      <c r="Z17">
        <f t="shared" si="9"/>
        <v>169.71428571428572</v>
      </c>
      <c r="AA17">
        <f t="shared" si="10"/>
        <v>0.50505050505050508</v>
      </c>
      <c r="AB17">
        <f t="shared" si="11"/>
        <v>-0.70707070707070707</v>
      </c>
      <c r="AC17">
        <f t="shared" si="12"/>
        <v>-0.19841269841269837</v>
      </c>
      <c r="AD17" s="9">
        <f t="shared" si="13"/>
        <v>5</v>
      </c>
      <c r="AE17">
        <f t="shared" si="14"/>
        <v>-0.87301587301587302</v>
      </c>
      <c r="AF17">
        <f t="shared" si="15"/>
        <v>-0.31746031746031744</v>
      </c>
      <c r="AG17">
        <f t="shared" si="16"/>
        <v>1.1904761904761905</v>
      </c>
      <c r="AH17" s="9">
        <f t="shared" si="17"/>
        <v>7</v>
      </c>
      <c r="AI17">
        <f t="shared" si="18"/>
        <v>1.2222222222222223</v>
      </c>
      <c r="AJ17">
        <f t="shared" si="19"/>
        <v>0.44444444444444442</v>
      </c>
      <c r="AK17">
        <f t="shared" si="20"/>
        <v>-1.6666666666666667</v>
      </c>
      <c r="AM17">
        <f t="shared" si="21"/>
        <v>7.5757575757575801E-2</v>
      </c>
      <c r="AN17" t="b">
        <f t="shared" si="22"/>
        <v>0</v>
      </c>
    </row>
    <row r="18" spans="1:40" x14ac:dyDescent="0.25">
      <c r="A18">
        <v>6</v>
      </c>
      <c r="B18" s="7">
        <v>0</v>
      </c>
      <c r="C18" s="7"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237.6</v>
      </c>
      <c r="Z18">
        <f t="shared" si="9"/>
        <v>-237.6</v>
      </c>
      <c r="AA18">
        <f t="shared" si="10"/>
        <v>0.50505050505050508</v>
      </c>
      <c r="AB18">
        <f t="shared" si="11"/>
        <v>0.50505050505050508</v>
      </c>
      <c r="AC18">
        <f t="shared" si="12"/>
        <v>2.6587301587301591</v>
      </c>
      <c r="AD18" s="9">
        <f t="shared" si="13"/>
        <v>5</v>
      </c>
      <c r="AE18">
        <f t="shared" si="14"/>
        <v>-0.87301587301587302</v>
      </c>
      <c r="AF18">
        <f t="shared" si="15"/>
        <v>-0.31746031746031744</v>
      </c>
      <c r="AG18">
        <f t="shared" si="16"/>
        <v>1.1904761904761905</v>
      </c>
      <c r="AH18" s="9">
        <f t="shared" si="17"/>
        <v>-5</v>
      </c>
      <c r="AI18">
        <f t="shared" si="18"/>
        <v>-0.87301587301587302</v>
      </c>
      <c r="AJ18">
        <f t="shared" si="19"/>
        <v>-0.31746031746031744</v>
      </c>
      <c r="AK18">
        <f t="shared" si="20"/>
        <v>1.1904761904761905</v>
      </c>
      <c r="AM18">
        <f t="shared" si="21"/>
        <v>1.2878787878787881</v>
      </c>
      <c r="AN18" t="b">
        <f t="shared" si="22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3">((B18*C19)-(B19*C18))*0.5</f>
        <v>0</v>
      </c>
      <c r="E19" s="5">
        <f t="shared" ref="E19" si="24">(B19+B18)*((B18*C19)-(B19*C18))*(1/6)</f>
        <v>0</v>
      </c>
      <c r="F19" s="5">
        <f t="shared" ref="F19" si="25">(C19+C18)*((B18*C19)-(B19*C18))*(1/6)</f>
        <v>0</v>
      </c>
      <c r="G19" s="5">
        <f t="shared" ref="G19" si="26">(((C18*C18)+(C18*C19)+(C19*C19))*((B18*C19)-(B19*C18)))/12</f>
        <v>0</v>
      </c>
      <c r="H19" s="5">
        <f t="shared" ref="H19" si="27">(((B18*B18)+(B18*B19)+(B19*B19))*((B18*C19)-(B19*C18)))/12</f>
        <v>0</v>
      </c>
      <c r="I19" s="5">
        <f t="shared" ref="I19" si="28">(((B18*C19)+(2*B18*C18)+(2*B19*C19)+(B19*C18))*((B18*C19)-(B19*C18)))/24</f>
        <v>0</v>
      </c>
      <c r="J19" s="5">
        <f t="shared" ref="J19" si="29">G19+H19</f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-169.71428571428572</v>
      </c>
      <c r="Z19">
        <f t="shared" si="9"/>
        <v>-237.6</v>
      </c>
      <c r="AA19">
        <f t="shared" si="10"/>
        <v>-0.70707070707070707</v>
      </c>
      <c r="AB19">
        <f t="shared" si="11"/>
        <v>0.50505050505050508</v>
      </c>
      <c r="AC19">
        <f t="shared" si="12"/>
        <v>-0.19841269841269837</v>
      </c>
      <c r="AD19" s="9">
        <f t="shared" si="13"/>
        <v>-7</v>
      </c>
      <c r="AE19">
        <f t="shared" si="14"/>
        <v>1.2222222222222223</v>
      </c>
      <c r="AF19">
        <f t="shared" si="15"/>
        <v>0.44444444444444442</v>
      </c>
      <c r="AG19">
        <f t="shared" si="16"/>
        <v>-1.6666666666666667</v>
      </c>
      <c r="AH19" s="9">
        <f t="shared" si="17"/>
        <v>-5</v>
      </c>
      <c r="AI19">
        <f t="shared" si="18"/>
        <v>-0.87301587301587302</v>
      </c>
      <c r="AJ19">
        <f t="shared" si="19"/>
        <v>-0.31746031746031744</v>
      </c>
      <c r="AK19">
        <f t="shared" si="20"/>
        <v>1.1904761904761905</v>
      </c>
      <c r="AM19">
        <f t="shared" si="21"/>
        <v>7.5757575757575801E-2</v>
      </c>
      <c r="AN19" t="b">
        <f t="shared" si="22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0">((B19*C20)-(B20*C19))*0.5</f>
        <v>0</v>
      </c>
      <c r="E20" s="5">
        <f t="shared" ref="E20" si="31">(B20+B19)*((B19*C20)-(B20*C19))*(1/6)</f>
        <v>0</v>
      </c>
      <c r="F20" s="5">
        <f t="shared" ref="F20" si="32">(C20+C19)*((B19*C20)-(B20*C19))*(1/6)</f>
        <v>0</v>
      </c>
      <c r="G20" s="5">
        <f t="shared" ref="G20" si="33">(((C19*C19)+(C19*C20)+(C20*C20))*((B19*C20)-(B20*C19)))/12</f>
        <v>0</v>
      </c>
      <c r="H20" s="5">
        <f t="shared" ref="H20" si="34">(((B19*B19)+(B19*B20)+(B20*B20))*((B19*C20)-(B20*C19)))/12</f>
        <v>0</v>
      </c>
      <c r="I20" s="5">
        <f t="shared" ref="I20" si="35">(((B19*C20)+(2*B19*C19)+(2*B20*C20)+(B20*C19))*((B19*C20)-(B20*C19)))/24</f>
        <v>0</v>
      </c>
      <c r="J20" s="5">
        <f t="shared" ref="J20" si="36">G20+H20</f>
        <v>0</v>
      </c>
      <c r="K20">
        <f t="shared" si="7"/>
        <v>-2.1910458127777179</v>
      </c>
      <c r="Y20" s="1">
        <f t="shared" si="8"/>
        <v>-169.71428571428572</v>
      </c>
      <c r="Z20">
        <f t="shared" si="9"/>
        <v>-237.6</v>
      </c>
      <c r="AA20">
        <f t="shared" si="10"/>
        <v>-0.70707070707070707</v>
      </c>
      <c r="AB20">
        <f t="shared" si="11"/>
        <v>0.50505050505050508</v>
      </c>
      <c r="AC20">
        <f t="shared" si="12"/>
        <v>-0.19841269841269837</v>
      </c>
      <c r="AD20" s="9">
        <f t="shared" si="13"/>
        <v>-7</v>
      </c>
      <c r="AE20">
        <f t="shared" si="14"/>
        <v>1.2222222222222223</v>
      </c>
      <c r="AF20">
        <f t="shared" si="15"/>
        <v>0.44444444444444442</v>
      </c>
      <c r="AG20">
        <f t="shared" si="16"/>
        <v>-1.6666666666666667</v>
      </c>
      <c r="AH20" s="9">
        <f t="shared" si="17"/>
        <v>-5</v>
      </c>
      <c r="AI20">
        <f t="shared" si="18"/>
        <v>-0.87301587301587302</v>
      </c>
      <c r="AJ20">
        <f t="shared" si="19"/>
        <v>-0.31746031746031744</v>
      </c>
      <c r="AK20">
        <f t="shared" si="20"/>
        <v>1.1904761904761905</v>
      </c>
      <c r="AM20">
        <f t="shared" si="21"/>
        <v>7.5757575757575801E-2</v>
      </c>
      <c r="AN20" t="b">
        <f t="shared" si="22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7">((B20*C21)-(B21*C20))*0.5</f>
        <v>0</v>
      </c>
      <c r="E21" s="5">
        <f t="shared" ref="E21" si="38">(B21+B20)*((B20*C21)-(B21*C20))*(1/6)</f>
        <v>0</v>
      </c>
      <c r="F21" s="5">
        <f t="shared" ref="F21" si="39">(C21+C20)*((B20*C21)-(B21*C20))*(1/6)</f>
        <v>0</v>
      </c>
      <c r="G21" s="5">
        <f t="shared" ref="G21" si="40">(((C20*C20)+(C20*C21)+(C21*C21))*((B20*C21)-(B21*C20)))/12</f>
        <v>0</v>
      </c>
      <c r="H21" s="5">
        <f t="shared" ref="H21" si="41">(((B20*B20)+(B20*B21)+(B21*B21))*((B20*C21)-(B21*C20)))/12</f>
        <v>0</v>
      </c>
      <c r="I21" s="5">
        <f t="shared" ref="I21" si="42">(((B20*C21)+(2*B20*C20)+(2*B21*C21)+(B21*C20))*((B20*C21)-(B21*C20)))/24</f>
        <v>0</v>
      </c>
      <c r="J21" s="5">
        <f t="shared" ref="J21" si="43">G21+H21</f>
        <v>0</v>
      </c>
      <c r="K21">
        <f t="shared" si="7"/>
        <v>-2.1910458127777179</v>
      </c>
      <c r="Y21" s="1">
        <f t="shared" si="8"/>
        <v>-169.71428571428572</v>
      </c>
      <c r="Z21">
        <f t="shared" si="9"/>
        <v>-237.6</v>
      </c>
      <c r="AA21">
        <f t="shared" si="10"/>
        <v>-0.70707070707070707</v>
      </c>
      <c r="AB21">
        <f t="shared" si="11"/>
        <v>0.50505050505050508</v>
      </c>
      <c r="AC21">
        <f t="shared" si="12"/>
        <v>-0.19841269841269837</v>
      </c>
      <c r="AD21" s="9">
        <f t="shared" si="13"/>
        <v>-7</v>
      </c>
      <c r="AE21">
        <f t="shared" si="14"/>
        <v>1.2222222222222223</v>
      </c>
      <c r="AF21">
        <f t="shared" si="15"/>
        <v>0.44444444444444442</v>
      </c>
      <c r="AG21">
        <f t="shared" si="16"/>
        <v>-1.6666666666666667</v>
      </c>
      <c r="AH21" s="9">
        <f t="shared" si="17"/>
        <v>-5</v>
      </c>
      <c r="AI21">
        <f t="shared" si="18"/>
        <v>-0.87301587301587302</v>
      </c>
      <c r="AJ21">
        <f t="shared" si="19"/>
        <v>-0.31746031746031744</v>
      </c>
      <c r="AK21">
        <f t="shared" si="20"/>
        <v>1.1904761904761905</v>
      </c>
      <c r="AM21">
        <f t="shared" si="21"/>
        <v>7.5757575757575801E-2</v>
      </c>
      <c r="AN21" t="b">
        <f t="shared" si="22"/>
        <v>0</v>
      </c>
    </row>
    <row r="22" spans="1:40" x14ac:dyDescent="0.25">
      <c r="D22" s="5">
        <f>SUM(D13:D21)</f>
        <v>108</v>
      </c>
      <c r="E22" s="3">
        <f>SUM(E14:E21)/D22</f>
        <v>5</v>
      </c>
      <c r="F22" s="3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  <c r="AC22">
        <f>COUNTIF(AC14:AC21,"&gt;0")</f>
        <v>1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7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"&amp;C61&amp;CHAR(10)&amp;IF(B66&lt;=B61,"OK"&amp;CHAR(10)&amp;M57,"NG"&amp;CHAR(10)&amp;M57)</f>
        <v>φfp,max= 0.65*0.85*F'c*√A2/A1
= 4.9725 ksi
NG
SOLUTION FOUND</v>
      </c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4">((B26*C27)-(B27*C26))*0.5</f>
        <v>0</v>
      </c>
      <c r="E27" s="5"/>
      <c r="F27" s="5"/>
      <c r="G27" s="5"/>
      <c r="H27" s="5"/>
      <c r="I27" s="5"/>
      <c r="J27" s="5"/>
    </row>
    <row r="28" spans="1:40" x14ac:dyDescent="0.25">
      <c r="A28">
        <v>4</v>
      </c>
      <c r="B28" s="2">
        <v>0</v>
      </c>
      <c r="C28" s="2">
        <v>0</v>
      </c>
      <c r="D28" s="5">
        <f t="shared" si="44"/>
        <v>0</v>
      </c>
      <c r="E28" s="5"/>
      <c r="F28" s="5"/>
      <c r="G28" s="5"/>
      <c r="H28" s="5"/>
      <c r="I28" s="5"/>
      <c r="J28" s="5"/>
    </row>
    <row r="29" spans="1:40" x14ac:dyDescent="0.25">
      <c r="A29">
        <v>5</v>
      </c>
      <c r="B29" s="2">
        <v>0</v>
      </c>
      <c r="C29" s="2">
        <v>0</v>
      </c>
      <c r="D29" s="5">
        <f t="shared" si="44"/>
        <v>0</v>
      </c>
      <c r="E29" s="5"/>
      <c r="F29" s="5"/>
      <c r="G29" s="5"/>
      <c r="H29" s="5"/>
      <c r="I29" s="5"/>
      <c r="J29" s="5"/>
    </row>
    <row r="30" spans="1:40" x14ac:dyDescent="0.25">
      <c r="A30">
        <v>6</v>
      </c>
      <c r="B30" s="2">
        <v>0</v>
      </c>
      <c r="C30" s="2">
        <v>0</v>
      </c>
      <c r="D30" s="5">
        <f t="shared" si="44"/>
        <v>0</v>
      </c>
      <c r="E30" s="5"/>
      <c r="F30" s="5"/>
      <c r="G30" s="5"/>
      <c r="H30" s="5"/>
      <c r="I30" s="5"/>
      <c r="J30" s="5"/>
    </row>
    <row r="31" spans="1:40" x14ac:dyDescent="0.25">
      <c r="A31">
        <v>7</v>
      </c>
      <c r="B31" s="2">
        <v>0</v>
      </c>
      <c r="C31" s="2">
        <v>0</v>
      </c>
      <c r="D31" s="5">
        <f t="shared" si="44"/>
        <v>0</v>
      </c>
      <c r="E31" s="5"/>
      <c r="F31" s="5"/>
      <c r="G31" s="5"/>
      <c r="H31" s="5"/>
      <c r="I31" s="5"/>
      <c r="J31" s="5"/>
    </row>
    <row r="32" spans="1:40" x14ac:dyDescent="0.25">
      <c r="A32">
        <v>8</v>
      </c>
      <c r="B32" s="2">
        <v>0</v>
      </c>
      <c r="C32" s="2">
        <v>0</v>
      </c>
      <c r="D32" s="5">
        <f t="shared" si="44"/>
        <v>0</v>
      </c>
      <c r="E32" s="5"/>
      <c r="F32" s="5"/>
      <c r="G32" s="5"/>
      <c r="H32" s="5"/>
      <c r="I32" s="5"/>
      <c r="J32" s="5"/>
    </row>
    <row r="33" spans="1:24" x14ac:dyDescent="0.25">
      <c r="A33">
        <v>9</v>
      </c>
      <c r="B33" s="1">
        <f>B25</f>
        <v>0</v>
      </c>
      <c r="C33" s="1">
        <f>C25</f>
        <v>0</v>
      </c>
      <c r="D33" s="5">
        <f t="shared" si="44"/>
        <v>0</v>
      </c>
      <c r="E33" s="5"/>
      <c r="F33" s="5"/>
      <c r="G33" s="5"/>
      <c r="H33" s="5"/>
      <c r="I33" s="5"/>
      <c r="J33" s="5"/>
    </row>
    <row r="34" spans="1:24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4" x14ac:dyDescent="0.25">
      <c r="A35" t="s">
        <v>4</v>
      </c>
      <c r="Q35" t="s">
        <v>25</v>
      </c>
      <c r="T35" t="s">
        <v>14</v>
      </c>
    </row>
    <row r="36" spans="1:24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</row>
    <row r="37" spans="1:24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12</v>
      </c>
      <c r="U37" s="1">
        <f>T37</f>
        <v>12</v>
      </c>
    </row>
    <row r="38" spans="1:24" x14ac:dyDescent="0.25">
      <c r="A38">
        <v>2</v>
      </c>
      <c r="B38" s="7">
        <v>4.5</v>
      </c>
      <c r="C38" s="7">
        <v>1.5</v>
      </c>
      <c r="D38" s="13" t="s">
        <v>2</v>
      </c>
      <c r="Q38" s="12">
        <f t="shared" ref="Q38:Q48" si="45">IF($D38="y",B38,NA())</f>
        <v>4.5</v>
      </c>
      <c r="R38" s="12">
        <f t="shared" ref="R38:R48" si="46">IF($D38="y",C38,NA())</f>
        <v>1.5</v>
      </c>
    </row>
    <row r="39" spans="1:24" x14ac:dyDescent="0.25">
      <c r="A39">
        <v>3</v>
      </c>
      <c r="B39" s="7">
        <v>10.5</v>
      </c>
      <c r="C39" s="7">
        <v>7.5</v>
      </c>
      <c r="D39" s="13" t="s">
        <v>2</v>
      </c>
      <c r="Q39" s="12">
        <f t="shared" si="45"/>
        <v>10.5</v>
      </c>
      <c r="R39" s="12">
        <f t="shared" si="46"/>
        <v>7.5</v>
      </c>
    </row>
    <row r="40" spans="1:24" x14ac:dyDescent="0.25">
      <c r="A40">
        <v>4</v>
      </c>
      <c r="B40" s="7">
        <v>10.5</v>
      </c>
      <c r="C40" s="7">
        <v>10.5</v>
      </c>
      <c r="D40" s="13" t="s">
        <v>2</v>
      </c>
      <c r="Q40" s="12">
        <f t="shared" si="45"/>
        <v>10.5</v>
      </c>
      <c r="R40" s="12">
        <f t="shared" si="46"/>
        <v>10.5</v>
      </c>
    </row>
    <row r="41" spans="1:24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5"/>
        <v>#N/A</v>
      </c>
      <c r="R41" s="12" t="e">
        <f t="shared" si="46"/>
        <v>#N/A</v>
      </c>
    </row>
    <row r="42" spans="1:24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5"/>
        <v>#N/A</v>
      </c>
      <c r="R42" s="12" t="e">
        <f t="shared" si="46"/>
        <v>#N/A</v>
      </c>
    </row>
    <row r="43" spans="1:24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5"/>
        <v>#N/A</v>
      </c>
      <c r="R43" s="12" t="e">
        <f t="shared" si="46"/>
        <v>#N/A</v>
      </c>
    </row>
    <row r="44" spans="1:24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5"/>
        <v>#N/A</v>
      </c>
      <c r="R44" s="12" t="e">
        <f t="shared" si="46"/>
        <v>#N/A</v>
      </c>
    </row>
    <row r="45" spans="1:24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5"/>
        <v>#N/A</v>
      </c>
      <c r="R45" s="12" t="e">
        <f t="shared" si="46"/>
        <v>#N/A</v>
      </c>
    </row>
    <row r="46" spans="1:24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5"/>
        <v>#N/A</v>
      </c>
      <c r="R46" s="12" t="e">
        <f t="shared" si="46"/>
        <v>#N/A</v>
      </c>
    </row>
    <row r="47" spans="1:24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5"/>
        <v>#N/A</v>
      </c>
      <c r="R47" s="12" t="e">
        <f t="shared" si="46"/>
        <v>#N/A</v>
      </c>
    </row>
    <row r="48" spans="1:24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5"/>
        <v>#N/A</v>
      </c>
      <c r="R48" s="12" t="e">
        <f t="shared" si="46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4.5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3865.2020403207894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165</v>
      </c>
      <c r="E55" s="1">
        <f ca="1">OFFSET(X52,MATCH(E54,X53:X73,0),1)</f>
        <v>13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7.5028419465475515</v>
      </c>
      <c r="D56" s="54" t="s">
        <v>154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161</v>
      </c>
      <c r="I56" s="56">
        <f t="shared" ref="I56:J57" si="47">E165</f>
        <v>1.9895196601282805E-13</v>
      </c>
      <c r="J56" s="51" t="str">
        <f t="shared" si="4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7"/>
        <v>-1.9895196601282805E-13</v>
      </c>
      <c r="J57" s="53" t="str">
        <f t="shared" si="47"/>
        <v>kip-in</v>
      </c>
      <c r="L57" s="1">
        <f>SQRT(POWER(I57,2)+POWER(I56,2)+POWER(I55,2))</f>
        <v>2.8136056859613249E-13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0.24850488763747386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6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4.9725000000000001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  <c r="J64" s="3">
        <f>N5-PI()</f>
        <v>-5.497787143782138</v>
      </c>
      <c r="Q64" s="8">
        <f>IF(AND(B3=0,B4=0),0,J64)</f>
        <v>-5.497787143782138</v>
      </c>
      <c r="X64">
        <v>1.75</v>
      </c>
      <c r="Y64">
        <v>5</v>
      </c>
    </row>
    <row r="65" spans="1:25" x14ac:dyDescent="0.25">
      <c r="A65" s="1" t="s">
        <v>40</v>
      </c>
      <c r="B65" s="24">
        <v>5.3068830122570549</v>
      </c>
      <c r="C65" t="s">
        <v>22</v>
      </c>
      <c r="D65" t="s">
        <v>29</v>
      </c>
      <c r="J65" s="1">
        <f>MAX(C13:C21)*0.5</f>
        <v>6</v>
      </c>
      <c r="Q65">
        <f>MAX(C84:C92)-MIN(C84:C92)</f>
        <v>12.727922061357859</v>
      </c>
      <c r="X65">
        <v>2</v>
      </c>
      <c r="Y65">
        <v>4.5</v>
      </c>
    </row>
    <row r="66" spans="1:25" x14ac:dyDescent="0.25">
      <c r="A66" s="11" t="s">
        <v>42</v>
      </c>
      <c r="B66" s="24">
        <v>5.0117098284384216</v>
      </c>
      <c r="C66" t="s">
        <v>11</v>
      </c>
      <c r="D66">
        <f>B66/B53</f>
        <v>1.2966229905080147E-3</v>
      </c>
      <c r="I66" s="20"/>
      <c r="J66" s="1">
        <f>MAX(AC14:AC21)</f>
        <v>2.6587301587301591</v>
      </c>
      <c r="Q66">
        <f>MAX(AC14:AC21)</f>
        <v>2.6587301587301591</v>
      </c>
      <c r="X66">
        <v>2.25</v>
      </c>
      <c r="Y66">
        <v>4.5</v>
      </c>
    </row>
    <row r="67" spans="1:25" x14ac:dyDescent="0.25">
      <c r="A67" s="1" t="s">
        <v>37</v>
      </c>
      <c r="B67" s="24">
        <v>5.3284858694512796</v>
      </c>
      <c r="C67" t="s">
        <v>36</v>
      </c>
      <c r="D67" t="s">
        <v>122</v>
      </c>
      <c r="G67" s="20">
        <f ca="1">($B$56*$B$66*$B$55*$E$122)/$B$65</f>
        <v>5.328485869451284</v>
      </c>
      <c r="H67" t="s">
        <v>36</v>
      </c>
      <c r="I67">
        <f ca="1">IF(B67=0,0,1-G67/B67)</f>
        <v>-8.8817841970012523E-16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8"/>
        <v>1</v>
      </c>
      <c r="B73" s="4">
        <f t="shared" ref="B73:B81" si="49">B13-$B$9</f>
        <v>-3</v>
      </c>
      <c r="C73" s="4">
        <f t="shared" ref="C73:C81" si="50">C13-$C$9</f>
        <v>-9</v>
      </c>
      <c r="E73" s="1">
        <v>0</v>
      </c>
      <c r="F73" s="1">
        <v>0</v>
      </c>
      <c r="H73" s="1">
        <f t="shared" ref="H73:H81" si="51">A25</f>
        <v>1</v>
      </c>
      <c r="I73" s="4">
        <f>B25-$B$9</f>
        <v>-3</v>
      </c>
      <c r="J73" s="4">
        <f>C25-$C$9</f>
        <v>-9</v>
      </c>
      <c r="Q73" cm="1">
        <f t="array" ref="Q73">(-1*MAX(ABS(B84:C91)))-1</f>
        <v>-9.4852813742385731</v>
      </c>
      <c r="R73">
        <f>Q73</f>
        <v>-9.4852813742385731</v>
      </c>
      <c r="X73">
        <v>4</v>
      </c>
      <c r="Y73">
        <v>4</v>
      </c>
    </row>
    <row r="74" spans="1:25" x14ac:dyDescent="0.25">
      <c r="A74" s="1">
        <f t="shared" si="48"/>
        <v>2</v>
      </c>
      <c r="B74" s="4">
        <f t="shared" si="49"/>
        <v>3</v>
      </c>
      <c r="C74" s="4">
        <f t="shared" si="50"/>
        <v>-9</v>
      </c>
      <c r="H74" s="1">
        <f t="shared" si="51"/>
        <v>2</v>
      </c>
      <c r="I74" s="4">
        <f t="shared" ref="I74:I81" si="52">B26-$B$9</f>
        <v>-3</v>
      </c>
      <c r="J74" s="4">
        <f t="shared" ref="J74:J81" si="53">C26-$C$9</f>
        <v>-9</v>
      </c>
      <c r="Q74">
        <f>-1*Q73</f>
        <v>9.4852813742385731</v>
      </c>
      <c r="R74">
        <f>Q74</f>
        <v>9.4852813742385731</v>
      </c>
    </row>
    <row r="75" spans="1:25" x14ac:dyDescent="0.25">
      <c r="A75" s="1">
        <f t="shared" si="48"/>
        <v>3</v>
      </c>
      <c r="B75" s="4">
        <f t="shared" si="49"/>
        <v>3</v>
      </c>
      <c r="C75" s="4">
        <f t="shared" si="50"/>
        <v>-3</v>
      </c>
      <c r="H75" s="1">
        <f t="shared" si="51"/>
        <v>3</v>
      </c>
      <c r="I75" s="4">
        <f t="shared" si="52"/>
        <v>-3</v>
      </c>
      <c r="J75" s="4">
        <f t="shared" si="53"/>
        <v>-9</v>
      </c>
    </row>
    <row r="76" spans="1:25" x14ac:dyDescent="0.25">
      <c r="A76" s="1">
        <f t="shared" si="48"/>
        <v>4</v>
      </c>
      <c r="B76" s="4">
        <f t="shared" si="49"/>
        <v>9</v>
      </c>
      <c r="C76" s="4">
        <f t="shared" si="50"/>
        <v>-3</v>
      </c>
      <c r="H76" s="1">
        <f t="shared" si="51"/>
        <v>4</v>
      </c>
      <c r="I76" s="4">
        <f t="shared" si="52"/>
        <v>-3</v>
      </c>
      <c r="J76" s="4">
        <f t="shared" si="53"/>
        <v>-9</v>
      </c>
    </row>
    <row r="77" spans="1:25" x14ac:dyDescent="0.25">
      <c r="A77" s="1">
        <f t="shared" si="48"/>
        <v>5</v>
      </c>
      <c r="B77" s="4">
        <f t="shared" si="49"/>
        <v>9</v>
      </c>
      <c r="C77" s="4">
        <f t="shared" si="50"/>
        <v>3</v>
      </c>
      <c r="H77" s="1">
        <f t="shared" si="51"/>
        <v>5</v>
      </c>
      <c r="I77" s="4">
        <f t="shared" si="52"/>
        <v>-3</v>
      </c>
      <c r="J77" s="4">
        <f t="shared" si="53"/>
        <v>-9</v>
      </c>
      <c r="Q77" t="s">
        <v>148</v>
      </c>
    </row>
    <row r="78" spans="1:25" x14ac:dyDescent="0.25">
      <c r="A78" s="1">
        <f t="shared" si="48"/>
        <v>6</v>
      </c>
      <c r="B78" s="4">
        <f t="shared" si="49"/>
        <v>-3</v>
      </c>
      <c r="C78" s="4">
        <f t="shared" si="50"/>
        <v>3</v>
      </c>
      <c r="H78" s="1">
        <f t="shared" si="51"/>
        <v>6</v>
      </c>
      <c r="I78" s="4">
        <f t="shared" si="52"/>
        <v>-3</v>
      </c>
      <c r="J78" s="4">
        <f t="shared" si="53"/>
        <v>-9</v>
      </c>
      <c r="Q78" t="s">
        <v>27</v>
      </c>
      <c r="R78" t="s">
        <v>28</v>
      </c>
    </row>
    <row r="79" spans="1:25" x14ac:dyDescent="0.25">
      <c r="A79" s="1">
        <f t="shared" si="48"/>
        <v>7</v>
      </c>
      <c r="B79" s="4">
        <f t="shared" si="49"/>
        <v>-3</v>
      </c>
      <c r="C79" s="4">
        <f t="shared" si="50"/>
        <v>-9</v>
      </c>
      <c r="H79" s="1">
        <f t="shared" si="51"/>
        <v>7</v>
      </c>
      <c r="I79" s="4">
        <f t="shared" si="52"/>
        <v>-3</v>
      </c>
      <c r="J79" s="4">
        <f t="shared" si="53"/>
        <v>-9</v>
      </c>
      <c r="Q79">
        <f>(I126*COS(-1*$B$64))+(J126*SIN(-1*$B$64))</f>
        <v>-5.9545738162558957</v>
      </c>
      <c r="R79">
        <f>(-1*F126*SIN(-1*$B$64))+(G126*COS(-1*$B$64))</f>
        <v>-7.4596397461171966</v>
      </c>
    </row>
    <row r="80" spans="1:25" x14ac:dyDescent="0.25">
      <c r="A80" s="1">
        <f t="shared" si="48"/>
        <v>8</v>
      </c>
      <c r="B80" s="4">
        <f t="shared" si="49"/>
        <v>-3</v>
      </c>
      <c r="C80" s="4">
        <f t="shared" si="50"/>
        <v>-9</v>
      </c>
      <c r="H80" s="1">
        <f t="shared" si="51"/>
        <v>8</v>
      </c>
      <c r="I80" s="4">
        <f t="shared" si="52"/>
        <v>-3</v>
      </c>
      <c r="J80" s="4">
        <f t="shared" si="53"/>
        <v>-9</v>
      </c>
      <c r="Q80">
        <f>(I127*COS(-1*$B$64))+(J127*SIN(-1*$B$64))</f>
        <v>7.459639746117209</v>
      </c>
      <c r="R80">
        <f>(-1*F127*SIN(-1*$B$64))+(G127*COS(-1*$B$64))</f>
        <v>5.9545738162558886</v>
      </c>
    </row>
    <row r="81" spans="1:18" x14ac:dyDescent="0.25">
      <c r="A81" s="1">
        <f t="shared" si="48"/>
        <v>9</v>
      </c>
      <c r="B81" s="4">
        <f t="shared" si="49"/>
        <v>-3</v>
      </c>
      <c r="C81" s="4">
        <f t="shared" si="50"/>
        <v>-9</v>
      </c>
      <c r="H81" s="1">
        <f t="shared" si="51"/>
        <v>9</v>
      </c>
      <c r="I81" s="4">
        <f t="shared" si="52"/>
        <v>-3</v>
      </c>
      <c r="J81" s="4">
        <f t="shared" si="53"/>
        <v>-9</v>
      </c>
    </row>
    <row r="82" spans="1:18" x14ac:dyDescent="0.25">
      <c r="A82" t="s">
        <v>30</v>
      </c>
      <c r="B82" s="9"/>
      <c r="H82" t="s">
        <v>139</v>
      </c>
      <c r="Q82" s="4">
        <f>Q79+$B$9</f>
        <v>-2.9545738162558957</v>
      </c>
      <c r="R82" s="4">
        <f>R79+$C$9</f>
        <v>1.5403602538828034</v>
      </c>
    </row>
    <row r="83" spans="1:18" x14ac:dyDescent="0.25">
      <c r="A83" s="1" t="str">
        <f t="shared" ref="A83:A92" si="5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10.459639746117208</v>
      </c>
      <c r="R83" s="4">
        <f>R80+$C$9</f>
        <v>14.954573816255888</v>
      </c>
    </row>
    <row r="84" spans="1:18" x14ac:dyDescent="0.25">
      <c r="A84" s="1">
        <f t="shared" si="54"/>
        <v>1</v>
      </c>
      <c r="B84" s="4">
        <f t="shared" ref="B84:B92" si="55">(B73*COS($B$64))+(C73*SIN($B$64))</f>
        <v>-8.4852813742385678</v>
      </c>
      <c r="C84" s="1">
        <f t="shared" ref="C84:C92" si="56">(-1*B73*SIN($B$64))+(C73*COS($B$64))</f>
        <v>-4.242640687119291</v>
      </c>
      <c r="H84" s="1">
        <f t="shared" ref="H84:H92" si="57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8" x14ac:dyDescent="0.25">
      <c r="A85" s="1">
        <f t="shared" si="54"/>
        <v>2</v>
      </c>
      <c r="B85" s="4">
        <f t="shared" si="55"/>
        <v>-4.2426406871192786</v>
      </c>
      <c r="C85" s="1">
        <f t="shared" si="56"/>
        <v>-8.4852813742385731</v>
      </c>
      <c r="H85" s="1">
        <f t="shared" si="57"/>
        <v>2</v>
      </c>
      <c r="I85" s="4">
        <f t="shared" ref="I85:I92" si="58">(I74*COS($B$64))+(J74*SIN($B$64))</f>
        <v>-8.4852813742385678</v>
      </c>
      <c r="J85" s="1">
        <f t="shared" ref="J85:J92" si="59">(-1*I74*SIN($B$64))+(J74*COS($B$64))</f>
        <v>-4.242640687119291</v>
      </c>
      <c r="Q85" t="s">
        <v>149</v>
      </c>
    </row>
    <row r="86" spans="1:18" x14ac:dyDescent="0.25">
      <c r="A86" s="1">
        <f t="shared" si="54"/>
        <v>3</v>
      </c>
      <c r="B86" s="4">
        <f t="shared" si="55"/>
        <v>0</v>
      </c>
      <c r="C86" s="1">
        <f t="shared" si="56"/>
        <v>-4.2426406871192857</v>
      </c>
      <c r="H86" s="1">
        <f t="shared" si="57"/>
        <v>3</v>
      </c>
      <c r="I86" s="4">
        <f t="shared" si="58"/>
        <v>-8.4852813742385678</v>
      </c>
      <c r="J86" s="1">
        <f t="shared" si="59"/>
        <v>-4.242640687119291</v>
      </c>
      <c r="Q86" t="s">
        <v>27</v>
      </c>
      <c r="R86" t="s">
        <v>28</v>
      </c>
    </row>
    <row r="87" spans="1:18" x14ac:dyDescent="0.25">
      <c r="A87" s="1">
        <f t="shared" si="54"/>
        <v>4</v>
      </c>
      <c r="B87" s="4">
        <f t="shared" si="55"/>
        <v>4.242640687119291</v>
      </c>
      <c r="C87" s="1">
        <f t="shared" si="56"/>
        <v>-8.4852813742385678</v>
      </c>
      <c r="H87" s="1">
        <f t="shared" si="57"/>
        <v>4</v>
      </c>
      <c r="I87" s="4">
        <f t="shared" si="58"/>
        <v>-8.4852813742385678</v>
      </c>
      <c r="J87" s="1">
        <f t="shared" si="59"/>
        <v>-4.242640687119291</v>
      </c>
      <c r="Q87">
        <f>(P142*COS(-1*$B$64))+(P143*SIN(-1*$B$64))</f>
        <v>-1.1237335175346697</v>
      </c>
      <c r="R87">
        <f>(-1*P142*SIN(-1*$B$64))+(P143*COS(-1*$B$64))</f>
        <v>1.1237335175346752</v>
      </c>
    </row>
    <row r="88" spans="1:18" x14ac:dyDescent="0.25">
      <c r="A88" s="1">
        <f t="shared" si="54"/>
        <v>5</v>
      </c>
      <c r="B88" s="4">
        <f t="shared" si="55"/>
        <v>8.4852813742385731</v>
      </c>
      <c r="C88" s="1">
        <f t="shared" si="56"/>
        <v>-4.2426406871192786</v>
      </c>
      <c r="H88" s="1">
        <f t="shared" si="57"/>
        <v>5</v>
      </c>
      <c r="I88" s="4">
        <f t="shared" si="58"/>
        <v>-8.4852813742385678</v>
      </c>
      <c r="J88" s="1">
        <f t="shared" si="59"/>
        <v>-4.242640687119291</v>
      </c>
    </row>
    <row r="89" spans="1:18" x14ac:dyDescent="0.25">
      <c r="A89" s="1">
        <f t="shared" si="54"/>
        <v>6</v>
      </c>
      <c r="B89" s="4">
        <f t="shared" si="55"/>
        <v>0</v>
      </c>
      <c r="C89" s="1">
        <f t="shared" si="56"/>
        <v>4.2426406871192857</v>
      </c>
      <c r="H89" s="1">
        <f t="shared" si="57"/>
        <v>6</v>
      </c>
      <c r="I89" s="4">
        <f t="shared" si="58"/>
        <v>-8.4852813742385678</v>
      </c>
      <c r="J89" s="1">
        <f t="shared" si="59"/>
        <v>-4.242640687119291</v>
      </c>
    </row>
    <row r="90" spans="1:18" x14ac:dyDescent="0.25">
      <c r="A90" s="1">
        <f t="shared" si="54"/>
        <v>7</v>
      </c>
      <c r="B90" s="4">
        <f t="shared" si="55"/>
        <v>-8.4852813742385678</v>
      </c>
      <c r="C90" s="1">
        <f t="shared" si="56"/>
        <v>-4.242640687119291</v>
      </c>
      <c r="H90" s="1">
        <f t="shared" si="57"/>
        <v>7</v>
      </c>
      <c r="I90" s="4">
        <f t="shared" si="58"/>
        <v>-8.4852813742385678</v>
      </c>
      <c r="J90" s="1">
        <f t="shared" si="59"/>
        <v>-4.242640687119291</v>
      </c>
      <c r="Q90" s="4">
        <f>Q87+$B$9</f>
        <v>1.8762664824653303</v>
      </c>
      <c r="R90" s="4">
        <f>R87+$C$9</f>
        <v>10.123733517534674</v>
      </c>
    </row>
    <row r="91" spans="1:18" x14ac:dyDescent="0.25">
      <c r="A91" s="1">
        <f t="shared" si="54"/>
        <v>8</v>
      </c>
      <c r="B91" s="4">
        <f t="shared" si="55"/>
        <v>-8.4852813742385678</v>
      </c>
      <c r="C91" s="1">
        <f t="shared" si="56"/>
        <v>-4.242640687119291</v>
      </c>
      <c r="H91" s="1">
        <f t="shared" si="57"/>
        <v>8</v>
      </c>
      <c r="I91" s="4">
        <f t="shared" si="58"/>
        <v>-8.4852813742385678</v>
      </c>
      <c r="J91" s="1">
        <f t="shared" si="59"/>
        <v>-4.242640687119291</v>
      </c>
    </row>
    <row r="92" spans="1:18" x14ac:dyDescent="0.25">
      <c r="A92" s="1">
        <f t="shared" si="54"/>
        <v>9</v>
      </c>
      <c r="B92" s="4">
        <f t="shared" si="55"/>
        <v>-8.4852813742385678</v>
      </c>
      <c r="C92" s="1">
        <f t="shared" si="56"/>
        <v>-4.242640687119291</v>
      </c>
      <c r="H92" s="1">
        <f t="shared" si="57"/>
        <v>9</v>
      </c>
      <c r="I92" s="4">
        <f t="shared" si="58"/>
        <v>-8.4852813742385678</v>
      </c>
      <c r="J92" s="1">
        <f t="shared" si="59"/>
        <v>-4.242640687119291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0">A37</f>
        <v>1</v>
      </c>
      <c r="B95" s="4">
        <f t="shared" ref="B95:B106" si="61">B37-$B$9</f>
        <v>-1.5</v>
      </c>
      <c r="C95" s="4">
        <f t="shared" ref="C95:C106" si="62">C37-$C$9</f>
        <v>-7.5</v>
      </c>
      <c r="D95" t="str">
        <f t="shared" ref="D95:D106" si="63">D37</f>
        <v>y</v>
      </c>
    </row>
    <row r="96" spans="1:18" x14ac:dyDescent="0.25">
      <c r="A96">
        <f t="shared" si="60"/>
        <v>2</v>
      </c>
      <c r="B96" s="4">
        <f t="shared" si="61"/>
        <v>1.5</v>
      </c>
      <c r="C96" s="4">
        <f t="shared" si="62"/>
        <v>-7.5</v>
      </c>
      <c r="D96" t="str">
        <f t="shared" si="63"/>
        <v>y</v>
      </c>
    </row>
    <row r="97" spans="1:28" x14ac:dyDescent="0.25">
      <c r="A97">
        <f t="shared" si="60"/>
        <v>3</v>
      </c>
      <c r="B97" s="4">
        <f t="shared" si="61"/>
        <v>7.5</v>
      </c>
      <c r="C97" s="4">
        <f t="shared" si="62"/>
        <v>-1.5</v>
      </c>
      <c r="D97" t="str">
        <f t="shared" si="63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0"/>
        <v>4</v>
      </c>
      <c r="B98" s="4">
        <f t="shared" si="61"/>
        <v>7.5</v>
      </c>
      <c r="C98" s="4">
        <f t="shared" si="62"/>
        <v>1.5</v>
      </c>
      <c r="D98" t="str">
        <f t="shared" si="63"/>
        <v>y</v>
      </c>
    </row>
    <row r="99" spans="1:28" x14ac:dyDescent="0.25">
      <c r="A99">
        <f t="shared" si="60"/>
        <v>5</v>
      </c>
      <c r="B99" s="4">
        <f t="shared" si="61"/>
        <v>-3</v>
      </c>
      <c r="C99" s="4">
        <f t="shared" si="62"/>
        <v>-9</v>
      </c>
      <c r="D99" t="str">
        <f t="shared" si="63"/>
        <v>n</v>
      </c>
    </row>
    <row r="100" spans="1:28" x14ac:dyDescent="0.25">
      <c r="A100">
        <f t="shared" si="60"/>
        <v>6</v>
      </c>
      <c r="B100" s="4">
        <f t="shared" si="61"/>
        <v>-3</v>
      </c>
      <c r="C100" s="4">
        <f t="shared" si="62"/>
        <v>-9</v>
      </c>
      <c r="D100" t="str">
        <f t="shared" si="63"/>
        <v>n</v>
      </c>
    </row>
    <row r="101" spans="1:28" x14ac:dyDescent="0.25">
      <c r="A101">
        <f t="shared" si="60"/>
        <v>7</v>
      </c>
      <c r="B101" s="4">
        <f t="shared" si="61"/>
        <v>-3</v>
      </c>
      <c r="C101" s="4">
        <f t="shared" si="62"/>
        <v>-9</v>
      </c>
      <c r="D101" t="str">
        <f t="shared" si="63"/>
        <v>n</v>
      </c>
    </row>
    <row r="102" spans="1:28" x14ac:dyDescent="0.25">
      <c r="A102">
        <f t="shared" si="60"/>
        <v>8</v>
      </c>
      <c r="B102" s="4">
        <f t="shared" si="61"/>
        <v>-3</v>
      </c>
      <c r="C102" s="4">
        <f t="shared" si="62"/>
        <v>-9</v>
      </c>
      <c r="D102" t="str">
        <f t="shared" si="63"/>
        <v>n</v>
      </c>
    </row>
    <row r="103" spans="1:28" x14ac:dyDescent="0.25">
      <c r="A103">
        <f t="shared" si="60"/>
        <v>9</v>
      </c>
      <c r="B103" s="4">
        <f t="shared" si="61"/>
        <v>-3</v>
      </c>
      <c r="C103" s="4">
        <f t="shared" si="62"/>
        <v>-9</v>
      </c>
      <c r="D103" t="str">
        <f t="shared" si="63"/>
        <v>n</v>
      </c>
    </row>
    <row r="104" spans="1:28" x14ac:dyDescent="0.25">
      <c r="A104">
        <f t="shared" si="60"/>
        <v>10</v>
      </c>
      <c r="B104" s="4">
        <f t="shared" si="61"/>
        <v>-3</v>
      </c>
      <c r="C104" s="4">
        <f t="shared" si="62"/>
        <v>-9</v>
      </c>
      <c r="D104" t="str">
        <f t="shared" si="63"/>
        <v>n</v>
      </c>
    </row>
    <row r="105" spans="1:28" x14ac:dyDescent="0.25">
      <c r="A105">
        <f t="shared" si="60"/>
        <v>11</v>
      </c>
      <c r="B105" s="4">
        <f t="shared" si="61"/>
        <v>-3</v>
      </c>
      <c r="C105" s="4">
        <f t="shared" si="62"/>
        <v>-9</v>
      </c>
      <c r="D105" t="str">
        <f t="shared" si="63"/>
        <v>n</v>
      </c>
    </row>
    <row r="106" spans="1:28" x14ac:dyDescent="0.25">
      <c r="A106">
        <f t="shared" si="60"/>
        <v>12</v>
      </c>
      <c r="B106" s="4">
        <f t="shared" si="61"/>
        <v>-3</v>
      </c>
      <c r="C106" s="4">
        <f t="shared" si="62"/>
        <v>-9</v>
      </c>
      <c r="D106" t="str">
        <f t="shared" si="6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64">D95</f>
        <v>y</v>
      </c>
      <c r="E110" s="4">
        <f t="shared" ref="E110:E121" si="65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66">IF($E$122=0,0,-1*MAX(($B$67/$E$122)*(E110),0))</f>
        <v>-3.1956508826776036</v>
      </c>
      <c r="I110">
        <f>H110*C110</f>
        <v>13.557998456676671</v>
      </c>
      <c r="J110">
        <f>H110*B110*-1</f>
        <v>-20.336997685014978</v>
      </c>
      <c r="K110">
        <f ca="1">H110/$B$55</f>
        <v>-22.520629719738057</v>
      </c>
      <c r="L110">
        <f ca="1">K110/$B$54</f>
        <v>-7.7657343861165711E-4</v>
      </c>
      <c r="M110">
        <f t="shared" ref="M110:M121" si="67">IFERROR(($D$66/$B$65)*(G110-$B$125),0)</f>
        <v>-7.7657343861165786E-4</v>
      </c>
      <c r="N110">
        <f t="shared" ref="N110:N121" si="68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-6.3639610306789249</v>
      </c>
      <c r="R110">
        <f>IF($H110&lt;0,G110,NA())</f>
        <v>-4.2426406871192892</v>
      </c>
      <c r="T110">
        <f>(Q110*COS(-1*$B$64))+(R110*SIN(-1*$B$64))</f>
        <v>-1.5</v>
      </c>
      <c r="U110">
        <f>(-1*Q110*SIN(-1*$B$64))+(R110*COS(-1*$B$64))</f>
        <v>-7.5</v>
      </c>
      <c r="W110" s="4">
        <f>T110+$B$9</f>
        <v>1.5</v>
      </c>
      <c r="X110" s="4">
        <f>U110+$C$9</f>
        <v>1.5</v>
      </c>
      <c r="Y110">
        <f t="shared" ref="Y110:Y121" si="69">IF(AND($E$60="n",M110&gt;0,D110="y"),M110*$B$53*$E$59,0)</f>
        <v>0</v>
      </c>
      <c r="AB110" t="str">
        <f t="shared" ref="AB110:AB121" si="70">IF(H110&lt;&gt;0,CHAR(10)&amp;CHAR(10)&amp;ROUND(ABS(H110),4)&amp;" kips",IF(AND($E$60="n",D110="y"),CHAR(10)&amp;CHAR(10)&amp;ROUND(ABS(Y110),4)&amp;" kips",""))</f>
        <v xml:space="preserve">
3.1957 kips</v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-4.2426406871192812</v>
      </c>
      <c r="C111" s="1">
        <f t="shared" ref="C111:C121" si="73">(-1*B96*SIN($B$64))+(C96*COS($B$64))</f>
        <v>-6.3639610306789312</v>
      </c>
      <c r="D111" t="str">
        <f t="shared" si="71"/>
        <v>y</v>
      </c>
      <c r="E111" s="4">
        <f t="shared" si="65"/>
        <v>5.2997187055411619</v>
      </c>
      <c r="F111" s="1">
        <f t="shared" ref="F111:F121" si="74">IF($D111="y",B111,NA())</f>
        <v>-4.2426406871192812</v>
      </c>
      <c r="G111" s="1">
        <f t="shared" ref="G111:G121" si="75">IF($D111="y",C111,NA())</f>
        <v>-6.3639610306789312</v>
      </c>
      <c r="H111">
        <f t="shared" si="66"/>
        <v>-5.3284858694512787</v>
      </c>
      <c r="I111">
        <f t="shared" ref="I111:I121" si="76">H111*C111</f>
        <v>33.910276425711281</v>
      </c>
      <c r="J111">
        <f t="shared" ref="J111:J121" si="77">H111*B111*-1</f>
        <v>-22.606850950474154</v>
      </c>
      <c r="K111">
        <f ca="1">H111/$B$55</f>
        <v>-37.551303830855652</v>
      </c>
      <c r="L111">
        <f t="shared" ref="L111:L121" ca="1" si="78">K111/$B$54</f>
        <v>-1.2948725458915742E-3</v>
      </c>
      <c r="M111">
        <f t="shared" si="67"/>
        <v>-1.2948725458915755E-3</v>
      </c>
      <c r="N111">
        <f t="shared" si="68"/>
        <v>0</v>
      </c>
      <c r="O111">
        <f t="shared" ref="O111:O121" si="79">N111*C111</f>
        <v>0</v>
      </c>
      <c r="P111">
        <f t="shared" ref="P111:P121" si="80">N111*B111*-1</f>
        <v>0</v>
      </c>
      <c r="Q111">
        <f t="shared" ref="Q111:Q121" si="81">IF($H111&lt;0,F111,NA())</f>
        <v>-4.2426406871192812</v>
      </c>
      <c r="R111">
        <f t="shared" ref="R111:R121" si="82">IF($H111&lt;0,G111,NA())</f>
        <v>-6.3639610306789312</v>
      </c>
      <c r="T111">
        <f t="shared" ref="T111:T121" si="83">(Q111*COS(-1*$B$64))+(R111*SIN(-1*$B$64))</f>
        <v>1.5</v>
      </c>
      <c r="U111">
        <f t="shared" ref="U111:U121" si="84">(-1*Q111*SIN(-1*$B$64))+(R111*COS(-1*$B$64))</f>
        <v>-7.5</v>
      </c>
      <c r="W111" s="4">
        <f t="shared" ref="W111:W121" si="85">T111+$B$9</f>
        <v>4.5</v>
      </c>
      <c r="X111" s="4">
        <f t="shared" ref="X111:X121" si="86">U111+$C$9</f>
        <v>1.5</v>
      </c>
      <c r="Y111">
        <f t="shared" si="69"/>
        <v>0</v>
      </c>
      <c r="AB111" t="str">
        <f t="shared" si="70"/>
        <v xml:space="preserve">
5.3285 kips</v>
      </c>
    </row>
    <row r="112" spans="1:28" x14ac:dyDescent="0.25">
      <c r="A112">
        <f t="shared" ref="A112:D112" si="87">A97</f>
        <v>3</v>
      </c>
      <c r="B112" s="1">
        <f t="shared" si="72"/>
        <v>4.2426406871192892</v>
      </c>
      <c r="C112" s="1">
        <f t="shared" si="73"/>
        <v>-6.3639610306789249</v>
      </c>
      <c r="D112" t="str">
        <f t="shared" si="87"/>
        <v>y</v>
      </c>
      <c r="E112" s="4">
        <f t="shared" si="65"/>
        <v>5.2997187055411556</v>
      </c>
      <c r="F112" s="1">
        <f t="shared" si="74"/>
        <v>4.2426406871192892</v>
      </c>
      <c r="G112" s="1">
        <f t="shared" si="75"/>
        <v>-6.3639610306789249</v>
      </c>
      <c r="H112">
        <f t="shared" si="66"/>
        <v>-5.3284858694512724</v>
      </c>
      <c r="I112">
        <f t="shared" si="76"/>
        <v>33.91027642571121</v>
      </c>
      <c r="J112">
        <f t="shared" si="77"/>
        <v>22.606850950474168</v>
      </c>
      <c r="K112">
        <f t="shared" ref="K112:K121" ca="1" si="88">H112/$B$55</f>
        <v>-37.551303830855609</v>
      </c>
      <c r="L112">
        <f t="shared" ca="1" si="78"/>
        <v>-1.2948725458915727E-3</v>
      </c>
      <c r="M112">
        <f t="shared" si="67"/>
        <v>-1.294872545891574E-3</v>
      </c>
      <c r="N112">
        <f t="shared" si="68"/>
        <v>0</v>
      </c>
      <c r="O112">
        <f t="shared" si="79"/>
        <v>0</v>
      </c>
      <c r="P112">
        <f t="shared" si="80"/>
        <v>0</v>
      </c>
      <c r="Q112">
        <f t="shared" si="81"/>
        <v>4.2426406871192892</v>
      </c>
      <c r="R112">
        <f t="shared" si="82"/>
        <v>-6.3639610306789249</v>
      </c>
      <c r="T112">
        <f t="shared" si="83"/>
        <v>7.5</v>
      </c>
      <c r="U112">
        <f t="shared" si="84"/>
        <v>-1.5</v>
      </c>
      <c r="W112" s="4">
        <f t="shared" si="85"/>
        <v>10.5</v>
      </c>
      <c r="X112" s="4">
        <f t="shared" si="86"/>
        <v>7.5</v>
      </c>
      <c r="Y112">
        <f t="shared" si="69"/>
        <v>0</v>
      </c>
      <c r="AB112" t="str">
        <f t="shared" si="70"/>
        <v xml:space="preserve">
5.3285 kips</v>
      </c>
    </row>
    <row r="113" spans="1:28" x14ac:dyDescent="0.25">
      <c r="A113">
        <f t="shared" ref="A113:D113" si="89">A98</f>
        <v>4</v>
      </c>
      <c r="B113" s="1">
        <f t="shared" si="72"/>
        <v>6.3639610306789312</v>
      </c>
      <c r="C113" s="1">
        <f t="shared" si="73"/>
        <v>-4.2426406871192812</v>
      </c>
      <c r="D113" t="str">
        <f t="shared" si="89"/>
        <v>y</v>
      </c>
      <c r="E113" s="4">
        <f t="shared" si="65"/>
        <v>3.1783983619815119</v>
      </c>
      <c r="F113" s="1">
        <f t="shared" si="74"/>
        <v>6.3639610306789312</v>
      </c>
      <c r="G113" s="1">
        <f t="shared" si="75"/>
        <v>-4.2426406871192812</v>
      </c>
      <c r="H113">
        <f t="shared" si="66"/>
        <v>-3.1956508826775956</v>
      </c>
      <c r="I113">
        <f t="shared" si="76"/>
        <v>13.557998456676611</v>
      </c>
      <c r="J113">
        <f t="shared" si="77"/>
        <v>20.336997685014946</v>
      </c>
      <c r="K113">
        <f t="shared" ca="1" si="88"/>
        <v>-22.520629719738</v>
      </c>
      <c r="L113">
        <f t="shared" ca="1" si="78"/>
        <v>-7.7657343861165515E-4</v>
      </c>
      <c r="M113">
        <f t="shared" si="67"/>
        <v>-7.7657343861165591E-4</v>
      </c>
      <c r="N113">
        <f t="shared" si="68"/>
        <v>0</v>
      </c>
      <c r="O113">
        <f t="shared" si="79"/>
        <v>0</v>
      </c>
      <c r="P113">
        <f t="shared" si="80"/>
        <v>0</v>
      </c>
      <c r="Q113">
        <f t="shared" si="81"/>
        <v>6.3639610306789312</v>
      </c>
      <c r="R113">
        <f t="shared" si="82"/>
        <v>-4.2426406871192812</v>
      </c>
      <c r="T113">
        <f t="shared" si="83"/>
        <v>7.5</v>
      </c>
      <c r="U113">
        <f t="shared" si="84"/>
        <v>1.5</v>
      </c>
      <c r="W113" s="4">
        <f t="shared" si="85"/>
        <v>10.5</v>
      </c>
      <c r="X113" s="4">
        <f t="shared" si="86"/>
        <v>10.5</v>
      </c>
      <c r="Y113">
        <f t="shared" si="69"/>
        <v>0</v>
      </c>
      <c r="AB113" t="str">
        <f t="shared" si="70"/>
        <v xml:space="preserve">
3.1957 kips</v>
      </c>
    </row>
    <row r="114" spans="1:28" x14ac:dyDescent="0.25">
      <c r="A114">
        <f t="shared" ref="A114:D114" si="90">A99</f>
        <v>5</v>
      </c>
      <c r="B114" s="1">
        <f t="shared" si="72"/>
        <v>-8.4852813742385678</v>
      </c>
      <c r="C114" s="1">
        <f t="shared" si="73"/>
        <v>-4.242640687119291</v>
      </c>
      <c r="D114" t="str">
        <f t="shared" si="90"/>
        <v>n</v>
      </c>
      <c r="E114" s="4">
        <f t="shared" si="65"/>
        <v>0</v>
      </c>
      <c r="F114" s="1" t="e">
        <f t="shared" si="74"/>
        <v>#N/A</v>
      </c>
      <c r="G114" s="1" t="e">
        <f t="shared" si="75"/>
        <v>#N/A</v>
      </c>
      <c r="H114">
        <f t="shared" si="66"/>
        <v>0</v>
      </c>
      <c r="I114">
        <f t="shared" si="76"/>
        <v>0</v>
      </c>
      <c r="J114">
        <f t="shared" si="77"/>
        <v>0</v>
      </c>
      <c r="K114">
        <f t="shared" ca="1" si="88"/>
        <v>0</v>
      </c>
      <c r="L114">
        <f t="shared" ca="1" si="78"/>
        <v>0</v>
      </c>
      <c r="M114">
        <f t="shared" si="67"/>
        <v>0</v>
      </c>
      <c r="N114">
        <f t="shared" si="68"/>
        <v>0</v>
      </c>
      <c r="O114">
        <f t="shared" si="79"/>
        <v>0</v>
      </c>
      <c r="P114">
        <f t="shared" si="80"/>
        <v>0</v>
      </c>
      <c r="Q114" t="e">
        <f t="shared" si="81"/>
        <v>#N/A</v>
      </c>
      <c r="R114" t="e">
        <f t="shared" si="82"/>
        <v>#N/A</v>
      </c>
      <c r="T114" t="e">
        <f t="shared" si="83"/>
        <v>#N/A</v>
      </c>
      <c r="U114" t="e">
        <f t="shared" si="84"/>
        <v>#N/A</v>
      </c>
      <c r="W114" s="4" t="e">
        <f t="shared" si="85"/>
        <v>#N/A</v>
      </c>
      <c r="X114" s="4" t="e">
        <f t="shared" si="86"/>
        <v>#N/A</v>
      </c>
      <c r="Y114">
        <f t="shared" si="69"/>
        <v>0</v>
      </c>
      <c r="AB114" t="str">
        <f t="shared" si="70"/>
        <v/>
      </c>
    </row>
    <row r="115" spans="1:28" x14ac:dyDescent="0.25">
      <c r="A115">
        <f t="shared" ref="A115:D115" si="91">A100</f>
        <v>6</v>
      </c>
      <c r="B115" s="1">
        <f t="shared" si="72"/>
        <v>-8.4852813742385678</v>
      </c>
      <c r="C115" s="1">
        <f t="shared" si="73"/>
        <v>-4.242640687119291</v>
      </c>
      <c r="D115" t="str">
        <f t="shared" si="91"/>
        <v>n</v>
      </c>
      <c r="E115" s="4">
        <f t="shared" si="65"/>
        <v>0</v>
      </c>
      <c r="F115" s="1" t="e">
        <f t="shared" si="74"/>
        <v>#N/A</v>
      </c>
      <c r="G115" s="1" t="e">
        <f t="shared" si="75"/>
        <v>#N/A</v>
      </c>
      <c r="H115">
        <f t="shared" si="66"/>
        <v>0</v>
      </c>
      <c r="I115">
        <f t="shared" si="76"/>
        <v>0</v>
      </c>
      <c r="J115">
        <f t="shared" si="77"/>
        <v>0</v>
      </c>
      <c r="K115">
        <f t="shared" ca="1" si="88"/>
        <v>0</v>
      </c>
      <c r="L115">
        <f t="shared" ca="1" si="78"/>
        <v>0</v>
      </c>
      <c r="M115">
        <f t="shared" si="67"/>
        <v>0</v>
      </c>
      <c r="N115">
        <f t="shared" si="68"/>
        <v>0</v>
      </c>
      <c r="O115">
        <f t="shared" si="79"/>
        <v>0</v>
      </c>
      <c r="P115">
        <f t="shared" si="80"/>
        <v>0</v>
      </c>
      <c r="Q115" t="e">
        <f t="shared" si="81"/>
        <v>#N/A</v>
      </c>
      <c r="R115" t="e">
        <f t="shared" si="82"/>
        <v>#N/A</v>
      </c>
      <c r="T115" t="e">
        <f t="shared" si="83"/>
        <v>#N/A</v>
      </c>
      <c r="U115" t="e">
        <f t="shared" si="84"/>
        <v>#N/A</v>
      </c>
      <c r="W115" s="4" t="e">
        <f t="shared" si="85"/>
        <v>#N/A</v>
      </c>
      <c r="X115" s="4" t="e">
        <f t="shared" si="86"/>
        <v>#N/A</v>
      </c>
      <c r="Y115">
        <f t="shared" si="69"/>
        <v>0</v>
      </c>
      <c r="AB115" t="str">
        <f t="shared" si="70"/>
        <v/>
      </c>
    </row>
    <row r="116" spans="1:28" x14ac:dyDescent="0.25">
      <c r="A116">
        <f t="shared" ref="A116:D116" si="92">A101</f>
        <v>7</v>
      </c>
      <c r="B116" s="1">
        <f t="shared" si="72"/>
        <v>-8.4852813742385678</v>
      </c>
      <c r="C116" s="1">
        <f t="shared" si="73"/>
        <v>-4.242640687119291</v>
      </c>
      <c r="D116" t="str">
        <f t="shared" si="92"/>
        <v>n</v>
      </c>
      <c r="E116" s="4">
        <f t="shared" si="65"/>
        <v>0</v>
      </c>
      <c r="F116" s="1" t="e">
        <f t="shared" si="74"/>
        <v>#N/A</v>
      </c>
      <c r="G116" s="1" t="e">
        <f t="shared" si="75"/>
        <v>#N/A</v>
      </c>
      <c r="H116">
        <f t="shared" si="66"/>
        <v>0</v>
      </c>
      <c r="I116">
        <f t="shared" si="76"/>
        <v>0</v>
      </c>
      <c r="J116">
        <f t="shared" si="77"/>
        <v>0</v>
      </c>
      <c r="K116">
        <f t="shared" ca="1" si="88"/>
        <v>0</v>
      </c>
      <c r="L116">
        <f t="shared" ca="1" si="78"/>
        <v>0</v>
      </c>
      <c r="M116">
        <f t="shared" si="67"/>
        <v>0</v>
      </c>
      <c r="N116">
        <f t="shared" si="68"/>
        <v>0</v>
      </c>
      <c r="O116">
        <f t="shared" si="79"/>
        <v>0</v>
      </c>
      <c r="P116">
        <f t="shared" si="80"/>
        <v>0</v>
      </c>
      <c r="Q116" t="e">
        <f t="shared" si="81"/>
        <v>#N/A</v>
      </c>
      <c r="R116" t="e">
        <f t="shared" si="82"/>
        <v>#N/A</v>
      </c>
      <c r="T116" t="e">
        <f t="shared" si="83"/>
        <v>#N/A</v>
      </c>
      <c r="U116" t="e">
        <f t="shared" si="84"/>
        <v>#N/A</v>
      </c>
      <c r="W116" s="4" t="e">
        <f t="shared" si="85"/>
        <v>#N/A</v>
      </c>
      <c r="X116" s="4" t="e">
        <f t="shared" si="86"/>
        <v>#N/A</v>
      </c>
      <c r="Y116">
        <f t="shared" si="69"/>
        <v>0</v>
      </c>
      <c r="AB116" t="str">
        <f t="shared" si="70"/>
        <v/>
      </c>
    </row>
    <row r="117" spans="1:28" x14ac:dyDescent="0.25">
      <c r="A117">
        <f t="shared" ref="A117:D117" si="93">A102</f>
        <v>8</v>
      </c>
      <c r="B117" s="1">
        <f t="shared" si="72"/>
        <v>-8.4852813742385678</v>
      </c>
      <c r="C117" s="1">
        <f t="shared" si="73"/>
        <v>-4.242640687119291</v>
      </c>
      <c r="D117" t="str">
        <f t="shared" si="93"/>
        <v>n</v>
      </c>
      <c r="E117" s="4">
        <f t="shared" si="65"/>
        <v>0</v>
      </c>
      <c r="F117" s="1" t="e">
        <f t="shared" si="74"/>
        <v>#N/A</v>
      </c>
      <c r="G117" s="1" t="e">
        <f t="shared" si="75"/>
        <v>#N/A</v>
      </c>
      <c r="H117">
        <f t="shared" si="66"/>
        <v>0</v>
      </c>
      <c r="I117">
        <f t="shared" si="76"/>
        <v>0</v>
      </c>
      <c r="J117">
        <f t="shared" si="77"/>
        <v>0</v>
      </c>
      <c r="K117">
        <f t="shared" ca="1" si="88"/>
        <v>0</v>
      </c>
      <c r="L117">
        <f t="shared" ca="1" si="78"/>
        <v>0</v>
      </c>
      <c r="M117">
        <f t="shared" si="67"/>
        <v>0</v>
      </c>
      <c r="N117">
        <f t="shared" si="68"/>
        <v>0</v>
      </c>
      <c r="O117">
        <f t="shared" si="79"/>
        <v>0</v>
      </c>
      <c r="P117">
        <f t="shared" si="80"/>
        <v>0</v>
      </c>
      <c r="Q117" t="e">
        <f t="shared" si="81"/>
        <v>#N/A</v>
      </c>
      <c r="R117" t="e">
        <f t="shared" si="82"/>
        <v>#N/A</v>
      </c>
      <c r="T117" t="e">
        <f t="shared" si="83"/>
        <v>#N/A</v>
      </c>
      <c r="U117" t="e">
        <f t="shared" si="84"/>
        <v>#N/A</v>
      </c>
      <c r="W117" s="4" t="e">
        <f t="shared" si="85"/>
        <v>#N/A</v>
      </c>
      <c r="X117" s="4" t="e">
        <f t="shared" si="86"/>
        <v>#N/A</v>
      </c>
      <c r="Y117">
        <f t="shared" si="69"/>
        <v>0</v>
      </c>
      <c r="AB117" t="str">
        <f t="shared" si="70"/>
        <v/>
      </c>
    </row>
    <row r="118" spans="1:28" x14ac:dyDescent="0.25">
      <c r="A118">
        <f t="shared" ref="A118:D118" si="94">A103</f>
        <v>9</v>
      </c>
      <c r="B118" s="1">
        <f t="shared" si="72"/>
        <v>-8.4852813742385678</v>
      </c>
      <c r="C118" s="1">
        <f t="shared" si="73"/>
        <v>-4.242640687119291</v>
      </c>
      <c r="D118" t="str">
        <f t="shared" si="94"/>
        <v>n</v>
      </c>
      <c r="E118" s="4">
        <f t="shared" si="65"/>
        <v>0</v>
      </c>
      <c r="F118" s="1" t="e">
        <f t="shared" si="74"/>
        <v>#N/A</v>
      </c>
      <c r="G118" s="1" t="e">
        <f t="shared" si="75"/>
        <v>#N/A</v>
      </c>
      <c r="H118">
        <f t="shared" si="66"/>
        <v>0</v>
      </c>
      <c r="I118">
        <f t="shared" si="76"/>
        <v>0</v>
      </c>
      <c r="J118">
        <f t="shared" si="77"/>
        <v>0</v>
      </c>
      <c r="K118">
        <f t="shared" ca="1" si="88"/>
        <v>0</v>
      </c>
      <c r="L118">
        <f t="shared" ca="1" si="78"/>
        <v>0</v>
      </c>
      <c r="M118">
        <f t="shared" si="67"/>
        <v>0</v>
      </c>
      <c r="N118">
        <f t="shared" si="68"/>
        <v>0</v>
      </c>
      <c r="O118">
        <f t="shared" si="79"/>
        <v>0</v>
      </c>
      <c r="P118">
        <f t="shared" si="80"/>
        <v>0</v>
      </c>
      <c r="Q118" t="e">
        <f t="shared" si="81"/>
        <v>#N/A</v>
      </c>
      <c r="R118" t="e">
        <f t="shared" si="82"/>
        <v>#N/A</v>
      </c>
      <c r="T118" t="e">
        <f t="shared" si="83"/>
        <v>#N/A</v>
      </c>
      <c r="U118" t="e">
        <f t="shared" si="84"/>
        <v>#N/A</v>
      </c>
      <c r="W118" s="4" t="e">
        <f t="shared" si="85"/>
        <v>#N/A</v>
      </c>
      <c r="X118" s="4" t="e">
        <f t="shared" si="86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5">A104</f>
        <v>10</v>
      </c>
      <c r="B119" s="1">
        <f t="shared" si="72"/>
        <v>-8.4852813742385678</v>
      </c>
      <c r="C119" s="1">
        <f t="shared" si="73"/>
        <v>-4.242640687119291</v>
      </c>
      <c r="D119" t="str">
        <f t="shared" si="95"/>
        <v>n</v>
      </c>
      <c r="E119" s="4">
        <f t="shared" si="65"/>
        <v>0</v>
      </c>
      <c r="F119" s="1" t="e">
        <f t="shared" si="74"/>
        <v>#N/A</v>
      </c>
      <c r="G119" s="1" t="e">
        <f t="shared" si="75"/>
        <v>#N/A</v>
      </c>
      <c r="H119">
        <f t="shared" si="66"/>
        <v>0</v>
      </c>
      <c r="I119">
        <f t="shared" si="76"/>
        <v>0</v>
      </c>
      <c r="J119">
        <f t="shared" si="77"/>
        <v>0</v>
      </c>
      <c r="K119">
        <f t="shared" ca="1" si="88"/>
        <v>0</v>
      </c>
      <c r="L119">
        <f t="shared" ca="1" si="78"/>
        <v>0</v>
      </c>
      <c r="M119">
        <f t="shared" si="67"/>
        <v>0</v>
      </c>
      <c r="N119">
        <f t="shared" si="68"/>
        <v>0</v>
      </c>
      <c r="O119">
        <f t="shared" si="79"/>
        <v>0</v>
      </c>
      <c r="P119">
        <f t="shared" si="80"/>
        <v>0</v>
      </c>
      <c r="Q119" t="e">
        <f t="shared" si="81"/>
        <v>#N/A</v>
      </c>
      <c r="R119" t="e">
        <f t="shared" si="82"/>
        <v>#N/A</v>
      </c>
      <c r="T119" t="e">
        <f t="shared" si="83"/>
        <v>#N/A</v>
      </c>
      <c r="U119" t="e">
        <f t="shared" si="84"/>
        <v>#N/A</v>
      </c>
      <c r="W119" s="4" t="e">
        <f t="shared" si="85"/>
        <v>#N/A</v>
      </c>
      <c r="X119" s="4" t="e">
        <f t="shared" si="86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6">A105</f>
        <v>11</v>
      </c>
      <c r="B120" s="1">
        <f t="shared" si="72"/>
        <v>-8.4852813742385678</v>
      </c>
      <c r="C120" s="1">
        <f t="shared" si="73"/>
        <v>-4.242640687119291</v>
      </c>
      <c r="D120" t="str">
        <f t="shared" si="96"/>
        <v>n</v>
      </c>
      <c r="E120" s="4">
        <f t="shared" si="65"/>
        <v>0</v>
      </c>
      <c r="F120" s="1" t="e">
        <f t="shared" si="74"/>
        <v>#N/A</v>
      </c>
      <c r="G120" s="1" t="e">
        <f t="shared" si="75"/>
        <v>#N/A</v>
      </c>
      <c r="H120">
        <f t="shared" si="66"/>
        <v>0</v>
      </c>
      <c r="I120">
        <f t="shared" si="76"/>
        <v>0</v>
      </c>
      <c r="J120">
        <f t="shared" si="77"/>
        <v>0</v>
      </c>
      <c r="K120">
        <f t="shared" ca="1" si="88"/>
        <v>0</v>
      </c>
      <c r="L120">
        <f t="shared" ca="1" si="78"/>
        <v>0</v>
      </c>
      <c r="M120">
        <f t="shared" si="67"/>
        <v>0</v>
      </c>
      <c r="N120">
        <f t="shared" si="68"/>
        <v>0</v>
      </c>
      <c r="O120">
        <f t="shared" si="79"/>
        <v>0</v>
      </c>
      <c r="P120">
        <f t="shared" si="80"/>
        <v>0</v>
      </c>
      <c r="Q120" t="e">
        <f t="shared" si="81"/>
        <v>#N/A</v>
      </c>
      <c r="R120" t="e">
        <f t="shared" si="82"/>
        <v>#N/A</v>
      </c>
      <c r="T120" t="e">
        <f t="shared" si="83"/>
        <v>#N/A</v>
      </c>
      <c r="U120" t="e">
        <f t="shared" si="84"/>
        <v>#N/A</v>
      </c>
      <c r="W120" s="4" t="e">
        <f t="shared" si="85"/>
        <v>#N/A</v>
      </c>
      <c r="X120" s="4" t="e">
        <f t="shared" si="86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7">A106</f>
        <v>12</v>
      </c>
      <c r="B121" s="1">
        <f t="shared" si="72"/>
        <v>-8.4852813742385678</v>
      </c>
      <c r="C121" s="1">
        <f t="shared" si="73"/>
        <v>-4.242640687119291</v>
      </c>
      <c r="D121" t="str">
        <f t="shared" si="97"/>
        <v>n</v>
      </c>
      <c r="E121" s="4">
        <f t="shared" si="65"/>
        <v>0</v>
      </c>
      <c r="F121" s="1" t="e">
        <f t="shared" si="74"/>
        <v>#N/A</v>
      </c>
      <c r="G121" s="1" t="e">
        <f t="shared" si="75"/>
        <v>#N/A</v>
      </c>
      <c r="H121" s="23">
        <f t="shared" si="66"/>
        <v>0</v>
      </c>
      <c r="I121" s="23">
        <f t="shared" si="76"/>
        <v>0</v>
      </c>
      <c r="J121" s="23">
        <f t="shared" si="77"/>
        <v>0</v>
      </c>
      <c r="K121">
        <f t="shared" ca="1" si="88"/>
        <v>0</v>
      </c>
      <c r="L121">
        <f t="shared" ca="1" si="78"/>
        <v>0</v>
      </c>
      <c r="M121">
        <f t="shared" si="67"/>
        <v>0</v>
      </c>
      <c r="N121" s="23">
        <f t="shared" si="68"/>
        <v>0</v>
      </c>
      <c r="O121" s="23">
        <f t="shared" si="79"/>
        <v>0</v>
      </c>
      <c r="P121" s="23">
        <f t="shared" si="80"/>
        <v>0</v>
      </c>
      <c r="Q121" t="e">
        <f t="shared" si="81"/>
        <v>#N/A</v>
      </c>
      <c r="R121" t="e">
        <f t="shared" si="82"/>
        <v>#N/A</v>
      </c>
      <c r="T121" t="e">
        <f t="shared" si="83"/>
        <v>#N/A</v>
      </c>
      <c r="U121" t="e">
        <f t="shared" si="84"/>
        <v>#N/A</v>
      </c>
      <c r="W121" s="4" t="e">
        <f t="shared" si="85"/>
        <v>#N/A</v>
      </c>
      <c r="X121" s="4" t="e">
        <f t="shared" si="86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-17.04827350425775</v>
      </c>
      <c r="I122">
        <f t="shared" ref="I122:J122" si="98">SUM(I110:I121)</f>
        <v>94.936549764775776</v>
      </c>
      <c r="J122">
        <f t="shared" si="98"/>
        <v>-1.7763568394002505E-14</v>
      </c>
      <c r="L122">
        <f ca="1">MIN(L110:L121)</f>
        <v>-1.2948725458915742E-3</v>
      </c>
      <c r="M122">
        <f>MIN(M110:M121)</f>
        <v>-1.2948725458915755E-3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28" x14ac:dyDescent="0.25">
      <c r="F126" s="4">
        <f>MIN(B84:B92)-1</f>
        <v>-9.4852813742385678</v>
      </c>
      <c r="G126" s="4">
        <f>B125</f>
        <v>-1.0642423251377693</v>
      </c>
      <c r="I126">
        <f>IF(OR($G$126&gt;MAX($C$84:$C$92)+5,$G$126&lt;MIN($C$84:$C$92)-5),NA(),F126)</f>
        <v>-9.4852813742385678</v>
      </c>
      <c r="J126">
        <f>IF(OR($G$126&gt;MAX($C$84:$C$92)+5,$G$126&lt;MIN($C$84:$C$92)-5),NA(),G126)</f>
        <v>-1.0642423251377693</v>
      </c>
    </row>
    <row r="127" spans="1:28" x14ac:dyDescent="0.25">
      <c r="F127" s="4">
        <f>MAX(B84:B92)+1</f>
        <v>9.4852813742385731</v>
      </c>
      <c r="G127" s="4">
        <f>G126</f>
        <v>-1.0642423251377693</v>
      </c>
      <c r="I127">
        <f>IF(OR($G$126&gt;MAX($C$84:$C$92)+5,$G$126&lt;MIN($C$84:$C$92)-5),NA(),F127)</f>
        <v>9.4852813742385731</v>
      </c>
      <c r="J127">
        <f>IF(OR($G$126&gt;MAX($C$84:$C$92)+5,$G$126&lt;MIN($C$84:$C$92)-5),NA(),G127)</f>
        <v>-1.0642423251377693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99">B85</f>
        <v>-4.2426406871192786</v>
      </c>
      <c r="E132" s="4">
        <f t="shared" si="99"/>
        <v>-8.4852813742385731</v>
      </c>
      <c r="F132" s="4">
        <f t="shared" ref="F132:F139" si="100">($B$66/$B$65)*(C132-$B$125)</f>
        <v>-3.0016132393807125</v>
      </c>
      <c r="G132" s="4">
        <f t="shared" ref="G132:G139" si="101">($B$66/$B$65)*(E132-$B$125)</f>
        <v>-7.0082747732902737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2">D132</f>
        <v>-4.2426406871192786</v>
      </c>
      <c r="C133" s="4">
        <f t="shared" si="102"/>
        <v>-8.4852813742385731</v>
      </c>
      <c r="D133" s="4">
        <f t="shared" si="99"/>
        <v>0</v>
      </c>
      <c r="E133" s="4">
        <f t="shared" si="99"/>
        <v>-4.2426406871192857</v>
      </c>
      <c r="F133" s="4">
        <f t="shared" si="100"/>
        <v>-7.0082747732902737</v>
      </c>
      <c r="G133" s="4">
        <f t="shared" si="101"/>
        <v>-3.0016132393807076</v>
      </c>
      <c r="H133" s="4">
        <f t="shared" ref="H133:H139" si="103">IF(B133=D133,"V",(C133-E133)/(B133-D133))</f>
        <v>1.000000000000002</v>
      </c>
      <c r="I133" s="4">
        <f t="shared" ref="I133:I139" si="104">IF(H133="V",0,(-1*B133*H133)+C133)</f>
        <v>-4.2426406871192857</v>
      </c>
      <c r="J133" s="4">
        <f t="shared" ref="J133:J139" si="105">IF($F133&gt;=0,B133,IF(AND($F133&lt;0,$G133&gt;=0),IF(H133="V",B133,($B$125-I133)/H133),0))</f>
        <v>0</v>
      </c>
      <c r="K133" s="4">
        <f t="shared" ref="K133:K139" si="106">IF($F133&gt;=0,C133,IF(AND($F133&lt;0,$G133&gt;=0),$B$125,0))</f>
        <v>0</v>
      </c>
      <c r="L133" s="4">
        <f t="shared" ref="L133:L139" si="107">IF($G133&gt;=0,D133,IF(AND($G133&lt;0,$F133&gt;=0),IF(H133="V",D133,($B$125-I133)/H133),0))</f>
        <v>0</v>
      </c>
      <c r="M133" s="4">
        <f t="shared" ref="M133:M139" si="108">IF($G133&gt;=0,E133,IF(AND($G133&lt;0,$F133&gt;=0),$B$125,0))</f>
        <v>0</v>
      </c>
      <c r="N133" s="4">
        <f t="shared" ref="N133:N139" si="109">IF(F133&lt;0,0,F133)</f>
        <v>0</v>
      </c>
      <c r="O133" s="4">
        <f t="shared" ref="O133:O139" si="110">IF(G133&lt;0,0,G133)</f>
        <v>0</v>
      </c>
      <c r="P133" s="4">
        <f t="shared" ref="P133:P139" si="111">(1/6)*(M133-K133)*((N133*((2*J133)+L133))+(O133*(J133+(2*L133))))</f>
        <v>0</v>
      </c>
      <c r="Q133" s="4">
        <f t="shared" ref="Q133:Q139" si="112">((1/12)*(M133-K133)*(N133*J133*((3*K133)+M133)+N133*L133*(K133+M133)+O133*J133*(K133+M133)+O133*L133*(K133+(3*M133))))</f>
        <v>0</v>
      </c>
      <c r="R133" s="4">
        <f t="shared" ref="R133:R139" si="113">((-1/24)*(M133-K133)*(J133*J133*((3*N133)+O133)+2*J133*L133*(N133+O133)+L133*L133*(N133+(3*O133))))</f>
        <v>0</v>
      </c>
      <c r="U133" t="e">
        <f t="shared" ref="U133:U153" si="114">IF(AND(J133=0,K133=0,L133=0,M133=0),NA(),J133)</f>
        <v>#N/A</v>
      </c>
      <c r="V133" t="e">
        <f t="shared" ref="V133:V153" si="115">IF(AND(J133=0,K133=0,L133=0,M133=0),NA(),K133)</f>
        <v>#N/A</v>
      </c>
      <c r="W133" s="9" t="str">
        <f t="shared" ref="W133:W144" si="116">IF(AND(J133=0,K133=0,L133=0,M133=0),"",ROUND(N133,4)&amp;" ksi")</f>
        <v/>
      </c>
      <c r="X133" t="e">
        <f t="shared" ref="X133:X139" si="117">(U133*COS(-1*$B$64))+(V133*SIN(-1*$B$64))</f>
        <v>#N/A</v>
      </c>
      <c r="Y133" t="e">
        <f t="shared" ref="Y133:Y139" si="118">(-1*U133*SIN(-1*$B$64))+(V133*COS(-1*$B$64))</f>
        <v>#N/A</v>
      </c>
      <c r="AA133" s="4" t="e">
        <f t="shared" ref="AA133:AA139" si="119">X133+$B$9</f>
        <v>#N/A</v>
      </c>
      <c r="AB133" s="4" t="e">
        <f t="shared" ref="AB133:AB139" si="120">Y133+$C$9</f>
        <v>#N/A</v>
      </c>
      <c r="AD133" t="e">
        <f t="shared" ref="AD133:AD139" si="121">IF(AND(J133=0,K133=0,L133=0,M133=0),NA(),L133)</f>
        <v>#N/A</v>
      </c>
      <c r="AE133" t="e">
        <f t="shared" ref="AE133:AE139" si="122">IF(AND(J133=0,K133=0,L133=0,M133=0),NA(),M133)</f>
        <v>#N/A</v>
      </c>
      <c r="AF133" s="9" t="str">
        <f t="shared" ref="AF133:AF139" si="123">IF(AND(J133=0,K133=0,L133=0,M133=0),"",ROUND(O133,4)&amp;" ksi")</f>
        <v/>
      </c>
      <c r="AG133" t="e">
        <f t="shared" ref="AG133:AG139" si="124">IF(COUNTIF($U$132:$U$139,AD133)&gt;0,NA(),AD133)</f>
        <v>#N/A</v>
      </c>
      <c r="AH133" t="e">
        <f t="shared" ref="AH133:AH139" si="125">IF(AND(COUNTIF($V$132:$V$139,AE133)&gt;0,AF133&lt;&gt;"0 ksi"),NA(),AE133)</f>
        <v>#N/A</v>
      </c>
      <c r="AI133" t="str">
        <f t="shared" ref="AI133:AI139" si="126">IF(COUNTIF($U$132:$U$139,AD133)&gt;0,"",AF133)</f>
        <v/>
      </c>
      <c r="AJ133" t="e">
        <f t="shared" ref="AJ133:AJ139" si="127">(AG133*COS(-1*$B$64))+(AH133*SIN(-1*$B$64))</f>
        <v>#N/A</v>
      </c>
      <c r="AK133" t="e">
        <f t="shared" ref="AK133:AK139" si="128">(-1*AG133*SIN(-1*$B$64))+(AH133*COS(-1*$B$64))</f>
        <v>#N/A</v>
      </c>
      <c r="AM133" s="4" t="e">
        <f t="shared" ref="AM133:AM139" si="129">AJ133+$B$9</f>
        <v>#N/A</v>
      </c>
      <c r="AN133" s="4" t="e">
        <f t="shared" ref="AN133:AN139" si="130">AK133+$C$9</f>
        <v>#N/A</v>
      </c>
    </row>
    <row r="134" spans="1:40" x14ac:dyDescent="0.25">
      <c r="A134" t="s">
        <v>71</v>
      </c>
      <c r="B134" s="4">
        <f t="shared" si="102"/>
        <v>0</v>
      </c>
      <c r="C134" s="4">
        <f t="shared" si="102"/>
        <v>-4.2426406871192857</v>
      </c>
      <c r="D134" s="4">
        <f t="shared" si="99"/>
        <v>4.242640687119291</v>
      </c>
      <c r="E134" s="4">
        <f t="shared" si="99"/>
        <v>-8.4852813742385678</v>
      </c>
      <c r="F134" s="4">
        <f t="shared" si="100"/>
        <v>-3.0016132393807076</v>
      </c>
      <c r="G134" s="4">
        <f t="shared" si="101"/>
        <v>-7.0082747732902684</v>
      </c>
      <c r="H134" s="4">
        <f t="shared" si="103"/>
        <v>-0.99999999999999789</v>
      </c>
      <c r="I134" s="4">
        <f t="shared" si="104"/>
        <v>-4.2426406871192857</v>
      </c>
      <c r="J134" s="4">
        <f t="shared" si="105"/>
        <v>0</v>
      </c>
      <c r="K134" s="4">
        <f t="shared" si="106"/>
        <v>0</v>
      </c>
      <c r="L134" s="4">
        <f t="shared" si="107"/>
        <v>0</v>
      </c>
      <c r="M134" s="4">
        <f t="shared" si="108"/>
        <v>0</v>
      </c>
      <c r="N134" s="4">
        <f t="shared" si="109"/>
        <v>0</v>
      </c>
      <c r="O134" s="4">
        <f t="shared" si="110"/>
        <v>0</v>
      </c>
      <c r="P134" s="4">
        <f t="shared" si="111"/>
        <v>0</v>
      </c>
      <c r="Q134" s="4">
        <f t="shared" si="112"/>
        <v>0</v>
      </c>
      <c r="R134" s="4">
        <f t="shared" si="113"/>
        <v>0</v>
      </c>
      <c r="U134" t="e">
        <f t="shared" si="114"/>
        <v>#N/A</v>
      </c>
      <c r="V134" t="e">
        <f t="shared" si="115"/>
        <v>#N/A</v>
      </c>
      <c r="W134" s="9" t="str">
        <f t="shared" si="116"/>
        <v/>
      </c>
      <c r="X134" t="e">
        <f t="shared" si="117"/>
        <v>#N/A</v>
      </c>
      <c r="Y134" t="e">
        <f t="shared" si="118"/>
        <v>#N/A</v>
      </c>
      <c r="AA134" s="4" t="e">
        <f t="shared" si="119"/>
        <v>#N/A</v>
      </c>
      <c r="AB134" s="4" t="e">
        <f t="shared" si="120"/>
        <v>#N/A</v>
      </c>
      <c r="AD134" t="e">
        <f t="shared" si="121"/>
        <v>#N/A</v>
      </c>
      <c r="AE134" t="e">
        <f t="shared" si="122"/>
        <v>#N/A</v>
      </c>
      <c r="AF134" s="9" t="str">
        <f t="shared" si="123"/>
        <v/>
      </c>
      <c r="AG134" t="e">
        <f t="shared" si="124"/>
        <v>#N/A</v>
      </c>
      <c r="AH134" t="e">
        <f t="shared" si="125"/>
        <v>#N/A</v>
      </c>
      <c r="AI134" t="str">
        <f t="shared" si="126"/>
        <v/>
      </c>
      <c r="AJ134" t="e">
        <f t="shared" si="127"/>
        <v>#N/A</v>
      </c>
      <c r="AK134" t="e">
        <f t="shared" si="128"/>
        <v>#N/A</v>
      </c>
      <c r="AM134" s="4" t="e">
        <f t="shared" si="129"/>
        <v>#N/A</v>
      </c>
      <c r="AN134" s="4" t="e">
        <f t="shared" si="130"/>
        <v>#N/A</v>
      </c>
    </row>
    <row r="135" spans="1:40" x14ac:dyDescent="0.25">
      <c r="A135" t="s">
        <v>72</v>
      </c>
      <c r="B135" s="4">
        <f t="shared" si="102"/>
        <v>4.242640687119291</v>
      </c>
      <c r="C135" s="4">
        <f t="shared" si="102"/>
        <v>-8.4852813742385678</v>
      </c>
      <c r="D135" s="4">
        <f t="shared" si="99"/>
        <v>8.4852813742385731</v>
      </c>
      <c r="E135" s="4">
        <f t="shared" si="99"/>
        <v>-4.2426406871192786</v>
      </c>
      <c r="F135" s="4">
        <f t="shared" si="100"/>
        <v>-7.0082747732902684</v>
      </c>
      <c r="G135" s="4">
        <f t="shared" si="101"/>
        <v>-3.0016132393807009</v>
      </c>
      <c r="H135" s="4">
        <f t="shared" si="103"/>
        <v>1.0000000000000018</v>
      </c>
      <c r="I135" s="4">
        <f t="shared" si="104"/>
        <v>-12.727922061357866</v>
      </c>
      <c r="J135" s="4">
        <f t="shared" si="105"/>
        <v>0</v>
      </c>
      <c r="K135" s="4">
        <f t="shared" si="106"/>
        <v>0</v>
      </c>
      <c r="L135" s="4">
        <f t="shared" si="107"/>
        <v>0</v>
      </c>
      <c r="M135" s="4">
        <f t="shared" si="108"/>
        <v>0</v>
      </c>
      <c r="N135" s="4">
        <f t="shared" si="109"/>
        <v>0</v>
      </c>
      <c r="O135" s="4">
        <f t="shared" si="110"/>
        <v>0</v>
      </c>
      <c r="P135" s="4">
        <f t="shared" si="111"/>
        <v>0</v>
      </c>
      <c r="Q135" s="4">
        <f t="shared" si="112"/>
        <v>0</v>
      </c>
      <c r="R135" s="4">
        <f t="shared" si="113"/>
        <v>0</v>
      </c>
      <c r="U135" t="e">
        <f t="shared" si="114"/>
        <v>#N/A</v>
      </c>
      <c r="V135" t="e">
        <f t="shared" si="115"/>
        <v>#N/A</v>
      </c>
      <c r="W135" s="9" t="str">
        <f t="shared" si="116"/>
        <v/>
      </c>
      <c r="X135" t="e">
        <f t="shared" si="117"/>
        <v>#N/A</v>
      </c>
      <c r="Y135" t="e">
        <f t="shared" si="118"/>
        <v>#N/A</v>
      </c>
      <c r="AA135" s="4" t="e">
        <f t="shared" si="119"/>
        <v>#N/A</v>
      </c>
      <c r="AB135" s="4" t="e">
        <f t="shared" si="120"/>
        <v>#N/A</v>
      </c>
      <c r="AD135" t="e">
        <f t="shared" si="121"/>
        <v>#N/A</v>
      </c>
      <c r="AE135" t="e">
        <f t="shared" si="122"/>
        <v>#N/A</v>
      </c>
      <c r="AF135" s="9" t="str">
        <f t="shared" si="123"/>
        <v/>
      </c>
      <c r="AG135" t="e">
        <f t="shared" si="124"/>
        <v>#N/A</v>
      </c>
      <c r="AH135" t="e">
        <f t="shared" si="125"/>
        <v>#N/A</v>
      </c>
      <c r="AI135" t="str">
        <f t="shared" si="126"/>
        <v/>
      </c>
      <c r="AJ135" t="e">
        <f t="shared" si="127"/>
        <v>#N/A</v>
      </c>
      <c r="AK135" t="e">
        <f t="shared" si="128"/>
        <v>#N/A</v>
      </c>
      <c r="AM135" s="4" t="e">
        <f t="shared" si="129"/>
        <v>#N/A</v>
      </c>
      <c r="AN135" s="4" t="e">
        <f t="shared" si="130"/>
        <v>#N/A</v>
      </c>
    </row>
    <row r="136" spans="1:40" x14ac:dyDescent="0.25">
      <c r="A136" t="s">
        <v>73</v>
      </c>
      <c r="B136" s="4">
        <f t="shared" si="102"/>
        <v>8.4852813742385731</v>
      </c>
      <c r="C136" s="4">
        <f t="shared" si="102"/>
        <v>-4.2426406871192786</v>
      </c>
      <c r="D136" s="4">
        <f t="shared" si="99"/>
        <v>0</v>
      </c>
      <c r="E136" s="4">
        <f t="shared" si="99"/>
        <v>4.2426406871192857</v>
      </c>
      <c r="F136" s="4">
        <f t="shared" si="100"/>
        <v>-3.0016132393807009</v>
      </c>
      <c r="G136" s="4">
        <f t="shared" si="101"/>
        <v>5.0117098284384216</v>
      </c>
      <c r="H136" s="4">
        <f t="shared" si="103"/>
        <v>-0.999999999999999</v>
      </c>
      <c r="I136" s="4">
        <f t="shared" si="104"/>
        <v>4.2426406871192857</v>
      </c>
      <c r="J136" s="4">
        <f t="shared" si="105"/>
        <v>5.3068830122570603</v>
      </c>
      <c r="K136" s="4">
        <f t="shared" si="106"/>
        <v>-1.0642423251377693</v>
      </c>
      <c r="L136" s="4">
        <f t="shared" si="107"/>
        <v>0</v>
      </c>
      <c r="M136" s="4">
        <f t="shared" si="108"/>
        <v>4.2426406871192857</v>
      </c>
      <c r="N136" s="4">
        <f t="shared" si="109"/>
        <v>0</v>
      </c>
      <c r="O136" s="4">
        <f t="shared" si="110"/>
        <v>5.0117098284384216</v>
      </c>
      <c r="P136" s="4">
        <f t="shared" si="111"/>
        <v>23.524136752128907</v>
      </c>
      <c r="Q136" s="4">
        <f t="shared" si="112"/>
        <v>37.384538859997853</v>
      </c>
      <c r="R136" s="4">
        <f t="shared" si="113"/>
        <v>-31.209960426971215</v>
      </c>
      <c r="U136">
        <f t="shared" si="114"/>
        <v>5.3068830122570603</v>
      </c>
      <c r="V136">
        <f t="shared" si="115"/>
        <v>-1.0642423251377693</v>
      </c>
      <c r="W136" s="9" t="str">
        <f t="shared" si="116"/>
        <v>0 ksi</v>
      </c>
      <c r="X136">
        <f t="shared" si="117"/>
        <v>4.5050659298613169</v>
      </c>
      <c r="Y136">
        <f t="shared" si="118"/>
        <v>3.0000000000000009</v>
      </c>
      <c r="AA136" s="4">
        <f t="shared" si="119"/>
        <v>7.5050659298613169</v>
      </c>
      <c r="AB136" s="4">
        <f t="shared" si="120"/>
        <v>12</v>
      </c>
      <c r="AD136">
        <f t="shared" si="121"/>
        <v>0</v>
      </c>
      <c r="AE136">
        <f t="shared" si="122"/>
        <v>4.2426406871192857</v>
      </c>
      <c r="AF136" s="9" t="str">
        <f t="shared" si="123"/>
        <v>5.0117 ksi</v>
      </c>
      <c r="AG136" t="e">
        <f t="shared" si="124"/>
        <v>#N/A</v>
      </c>
      <c r="AH136" t="e">
        <f t="shared" si="125"/>
        <v>#N/A</v>
      </c>
      <c r="AI136" t="str">
        <f t="shared" si="126"/>
        <v/>
      </c>
      <c r="AJ136" t="e">
        <f t="shared" si="127"/>
        <v>#N/A</v>
      </c>
      <c r="AK136" t="e">
        <f t="shared" si="128"/>
        <v>#N/A</v>
      </c>
      <c r="AM136" s="4" t="e">
        <f t="shared" si="129"/>
        <v>#N/A</v>
      </c>
      <c r="AN136" s="4" t="e">
        <f t="shared" si="130"/>
        <v>#N/A</v>
      </c>
    </row>
    <row r="137" spans="1:40" x14ac:dyDescent="0.25">
      <c r="A137" t="s">
        <v>74</v>
      </c>
      <c r="B137" s="4">
        <f t="shared" si="102"/>
        <v>0</v>
      </c>
      <c r="C137" s="4">
        <f t="shared" si="102"/>
        <v>4.2426406871192857</v>
      </c>
      <c r="D137" s="4">
        <f t="shared" si="99"/>
        <v>-8.4852813742385678</v>
      </c>
      <c r="E137" s="4">
        <f t="shared" si="99"/>
        <v>-4.242640687119291</v>
      </c>
      <c r="F137" s="4">
        <f t="shared" si="100"/>
        <v>5.0117098284384216</v>
      </c>
      <c r="G137" s="4">
        <f t="shared" si="101"/>
        <v>-3.0016132393807125</v>
      </c>
      <c r="H137" s="4">
        <f t="shared" si="103"/>
        <v>1.0000000000000011</v>
      </c>
      <c r="I137" s="4">
        <f t="shared" si="104"/>
        <v>4.2426406871192857</v>
      </c>
      <c r="J137" s="4">
        <f t="shared" si="105"/>
        <v>0</v>
      </c>
      <c r="K137" s="4">
        <f t="shared" si="106"/>
        <v>4.2426406871192857</v>
      </c>
      <c r="L137" s="4">
        <f t="shared" si="107"/>
        <v>-5.3068830122570487</v>
      </c>
      <c r="M137" s="4">
        <f t="shared" si="108"/>
        <v>-1.0642423251377693</v>
      </c>
      <c r="N137" s="4">
        <f t="shared" si="109"/>
        <v>5.0117098284384216</v>
      </c>
      <c r="O137" s="4">
        <f t="shared" si="110"/>
        <v>0</v>
      </c>
      <c r="P137" s="4">
        <f t="shared" si="111"/>
        <v>23.524136752128854</v>
      </c>
      <c r="Q137" s="4">
        <f t="shared" si="112"/>
        <v>37.384538859997768</v>
      </c>
      <c r="R137" s="4">
        <f t="shared" si="113"/>
        <v>31.209960426971076</v>
      </c>
      <c r="U137">
        <f t="shared" si="114"/>
        <v>0</v>
      </c>
      <c r="V137">
        <f t="shared" si="115"/>
        <v>4.2426406871192857</v>
      </c>
      <c r="W137" s="9" t="str">
        <f t="shared" si="116"/>
        <v>5.0117 ksi</v>
      </c>
      <c r="X137">
        <f t="shared" si="117"/>
        <v>-2.9999999999999982</v>
      </c>
      <c r="Y137">
        <f t="shared" si="118"/>
        <v>3.0000000000000027</v>
      </c>
      <c r="AA137" s="4">
        <f t="shared" si="119"/>
        <v>0</v>
      </c>
      <c r="AB137" s="4">
        <f t="shared" si="120"/>
        <v>12.000000000000004</v>
      </c>
      <c r="AD137">
        <f t="shared" si="121"/>
        <v>-5.3068830122570487</v>
      </c>
      <c r="AE137">
        <f t="shared" si="122"/>
        <v>-1.0642423251377693</v>
      </c>
      <c r="AF137" s="9" t="str">
        <f t="shared" si="123"/>
        <v>0 ksi</v>
      </c>
      <c r="AG137">
        <f t="shared" si="124"/>
        <v>-5.3068830122570487</v>
      </c>
      <c r="AH137">
        <f t="shared" si="125"/>
        <v>-1.0642423251377693</v>
      </c>
      <c r="AI137" t="str">
        <f t="shared" si="126"/>
        <v>0 ksi</v>
      </c>
      <c r="AJ137">
        <f t="shared" si="127"/>
        <v>-2.9999999999999991</v>
      </c>
      <c r="AK137">
        <f t="shared" si="128"/>
        <v>-4.5050659298613036</v>
      </c>
      <c r="AM137" s="4">
        <f t="shared" si="129"/>
        <v>0</v>
      </c>
      <c r="AN137" s="4">
        <f t="shared" si="130"/>
        <v>4.4949340701386964</v>
      </c>
    </row>
    <row r="138" spans="1:40" x14ac:dyDescent="0.25">
      <c r="A138" t="s">
        <v>75</v>
      </c>
      <c r="B138" s="4">
        <f t="shared" si="102"/>
        <v>-8.4852813742385678</v>
      </c>
      <c r="C138" s="4">
        <f t="shared" si="102"/>
        <v>-4.242640687119291</v>
      </c>
      <c r="D138" s="4">
        <f t="shared" si="99"/>
        <v>-8.4852813742385678</v>
      </c>
      <c r="E138" s="4">
        <f t="shared" si="99"/>
        <v>-4.242640687119291</v>
      </c>
      <c r="F138" s="4">
        <f t="shared" si="100"/>
        <v>-3.0016132393807125</v>
      </c>
      <c r="G138" s="4">
        <f t="shared" si="101"/>
        <v>-3.0016132393807125</v>
      </c>
      <c r="H138" s="4" t="str">
        <f t="shared" si="103"/>
        <v>V</v>
      </c>
      <c r="I138" s="4">
        <f t="shared" si="104"/>
        <v>0</v>
      </c>
      <c r="J138" s="4">
        <f t="shared" si="105"/>
        <v>0</v>
      </c>
      <c r="K138" s="4">
        <f t="shared" si="106"/>
        <v>0</v>
      </c>
      <c r="L138" s="4">
        <f t="shared" si="107"/>
        <v>0</v>
      </c>
      <c r="M138" s="4">
        <f t="shared" si="108"/>
        <v>0</v>
      </c>
      <c r="N138" s="4">
        <f t="shared" si="109"/>
        <v>0</v>
      </c>
      <c r="O138" s="4">
        <f t="shared" si="110"/>
        <v>0</v>
      </c>
      <c r="P138" s="30">
        <f t="shared" si="111"/>
        <v>0</v>
      </c>
      <c r="Q138" s="30">
        <f t="shared" si="112"/>
        <v>0</v>
      </c>
      <c r="R138" s="30">
        <f t="shared" si="113"/>
        <v>0</v>
      </c>
      <c r="U138" t="e">
        <f t="shared" si="114"/>
        <v>#N/A</v>
      </c>
      <c r="V138" t="e">
        <f t="shared" si="115"/>
        <v>#N/A</v>
      </c>
      <c r="W138" s="9" t="str">
        <f t="shared" si="116"/>
        <v/>
      </c>
      <c r="X138" t="e">
        <f t="shared" si="117"/>
        <v>#N/A</v>
      </c>
      <c r="Y138" t="e">
        <f t="shared" si="118"/>
        <v>#N/A</v>
      </c>
      <c r="AA138" s="4" t="e">
        <f t="shared" si="119"/>
        <v>#N/A</v>
      </c>
      <c r="AB138" s="4" t="e">
        <f t="shared" si="120"/>
        <v>#N/A</v>
      </c>
      <c r="AD138" t="e">
        <f t="shared" si="121"/>
        <v>#N/A</v>
      </c>
      <c r="AE138" t="e">
        <f t="shared" si="122"/>
        <v>#N/A</v>
      </c>
      <c r="AF138" s="9" t="str">
        <f t="shared" si="123"/>
        <v/>
      </c>
      <c r="AG138" t="e">
        <f t="shared" si="124"/>
        <v>#N/A</v>
      </c>
      <c r="AH138" t="e">
        <f t="shared" si="125"/>
        <v>#N/A</v>
      </c>
      <c r="AI138" t="str">
        <f t="shared" si="126"/>
        <v/>
      </c>
      <c r="AJ138" t="e">
        <f t="shared" si="127"/>
        <v>#N/A</v>
      </c>
      <c r="AK138" t="e">
        <f t="shared" si="128"/>
        <v>#N/A</v>
      </c>
      <c r="AM138" s="4" t="e">
        <f t="shared" si="129"/>
        <v>#N/A</v>
      </c>
      <c r="AN138" s="4" t="e">
        <f t="shared" si="130"/>
        <v>#N/A</v>
      </c>
    </row>
    <row r="139" spans="1:40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99"/>
        <v>-8.4852813742385678</v>
      </c>
      <c r="E139" s="4">
        <f t="shared" si="99"/>
        <v>-4.242640687119291</v>
      </c>
      <c r="F139" s="4">
        <f t="shared" si="100"/>
        <v>-3.0016132393807125</v>
      </c>
      <c r="G139" s="4">
        <f t="shared" si="101"/>
        <v>-3.0016132393807125</v>
      </c>
      <c r="H139" s="4" t="str">
        <f t="shared" si="103"/>
        <v>V</v>
      </c>
      <c r="I139" s="4">
        <f t="shared" si="104"/>
        <v>0</v>
      </c>
      <c r="J139" s="4">
        <f t="shared" si="105"/>
        <v>0</v>
      </c>
      <c r="K139" s="4">
        <f t="shared" si="106"/>
        <v>0</v>
      </c>
      <c r="L139" s="4">
        <f t="shared" si="107"/>
        <v>0</v>
      </c>
      <c r="M139" s="4">
        <f t="shared" si="108"/>
        <v>0</v>
      </c>
      <c r="N139" s="4">
        <f t="shared" si="109"/>
        <v>0</v>
      </c>
      <c r="O139" s="4">
        <f t="shared" si="110"/>
        <v>0</v>
      </c>
      <c r="P139" s="31">
        <f t="shared" si="111"/>
        <v>0</v>
      </c>
      <c r="Q139" s="31">
        <f t="shared" si="112"/>
        <v>0</v>
      </c>
      <c r="R139" s="31">
        <f t="shared" si="113"/>
        <v>0</v>
      </c>
      <c r="U139" t="e">
        <f t="shared" si="114"/>
        <v>#N/A</v>
      </c>
      <c r="V139" t="e">
        <f t="shared" si="115"/>
        <v>#N/A</v>
      </c>
      <c r="W139" s="9" t="str">
        <f t="shared" si="116"/>
        <v/>
      </c>
      <c r="X139" t="e">
        <f t="shared" si="117"/>
        <v>#N/A</v>
      </c>
      <c r="Y139" t="e">
        <f t="shared" si="118"/>
        <v>#N/A</v>
      </c>
      <c r="AA139" s="4" t="e">
        <f t="shared" si="119"/>
        <v>#N/A</v>
      </c>
      <c r="AB139" s="4" t="e">
        <f t="shared" si="120"/>
        <v>#N/A</v>
      </c>
      <c r="AD139" t="e">
        <f t="shared" si="121"/>
        <v>#N/A</v>
      </c>
      <c r="AE139" t="e">
        <f t="shared" si="122"/>
        <v>#N/A</v>
      </c>
      <c r="AF139" s="9" t="str">
        <f t="shared" si="123"/>
        <v/>
      </c>
      <c r="AG139" t="e">
        <f t="shared" si="124"/>
        <v>#N/A</v>
      </c>
      <c r="AH139" t="e">
        <f t="shared" si="125"/>
        <v>#N/A</v>
      </c>
      <c r="AI139" t="str">
        <f t="shared" si="126"/>
        <v/>
      </c>
      <c r="AJ139" t="e">
        <f t="shared" si="127"/>
        <v>#N/A</v>
      </c>
      <c r="AK139" t="e">
        <f t="shared" si="128"/>
        <v>#N/A</v>
      </c>
      <c r="AM139" s="4" t="e">
        <f t="shared" si="129"/>
        <v>#N/A</v>
      </c>
      <c r="AN139" s="4" t="e">
        <f t="shared" si="130"/>
        <v>#N/A</v>
      </c>
    </row>
    <row r="140" spans="1:40" ht="15.75" thickTop="1" x14ac:dyDescent="0.25">
      <c r="P140" s="4">
        <f>SUM(P132:P139)</f>
        <v>47.048273504257764</v>
      </c>
      <c r="Q140" s="4">
        <f>SUM(Q132:Q139)</f>
        <v>74.769077719995622</v>
      </c>
      <c r="R140" s="4">
        <f>SUM(R132:R139)</f>
        <v>-1.3855583347321954E-13</v>
      </c>
      <c r="T140" t="str">
        <f>ROUND(P140,4)&amp;" kips"</f>
        <v>47.0483 kips</v>
      </c>
      <c r="W140" s="9" t="str">
        <f t="shared" si="11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2.9449716887205338E-15</v>
      </c>
      <c r="W142" s="9" t="str">
        <f t="shared" si="11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1.589199180990758</v>
      </c>
      <c r="W143" s="9" t="str">
        <f t="shared" si="11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4"/>
        <v>xi' (in)</v>
      </c>
      <c r="V145" t="str">
        <f t="shared" si="11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131">I85</f>
        <v>-8.4852813742385678</v>
      </c>
      <c r="E146">
        <f t="shared" si="131"/>
        <v>-4.242640687119291</v>
      </c>
      <c r="F146" s="4">
        <f>($B$66/$B$65)*(C146-$B$125)</f>
        <v>-3.0016132393807125</v>
      </c>
      <c r="G146" s="4">
        <f>($B$66/$B$65)*(E146-$B$125)</f>
        <v>-3.0016132393807125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4"/>
        <v>#N/A</v>
      </c>
      <c r="V146" t="e">
        <f t="shared" si="115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2">(U146*COS(-1*$B$64))+(V146*SIN(-1*$B$64))</f>
        <v>#N/A</v>
      </c>
      <c r="Y146" t="e">
        <f t="shared" ref="Y146:Y153" si="133">(-1*U146*SIN(-1*$B$64))+(V146*COS(-1*$B$64))</f>
        <v>#N/A</v>
      </c>
      <c r="AA146" s="4" t="e">
        <f t="shared" ref="AA146:AA153" si="134">X146+$B$9</f>
        <v>#N/A</v>
      </c>
      <c r="AB146" s="4" t="e">
        <f t="shared" ref="AB146:AB153" si="135">Y146+$C$9</f>
        <v>#N/A</v>
      </c>
      <c r="AD146" t="e">
        <f t="shared" ref="AD146:AD153" si="136">IF(AND(J146=0,K146=0,L146=0,M146=0),NA(),L146)</f>
        <v>#N/A</v>
      </c>
      <c r="AE146" t="e">
        <f t="shared" ref="AE146:AE153" si="137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8">(AG146*COS(-1*$B$64))+(AH146*SIN(-1*$B$64))</f>
        <v>#N/A</v>
      </c>
      <c r="AK146" t="e">
        <f t="shared" ref="AK146:AK153" si="139">(-1*AG146*SIN(-1*$B$64))+(AH146*COS(-1*$B$64))</f>
        <v>#N/A</v>
      </c>
      <c r="AM146" s="4" t="e">
        <f t="shared" ref="AM146:AM153" si="140">AJ146+$B$9</f>
        <v>#N/A</v>
      </c>
      <c r="AN146" s="4" t="e">
        <f t="shared" ref="AN146:AN153" si="141">AK146+$C$9</f>
        <v>#N/A</v>
      </c>
    </row>
    <row r="147" spans="1:40" x14ac:dyDescent="0.25">
      <c r="A147" t="s">
        <v>70</v>
      </c>
      <c r="B147" s="9">
        <f t="shared" ref="B147:C153" si="142">D146</f>
        <v>-8.4852813742385678</v>
      </c>
      <c r="C147">
        <f t="shared" si="142"/>
        <v>-4.242640687119291</v>
      </c>
      <c r="D147" s="9">
        <f t="shared" si="131"/>
        <v>-8.4852813742385678</v>
      </c>
      <c r="E147">
        <f t="shared" si="131"/>
        <v>-4.242640687119291</v>
      </c>
      <c r="F147" s="4">
        <f t="shared" ref="F147:F153" si="143">($B$66/$B$65)*(C147-$B$125)</f>
        <v>-3.0016132393807125</v>
      </c>
      <c r="G147" s="4">
        <f t="shared" ref="G147:G153" si="144">($B$66/$B$65)*(E147-$B$125)</f>
        <v>-3.0016132393807125</v>
      </c>
      <c r="H147" s="4" t="str">
        <f t="shared" ref="H147:H153" si="145">IF(B147=D147,"V",(C147-E147)/(B147-D147))</f>
        <v>V</v>
      </c>
      <c r="I147" s="4">
        <f t="shared" ref="I147:I153" si="146">IF(H147="V",0,(-1*B147*H147)+C147)</f>
        <v>0</v>
      </c>
      <c r="J147" s="4">
        <f t="shared" ref="J147:J153" si="147">IF($F147&gt;=0,B147,IF(AND($F147&lt;0,$G147&gt;=0),IF(H147="V",B147,($B$125-I147)/H147),0))</f>
        <v>0</v>
      </c>
      <c r="K147" s="4">
        <f t="shared" ref="K147:K153" si="148">IF($F147&gt;=0,C147,IF(AND($F147&lt;0,$G147&gt;=0),$B$125,0))</f>
        <v>0</v>
      </c>
      <c r="L147" s="4">
        <f t="shared" ref="L147:L153" si="149">IF($G147&gt;=0,D147,IF(AND($G147&lt;0,$F147&gt;=0),IF(H147="V",D147,($B$125-I147)/H147),0))</f>
        <v>0</v>
      </c>
      <c r="M147" s="4">
        <f t="shared" ref="M147:M153" si="150">IF($G147&gt;=0,E147,IF(AND($G147&lt;0,$F147&gt;=0),$B$125,0))</f>
        <v>0</v>
      </c>
      <c r="N147" s="4">
        <f t="shared" ref="N147:N153" si="151">IF(F147&lt;0,0,F147)</f>
        <v>0</v>
      </c>
      <c r="O147" s="4">
        <f t="shared" ref="O147:O153" si="152">IF(G147&lt;0,0,G147)</f>
        <v>0</v>
      </c>
      <c r="P147" s="4">
        <f t="shared" ref="P147:P153" si="153">(1/6)*(M147-K147)*((N147*((2*J147)+L147))+(O147*(J147+(2*L147))))</f>
        <v>0</v>
      </c>
      <c r="Q147" s="4">
        <f t="shared" ref="Q147:Q153" si="154">((1/12)*(M147-K147)*(N147*J147*((3*K147)+M147)+N147*L147*(K147+M147)+O147*J147*(K147+M147)+O147*L147*(K147+(3*M147))))</f>
        <v>0</v>
      </c>
      <c r="R147" s="4">
        <f t="shared" ref="R147:R153" si="155">((-1/24)*(M147-K147)*(J147*J147*((3*N147)+O147)+2*J147*L147*(N147+O147)+L147*L147*(N147+(3*O147))))</f>
        <v>0</v>
      </c>
      <c r="U147" t="e">
        <f t="shared" si="114"/>
        <v>#N/A</v>
      </c>
      <c r="V147" t="e">
        <f t="shared" si="115"/>
        <v>#N/A</v>
      </c>
      <c r="W147" s="9" t="str">
        <f t="shared" ref="W147:W153" si="156">IF($D$34=0,"",IF(AND(J147=0,K147=0,L147=0,M147=0),"",CHAR(10)&amp;CHAR(10)&amp;-1*ROUND(N147,4)&amp;" ksi"))</f>
        <v/>
      </c>
      <c r="X147" t="e">
        <f t="shared" si="132"/>
        <v>#N/A</v>
      </c>
      <c r="Y147" t="e">
        <f t="shared" si="133"/>
        <v>#N/A</v>
      </c>
      <c r="AA147" s="4" t="e">
        <f t="shared" si="134"/>
        <v>#N/A</v>
      </c>
      <c r="AB147" s="4" t="e">
        <f t="shared" si="135"/>
        <v>#N/A</v>
      </c>
      <c r="AD147" t="e">
        <f t="shared" si="136"/>
        <v>#N/A</v>
      </c>
      <c r="AE147" t="e">
        <f t="shared" si="137"/>
        <v>#N/A</v>
      </c>
      <c r="AF147" s="9" t="str">
        <f t="shared" ref="AF147:AF153" si="157">IF(AND(J147=0,K147=0,L147=0,M147=0),"",CHAR(10)&amp;CHAR(10)&amp;-1*ROUND(O147,4)&amp;" ksi")</f>
        <v/>
      </c>
      <c r="AG147" t="e">
        <f t="shared" ref="AG147:AG153" si="158">IF(COUNTIF($U$146:$U$153,AD147)&gt;0,NA(),AD147)</f>
        <v>#N/A</v>
      </c>
      <c r="AH147" t="e">
        <f t="shared" ref="AH147:AH153" si="159">IF(AND(COUNTIF($V$146:$V$153,AE147)&gt;0,AF147&lt;&gt;CHAR(10)&amp;CHAR(10)&amp;"0 ksi"),NA(),AE147)</f>
        <v>#N/A</v>
      </c>
      <c r="AI147" t="str">
        <f t="shared" ref="AI147:AI153" si="160">IF(COUNTIF($U$146:$U$153,AD147)&gt;0,"",AF147)</f>
        <v/>
      </c>
      <c r="AJ147" t="e">
        <f t="shared" si="138"/>
        <v>#N/A</v>
      </c>
      <c r="AK147" t="e">
        <f t="shared" si="139"/>
        <v>#N/A</v>
      </c>
      <c r="AM147" s="4" t="e">
        <f t="shared" si="140"/>
        <v>#N/A</v>
      </c>
      <c r="AN147" s="4" t="e">
        <f t="shared" si="141"/>
        <v>#N/A</v>
      </c>
    </row>
    <row r="148" spans="1:40" x14ac:dyDescent="0.25">
      <c r="A148" t="s">
        <v>71</v>
      </c>
      <c r="B148" s="9">
        <f t="shared" si="142"/>
        <v>-8.4852813742385678</v>
      </c>
      <c r="C148">
        <f t="shared" si="142"/>
        <v>-4.242640687119291</v>
      </c>
      <c r="D148" s="9">
        <f t="shared" si="131"/>
        <v>-8.4852813742385678</v>
      </c>
      <c r="E148">
        <f t="shared" si="131"/>
        <v>-4.242640687119291</v>
      </c>
      <c r="F148" s="4">
        <f t="shared" si="143"/>
        <v>-3.0016132393807125</v>
      </c>
      <c r="G148" s="4">
        <f t="shared" si="144"/>
        <v>-3.0016132393807125</v>
      </c>
      <c r="H148" s="4" t="str">
        <f t="shared" si="145"/>
        <v>V</v>
      </c>
      <c r="I148" s="4">
        <f t="shared" si="146"/>
        <v>0</v>
      </c>
      <c r="J148" s="4">
        <f t="shared" si="147"/>
        <v>0</v>
      </c>
      <c r="K148" s="4">
        <f t="shared" si="148"/>
        <v>0</v>
      </c>
      <c r="L148" s="4">
        <f t="shared" si="149"/>
        <v>0</v>
      </c>
      <c r="M148" s="4">
        <f t="shared" si="150"/>
        <v>0</v>
      </c>
      <c r="N148" s="4">
        <f t="shared" si="151"/>
        <v>0</v>
      </c>
      <c r="O148" s="4">
        <f t="shared" si="152"/>
        <v>0</v>
      </c>
      <c r="P148" s="4">
        <f t="shared" si="153"/>
        <v>0</v>
      </c>
      <c r="Q148" s="4">
        <f t="shared" si="154"/>
        <v>0</v>
      </c>
      <c r="R148" s="4">
        <f t="shared" si="155"/>
        <v>0</v>
      </c>
      <c r="U148" t="e">
        <f t="shared" si="114"/>
        <v>#N/A</v>
      </c>
      <c r="V148" t="e">
        <f t="shared" si="115"/>
        <v>#N/A</v>
      </c>
      <c r="W148" s="9" t="str">
        <f t="shared" si="156"/>
        <v/>
      </c>
      <c r="X148" t="e">
        <f t="shared" si="132"/>
        <v>#N/A</v>
      </c>
      <c r="Y148" t="e">
        <f t="shared" si="133"/>
        <v>#N/A</v>
      </c>
      <c r="AA148" s="4" t="e">
        <f t="shared" si="134"/>
        <v>#N/A</v>
      </c>
      <c r="AB148" s="4" t="e">
        <f t="shared" si="135"/>
        <v>#N/A</v>
      </c>
      <c r="AD148" t="e">
        <f t="shared" si="136"/>
        <v>#N/A</v>
      </c>
      <c r="AE148" t="e">
        <f t="shared" si="137"/>
        <v>#N/A</v>
      </c>
      <c r="AF148" s="9" t="str">
        <f t="shared" si="157"/>
        <v/>
      </c>
      <c r="AG148" t="e">
        <f t="shared" si="158"/>
        <v>#N/A</v>
      </c>
      <c r="AH148" t="e">
        <f t="shared" si="159"/>
        <v>#N/A</v>
      </c>
      <c r="AI148" t="str">
        <f t="shared" si="160"/>
        <v/>
      </c>
      <c r="AJ148" t="e">
        <f t="shared" si="138"/>
        <v>#N/A</v>
      </c>
      <c r="AK148" t="e">
        <f t="shared" si="139"/>
        <v>#N/A</v>
      </c>
      <c r="AM148" s="4" t="e">
        <f t="shared" si="140"/>
        <v>#N/A</v>
      </c>
      <c r="AN148" s="4" t="e">
        <f t="shared" si="141"/>
        <v>#N/A</v>
      </c>
    </row>
    <row r="149" spans="1:40" x14ac:dyDescent="0.25">
      <c r="A149" t="s">
        <v>72</v>
      </c>
      <c r="B149" s="9">
        <f t="shared" si="142"/>
        <v>-8.4852813742385678</v>
      </c>
      <c r="C149">
        <f t="shared" si="142"/>
        <v>-4.242640687119291</v>
      </c>
      <c r="D149" s="9">
        <f t="shared" si="131"/>
        <v>-8.4852813742385678</v>
      </c>
      <c r="E149">
        <f t="shared" si="131"/>
        <v>-4.242640687119291</v>
      </c>
      <c r="F149" s="4">
        <f t="shared" si="143"/>
        <v>-3.0016132393807125</v>
      </c>
      <c r="G149" s="4">
        <f t="shared" si="144"/>
        <v>-3.0016132393807125</v>
      </c>
      <c r="H149" s="4" t="str">
        <f t="shared" si="145"/>
        <v>V</v>
      </c>
      <c r="I149" s="4">
        <f t="shared" si="146"/>
        <v>0</v>
      </c>
      <c r="J149" s="4">
        <f t="shared" si="147"/>
        <v>0</v>
      </c>
      <c r="K149" s="4">
        <f t="shared" si="148"/>
        <v>0</v>
      </c>
      <c r="L149" s="4">
        <f t="shared" si="149"/>
        <v>0</v>
      </c>
      <c r="M149" s="4">
        <f t="shared" si="150"/>
        <v>0</v>
      </c>
      <c r="N149" s="4">
        <f t="shared" si="151"/>
        <v>0</v>
      </c>
      <c r="O149" s="4">
        <f t="shared" si="152"/>
        <v>0</v>
      </c>
      <c r="P149" s="4">
        <f t="shared" si="153"/>
        <v>0</v>
      </c>
      <c r="Q149" s="4">
        <f t="shared" si="154"/>
        <v>0</v>
      </c>
      <c r="R149" s="4">
        <f t="shared" si="155"/>
        <v>0</v>
      </c>
      <c r="U149" t="e">
        <f t="shared" si="114"/>
        <v>#N/A</v>
      </c>
      <c r="V149" t="e">
        <f t="shared" si="115"/>
        <v>#N/A</v>
      </c>
      <c r="W149" s="9" t="str">
        <f t="shared" si="156"/>
        <v/>
      </c>
      <c r="X149" t="e">
        <f t="shared" si="132"/>
        <v>#N/A</v>
      </c>
      <c r="Y149" t="e">
        <f t="shared" si="133"/>
        <v>#N/A</v>
      </c>
      <c r="AA149" s="4" t="e">
        <f t="shared" si="134"/>
        <v>#N/A</v>
      </c>
      <c r="AB149" s="4" t="e">
        <f t="shared" si="135"/>
        <v>#N/A</v>
      </c>
      <c r="AD149" t="e">
        <f t="shared" si="136"/>
        <v>#N/A</v>
      </c>
      <c r="AE149" t="e">
        <f t="shared" si="137"/>
        <v>#N/A</v>
      </c>
      <c r="AF149" s="9" t="str">
        <f t="shared" si="157"/>
        <v/>
      </c>
      <c r="AG149" t="e">
        <f t="shared" si="158"/>
        <v>#N/A</v>
      </c>
      <c r="AH149" t="e">
        <f t="shared" si="159"/>
        <v>#N/A</v>
      </c>
      <c r="AI149" t="str">
        <f t="shared" si="160"/>
        <v/>
      </c>
      <c r="AJ149" t="e">
        <f t="shared" si="138"/>
        <v>#N/A</v>
      </c>
      <c r="AK149" t="e">
        <f t="shared" si="139"/>
        <v>#N/A</v>
      </c>
      <c r="AM149" s="4" t="e">
        <f t="shared" si="140"/>
        <v>#N/A</v>
      </c>
      <c r="AN149" s="4" t="e">
        <f t="shared" si="141"/>
        <v>#N/A</v>
      </c>
    </row>
    <row r="150" spans="1:40" x14ac:dyDescent="0.25">
      <c r="A150" t="s">
        <v>73</v>
      </c>
      <c r="B150" s="9">
        <f t="shared" si="142"/>
        <v>-8.4852813742385678</v>
      </c>
      <c r="C150">
        <f t="shared" si="142"/>
        <v>-4.242640687119291</v>
      </c>
      <c r="D150" s="9">
        <f t="shared" si="131"/>
        <v>-8.4852813742385678</v>
      </c>
      <c r="E150">
        <f t="shared" si="131"/>
        <v>-4.242640687119291</v>
      </c>
      <c r="F150" s="4">
        <f t="shared" si="143"/>
        <v>-3.0016132393807125</v>
      </c>
      <c r="G150" s="4">
        <f t="shared" si="144"/>
        <v>-3.0016132393807125</v>
      </c>
      <c r="H150" s="4" t="str">
        <f t="shared" si="145"/>
        <v>V</v>
      </c>
      <c r="I150" s="4">
        <f t="shared" si="146"/>
        <v>0</v>
      </c>
      <c r="J150" s="4">
        <f t="shared" si="147"/>
        <v>0</v>
      </c>
      <c r="K150" s="4">
        <f t="shared" si="148"/>
        <v>0</v>
      </c>
      <c r="L150" s="4">
        <f t="shared" si="149"/>
        <v>0</v>
      </c>
      <c r="M150" s="4">
        <f t="shared" si="150"/>
        <v>0</v>
      </c>
      <c r="N150" s="4">
        <f t="shared" si="151"/>
        <v>0</v>
      </c>
      <c r="O150" s="4">
        <f t="shared" si="152"/>
        <v>0</v>
      </c>
      <c r="P150" s="4">
        <f t="shared" si="153"/>
        <v>0</v>
      </c>
      <c r="Q150" s="4">
        <f t="shared" si="154"/>
        <v>0</v>
      </c>
      <c r="R150" s="4">
        <f t="shared" si="155"/>
        <v>0</v>
      </c>
      <c r="U150" t="e">
        <f t="shared" si="114"/>
        <v>#N/A</v>
      </c>
      <c r="V150" t="e">
        <f t="shared" si="115"/>
        <v>#N/A</v>
      </c>
      <c r="W150" s="9" t="str">
        <f t="shared" si="156"/>
        <v/>
      </c>
      <c r="X150" t="e">
        <f t="shared" si="132"/>
        <v>#N/A</v>
      </c>
      <c r="Y150" t="e">
        <f t="shared" si="133"/>
        <v>#N/A</v>
      </c>
      <c r="AA150" s="4" t="e">
        <f t="shared" si="134"/>
        <v>#N/A</v>
      </c>
      <c r="AB150" s="4" t="e">
        <f t="shared" si="135"/>
        <v>#N/A</v>
      </c>
      <c r="AD150" t="e">
        <f t="shared" si="136"/>
        <v>#N/A</v>
      </c>
      <c r="AE150" t="e">
        <f t="shared" si="137"/>
        <v>#N/A</v>
      </c>
      <c r="AF150" s="9" t="str">
        <f t="shared" si="157"/>
        <v/>
      </c>
      <c r="AG150" t="e">
        <f t="shared" si="158"/>
        <v>#N/A</v>
      </c>
      <c r="AH150" t="e">
        <f t="shared" si="159"/>
        <v>#N/A</v>
      </c>
      <c r="AI150" t="str">
        <f t="shared" si="160"/>
        <v/>
      </c>
      <c r="AJ150" t="e">
        <f t="shared" si="138"/>
        <v>#N/A</v>
      </c>
      <c r="AK150" t="e">
        <f t="shared" si="139"/>
        <v>#N/A</v>
      </c>
      <c r="AM150" s="4" t="e">
        <f t="shared" si="140"/>
        <v>#N/A</v>
      </c>
      <c r="AN150" s="4" t="e">
        <f t="shared" si="141"/>
        <v>#N/A</v>
      </c>
    </row>
    <row r="151" spans="1:40" x14ac:dyDescent="0.25">
      <c r="A151" t="s">
        <v>74</v>
      </c>
      <c r="B151" s="9">
        <f t="shared" si="142"/>
        <v>-8.4852813742385678</v>
      </c>
      <c r="C151">
        <f t="shared" si="142"/>
        <v>-4.242640687119291</v>
      </c>
      <c r="D151" s="9">
        <f t="shared" si="131"/>
        <v>-8.4852813742385678</v>
      </c>
      <c r="E151">
        <f t="shared" si="131"/>
        <v>-4.242640687119291</v>
      </c>
      <c r="F151" s="4">
        <f t="shared" si="143"/>
        <v>-3.0016132393807125</v>
      </c>
      <c r="G151" s="4">
        <f t="shared" si="144"/>
        <v>-3.0016132393807125</v>
      </c>
      <c r="H151" s="4" t="str">
        <f t="shared" si="145"/>
        <v>V</v>
      </c>
      <c r="I151" s="4">
        <f t="shared" si="146"/>
        <v>0</v>
      </c>
      <c r="J151" s="4">
        <f t="shared" si="147"/>
        <v>0</v>
      </c>
      <c r="K151" s="4">
        <f t="shared" si="148"/>
        <v>0</v>
      </c>
      <c r="L151" s="4">
        <f t="shared" si="149"/>
        <v>0</v>
      </c>
      <c r="M151" s="4">
        <f t="shared" si="150"/>
        <v>0</v>
      </c>
      <c r="N151" s="4">
        <f t="shared" si="151"/>
        <v>0</v>
      </c>
      <c r="O151" s="4">
        <f t="shared" si="152"/>
        <v>0</v>
      </c>
      <c r="P151" s="4">
        <f t="shared" si="153"/>
        <v>0</v>
      </c>
      <c r="Q151" s="4">
        <f t="shared" si="154"/>
        <v>0</v>
      </c>
      <c r="R151" s="4">
        <f t="shared" si="155"/>
        <v>0</v>
      </c>
      <c r="U151" t="e">
        <f t="shared" si="114"/>
        <v>#N/A</v>
      </c>
      <c r="V151" t="e">
        <f t="shared" si="115"/>
        <v>#N/A</v>
      </c>
      <c r="W151" s="9" t="str">
        <f t="shared" si="156"/>
        <v/>
      </c>
      <c r="X151" t="e">
        <f t="shared" si="132"/>
        <v>#N/A</v>
      </c>
      <c r="Y151" t="e">
        <f t="shared" si="133"/>
        <v>#N/A</v>
      </c>
      <c r="AA151" s="4" t="e">
        <f t="shared" si="134"/>
        <v>#N/A</v>
      </c>
      <c r="AB151" s="4" t="e">
        <f t="shared" si="135"/>
        <v>#N/A</v>
      </c>
      <c r="AD151" t="e">
        <f t="shared" si="136"/>
        <v>#N/A</v>
      </c>
      <c r="AE151" t="e">
        <f t="shared" si="137"/>
        <v>#N/A</v>
      </c>
      <c r="AF151" s="9" t="str">
        <f t="shared" si="157"/>
        <v/>
      </c>
      <c r="AG151" t="e">
        <f t="shared" si="158"/>
        <v>#N/A</v>
      </c>
      <c r="AH151" t="e">
        <f t="shared" si="159"/>
        <v>#N/A</v>
      </c>
      <c r="AI151" t="str">
        <f t="shared" si="160"/>
        <v/>
      </c>
      <c r="AJ151" t="e">
        <f t="shared" si="138"/>
        <v>#N/A</v>
      </c>
      <c r="AK151" t="e">
        <f t="shared" si="139"/>
        <v>#N/A</v>
      </c>
      <c r="AM151" s="4" t="e">
        <f t="shared" si="140"/>
        <v>#N/A</v>
      </c>
      <c r="AN151" s="4" t="e">
        <f t="shared" si="141"/>
        <v>#N/A</v>
      </c>
    </row>
    <row r="152" spans="1:40" x14ac:dyDescent="0.25">
      <c r="A152" t="s">
        <v>75</v>
      </c>
      <c r="B152" s="9">
        <f t="shared" si="142"/>
        <v>-8.4852813742385678</v>
      </c>
      <c r="C152">
        <f t="shared" si="142"/>
        <v>-4.242640687119291</v>
      </c>
      <c r="D152" s="9">
        <f t="shared" si="131"/>
        <v>-8.4852813742385678</v>
      </c>
      <c r="E152">
        <f t="shared" si="131"/>
        <v>-4.242640687119291</v>
      </c>
      <c r="F152" s="4">
        <f t="shared" si="143"/>
        <v>-3.0016132393807125</v>
      </c>
      <c r="G152" s="4">
        <f t="shared" si="144"/>
        <v>-3.0016132393807125</v>
      </c>
      <c r="H152" s="4" t="str">
        <f t="shared" si="145"/>
        <v>V</v>
      </c>
      <c r="I152" s="4">
        <f t="shared" si="146"/>
        <v>0</v>
      </c>
      <c r="J152" s="4">
        <f t="shared" si="147"/>
        <v>0</v>
      </c>
      <c r="K152" s="4">
        <f t="shared" si="148"/>
        <v>0</v>
      </c>
      <c r="L152" s="4">
        <f t="shared" si="149"/>
        <v>0</v>
      </c>
      <c r="M152" s="4">
        <f t="shared" si="150"/>
        <v>0</v>
      </c>
      <c r="N152" s="4">
        <f t="shared" si="151"/>
        <v>0</v>
      </c>
      <c r="O152" s="4">
        <f t="shared" si="152"/>
        <v>0</v>
      </c>
      <c r="P152" s="4">
        <f t="shared" si="153"/>
        <v>0</v>
      </c>
      <c r="Q152" s="4">
        <f t="shared" si="154"/>
        <v>0</v>
      </c>
      <c r="R152" s="4">
        <f t="shared" si="155"/>
        <v>0</v>
      </c>
      <c r="U152" t="e">
        <f t="shared" si="114"/>
        <v>#N/A</v>
      </c>
      <c r="V152" t="e">
        <f t="shared" si="115"/>
        <v>#N/A</v>
      </c>
      <c r="W152" s="9" t="str">
        <f t="shared" si="156"/>
        <v/>
      </c>
      <c r="X152" t="e">
        <f t="shared" si="132"/>
        <v>#N/A</v>
      </c>
      <c r="Y152" t="e">
        <f t="shared" si="133"/>
        <v>#N/A</v>
      </c>
      <c r="AA152" s="4" t="e">
        <f t="shared" si="134"/>
        <v>#N/A</v>
      </c>
      <c r="AB152" s="4" t="e">
        <f t="shared" si="135"/>
        <v>#N/A</v>
      </c>
      <c r="AD152" t="e">
        <f t="shared" si="136"/>
        <v>#N/A</v>
      </c>
      <c r="AE152" t="e">
        <f t="shared" si="137"/>
        <v>#N/A</v>
      </c>
      <c r="AF152" s="9" t="str">
        <f t="shared" si="157"/>
        <v/>
      </c>
      <c r="AG152" t="e">
        <f t="shared" si="158"/>
        <v>#N/A</v>
      </c>
      <c r="AH152" t="e">
        <f t="shared" si="159"/>
        <v>#N/A</v>
      </c>
      <c r="AI152" t="str">
        <f t="shared" si="160"/>
        <v/>
      </c>
      <c r="AJ152" t="e">
        <f t="shared" si="138"/>
        <v>#N/A</v>
      </c>
      <c r="AK152" t="e">
        <f t="shared" si="139"/>
        <v>#N/A</v>
      </c>
      <c r="AM152" s="4" t="e">
        <f t="shared" si="140"/>
        <v>#N/A</v>
      </c>
      <c r="AN152" s="4" t="e">
        <f t="shared" si="141"/>
        <v>#N/A</v>
      </c>
    </row>
    <row r="153" spans="1:40" ht="15.75" thickBot="1" x14ac:dyDescent="0.3">
      <c r="A153" t="s">
        <v>134</v>
      </c>
      <c r="B153" s="9">
        <f t="shared" si="142"/>
        <v>-8.4852813742385678</v>
      </c>
      <c r="C153">
        <f t="shared" si="142"/>
        <v>-4.242640687119291</v>
      </c>
      <c r="D153" s="9">
        <f t="shared" si="131"/>
        <v>-8.4852813742385678</v>
      </c>
      <c r="E153">
        <f t="shared" si="131"/>
        <v>-4.242640687119291</v>
      </c>
      <c r="F153" s="4">
        <f t="shared" si="143"/>
        <v>-3.0016132393807125</v>
      </c>
      <c r="G153" s="4">
        <f t="shared" si="144"/>
        <v>-3.0016132393807125</v>
      </c>
      <c r="H153" s="4" t="str">
        <f t="shared" si="145"/>
        <v>V</v>
      </c>
      <c r="I153" s="4">
        <f t="shared" si="146"/>
        <v>0</v>
      </c>
      <c r="J153" s="4">
        <f t="shared" si="147"/>
        <v>0</v>
      </c>
      <c r="K153" s="4">
        <f t="shared" si="148"/>
        <v>0</v>
      </c>
      <c r="L153" s="4">
        <f t="shared" si="149"/>
        <v>0</v>
      </c>
      <c r="M153" s="4">
        <f t="shared" si="150"/>
        <v>0</v>
      </c>
      <c r="N153" s="4">
        <f t="shared" si="151"/>
        <v>0</v>
      </c>
      <c r="O153" s="4">
        <f t="shared" si="152"/>
        <v>0</v>
      </c>
      <c r="P153" s="22">
        <f t="shared" si="153"/>
        <v>0</v>
      </c>
      <c r="Q153" s="22">
        <f t="shared" si="154"/>
        <v>0</v>
      </c>
      <c r="R153" s="22">
        <f t="shared" si="155"/>
        <v>0</v>
      </c>
      <c r="U153" t="e">
        <f t="shared" si="114"/>
        <v>#N/A</v>
      </c>
      <c r="V153" t="e">
        <f t="shared" si="115"/>
        <v>#N/A</v>
      </c>
      <c r="W153" s="9" t="str">
        <f t="shared" si="156"/>
        <v/>
      </c>
      <c r="X153" t="e">
        <f t="shared" si="132"/>
        <v>#N/A</v>
      </c>
      <c r="Y153" t="e">
        <f t="shared" si="133"/>
        <v>#N/A</v>
      </c>
      <c r="AA153" s="4" t="e">
        <f t="shared" si="134"/>
        <v>#N/A</v>
      </c>
      <c r="AB153" s="4" t="e">
        <f t="shared" si="135"/>
        <v>#N/A</v>
      </c>
      <c r="AD153" t="e">
        <f t="shared" si="136"/>
        <v>#N/A</v>
      </c>
      <c r="AE153" t="e">
        <f t="shared" si="137"/>
        <v>#N/A</v>
      </c>
      <c r="AF153" s="9" t="str">
        <f t="shared" si="157"/>
        <v/>
      </c>
      <c r="AG153" t="e">
        <f t="shared" si="158"/>
        <v>#N/A</v>
      </c>
      <c r="AH153" t="e">
        <f t="shared" si="159"/>
        <v>#N/A</v>
      </c>
      <c r="AI153" t="str">
        <f t="shared" si="160"/>
        <v/>
      </c>
      <c r="AJ153" t="e">
        <f t="shared" si="138"/>
        <v>#N/A</v>
      </c>
      <c r="AK153" t="e">
        <f t="shared" si="139"/>
        <v>#N/A</v>
      </c>
      <c r="AM153" s="4" t="e">
        <f t="shared" si="140"/>
        <v>#N/A</v>
      </c>
      <c r="AN153" s="4" t="e">
        <f t="shared" si="141"/>
        <v>#N/A</v>
      </c>
    </row>
    <row r="154" spans="1:40" ht="15.75" thickTop="1" x14ac:dyDescent="0.25">
      <c r="P154" s="4">
        <f>SUM(P146:P153)</f>
        <v>0</v>
      </c>
      <c r="Q154" s="4">
        <f t="shared" ref="Q154:R154" si="161">SUM(Q146:Q153)</f>
        <v>0</v>
      </c>
      <c r="R154" s="4">
        <f t="shared" si="161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30.000000000000014</v>
      </c>
      <c r="C159" t="s">
        <v>36</v>
      </c>
    </row>
    <row r="160" spans="1:40" x14ac:dyDescent="0.25">
      <c r="A160" s="1" t="s">
        <v>106</v>
      </c>
      <c r="B160" s="4">
        <f>Q140+I122+Q154-O122</f>
        <v>169.70562748477141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30.000000000000014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120.0000000000002</v>
      </c>
      <c r="C165" t="s">
        <v>102</v>
      </c>
      <c r="E165" s="8">
        <f>B3+B165</f>
        <v>1.9895196601282805E-13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119.9999999999998</v>
      </c>
      <c r="C166" t="s">
        <v>102</v>
      </c>
      <c r="E166" s="8">
        <f>B4+B166</f>
        <v>-1.9895196601282805E-13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-5.0117098284384172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7.433566969485497E-8</v>
      </c>
      <c r="E175" s="27">
        <f>IF(B67=0,SQRT(I175),B67*SQRT(I175))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5.0117099027740917</v>
      </c>
      <c r="E176" s="3">
        <f>B67+E175</f>
        <v>5.3284859484854969</v>
      </c>
      <c r="F176" s="16" t="s">
        <v>125</v>
      </c>
    </row>
    <row r="177" spans="1:14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2">C177=C175</f>
        <v>0</v>
      </c>
      <c r="D178" t="b">
        <f t="shared" si="162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-9.3876691383058706</v>
      </c>
      <c r="B180" s="25">
        <f>(d_sigma_p!E165-d_sigma_m!E165)/(2*'Rigid Bearing Plate Analysis'!D177)</f>
        <v>10.549238514099201</v>
      </c>
      <c r="C180" s="25">
        <f>(d_sigma_p!E166-d_sigma_m!E166)/(2*'Rigid Bearing Plate Analysis'!D177)</f>
        <v>10.549238514099201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1.0891832503439233E-7</v>
      </c>
      <c r="B181" s="25">
        <f>(d_alpha_p!E165-d_alpha_m!E165)/(2*B177)</f>
        <v>-171.45565727498442</v>
      </c>
      <c r="C181" s="25">
        <f>(d_alpha_p!E166-d_alpha_m!E166)/(2*B177)</f>
        <v>171.45565788492704</v>
      </c>
      <c r="D181" s="25">
        <f ca="1">(d_alpha_p!C169-d_alpha_m!C169)/(2*B177)</f>
        <v>-3.26754975103177E-8</v>
      </c>
    </row>
    <row r="182" spans="1:14" x14ac:dyDescent="0.25">
      <c r="A182" s="25">
        <f>(d_Y_p!E164-d_Y_m!E164)/(2*C177)</f>
        <v>-18.535924644668189</v>
      </c>
      <c r="B182" s="25">
        <f>(d_Y_p!E165-d_Y_m!E165)/(2*C177)</f>
        <v>0.87622737692915753</v>
      </c>
      <c r="C182" s="25">
        <f>(d_Y_p!E166-d_Y_m!E166)/(2*C177)</f>
        <v>0.87622737692915753</v>
      </c>
      <c r="D182" s="25">
        <f ca="1">(d_Y_p!C169-d_Y_m!C169)/(2*C177)</f>
        <v>-1.8900349967850079</v>
      </c>
    </row>
    <row r="183" spans="1:14" x14ac:dyDescent="0.25">
      <c r="A183" s="25">
        <f>(d_T_p!E164-d_T_m!E164)/(2*E177)</f>
        <v>3.1994592593519928</v>
      </c>
      <c r="B183" s="25">
        <f>(d_T_p!E165-d_T_m!E165)/(2*E177)</f>
        <v>12.598377755580184</v>
      </c>
      <c r="C183" s="25">
        <f>(d_T_p!E166-d_T_m!E166)/(2*E177)</f>
        <v>12.598378025289719</v>
      </c>
      <c r="D183" s="25">
        <f ca="1">(d_T_p!C169-d_T_m!C169)/(2*E177)</f>
        <v>-0.94055044996653236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-3.2846892027029652E-2</v>
      </c>
      <c r="B185" s="25">
        <f ca="1"/>
        <v>-2.3393285255419785E-11</v>
      </c>
      <c r="C185" s="25">
        <f ca="1"/>
        <v>-3.217991552065743E-2</v>
      </c>
      <c r="D185" s="25">
        <f ca="1"/>
        <v>2.9742449755452614E-2</v>
      </c>
      <c r="F185" s="8">
        <f>-1*E164</f>
        <v>0</v>
      </c>
      <c r="H185">
        <f t="array" aca="1" ref="H185:H188" ca="1">MMULT(A185:D188,F185:F188)</f>
        <v>-6.4022574543073751E-15</v>
      </c>
      <c r="J185" s="8">
        <f ca="1">$B$66+H185</f>
        <v>5.0117098284384154</v>
      </c>
      <c r="K185" s="11" t="s">
        <v>115</v>
      </c>
      <c r="L185" s="8">
        <f ca="1">J186</f>
        <v>-5.4977871437821388</v>
      </c>
      <c r="M185" s="11" t="s">
        <v>116</v>
      </c>
      <c r="N185" t="s">
        <v>143</v>
      </c>
    </row>
    <row r="186" spans="1:14" x14ac:dyDescent="0.25">
      <c r="A186" s="25">
        <f ca="1"/>
        <v>1.6776262544625921E-2</v>
      </c>
      <c r="B186" s="25">
        <f ca="1"/>
        <v>-2.9162059190857865E-3</v>
      </c>
      <c r="C186" s="25">
        <f ca="1"/>
        <v>-4.0224893956061136E-3</v>
      </c>
      <c r="D186" s="25">
        <f ca="1"/>
        <v>2.5919830640317061E-2</v>
      </c>
      <c r="F186" s="8">
        <f>-1*E165</f>
        <v>-1.9895196601282805E-13</v>
      </c>
      <c r="H186">
        <f ca="1"/>
        <v>-2.2009727262122531E-16</v>
      </c>
      <c r="J186" s="8">
        <f ca="1">$B$64+H186</f>
        <v>-5.4977871437821388</v>
      </c>
      <c r="K186" s="11" t="s">
        <v>116</v>
      </c>
      <c r="L186" s="8">
        <f ca="1">J187</f>
        <v>5.3068830122570532</v>
      </c>
      <c r="M186" s="1" t="s">
        <v>117</v>
      </c>
    </row>
    <row r="187" spans="1:14" x14ac:dyDescent="0.25">
      <c r="A187" s="25">
        <f ca="1"/>
        <v>1.6776262570167691E-2</v>
      </c>
      <c r="B187" s="25">
        <f ca="1"/>
        <v>2.9162058783124144E-3</v>
      </c>
      <c r="C187" s="25">
        <f ca="1"/>
        <v>-4.0224894022521324E-3</v>
      </c>
      <c r="D187" s="25">
        <f ca="1"/>
        <v>2.5919830478205629E-2</v>
      </c>
      <c r="F187" s="8">
        <f>-1*E166</f>
        <v>1.9895196601282805E-13</v>
      </c>
      <c r="H187">
        <f ca="1"/>
        <v>-1.3804670676322481E-15</v>
      </c>
      <c r="J187" s="8">
        <f ca="1">$B$65+H187</f>
        <v>5.3068830122570532</v>
      </c>
      <c r="K187" s="1" t="s">
        <v>117</v>
      </c>
      <c r="L187" s="8">
        <f ca="1">J185</f>
        <v>5.0117098284384154</v>
      </c>
      <c r="M187" s="11" t="s">
        <v>115</v>
      </c>
    </row>
    <row r="188" spans="1:14" x14ac:dyDescent="0.25">
      <c r="A188" s="25">
        <f ca="1"/>
        <v>0.33769065524232728</v>
      </c>
      <c r="B188" s="25">
        <f ca="1"/>
        <v>2.1051960860477971E-10</v>
      </c>
      <c r="C188" s="25">
        <f ca="1"/>
        <v>-0.21722599962708819</v>
      </c>
      <c r="D188" s="25">
        <f ca="1"/>
        <v>-0.26765667196249487</v>
      </c>
      <c r="F188">
        <f ca="1">-1*C169</f>
        <v>0</v>
      </c>
      <c r="H188">
        <f ca="1"/>
        <v>-4.3217539736794337E-14</v>
      </c>
      <c r="J188" s="8">
        <f ca="1">$B$67+H188</f>
        <v>5.328485869451236</v>
      </c>
      <c r="K188" s="1" t="s">
        <v>118</v>
      </c>
      <c r="L188" s="8">
        <f ca="1">J188</f>
        <v>5.328485869451236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-9.3876691383058706</v>
      </c>
      <c r="B190" s="25">
        <f>A181</f>
        <v>1.0891832503439233E-7</v>
      </c>
      <c r="C190" s="25">
        <f>A182</f>
        <v>-18.535924644668189</v>
      </c>
      <c r="D190" s="25">
        <f>A183</f>
        <v>3.1994592593519928</v>
      </c>
      <c r="F190" t="s">
        <v>119</v>
      </c>
    </row>
    <row r="191" spans="1:14" x14ac:dyDescent="0.25">
      <c r="A191" s="25">
        <f>B180</f>
        <v>10.549238514099201</v>
      </c>
      <c r="B191" s="25">
        <f>B181</f>
        <v>-171.45565727498442</v>
      </c>
      <c r="C191" s="25">
        <f>B182</f>
        <v>0.87622737692915753</v>
      </c>
      <c r="D191" s="25">
        <f>B183</f>
        <v>12.598377755580184</v>
      </c>
      <c r="F191" t="s">
        <v>120</v>
      </c>
    </row>
    <row r="192" spans="1:14" x14ac:dyDescent="0.25">
      <c r="A192" s="25">
        <f>C180</f>
        <v>10.549238514099201</v>
      </c>
      <c r="B192" s="25">
        <f>C181</f>
        <v>171.45565788492704</v>
      </c>
      <c r="C192" s="25">
        <f>C182</f>
        <v>0.87622737692915753</v>
      </c>
      <c r="D192" s="25">
        <f>C183</f>
        <v>12.598378025289719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-3.26754975103177E-8</v>
      </c>
      <c r="C193" s="25">
        <f ca="1">D182</f>
        <v>-1.8900349967850079</v>
      </c>
      <c r="D193" s="25">
        <f ca="1">D183</f>
        <v>-0.94055044996653236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-3.2846892027029638E-2</v>
      </c>
      <c r="B195" s="25">
        <f ca="1"/>
        <v>1.6776262544625921E-2</v>
      </c>
      <c r="C195" s="25">
        <f ca="1"/>
        <v>1.6776262570167691E-2</v>
      </c>
      <c r="D195" s="25">
        <f ca="1"/>
        <v>0.33769065524232722</v>
      </c>
      <c r="H195">
        <f t="array" aca="1" ref="H195:H198" ca="1">MMULT(A195:D198,F185:F188)</f>
        <v>5.0815851772091086E-24</v>
      </c>
      <c r="J195" s="8">
        <f ca="1">$B$66+H195</f>
        <v>5.0117098284384216</v>
      </c>
      <c r="K195" s="11" t="s">
        <v>115</v>
      </c>
      <c r="L195" s="36">
        <f ca="1">J196</f>
        <v>-5.497787143782138</v>
      </c>
      <c r="M195" s="37" t="s">
        <v>116</v>
      </c>
      <c r="N195" t="s">
        <v>146</v>
      </c>
    </row>
    <row r="196" spans="1:14" x14ac:dyDescent="0.25">
      <c r="A196" s="25">
        <f ca="1"/>
        <v>-2.3393285464544841E-11</v>
      </c>
      <c r="B196" s="25">
        <f ca="1"/>
        <v>-2.9162059190857869E-3</v>
      </c>
      <c r="C196" s="25">
        <f ca="1"/>
        <v>2.916205878312414E-3</v>
      </c>
      <c r="D196" s="25">
        <f ca="1"/>
        <v>2.1051961036130844E-10</v>
      </c>
      <c r="H196">
        <f ca="1"/>
        <v>1.1603697936887842E-15</v>
      </c>
      <c r="J196" s="8">
        <f ca="1">$B$64+H196</f>
        <v>-5.497787143782138</v>
      </c>
      <c r="K196" s="11" t="s">
        <v>116</v>
      </c>
      <c r="L196" s="38">
        <f ca="1">J197</f>
        <v>5.3068830122570549</v>
      </c>
      <c r="M196" s="39" t="s">
        <v>117</v>
      </c>
    </row>
    <row r="197" spans="1:14" x14ac:dyDescent="0.25">
      <c r="A197" s="25">
        <f ca="1"/>
        <v>-3.217991552065743E-2</v>
      </c>
      <c r="B197" s="25">
        <f ca="1"/>
        <v>-4.022489395606111E-3</v>
      </c>
      <c r="C197" s="25">
        <f ca="1"/>
        <v>-4.0224894022521324E-3</v>
      </c>
      <c r="D197" s="25">
        <f ca="1"/>
        <v>-0.21722599962708816</v>
      </c>
      <c r="H197">
        <f ca="1"/>
        <v>-1.3222390497020442E-24</v>
      </c>
      <c r="J197" s="8">
        <f ca="1">$B$65+H197</f>
        <v>5.3068830122570549</v>
      </c>
      <c r="K197" s="1" t="s">
        <v>117</v>
      </c>
      <c r="L197" s="38">
        <f ca="1">J195</f>
        <v>5.0117098284384216</v>
      </c>
      <c r="M197" s="43" t="s">
        <v>115</v>
      </c>
    </row>
    <row r="198" spans="1:14" ht="15.75" thickBot="1" x14ac:dyDescent="0.3">
      <c r="A198" s="25">
        <f ca="1"/>
        <v>2.9742449755452614E-2</v>
      </c>
      <c r="B198" s="25">
        <f ca="1"/>
        <v>2.5919830640317061E-2</v>
      </c>
      <c r="C198" s="25">
        <f ca="1"/>
        <v>2.5919830478205626E-2</v>
      </c>
      <c r="D198" s="25">
        <f ca="1"/>
        <v>-0.26765667196249487</v>
      </c>
      <c r="H198">
        <f ca="1"/>
        <v>-3.2252388783343815E-23</v>
      </c>
      <c r="J198" s="8">
        <f ca="1">$B$67+H198</f>
        <v>5.3284858694512796</v>
      </c>
      <c r="K198" s="1" t="s">
        <v>118</v>
      </c>
      <c r="L198" s="41">
        <f ca="1">J198</f>
        <v>5.3284858694512796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-9.3876691383058706</v>
      </c>
      <c r="B201" s="25">
        <f t="shared" ref="B201:C201" si="163">B190</f>
        <v>1.0891832503439233E-7</v>
      </c>
      <c r="C201" s="25">
        <f t="shared" si="163"/>
        <v>-18.535924644668189</v>
      </c>
      <c r="D201" s="25"/>
    </row>
    <row r="202" spans="1:14" x14ac:dyDescent="0.25">
      <c r="A202" s="25">
        <f t="shared" ref="A202:C202" si="164">A191</f>
        <v>10.549238514099201</v>
      </c>
      <c r="B202" s="25">
        <f t="shared" si="164"/>
        <v>-171.45565727498442</v>
      </c>
      <c r="C202" s="25">
        <f t="shared" si="164"/>
        <v>0.87622737692915753</v>
      </c>
      <c r="D202" s="25"/>
    </row>
    <row r="203" spans="1:14" x14ac:dyDescent="0.25">
      <c r="A203" s="25">
        <f t="shared" ref="A203:C203" si="165">A192</f>
        <v>10.549238514099201</v>
      </c>
      <c r="B203" s="25">
        <f t="shared" si="165"/>
        <v>171.45565788492704</v>
      </c>
      <c r="C203" s="25">
        <f t="shared" si="165"/>
        <v>0.87622737692915753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4.6778491751555138E-3</v>
      </c>
      <c r="B205" s="25">
        <v>4.947817327422397E-2</v>
      </c>
      <c r="C205" s="25">
        <v>4.9478173095236874E-2</v>
      </c>
      <c r="D205" s="25"/>
      <c r="H205">
        <f t="array" ref="H205:H207">MMULT(A205:C207,F185:F187)</f>
        <v>-3.5609834438505996E-23</v>
      </c>
      <c r="J205" s="8">
        <f>$B$66+H205</f>
        <v>5.0117098284384216</v>
      </c>
      <c r="K205" s="11" t="s">
        <v>115</v>
      </c>
      <c r="L205" s="8">
        <f>J206</f>
        <v>-5.497787143782138</v>
      </c>
      <c r="M205" s="11" t="s">
        <v>116</v>
      </c>
      <c r="N205" t="s">
        <v>145</v>
      </c>
    </row>
    <row r="206" spans="1:14" x14ac:dyDescent="0.25">
      <c r="A206" s="25">
        <v>0</v>
      </c>
      <c r="B206" s="25">
        <v>-2.9162058986991002E-3</v>
      </c>
      <c r="C206" s="25">
        <v>2.9162058986991002E-3</v>
      </c>
      <c r="D206" s="25"/>
      <c r="H206">
        <v>1.1603697936887842E-15</v>
      </c>
      <c r="J206" s="8">
        <f>$B$64+H206</f>
        <v>-5.497787143782138</v>
      </c>
      <c r="K206" s="11" t="s">
        <v>116</v>
      </c>
      <c r="L206" s="8">
        <f>J207</f>
        <v>5.3068830122570549</v>
      </c>
      <c r="M206" s="1" t="s">
        <v>117</v>
      </c>
      <c r="N206" t="s">
        <v>147</v>
      </c>
    </row>
    <row r="207" spans="1:14" x14ac:dyDescent="0.25">
      <c r="A207" s="25">
        <v>-5.6318425994223938E-2</v>
      </c>
      <c r="B207" s="25">
        <v>-2.505862154103107E-2</v>
      </c>
      <c r="C207" s="25">
        <v>-2.5058621416109969E-2</v>
      </c>
      <c r="D207" s="25"/>
      <c r="H207">
        <v>2.4853299477259543E-23</v>
      </c>
      <c r="J207" s="8">
        <f>$B$65+H207</f>
        <v>5.3068830122570549</v>
      </c>
      <c r="K207" s="1" t="s">
        <v>117</v>
      </c>
      <c r="L207" s="8">
        <f>J205</f>
        <v>5.0117098284384216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1.0891832503439233E-7</v>
      </c>
      <c r="B212" s="25">
        <f>A182</f>
        <v>-18.535924644668189</v>
      </c>
      <c r="C212" s="25">
        <f>A183</f>
        <v>3.1994592593519928</v>
      </c>
    </row>
    <row r="213" spans="1:14" x14ac:dyDescent="0.25">
      <c r="A213" s="25">
        <f>B181</f>
        <v>-171.45565727498442</v>
      </c>
      <c r="B213" s="25">
        <f>B182</f>
        <v>0.87622737692915753</v>
      </c>
      <c r="C213" s="25">
        <f>B183</f>
        <v>12.598377755580184</v>
      </c>
    </row>
    <row r="214" spans="1:14" x14ac:dyDescent="0.25">
      <c r="A214" s="25">
        <f>C181</f>
        <v>171.45565788492704</v>
      </c>
      <c r="B214" s="25">
        <f>C182</f>
        <v>0.87622737692915753</v>
      </c>
      <c r="C214" s="25">
        <f>C183</f>
        <v>12.598378025289719</v>
      </c>
    </row>
    <row r="215" spans="1:14" ht="15.75" thickBot="1" x14ac:dyDescent="0.3"/>
    <row r="216" spans="1:14" x14ac:dyDescent="0.25">
      <c r="A216">
        <f t="array" ref="A216:C218">MINVERSE(A212:C214)</f>
        <v>-2.9162162524215976E-12</v>
      </c>
      <c r="B216">
        <v>-2.9162059295442704E-3</v>
      </c>
      <c r="C216">
        <v>2.9162058678539301E-3</v>
      </c>
      <c r="H216" cm="1">
        <f t="array" ref="H216:H218">MMULT(A216:C218,F185:F187)</f>
        <v>1.1603697936887842E-15</v>
      </c>
      <c r="J216" s="8">
        <f>$B$64+H216</f>
        <v>-5.497787143782138</v>
      </c>
      <c r="K216" s="11" t="s">
        <v>116</v>
      </c>
      <c r="L216" s="36">
        <f>J216</f>
        <v>-5.497787143782138</v>
      </c>
      <c r="M216" s="37" t="s">
        <v>116</v>
      </c>
      <c r="N216" t="s">
        <v>144</v>
      </c>
    </row>
    <row r="217" spans="1:14" x14ac:dyDescent="0.25">
      <c r="A217">
        <v>-5.3309309670147055E-2</v>
      </c>
      <c r="B217">
        <v>6.7691636889239612E-3</v>
      </c>
      <c r="C217">
        <v>6.769163698708178E-3</v>
      </c>
      <c r="H217">
        <v>1.9465892254188426E-24</v>
      </c>
      <c r="J217" s="8">
        <f>$B$65+H217</f>
        <v>5.3068830122570549</v>
      </c>
      <c r="K217" s="1" t="s">
        <v>117</v>
      </c>
      <c r="L217" s="38">
        <f>J217</f>
        <v>5.3068830122570549</v>
      </c>
      <c r="M217" s="39" t="s">
        <v>117</v>
      </c>
    </row>
    <row r="218" spans="1:14" x14ac:dyDescent="0.25">
      <c r="A218">
        <v>3.7077056256299081E-3</v>
      </c>
      <c r="B218">
        <v>3.9216848283406408E-2</v>
      </c>
      <c r="C218">
        <v>3.9216848141539619E-2</v>
      </c>
      <c r="H218">
        <v>-2.8224676416007928E-23</v>
      </c>
      <c r="J218" s="8">
        <f>$B$67+H218</f>
        <v>5.3284858694512796</v>
      </c>
      <c r="K218" s="1" t="s">
        <v>118</v>
      </c>
      <c r="L218" s="38">
        <f>B66</f>
        <v>5.0117098284384216</v>
      </c>
      <c r="M218" s="40"/>
    </row>
    <row r="219" spans="1:14" ht="15.75" thickBot="1" x14ac:dyDescent="0.3">
      <c r="L219" s="41">
        <f>J218</f>
        <v>5.3284858694512796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5.0117099027740917</v>
      </c>
      <c r="C66" t="s">
        <v>11</v>
      </c>
      <c r="D66">
        <f>B66/B53</f>
        <v>1.2966230097400417E-3</v>
      </c>
      <c r="I66" s="20"/>
    </row>
    <row r="67" spans="1:18" x14ac:dyDescent="0.25">
      <c r="A67" s="1" t="s">
        <v>37</v>
      </c>
      <c r="B67" s="17">
        <f>'Rigid Bearing Plate Analysis'!B67</f>
        <v>5.3284858694512796</v>
      </c>
      <c r="C67" t="s">
        <v>36</v>
      </c>
      <c r="D67" t="s">
        <v>122</v>
      </c>
      <c r="G67" s="20">
        <f ca="1">($B$56*$B$66*$B$55*$E$122)/$B$65</f>
        <v>5.3284859484855023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-3.1956508826776036</v>
      </c>
      <c r="I110">
        <f>H110*C110</f>
        <v>13.557998456676671</v>
      </c>
      <c r="J110">
        <f>H110*B110*-1</f>
        <v>-20.336997685014978</v>
      </c>
      <c r="K110">
        <f ca="1">H110/$B$55</f>
        <v>-22.520629719738057</v>
      </c>
      <c r="L110">
        <f ca="1">K110/$B$54</f>
        <v>-7.7657343861165711E-4</v>
      </c>
      <c r="M110">
        <f t="shared" ref="M110:M121" si="34">IFERROR(($D$66/$B$65)*(G110-$B$125),0)</f>
        <v>-7.7657345013010335E-4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-5.3284858694512787</v>
      </c>
      <c r="I111">
        <f t="shared" ref="I111:I121" si="39">H111*C111</f>
        <v>33.910276425711281</v>
      </c>
      <c r="J111">
        <f t="shared" ref="J111:J121" si="40">H111*B111*-1</f>
        <v>-22.606850950474154</v>
      </c>
      <c r="K111">
        <f ca="1">H111/$B$55</f>
        <v>-37.551303830855652</v>
      </c>
      <c r="L111">
        <f t="shared" ref="L111:L121" ca="1" si="41">K111/$B$54</f>
        <v>-1.2948725458915742E-3</v>
      </c>
      <c r="M111">
        <f t="shared" si="34"/>
        <v>-1.2948725650976391E-3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-5.3284858694512724</v>
      </c>
      <c r="I112">
        <f t="shared" si="39"/>
        <v>33.91027642571121</v>
      </c>
      <c r="J112">
        <f t="shared" si="40"/>
        <v>22.606850950474168</v>
      </c>
      <c r="K112">
        <f t="shared" ref="K112:K121" ca="1" si="45">H112/$B$55</f>
        <v>-37.551303830855609</v>
      </c>
      <c r="L112">
        <f t="shared" ca="1" si="41"/>
        <v>-1.2948725458915727E-3</v>
      </c>
      <c r="M112">
        <f t="shared" si="34"/>
        <v>-1.2948725650976376E-3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-3.1956508826775956</v>
      </c>
      <c r="I113">
        <f t="shared" si="39"/>
        <v>13.557998456676611</v>
      </c>
      <c r="J113">
        <f t="shared" si="40"/>
        <v>20.336997685014946</v>
      </c>
      <c r="K113">
        <f t="shared" ca="1" si="45"/>
        <v>-22.520629719738</v>
      </c>
      <c r="L113">
        <f t="shared" ca="1" si="41"/>
        <v>-7.7657343861165515E-4</v>
      </c>
      <c r="M113">
        <f t="shared" si="34"/>
        <v>-7.765734501301014E-4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-17.04827350425775</v>
      </c>
      <c r="I122">
        <f t="shared" ref="I122:J122" si="46">SUM(I110:I121)</f>
        <v>94.936549764775776</v>
      </c>
      <c r="J122">
        <f t="shared" si="46"/>
        <v>-1.7763568394002505E-14</v>
      </c>
      <c r="L122">
        <f ca="1">MIN(L110:L121)</f>
        <v>-1.2948725458915742E-3</v>
      </c>
      <c r="M122">
        <f>MIN(M110:M121)</f>
        <v>-1.2948725650976391E-3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-3.0016132839018321</v>
      </c>
      <c r="G132" s="4">
        <f t="shared" ref="G132:G139" si="49">($B$66/$B$65)*(E132-$B$125)</f>
        <v>-7.0082748772397885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-7.0082748772397885</v>
      </c>
      <c r="G133" s="4">
        <f t="shared" si="49"/>
        <v>-3.0016132839018268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-3.0016132839018268</v>
      </c>
      <c r="G134" s="4">
        <f t="shared" si="49"/>
        <v>-7.0082748772397832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-7.0082748772397832</v>
      </c>
      <c r="G135" s="4">
        <f t="shared" si="49"/>
        <v>-3.0016132839018201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-3.0016132839018201</v>
      </c>
      <c r="G136" s="4">
        <f t="shared" si="49"/>
        <v>5.0117099027740917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5.0117099027740917</v>
      </c>
      <c r="P136" s="4">
        <f t="shared" si="58"/>
        <v>23.524137101048243</v>
      </c>
      <c r="Q136" s="4">
        <f t="shared" si="59"/>
        <v>37.384539414500175</v>
      </c>
      <c r="R136" s="4">
        <f t="shared" si="60"/>
        <v>-31.209960889889743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5.0117099027740917</v>
      </c>
      <c r="G137" s="4">
        <f t="shared" si="49"/>
        <v>-3.0016132839018321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5.0117099027740917</v>
      </c>
      <c r="O137" s="4">
        <f t="shared" si="57"/>
        <v>0</v>
      </c>
      <c r="P137" s="4">
        <f t="shared" si="58"/>
        <v>23.52413710104819</v>
      </c>
      <c r="Q137" s="4">
        <f t="shared" si="59"/>
        <v>37.38453941450009</v>
      </c>
      <c r="R137" s="4">
        <f t="shared" si="60"/>
        <v>31.209960889889604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-3.0016132839018321</v>
      </c>
      <c r="G138" s="4">
        <f t="shared" si="49"/>
        <v>-3.0016132839018321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-3.0016132839018321</v>
      </c>
      <c r="G139" s="4">
        <f t="shared" si="49"/>
        <v>-3.0016132839018321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47.048274202096437</v>
      </c>
      <c r="Q140" s="4">
        <f>SUM(Q132:Q139)</f>
        <v>74.769078829000264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2.9449716450395451E-15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-3.0016132839018321</v>
      </c>
      <c r="G146" s="4">
        <f>($B$66/$B$65)*(E146-$B$125)</f>
        <v>-3.0016132839018321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-3.0016132839018321</v>
      </c>
      <c r="G147" s="4">
        <f t="shared" ref="G147:G153" si="64">($B$66/$B$65)*(E147-$B$125)</f>
        <v>-3.0016132839018321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-3.0016132839018321</v>
      </c>
      <c r="G148" s="4">
        <f t="shared" si="64"/>
        <v>-3.0016132839018321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-3.0016132839018321</v>
      </c>
      <c r="G149" s="4">
        <f t="shared" si="64"/>
        <v>-3.0016132839018321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-3.0016132839018321</v>
      </c>
      <c r="G150" s="4">
        <f t="shared" si="64"/>
        <v>-3.0016132839018321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-3.0016132839018321</v>
      </c>
      <c r="G151" s="4">
        <f t="shared" si="64"/>
        <v>-3.0016132839018321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-3.0016132839018321</v>
      </c>
      <c r="G152" s="4">
        <f t="shared" si="64"/>
        <v>-3.0016132839018321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-3.0016132839018321</v>
      </c>
      <c r="G153" s="4">
        <f t="shared" si="64"/>
        <v>-3.0016132839018321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30.000000697838686</v>
      </c>
      <c r="C159" t="s">
        <v>36</v>
      </c>
    </row>
    <row r="160" spans="1:18" x14ac:dyDescent="0.25">
      <c r="A160" s="1" t="s">
        <v>106</v>
      </c>
      <c r="B160" s="4">
        <f>Q140+I122+Q154-O122</f>
        <v>169.70562859377605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30.000000697838686</v>
      </c>
      <c r="C164" t="s">
        <v>36</v>
      </c>
      <c r="E164" s="8">
        <f>B2-B164</f>
        <v>-6.9783868639206048E-7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120.00000078418491</v>
      </c>
      <c r="C165" t="s">
        <v>102</v>
      </c>
      <c r="E165" s="8">
        <f>B3+B165</f>
        <v>7.841849054557315E-7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120.00000078418451</v>
      </c>
      <c r="C166" t="s">
        <v>102</v>
      </c>
      <c r="E166" s="8">
        <f>B4+B166</f>
        <v>7.8418450755179947E-7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5.0117099027740917</v>
      </c>
      <c r="B169" s="1">
        <f ca="1">IF(E122=0,0,(MIN(H110:H121)*B65)/(B55*B56*E122))</f>
        <v>-5.0117098284384172</v>
      </c>
      <c r="C169" s="3">
        <f ca="1">A169+B169</f>
        <v>7.4335674504766303E-8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7.433567079743114E-8</v>
      </c>
      <c r="E175" s="27">
        <f>B67*SQRT(I175)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5.0117099771097626</v>
      </c>
      <c r="E176" s="3">
        <f>B67+E175</f>
        <v>5.3284859484854969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7.4335670952052624E-8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6.9783868639206048E-7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-7.841849054557315E-7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-7.8418450755179947E-7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-7.4335674504766303E-8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5.0117097541027515</v>
      </c>
      <c r="C66" t="s">
        <v>11</v>
      </c>
      <c r="D66">
        <f>B66/B53</f>
        <v>1.2966229712759877E-3</v>
      </c>
      <c r="I66" s="20"/>
    </row>
    <row r="67" spans="1:18" x14ac:dyDescent="0.25">
      <c r="A67" s="1" t="s">
        <v>37</v>
      </c>
      <c r="B67" s="17">
        <f>'Rigid Bearing Plate Analysis'!B67</f>
        <v>5.3284858694512796</v>
      </c>
      <c r="C67" t="s">
        <v>36</v>
      </c>
      <c r="D67" t="s">
        <v>122</v>
      </c>
      <c r="G67" s="20">
        <f ca="1">($B$56*$B$66*$B$55*$E$122)/$B$65</f>
        <v>5.3284857904170657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-3.1956508826776036</v>
      </c>
      <c r="I110">
        <f>H110*C110</f>
        <v>13.557998456676671</v>
      </c>
      <c r="J110">
        <f>H110*B110*-1</f>
        <v>-20.336997685014978</v>
      </c>
      <c r="K110">
        <f ca="1">H110/$B$55</f>
        <v>-22.520629719738057</v>
      </c>
      <c r="L110">
        <f ca="1">K110/$B$54</f>
        <v>-7.7657343861165711E-4</v>
      </c>
      <c r="M110">
        <f t="shared" ref="M110:M121" si="34">IFERROR(($D$66/$B$65)*(G110-$B$125),0)</f>
        <v>-7.7657342709321227E-4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-5.3284858694512787</v>
      </c>
      <c r="I111">
        <f t="shared" ref="I111:I121" si="39">H111*C111</f>
        <v>33.910276425711281</v>
      </c>
      <c r="J111">
        <f t="shared" ref="J111:J121" si="40">H111*B111*-1</f>
        <v>-22.606850950474154</v>
      </c>
      <c r="K111">
        <f ca="1">H111/$B$55</f>
        <v>-37.551303830855652</v>
      </c>
      <c r="L111">
        <f t="shared" ref="L111:L121" ca="1" si="41">K111/$B$54</f>
        <v>-1.2948725458915742E-3</v>
      </c>
      <c r="M111">
        <f t="shared" si="34"/>
        <v>-1.2948725266855119E-3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-5.3284858694512724</v>
      </c>
      <c r="I112">
        <f t="shared" si="39"/>
        <v>33.91027642571121</v>
      </c>
      <c r="J112">
        <f t="shared" si="40"/>
        <v>22.606850950474168</v>
      </c>
      <c r="K112">
        <f t="shared" ref="K112:K121" ca="1" si="45">H112/$B$55</f>
        <v>-37.551303830855609</v>
      </c>
      <c r="L112">
        <f t="shared" ca="1" si="41"/>
        <v>-1.2948725458915727E-3</v>
      </c>
      <c r="M112">
        <f t="shared" si="34"/>
        <v>-1.2948725266855104E-3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-3.1956508826775956</v>
      </c>
      <c r="I113">
        <f t="shared" si="39"/>
        <v>13.557998456676611</v>
      </c>
      <c r="J113">
        <f t="shared" si="40"/>
        <v>20.336997685014946</v>
      </c>
      <c r="K113">
        <f t="shared" ca="1" si="45"/>
        <v>-22.520629719738</v>
      </c>
      <c r="L113">
        <f t="shared" ca="1" si="41"/>
        <v>-7.7657343861165515E-4</v>
      </c>
      <c r="M113">
        <f t="shared" si="34"/>
        <v>-7.7657342709321032E-4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-17.04827350425775</v>
      </c>
      <c r="I122">
        <f t="shared" ref="I122:J122" si="46">SUM(I110:I121)</f>
        <v>94.936549764775776</v>
      </c>
      <c r="J122">
        <f t="shared" si="46"/>
        <v>-1.7763568394002505E-14</v>
      </c>
      <c r="L122">
        <f ca="1">MIN(L110:L121)</f>
        <v>-1.2948725458915742E-3</v>
      </c>
      <c r="M122">
        <f>MIN(M110:M121)</f>
        <v>-1.2948725266855119E-3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-3.0016131948595932</v>
      </c>
      <c r="G132" s="4">
        <f t="shared" ref="G132:G139" si="49">($B$66/$B$65)*(E132-$B$125)</f>
        <v>-7.0082746693407598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-7.0082746693407598</v>
      </c>
      <c r="G133" s="4">
        <f t="shared" si="49"/>
        <v>-3.0016131948595883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-3.0016131948595883</v>
      </c>
      <c r="G134" s="4">
        <f t="shared" si="49"/>
        <v>-7.0082746693407554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-7.0082746693407554</v>
      </c>
      <c r="G135" s="4">
        <f t="shared" si="49"/>
        <v>-3.0016131948595817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-3.0016131948595817</v>
      </c>
      <c r="G136" s="4">
        <f t="shared" si="49"/>
        <v>5.0117097541027515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5.0117097541027515</v>
      </c>
      <c r="P136" s="4">
        <f t="shared" si="58"/>
        <v>23.524136403209567</v>
      </c>
      <c r="Q136" s="4">
        <f t="shared" si="59"/>
        <v>37.384538305495525</v>
      </c>
      <c r="R136" s="4">
        <f t="shared" si="60"/>
        <v>-31.209959964052693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5.0117097541027515</v>
      </c>
      <c r="G137" s="4">
        <f t="shared" si="49"/>
        <v>-3.0016131948595932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5.0117097541027515</v>
      </c>
      <c r="O137" s="4">
        <f t="shared" si="57"/>
        <v>0</v>
      </c>
      <c r="P137" s="4">
        <f t="shared" si="58"/>
        <v>23.524136403209518</v>
      </c>
      <c r="Q137" s="4">
        <f t="shared" si="59"/>
        <v>37.384538305495447</v>
      </c>
      <c r="R137" s="4">
        <f t="shared" si="60"/>
        <v>31.209959964052555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-3.0016131948595932</v>
      </c>
      <c r="G138" s="4">
        <f t="shared" si="49"/>
        <v>-3.0016131948595932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-3.0016131948595932</v>
      </c>
      <c r="G139" s="4">
        <f t="shared" si="49"/>
        <v>-3.0016131948595932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47.048272806419085</v>
      </c>
      <c r="Q140" s="4">
        <f>SUM(Q132:Q139)</f>
        <v>74.769076610990965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2.9449717324015244E-15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-3.0016131948595932</v>
      </c>
      <c r="G146" s="4">
        <f>($B$66/$B$65)*(E146-$B$125)</f>
        <v>-3.0016131948595932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-3.0016131948595932</v>
      </c>
      <c r="G147" s="4">
        <f t="shared" ref="G147:G153" si="64">($B$66/$B$65)*(E147-$B$125)</f>
        <v>-3.0016131948595932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-3.0016131948595932</v>
      </c>
      <c r="G148" s="4">
        <f t="shared" si="64"/>
        <v>-3.0016131948595932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-3.0016131948595932</v>
      </c>
      <c r="G149" s="4">
        <f t="shared" si="64"/>
        <v>-3.0016131948595932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-3.0016131948595932</v>
      </c>
      <c r="G150" s="4">
        <f t="shared" si="64"/>
        <v>-3.0016131948595932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-3.0016131948595932</v>
      </c>
      <c r="G151" s="4">
        <f t="shared" si="64"/>
        <v>-3.0016131948595932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-3.0016131948595932</v>
      </c>
      <c r="G152" s="4">
        <f t="shared" si="64"/>
        <v>-3.0016131948595932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-3.0016131948595932</v>
      </c>
      <c r="G153" s="4">
        <f t="shared" si="64"/>
        <v>-3.0016131948595932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29.999999302161335</v>
      </c>
      <c r="C159" t="s">
        <v>36</v>
      </c>
    </row>
    <row r="160" spans="1:18" x14ac:dyDescent="0.25">
      <c r="A160" s="1" t="s">
        <v>106</v>
      </c>
      <c r="B160" s="4">
        <f>Q140+I122+Q154-O122</f>
        <v>169.70562637576674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29.999999302161335</v>
      </c>
      <c r="C164" t="s">
        <v>36</v>
      </c>
      <c r="E164" s="8">
        <f>B2-B164</f>
        <v>6.9783866507577841E-7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119.99999921581548</v>
      </c>
      <c r="C165" t="s">
        <v>102</v>
      </c>
      <c r="E165" s="8">
        <f>B3+B165</f>
        <v>-7.8418452176265419E-7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119.99999921581508</v>
      </c>
      <c r="C166" t="s">
        <v>102</v>
      </c>
      <c r="E166" s="8">
        <f>B4+B166</f>
        <v>-7.8418491966658621E-7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5.0117097541027515</v>
      </c>
      <c r="B169" s="1">
        <f ca="1">IF(E122=0,0,(MIN(H110:H121)*B65)/(B55*B56*E122))</f>
        <v>-5.0117098284384172</v>
      </c>
      <c r="C169" s="3">
        <f ca="1">A169+B169</f>
        <v>-7.4335665622982106E-8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7.43356685922788E-8</v>
      </c>
      <c r="E175" s="27">
        <f>B67*SQRT(I175)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5.0117098284384198</v>
      </c>
      <c r="E176" s="3">
        <f>B67+E175</f>
        <v>5.3284859484854969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7.4335668287517365E-8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-6.9783866507577841E-7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7.8418452176265419E-7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7.8418491966658621E-7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7.4335665622982106E-8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-5.4977872253275004</v>
      </c>
      <c r="C64" t="s">
        <v>19</v>
      </c>
      <c r="D64" t="s">
        <v>34</v>
      </c>
      <c r="H64" s="17">
        <f>DEGREES(B64)</f>
        <v>-315.00000467220508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5.3284858694512796</v>
      </c>
      <c r="C67" t="s">
        <v>36</v>
      </c>
      <c r="D67" t="s">
        <v>122</v>
      </c>
      <c r="G67" s="20">
        <f ca="1">($B$56*$B$66*$B$55*$E$122)/$B$65</f>
        <v>5.328486217296847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-9.4852817202062134</v>
      </c>
      <c r="R76">
        <f>Q76</f>
        <v>-9.4852817202062134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9.4852817202062134</v>
      </c>
      <c r="R77">
        <f>Q77</f>
        <v>9.4852817202062134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-8.4852810282708706</v>
      </c>
      <c r="C84" s="1">
        <f t="shared" ref="C84:C92" si="23">(-1*B73*SIN($B$64))+(C73*COS($B$64))</f>
        <v>-4.2426413790546142</v>
      </c>
      <c r="H84" s="1">
        <f t="shared" ref="H84:H92" si="24">H73</f>
        <v>1</v>
      </c>
      <c r="I84" s="4">
        <f>(I73*COS($B$64))+(J73*SIN($B$64))</f>
        <v>-8.4852810282708706</v>
      </c>
      <c r="J84" s="1">
        <f>(-1*I73*SIN($B$64))+(J73*COS($B$64))</f>
        <v>-4.2426413790546142</v>
      </c>
    </row>
    <row r="85" spans="1:10" x14ac:dyDescent="0.25">
      <c r="A85" s="1">
        <f t="shared" si="21"/>
        <v>2</v>
      </c>
      <c r="B85" s="4">
        <f t="shared" si="22"/>
        <v>-4.2426399951839286</v>
      </c>
      <c r="C85" s="1">
        <f t="shared" si="23"/>
        <v>-8.4852817202062134</v>
      </c>
      <c r="H85" s="1">
        <f t="shared" si="24"/>
        <v>2</v>
      </c>
      <c r="I85" s="4">
        <f t="shared" ref="I85:I92" si="25">(I74*COS($B$64))+(J74*SIN($B$64))</f>
        <v>-8.4852810282708706</v>
      </c>
      <c r="J85" s="1">
        <f t="shared" ref="J85:J92" si="26">(-1*I74*SIN($B$64))+(J74*COS($B$64))</f>
        <v>-4.2426413790546142</v>
      </c>
    </row>
    <row r="86" spans="1:10" x14ac:dyDescent="0.25">
      <c r="A86" s="1">
        <f t="shared" si="21"/>
        <v>3</v>
      </c>
      <c r="B86" s="4">
        <f t="shared" si="22"/>
        <v>3.4596767184424948E-7</v>
      </c>
      <c r="C86" s="1">
        <f t="shared" si="23"/>
        <v>-4.2426406871192714</v>
      </c>
      <c r="H86" s="1">
        <f t="shared" si="24"/>
        <v>3</v>
      </c>
      <c r="I86" s="4">
        <f t="shared" si="25"/>
        <v>-8.4852810282708706</v>
      </c>
      <c r="J86" s="1">
        <f t="shared" si="26"/>
        <v>-4.2426413790546142</v>
      </c>
    </row>
    <row r="87" spans="1:10" x14ac:dyDescent="0.25">
      <c r="A87" s="1">
        <f t="shared" si="21"/>
        <v>4</v>
      </c>
      <c r="B87" s="4">
        <f t="shared" si="22"/>
        <v>4.2426413790546142</v>
      </c>
      <c r="C87" s="1">
        <f t="shared" si="23"/>
        <v>-8.4852810282708706</v>
      </c>
      <c r="H87" s="1">
        <f t="shared" si="24"/>
        <v>4</v>
      </c>
      <c r="I87" s="4">
        <f t="shared" si="25"/>
        <v>-8.4852810282708706</v>
      </c>
      <c r="J87" s="1">
        <f t="shared" si="26"/>
        <v>-4.2426413790546142</v>
      </c>
    </row>
    <row r="88" spans="1:10" x14ac:dyDescent="0.25">
      <c r="A88" s="1">
        <f t="shared" si="21"/>
        <v>5</v>
      </c>
      <c r="B88" s="4">
        <f t="shared" si="22"/>
        <v>8.4852817202062134</v>
      </c>
      <c r="C88" s="1">
        <f t="shared" si="23"/>
        <v>-4.2426399951839286</v>
      </c>
      <c r="H88" s="1">
        <f t="shared" si="24"/>
        <v>5</v>
      </c>
      <c r="I88" s="4">
        <f t="shared" si="25"/>
        <v>-8.4852810282708706</v>
      </c>
      <c r="J88" s="1">
        <f t="shared" si="26"/>
        <v>-4.2426413790546142</v>
      </c>
    </row>
    <row r="89" spans="1:10" x14ac:dyDescent="0.25">
      <c r="A89" s="1">
        <f t="shared" si="21"/>
        <v>6</v>
      </c>
      <c r="B89" s="4">
        <f t="shared" si="22"/>
        <v>-3.4596767184424948E-7</v>
      </c>
      <c r="C89" s="1">
        <f t="shared" si="23"/>
        <v>4.2426406871192714</v>
      </c>
      <c r="H89" s="1">
        <f t="shared" si="24"/>
        <v>6</v>
      </c>
      <c r="I89" s="4">
        <f t="shared" si="25"/>
        <v>-8.4852810282708706</v>
      </c>
      <c r="J89" s="1">
        <f t="shared" si="26"/>
        <v>-4.2426413790546142</v>
      </c>
    </row>
    <row r="90" spans="1:10" x14ac:dyDescent="0.25">
      <c r="A90" s="1">
        <f t="shared" si="21"/>
        <v>7</v>
      </c>
      <c r="B90" s="4">
        <f t="shared" si="22"/>
        <v>-8.4852810282708706</v>
      </c>
      <c r="C90" s="1">
        <f t="shared" si="23"/>
        <v>-4.2426413790546142</v>
      </c>
      <c r="H90" s="1">
        <f t="shared" si="24"/>
        <v>7</v>
      </c>
      <c r="I90" s="4">
        <f t="shared" si="25"/>
        <v>-8.4852810282708706</v>
      </c>
      <c r="J90" s="1">
        <f t="shared" si="26"/>
        <v>-4.2426413790546142</v>
      </c>
    </row>
    <row r="91" spans="1:10" x14ac:dyDescent="0.25">
      <c r="A91" s="1">
        <f t="shared" si="21"/>
        <v>8</v>
      </c>
      <c r="B91" s="4">
        <f t="shared" si="22"/>
        <v>-8.4852810282708706</v>
      </c>
      <c r="C91" s="1">
        <f t="shared" si="23"/>
        <v>-4.2426413790546142</v>
      </c>
      <c r="H91" s="1">
        <f t="shared" si="24"/>
        <v>8</v>
      </c>
      <c r="I91" s="4">
        <f t="shared" si="25"/>
        <v>-8.4852810282708706</v>
      </c>
      <c r="J91" s="1">
        <f t="shared" si="26"/>
        <v>-4.2426413790546142</v>
      </c>
    </row>
    <row r="92" spans="1:10" x14ac:dyDescent="0.25">
      <c r="A92" s="1">
        <f t="shared" si="21"/>
        <v>9</v>
      </c>
      <c r="B92" s="4">
        <f t="shared" si="22"/>
        <v>-8.4852810282708706</v>
      </c>
      <c r="C92" s="1">
        <f t="shared" si="23"/>
        <v>-4.2426413790546142</v>
      </c>
      <c r="H92" s="1">
        <f t="shared" si="24"/>
        <v>9</v>
      </c>
      <c r="I92" s="4">
        <f t="shared" si="25"/>
        <v>-8.4852810282708706</v>
      </c>
      <c r="J92" s="1">
        <f t="shared" si="26"/>
        <v>-4.2426413790546142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-6.3639606847112358</v>
      </c>
      <c r="C110" s="1">
        <f>(-1*B95*SIN($B$64))+(C95*COS($B$64))</f>
        <v>-4.2426412060707781</v>
      </c>
      <c r="D110" t="str">
        <f t="shared" ref="D110" si="31">D95</f>
        <v>y</v>
      </c>
      <c r="E110" s="4">
        <f t="shared" ref="E110:E121" si="32">IF($D110="y",$B$125-C110,0)</f>
        <v>3.1783988809329946</v>
      </c>
      <c r="F110" s="1">
        <f>IF($D110="y",B110,NA())</f>
        <v>-6.3639606847112358</v>
      </c>
      <c r="G110" s="1">
        <f>IF($D110="y",C110,NA())</f>
        <v>-4.2426412060707781</v>
      </c>
      <c r="H110">
        <f t="shared" ref="H110:H121" si="33">IF($E$122=0,0,-1*MAX(($B$67/$E$122)*(E110),0))</f>
        <v>-3.1956511958326623</v>
      </c>
      <c r="I110">
        <f>H110*C110</f>
        <v>13.55800144366901</v>
      </c>
      <c r="J110">
        <f>H110*B110*-1</f>
        <v>-20.336998572329509</v>
      </c>
      <c r="K110">
        <f ca="1">H110/$B$55</f>
        <v>-22.520631926627789</v>
      </c>
      <c r="L110">
        <f ca="1">K110/$B$54</f>
        <v>-7.7657351471130311E-4</v>
      </c>
      <c r="M110">
        <f t="shared" ref="M110:M121" si="34">IFERROR(($D$66/$B$65)*(G110-$B$125),0)</f>
        <v>-7.7657356540631521E-4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-4.2426401681677639</v>
      </c>
      <c r="C111" s="1">
        <f t="shared" ref="C111:C121" si="37">(-1*B96*SIN($B$64))+(C96*COS($B$64))</f>
        <v>-6.3639613766465777</v>
      </c>
      <c r="D111" t="str">
        <f t="shared" si="35"/>
        <v>y</v>
      </c>
      <c r="E111" s="4">
        <f t="shared" si="32"/>
        <v>5.2997190515087942</v>
      </c>
      <c r="F111" s="1">
        <f t="shared" ref="F111:G121" si="38">IF($D111="y",B111,NA())</f>
        <v>-4.2426401681677639</v>
      </c>
      <c r="G111" s="1">
        <f t="shared" si="38"/>
        <v>-6.3639613766465777</v>
      </c>
      <c r="H111">
        <f t="shared" si="33"/>
        <v>-5.3284858694512787</v>
      </c>
      <c r="I111">
        <f t="shared" ref="I111:I121" si="39">H111*C111</f>
        <v>33.910278269194997</v>
      </c>
      <c r="J111">
        <f t="shared" ref="J111:J121" si="40">H111*B111*-1</f>
        <v>-22.606848185248328</v>
      </c>
      <c r="K111">
        <f ca="1">H111/$B$55</f>
        <v>-37.551303830855652</v>
      </c>
      <c r="L111">
        <f t="shared" ref="L111:L121" ca="1" si="41">K111/$B$54</f>
        <v>-1.2948725458915742E-3</v>
      </c>
      <c r="M111">
        <f t="shared" si="34"/>
        <v>-1.2948726304213428E-3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4.2426412060707781</v>
      </c>
      <c r="C112" s="1">
        <f t="shared" si="37"/>
        <v>-6.3639606847112358</v>
      </c>
      <c r="D112" t="str">
        <f t="shared" si="35"/>
        <v>y</v>
      </c>
      <c r="E112" s="4">
        <f t="shared" si="32"/>
        <v>5.2997183595734523</v>
      </c>
      <c r="F112" s="1">
        <f t="shared" si="38"/>
        <v>4.2426412060707781</v>
      </c>
      <c r="G112" s="1">
        <f t="shared" si="38"/>
        <v>-6.3639606847112358</v>
      </c>
      <c r="H112">
        <f t="shared" si="33"/>
        <v>-5.3284851737601198</v>
      </c>
      <c r="I112">
        <f t="shared" si="39"/>
        <v>33.910270154876123</v>
      </c>
      <c r="J112">
        <f t="shared" si="40"/>
        <v>22.606850764131895</v>
      </c>
      <c r="K112">
        <f t="shared" ref="K112:K121" ca="1" si="45">H112/$B$55</f>
        <v>-37.551298928128929</v>
      </c>
      <c r="L112">
        <f t="shared" ca="1" si="41"/>
        <v>-1.294872376832032E-3</v>
      </c>
      <c r="M112">
        <f t="shared" si="34"/>
        <v>-1.2948724613617893E-3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6.3639613766465777</v>
      </c>
      <c r="C113" s="1">
        <f t="shared" si="37"/>
        <v>-4.2426401681677639</v>
      </c>
      <c r="D113" t="str">
        <f t="shared" si="35"/>
        <v>y</v>
      </c>
      <c r="E113" s="4">
        <f t="shared" si="32"/>
        <v>3.1783978430299804</v>
      </c>
      <c r="F113" s="1">
        <f t="shared" si="38"/>
        <v>6.3639613766465777</v>
      </c>
      <c r="G113" s="1">
        <f t="shared" si="38"/>
        <v>-4.2426401681677639</v>
      </c>
      <c r="H113">
        <f t="shared" si="33"/>
        <v>-3.1956501522959218</v>
      </c>
      <c r="I113">
        <f t="shared" si="39"/>
        <v>13.557993699542109</v>
      </c>
      <c r="J113">
        <f t="shared" si="40"/>
        <v>20.336994142485999</v>
      </c>
      <c r="K113">
        <f t="shared" ca="1" si="45"/>
        <v>-22.520624572537685</v>
      </c>
      <c r="L113">
        <f t="shared" ca="1" si="41"/>
        <v>-7.7657326112198907E-4</v>
      </c>
      <c r="M113">
        <f t="shared" si="34"/>
        <v>-7.7657331181698469E-4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-8.4852810282708706</v>
      </c>
      <c r="C114" s="1">
        <f t="shared" si="37"/>
        <v>-4.2426413790546142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-8.4852810282708706</v>
      </c>
      <c r="C115" s="1">
        <f t="shared" si="37"/>
        <v>-4.2426413790546142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-8.4852810282708706</v>
      </c>
      <c r="C116" s="1">
        <f t="shared" si="37"/>
        <v>-4.2426413790546142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-8.4852810282708706</v>
      </c>
      <c r="C117" s="1">
        <f t="shared" si="37"/>
        <v>-4.2426413790546142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-8.4852810282708706</v>
      </c>
      <c r="C118" s="1">
        <f t="shared" si="37"/>
        <v>-4.2426413790546142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-8.4852810282708706</v>
      </c>
      <c r="C119" s="1">
        <f t="shared" si="37"/>
        <v>-4.2426413790546142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-8.4852810282708706</v>
      </c>
      <c r="C120" s="1">
        <f t="shared" si="37"/>
        <v>-4.2426413790546142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-8.4852810282708706</v>
      </c>
      <c r="C121" s="1">
        <f t="shared" si="37"/>
        <v>-4.2426413790546142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5.2997190515087942</v>
      </c>
      <c r="H122">
        <f>SUM(H110:H121)</f>
        <v>-17.048272391339982</v>
      </c>
      <c r="I122">
        <f t="shared" ref="I122:J122" si="46">SUM(I110:I121)</f>
        <v>94.936543567282243</v>
      </c>
      <c r="J122">
        <f t="shared" si="46"/>
        <v>-1.8509599435390101E-6</v>
      </c>
      <c r="L122">
        <f ca="1">MIN(L110:L121)</f>
        <v>-1.2948725458915742E-3</v>
      </c>
      <c r="M122">
        <f>MIN(M110:M121)</f>
        <v>-1.2948726304213428E-3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-1.0642423251377835</v>
      </c>
      <c r="F125" s="1" t="s">
        <v>27</v>
      </c>
      <c r="G125" s="1" t="s">
        <v>28</v>
      </c>
    </row>
    <row r="126" spans="1:16" x14ac:dyDescent="0.25">
      <c r="F126" s="4">
        <f>MIN(B84:B90)-1</f>
        <v>-9.4852810282708706</v>
      </c>
      <c r="G126" s="4">
        <f>B125</f>
        <v>-1.0642423251377835</v>
      </c>
    </row>
    <row r="127" spans="1:16" x14ac:dyDescent="0.25">
      <c r="F127" s="4">
        <f>MAX(B84:B90)+1</f>
        <v>9.4852817202062134</v>
      </c>
      <c r="G127" s="4">
        <f>G126</f>
        <v>-1.0642423251377835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-8.4852810282708706</v>
      </c>
      <c r="C132" s="4">
        <f>C84</f>
        <v>-4.2426413790546142</v>
      </c>
      <c r="D132" s="4">
        <f t="shared" ref="D132:E139" si="47">B85</f>
        <v>-4.2426399951839286</v>
      </c>
      <c r="E132" s="4">
        <f t="shared" si="47"/>
        <v>-8.4852817202062134</v>
      </c>
      <c r="F132" s="4">
        <f t="shared" ref="F132:F139" si="48">($B$66/$B$65)*(C132-$B$125)</f>
        <v>-3.0016138928300125</v>
      </c>
      <c r="G132" s="4">
        <f t="shared" ref="G132:G139" si="49">($B$66/$B$65)*(E132-$B$125)</f>
        <v>-7.0082751000148971</v>
      </c>
      <c r="H132" s="4">
        <f>IF(B132=D132,"V",(C132-E132)/(B132-D132))</f>
        <v>-0.99999983690928895</v>
      </c>
      <c r="I132" s="4">
        <f>IF(H132="V",0,(-1*B132*H132)+C132)</f>
        <v>-12.727921023454968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-4.2426399951839286</v>
      </c>
      <c r="C133" s="4">
        <f t="shared" si="50"/>
        <v>-8.4852817202062134</v>
      </c>
      <c r="D133" s="4">
        <f t="shared" si="47"/>
        <v>3.4596767184424948E-7</v>
      </c>
      <c r="E133" s="4">
        <f t="shared" si="47"/>
        <v>-4.2426406871192714</v>
      </c>
      <c r="F133" s="4">
        <f t="shared" si="48"/>
        <v>-7.0082751000148971</v>
      </c>
      <c r="G133" s="4">
        <f t="shared" si="49"/>
        <v>-3.0016132393806805</v>
      </c>
      <c r="H133" s="4">
        <f t="shared" ref="H133:H139" si="51">IF(B133=D133,"V",(C133-E133)/(B133-D133))</f>
        <v>1.0000001630907371</v>
      </c>
      <c r="I133" s="4">
        <f t="shared" ref="I133:I139" si="52">IF(H133="V",0,(-1*B133*H133)+C133)</f>
        <v>-4.2426410330870006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3.4596767184424948E-7</v>
      </c>
      <c r="C134" s="4">
        <f t="shared" si="50"/>
        <v>-4.2426406871192714</v>
      </c>
      <c r="D134" s="4">
        <f t="shared" si="47"/>
        <v>4.2426413790546142</v>
      </c>
      <c r="E134" s="4">
        <f t="shared" si="47"/>
        <v>-8.4852810282708706</v>
      </c>
      <c r="F134" s="4">
        <f t="shared" si="48"/>
        <v>-3.0016132393806805</v>
      </c>
      <c r="G134" s="4">
        <f t="shared" si="49"/>
        <v>-7.0082744465655651</v>
      </c>
      <c r="H134" s="4">
        <f t="shared" si="51"/>
        <v>-0.99999983690928895</v>
      </c>
      <c r="I134" s="4">
        <f t="shared" si="52"/>
        <v>-4.242640341151656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4.2426413790546142</v>
      </c>
      <c r="C135" s="4">
        <f t="shared" si="50"/>
        <v>-8.4852810282708706</v>
      </c>
      <c r="D135" s="4">
        <f t="shared" si="47"/>
        <v>8.4852817202062134</v>
      </c>
      <c r="E135" s="4">
        <f t="shared" si="47"/>
        <v>-4.2426399951839286</v>
      </c>
      <c r="F135" s="4">
        <f t="shared" si="48"/>
        <v>-7.0082744465655651</v>
      </c>
      <c r="G135" s="4">
        <f t="shared" si="49"/>
        <v>-3.0016125859313489</v>
      </c>
      <c r="H135" s="4">
        <f t="shared" si="51"/>
        <v>1.0000001630907376</v>
      </c>
      <c r="I135" s="4">
        <f t="shared" si="52"/>
        <v>-12.727923099260996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8.4852817202062134</v>
      </c>
      <c r="C136" s="4">
        <f t="shared" si="50"/>
        <v>-4.2426399951839286</v>
      </c>
      <c r="D136" s="4">
        <f t="shared" si="47"/>
        <v>-3.4596767184424948E-7</v>
      </c>
      <c r="E136" s="4">
        <f t="shared" si="47"/>
        <v>4.2426406871192714</v>
      </c>
      <c r="F136" s="4">
        <f t="shared" si="48"/>
        <v>-3.0016125859313489</v>
      </c>
      <c r="G136" s="4">
        <f t="shared" si="49"/>
        <v>5.0117098284384216</v>
      </c>
      <c r="H136" s="4">
        <f t="shared" si="51"/>
        <v>-0.99999983690928895</v>
      </c>
      <c r="I136" s="4">
        <f t="shared" si="52"/>
        <v>4.242640341151656</v>
      </c>
      <c r="J136" s="4">
        <f t="shared" si="53"/>
        <v>5.306883531792848</v>
      </c>
      <c r="K136" s="4">
        <f t="shared" si="54"/>
        <v>-1.0642423251377835</v>
      </c>
      <c r="L136" s="4">
        <f t="shared" si="55"/>
        <v>-3.4596767184424948E-7</v>
      </c>
      <c r="M136" s="4">
        <f t="shared" si="56"/>
        <v>4.2426406871192714</v>
      </c>
      <c r="N136" s="4">
        <f t="shared" si="57"/>
        <v>0</v>
      </c>
      <c r="O136" s="4">
        <f t="shared" si="57"/>
        <v>5.0117098284384216</v>
      </c>
      <c r="P136" s="4">
        <f t="shared" si="58"/>
        <v>23.524135987923113</v>
      </c>
      <c r="Q136" s="4">
        <f t="shared" si="59"/>
        <v>37.384533576226886</v>
      </c>
      <c r="R136" s="4">
        <f t="shared" si="60"/>
        <v>-31.209962468491558</v>
      </c>
    </row>
    <row r="137" spans="1:18" x14ac:dyDescent="0.25">
      <c r="A137" t="s">
        <v>74</v>
      </c>
      <c r="B137" s="4">
        <f t="shared" si="50"/>
        <v>-3.4596767184424948E-7</v>
      </c>
      <c r="C137" s="4">
        <f t="shared" si="50"/>
        <v>4.2426406871192714</v>
      </c>
      <c r="D137" s="4">
        <f t="shared" si="47"/>
        <v>-8.4852810282708706</v>
      </c>
      <c r="E137" s="4">
        <f t="shared" si="47"/>
        <v>-4.2426413790546142</v>
      </c>
      <c r="F137" s="4">
        <f t="shared" si="48"/>
        <v>5.0117098284384216</v>
      </c>
      <c r="G137" s="4">
        <f t="shared" si="49"/>
        <v>-3.0016138928300125</v>
      </c>
      <c r="H137" s="4">
        <f t="shared" si="51"/>
        <v>1.0000001630907378</v>
      </c>
      <c r="I137" s="4">
        <f t="shared" si="52"/>
        <v>4.2426410330869997</v>
      </c>
      <c r="J137" s="4">
        <f t="shared" si="53"/>
        <v>-3.4596767184424948E-7</v>
      </c>
      <c r="K137" s="4">
        <f t="shared" si="54"/>
        <v>4.2426406871192714</v>
      </c>
      <c r="L137" s="4">
        <f t="shared" si="55"/>
        <v>-5.3068824927214022</v>
      </c>
      <c r="M137" s="4">
        <f t="shared" si="56"/>
        <v>-1.0642423251377835</v>
      </c>
      <c r="N137" s="4">
        <f t="shared" si="57"/>
        <v>5.0117098284384216</v>
      </c>
      <c r="O137" s="4">
        <f t="shared" si="57"/>
        <v>0</v>
      </c>
      <c r="P137" s="4">
        <f t="shared" si="58"/>
        <v>23.524137516335273</v>
      </c>
      <c r="Q137" s="4">
        <f t="shared" si="59"/>
        <v>37.384544143769055</v>
      </c>
      <c r="R137" s="4">
        <f t="shared" si="60"/>
        <v>31.209958385452993</v>
      </c>
    </row>
    <row r="138" spans="1:18" x14ac:dyDescent="0.25">
      <c r="A138" t="s">
        <v>75</v>
      </c>
      <c r="B138" s="4">
        <f t="shared" si="50"/>
        <v>-8.4852810282708706</v>
      </c>
      <c r="C138" s="4">
        <f t="shared" si="50"/>
        <v>-4.2426413790546142</v>
      </c>
      <c r="D138" s="4">
        <f t="shared" si="47"/>
        <v>-8.4852810282708706</v>
      </c>
      <c r="E138" s="4">
        <f t="shared" si="47"/>
        <v>-4.2426413790546142</v>
      </c>
      <c r="F138" s="4">
        <f t="shared" si="48"/>
        <v>-3.0016138928300125</v>
      </c>
      <c r="G138" s="4">
        <f t="shared" si="49"/>
        <v>-3.0016138928300125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-8.4852810282708706</v>
      </c>
      <c r="C139" s="4">
        <f>E138</f>
        <v>-4.2426413790546142</v>
      </c>
      <c r="D139" s="4">
        <f t="shared" si="47"/>
        <v>-8.4852810282708706</v>
      </c>
      <c r="E139" s="4">
        <f t="shared" si="47"/>
        <v>-4.2426413790546142</v>
      </c>
      <c r="F139" s="4">
        <f t="shared" si="48"/>
        <v>-3.0016138928300125</v>
      </c>
      <c r="G139" s="4">
        <f t="shared" si="49"/>
        <v>-3.0016138928300125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47.04827350425839</v>
      </c>
      <c r="Q140" s="4">
        <f>SUM(Q132:Q139)</f>
        <v>74.769077719995948</v>
      </c>
      <c r="R140" s="4">
        <f>SUM(R132:R139)</f>
        <v>-4.0830385650281187E-6</v>
      </c>
    </row>
    <row r="142" spans="1:18" x14ac:dyDescent="0.25">
      <c r="O142" t="s">
        <v>96</v>
      </c>
      <c r="P142" s="1">
        <f>-1*R140/P140</f>
        <v>8.6784025446939267E-8</v>
      </c>
    </row>
    <row r="143" spans="1:18" x14ac:dyDescent="0.25">
      <c r="O143" t="s">
        <v>97</v>
      </c>
      <c r="P143" s="1">
        <f>Q140/P140</f>
        <v>1.589199180990744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-8.4852810282708706</v>
      </c>
      <c r="C146" s="9">
        <f>J84</f>
        <v>-4.2426413790546142</v>
      </c>
      <c r="D146" s="9">
        <f t="shared" ref="D146:E153" si="61">I85</f>
        <v>-8.4852810282708706</v>
      </c>
      <c r="E146">
        <f t="shared" si="61"/>
        <v>-4.2426413790546142</v>
      </c>
      <c r="F146" s="4">
        <f>($B$66/$B$65)*(C146-$B$125)</f>
        <v>-3.0016138928300125</v>
      </c>
      <c r="G146" s="4">
        <f>($B$66/$B$65)*(E146-$B$125)</f>
        <v>-3.0016138928300125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-8.4852810282708706</v>
      </c>
      <c r="C147">
        <f t="shared" si="62"/>
        <v>-4.2426413790546142</v>
      </c>
      <c r="D147" s="9">
        <f t="shared" si="61"/>
        <v>-8.4852810282708706</v>
      </c>
      <c r="E147">
        <f t="shared" si="61"/>
        <v>-4.2426413790546142</v>
      </c>
      <c r="F147" s="4">
        <f t="shared" ref="F147:F153" si="63">($B$66/$B$65)*(C147-$B$125)</f>
        <v>-3.0016138928300125</v>
      </c>
      <c r="G147" s="4">
        <f t="shared" ref="G147:G153" si="64">($B$66/$B$65)*(E147-$B$125)</f>
        <v>-3.0016138928300125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-8.4852810282708706</v>
      </c>
      <c r="C148">
        <f t="shared" si="62"/>
        <v>-4.2426413790546142</v>
      </c>
      <c r="D148" s="9">
        <f t="shared" si="61"/>
        <v>-8.4852810282708706</v>
      </c>
      <c r="E148">
        <f t="shared" si="61"/>
        <v>-4.2426413790546142</v>
      </c>
      <c r="F148" s="4">
        <f t="shared" si="63"/>
        <v>-3.0016138928300125</v>
      </c>
      <c r="G148" s="4">
        <f t="shared" si="64"/>
        <v>-3.0016138928300125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-8.4852810282708706</v>
      </c>
      <c r="C149">
        <f t="shared" si="62"/>
        <v>-4.2426413790546142</v>
      </c>
      <c r="D149" s="9">
        <f t="shared" si="61"/>
        <v>-8.4852810282708706</v>
      </c>
      <c r="E149">
        <f t="shared" si="61"/>
        <v>-4.2426413790546142</v>
      </c>
      <c r="F149" s="4">
        <f t="shared" si="63"/>
        <v>-3.0016138928300125</v>
      </c>
      <c r="G149" s="4">
        <f t="shared" si="64"/>
        <v>-3.0016138928300125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-8.4852810282708706</v>
      </c>
      <c r="C150">
        <f t="shared" si="62"/>
        <v>-4.2426413790546142</v>
      </c>
      <c r="D150" s="9">
        <f t="shared" si="61"/>
        <v>-8.4852810282708706</v>
      </c>
      <c r="E150">
        <f t="shared" si="61"/>
        <v>-4.2426413790546142</v>
      </c>
      <c r="F150" s="4">
        <f t="shared" si="63"/>
        <v>-3.0016138928300125</v>
      </c>
      <c r="G150" s="4">
        <f t="shared" si="64"/>
        <v>-3.0016138928300125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-8.4852810282708706</v>
      </c>
      <c r="C151">
        <f t="shared" si="62"/>
        <v>-4.2426413790546142</v>
      </c>
      <c r="D151" s="9">
        <f t="shared" si="61"/>
        <v>-8.4852810282708706</v>
      </c>
      <c r="E151">
        <f t="shared" si="61"/>
        <v>-4.2426413790546142</v>
      </c>
      <c r="F151" s="4">
        <f t="shared" si="63"/>
        <v>-3.0016138928300125</v>
      </c>
      <c r="G151" s="4">
        <f t="shared" si="64"/>
        <v>-3.0016138928300125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-8.4852810282708706</v>
      </c>
      <c r="C152">
        <f t="shared" si="62"/>
        <v>-4.2426413790546142</v>
      </c>
      <c r="D152" s="9">
        <f t="shared" si="61"/>
        <v>-8.4852810282708706</v>
      </c>
      <c r="E152">
        <f t="shared" si="61"/>
        <v>-4.2426413790546142</v>
      </c>
      <c r="F152" s="4">
        <f t="shared" si="63"/>
        <v>-3.0016138928300125</v>
      </c>
      <c r="G152" s="4">
        <f t="shared" si="64"/>
        <v>-3.0016138928300125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-8.4852810282708706</v>
      </c>
      <c r="C153">
        <f t="shared" si="62"/>
        <v>-4.2426413790546142</v>
      </c>
      <c r="D153" s="9">
        <f t="shared" si="61"/>
        <v>-8.4852810282708706</v>
      </c>
      <c r="E153">
        <f t="shared" si="61"/>
        <v>-4.2426413790546142</v>
      </c>
      <c r="F153" s="4">
        <f t="shared" si="63"/>
        <v>-3.0016138928300125</v>
      </c>
      <c r="G153" s="4">
        <f t="shared" si="64"/>
        <v>-3.0016138928300125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30.000001112918408</v>
      </c>
      <c r="C159" t="s">
        <v>36</v>
      </c>
    </row>
    <row r="160" spans="1:18" x14ac:dyDescent="0.25">
      <c r="A160" s="1" t="s">
        <v>106</v>
      </c>
      <c r="B160" s="4">
        <f>Q140+I122+Q154-O122</f>
        <v>169.70562128727818</v>
      </c>
      <c r="C160" t="s">
        <v>102</v>
      </c>
    </row>
    <row r="161" spans="1:9" x14ac:dyDescent="0.25">
      <c r="A161" s="1" t="s">
        <v>107</v>
      </c>
      <c r="B161" s="4">
        <f>R140+J122+R154-P122</f>
        <v>-5.9339985085671287E-6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30.000001112918408</v>
      </c>
      <c r="C164" t="s">
        <v>36</v>
      </c>
      <c r="E164" s="8">
        <f>B2-B164</f>
        <v>-1.1129184080971299E-6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120.00000959912347</v>
      </c>
      <c r="C165" t="s">
        <v>102</v>
      </c>
      <c r="E165" s="8">
        <f>B3+B165</f>
        <v>9.5991234729808639E-6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119.99998163629608</v>
      </c>
      <c r="C166" t="s">
        <v>102</v>
      </c>
      <c r="E166" s="8">
        <f>B4+B166</f>
        <v>-1.8363703915724727E-5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-5.0117095012721338</v>
      </c>
      <c r="C169" s="3">
        <f ca="1">A169+B169</f>
        <v>3.2716628783902024E-7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-8.1545362605695337E-8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-5.4977873068728629</v>
      </c>
      <c r="C176" s="3">
        <f>B65+C175</f>
        <v>5.3068830909708504</v>
      </c>
      <c r="D176" s="3">
        <f>D175+B66</f>
        <v>5.0117099027740917</v>
      </c>
      <c r="E176" s="3">
        <f>B67+E175</f>
        <v>5.3284859484854969</v>
      </c>
      <c r="F176" s="16" t="s">
        <v>125</v>
      </c>
    </row>
    <row r="177" spans="1:13" x14ac:dyDescent="0.25">
      <c r="B177" s="27">
        <f>B176-B64</f>
        <v>-8.1545362462520643E-8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-8.4852812787394605</v>
      </c>
      <c r="B181" s="25">
        <f>(d_alpha_p!E136-d_alpha_m!E136)/(2*B177)</f>
        <v>0</v>
      </c>
      <c r="C181" s="25">
        <f>(d_alpha_p!E137-d_alpha_m!E137)/(2*B177)</f>
        <v>8.4852812787394605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1.1129184080971299E-6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-9.5991234729808639E-6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1.8363703915724727E-5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-3.2716628783902024E-7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-8.4852812787394605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8.4852812787394605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-8.4852812787394605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8.4852812787394605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-5.4977870622367773</v>
      </c>
      <c r="C64" t="s">
        <v>19</v>
      </c>
      <c r="D64" t="s">
        <v>34</v>
      </c>
      <c r="H64" s="17">
        <f>DEGREES(B64)</f>
        <v>-314.99999532779498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5.3284858694512796</v>
      </c>
      <c r="C67" t="s">
        <v>36</v>
      </c>
      <c r="D67" t="s">
        <v>122</v>
      </c>
      <c r="G67" s="20">
        <f ca="1">($B$56*$B$66*$B$55*$E$122)/$B$65</f>
        <v>5.3284862172968426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-9.4852817202062081</v>
      </c>
      <c r="R76">
        <f>Q76</f>
        <v>-9.4852817202062081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9.4852817202062081</v>
      </c>
      <c r="R77">
        <f>Q77</f>
        <v>9.4852817202062081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-8.4852817202062081</v>
      </c>
      <c r="C84" s="1">
        <f t="shared" ref="C84:C92" si="23">(-1*B73*SIN($B$64))+(C73*COS($B$64))</f>
        <v>-4.2426399951839393</v>
      </c>
      <c r="H84" s="1">
        <f t="shared" ref="H84:H92" si="24">H73</f>
        <v>1</v>
      </c>
      <c r="I84" s="4">
        <f>(I73*COS($B$64))+(J73*SIN($B$64))</f>
        <v>-8.4852817202062081</v>
      </c>
      <c r="J84" s="1">
        <f>(-1*I73*SIN($B$64))+(J73*COS($B$64))</f>
        <v>-4.2426399951839393</v>
      </c>
    </row>
    <row r="85" spans="1:10" x14ac:dyDescent="0.25">
      <c r="A85" s="1">
        <f t="shared" si="21"/>
        <v>2</v>
      </c>
      <c r="B85" s="4">
        <f t="shared" si="22"/>
        <v>-4.2426413790546036</v>
      </c>
      <c r="C85" s="1">
        <f t="shared" si="23"/>
        <v>-8.4852810282708759</v>
      </c>
      <c r="H85" s="1">
        <f t="shared" si="24"/>
        <v>2</v>
      </c>
      <c r="I85" s="4">
        <f t="shared" ref="I85:I92" si="25">(I74*COS($B$64))+(J74*SIN($B$64))</f>
        <v>-8.4852817202062081</v>
      </c>
      <c r="J85" s="1">
        <f t="shared" ref="J85:J92" si="26">(-1*I74*SIN($B$64))+(J74*COS($B$64))</f>
        <v>-4.2426399951839393</v>
      </c>
    </row>
    <row r="86" spans="1:10" x14ac:dyDescent="0.25">
      <c r="A86" s="1">
        <f t="shared" si="21"/>
        <v>3</v>
      </c>
      <c r="B86" s="4">
        <f t="shared" si="22"/>
        <v>-3.4596766651517896E-7</v>
      </c>
      <c r="C86" s="1">
        <f t="shared" si="23"/>
        <v>-4.2426406871192714</v>
      </c>
      <c r="H86" s="1">
        <f t="shared" si="24"/>
        <v>3</v>
      </c>
      <c r="I86" s="4">
        <f t="shared" si="25"/>
        <v>-8.4852817202062081</v>
      </c>
      <c r="J86" s="1">
        <f t="shared" si="26"/>
        <v>-4.2426399951839393</v>
      </c>
    </row>
    <row r="87" spans="1:10" x14ac:dyDescent="0.25">
      <c r="A87" s="1">
        <f t="shared" si="21"/>
        <v>4</v>
      </c>
      <c r="B87" s="4">
        <f t="shared" si="22"/>
        <v>4.2426399951839393</v>
      </c>
      <c r="C87" s="1">
        <f t="shared" si="23"/>
        <v>-8.4852817202062081</v>
      </c>
      <c r="H87" s="1">
        <f t="shared" si="24"/>
        <v>4</v>
      </c>
      <c r="I87" s="4">
        <f t="shared" si="25"/>
        <v>-8.4852817202062081</v>
      </c>
      <c r="J87" s="1">
        <f t="shared" si="26"/>
        <v>-4.2426399951839393</v>
      </c>
    </row>
    <row r="88" spans="1:10" x14ac:dyDescent="0.25">
      <c r="A88" s="1">
        <f t="shared" si="21"/>
        <v>5</v>
      </c>
      <c r="B88" s="4">
        <f t="shared" si="22"/>
        <v>8.4852810282708759</v>
      </c>
      <c r="C88" s="1">
        <f t="shared" si="23"/>
        <v>-4.2426413790546036</v>
      </c>
      <c r="H88" s="1">
        <f t="shared" si="24"/>
        <v>5</v>
      </c>
      <c r="I88" s="4">
        <f t="shared" si="25"/>
        <v>-8.4852817202062081</v>
      </c>
      <c r="J88" s="1">
        <f t="shared" si="26"/>
        <v>-4.2426399951839393</v>
      </c>
    </row>
    <row r="89" spans="1:10" x14ac:dyDescent="0.25">
      <c r="A89" s="1">
        <f t="shared" si="21"/>
        <v>6</v>
      </c>
      <c r="B89" s="4">
        <f t="shared" si="22"/>
        <v>3.4596766651517896E-7</v>
      </c>
      <c r="C89" s="1">
        <f t="shared" si="23"/>
        <v>4.2426406871192714</v>
      </c>
      <c r="H89" s="1">
        <f t="shared" si="24"/>
        <v>6</v>
      </c>
      <c r="I89" s="4">
        <f t="shared" si="25"/>
        <v>-8.4852817202062081</v>
      </c>
      <c r="J89" s="1">
        <f t="shared" si="26"/>
        <v>-4.2426399951839393</v>
      </c>
    </row>
    <row r="90" spans="1:10" x14ac:dyDescent="0.25">
      <c r="A90" s="1">
        <f t="shared" si="21"/>
        <v>7</v>
      </c>
      <c r="B90" s="4">
        <f t="shared" si="22"/>
        <v>-8.4852817202062081</v>
      </c>
      <c r="C90" s="1">
        <f t="shared" si="23"/>
        <v>-4.2426399951839393</v>
      </c>
      <c r="H90" s="1">
        <f t="shared" si="24"/>
        <v>7</v>
      </c>
      <c r="I90" s="4">
        <f t="shared" si="25"/>
        <v>-8.4852817202062081</v>
      </c>
      <c r="J90" s="1">
        <f t="shared" si="26"/>
        <v>-4.2426399951839393</v>
      </c>
    </row>
    <row r="91" spans="1:10" x14ac:dyDescent="0.25">
      <c r="A91" s="1">
        <f t="shared" si="21"/>
        <v>8</v>
      </c>
      <c r="B91" s="4">
        <f t="shared" si="22"/>
        <v>-8.4852817202062081</v>
      </c>
      <c r="C91" s="1">
        <f t="shared" si="23"/>
        <v>-4.2426399951839393</v>
      </c>
      <c r="H91" s="1">
        <f t="shared" si="24"/>
        <v>8</v>
      </c>
      <c r="I91" s="4">
        <f t="shared" si="25"/>
        <v>-8.4852817202062081</v>
      </c>
      <c r="J91" s="1">
        <f t="shared" si="26"/>
        <v>-4.2426399951839393</v>
      </c>
    </row>
    <row r="92" spans="1:10" x14ac:dyDescent="0.25">
      <c r="A92" s="1">
        <f t="shared" si="21"/>
        <v>9</v>
      </c>
      <c r="B92" s="4">
        <f t="shared" si="22"/>
        <v>-8.4852817202062081</v>
      </c>
      <c r="C92" s="1">
        <f t="shared" si="23"/>
        <v>-4.2426399951839393</v>
      </c>
      <c r="H92" s="1">
        <f t="shared" si="24"/>
        <v>9</v>
      </c>
      <c r="I92" s="4">
        <f t="shared" si="25"/>
        <v>-8.4852817202062081</v>
      </c>
      <c r="J92" s="1">
        <f t="shared" si="26"/>
        <v>-4.2426399951839393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-6.3639613766465732</v>
      </c>
      <c r="C110" s="1">
        <f>(-1*B95*SIN($B$64))+(C95*COS($B$64))</f>
        <v>-4.2426401681677719</v>
      </c>
      <c r="D110" t="str">
        <f t="shared" ref="D110" si="31">D95</f>
        <v>y</v>
      </c>
      <c r="E110" s="4">
        <f t="shared" ref="E110:E121" si="32">IF($D110="y",$B$125-C110,0)</f>
        <v>3.1783978430299884</v>
      </c>
      <c r="F110" s="1">
        <f>IF($D110="y",B110,NA())</f>
        <v>-6.3639613766465732</v>
      </c>
      <c r="G110" s="1">
        <f>IF($D110="y",C110,NA())</f>
        <v>-4.2426401681677719</v>
      </c>
      <c r="H110">
        <f t="shared" ref="H110:H121" si="33">IF($E$122=0,0,-1*MAX(($B$67/$E$122)*(E110),0))</f>
        <v>-3.1956501522959324</v>
      </c>
      <c r="I110">
        <f>H110*C110</f>
        <v>13.55799369954218</v>
      </c>
      <c r="J110">
        <f>H110*B110*-1</f>
        <v>-20.336994142486052</v>
      </c>
      <c r="K110">
        <f ca="1">H110/$B$55</f>
        <v>-22.520624572537759</v>
      </c>
      <c r="L110">
        <f ca="1">K110/$B$54</f>
        <v>-7.7657326112199167E-4</v>
      </c>
      <c r="M110">
        <f t="shared" ref="M110:M121" si="34">IFERROR(($D$66/$B$65)*(G110-$B$125),0)</f>
        <v>-7.7657331181698664E-4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-4.2426412060707701</v>
      </c>
      <c r="C111" s="1">
        <f t="shared" ref="C111:C121" si="37">(-1*B96*SIN($B$64))+(C96*COS($B$64))</f>
        <v>-6.3639606847112402</v>
      </c>
      <c r="D111" t="str">
        <f t="shared" si="35"/>
        <v>y</v>
      </c>
      <c r="E111" s="4">
        <f t="shared" si="32"/>
        <v>5.2997183595734567</v>
      </c>
      <c r="F111" s="1">
        <f t="shared" ref="F111:G121" si="38">IF($D111="y",B111,NA())</f>
        <v>-4.2426412060707701</v>
      </c>
      <c r="G111" s="1">
        <f t="shared" si="38"/>
        <v>-6.3639606847112402</v>
      </c>
      <c r="H111">
        <f t="shared" si="33"/>
        <v>-5.3284851737601286</v>
      </c>
      <c r="I111">
        <f t="shared" ref="I111:I121" si="39">H111*C111</f>
        <v>33.910270154876201</v>
      </c>
      <c r="J111">
        <f t="shared" ref="J111:J121" si="40">H111*B111*-1</f>
        <v>-22.606850764131888</v>
      </c>
      <c r="K111">
        <f ca="1">H111/$B$55</f>
        <v>-37.551298928128986</v>
      </c>
      <c r="L111">
        <f t="shared" ref="L111:L121" ca="1" si="41">K111/$B$54</f>
        <v>-1.294872376832034E-3</v>
      </c>
      <c r="M111">
        <f t="shared" si="34"/>
        <v>-1.2948724613617906E-3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4.2426401681677719</v>
      </c>
      <c r="C112" s="1">
        <f t="shared" si="37"/>
        <v>-6.3639613766465732</v>
      </c>
      <c r="D112" t="str">
        <f t="shared" si="35"/>
        <v>y</v>
      </c>
      <c r="E112" s="4">
        <f t="shared" si="32"/>
        <v>5.2997190515087897</v>
      </c>
      <c r="F112" s="1">
        <f t="shared" si="38"/>
        <v>4.2426401681677719</v>
      </c>
      <c r="G112" s="1">
        <f t="shared" si="38"/>
        <v>-6.3639613766465732</v>
      </c>
      <c r="H112">
        <f t="shared" si="33"/>
        <v>-5.3284858694512796</v>
      </c>
      <c r="I112">
        <f t="shared" si="39"/>
        <v>33.910278269194976</v>
      </c>
      <c r="J112">
        <f t="shared" si="40"/>
        <v>22.606848185248374</v>
      </c>
      <c r="K112">
        <f t="shared" ref="K112:K121" ca="1" si="45">H112/$B$55</f>
        <v>-37.551303830855659</v>
      </c>
      <c r="L112">
        <f t="shared" ca="1" si="41"/>
        <v>-1.2948725458915744E-3</v>
      </c>
      <c r="M112">
        <f t="shared" si="34"/>
        <v>-1.2948726304213417E-3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6.3639606847112402</v>
      </c>
      <c r="C113" s="1">
        <f t="shared" si="37"/>
        <v>-4.2426412060707701</v>
      </c>
      <c r="D113" t="str">
        <f t="shared" si="35"/>
        <v>y</v>
      </c>
      <c r="E113" s="4">
        <f t="shared" si="32"/>
        <v>3.1783988809329866</v>
      </c>
      <c r="F113" s="1">
        <f t="shared" si="38"/>
        <v>6.3639606847112402</v>
      </c>
      <c r="G113" s="1">
        <f t="shared" si="38"/>
        <v>-4.2426412060707701</v>
      </c>
      <c r="H113">
        <f t="shared" si="33"/>
        <v>-3.195651195832657</v>
      </c>
      <c r="I113">
        <f t="shared" si="39"/>
        <v>13.558001443668962</v>
      </c>
      <c r="J113">
        <f t="shared" si="40"/>
        <v>20.336998572329488</v>
      </c>
      <c r="K113">
        <f t="shared" ca="1" si="45"/>
        <v>-22.52063192662775</v>
      </c>
      <c r="L113">
        <f t="shared" ca="1" si="41"/>
        <v>-7.765735147113017E-4</v>
      </c>
      <c r="M113">
        <f t="shared" si="34"/>
        <v>-7.7657356540631326E-4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-8.4852817202062081</v>
      </c>
      <c r="C114" s="1">
        <f t="shared" si="37"/>
        <v>-4.2426399951839393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-8.4852817202062081</v>
      </c>
      <c r="C115" s="1">
        <f t="shared" si="37"/>
        <v>-4.2426399951839393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-8.4852817202062081</v>
      </c>
      <c r="C116" s="1">
        <f t="shared" si="37"/>
        <v>-4.2426399951839393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-8.4852817202062081</v>
      </c>
      <c r="C117" s="1">
        <f t="shared" si="37"/>
        <v>-4.2426399951839393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-8.4852817202062081</v>
      </c>
      <c r="C118" s="1">
        <f t="shared" si="37"/>
        <v>-4.2426399951839393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-8.4852817202062081</v>
      </c>
      <c r="C119" s="1">
        <f t="shared" si="37"/>
        <v>-4.2426399951839393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-8.4852817202062081</v>
      </c>
      <c r="C120" s="1">
        <f t="shared" si="37"/>
        <v>-4.2426399951839393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-8.4852817202062081</v>
      </c>
      <c r="C121" s="1">
        <f t="shared" si="37"/>
        <v>-4.2426399951839393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5.2997190515087897</v>
      </c>
      <c r="H122">
        <f>SUM(H110:H121)</f>
        <v>-17.048272391339999</v>
      </c>
      <c r="I122">
        <f t="shared" ref="I122:J122" si="46">SUM(I110:I121)</f>
        <v>94.936543567282314</v>
      </c>
      <c r="J122">
        <f t="shared" si="46"/>
        <v>1.850959922222728E-6</v>
      </c>
      <c r="L122">
        <f ca="1">MIN(L110:L121)</f>
        <v>-1.2948725458915744E-3</v>
      </c>
      <c r="M122">
        <f>MIN(M110:M121)</f>
        <v>-1.2948726304213417E-3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-1.0642423251377835</v>
      </c>
      <c r="F125" s="1" t="s">
        <v>27</v>
      </c>
      <c r="G125" s="1" t="s">
        <v>28</v>
      </c>
    </row>
    <row r="126" spans="1:16" x14ac:dyDescent="0.25">
      <c r="F126" s="4">
        <f>MIN(B84:B90)-1</f>
        <v>-9.4852817202062081</v>
      </c>
      <c r="G126" s="4">
        <f>B125</f>
        <v>-1.0642423251377835</v>
      </c>
    </row>
    <row r="127" spans="1:16" x14ac:dyDescent="0.25">
      <c r="F127" s="4">
        <f>MAX(B84:B90)+1</f>
        <v>9.4852810282708759</v>
      </c>
      <c r="G127" s="4">
        <f>G126</f>
        <v>-1.0642423251377835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-8.4852817202062081</v>
      </c>
      <c r="C132" s="4">
        <f>C84</f>
        <v>-4.2426399951839393</v>
      </c>
      <c r="D132" s="4">
        <f t="shared" ref="D132:E139" si="47">B85</f>
        <v>-4.2426413790546036</v>
      </c>
      <c r="E132" s="4">
        <f t="shared" si="47"/>
        <v>-8.4852810282708759</v>
      </c>
      <c r="F132" s="4">
        <f t="shared" ref="F132:F139" si="48">($B$66/$B$65)*(C132-$B$125)</f>
        <v>-3.0016125859313587</v>
      </c>
      <c r="G132" s="4">
        <f t="shared" ref="G132:G139" si="49">($B$66/$B$65)*(E132-$B$125)</f>
        <v>-7.0082744465655704</v>
      </c>
      <c r="H132" s="4">
        <f>IF(B132=D132,"V",(C132-E132)/(B132-D132))</f>
        <v>-1.0000001630907351</v>
      </c>
      <c r="I132" s="4">
        <f>IF(H132="V",0,(-1*B132*H132)+C132)</f>
        <v>-12.72792309926098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-4.2426413790546036</v>
      </c>
      <c r="C133" s="4">
        <f t="shared" si="50"/>
        <v>-8.4852810282708759</v>
      </c>
      <c r="D133" s="4">
        <f t="shared" si="47"/>
        <v>-3.4596766651517896E-7</v>
      </c>
      <c r="E133" s="4">
        <f t="shared" si="47"/>
        <v>-4.2426406871192714</v>
      </c>
      <c r="F133" s="4">
        <f t="shared" si="48"/>
        <v>-7.0082744465655704</v>
      </c>
      <c r="G133" s="4">
        <f t="shared" si="49"/>
        <v>-3.0016132393806805</v>
      </c>
      <c r="H133" s="4">
        <f t="shared" ref="H133:H139" si="51">IF(B133=D133,"V",(C133-E133)/(B133-D133))</f>
        <v>0.99999983690929151</v>
      </c>
      <c r="I133" s="4">
        <f t="shared" ref="I133:I139" si="52">IF(H133="V",0,(-1*B133*H133)+C133)</f>
        <v>-4.2426403411516604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-3.4596766651517896E-7</v>
      </c>
      <c r="C134" s="4">
        <f t="shared" si="50"/>
        <v>-4.2426406871192714</v>
      </c>
      <c r="D134" s="4">
        <f t="shared" si="47"/>
        <v>4.2426399951839393</v>
      </c>
      <c r="E134" s="4">
        <f t="shared" si="47"/>
        <v>-8.4852817202062081</v>
      </c>
      <c r="F134" s="4">
        <f t="shared" si="48"/>
        <v>-3.0016132393806805</v>
      </c>
      <c r="G134" s="4">
        <f t="shared" si="49"/>
        <v>-7.0082751000148917</v>
      </c>
      <c r="H134" s="4">
        <f t="shared" si="51"/>
        <v>-1.0000001630907347</v>
      </c>
      <c r="I134" s="4">
        <f t="shared" si="52"/>
        <v>-4.2426410330869944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4.2426399951839393</v>
      </c>
      <c r="C135" s="4">
        <f t="shared" si="50"/>
        <v>-8.4852817202062081</v>
      </c>
      <c r="D135" s="4">
        <f t="shared" si="47"/>
        <v>8.4852810282708759</v>
      </c>
      <c r="E135" s="4">
        <f t="shared" si="47"/>
        <v>-4.2426413790546036</v>
      </c>
      <c r="F135" s="4">
        <f t="shared" si="48"/>
        <v>-7.0082751000148917</v>
      </c>
      <c r="G135" s="4">
        <f t="shared" si="49"/>
        <v>-3.0016138928300022</v>
      </c>
      <c r="H135" s="4">
        <f t="shared" si="51"/>
        <v>0.99999983690929151</v>
      </c>
      <c r="I135" s="4">
        <f t="shared" si="52"/>
        <v>-12.727921023454986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8.4852810282708759</v>
      </c>
      <c r="C136" s="4">
        <f t="shared" si="50"/>
        <v>-4.2426413790546036</v>
      </c>
      <c r="D136" s="4">
        <f t="shared" si="47"/>
        <v>3.4596766651517896E-7</v>
      </c>
      <c r="E136" s="4">
        <f t="shared" si="47"/>
        <v>4.2426406871192714</v>
      </c>
      <c r="F136" s="4">
        <f t="shared" si="48"/>
        <v>-3.0016138928300022</v>
      </c>
      <c r="G136" s="4">
        <f t="shared" si="49"/>
        <v>5.0117098284384216</v>
      </c>
      <c r="H136" s="4">
        <f t="shared" si="51"/>
        <v>-1.0000001630907354</v>
      </c>
      <c r="I136" s="4">
        <f t="shared" si="52"/>
        <v>4.2426410330869953</v>
      </c>
      <c r="J136" s="4">
        <f t="shared" si="53"/>
        <v>5.3068824927214102</v>
      </c>
      <c r="K136" s="4">
        <f t="shared" si="54"/>
        <v>-1.0642423251377835</v>
      </c>
      <c r="L136" s="4">
        <f t="shared" si="55"/>
        <v>3.4596766651517896E-7</v>
      </c>
      <c r="M136" s="4">
        <f t="shared" si="56"/>
        <v>4.2426406871192714</v>
      </c>
      <c r="N136" s="4">
        <f t="shared" si="57"/>
        <v>0</v>
      </c>
      <c r="O136" s="4">
        <f t="shared" si="57"/>
        <v>5.0117098284384216</v>
      </c>
      <c r="P136" s="4">
        <f t="shared" si="58"/>
        <v>23.524137516335259</v>
      </c>
      <c r="Q136" s="4">
        <f t="shared" si="59"/>
        <v>37.384544143768977</v>
      </c>
      <c r="R136" s="4">
        <f t="shared" si="60"/>
        <v>-31.209958385453024</v>
      </c>
    </row>
    <row r="137" spans="1:18" x14ac:dyDescent="0.25">
      <c r="A137" t="s">
        <v>74</v>
      </c>
      <c r="B137" s="4">
        <f t="shared" si="50"/>
        <v>3.4596766651517896E-7</v>
      </c>
      <c r="C137" s="4">
        <f t="shared" si="50"/>
        <v>4.2426406871192714</v>
      </c>
      <c r="D137" s="4">
        <f t="shared" si="47"/>
        <v>-8.4852817202062081</v>
      </c>
      <c r="E137" s="4">
        <f t="shared" si="47"/>
        <v>-4.2426399951839393</v>
      </c>
      <c r="F137" s="4">
        <f t="shared" si="48"/>
        <v>5.0117098284384216</v>
      </c>
      <c r="G137" s="4">
        <f t="shared" si="49"/>
        <v>-3.0016125859313587</v>
      </c>
      <c r="H137" s="4">
        <f t="shared" si="51"/>
        <v>0.99999983690929151</v>
      </c>
      <c r="I137" s="4">
        <f t="shared" si="52"/>
        <v>4.2426403411516613</v>
      </c>
      <c r="J137" s="4">
        <f t="shared" si="53"/>
        <v>3.4596766651517896E-7</v>
      </c>
      <c r="K137" s="4">
        <f t="shared" si="54"/>
        <v>4.2426406871192714</v>
      </c>
      <c r="L137" s="4">
        <f t="shared" si="55"/>
        <v>-5.30688353179284</v>
      </c>
      <c r="M137" s="4">
        <f t="shared" si="56"/>
        <v>-1.0642423251377835</v>
      </c>
      <c r="N137" s="4">
        <f t="shared" si="57"/>
        <v>5.0117098284384216</v>
      </c>
      <c r="O137" s="4">
        <f t="shared" si="57"/>
        <v>0</v>
      </c>
      <c r="P137" s="4">
        <f t="shared" si="58"/>
        <v>23.524135987923128</v>
      </c>
      <c r="Q137" s="4">
        <f t="shared" si="59"/>
        <v>37.384533576226971</v>
      </c>
      <c r="R137" s="4">
        <f t="shared" si="60"/>
        <v>31.209962468491529</v>
      </c>
    </row>
    <row r="138" spans="1:18" x14ac:dyDescent="0.25">
      <c r="A138" t="s">
        <v>75</v>
      </c>
      <c r="B138" s="4">
        <f t="shared" si="50"/>
        <v>-8.4852817202062081</v>
      </c>
      <c r="C138" s="4">
        <f t="shared" si="50"/>
        <v>-4.2426399951839393</v>
      </c>
      <c r="D138" s="4">
        <f t="shared" si="47"/>
        <v>-8.4852817202062081</v>
      </c>
      <c r="E138" s="4">
        <f t="shared" si="47"/>
        <v>-4.2426399951839393</v>
      </c>
      <c r="F138" s="4">
        <f t="shared" si="48"/>
        <v>-3.0016125859313587</v>
      </c>
      <c r="G138" s="4">
        <f t="shared" si="49"/>
        <v>-3.0016125859313587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-8.4852817202062081</v>
      </c>
      <c r="C139" s="4">
        <f>E138</f>
        <v>-4.2426399951839393</v>
      </c>
      <c r="D139" s="4">
        <f t="shared" si="47"/>
        <v>-8.4852817202062081</v>
      </c>
      <c r="E139" s="4">
        <f t="shared" si="47"/>
        <v>-4.2426399951839393</v>
      </c>
      <c r="F139" s="4">
        <f t="shared" si="48"/>
        <v>-3.0016125859313587</v>
      </c>
      <c r="G139" s="4">
        <f t="shared" si="49"/>
        <v>-3.0016125859313587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47.04827350425839</v>
      </c>
      <c r="Q140" s="4">
        <f>SUM(Q132:Q139)</f>
        <v>74.769077719995948</v>
      </c>
      <c r="R140" s="4">
        <f>SUM(R132:R139)</f>
        <v>4.0830385046319861E-6</v>
      </c>
    </row>
    <row r="142" spans="1:18" x14ac:dyDescent="0.25">
      <c r="O142" t="s">
        <v>96</v>
      </c>
      <c r="P142" s="1">
        <f>-1*R140/P140</f>
        <v>-8.6784024163233664E-8</v>
      </c>
    </row>
    <row r="143" spans="1:18" x14ac:dyDescent="0.25">
      <c r="O143" t="s">
        <v>97</v>
      </c>
      <c r="P143" s="1">
        <f>Q140/P140</f>
        <v>1.589199180990744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-8.4852817202062081</v>
      </c>
      <c r="C146" s="9">
        <f>J84</f>
        <v>-4.2426399951839393</v>
      </c>
      <c r="D146" s="9">
        <f t="shared" ref="D146:E153" si="61">I85</f>
        <v>-8.4852817202062081</v>
      </c>
      <c r="E146">
        <f t="shared" si="61"/>
        <v>-4.2426399951839393</v>
      </c>
      <c r="F146" s="4">
        <f>($B$66/$B$65)*(C146-$B$125)</f>
        <v>-3.0016125859313587</v>
      </c>
      <c r="G146" s="4">
        <f>($B$66/$B$65)*(E146-$B$125)</f>
        <v>-3.0016125859313587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-8.4852817202062081</v>
      </c>
      <c r="C147">
        <f t="shared" si="62"/>
        <v>-4.2426399951839393</v>
      </c>
      <c r="D147" s="9">
        <f t="shared" si="61"/>
        <v>-8.4852817202062081</v>
      </c>
      <c r="E147">
        <f t="shared" si="61"/>
        <v>-4.2426399951839393</v>
      </c>
      <c r="F147" s="4">
        <f t="shared" ref="F147:F153" si="63">($B$66/$B$65)*(C147-$B$125)</f>
        <v>-3.0016125859313587</v>
      </c>
      <c r="G147" s="4">
        <f t="shared" ref="G147:G153" si="64">($B$66/$B$65)*(E147-$B$125)</f>
        <v>-3.0016125859313587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-8.4852817202062081</v>
      </c>
      <c r="C148">
        <f t="shared" si="62"/>
        <v>-4.2426399951839393</v>
      </c>
      <c r="D148" s="9">
        <f t="shared" si="61"/>
        <v>-8.4852817202062081</v>
      </c>
      <c r="E148">
        <f t="shared" si="61"/>
        <v>-4.2426399951839393</v>
      </c>
      <c r="F148" s="4">
        <f t="shared" si="63"/>
        <v>-3.0016125859313587</v>
      </c>
      <c r="G148" s="4">
        <f t="shared" si="64"/>
        <v>-3.0016125859313587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-8.4852817202062081</v>
      </c>
      <c r="C149">
        <f t="shared" si="62"/>
        <v>-4.2426399951839393</v>
      </c>
      <c r="D149" s="9">
        <f t="shared" si="61"/>
        <v>-8.4852817202062081</v>
      </c>
      <c r="E149">
        <f t="shared" si="61"/>
        <v>-4.2426399951839393</v>
      </c>
      <c r="F149" s="4">
        <f t="shared" si="63"/>
        <v>-3.0016125859313587</v>
      </c>
      <c r="G149" s="4">
        <f t="shared" si="64"/>
        <v>-3.0016125859313587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-8.4852817202062081</v>
      </c>
      <c r="C150">
        <f t="shared" si="62"/>
        <v>-4.2426399951839393</v>
      </c>
      <c r="D150" s="9">
        <f t="shared" si="61"/>
        <v>-8.4852817202062081</v>
      </c>
      <c r="E150">
        <f t="shared" si="61"/>
        <v>-4.2426399951839393</v>
      </c>
      <c r="F150" s="4">
        <f t="shared" si="63"/>
        <v>-3.0016125859313587</v>
      </c>
      <c r="G150" s="4">
        <f t="shared" si="64"/>
        <v>-3.0016125859313587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-8.4852817202062081</v>
      </c>
      <c r="C151">
        <f t="shared" si="62"/>
        <v>-4.2426399951839393</v>
      </c>
      <c r="D151" s="9">
        <f t="shared" si="61"/>
        <v>-8.4852817202062081</v>
      </c>
      <c r="E151">
        <f t="shared" si="61"/>
        <v>-4.2426399951839393</v>
      </c>
      <c r="F151" s="4">
        <f t="shared" si="63"/>
        <v>-3.0016125859313587</v>
      </c>
      <c r="G151" s="4">
        <f t="shared" si="64"/>
        <v>-3.0016125859313587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-8.4852817202062081</v>
      </c>
      <c r="C152">
        <f t="shared" si="62"/>
        <v>-4.2426399951839393</v>
      </c>
      <c r="D152" s="9">
        <f t="shared" si="61"/>
        <v>-8.4852817202062081</v>
      </c>
      <c r="E152">
        <f t="shared" si="61"/>
        <v>-4.2426399951839393</v>
      </c>
      <c r="F152" s="4">
        <f t="shared" si="63"/>
        <v>-3.0016125859313587</v>
      </c>
      <c r="G152" s="4">
        <f t="shared" si="64"/>
        <v>-3.0016125859313587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-8.4852817202062081</v>
      </c>
      <c r="C153">
        <f t="shared" si="62"/>
        <v>-4.2426399951839393</v>
      </c>
      <c r="D153" s="9">
        <f t="shared" si="61"/>
        <v>-8.4852817202062081</v>
      </c>
      <c r="E153">
        <f t="shared" si="61"/>
        <v>-4.2426399951839393</v>
      </c>
      <c r="F153" s="4">
        <f t="shared" si="63"/>
        <v>-3.0016125859313587</v>
      </c>
      <c r="G153" s="4">
        <f t="shared" si="64"/>
        <v>-3.0016125859313587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30.00000111291839</v>
      </c>
      <c r="C159" t="s">
        <v>36</v>
      </c>
    </row>
    <row r="160" spans="1:18" x14ac:dyDescent="0.25">
      <c r="A160" s="1" t="s">
        <v>106</v>
      </c>
      <c r="B160" s="4">
        <f>Q140+I122+Q154-O122</f>
        <v>169.70562128727826</v>
      </c>
      <c r="C160" t="s">
        <v>102</v>
      </c>
    </row>
    <row r="161" spans="1:9" x14ac:dyDescent="0.25">
      <c r="A161" s="1" t="s">
        <v>107</v>
      </c>
      <c r="B161" s="4">
        <f>R140+J122+R154-P122</f>
        <v>5.9339984268547141E-6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30.00000111291839</v>
      </c>
      <c r="C164" t="s">
        <v>36</v>
      </c>
      <c r="E164" s="8">
        <f>B2-B164</f>
        <v>-1.1129183903335615E-6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119.99998163629634</v>
      </c>
      <c r="C165" t="s">
        <v>102</v>
      </c>
      <c r="E165" s="8">
        <f>B3+B165</f>
        <v>-1.8363703659929342E-5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120.00000959912332</v>
      </c>
      <c r="C166" t="s">
        <v>102</v>
      </c>
      <c r="E166" s="8">
        <f>B4+B166</f>
        <v>9.599123316661462E-6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-5.0117095012721391</v>
      </c>
      <c r="C169" s="3">
        <f ca="1">A169+B169</f>
        <v>3.2716628250994972E-7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-8.1545360186668991E-8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-5.4977871437821371</v>
      </c>
      <c r="C176" s="3">
        <f>B65+C175</f>
        <v>5.3068830909708504</v>
      </c>
      <c r="D176" s="3">
        <f>D175+B66</f>
        <v>5.0117099027740917</v>
      </c>
      <c r="E176" s="3">
        <f>B67+E175</f>
        <v>5.3284859484854969</v>
      </c>
      <c r="F176" s="16" t="s">
        <v>125</v>
      </c>
    </row>
    <row r="177" spans="1:13" x14ac:dyDescent="0.25">
      <c r="B177" s="27">
        <f>B176-B64</f>
        <v>-8.1545359797985384E-8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-8.4852815560002544</v>
      </c>
      <c r="B181" s="25">
        <f>(d_alpha_p!E136-d_alpha_m!E136)/(2*B177)</f>
        <v>0</v>
      </c>
      <c r="C181" s="25">
        <f>(d_alpha_p!E137-d_alpha_m!E137)/(2*B177)</f>
        <v>8.4852815560002544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1.1129183903335615E-6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1.8363703659929342E-5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-9.599123316661462E-6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-3.2716628250994972E-7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-8.4852815560002544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8.4852815560002544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-8.4852815560002544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8.4852815560002544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5.3068830909708504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5.3284858694512796</v>
      </c>
      <c r="C67" t="s">
        <v>36</v>
      </c>
      <c r="D67" t="s">
        <v>122</v>
      </c>
      <c r="G67" s="20">
        <f ca="1">($B$56*$B$66*$B$55*$E$122)/$B$65</f>
        <v>5.3284857112760102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3.1783982832677244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-3.1956508509997832</v>
      </c>
      <c r="I110">
        <f>H110*C110</f>
        <v>13.557998322279062</v>
      </c>
      <c r="J110">
        <f>H110*B110*-1</f>
        <v>-20.336997483418564</v>
      </c>
      <c r="K110">
        <f ca="1">H110/$B$55</f>
        <v>-22.520629496495754</v>
      </c>
      <c r="L110">
        <f ca="1">K110/$B$54</f>
        <v>-7.7657343091364669E-4</v>
      </c>
      <c r="M110">
        <f t="shared" ref="M110:M121" si="34">IFERROR(($D$66/$B$65)*(G110-$B$125),0)</f>
        <v>-7.7657340786118582E-4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5.2997186268273664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-5.3284858694512796</v>
      </c>
      <c r="I111">
        <f t="shared" ref="I111:I121" si="39">H111*C111</f>
        <v>33.910276425711288</v>
      </c>
      <c r="J111">
        <f t="shared" ref="J111:J121" si="40">H111*B111*-1</f>
        <v>-22.606850950474158</v>
      </c>
      <c r="K111">
        <f ca="1">H111/$B$55</f>
        <v>-37.551303830855659</v>
      </c>
      <c r="L111">
        <f t="shared" ref="L111:L121" ca="1" si="41">K111/$B$54</f>
        <v>-1.2948725458915744E-3</v>
      </c>
      <c r="M111">
        <f t="shared" si="34"/>
        <v>-1.2948725074534856E-3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5.2997186268273602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-5.3284858694512733</v>
      </c>
      <c r="I112">
        <f t="shared" si="39"/>
        <v>33.91027642571121</v>
      </c>
      <c r="J112">
        <f t="shared" si="40"/>
        <v>22.606850950474172</v>
      </c>
      <c r="K112">
        <f t="shared" ref="K112:K121" ca="1" si="45">H112/$B$55</f>
        <v>-37.551303830855616</v>
      </c>
      <c r="L112">
        <f t="shared" ca="1" si="41"/>
        <v>-1.2948725458915729E-3</v>
      </c>
      <c r="M112">
        <f t="shared" si="34"/>
        <v>-1.294872507453484E-3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3.1783982832677165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-3.1956508509997752</v>
      </c>
      <c r="I113">
        <f t="shared" si="39"/>
        <v>13.557998322279001</v>
      </c>
      <c r="J113">
        <f t="shared" si="40"/>
        <v>20.336997483418532</v>
      </c>
      <c r="K113">
        <f t="shared" ca="1" si="45"/>
        <v>-22.520629496495697</v>
      </c>
      <c r="L113">
        <f t="shared" ca="1" si="41"/>
        <v>-7.7657343091364474E-4</v>
      </c>
      <c r="M113">
        <f t="shared" si="34"/>
        <v>-7.7657340786118387E-4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5.2997186268273664</v>
      </c>
      <c r="H122">
        <f>SUM(H110:H121)</f>
        <v>-17.048273440902111</v>
      </c>
      <c r="I122">
        <f t="shared" ref="I122:J122" si="46">SUM(I110:I121)</f>
        <v>94.936549495980572</v>
      </c>
      <c r="J122">
        <f t="shared" si="46"/>
        <v>-2.1316282072803006E-14</v>
      </c>
      <c r="L122">
        <f ca="1">MIN(L110:L121)</f>
        <v>-1.2948725458915744E-3</v>
      </c>
      <c r="M122">
        <f>MIN(M110:M121)</f>
        <v>-1.2948725074534856E-3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-1.0642424038515648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-1.0642424038515648</v>
      </c>
    </row>
    <row r="127" spans="1:16" x14ac:dyDescent="0.25">
      <c r="F127" s="4">
        <f>MAX(B84:B90)+1</f>
        <v>9.4852813742385731</v>
      </c>
      <c r="G127" s="4">
        <f>G126</f>
        <v>-1.0642424038515648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-3.0016131205239254</v>
      </c>
      <c r="G132" s="4">
        <f t="shared" ref="G132:G139" si="49">($B$66/$B$65)*(E132-$B$125)</f>
        <v>-7.0082745950050933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-7.0082745950050933</v>
      </c>
      <c r="G133" s="4">
        <f t="shared" si="49"/>
        <v>-3.0016131205239205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-3.0016131205239205</v>
      </c>
      <c r="G134" s="4">
        <f t="shared" si="49"/>
        <v>-7.008274595005088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-7.008274595005088</v>
      </c>
      <c r="G135" s="4">
        <f t="shared" si="49"/>
        <v>-3.0016131205239138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-3.0016131205239138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5.3068830909708558</v>
      </c>
      <c r="K136" s="4">
        <f t="shared" si="54"/>
        <v>-1.0642424038515648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23.524137449967579</v>
      </c>
      <c r="Q136" s="4">
        <f t="shared" si="59"/>
        <v>37.384539043165425</v>
      </c>
      <c r="R136" s="4">
        <f t="shared" si="60"/>
        <v>-31.209961815726807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-3.0016131205239254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-5.3068830909708442</v>
      </c>
      <c r="M137" s="4">
        <f t="shared" si="56"/>
        <v>-1.0642424038515648</v>
      </c>
      <c r="N137" s="4">
        <f t="shared" si="57"/>
        <v>5.0117098284384216</v>
      </c>
      <c r="O137" s="4">
        <f t="shared" si="57"/>
        <v>0</v>
      </c>
      <c r="P137" s="4">
        <f t="shared" si="58"/>
        <v>23.52413744996753</v>
      </c>
      <c r="Q137" s="4">
        <f t="shared" si="59"/>
        <v>37.384539043165347</v>
      </c>
      <c r="R137" s="4">
        <f t="shared" si="60"/>
        <v>31.209961815726668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-3.0016131205239254</v>
      </c>
      <c r="G138" s="4">
        <f t="shared" si="49"/>
        <v>-3.0016131205239254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-3.0016131205239254</v>
      </c>
      <c r="G139" s="4">
        <f t="shared" si="49"/>
        <v>-3.0016131205239254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47.048274899935109</v>
      </c>
      <c r="Q140" s="4">
        <f>SUM(Q132:Q139)</f>
        <v>74.769078086330779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2.9449716013585576E-15</v>
      </c>
    </row>
    <row r="143" spans="1:18" x14ac:dyDescent="0.25">
      <c r="O143" t="s">
        <v>97</v>
      </c>
      <c r="P143" s="1">
        <f>Q140/P140</f>
        <v>1.5891991416338604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-3.0016131205239254</v>
      </c>
      <c r="G146" s="4">
        <f>($B$66/$B$65)*(E146-$B$125)</f>
        <v>-3.0016131205239254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-3.0016131205239254</v>
      </c>
      <c r="G147" s="4">
        <f t="shared" ref="G147:G153" si="64">($B$66/$B$65)*(E147-$B$125)</f>
        <v>-3.0016131205239254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-3.0016131205239254</v>
      </c>
      <c r="G148" s="4">
        <f t="shared" si="64"/>
        <v>-3.0016131205239254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-3.0016131205239254</v>
      </c>
      <c r="G149" s="4">
        <f t="shared" si="64"/>
        <v>-3.0016131205239254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-3.0016131205239254</v>
      </c>
      <c r="G150" s="4">
        <f t="shared" si="64"/>
        <v>-3.0016131205239254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-3.0016131205239254</v>
      </c>
      <c r="G151" s="4">
        <f t="shared" si="64"/>
        <v>-3.0016131205239254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-3.0016131205239254</v>
      </c>
      <c r="G152" s="4">
        <f t="shared" si="64"/>
        <v>-3.0016131205239254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-3.0016131205239254</v>
      </c>
      <c r="G153" s="4">
        <f t="shared" si="64"/>
        <v>-3.0016131205239254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30.000001459032998</v>
      </c>
      <c r="C159" t="s">
        <v>36</v>
      </c>
    </row>
    <row r="160" spans="1:18" x14ac:dyDescent="0.25">
      <c r="A160" s="1" t="s">
        <v>106</v>
      </c>
      <c r="B160" s="4">
        <f>Q140+I122+Q154-O122</f>
        <v>169.70562758231137</v>
      </c>
      <c r="C160" t="s">
        <v>102</v>
      </c>
    </row>
    <row r="161" spans="1:9" x14ac:dyDescent="0.25">
      <c r="A161" s="1" t="s">
        <v>107</v>
      </c>
      <c r="B161" s="4">
        <f>R140+J122+R154-P122</f>
        <v>-1.5987211554602254E-13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30.000001459032998</v>
      </c>
      <c r="C164" t="s">
        <v>36</v>
      </c>
      <c r="E164" s="8">
        <f>B2-B164</f>
        <v>-1.4590329975305849E-6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120.00000006897136</v>
      </c>
      <c r="C165" t="s">
        <v>102</v>
      </c>
      <c r="E165" s="8">
        <f>B3+B165</f>
        <v>6.897136017869343E-8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120.00000006897096</v>
      </c>
      <c r="C166" t="s">
        <v>102</v>
      </c>
      <c r="E166" s="8">
        <f>B4+B166</f>
        <v>6.8970962274761405E-8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-5.0117099772102476</v>
      </c>
      <c r="C169" s="3">
        <f ca="1">A169+B169</f>
        <v>-1.4877182596961802E-7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7.8713796700903155E-8</v>
      </c>
      <c r="D175" s="27">
        <f>B66*SQRT(I175)</f>
        <v>7.433566969485497E-8</v>
      </c>
      <c r="E175" s="27">
        <f>B67*SQRT(I175)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5.3068831696846468</v>
      </c>
      <c r="D176" s="3">
        <f>D175+B66</f>
        <v>5.0117099027740917</v>
      </c>
      <c r="E176" s="3">
        <f>B67+E175</f>
        <v>5.3284859484854969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7.8713796369811462E-8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1.4590329975305849E-6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-6.897136017869343E-8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-6.8970962274761405E-8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1.4877182596961802E-7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5.3068829335432595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x14ac:dyDescent="0.25">
      <c r="A67" s="1" t="s">
        <v>37</v>
      </c>
      <c r="B67" s="17">
        <f>'Rigid Bearing Plate Analysis'!B67</f>
        <v>5.3284858694512796</v>
      </c>
      <c r="C67" t="s">
        <v>36</v>
      </c>
      <c r="D67" t="s">
        <v>122</v>
      </c>
      <c r="G67" s="20">
        <f ca="1">($B$56*$B$66*$B$55*$E$122)/$B$65</f>
        <v>5.3284860276265622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3.1783984406953154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-3.1956509143554235</v>
      </c>
      <c r="I110">
        <f>H110*C110</f>
        <v>13.557998591074279</v>
      </c>
      <c r="J110">
        <f>H110*B110*-1</f>
        <v>-20.336997886611389</v>
      </c>
      <c r="K110">
        <f ca="1">H110/$B$55</f>
        <v>-22.520629942980356</v>
      </c>
      <c r="L110">
        <f ca="1">K110/$B$54</f>
        <v>-7.7657344630966741E-4</v>
      </c>
      <c r="M110">
        <f t="shared" ref="M110:M121" si="34">IFERROR(($D$66/$B$65)*(G110-$B$125),0)</f>
        <v>-7.7657346936213067E-4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5.2997187842549573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-5.3284858694512796</v>
      </c>
      <c r="I111">
        <f t="shared" ref="I111:I121" si="39">H111*C111</f>
        <v>33.910276425711288</v>
      </c>
      <c r="J111">
        <f t="shared" ref="J111:J121" si="40">H111*B111*-1</f>
        <v>-22.606850950474158</v>
      </c>
      <c r="K111">
        <f ca="1">H111/$B$55</f>
        <v>-37.551303830855659</v>
      </c>
      <c r="L111">
        <f t="shared" ref="L111:L121" ca="1" si="41">K111/$B$54</f>
        <v>-1.2948725458915744E-3</v>
      </c>
      <c r="M111">
        <f t="shared" si="34"/>
        <v>-1.2948725843296665E-3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5.2997187842549511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-5.3284858694512733</v>
      </c>
      <c r="I112">
        <f t="shared" si="39"/>
        <v>33.91027642571121</v>
      </c>
      <c r="J112">
        <f t="shared" si="40"/>
        <v>22.606850950474172</v>
      </c>
      <c r="K112">
        <f t="shared" ref="K112:K121" ca="1" si="45">H112/$B$55</f>
        <v>-37.551303830855616</v>
      </c>
      <c r="L112">
        <f t="shared" ca="1" si="41"/>
        <v>-1.2948725458915729E-3</v>
      </c>
      <c r="M112">
        <f t="shared" si="34"/>
        <v>-1.294872584329665E-3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3.1783984406953074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-3.1956509143554155</v>
      </c>
      <c r="I113">
        <f t="shared" si="39"/>
        <v>13.557998591074218</v>
      </c>
      <c r="J113">
        <f t="shared" si="40"/>
        <v>20.336997886611357</v>
      </c>
      <c r="K113">
        <f t="shared" ca="1" si="45"/>
        <v>-22.5206299429803</v>
      </c>
      <c r="L113">
        <f t="shared" ca="1" si="41"/>
        <v>-7.7657344630966546E-4</v>
      </c>
      <c r="M113">
        <f t="shared" si="34"/>
        <v>-7.7657346936212872E-4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5.2997187842549573</v>
      </c>
      <c r="H122">
        <f>SUM(H110:H121)</f>
        <v>-17.048273567613393</v>
      </c>
      <c r="I122">
        <f t="shared" ref="I122:J122" si="46">SUM(I110:I121)</f>
        <v>94.93655003357101</v>
      </c>
      <c r="J122">
        <f t="shared" si="46"/>
        <v>-1.7763568394002505E-14</v>
      </c>
      <c r="L122">
        <f ca="1">MIN(L110:L121)</f>
        <v>-1.2948725458915744E-3</v>
      </c>
      <c r="M122">
        <f>MIN(M110:M121)</f>
        <v>-1.2948725843296665E-3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-1.0642422464239738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-1.0642422464239738</v>
      </c>
    </row>
    <row r="127" spans="1:16" x14ac:dyDescent="0.25">
      <c r="F127" s="4">
        <f>MAX(B84:B90)+1</f>
        <v>9.4852813742385731</v>
      </c>
      <c r="G127" s="4">
        <f>G126</f>
        <v>-1.0642422464239738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-3.0016133582375031</v>
      </c>
      <c r="G132" s="4">
        <f t="shared" ref="G132:G139" si="49">($B$66/$B$65)*(E132-$B$125)</f>
        <v>-7.0082749515754594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-7.0082749515754594</v>
      </c>
      <c r="G133" s="4">
        <f t="shared" si="49"/>
        <v>-3.0016133582374982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-3.0016133582374982</v>
      </c>
      <c r="G134" s="4">
        <f t="shared" si="49"/>
        <v>-7.008274951575455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-7.008274951575455</v>
      </c>
      <c r="G135" s="4">
        <f t="shared" si="49"/>
        <v>-3.0016133582374915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-3.0016133582374915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5.3068829335432648</v>
      </c>
      <c r="K136" s="4">
        <f t="shared" si="54"/>
        <v>-1.0642422464239738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23.524136054290238</v>
      </c>
      <c r="Q136" s="4">
        <f t="shared" si="59"/>
        <v>37.384538676830232</v>
      </c>
      <c r="R136" s="4">
        <f t="shared" si="60"/>
        <v>-31.209959038215672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-3.0016133582375031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-5.3068829335432532</v>
      </c>
      <c r="M137" s="4">
        <f t="shared" si="56"/>
        <v>-1.0642422464239738</v>
      </c>
      <c r="N137" s="4">
        <f t="shared" si="57"/>
        <v>5.0117098284384216</v>
      </c>
      <c r="O137" s="4">
        <f t="shared" si="57"/>
        <v>0</v>
      </c>
      <c r="P137" s="4">
        <f t="shared" si="58"/>
        <v>23.524136054290189</v>
      </c>
      <c r="Q137" s="4">
        <f t="shared" si="59"/>
        <v>37.384538676830154</v>
      </c>
      <c r="R137" s="4">
        <f t="shared" si="60"/>
        <v>31.209959038215533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-3.0016133582375031</v>
      </c>
      <c r="G138" s="4">
        <f t="shared" si="49"/>
        <v>-3.0016133582375031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-3.0016133582375031</v>
      </c>
      <c r="G139" s="4">
        <f t="shared" si="49"/>
        <v>-3.0016133582375031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47.048272108580427</v>
      </c>
      <c r="Q140" s="4">
        <f>SUM(Q132:Q139)</f>
        <v>74.769077353660379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2.9449717760825147E-15</v>
      </c>
    </row>
    <row r="143" spans="1:18" x14ac:dyDescent="0.25">
      <c r="O143" t="s">
        <v>97</v>
      </c>
      <c r="P143" s="1">
        <f>Q140/P140</f>
        <v>1.5891992203476559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-3.0016133582375031</v>
      </c>
      <c r="G146" s="4">
        <f>($B$66/$B$65)*(E146-$B$125)</f>
        <v>-3.0016133582375031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-3.0016133582375031</v>
      </c>
      <c r="G147" s="4">
        <f t="shared" ref="G147:G153" si="64">($B$66/$B$65)*(E147-$B$125)</f>
        <v>-3.0016133582375031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-3.0016133582375031</v>
      </c>
      <c r="G148" s="4">
        <f t="shared" si="64"/>
        <v>-3.0016133582375031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-3.0016133582375031</v>
      </c>
      <c r="G149" s="4">
        <f t="shared" si="64"/>
        <v>-3.0016133582375031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-3.0016133582375031</v>
      </c>
      <c r="G150" s="4">
        <f t="shared" si="64"/>
        <v>-3.0016133582375031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-3.0016133582375031</v>
      </c>
      <c r="G151" s="4">
        <f t="shared" si="64"/>
        <v>-3.0016133582375031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-3.0016133582375031</v>
      </c>
      <c r="G152" s="4">
        <f t="shared" si="64"/>
        <v>-3.0016133582375031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-3.0016133582375031</v>
      </c>
      <c r="G153" s="4">
        <f t="shared" si="64"/>
        <v>-3.0016133582375031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29.999998540967034</v>
      </c>
      <c r="C159" t="s">
        <v>36</v>
      </c>
    </row>
    <row r="160" spans="1:18" x14ac:dyDescent="0.25">
      <c r="A160" s="1" t="s">
        <v>106</v>
      </c>
      <c r="B160" s="4">
        <f>Q140+I122+Q154-O122</f>
        <v>169.7056273872314</v>
      </c>
      <c r="C160" t="s">
        <v>102</v>
      </c>
    </row>
    <row r="161" spans="1:9" x14ac:dyDescent="0.25">
      <c r="A161" s="1" t="s">
        <v>107</v>
      </c>
      <c r="B161" s="4">
        <f>R140+J122+R154-P122</f>
        <v>-1.5631940186722204E-13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29.999998540967034</v>
      </c>
      <c r="C164" t="s">
        <v>36</v>
      </c>
      <c r="E164" s="8">
        <f>B2-B164</f>
        <v>1.4590329655561618E-6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119.999999931029</v>
      </c>
      <c r="C165" t="s">
        <v>102</v>
      </c>
      <c r="E165" s="8">
        <f>B3+B165</f>
        <v>-6.897100490732555E-8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119.9999999310286</v>
      </c>
      <c r="C166" t="s">
        <v>102</v>
      </c>
      <c r="E166" s="8">
        <f>B4+B166</f>
        <v>-6.8971402811257576E-8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-5.0117096796665912</v>
      </c>
      <c r="C169" s="3">
        <f ca="1">A169+B169</f>
        <v>1.4877183041051012E-7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7.8713794365874631E-8</v>
      </c>
      <c r="D175" s="27">
        <f>B66*SQRT(I175)</f>
        <v>7.433566969485497E-8</v>
      </c>
      <c r="E175" s="27">
        <f>B67*SQRT(I175)</f>
        <v>7.9034217687070389E-8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5.3068830122570541</v>
      </c>
      <c r="D176" s="3">
        <f>D175+B66</f>
        <v>5.0117099027740917</v>
      </c>
      <c r="E176" s="3">
        <f>B67+E175</f>
        <v>5.3284859484854969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7.8713794593454622E-8</v>
      </c>
      <c r="D177" s="27">
        <f>D176-B66</f>
        <v>7.4335670063874204E-8</v>
      </c>
      <c r="E177" s="27">
        <f>E176-B67</f>
        <v>7.9034217392859318E-8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-1.4590329655561618E-6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6.897100490732555E-8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6.8971402811257576E-8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-1.4877183041051012E-7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5.3284859484854969</v>
      </c>
      <c r="C67" t="s">
        <v>36</v>
      </c>
      <c r="D67" t="s">
        <v>122</v>
      </c>
      <c r="G67" s="20">
        <f ca="1">($B$56*$B$66*$B$55*$E$122)/$B$65</f>
        <v>5.328485869451284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-3.1956509300767659</v>
      </c>
      <c r="I110">
        <f>H110*C110</f>
        <v>13.557998657774286</v>
      </c>
      <c r="J110">
        <f>H110*B110*-1</f>
        <v>-20.336997986661402</v>
      </c>
      <c r="K110">
        <f ca="1">H110/$B$55</f>
        <v>-22.520630053772976</v>
      </c>
      <c r="L110">
        <f ca="1">K110/$B$54</f>
        <v>-7.7657345013010259E-4</v>
      </c>
      <c r="M110">
        <f t="shared" ref="M110:M121" si="34">IFERROR(($D$66/$B$65)*(G110-$B$125),0)</f>
        <v>-7.7657343861165786E-4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-5.3284859484854969</v>
      </c>
      <c r="I111">
        <f t="shared" ref="I111:I121" si="39">H111*C111</f>
        <v>33.910276928681967</v>
      </c>
      <c r="J111">
        <f t="shared" ref="J111:J121" si="40">H111*B111*-1</f>
        <v>-22.606851285787943</v>
      </c>
      <c r="K111">
        <f ca="1">H111/$B$55</f>
        <v>-37.5513043878315</v>
      </c>
      <c r="L111">
        <f t="shared" ref="L111:L121" ca="1" si="41">K111/$B$54</f>
        <v>-1.294872565097638E-3</v>
      </c>
      <c r="M111">
        <f t="shared" si="34"/>
        <v>-1.2948725458915755E-3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-5.3284859484854907</v>
      </c>
      <c r="I112">
        <f t="shared" si="39"/>
        <v>33.910276928681895</v>
      </c>
      <c r="J112">
        <f t="shared" si="40"/>
        <v>22.606851285787961</v>
      </c>
      <c r="K112">
        <f t="shared" ref="K112:K121" ca="1" si="45">H112/$B$55</f>
        <v>-37.551304387831458</v>
      </c>
      <c r="L112">
        <f t="shared" ca="1" si="41"/>
        <v>-1.2948725650976365E-3</v>
      </c>
      <c r="M112">
        <f t="shared" si="34"/>
        <v>-1.294872545891574E-3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-3.1956509300767579</v>
      </c>
      <c r="I113">
        <f t="shared" si="39"/>
        <v>13.557998657774226</v>
      </c>
      <c r="J113">
        <f t="shared" si="40"/>
        <v>20.33699798666137</v>
      </c>
      <c r="K113">
        <f t="shared" ca="1" si="45"/>
        <v>-22.520630053772919</v>
      </c>
      <c r="L113">
        <f t="shared" ca="1" si="41"/>
        <v>-7.7657345013010064E-4</v>
      </c>
      <c r="M113">
        <f t="shared" si="34"/>
        <v>-7.7657343861165591E-4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-17.048273757124512</v>
      </c>
      <c r="I122">
        <f t="shared" ref="I122:J122" si="46">SUM(I110:I121)</f>
        <v>94.936551172912374</v>
      </c>
      <c r="J122">
        <f t="shared" si="46"/>
        <v>-1.0658141036401503E-14</v>
      </c>
      <c r="L122">
        <f ca="1">MIN(L110:L121)</f>
        <v>-1.294872565097638E-3</v>
      </c>
      <c r="M122">
        <f>MIN(M110:M121)</f>
        <v>-1.2948725458915755E-3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-3.0016132393807125</v>
      </c>
      <c r="G132" s="4">
        <f t="shared" ref="G132:G139" si="49">($B$66/$B$65)*(E132-$B$125)</f>
        <v>-7.0082747732902737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-7.0082747732902737</v>
      </c>
      <c r="G133" s="4">
        <f t="shared" si="49"/>
        <v>-3.0016132393807076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-3.0016132393807076</v>
      </c>
      <c r="G134" s="4">
        <f t="shared" si="49"/>
        <v>-7.0082747732902684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-7.0082747732902684</v>
      </c>
      <c r="G135" s="4">
        <f t="shared" si="49"/>
        <v>-3.0016132393807009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-3.0016132393807009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23.524136752128907</v>
      </c>
      <c r="Q136" s="4">
        <f t="shared" si="59"/>
        <v>37.384538859997853</v>
      </c>
      <c r="R136" s="4">
        <f t="shared" si="60"/>
        <v>-31.209960426971215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-3.0016132393807125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5.0117098284384216</v>
      </c>
      <c r="O137" s="4">
        <f t="shared" si="57"/>
        <v>0</v>
      </c>
      <c r="P137" s="4">
        <f t="shared" si="58"/>
        <v>23.524136752128854</v>
      </c>
      <c r="Q137" s="4">
        <f t="shared" si="59"/>
        <v>37.384538859997768</v>
      </c>
      <c r="R137" s="4">
        <f t="shared" si="60"/>
        <v>31.209960426971076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-3.0016132393807125</v>
      </c>
      <c r="G138" s="4">
        <f t="shared" si="49"/>
        <v>-3.0016132393807125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-3.0016132393807125</v>
      </c>
      <c r="G139" s="4">
        <f t="shared" si="49"/>
        <v>-3.0016132393807125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47.048273504257764</v>
      </c>
      <c r="Q140" s="4">
        <f>SUM(Q132:Q139)</f>
        <v>74.769077719995622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2.9449716887205338E-15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-3.0016132393807125</v>
      </c>
      <c r="G146" s="4">
        <f>($B$66/$B$65)*(E146-$B$125)</f>
        <v>-3.0016132393807125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-3.0016132393807125</v>
      </c>
      <c r="G147" s="4">
        <f t="shared" ref="G147:G153" si="64">($B$66/$B$65)*(E147-$B$125)</f>
        <v>-3.0016132393807125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-3.0016132393807125</v>
      </c>
      <c r="G148" s="4">
        <f t="shared" si="64"/>
        <v>-3.0016132393807125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-3.0016132393807125</v>
      </c>
      <c r="G149" s="4">
        <f t="shared" si="64"/>
        <v>-3.0016132393807125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-3.0016132393807125</v>
      </c>
      <c r="G150" s="4">
        <f t="shared" si="64"/>
        <v>-3.0016132393807125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-3.0016132393807125</v>
      </c>
      <c r="G151" s="4">
        <f t="shared" si="64"/>
        <v>-3.0016132393807125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-3.0016132393807125</v>
      </c>
      <c r="G152" s="4">
        <f t="shared" si="64"/>
        <v>-3.0016132393807125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-3.0016132393807125</v>
      </c>
      <c r="G153" s="4">
        <f t="shared" si="64"/>
        <v>-3.0016132393807125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29.999999747133252</v>
      </c>
      <c r="C159" t="s">
        <v>36</v>
      </c>
    </row>
    <row r="160" spans="1:18" x14ac:dyDescent="0.25">
      <c r="A160" s="1" t="s">
        <v>106</v>
      </c>
      <c r="B160" s="4">
        <f>Q140+I122+Q154-O122</f>
        <v>169.70562889290801</v>
      </c>
      <c r="C160" t="s">
        <v>102</v>
      </c>
    </row>
    <row r="161" spans="1:9" x14ac:dyDescent="0.25">
      <c r="A161" s="1" t="s">
        <v>107</v>
      </c>
      <c r="B161" s="4">
        <f>R140+J122+R154-P122</f>
        <v>-1.4921397450962104E-13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29.999999747133252</v>
      </c>
      <c r="C164" t="s">
        <v>36</v>
      </c>
      <c r="E164" s="8">
        <f>B2-B164</f>
        <v>2.5286674798508102E-7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120.00000099570312</v>
      </c>
      <c r="C165" t="s">
        <v>102</v>
      </c>
      <c r="E165" s="8">
        <f>B3+B165</f>
        <v>9.9570311817842594E-7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120.00000099570276</v>
      </c>
      <c r="C166" t="s">
        <v>102</v>
      </c>
      <c r="E166" s="8">
        <f>B4+B166</f>
        <v>9.9570276290705806E-7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-5.0117099027740872</v>
      </c>
      <c r="C169" s="3">
        <f ca="1">A169+B169</f>
        <v>-7.4335665622982106E-8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7.903421885933728E-8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5.0117099027740917</v>
      </c>
      <c r="E176" s="3">
        <f>B67+E175</f>
        <v>5.3284860275197161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7.9034219169216158E-8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-2.5286674798508102E-7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-9.9570311817842594E-7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-9.9570276290705806E-7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7.4335665622982106E-8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0.27777777777777779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-0.47619047619047616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-0.37037037037037035</v>
      </c>
      <c r="J4" t="s">
        <v>11</v>
      </c>
    </row>
    <row r="5" spans="1:29" x14ac:dyDescent="0.25">
      <c r="A5" s="10" t="s">
        <v>104</v>
      </c>
      <c r="B5" s="20">
        <f>ATAN2(B3,B4)</f>
        <v>-2.3561944901923448</v>
      </c>
      <c r="C5" t="s">
        <v>19</v>
      </c>
      <c r="I5">
        <f>SUM(I2:I4)</f>
        <v>-0.56878306878306872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-0.47619047619047616</v>
      </c>
      <c r="AB14">
        <f>$B$4/Z14</f>
        <v>-0.12345679012345678</v>
      </c>
      <c r="AC14">
        <f>$I$2+AA14+AB14</f>
        <v>-0.32186948853615516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-0.15873015873015872</v>
      </c>
      <c r="AB15">
        <f t="shared" ref="AB15:AB21" si="11">$B$4/Z15</f>
        <v>-0.12345679012345678</v>
      </c>
      <c r="AC15">
        <f t="shared" ref="AC15:AC20" si="12">$I$2+AA15+AB15</f>
        <v>-4.4091710758377145E-3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-0.15873015873015872</v>
      </c>
      <c r="AB16">
        <f t="shared" si="11"/>
        <v>-0.37037037037037035</v>
      </c>
      <c r="AC16">
        <f t="shared" si="12"/>
        <v>-0.25132275132275128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0.15873015873015872</v>
      </c>
      <c r="AB17">
        <f t="shared" si="11"/>
        <v>-0.37037037037037035</v>
      </c>
      <c r="AC17">
        <f t="shared" si="12"/>
        <v>6.6137566137566162E-2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0.15873015873015872</v>
      </c>
      <c r="AB18">
        <f t="shared" si="11"/>
        <v>0.12345679012345678</v>
      </c>
      <c r="AC18">
        <f t="shared" si="12"/>
        <v>0.55996472663139329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-0.47619047619047616</v>
      </c>
      <c r="AB19">
        <f t="shared" si="11"/>
        <v>0.12345679012345678</v>
      </c>
      <c r="AC19">
        <f t="shared" si="12"/>
        <v>-7.4955908289241591E-2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-0.47619047619047616</v>
      </c>
      <c r="AB20">
        <f t="shared" si="11"/>
        <v>0.12345679012345678</v>
      </c>
      <c r="AC20">
        <f t="shared" si="12"/>
        <v>-7.4955908289241591E-2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0.12345679012345678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-5.4977871437821388</v>
      </c>
      <c r="C64" t="s">
        <v>19</v>
      </c>
      <c r="D64" t="s">
        <v>34</v>
      </c>
      <c r="H64" s="17">
        <f>DEGREES(B64)</f>
        <v>-315.00000000000006</v>
      </c>
      <c r="I64" t="s">
        <v>41</v>
      </c>
    </row>
    <row r="65" spans="1:18" x14ac:dyDescent="0.25">
      <c r="A65" s="1" t="s">
        <v>40</v>
      </c>
      <c r="B65" s="17">
        <f>'Rigid Bearing Plate Analysis'!B65</f>
        <v>5.3068830122570549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5.0117098284384216</v>
      </c>
      <c r="C66" t="s">
        <v>11</v>
      </c>
      <c r="D66">
        <f>B66/B53</f>
        <v>1.2966229905080147E-3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5.3284857904170622</v>
      </c>
      <c r="C67" t="s">
        <v>36</v>
      </c>
      <c r="D67" t="s">
        <v>122</v>
      </c>
      <c r="G67" s="20">
        <f ca="1">($B$56*$B$66*$B$55*$E$122)/$B$65</f>
        <v>5.328485869451284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-9.4852813742385731</v>
      </c>
      <c r="R76">
        <f>Q76</f>
        <v>-9.4852813742385731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9.4852813742385731</v>
      </c>
      <c r="R77">
        <f>Q77</f>
        <v>9.4852813742385731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-8.4852813742385678</v>
      </c>
      <c r="C84" s="1">
        <f t="shared" ref="C84:C92" si="23">(-1*B73*SIN($B$64))+(C73*COS($B$64))</f>
        <v>-4.242640687119291</v>
      </c>
      <c r="H84" s="1">
        <f t="shared" ref="H84:H92" si="24">H73</f>
        <v>1</v>
      </c>
      <c r="I84" s="4">
        <f>(I73*COS($B$64))+(J73*SIN($B$64))</f>
        <v>-8.4852813742385678</v>
      </c>
      <c r="J84" s="1">
        <f>(-1*I73*SIN($B$64))+(J73*COS($B$64))</f>
        <v>-4.242640687119291</v>
      </c>
    </row>
    <row r="85" spans="1:10" x14ac:dyDescent="0.25">
      <c r="A85" s="1">
        <f t="shared" si="21"/>
        <v>2</v>
      </c>
      <c r="B85" s="4">
        <f t="shared" si="22"/>
        <v>-4.2426406871192786</v>
      </c>
      <c r="C85" s="1">
        <f t="shared" si="23"/>
        <v>-8.4852813742385731</v>
      </c>
      <c r="H85" s="1">
        <f t="shared" si="24"/>
        <v>2</v>
      </c>
      <c r="I85" s="4">
        <f t="shared" ref="I85:I92" si="25">(I74*COS($B$64))+(J74*SIN($B$64))</f>
        <v>-8.4852813742385678</v>
      </c>
      <c r="J85" s="1">
        <f t="shared" ref="J85:J92" si="26">(-1*I74*SIN($B$64))+(J74*COS($B$64))</f>
        <v>-4.242640687119291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-4.2426406871192857</v>
      </c>
      <c r="H86" s="1">
        <f t="shared" si="24"/>
        <v>3</v>
      </c>
      <c r="I86" s="4">
        <f t="shared" si="25"/>
        <v>-8.4852813742385678</v>
      </c>
      <c r="J86" s="1">
        <f t="shared" si="26"/>
        <v>-4.242640687119291</v>
      </c>
    </row>
    <row r="87" spans="1:10" x14ac:dyDescent="0.25">
      <c r="A87" s="1">
        <f t="shared" si="21"/>
        <v>4</v>
      </c>
      <c r="B87" s="4">
        <f t="shared" si="22"/>
        <v>4.242640687119291</v>
      </c>
      <c r="C87" s="1">
        <f t="shared" si="23"/>
        <v>-8.4852813742385678</v>
      </c>
      <c r="H87" s="1">
        <f t="shared" si="24"/>
        <v>4</v>
      </c>
      <c r="I87" s="4">
        <f t="shared" si="25"/>
        <v>-8.4852813742385678</v>
      </c>
      <c r="J87" s="1">
        <f t="shared" si="26"/>
        <v>-4.242640687119291</v>
      </c>
    </row>
    <row r="88" spans="1:10" x14ac:dyDescent="0.25">
      <c r="A88" s="1">
        <f t="shared" si="21"/>
        <v>5</v>
      </c>
      <c r="B88" s="4">
        <f t="shared" si="22"/>
        <v>8.4852813742385731</v>
      </c>
      <c r="C88" s="1">
        <f t="shared" si="23"/>
        <v>-4.2426406871192786</v>
      </c>
      <c r="H88" s="1">
        <f t="shared" si="24"/>
        <v>5</v>
      </c>
      <c r="I88" s="4">
        <f t="shared" si="25"/>
        <v>-8.4852813742385678</v>
      </c>
      <c r="J88" s="1">
        <f t="shared" si="26"/>
        <v>-4.242640687119291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4.2426406871192857</v>
      </c>
      <c r="H89" s="1">
        <f t="shared" si="24"/>
        <v>6</v>
      </c>
      <c r="I89" s="4">
        <f t="shared" si="25"/>
        <v>-8.4852813742385678</v>
      </c>
      <c r="J89" s="1">
        <f t="shared" si="26"/>
        <v>-4.242640687119291</v>
      </c>
    </row>
    <row r="90" spans="1:10" x14ac:dyDescent="0.25">
      <c r="A90" s="1">
        <f t="shared" si="21"/>
        <v>7</v>
      </c>
      <c r="B90" s="4">
        <f t="shared" si="22"/>
        <v>-8.4852813742385678</v>
      </c>
      <c r="C90" s="1">
        <f t="shared" si="23"/>
        <v>-4.242640687119291</v>
      </c>
      <c r="H90" s="1">
        <f t="shared" si="24"/>
        <v>7</v>
      </c>
      <c r="I90" s="4">
        <f t="shared" si="25"/>
        <v>-8.4852813742385678</v>
      </c>
      <c r="J90" s="1">
        <f t="shared" si="26"/>
        <v>-4.242640687119291</v>
      </c>
    </row>
    <row r="91" spans="1:10" x14ac:dyDescent="0.25">
      <c r="A91" s="1">
        <f t="shared" si="21"/>
        <v>8</v>
      </c>
      <c r="B91" s="4">
        <f t="shared" si="22"/>
        <v>-8.4852813742385678</v>
      </c>
      <c r="C91" s="1">
        <f t="shared" si="23"/>
        <v>-4.242640687119291</v>
      </c>
      <c r="H91" s="1">
        <f t="shared" si="24"/>
        <v>8</v>
      </c>
      <c r="I91" s="4">
        <f t="shared" si="25"/>
        <v>-8.4852813742385678</v>
      </c>
      <c r="J91" s="1">
        <f t="shared" si="26"/>
        <v>-4.242640687119291</v>
      </c>
    </row>
    <row r="92" spans="1:10" x14ac:dyDescent="0.25">
      <c r="A92" s="1">
        <f t="shared" si="21"/>
        <v>9</v>
      </c>
      <c r="B92" s="4">
        <f t="shared" si="22"/>
        <v>-8.4852813742385678</v>
      </c>
      <c r="C92" s="1">
        <f t="shared" si="23"/>
        <v>-4.242640687119291</v>
      </c>
      <c r="H92" s="1">
        <f t="shared" si="24"/>
        <v>9</v>
      </c>
      <c r="I92" s="4">
        <f t="shared" si="25"/>
        <v>-8.4852813742385678</v>
      </c>
      <c r="J92" s="1">
        <f t="shared" si="26"/>
        <v>-4.242640687119291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-6.3639610306789249</v>
      </c>
      <c r="C110" s="1">
        <f>(-1*B95*SIN($B$64))+(C95*COS($B$64))</f>
        <v>-4.2426406871192892</v>
      </c>
      <c r="D110" t="str">
        <f t="shared" ref="D110" si="31">D95</f>
        <v>y</v>
      </c>
      <c r="E110" s="4">
        <f t="shared" ref="E110:E121" si="32">IF($D110="y",$B$125-C110,0)</f>
        <v>3.1783983619815199</v>
      </c>
      <c r="F110" s="1">
        <f>IF($D110="y",B110,NA())</f>
        <v>-6.3639610306789249</v>
      </c>
      <c r="G110" s="1">
        <f>IF($D110="y",C110,NA())</f>
        <v>-4.2426406871192892</v>
      </c>
      <c r="H110">
        <f t="shared" ref="H110:H121" si="33">IF($E$122=0,0,-1*MAX(($B$67/$E$122)*(E110),0))</f>
        <v>-3.1956508352784416</v>
      </c>
      <c r="I110">
        <f>H110*C110</f>
        <v>13.557998255579058</v>
      </c>
      <c r="J110">
        <f>H110*B110*-1</f>
        <v>-20.336997383368558</v>
      </c>
      <c r="K110">
        <f ca="1">H110/$B$55</f>
        <v>-22.520629385703138</v>
      </c>
      <c r="L110">
        <f ca="1">K110/$B$54</f>
        <v>-7.7657342709321162E-4</v>
      </c>
      <c r="M110">
        <f t="shared" ref="M110:M121" si="34">IFERROR(($D$66/$B$65)*(G110-$B$125),0)</f>
        <v>-7.7657343861165786E-4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-4.2426406871192812</v>
      </c>
      <c r="C111" s="1">
        <f t="shared" ref="C111:C121" si="37">(-1*B96*SIN($B$64))+(C96*COS($B$64))</f>
        <v>-6.3639610306789312</v>
      </c>
      <c r="D111" t="str">
        <f t="shared" si="35"/>
        <v>y</v>
      </c>
      <c r="E111" s="4">
        <f t="shared" si="32"/>
        <v>5.2997187055411619</v>
      </c>
      <c r="F111" s="1">
        <f t="shared" ref="F111:G121" si="38">IF($D111="y",B111,NA())</f>
        <v>-4.2426406871192812</v>
      </c>
      <c r="G111" s="1">
        <f t="shared" si="38"/>
        <v>-6.3639610306789312</v>
      </c>
      <c r="H111">
        <f t="shared" si="33"/>
        <v>-5.3284857904170631</v>
      </c>
      <c r="I111">
        <f t="shared" ref="I111:I121" si="39">H111*C111</f>
        <v>33.91027592274061</v>
      </c>
      <c r="J111">
        <f t="shared" ref="J111:J121" si="40">H111*B111*-1</f>
        <v>-22.606850615160376</v>
      </c>
      <c r="K111">
        <f ca="1">H111/$B$55</f>
        <v>-37.551303273879824</v>
      </c>
      <c r="L111">
        <f t="shared" ref="L111:L121" ca="1" si="41">K111/$B$54</f>
        <v>-1.2948725266855113E-3</v>
      </c>
      <c r="M111">
        <f t="shared" si="34"/>
        <v>-1.2948725458915755E-3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4.2426406871192892</v>
      </c>
      <c r="C112" s="1">
        <f t="shared" si="37"/>
        <v>-6.3639610306789249</v>
      </c>
      <c r="D112" t="str">
        <f t="shared" si="35"/>
        <v>y</v>
      </c>
      <c r="E112" s="4">
        <f t="shared" si="32"/>
        <v>5.2997187055411556</v>
      </c>
      <c r="F112" s="1">
        <f t="shared" si="38"/>
        <v>4.2426406871192892</v>
      </c>
      <c r="G112" s="1">
        <f t="shared" si="38"/>
        <v>-6.3639610306789249</v>
      </c>
      <c r="H112">
        <f t="shared" si="33"/>
        <v>-5.3284857904170559</v>
      </c>
      <c r="I112">
        <f t="shared" si="39"/>
        <v>33.910275922740531</v>
      </c>
      <c r="J112">
        <f t="shared" si="40"/>
        <v>22.606850615160386</v>
      </c>
      <c r="K112">
        <f t="shared" ref="K112:K121" ca="1" si="45">H112/$B$55</f>
        <v>-37.551303273879775</v>
      </c>
      <c r="L112">
        <f t="shared" ca="1" si="41"/>
        <v>-1.2948725266855095E-3</v>
      </c>
      <c r="M112">
        <f t="shared" si="34"/>
        <v>-1.294872545891574E-3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6.3639610306789312</v>
      </c>
      <c r="C113" s="1">
        <f t="shared" si="37"/>
        <v>-4.2426406871192812</v>
      </c>
      <c r="D113" t="str">
        <f t="shared" si="35"/>
        <v>y</v>
      </c>
      <c r="E113" s="4">
        <f t="shared" si="32"/>
        <v>3.1783983619815119</v>
      </c>
      <c r="F113" s="1">
        <f t="shared" si="38"/>
        <v>6.3639610306789312</v>
      </c>
      <c r="G113" s="1">
        <f t="shared" si="38"/>
        <v>-4.2426406871192812</v>
      </c>
      <c r="H113">
        <f t="shared" si="33"/>
        <v>-3.1956508352784336</v>
      </c>
      <c r="I113">
        <f t="shared" si="39"/>
        <v>13.557998255578999</v>
      </c>
      <c r="J113">
        <f t="shared" si="40"/>
        <v>20.336997383368526</v>
      </c>
      <c r="K113">
        <f t="shared" ca="1" si="45"/>
        <v>-22.520629385703085</v>
      </c>
      <c r="L113">
        <f t="shared" ca="1" si="41"/>
        <v>-7.7657342709320978E-4</v>
      </c>
      <c r="M113">
        <f t="shared" si="34"/>
        <v>-7.7657343861165591E-4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-8.4852813742385678</v>
      </c>
      <c r="C114" s="1">
        <f t="shared" si="37"/>
        <v>-4.242640687119291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-8.4852813742385678</v>
      </c>
      <c r="C115" s="1">
        <f t="shared" si="37"/>
        <v>-4.242640687119291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-8.4852813742385678</v>
      </c>
      <c r="C116" s="1">
        <f t="shared" si="37"/>
        <v>-4.242640687119291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-8.4852813742385678</v>
      </c>
      <c r="C117" s="1">
        <f t="shared" si="37"/>
        <v>-4.242640687119291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-8.4852813742385678</v>
      </c>
      <c r="C118" s="1">
        <f t="shared" si="37"/>
        <v>-4.242640687119291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-8.4852813742385678</v>
      </c>
      <c r="C119" s="1">
        <f t="shared" si="37"/>
        <v>-4.242640687119291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-8.4852813742385678</v>
      </c>
      <c r="C120" s="1">
        <f t="shared" si="37"/>
        <v>-4.242640687119291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-8.4852813742385678</v>
      </c>
      <c r="C121" s="1">
        <f t="shared" si="37"/>
        <v>-4.242640687119291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5.2997187055411619</v>
      </c>
      <c r="H122">
        <f>SUM(H110:H121)</f>
        <v>-17.048273251390995</v>
      </c>
      <c r="I122">
        <f t="shared" ref="I122:J122" si="46">SUM(I110:I121)</f>
        <v>94.936548356639193</v>
      </c>
      <c r="J122">
        <f t="shared" si="46"/>
        <v>-2.4868995751603507E-14</v>
      </c>
      <c r="L122">
        <f ca="1">MIN(L110:L121)</f>
        <v>-1.2948725266855113E-3</v>
      </c>
      <c r="M122">
        <f>MIN(M110:M121)</f>
        <v>-1.2948725458915755E-3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-1.0642423251377693</v>
      </c>
      <c r="F125" s="1" t="s">
        <v>27</v>
      </c>
      <c r="G125" s="1" t="s">
        <v>28</v>
      </c>
    </row>
    <row r="126" spans="1:16" x14ac:dyDescent="0.25">
      <c r="F126" s="4">
        <f>MIN(B84:B90)-1</f>
        <v>-9.4852813742385678</v>
      </c>
      <c r="G126" s="4">
        <f>B125</f>
        <v>-1.0642423251377693</v>
      </c>
    </row>
    <row r="127" spans="1:16" x14ac:dyDescent="0.25">
      <c r="F127" s="4">
        <f>MAX(B84:B90)+1</f>
        <v>9.4852813742385731</v>
      </c>
      <c r="G127" s="4">
        <f>G126</f>
        <v>-1.0642423251377693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-8.4852813742385678</v>
      </c>
      <c r="C132" s="4">
        <f>C84</f>
        <v>-4.242640687119291</v>
      </c>
      <c r="D132" s="4">
        <f t="shared" ref="D132:E139" si="47">B85</f>
        <v>-4.2426406871192786</v>
      </c>
      <c r="E132" s="4">
        <f t="shared" si="47"/>
        <v>-8.4852813742385731</v>
      </c>
      <c r="F132" s="4">
        <f t="shared" ref="F132:F139" si="48">($B$66/$B$65)*(C132-$B$125)</f>
        <v>-3.0016132393807125</v>
      </c>
      <c r="G132" s="4">
        <f t="shared" ref="G132:G139" si="49">($B$66/$B$65)*(E132-$B$125)</f>
        <v>-7.0082747732902737</v>
      </c>
      <c r="H132" s="4">
        <f>IF(B132=D132,"V",(C132-E132)/(B132-D132))</f>
        <v>-0.99999999999999833</v>
      </c>
      <c r="I132" s="4">
        <f>IF(H132="V",0,(-1*B132*H132)+C132)</f>
        <v>-12.727922061357845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-4.2426406871192786</v>
      </c>
      <c r="C133" s="4">
        <f t="shared" si="50"/>
        <v>-8.4852813742385731</v>
      </c>
      <c r="D133" s="4">
        <f t="shared" si="47"/>
        <v>0</v>
      </c>
      <c r="E133" s="4">
        <f t="shared" si="47"/>
        <v>-4.2426406871192857</v>
      </c>
      <c r="F133" s="4">
        <f t="shared" si="48"/>
        <v>-7.0082747732902737</v>
      </c>
      <c r="G133" s="4">
        <f t="shared" si="49"/>
        <v>-3.0016132393807076</v>
      </c>
      <c r="H133" s="4">
        <f t="shared" ref="H133:H139" si="51">IF(B133=D133,"V",(C133-E133)/(B133-D133))</f>
        <v>1.000000000000002</v>
      </c>
      <c r="I133" s="4">
        <f t="shared" ref="I133:I139" si="52">IF(H133="V",0,(-1*B133*H133)+C133)</f>
        <v>-4.2426406871192857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-4.2426406871192857</v>
      </c>
      <c r="D134" s="4">
        <f t="shared" si="47"/>
        <v>4.242640687119291</v>
      </c>
      <c r="E134" s="4">
        <f t="shared" si="47"/>
        <v>-8.4852813742385678</v>
      </c>
      <c r="F134" s="4">
        <f t="shared" si="48"/>
        <v>-3.0016132393807076</v>
      </c>
      <c r="G134" s="4">
        <f t="shared" si="49"/>
        <v>-7.0082747732902684</v>
      </c>
      <c r="H134" s="4">
        <f t="shared" si="51"/>
        <v>-0.99999999999999789</v>
      </c>
      <c r="I134" s="4">
        <f t="shared" si="52"/>
        <v>-4.2426406871192857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4.242640687119291</v>
      </c>
      <c r="C135" s="4">
        <f t="shared" si="50"/>
        <v>-8.4852813742385678</v>
      </c>
      <c r="D135" s="4">
        <f t="shared" si="47"/>
        <v>8.4852813742385731</v>
      </c>
      <c r="E135" s="4">
        <f t="shared" si="47"/>
        <v>-4.2426406871192786</v>
      </c>
      <c r="F135" s="4">
        <f t="shared" si="48"/>
        <v>-7.0082747732902684</v>
      </c>
      <c r="G135" s="4">
        <f t="shared" si="49"/>
        <v>-3.0016132393807009</v>
      </c>
      <c r="H135" s="4">
        <f t="shared" si="51"/>
        <v>1.0000000000000018</v>
      </c>
      <c r="I135" s="4">
        <f t="shared" si="52"/>
        <v>-12.727922061357866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8.4852813742385731</v>
      </c>
      <c r="C136" s="4">
        <f t="shared" si="50"/>
        <v>-4.2426406871192786</v>
      </c>
      <c r="D136" s="4">
        <f t="shared" si="47"/>
        <v>0</v>
      </c>
      <c r="E136" s="4">
        <f t="shared" si="47"/>
        <v>4.2426406871192857</v>
      </c>
      <c r="F136" s="4">
        <f t="shared" si="48"/>
        <v>-3.0016132393807009</v>
      </c>
      <c r="G136" s="4">
        <f t="shared" si="49"/>
        <v>5.0117098284384216</v>
      </c>
      <c r="H136" s="4">
        <f t="shared" si="51"/>
        <v>-0.999999999999999</v>
      </c>
      <c r="I136" s="4">
        <f t="shared" si="52"/>
        <v>4.2426406871192857</v>
      </c>
      <c r="J136" s="4">
        <f t="shared" si="53"/>
        <v>5.3068830122570603</v>
      </c>
      <c r="K136" s="4">
        <f t="shared" si="54"/>
        <v>-1.0642423251377693</v>
      </c>
      <c r="L136" s="4">
        <f t="shared" si="55"/>
        <v>0</v>
      </c>
      <c r="M136" s="4">
        <f t="shared" si="56"/>
        <v>4.2426406871192857</v>
      </c>
      <c r="N136" s="4">
        <f t="shared" si="57"/>
        <v>0</v>
      </c>
      <c r="O136" s="4">
        <f t="shared" si="57"/>
        <v>5.0117098284384216</v>
      </c>
      <c r="P136" s="4">
        <f t="shared" si="58"/>
        <v>23.524136752128907</v>
      </c>
      <c r="Q136" s="4">
        <f t="shared" si="59"/>
        <v>37.384538859997853</v>
      </c>
      <c r="R136" s="4">
        <f t="shared" si="60"/>
        <v>-31.209960426971215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4.2426406871192857</v>
      </c>
      <c r="D137" s="4">
        <f t="shared" si="47"/>
        <v>-8.4852813742385678</v>
      </c>
      <c r="E137" s="4">
        <f t="shared" si="47"/>
        <v>-4.242640687119291</v>
      </c>
      <c r="F137" s="4">
        <f t="shared" si="48"/>
        <v>5.0117098284384216</v>
      </c>
      <c r="G137" s="4">
        <f t="shared" si="49"/>
        <v>-3.0016132393807125</v>
      </c>
      <c r="H137" s="4">
        <f t="shared" si="51"/>
        <v>1.0000000000000011</v>
      </c>
      <c r="I137" s="4">
        <f t="shared" si="52"/>
        <v>4.2426406871192857</v>
      </c>
      <c r="J137" s="4">
        <f t="shared" si="53"/>
        <v>0</v>
      </c>
      <c r="K137" s="4">
        <f t="shared" si="54"/>
        <v>4.2426406871192857</v>
      </c>
      <c r="L137" s="4">
        <f t="shared" si="55"/>
        <v>-5.3068830122570487</v>
      </c>
      <c r="M137" s="4">
        <f t="shared" si="56"/>
        <v>-1.0642423251377693</v>
      </c>
      <c r="N137" s="4">
        <f t="shared" si="57"/>
        <v>5.0117098284384216</v>
      </c>
      <c r="O137" s="4">
        <f t="shared" si="57"/>
        <v>0</v>
      </c>
      <c r="P137" s="4">
        <f t="shared" si="58"/>
        <v>23.524136752128854</v>
      </c>
      <c r="Q137" s="4">
        <f t="shared" si="59"/>
        <v>37.384538859997768</v>
      </c>
      <c r="R137" s="4">
        <f t="shared" si="60"/>
        <v>31.209960426971076</v>
      </c>
    </row>
    <row r="138" spans="1:18" x14ac:dyDescent="0.25">
      <c r="A138" t="s">
        <v>75</v>
      </c>
      <c r="B138" s="4">
        <f t="shared" si="50"/>
        <v>-8.4852813742385678</v>
      </c>
      <c r="C138" s="4">
        <f t="shared" si="50"/>
        <v>-4.242640687119291</v>
      </c>
      <c r="D138" s="4">
        <f t="shared" si="47"/>
        <v>-8.4852813742385678</v>
      </c>
      <c r="E138" s="4">
        <f t="shared" si="47"/>
        <v>-4.242640687119291</v>
      </c>
      <c r="F138" s="4">
        <f t="shared" si="48"/>
        <v>-3.0016132393807125</v>
      </c>
      <c r="G138" s="4">
        <f t="shared" si="49"/>
        <v>-3.0016132393807125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-8.4852813742385678</v>
      </c>
      <c r="C139" s="4">
        <f>E138</f>
        <v>-4.242640687119291</v>
      </c>
      <c r="D139" s="4">
        <f t="shared" si="47"/>
        <v>-8.4852813742385678</v>
      </c>
      <c r="E139" s="4">
        <f t="shared" si="47"/>
        <v>-4.242640687119291</v>
      </c>
      <c r="F139" s="4">
        <f t="shared" si="48"/>
        <v>-3.0016132393807125</v>
      </c>
      <c r="G139" s="4">
        <f t="shared" si="49"/>
        <v>-3.0016132393807125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47.048273504257764</v>
      </c>
      <c r="Q140" s="4">
        <f>SUM(Q132:Q139)</f>
        <v>74.769077719995622</v>
      </c>
      <c r="R140" s="4">
        <f>SUM(R132:R139)</f>
        <v>-1.3855583347321954E-13</v>
      </c>
    </row>
    <row r="142" spans="1:18" x14ac:dyDescent="0.25">
      <c r="O142" t="s">
        <v>96</v>
      </c>
      <c r="P142" s="1">
        <f>-1*R140/P140</f>
        <v>2.9449716887205338E-15</v>
      </c>
    </row>
    <row r="143" spans="1:18" x14ac:dyDescent="0.25">
      <c r="O143" t="s">
        <v>97</v>
      </c>
      <c r="P143" s="1">
        <f>Q140/P140</f>
        <v>1.589199180990758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-8.4852813742385678</v>
      </c>
      <c r="C146" s="9">
        <f>J84</f>
        <v>-4.242640687119291</v>
      </c>
      <c r="D146" s="9">
        <f t="shared" ref="D146:E153" si="61">I85</f>
        <v>-8.4852813742385678</v>
      </c>
      <c r="E146">
        <f t="shared" si="61"/>
        <v>-4.242640687119291</v>
      </c>
      <c r="F146" s="4">
        <f>($B$66/$B$65)*(C146-$B$125)</f>
        <v>-3.0016132393807125</v>
      </c>
      <c r="G146" s="4">
        <f>($B$66/$B$65)*(E146-$B$125)</f>
        <v>-3.0016132393807125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-8.4852813742385678</v>
      </c>
      <c r="C147">
        <f t="shared" si="62"/>
        <v>-4.242640687119291</v>
      </c>
      <c r="D147" s="9">
        <f t="shared" si="61"/>
        <v>-8.4852813742385678</v>
      </c>
      <c r="E147">
        <f t="shared" si="61"/>
        <v>-4.242640687119291</v>
      </c>
      <c r="F147" s="4">
        <f t="shared" ref="F147:F153" si="63">($B$66/$B$65)*(C147-$B$125)</f>
        <v>-3.0016132393807125</v>
      </c>
      <c r="G147" s="4">
        <f t="shared" ref="G147:G153" si="64">($B$66/$B$65)*(E147-$B$125)</f>
        <v>-3.0016132393807125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-8.4852813742385678</v>
      </c>
      <c r="C148">
        <f t="shared" si="62"/>
        <v>-4.242640687119291</v>
      </c>
      <c r="D148" s="9">
        <f t="shared" si="61"/>
        <v>-8.4852813742385678</v>
      </c>
      <c r="E148">
        <f t="shared" si="61"/>
        <v>-4.242640687119291</v>
      </c>
      <c r="F148" s="4">
        <f t="shared" si="63"/>
        <v>-3.0016132393807125</v>
      </c>
      <c r="G148" s="4">
        <f t="shared" si="64"/>
        <v>-3.0016132393807125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-8.4852813742385678</v>
      </c>
      <c r="C149">
        <f t="shared" si="62"/>
        <v>-4.242640687119291</v>
      </c>
      <c r="D149" s="9">
        <f t="shared" si="61"/>
        <v>-8.4852813742385678</v>
      </c>
      <c r="E149">
        <f t="shared" si="61"/>
        <v>-4.242640687119291</v>
      </c>
      <c r="F149" s="4">
        <f t="shared" si="63"/>
        <v>-3.0016132393807125</v>
      </c>
      <c r="G149" s="4">
        <f t="shared" si="64"/>
        <v>-3.0016132393807125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-8.4852813742385678</v>
      </c>
      <c r="C150">
        <f t="shared" si="62"/>
        <v>-4.242640687119291</v>
      </c>
      <c r="D150" s="9">
        <f t="shared" si="61"/>
        <v>-8.4852813742385678</v>
      </c>
      <c r="E150">
        <f t="shared" si="61"/>
        <v>-4.242640687119291</v>
      </c>
      <c r="F150" s="4">
        <f t="shared" si="63"/>
        <v>-3.0016132393807125</v>
      </c>
      <c r="G150" s="4">
        <f t="shared" si="64"/>
        <v>-3.0016132393807125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-8.4852813742385678</v>
      </c>
      <c r="C151">
        <f t="shared" si="62"/>
        <v>-4.242640687119291</v>
      </c>
      <c r="D151" s="9">
        <f t="shared" si="61"/>
        <v>-8.4852813742385678</v>
      </c>
      <c r="E151">
        <f t="shared" si="61"/>
        <v>-4.242640687119291</v>
      </c>
      <c r="F151" s="4">
        <f t="shared" si="63"/>
        <v>-3.0016132393807125</v>
      </c>
      <c r="G151" s="4">
        <f t="shared" si="64"/>
        <v>-3.0016132393807125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-8.4852813742385678</v>
      </c>
      <c r="C152">
        <f t="shared" si="62"/>
        <v>-4.242640687119291</v>
      </c>
      <c r="D152" s="9">
        <f t="shared" si="61"/>
        <v>-8.4852813742385678</v>
      </c>
      <c r="E152">
        <f t="shared" si="61"/>
        <v>-4.242640687119291</v>
      </c>
      <c r="F152" s="4">
        <f t="shared" si="63"/>
        <v>-3.0016132393807125</v>
      </c>
      <c r="G152" s="4">
        <f t="shared" si="64"/>
        <v>-3.0016132393807125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-8.4852813742385678</v>
      </c>
      <c r="C153">
        <f t="shared" si="62"/>
        <v>-4.242640687119291</v>
      </c>
      <c r="D153" s="9">
        <f t="shared" si="61"/>
        <v>-8.4852813742385678</v>
      </c>
      <c r="E153">
        <f t="shared" si="61"/>
        <v>-4.242640687119291</v>
      </c>
      <c r="F153" s="4">
        <f t="shared" si="63"/>
        <v>-3.0016132393807125</v>
      </c>
      <c r="G153" s="4">
        <f t="shared" si="64"/>
        <v>-3.0016132393807125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30.000000252866769</v>
      </c>
      <c r="C159" t="s">
        <v>36</v>
      </c>
    </row>
    <row r="160" spans="1:18" x14ac:dyDescent="0.25">
      <c r="A160" s="1" t="s">
        <v>106</v>
      </c>
      <c r="B160" s="4">
        <f>Q140+I122+Q154-O122</f>
        <v>169.70562607663481</v>
      </c>
      <c r="C160" t="s">
        <v>102</v>
      </c>
    </row>
    <row r="161" spans="1:9" x14ac:dyDescent="0.25">
      <c r="A161" s="1" t="s">
        <v>107</v>
      </c>
      <c r="B161" s="4">
        <f>R140+J122+R154-P122</f>
        <v>-1.6342482922482304E-13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30.000000252866769</v>
      </c>
      <c r="C164" t="s">
        <v>36</v>
      </c>
      <c r="E164" s="8">
        <f>B2-B164</f>
        <v>-2.5286676930136309E-7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119.99999900429727</v>
      </c>
      <c r="C165" t="s">
        <v>102</v>
      </c>
      <c r="E165" s="8">
        <f>B3+B165</f>
        <v>-9.9570273448534863E-7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119.99999900429687</v>
      </c>
      <c r="C166" t="s">
        <v>102</v>
      </c>
      <c r="E166" s="8">
        <f>B4+B166</f>
        <v>-9.9570313238928065E-7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5.0117098284384216</v>
      </c>
      <c r="B169" s="1">
        <f ca="1">IF(E122=0,0,(MIN(H110:H121)*B65)/(B55*B56*E122))</f>
        <v>-5.0117097541027498</v>
      </c>
      <c r="C169" s="3">
        <f ca="1">A169+B169</f>
        <v>7.4335671840231043E-8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-8.154536139618217E-8</v>
      </c>
      <c r="C175" s="27">
        <f>B65*SQRT(I175)</f>
        <v>7.8713795533388886E-8</v>
      </c>
      <c r="D175" s="27">
        <f>B66*SQRT(I175)</f>
        <v>7.433566969485497E-8</v>
      </c>
      <c r="E175" s="27">
        <f>B67*SQRT(I175)</f>
        <v>7.9034216514803511E-8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-5.4977872253275004</v>
      </c>
      <c r="C176" s="3">
        <f>B65+C175</f>
        <v>5.3068830909708504</v>
      </c>
      <c r="D176" s="3">
        <f>D175+B66</f>
        <v>5.0117099027740917</v>
      </c>
      <c r="E176" s="3">
        <f>B67+E175</f>
        <v>5.3284858694512787</v>
      </c>
      <c r="F176" s="16" t="s">
        <v>125</v>
      </c>
    </row>
    <row r="177" spans="1:13" x14ac:dyDescent="0.25">
      <c r="B177" s="27">
        <f>B176-B64</f>
        <v>-8.1545361574342223E-8</v>
      </c>
      <c r="C177" s="27">
        <f>C176-B65</f>
        <v>7.8713795481633042E-8</v>
      </c>
      <c r="D177" s="27">
        <f>D176-B66</f>
        <v>7.4335670063874204E-8</v>
      </c>
      <c r="E177" s="27">
        <f>E176-B67</f>
        <v>7.9034216504680899E-8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-9.3876691383058706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-8.4852813711597239</v>
      </c>
      <c r="B181" s="25">
        <f>(d_alpha_p!E136-d_alpha_m!E136)/(2*B177)</f>
        <v>0</v>
      </c>
      <c r="C181" s="25">
        <f>(d_alpha_p!E137-d_alpha_m!E137)/(2*B177)</f>
        <v>8.4852813711597239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2.5286676930136309E-7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9.9570273448534863E-7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9.9570313238928065E-7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-7.4335671840231043E-8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-9.3876691383058706</v>
      </c>
      <c r="B190" s="25">
        <f>A181</f>
        <v>-8.4852813711597239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8.4852813711597239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-9.3876691383058706</v>
      </c>
      <c r="B201" s="25">
        <f t="shared" ref="B201:C201" si="77">B190</f>
        <v>-8.4852813711597239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8.4852813711597239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2020-11-01T23:45:34Z</dcterms:modified>
</cp:coreProperties>
</file>