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"/>
    </mc:Choice>
  </mc:AlternateContent>
  <xr:revisionPtr revIDLastSave="0" documentId="13_ncr:1_{C73FE540-DD44-418F-8DFF-DD9844226AB1}" xr6:coauthVersionLast="45" xr6:coauthVersionMax="45" xr10:uidLastSave="{00000000-0000-0000-0000-000000000000}"/>
  <bookViews>
    <workbookView xWindow="5400" yWindow="2475" windowWidth="21600" windowHeight="11400" activeTab="3" xr2:uid="{6AEE646E-04EC-4C95-872D-5F2912EB63C3}"/>
  </bookViews>
  <sheets>
    <sheet name="User_Inputs" sheetId="12" r:id="rId1"/>
    <sheet name="shapes" sheetId="13" r:id="rId2"/>
    <sheet name="Results_Chart" sheetId="11" r:id="rId3"/>
    <sheet name="Rigid Bearing Plate Analysis" sheetId="1" r:id="rId4"/>
    <sheet name="d_sigma_p" sheetId="2" r:id="rId5"/>
    <sheet name="d_sigma_m" sheetId="6" r:id="rId6"/>
    <sheet name="d_alpha_p" sheetId="3" r:id="rId7"/>
    <sheet name="d_alpha_m" sheetId="7" r:id="rId8"/>
    <sheet name="d_Y_p" sheetId="4" r:id="rId9"/>
    <sheet name="d_Y_m" sheetId="8" r:id="rId10"/>
    <sheet name="d_T_p" sheetId="5" r:id="rId11"/>
    <sheet name="d_T_m" sheetId="9" r:id="rId12"/>
  </sheets>
  <definedNames>
    <definedName name="solver_adj" localSheetId="3" hidden="1">'Rigid Bearing Plate Analysis'!$B$64:$B$67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'Rigid Bearing Plate Analysis'!$B$64</definedName>
    <definedName name="solver_lhs2" localSheetId="3" hidden="1">'Rigid Bearing Plate Analysis'!$B$65</definedName>
    <definedName name="solver_lhs3" localSheetId="3" hidden="1">'Rigid Bearing Plate Analysis'!$B$66</definedName>
    <definedName name="solver_lhs4" localSheetId="3" hidden="1">'Rigid Bearing Plate Analysis'!$B$67</definedName>
    <definedName name="solver_lhs5" localSheetId="3" hidden="1">'Rigid Bearing Plate Analysis'!$B$67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'Rigid Bearing Plate Analysis'!$L$57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0</definedName>
    <definedName name="solver_rhs5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8" i="1" l="1"/>
  <c r="B37" i="1"/>
  <c r="C9" i="1"/>
  <c r="B9" i="1"/>
  <c r="Y41" i="1" l="1"/>
  <c r="Y40" i="1"/>
  <c r="Z45" i="1" s="1"/>
  <c r="W36" i="1"/>
  <c r="W39" i="1" s="1"/>
  <c r="W5" i="1"/>
  <c r="W4" i="1"/>
  <c r="Z41" i="1" l="1"/>
  <c r="Z42" i="1" s="1"/>
  <c r="W38" i="1"/>
  <c r="W37" i="1"/>
  <c r="C63" i="1"/>
  <c r="I17" i="13"/>
  <c r="J16" i="13"/>
  <c r="I16" i="13"/>
  <c r="J15" i="13"/>
  <c r="I15" i="13"/>
  <c r="B17" i="13"/>
  <c r="C17" i="13"/>
  <c r="C16" i="13"/>
  <c r="B16" i="13"/>
  <c r="B15" i="13"/>
  <c r="J22" i="13"/>
  <c r="I22" i="13"/>
  <c r="T37" i="1"/>
  <c r="W42" i="1" l="1"/>
  <c r="W41" i="1"/>
  <c r="Z46" i="1"/>
  <c r="W43" i="1"/>
  <c r="W40" i="1"/>
  <c r="G4" i="1"/>
  <c r="G3" i="1"/>
  <c r="Q25" i="1" l="1"/>
  <c r="Q27" i="1"/>
  <c r="AI36" i="1" l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D4" i="1" l="1"/>
  <c r="D3" i="1"/>
  <c r="B58" i="7" l="1"/>
  <c r="B55" i="7"/>
  <c r="B52" i="7"/>
  <c r="B51" i="7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D105" i="7" s="1"/>
  <c r="D120" i="7" s="1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D27" i="7" s="1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R39" i="8" s="1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D95" i="3" s="1"/>
  <c r="D110" i="3" s="1"/>
  <c r="C38" i="3"/>
  <c r="D38" i="3"/>
  <c r="D96" i="3" s="1"/>
  <c r="D111" i="3" s="1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A96" i="3"/>
  <c r="A111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C101" i="7" l="1"/>
  <c r="D28" i="9"/>
  <c r="Q42" i="7"/>
  <c r="I14" i="9"/>
  <c r="D28" i="7"/>
  <c r="B53" i="7"/>
  <c r="B56" i="7" s="1"/>
  <c r="G14" i="4"/>
  <c r="J14" i="4" s="1"/>
  <c r="Q39" i="5"/>
  <c r="Q39" i="8"/>
  <c r="R48" i="3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E23" i="1" s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80" i="4" s="1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G21" i="1"/>
  <c r="F175" i="1"/>
  <c r="J15" i="2" l="1"/>
  <c r="J15" i="4"/>
  <c r="D16" i="4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 l="1"/>
  <c r="J20" i="8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E19" i="3"/>
  <c r="F18" i="3"/>
  <c r="G19" i="3"/>
  <c r="F19" i="5"/>
  <c r="D18" i="2"/>
  <c r="J17" i="7"/>
  <c r="J21" i="4"/>
  <c r="J17" i="5"/>
  <c r="E19" i="5"/>
  <c r="I18" i="9"/>
  <c r="G18" i="5"/>
  <c r="D19" i="7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G19" i="9"/>
  <c r="G18" i="2"/>
  <c r="D19" i="2"/>
  <c r="F19" i="2"/>
  <c r="C78" i="2"/>
  <c r="I19" i="2"/>
  <c r="T37" i="2"/>
  <c r="U37" i="2" s="1"/>
  <c r="F19" i="7"/>
  <c r="F18" i="9"/>
  <c r="C78" i="9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I19" i="3"/>
  <c r="F19" i="3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E19" i="9"/>
  <c r="F19" i="9"/>
  <c r="I19" i="9"/>
  <c r="G18" i="9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J21" i="6"/>
  <c r="G22" i="9" l="1"/>
  <c r="K13" i="9" s="1"/>
  <c r="H22" i="3"/>
  <c r="D22" i="8"/>
  <c r="O13" i="8" s="1"/>
  <c r="W13" i="8" s="1"/>
  <c r="J19" i="3"/>
  <c r="G22" i="3"/>
  <c r="J19" i="5"/>
  <c r="D22" i="2"/>
  <c r="O13" i="2" s="1"/>
  <c r="W13" i="2" s="1"/>
  <c r="I22" i="8"/>
  <c r="D22" i="3"/>
  <c r="I2" i="3" s="1"/>
  <c r="J19" i="8"/>
  <c r="J22" i="8" s="1"/>
  <c r="G22" i="8"/>
  <c r="G22" i="5"/>
  <c r="I22" i="5"/>
  <c r="G22" i="2"/>
  <c r="I22" i="2"/>
  <c r="I22" i="9"/>
  <c r="P13" i="9" s="1"/>
  <c r="H22" i="7"/>
  <c r="I22" i="3"/>
  <c r="D22" i="7"/>
  <c r="I2" i="7" s="1"/>
  <c r="H22" i="4"/>
  <c r="J19" i="4"/>
  <c r="J18" i="4"/>
  <c r="J18" i="9"/>
  <c r="J19" i="7"/>
  <c r="E22" i="9"/>
  <c r="D22" i="5"/>
  <c r="I2" i="5" s="1"/>
  <c r="D22" i="4"/>
  <c r="E22" i="4" s="1"/>
  <c r="Q19" i="4" s="1"/>
  <c r="D22" i="6"/>
  <c r="E22" i="6" s="1"/>
  <c r="Q19" i="6" s="1"/>
  <c r="G22" i="4"/>
  <c r="J18" i="3"/>
  <c r="J18" i="2"/>
  <c r="J22" i="2" s="1"/>
  <c r="H22" i="9"/>
  <c r="L13" i="9" s="1"/>
  <c r="F22" i="9"/>
  <c r="R19" i="9" s="1"/>
  <c r="I2" i="9"/>
  <c r="F22" i="8"/>
  <c r="I22" i="7"/>
  <c r="J18" i="6"/>
  <c r="J22" i="6" s="1"/>
  <c r="G22" i="6"/>
  <c r="J19" i="9"/>
  <c r="I22" i="6"/>
  <c r="H22" i="5"/>
  <c r="J18" i="5"/>
  <c r="J18" i="7"/>
  <c r="G22" i="7"/>
  <c r="N13" i="9" l="1"/>
  <c r="V13" i="9" s="1"/>
  <c r="J22" i="3"/>
  <c r="M13" i="3" s="1"/>
  <c r="E22" i="8"/>
  <c r="K15" i="8" s="1"/>
  <c r="M13" i="8"/>
  <c r="J22" i="5"/>
  <c r="M13" i="5" s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N13" i="2"/>
  <c r="Y14" i="2" s="1"/>
  <c r="AA14" i="2" s="1"/>
  <c r="N13" i="3"/>
  <c r="Y15" i="3" s="1"/>
  <c r="AA15" i="3" s="1"/>
  <c r="E22" i="3"/>
  <c r="Q19" i="3" s="1"/>
  <c r="O13" i="3"/>
  <c r="Z21" i="3" s="1"/>
  <c r="AB21" i="3" s="1"/>
  <c r="K13" i="8"/>
  <c r="K13" i="2"/>
  <c r="P13" i="3"/>
  <c r="L13" i="3"/>
  <c r="J22" i="7"/>
  <c r="M13" i="7" s="1"/>
  <c r="Z15" i="2"/>
  <c r="AB15" i="2" s="1"/>
  <c r="X13" i="2"/>
  <c r="I4" i="2" s="1" a="1"/>
  <c r="I4" i="2" s="1"/>
  <c r="S13" i="2"/>
  <c r="F22" i="6"/>
  <c r="K15" i="6" s="1"/>
  <c r="K13" i="5"/>
  <c r="L13" i="6"/>
  <c r="P13" i="6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E22" i="7"/>
  <c r="I2" i="4"/>
  <c r="J22" i="4"/>
  <c r="M13" i="4" s="1"/>
  <c r="P13" i="4"/>
  <c r="L13" i="4"/>
  <c r="R19" i="8"/>
  <c r="J22" i="9"/>
  <c r="M13" i="9" s="1"/>
  <c r="M13" i="6"/>
  <c r="K21" i="9"/>
  <c r="K18" i="9"/>
  <c r="E22" i="5"/>
  <c r="Q19" i="5" s="1"/>
  <c r="S13" i="8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F22" i="4"/>
  <c r="Q19" i="8"/>
  <c r="K13" i="4"/>
  <c r="N13" i="4"/>
  <c r="N13" i="6"/>
  <c r="K13" i="6"/>
  <c r="O13" i="5"/>
  <c r="L13" i="5"/>
  <c r="K13" i="7"/>
  <c r="N13" i="7"/>
  <c r="U13" i="9"/>
  <c r="Y19" i="9"/>
  <c r="AA19" i="9" s="1"/>
  <c r="Y20" i="9"/>
  <c r="AA20" i="9" s="1"/>
  <c r="Y17" i="9"/>
  <c r="AA17" i="9" s="1"/>
  <c r="Y16" i="9"/>
  <c r="AA16" i="9" s="1"/>
  <c r="Y14" i="9"/>
  <c r="AA14" i="9" s="1"/>
  <c r="Y18" i="9" l="1"/>
  <c r="AA18" i="9" s="1"/>
  <c r="Y15" i="9"/>
  <c r="AA15" i="9" s="1"/>
  <c r="R13" i="9"/>
  <c r="K14" i="8"/>
  <c r="O17" i="8" s="1"/>
  <c r="K19" i="8"/>
  <c r="K17" i="8"/>
  <c r="K21" i="8"/>
  <c r="K20" i="8"/>
  <c r="K16" i="8"/>
  <c r="K18" i="8"/>
  <c r="Y15" i="8"/>
  <c r="AA15" i="8" s="1"/>
  <c r="AC15" i="8" s="1"/>
  <c r="K17" i="2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AC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Q13" i="9"/>
  <c r="T13" i="9" s="1"/>
  <c r="Z14" i="9"/>
  <c r="AB14" i="9" s="1"/>
  <c r="AC14" i="9" s="1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Z18" i="9"/>
  <c r="AB18" i="9" s="1"/>
  <c r="AC18" i="9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K17" i="5"/>
  <c r="K19" i="5"/>
  <c r="K14" i="5"/>
  <c r="O17" i="5" s="1"/>
  <c r="O19" i="5" s="1"/>
  <c r="AC15" i="9"/>
  <c r="K16" i="5"/>
  <c r="K15" i="5"/>
  <c r="K21" i="5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Z16" i="9"/>
  <c r="AB16" i="9" s="1"/>
  <c r="AC16" i="9" s="1"/>
  <c r="W13" i="9"/>
  <c r="Z20" i="9"/>
  <c r="AB20" i="9" s="1"/>
  <c r="AC20" i="9" s="1"/>
  <c r="K14" i="4"/>
  <c r="O17" i="4" s="1"/>
  <c r="K18" i="4"/>
  <c r="K15" i="4"/>
  <c r="K21" i="4"/>
  <c r="K19" i="4"/>
  <c r="K17" i="4"/>
  <c r="R19" i="4"/>
  <c r="K16" i="4"/>
  <c r="K20" i="4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6" i="3" l="1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I3" i="4" a="1"/>
  <c r="I3" i="4" s="1"/>
  <c r="I3" i="7" a="1"/>
  <c r="I3" i="7" s="1"/>
  <c r="I3" i="6" a="1"/>
  <c r="I3" i="6" s="1"/>
  <c r="J20" i="1"/>
  <c r="J19" i="1"/>
  <c r="G22" i="1"/>
  <c r="I22" i="1"/>
  <c r="H22" i="1"/>
  <c r="D22" i="1"/>
  <c r="W34" i="1" s="1"/>
  <c r="J15" i="1"/>
  <c r="J14" i="1"/>
  <c r="J18" i="1"/>
  <c r="J17" i="1"/>
  <c r="J16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AH14" i="1" s="1"/>
  <c r="E11" i="1"/>
  <c r="I5" i="3"/>
  <c r="I3" i="1"/>
  <c r="L3" i="1" s="1"/>
  <c r="N3" i="1" s="1"/>
  <c r="I5" i="5"/>
  <c r="I5" i="6"/>
  <c r="I5" i="7"/>
  <c r="I5" i="4"/>
  <c r="F22" i="1"/>
  <c r="N13" i="1" s="1"/>
  <c r="J22" i="1"/>
  <c r="M13" i="1" s="1"/>
  <c r="I2" i="1"/>
  <c r="L13" i="1"/>
  <c r="K13" i="1"/>
  <c r="AH20" i="1" l="1"/>
  <c r="AH21" i="1"/>
  <c r="AH16" i="1"/>
  <c r="AH17" i="1"/>
  <c r="AH19" i="1"/>
  <c r="AH18" i="1"/>
  <c r="AH15" i="1"/>
  <c r="O13" i="1"/>
  <c r="Z19" i="1" s="1"/>
  <c r="AB19" i="1" s="1"/>
  <c r="Q19" i="1"/>
  <c r="Y14" i="1"/>
  <c r="AA14" i="1" s="1"/>
  <c r="Y16" i="1"/>
  <c r="AA16" i="1" s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AA15" i="1" s="1"/>
  <c r="K21" i="1"/>
  <c r="AD19" i="1"/>
  <c r="AD20" i="1"/>
  <c r="I4" i="1"/>
  <c r="L4" i="1" s="1"/>
  <c r="N4" i="1" s="1"/>
  <c r="N5" i="1" s="1"/>
  <c r="AD18" i="1"/>
  <c r="AD21" i="1"/>
  <c r="AD15" i="1"/>
  <c r="AD14" i="1"/>
  <c r="AD16" i="1"/>
  <c r="AD17" i="1"/>
  <c r="P13" i="1"/>
  <c r="K20" i="1"/>
  <c r="R19" i="1"/>
  <c r="K16" i="1"/>
  <c r="K19" i="1"/>
  <c r="K15" i="1"/>
  <c r="K14" i="1"/>
  <c r="O17" i="1" s="1"/>
  <c r="N19" i="1" s="1"/>
  <c r="K17" i="1"/>
  <c r="K18" i="1"/>
  <c r="R13" i="1"/>
  <c r="Z18" i="1" l="1"/>
  <c r="AB18" i="1" s="1"/>
  <c r="Z17" i="1"/>
  <c r="AB17" i="1" s="1"/>
  <c r="AM17" i="1" s="1"/>
  <c r="W13" i="1"/>
  <c r="Z15" i="1"/>
  <c r="AB15" i="1" s="1"/>
  <c r="AM15" i="1" s="1"/>
  <c r="S13" i="1"/>
  <c r="Z21" i="1"/>
  <c r="AB21" i="1" s="1"/>
  <c r="AM21" i="1" s="1"/>
  <c r="Z14" i="1"/>
  <c r="AB14" i="1" s="1"/>
  <c r="AM14" i="1" s="1"/>
  <c r="Z16" i="1"/>
  <c r="AB16" i="1" s="1"/>
  <c r="AM16" i="1" s="1"/>
  <c r="AI14" i="1"/>
  <c r="Q13" i="1"/>
  <c r="T13" i="1" s="1"/>
  <c r="X13" i="1"/>
  <c r="Z20" i="1"/>
  <c r="AB20" i="1" s="1"/>
  <c r="AM20" i="1" s="1"/>
  <c r="AI21" i="1"/>
  <c r="AI20" i="1"/>
  <c r="AM18" i="1"/>
  <c r="AM19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I17" i="1"/>
  <c r="AE17" i="1"/>
  <c r="AF17" i="1"/>
  <c r="AE19" i="1"/>
  <c r="AF19" i="1"/>
  <c r="O19" i="1"/>
  <c r="AK14" i="1" l="1"/>
  <c r="AK21" i="1"/>
  <c r="AK20" i="1"/>
  <c r="AG21" i="1"/>
  <c r="AK18" i="1"/>
  <c r="AK15" i="1"/>
  <c r="AK19" i="1"/>
  <c r="AK17" i="1"/>
  <c r="AG20" i="1"/>
  <c r="AK16" i="1"/>
  <c r="AG15" i="1"/>
  <c r="AG14" i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W44" i="1" s="1"/>
  <c r="U37" i="1"/>
  <c r="AC14" i="1" l="1"/>
  <c r="AN14" i="1" s="1"/>
  <c r="AA37" i="1"/>
  <c r="AB40" i="1"/>
  <c r="AA43" i="1"/>
  <c r="AB39" i="1"/>
  <c r="AA41" i="1"/>
  <c r="AA42" i="1"/>
  <c r="AB41" i="1"/>
  <c r="AA39" i="1"/>
  <c r="AB42" i="1"/>
  <c r="AB43" i="1"/>
  <c r="AA40" i="1"/>
  <c r="AC21" i="1"/>
  <c r="AN21" i="1" s="1"/>
  <c r="AC20" i="1"/>
  <c r="AN20" i="1" s="1"/>
  <c r="AC18" i="1"/>
  <c r="AN18" i="1" s="1"/>
  <c r="AC19" i="1"/>
  <c r="AN19" i="1" s="1"/>
  <c r="AC15" i="1"/>
  <c r="AN15" i="1" s="1"/>
  <c r="AC17" i="1"/>
  <c r="AN17" i="1" s="1"/>
  <c r="AC16" i="1"/>
  <c r="AN16" i="1" s="1"/>
  <c r="B56" i="1"/>
  <c r="AE41" i="1" l="1"/>
  <c r="AC40" i="1"/>
  <c r="AE42" i="1"/>
  <c r="AD41" i="1"/>
  <c r="AC42" i="1"/>
  <c r="AD42" i="1"/>
  <c r="AC43" i="1"/>
  <c r="AD43" i="1"/>
  <c r="AC41" i="1"/>
  <c r="AD40" i="1"/>
  <c r="AE43" i="1"/>
  <c r="AE40" i="1"/>
  <c r="J66" i="1"/>
  <c r="N66" i="1" s="1"/>
  <c r="AC27" i="1"/>
  <c r="AD27" i="1" s="1"/>
  <c r="AC26" i="1"/>
  <c r="AD26" i="1" s="1"/>
  <c r="AC23" i="1"/>
  <c r="AC24" i="1"/>
  <c r="AC22" i="1"/>
  <c r="Q66" i="1"/>
  <c r="AC44" i="1" l="1"/>
  <c r="AC45" i="1" s="1"/>
  <c r="P66" i="1"/>
  <c r="E119" i="1"/>
  <c r="E118" i="1"/>
  <c r="E120" i="1"/>
  <c r="E121" i="1"/>
  <c r="AE26" i="1"/>
  <c r="AE27" i="1"/>
  <c r="AD44" i="1" l="1"/>
  <c r="AE44" i="1"/>
  <c r="L218" i="1"/>
  <c r="D61" i="1"/>
  <c r="A169" i="1"/>
  <c r="D66" i="1"/>
  <c r="B66" i="3"/>
  <c r="B66" i="5"/>
  <c r="B66" i="7"/>
  <c r="B66" i="9"/>
  <c r="B66" i="4"/>
  <c r="B66" i="8"/>
  <c r="D175" i="1"/>
  <c r="D176" i="1" s="1"/>
  <c r="D177" i="1" s="1"/>
  <c r="D178" i="1" s="1"/>
  <c r="AF26" i="1"/>
  <c r="AF27" i="1"/>
  <c r="AG29" i="1"/>
  <c r="B66" i="2" l="1"/>
  <c r="D66" i="2" s="1"/>
  <c r="D66" i="7"/>
  <c r="A169" i="7"/>
  <c r="D175" i="7"/>
  <c r="D176" i="7" s="1"/>
  <c r="D177" i="7" s="1"/>
  <c r="D66" i="9"/>
  <c r="D175" i="9"/>
  <c r="D176" i="9" s="1"/>
  <c r="D177" i="9" s="1"/>
  <c r="A169" i="9"/>
  <c r="D175" i="5"/>
  <c r="D176" i="5" s="1"/>
  <c r="D177" i="5" s="1"/>
  <c r="A169" i="5"/>
  <c r="D66" i="5"/>
  <c r="D175" i="3"/>
  <c r="D176" i="3" s="1"/>
  <c r="D177" i="3" s="1"/>
  <c r="D66" i="3"/>
  <c r="A169" i="3"/>
  <c r="B66" i="6"/>
  <c r="D175" i="8"/>
  <c r="D176" i="8" s="1"/>
  <c r="D177" i="8" s="1"/>
  <c r="D66" i="8"/>
  <c r="A169" i="8"/>
  <c r="D175" i="4"/>
  <c r="D176" i="4" s="1"/>
  <c r="D177" i="4" s="1"/>
  <c r="A169" i="4"/>
  <c r="D66" i="4"/>
  <c r="E120" i="3"/>
  <c r="E118" i="3"/>
  <c r="E121" i="3"/>
  <c r="E119" i="3"/>
  <c r="E119" i="7"/>
  <c r="E118" i="7"/>
  <c r="E120" i="7"/>
  <c r="E121" i="7"/>
  <c r="E119" i="9"/>
  <c r="E121" i="9"/>
  <c r="E120" i="9"/>
  <c r="E118" i="9"/>
  <c r="E120" i="6"/>
  <c r="E121" i="6"/>
  <c r="E118" i="6"/>
  <c r="E119" i="6"/>
  <c r="E120" i="2"/>
  <c r="E121" i="2"/>
  <c r="E118" i="2"/>
  <c r="E119" i="2"/>
  <c r="E118" i="5"/>
  <c r="E120" i="5"/>
  <c r="E121" i="5"/>
  <c r="E119" i="5"/>
  <c r="E120" i="8"/>
  <c r="E119" i="8"/>
  <c r="E121" i="8"/>
  <c r="E118" i="8"/>
  <c r="AH29" i="1"/>
  <c r="AE29" i="1"/>
  <c r="AE30" i="1" s="1"/>
  <c r="A169" i="2" l="1"/>
  <c r="D175" i="2"/>
  <c r="D176" i="2" s="1"/>
  <c r="D177" i="2" s="1"/>
  <c r="D178" i="2" s="1"/>
  <c r="D180" i="5"/>
  <c r="A193" i="5" s="1"/>
  <c r="D178" i="5"/>
  <c r="D180" i="4"/>
  <c r="A193" i="4" s="1"/>
  <c r="D178" i="4"/>
  <c r="D175" i="6"/>
  <c r="D176" i="6" s="1"/>
  <c r="D177" i="6" s="1"/>
  <c r="A169" i="6"/>
  <c r="D66" i="6"/>
  <c r="D178" i="8"/>
  <c r="D180" i="8"/>
  <c r="A193" i="8" s="1"/>
  <c r="D180" i="3"/>
  <c r="A193" i="3" s="1"/>
  <c r="D178" i="3"/>
  <c r="D178" i="9"/>
  <c r="D180" i="9"/>
  <c r="A193" i="9" s="1"/>
  <c r="D178" i="7"/>
  <c r="D180" i="7"/>
  <c r="A193" i="7" s="1"/>
  <c r="E120" i="4"/>
  <c r="E121" i="4"/>
  <c r="E119" i="4"/>
  <c r="E118" i="4"/>
  <c r="AE32" i="1"/>
  <c r="AK29" i="1"/>
  <c r="AJ29" i="1"/>
  <c r="D180" i="2" l="1"/>
  <c r="A193" i="2" s="1"/>
  <c r="D178" i="6"/>
  <c r="D180" i="6"/>
  <c r="A193" i="6" s="1"/>
  <c r="J65" i="1"/>
  <c r="N65" i="1" s="1"/>
  <c r="Q65" i="1"/>
  <c r="AE34" i="1"/>
  <c r="AE36" i="1" s="1"/>
  <c r="AJ31" i="1"/>
  <c r="P65" i="1" l="1"/>
  <c r="AF36" i="1"/>
  <c r="AJ32" i="1"/>
  <c r="J64" i="1" s="1"/>
  <c r="AJ33" i="1"/>
  <c r="B65" i="7" l="1"/>
  <c r="B65" i="6"/>
  <c r="B65" i="2"/>
  <c r="B65" i="5"/>
  <c r="B65" i="3"/>
  <c r="B65" i="9"/>
  <c r="C175" i="1"/>
  <c r="B65" i="8" s="1"/>
  <c r="Q64" i="1"/>
  <c r="N64" i="1"/>
  <c r="AJ37" i="1"/>
  <c r="AJ36" i="1"/>
  <c r="AK36" i="1"/>
  <c r="AK37" i="1"/>
  <c r="AM38" i="1" l="1" a="1"/>
  <c r="AM38" i="1" s="1"/>
  <c r="AM39" i="1" s="1"/>
  <c r="AN39" i="1" s="1"/>
  <c r="C175" i="2"/>
  <c r="C176" i="2" s="1"/>
  <c r="C177" i="2" s="1"/>
  <c r="C175" i="5"/>
  <c r="C176" i="5" s="1"/>
  <c r="C177" i="5" s="1"/>
  <c r="P64" i="1"/>
  <c r="C176" i="1"/>
  <c r="C177" i="1" s="1"/>
  <c r="C178" i="1" s="1"/>
  <c r="C175" i="3"/>
  <c r="C176" i="3" s="1"/>
  <c r="C177" i="3" s="1"/>
  <c r="C175" i="7"/>
  <c r="C176" i="7" s="1"/>
  <c r="C177" i="7" s="1"/>
  <c r="C175" i="8"/>
  <c r="C176" i="8" s="1"/>
  <c r="C177" i="8" s="1"/>
  <c r="B65" i="4"/>
  <c r="C175" i="9"/>
  <c r="C176" i="9" s="1"/>
  <c r="C177" i="9" s="1"/>
  <c r="C175" i="6"/>
  <c r="C176" i="6" s="1"/>
  <c r="C177" i="6" s="1"/>
  <c r="AN38" i="1" l="1"/>
  <c r="D182" i="3"/>
  <c r="C193" i="3" s="1"/>
  <c r="C178" i="3"/>
  <c r="D182" i="5"/>
  <c r="C193" i="5" s="1"/>
  <c r="C178" i="5"/>
  <c r="C178" i="7"/>
  <c r="D182" i="7"/>
  <c r="C193" i="7" s="1"/>
  <c r="B64" i="2"/>
  <c r="C92" i="1"/>
  <c r="E139" i="1" s="1"/>
  <c r="I89" i="1"/>
  <c r="D150" i="1" s="1"/>
  <c r="B151" i="1" s="1"/>
  <c r="J92" i="1"/>
  <c r="E153" i="1" s="1"/>
  <c r="B64" i="4"/>
  <c r="I84" i="1"/>
  <c r="B146" i="1" s="1"/>
  <c r="J89" i="1"/>
  <c r="E150" i="1" s="1"/>
  <c r="I92" i="1"/>
  <c r="D153" i="1" s="1"/>
  <c r="B64" i="9"/>
  <c r="J85" i="1"/>
  <c r="E146" i="1" s="1"/>
  <c r="I87" i="1"/>
  <c r="D148" i="1" s="1"/>
  <c r="B149" i="1" s="1"/>
  <c r="B64" i="6"/>
  <c r="J90" i="1"/>
  <c r="E151" i="1" s="1"/>
  <c r="J91" i="1"/>
  <c r="E152" i="1" s="1"/>
  <c r="I86" i="1"/>
  <c r="D147" i="1" s="1"/>
  <c r="B148" i="1" s="1"/>
  <c r="B64" i="8"/>
  <c r="B175" i="1"/>
  <c r="B64" i="7" s="1"/>
  <c r="I91" i="1"/>
  <c r="D152" i="1" s="1"/>
  <c r="B153" i="1" s="1"/>
  <c r="J84" i="1"/>
  <c r="C146" i="1" s="1"/>
  <c r="J86" i="1"/>
  <c r="E147" i="1" s="1"/>
  <c r="J87" i="1"/>
  <c r="E148" i="1" s="1"/>
  <c r="B92" i="1"/>
  <c r="D139" i="1" s="1"/>
  <c r="B64" i="5"/>
  <c r="I88" i="1"/>
  <c r="D149" i="1" s="1"/>
  <c r="B150" i="1" s="1"/>
  <c r="I85" i="1"/>
  <c r="D146" i="1" s="1"/>
  <c r="B147" i="1" s="1"/>
  <c r="J88" i="1"/>
  <c r="E149" i="1" s="1"/>
  <c r="I90" i="1"/>
  <c r="D151" i="1" s="1"/>
  <c r="B152" i="1" s="1"/>
  <c r="B91" i="1"/>
  <c r="D138" i="1" s="1"/>
  <c r="B139" i="1" s="1"/>
  <c r="C91" i="1"/>
  <c r="E138" i="1" s="1"/>
  <c r="H64" i="1"/>
  <c r="C110" i="1"/>
  <c r="G110" i="1" s="1"/>
  <c r="B112" i="1"/>
  <c r="F112" i="1" s="1"/>
  <c r="B121" i="1"/>
  <c r="F121" i="1" s="1"/>
  <c r="B116" i="1"/>
  <c r="F116" i="1" s="1"/>
  <c r="C117" i="1"/>
  <c r="C116" i="1"/>
  <c r="B110" i="1"/>
  <c r="F110" i="1" s="1"/>
  <c r="C119" i="1"/>
  <c r="G119" i="1" s="1"/>
  <c r="C111" i="1"/>
  <c r="G111" i="1" s="1"/>
  <c r="B111" i="1"/>
  <c r="F111" i="1" s="1"/>
  <c r="C115" i="1"/>
  <c r="B113" i="1"/>
  <c r="F113" i="1" s="1"/>
  <c r="B84" i="1"/>
  <c r="B119" i="1"/>
  <c r="F119" i="1" s="1"/>
  <c r="C120" i="1"/>
  <c r="G120" i="1" s="1"/>
  <c r="B120" i="1"/>
  <c r="F120" i="1" s="1"/>
  <c r="C114" i="1"/>
  <c r="C121" i="1"/>
  <c r="G121" i="1" s="1"/>
  <c r="C112" i="1"/>
  <c r="G112" i="1" s="1"/>
  <c r="B114" i="1"/>
  <c r="F114" i="1" s="1"/>
  <c r="C113" i="1"/>
  <c r="B117" i="1"/>
  <c r="F117" i="1" s="1"/>
  <c r="C118" i="1"/>
  <c r="G118" i="1" s="1"/>
  <c r="C84" i="1"/>
  <c r="B118" i="1"/>
  <c r="F118" i="1" s="1"/>
  <c r="B115" i="1"/>
  <c r="F115" i="1" s="1"/>
  <c r="B90" i="1"/>
  <c r="D137" i="1" s="1"/>
  <c r="B138" i="1" s="1"/>
  <c r="C89" i="1"/>
  <c r="E136" i="1" s="1"/>
  <c r="C88" i="1"/>
  <c r="E135" i="1" s="1"/>
  <c r="B87" i="1"/>
  <c r="D134" i="1" s="1"/>
  <c r="B135" i="1" s="1"/>
  <c r="B85" i="1"/>
  <c r="D132" i="1" s="1"/>
  <c r="B133" i="1" s="1"/>
  <c r="C87" i="1"/>
  <c r="E134" i="1" s="1"/>
  <c r="C90" i="1"/>
  <c r="E137" i="1" s="1"/>
  <c r="C85" i="1"/>
  <c r="E132" i="1" s="1"/>
  <c r="B89" i="1"/>
  <c r="D136" i="1" s="1"/>
  <c r="B137" i="1" s="1"/>
  <c r="C86" i="1"/>
  <c r="E133" i="1" s="1"/>
  <c r="B86" i="1"/>
  <c r="D133" i="1" s="1"/>
  <c r="B134" i="1" s="1"/>
  <c r="B88" i="1"/>
  <c r="D135" i="1" s="1"/>
  <c r="B136" i="1" s="1"/>
  <c r="C178" i="8"/>
  <c r="D182" i="8"/>
  <c r="C193" i="8" s="1"/>
  <c r="C178" i="9"/>
  <c r="D182" i="9"/>
  <c r="C193" i="9" s="1"/>
  <c r="C175" i="4"/>
  <c r="C176" i="4" s="1"/>
  <c r="C177" i="4" s="1"/>
  <c r="C178" i="2"/>
  <c r="D182" i="2"/>
  <c r="C193" i="2" s="1"/>
  <c r="D182" i="6"/>
  <c r="C193" i="6" s="1"/>
  <c r="C178" i="6"/>
  <c r="G117" i="1" l="1"/>
  <c r="G116" i="1"/>
  <c r="G115" i="1"/>
  <c r="G114" i="1"/>
  <c r="G113" i="1"/>
  <c r="B85" i="2"/>
  <c r="D132" i="2" s="1"/>
  <c r="B133" i="2" s="1"/>
  <c r="B113" i="2"/>
  <c r="F113" i="2" s="1"/>
  <c r="B92" i="2"/>
  <c r="D139" i="2" s="1"/>
  <c r="C113" i="2"/>
  <c r="J91" i="2"/>
  <c r="E152" i="2" s="1"/>
  <c r="J85" i="2"/>
  <c r="E146" i="2" s="1"/>
  <c r="B84" i="2"/>
  <c r="B110" i="2"/>
  <c r="F110" i="2" s="1"/>
  <c r="J86" i="2"/>
  <c r="E147" i="2" s="1"/>
  <c r="I84" i="2"/>
  <c r="B146" i="2" s="1"/>
  <c r="J92" i="2"/>
  <c r="E153" i="2" s="1"/>
  <c r="B90" i="2"/>
  <c r="D137" i="2" s="1"/>
  <c r="B138" i="2" s="1"/>
  <c r="B114" i="2"/>
  <c r="F114" i="2" s="1"/>
  <c r="I90" i="2"/>
  <c r="D151" i="2" s="1"/>
  <c r="B152" i="2" s="1"/>
  <c r="I92" i="2"/>
  <c r="D153" i="2" s="1"/>
  <c r="I86" i="2"/>
  <c r="D147" i="2" s="1"/>
  <c r="B148" i="2" s="1"/>
  <c r="I89" i="2"/>
  <c r="D150" i="2" s="1"/>
  <c r="B151" i="2" s="1"/>
  <c r="J88" i="2"/>
  <c r="E149" i="2" s="1"/>
  <c r="B121" i="2"/>
  <c r="F121" i="2" s="1"/>
  <c r="B88" i="2"/>
  <c r="D135" i="2" s="1"/>
  <c r="B136" i="2" s="1"/>
  <c r="B175" i="2"/>
  <c r="B176" i="2" s="1"/>
  <c r="B177" i="2" s="1"/>
  <c r="H64" i="2"/>
  <c r="J89" i="2"/>
  <c r="E150" i="2" s="1"/>
  <c r="I87" i="2"/>
  <c r="D148" i="2" s="1"/>
  <c r="B149" i="2" s="1"/>
  <c r="C116" i="2"/>
  <c r="J84" i="2"/>
  <c r="C146" i="2" s="1"/>
  <c r="B111" i="2"/>
  <c r="F111" i="2" s="1"/>
  <c r="B87" i="2"/>
  <c r="D134" i="2" s="1"/>
  <c r="B135" i="2" s="1"/>
  <c r="J90" i="2"/>
  <c r="E151" i="2" s="1"/>
  <c r="C115" i="2"/>
  <c r="B117" i="2"/>
  <c r="F117" i="2" s="1"/>
  <c r="I88" i="2"/>
  <c r="D149" i="2" s="1"/>
  <c r="B150" i="2" s="1"/>
  <c r="J87" i="2"/>
  <c r="E148" i="2" s="1"/>
  <c r="B119" i="2"/>
  <c r="F119" i="2" s="1"/>
  <c r="B91" i="2"/>
  <c r="D138" i="2" s="1"/>
  <c r="B139" i="2" s="1"/>
  <c r="C88" i="2"/>
  <c r="E135" i="2" s="1"/>
  <c r="I85" i="2"/>
  <c r="D146" i="2" s="1"/>
  <c r="B147" i="2" s="1"/>
  <c r="C85" i="2"/>
  <c r="E132" i="2" s="1"/>
  <c r="C114" i="2"/>
  <c r="B112" i="2"/>
  <c r="F112" i="2" s="1"/>
  <c r="C92" i="2"/>
  <c r="E139" i="2" s="1"/>
  <c r="B116" i="2"/>
  <c r="F116" i="2" s="1"/>
  <c r="C110" i="2"/>
  <c r="G110" i="2" s="1"/>
  <c r="B86" i="2"/>
  <c r="D133" i="2" s="1"/>
  <c r="B134" i="2" s="1"/>
  <c r="C90" i="2"/>
  <c r="E137" i="2" s="1"/>
  <c r="C120" i="2"/>
  <c r="G120" i="2" s="1"/>
  <c r="C112" i="2"/>
  <c r="G112" i="2" s="1"/>
  <c r="C118" i="2"/>
  <c r="G118" i="2" s="1"/>
  <c r="C121" i="2"/>
  <c r="G121" i="2" s="1"/>
  <c r="I91" i="2"/>
  <c r="D152" i="2" s="1"/>
  <c r="B153" i="2" s="1"/>
  <c r="B118" i="2"/>
  <c r="F118" i="2" s="1"/>
  <c r="B120" i="2"/>
  <c r="F120" i="2" s="1"/>
  <c r="C91" i="2"/>
  <c r="E138" i="2" s="1"/>
  <c r="C87" i="2"/>
  <c r="E134" i="2" s="1"/>
  <c r="B115" i="2"/>
  <c r="F115" i="2" s="1"/>
  <c r="C117" i="2"/>
  <c r="C119" i="2"/>
  <c r="G119" i="2" s="1"/>
  <c r="C86" i="2"/>
  <c r="E133" i="2" s="1"/>
  <c r="C84" i="2"/>
  <c r="C111" i="2"/>
  <c r="G111" i="2" s="1"/>
  <c r="B89" i="2"/>
  <c r="D136" i="2" s="1"/>
  <c r="B137" i="2" s="1"/>
  <c r="C89" i="2"/>
  <c r="E136" i="2" s="1"/>
  <c r="C132" i="1"/>
  <c r="B125" i="1"/>
  <c r="E115" i="1" s="1"/>
  <c r="C133" i="1"/>
  <c r="H133" i="1" s="1"/>
  <c r="I133" i="1" s="1"/>
  <c r="C150" i="1"/>
  <c r="H150" i="1" s="1"/>
  <c r="I150" i="1" s="1"/>
  <c r="C147" i="1"/>
  <c r="H147" i="1" s="1"/>
  <c r="I147" i="1" s="1"/>
  <c r="C138" i="1"/>
  <c r="B87" i="9"/>
  <c r="D134" i="9" s="1"/>
  <c r="B135" i="9" s="1"/>
  <c r="B84" i="9"/>
  <c r="I87" i="9"/>
  <c r="D148" i="9" s="1"/>
  <c r="B149" i="9" s="1"/>
  <c r="I84" i="9"/>
  <c r="B146" i="9" s="1"/>
  <c r="B114" i="9"/>
  <c r="F114" i="9" s="1"/>
  <c r="I89" i="9"/>
  <c r="D150" i="9" s="1"/>
  <c r="B151" i="9" s="1"/>
  <c r="I88" i="9"/>
  <c r="D149" i="9" s="1"/>
  <c r="B150" i="9" s="1"/>
  <c r="B85" i="9"/>
  <c r="D132" i="9" s="1"/>
  <c r="B133" i="9" s="1"/>
  <c r="C116" i="9"/>
  <c r="C112" i="9"/>
  <c r="G112" i="9" s="1"/>
  <c r="C114" i="9"/>
  <c r="J84" i="9"/>
  <c r="C146" i="9" s="1"/>
  <c r="B113" i="9"/>
  <c r="F113" i="9" s="1"/>
  <c r="J86" i="9"/>
  <c r="E147" i="9" s="1"/>
  <c r="B121" i="9"/>
  <c r="F121" i="9" s="1"/>
  <c r="B92" i="9"/>
  <c r="D139" i="9" s="1"/>
  <c r="C120" i="9"/>
  <c r="G120" i="9" s="1"/>
  <c r="B88" i="9"/>
  <c r="D135" i="9" s="1"/>
  <c r="B136" i="9" s="1"/>
  <c r="B112" i="9"/>
  <c r="F112" i="9" s="1"/>
  <c r="C88" i="9"/>
  <c r="E135" i="9" s="1"/>
  <c r="B110" i="9"/>
  <c r="F110" i="9" s="1"/>
  <c r="I86" i="9"/>
  <c r="D147" i="9" s="1"/>
  <c r="B148" i="9" s="1"/>
  <c r="C92" i="9"/>
  <c r="E139" i="9" s="1"/>
  <c r="B119" i="9"/>
  <c r="F119" i="9" s="1"/>
  <c r="B111" i="9"/>
  <c r="F111" i="9" s="1"/>
  <c r="B117" i="9"/>
  <c r="F117" i="9" s="1"/>
  <c r="C86" i="9"/>
  <c r="E133" i="9" s="1"/>
  <c r="I90" i="9"/>
  <c r="D151" i="9" s="1"/>
  <c r="B152" i="9" s="1"/>
  <c r="B90" i="9"/>
  <c r="D137" i="9" s="1"/>
  <c r="B138" i="9" s="1"/>
  <c r="C91" i="9"/>
  <c r="E138" i="9" s="1"/>
  <c r="J92" i="9"/>
  <c r="E153" i="9" s="1"/>
  <c r="J85" i="9"/>
  <c r="E146" i="9" s="1"/>
  <c r="B115" i="9"/>
  <c r="F115" i="9" s="1"/>
  <c r="C118" i="9"/>
  <c r="G118" i="9" s="1"/>
  <c r="C113" i="9"/>
  <c r="I91" i="9"/>
  <c r="D152" i="9" s="1"/>
  <c r="B153" i="9" s="1"/>
  <c r="B86" i="9"/>
  <c r="D133" i="9" s="1"/>
  <c r="B134" i="9" s="1"/>
  <c r="J88" i="9"/>
  <c r="E149" i="9" s="1"/>
  <c r="C90" i="9"/>
  <c r="E137" i="9" s="1"/>
  <c r="J89" i="9"/>
  <c r="E150" i="9" s="1"/>
  <c r="B120" i="9"/>
  <c r="F120" i="9" s="1"/>
  <c r="C87" i="9"/>
  <c r="E134" i="9" s="1"/>
  <c r="B175" i="9"/>
  <c r="B176" i="9" s="1"/>
  <c r="B177" i="9" s="1"/>
  <c r="C84" i="9"/>
  <c r="I85" i="9"/>
  <c r="D146" i="9" s="1"/>
  <c r="B147" i="9" s="1"/>
  <c r="I92" i="9"/>
  <c r="D153" i="9" s="1"/>
  <c r="B116" i="9"/>
  <c r="F116" i="9" s="1"/>
  <c r="C85" i="9"/>
  <c r="E132" i="9" s="1"/>
  <c r="B118" i="9"/>
  <c r="F118" i="9" s="1"/>
  <c r="C117" i="9"/>
  <c r="J90" i="9"/>
  <c r="E151" i="9" s="1"/>
  <c r="B91" i="9"/>
  <c r="D138" i="9" s="1"/>
  <c r="B139" i="9" s="1"/>
  <c r="J87" i="9"/>
  <c r="E148" i="9" s="1"/>
  <c r="C111" i="9"/>
  <c r="G111" i="9" s="1"/>
  <c r="C110" i="9"/>
  <c r="G110" i="9" s="1"/>
  <c r="C121" i="9"/>
  <c r="G121" i="9" s="1"/>
  <c r="J91" i="9"/>
  <c r="E152" i="9" s="1"/>
  <c r="C115" i="9"/>
  <c r="H64" i="9"/>
  <c r="C119" i="9"/>
  <c r="G119" i="9" s="1"/>
  <c r="B89" i="9"/>
  <c r="D136" i="9" s="1"/>
  <c r="B137" i="9" s="1"/>
  <c r="C89" i="9"/>
  <c r="E136" i="9" s="1"/>
  <c r="C135" i="1"/>
  <c r="C139" i="1"/>
  <c r="H139" i="1" s="1"/>
  <c r="I139" i="1" s="1"/>
  <c r="C91" i="5"/>
  <c r="E138" i="5" s="1"/>
  <c r="I89" i="5"/>
  <c r="D150" i="5" s="1"/>
  <c r="B151" i="5" s="1"/>
  <c r="B117" i="5"/>
  <c r="F117" i="5" s="1"/>
  <c r="I91" i="5"/>
  <c r="D152" i="5" s="1"/>
  <c r="B153" i="5" s="1"/>
  <c r="I87" i="5"/>
  <c r="D148" i="5" s="1"/>
  <c r="B149" i="5" s="1"/>
  <c r="J89" i="5"/>
  <c r="E150" i="5" s="1"/>
  <c r="B118" i="5"/>
  <c r="F118" i="5" s="1"/>
  <c r="B89" i="5"/>
  <c r="D136" i="5" s="1"/>
  <c r="B137" i="5" s="1"/>
  <c r="B91" i="5"/>
  <c r="D138" i="5" s="1"/>
  <c r="B139" i="5" s="1"/>
  <c r="J85" i="5"/>
  <c r="E146" i="5" s="1"/>
  <c r="J84" i="5"/>
  <c r="C146" i="5" s="1"/>
  <c r="B86" i="5"/>
  <c r="D133" i="5" s="1"/>
  <c r="B134" i="5" s="1"/>
  <c r="B113" i="5"/>
  <c r="F113" i="5" s="1"/>
  <c r="C89" i="5"/>
  <c r="E136" i="5" s="1"/>
  <c r="C121" i="5"/>
  <c r="G121" i="5" s="1"/>
  <c r="B112" i="5"/>
  <c r="F112" i="5" s="1"/>
  <c r="C119" i="5"/>
  <c r="G119" i="5" s="1"/>
  <c r="B92" i="5"/>
  <c r="D139" i="5" s="1"/>
  <c r="B110" i="5"/>
  <c r="F110" i="5" s="1"/>
  <c r="J92" i="5"/>
  <c r="E153" i="5" s="1"/>
  <c r="B88" i="5"/>
  <c r="D135" i="5" s="1"/>
  <c r="B136" i="5" s="1"/>
  <c r="C116" i="5"/>
  <c r="B120" i="5"/>
  <c r="F120" i="5" s="1"/>
  <c r="B116" i="5"/>
  <c r="F116" i="5" s="1"/>
  <c r="C111" i="5"/>
  <c r="G111" i="5" s="1"/>
  <c r="I88" i="5"/>
  <c r="D149" i="5" s="1"/>
  <c r="B150" i="5" s="1"/>
  <c r="J90" i="5"/>
  <c r="E151" i="5" s="1"/>
  <c r="C110" i="5"/>
  <c r="G110" i="5" s="1"/>
  <c r="C88" i="5"/>
  <c r="E135" i="5" s="1"/>
  <c r="C87" i="5"/>
  <c r="E134" i="5" s="1"/>
  <c r="J88" i="5"/>
  <c r="E149" i="5" s="1"/>
  <c r="I84" i="5"/>
  <c r="B146" i="5" s="1"/>
  <c r="B119" i="5"/>
  <c r="F119" i="5" s="1"/>
  <c r="C114" i="5"/>
  <c r="C120" i="5"/>
  <c r="G120" i="5" s="1"/>
  <c r="H64" i="5"/>
  <c r="B115" i="5"/>
  <c r="F115" i="5" s="1"/>
  <c r="I90" i="5"/>
  <c r="D151" i="5" s="1"/>
  <c r="B152" i="5" s="1"/>
  <c r="B114" i="5"/>
  <c r="F114" i="5" s="1"/>
  <c r="C92" i="5"/>
  <c r="E139" i="5" s="1"/>
  <c r="B87" i="5"/>
  <c r="D134" i="5" s="1"/>
  <c r="B135" i="5" s="1"/>
  <c r="B111" i="5"/>
  <c r="F111" i="5" s="1"/>
  <c r="C85" i="5"/>
  <c r="E132" i="5" s="1"/>
  <c r="B85" i="5"/>
  <c r="D132" i="5" s="1"/>
  <c r="B133" i="5" s="1"/>
  <c r="C84" i="5"/>
  <c r="B121" i="5"/>
  <c r="F121" i="5" s="1"/>
  <c r="J87" i="5"/>
  <c r="E148" i="5" s="1"/>
  <c r="C115" i="5"/>
  <c r="C118" i="5"/>
  <c r="G118" i="5" s="1"/>
  <c r="C112" i="5"/>
  <c r="G112" i="5" s="1"/>
  <c r="B90" i="5"/>
  <c r="D137" i="5" s="1"/>
  <c r="B138" i="5" s="1"/>
  <c r="I92" i="5"/>
  <c r="D153" i="5" s="1"/>
  <c r="I85" i="5"/>
  <c r="D146" i="5" s="1"/>
  <c r="B147" i="5" s="1"/>
  <c r="J91" i="5"/>
  <c r="E152" i="5" s="1"/>
  <c r="B84" i="5"/>
  <c r="B175" i="5"/>
  <c r="B176" i="5" s="1"/>
  <c r="B177" i="5" s="1"/>
  <c r="C117" i="5"/>
  <c r="C86" i="5"/>
  <c r="E133" i="5" s="1"/>
  <c r="C90" i="5"/>
  <c r="E137" i="5" s="1"/>
  <c r="I86" i="5"/>
  <c r="D147" i="5" s="1"/>
  <c r="B148" i="5" s="1"/>
  <c r="J86" i="5"/>
  <c r="E147" i="5" s="1"/>
  <c r="C113" i="5"/>
  <c r="C151" i="1"/>
  <c r="H151" i="1" s="1"/>
  <c r="I151" i="1" s="1"/>
  <c r="C87" i="7"/>
  <c r="E134" i="7" s="1"/>
  <c r="B118" i="7"/>
  <c r="F118" i="7" s="1"/>
  <c r="J84" i="7"/>
  <c r="C146" i="7" s="1"/>
  <c r="J90" i="7"/>
  <c r="E151" i="7" s="1"/>
  <c r="B110" i="7"/>
  <c r="F110" i="7" s="1"/>
  <c r="B112" i="7"/>
  <c r="F112" i="7" s="1"/>
  <c r="I89" i="7"/>
  <c r="D150" i="7" s="1"/>
  <c r="B151" i="7" s="1"/>
  <c r="C120" i="7"/>
  <c r="G120" i="7" s="1"/>
  <c r="I91" i="7"/>
  <c r="D152" i="7" s="1"/>
  <c r="B153" i="7" s="1"/>
  <c r="B120" i="7"/>
  <c r="F120" i="7" s="1"/>
  <c r="C114" i="7"/>
  <c r="B114" i="7"/>
  <c r="F114" i="7" s="1"/>
  <c r="J91" i="7"/>
  <c r="E152" i="7" s="1"/>
  <c r="I87" i="7"/>
  <c r="D148" i="7" s="1"/>
  <c r="B149" i="7" s="1"/>
  <c r="C118" i="7"/>
  <c r="G118" i="7" s="1"/>
  <c r="C113" i="7"/>
  <c r="H64" i="7"/>
  <c r="C84" i="7"/>
  <c r="C85" i="7"/>
  <c r="E132" i="7" s="1"/>
  <c r="I84" i="7"/>
  <c r="B146" i="7" s="1"/>
  <c r="J88" i="7"/>
  <c r="E149" i="7" s="1"/>
  <c r="B111" i="7"/>
  <c r="F111" i="7" s="1"/>
  <c r="I85" i="7"/>
  <c r="D146" i="7" s="1"/>
  <c r="B147" i="7" s="1"/>
  <c r="J92" i="7"/>
  <c r="E153" i="7" s="1"/>
  <c r="B113" i="7"/>
  <c r="F113" i="7" s="1"/>
  <c r="C88" i="7"/>
  <c r="E135" i="7" s="1"/>
  <c r="B88" i="7"/>
  <c r="D135" i="7" s="1"/>
  <c r="B136" i="7" s="1"/>
  <c r="B115" i="7"/>
  <c r="F115" i="7" s="1"/>
  <c r="C119" i="7"/>
  <c r="G119" i="7" s="1"/>
  <c r="J86" i="7"/>
  <c r="E147" i="7" s="1"/>
  <c r="B175" i="7"/>
  <c r="B176" i="7" s="1"/>
  <c r="B177" i="7" s="1"/>
  <c r="C110" i="7"/>
  <c r="G110" i="7" s="1"/>
  <c r="J85" i="7"/>
  <c r="E146" i="7" s="1"/>
  <c r="I92" i="7"/>
  <c r="D153" i="7" s="1"/>
  <c r="C90" i="7"/>
  <c r="E137" i="7" s="1"/>
  <c r="C115" i="7"/>
  <c r="C92" i="7"/>
  <c r="E139" i="7" s="1"/>
  <c r="C112" i="7"/>
  <c r="G112" i="7" s="1"/>
  <c r="C121" i="7"/>
  <c r="G121" i="7" s="1"/>
  <c r="B116" i="7"/>
  <c r="F116" i="7" s="1"/>
  <c r="B84" i="7"/>
  <c r="J87" i="7"/>
  <c r="E148" i="7" s="1"/>
  <c r="B85" i="7"/>
  <c r="D132" i="7" s="1"/>
  <c r="B133" i="7" s="1"/>
  <c r="C86" i="7"/>
  <c r="E133" i="7" s="1"/>
  <c r="B90" i="7"/>
  <c r="D137" i="7" s="1"/>
  <c r="B138" i="7" s="1"/>
  <c r="C117" i="7"/>
  <c r="B91" i="7"/>
  <c r="D138" i="7" s="1"/>
  <c r="B139" i="7" s="1"/>
  <c r="B87" i="7"/>
  <c r="D134" i="7" s="1"/>
  <c r="B135" i="7" s="1"/>
  <c r="I88" i="7"/>
  <c r="D149" i="7" s="1"/>
  <c r="B150" i="7" s="1"/>
  <c r="B92" i="7"/>
  <c r="D139" i="7" s="1"/>
  <c r="B121" i="7"/>
  <c r="F121" i="7" s="1"/>
  <c r="J89" i="7"/>
  <c r="E150" i="7" s="1"/>
  <c r="I90" i="7"/>
  <c r="D151" i="7" s="1"/>
  <c r="B152" i="7" s="1"/>
  <c r="B117" i="7"/>
  <c r="F117" i="7" s="1"/>
  <c r="C116" i="7"/>
  <c r="B86" i="7"/>
  <c r="D133" i="7" s="1"/>
  <c r="B134" i="7" s="1"/>
  <c r="C111" i="7"/>
  <c r="G111" i="7" s="1"/>
  <c r="B119" i="7"/>
  <c r="F119" i="7" s="1"/>
  <c r="I86" i="7"/>
  <c r="D147" i="7" s="1"/>
  <c r="B148" i="7" s="1"/>
  <c r="C91" i="7"/>
  <c r="E138" i="7" s="1"/>
  <c r="C89" i="7"/>
  <c r="E136" i="7" s="1"/>
  <c r="B89" i="7"/>
  <c r="D136" i="7" s="1"/>
  <c r="B137" i="7" s="1"/>
  <c r="C153" i="1"/>
  <c r="H153" i="1" s="1"/>
  <c r="I153" i="1" s="1"/>
  <c r="H146" i="1"/>
  <c r="I146" i="1" s="1"/>
  <c r="C178" i="4"/>
  <c r="D182" i="4"/>
  <c r="C193" i="4" s="1"/>
  <c r="C136" i="1"/>
  <c r="B132" i="1"/>
  <c r="Q73" i="1" a="1"/>
  <c r="Q73" i="1" s="1"/>
  <c r="F126" i="1"/>
  <c r="F127" i="1"/>
  <c r="B64" i="3"/>
  <c r="C149" i="1"/>
  <c r="H149" i="1" s="1"/>
  <c r="I149" i="1" s="1"/>
  <c r="C152" i="1"/>
  <c r="B90" i="4"/>
  <c r="D137" i="4" s="1"/>
  <c r="B138" i="4" s="1"/>
  <c r="B91" i="4"/>
  <c r="D138" i="4" s="1"/>
  <c r="B139" i="4" s="1"/>
  <c r="B84" i="4"/>
  <c r="B121" i="4"/>
  <c r="F121" i="4" s="1"/>
  <c r="B116" i="4"/>
  <c r="F116" i="4" s="1"/>
  <c r="C115" i="4"/>
  <c r="C92" i="4"/>
  <c r="E139" i="4" s="1"/>
  <c r="I91" i="4"/>
  <c r="D152" i="4" s="1"/>
  <c r="B153" i="4" s="1"/>
  <c r="J91" i="4"/>
  <c r="E152" i="4" s="1"/>
  <c r="C84" i="4"/>
  <c r="C88" i="4"/>
  <c r="E135" i="4" s="1"/>
  <c r="I85" i="4"/>
  <c r="D146" i="4" s="1"/>
  <c r="B147" i="4" s="1"/>
  <c r="B88" i="4"/>
  <c r="D135" i="4" s="1"/>
  <c r="B136" i="4" s="1"/>
  <c r="C113" i="4"/>
  <c r="B85" i="4"/>
  <c r="D132" i="4" s="1"/>
  <c r="B133" i="4" s="1"/>
  <c r="B117" i="4"/>
  <c r="F117" i="4" s="1"/>
  <c r="J92" i="4"/>
  <c r="E153" i="4" s="1"/>
  <c r="J87" i="4"/>
  <c r="E148" i="4" s="1"/>
  <c r="J86" i="4"/>
  <c r="E147" i="4" s="1"/>
  <c r="C86" i="4"/>
  <c r="E133" i="4" s="1"/>
  <c r="I87" i="4"/>
  <c r="D148" i="4" s="1"/>
  <c r="B149" i="4" s="1"/>
  <c r="C91" i="4"/>
  <c r="E138" i="4" s="1"/>
  <c r="B119" i="4"/>
  <c r="F119" i="4" s="1"/>
  <c r="C110" i="4"/>
  <c r="G110" i="4" s="1"/>
  <c r="C119" i="4"/>
  <c r="G119" i="4" s="1"/>
  <c r="B120" i="4"/>
  <c r="F120" i="4" s="1"/>
  <c r="J88" i="4"/>
  <c r="E149" i="4" s="1"/>
  <c r="J84" i="4"/>
  <c r="C146" i="4" s="1"/>
  <c r="B86" i="4"/>
  <c r="D133" i="4" s="1"/>
  <c r="B134" i="4" s="1"/>
  <c r="C121" i="4"/>
  <c r="G121" i="4" s="1"/>
  <c r="B110" i="4"/>
  <c r="F110" i="4" s="1"/>
  <c r="C120" i="4"/>
  <c r="G120" i="4" s="1"/>
  <c r="H64" i="4"/>
  <c r="B114" i="4"/>
  <c r="F114" i="4" s="1"/>
  <c r="B113" i="4"/>
  <c r="F113" i="4" s="1"/>
  <c r="B112" i="4"/>
  <c r="F112" i="4" s="1"/>
  <c r="B92" i="4"/>
  <c r="D139" i="4" s="1"/>
  <c r="C87" i="4"/>
  <c r="E134" i="4" s="1"/>
  <c r="I88" i="4"/>
  <c r="D149" i="4" s="1"/>
  <c r="B150" i="4" s="1"/>
  <c r="C112" i="4"/>
  <c r="G112" i="4" s="1"/>
  <c r="C90" i="4"/>
  <c r="E137" i="4" s="1"/>
  <c r="C85" i="4"/>
  <c r="E132" i="4" s="1"/>
  <c r="C117" i="4"/>
  <c r="B175" i="4"/>
  <c r="B176" i="4" s="1"/>
  <c r="B177" i="4" s="1"/>
  <c r="I92" i="4"/>
  <c r="D153" i="4" s="1"/>
  <c r="I89" i="4"/>
  <c r="D150" i="4" s="1"/>
  <c r="B151" i="4" s="1"/>
  <c r="J89" i="4"/>
  <c r="E150" i="4" s="1"/>
  <c r="B87" i="4"/>
  <c r="D134" i="4" s="1"/>
  <c r="B135" i="4" s="1"/>
  <c r="I86" i="4"/>
  <c r="D147" i="4" s="1"/>
  <c r="B148" i="4" s="1"/>
  <c r="J90" i="4"/>
  <c r="E151" i="4" s="1"/>
  <c r="B111" i="4"/>
  <c r="F111" i="4" s="1"/>
  <c r="I90" i="4"/>
  <c r="D151" i="4" s="1"/>
  <c r="B152" i="4" s="1"/>
  <c r="B118" i="4"/>
  <c r="F118" i="4" s="1"/>
  <c r="C118" i="4"/>
  <c r="G118" i="4" s="1"/>
  <c r="C111" i="4"/>
  <c r="G111" i="4" s="1"/>
  <c r="C114" i="4"/>
  <c r="I84" i="4"/>
  <c r="B146" i="4" s="1"/>
  <c r="B115" i="4"/>
  <c r="F115" i="4" s="1"/>
  <c r="J85" i="4"/>
  <c r="E146" i="4" s="1"/>
  <c r="C116" i="4"/>
  <c r="C89" i="4"/>
  <c r="E136" i="4" s="1"/>
  <c r="B89" i="4"/>
  <c r="C134" i="1"/>
  <c r="C137" i="1"/>
  <c r="B176" i="1"/>
  <c r="B177" i="1" s="1"/>
  <c r="B178" i="1" s="1"/>
  <c r="C148" i="1"/>
  <c r="H148" i="1" s="1"/>
  <c r="I148" i="1" s="1"/>
  <c r="C88" i="6"/>
  <c r="E135" i="6" s="1"/>
  <c r="B87" i="6"/>
  <c r="D134" i="6" s="1"/>
  <c r="B135" i="6" s="1"/>
  <c r="B88" i="6"/>
  <c r="D135" i="6" s="1"/>
  <c r="B136" i="6" s="1"/>
  <c r="J92" i="6"/>
  <c r="E153" i="6" s="1"/>
  <c r="C110" i="6"/>
  <c r="G110" i="6" s="1"/>
  <c r="C84" i="6"/>
  <c r="C120" i="6"/>
  <c r="G120" i="6" s="1"/>
  <c r="C119" i="6"/>
  <c r="G119" i="6" s="1"/>
  <c r="I91" i="6"/>
  <c r="D152" i="6" s="1"/>
  <c r="B153" i="6" s="1"/>
  <c r="B86" i="6"/>
  <c r="D133" i="6" s="1"/>
  <c r="B134" i="6" s="1"/>
  <c r="C114" i="6"/>
  <c r="B112" i="6"/>
  <c r="F112" i="6" s="1"/>
  <c r="J86" i="6"/>
  <c r="E147" i="6" s="1"/>
  <c r="J89" i="6"/>
  <c r="E150" i="6" s="1"/>
  <c r="J87" i="6"/>
  <c r="E148" i="6" s="1"/>
  <c r="B119" i="6"/>
  <c r="F119" i="6" s="1"/>
  <c r="I84" i="6"/>
  <c r="B146" i="6" s="1"/>
  <c r="J88" i="6"/>
  <c r="E149" i="6" s="1"/>
  <c r="C85" i="6"/>
  <c r="E132" i="6" s="1"/>
  <c r="C86" i="6"/>
  <c r="E133" i="6" s="1"/>
  <c r="I90" i="6"/>
  <c r="D151" i="6" s="1"/>
  <c r="B152" i="6" s="1"/>
  <c r="J85" i="6"/>
  <c r="E146" i="6" s="1"/>
  <c r="C115" i="6"/>
  <c r="I87" i="6"/>
  <c r="D148" i="6" s="1"/>
  <c r="B149" i="6" s="1"/>
  <c r="B121" i="6"/>
  <c r="F121" i="6" s="1"/>
  <c r="B92" i="6"/>
  <c r="D139" i="6" s="1"/>
  <c r="C116" i="6"/>
  <c r="C117" i="6"/>
  <c r="B90" i="6"/>
  <c r="D137" i="6" s="1"/>
  <c r="B138" i="6" s="1"/>
  <c r="B113" i="6"/>
  <c r="F113" i="6" s="1"/>
  <c r="C113" i="6"/>
  <c r="B118" i="6"/>
  <c r="F118" i="6" s="1"/>
  <c r="H64" i="6"/>
  <c r="J84" i="6"/>
  <c r="C146" i="6" s="1"/>
  <c r="B120" i="6"/>
  <c r="F120" i="6" s="1"/>
  <c r="B111" i="6"/>
  <c r="F111" i="6" s="1"/>
  <c r="B85" i="6"/>
  <c r="D132" i="6" s="1"/>
  <c r="B133" i="6" s="1"/>
  <c r="C90" i="6"/>
  <c r="E137" i="6" s="1"/>
  <c r="B91" i="6"/>
  <c r="D138" i="6" s="1"/>
  <c r="B139" i="6" s="1"/>
  <c r="B175" i="6"/>
  <c r="B176" i="6" s="1"/>
  <c r="B177" i="6" s="1"/>
  <c r="I86" i="6"/>
  <c r="D147" i="6" s="1"/>
  <c r="B148" i="6" s="1"/>
  <c r="B115" i="6"/>
  <c r="F115" i="6" s="1"/>
  <c r="C111" i="6"/>
  <c r="G111" i="6" s="1"/>
  <c r="C118" i="6"/>
  <c r="G118" i="6" s="1"/>
  <c r="J90" i="6"/>
  <c r="E151" i="6" s="1"/>
  <c r="C92" i="6"/>
  <c r="E139" i="6" s="1"/>
  <c r="C112" i="6"/>
  <c r="G112" i="6" s="1"/>
  <c r="C91" i="6"/>
  <c r="E138" i="6" s="1"/>
  <c r="B114" i="6"/>
  <c r="F114" i="6" s="1"/>
  <c r="I89" i="6"/>
  <c r="D150" i="6" s="1"/>
  <c r="B151" i="6" s="1"/>
  <c r="I88" i="6"/>
  <c r="D149" i="6" s="1"/>
  <c r="B150" i="6" s="1"/>
  <c r="C121" i="6"/>
  <c r="G121" i="6" s="1"/>
  <c r="B110" i="6"/>
  <c r="F110" i="6" s="1"/>
  <c r="B84" i="6"/>
  <c r="I85" i="6"/>
  <c r="D146" i="6" s="1"/>
  <c r="B147" i="6" s="1"/>
  <c r="B117" i="6"/>
  <c r="F117" i="6" s="1"/>
  <c r="C87" i="6"/>
  <c r="E134" i="6" s="1"/>
  <c r="B116" i="6"/>
  <c r="F116" i="6" s="1"/>
  <c r="I92" i="6"/>
  <c r="D153" i="6" s="1"/>
  <c r="J91" i="6"/>
  <c r="E152" i="6" s="1"/>
  <c r="C89" i="6"/>
  <c r="E136" i="6" s="1"/>
  <c r="B89" i="6"/>
  <c r="D136" i="6" s="1"/>
  <c r="B137" i="6" s="1"/>
  <c r="C91" i="8"/>
  <c r="E138" i="8" s="1"/>
  <c r="B91" i="8"/>
  <c r="D138" i="8" s="1"/>
  <c r="B139" i="8" s="1"/>
  <c r="B114" i="8"/>
  <c r="F114" i="8" s="1"/>
  <c r="J84" i="8"/>
  <c r="C146" i="8" s="1"/>
  <c r="I84" i="8"/>
  <c r="B146" i="8" s="1"/>
  <c r="J87" i="8"/>
  <c r="E148" i="8" s="1"/>
  <c r="I88" i="8"/>
  <c r="D149" i="8" s="1"/>
  <c r="B150" i="8" s="1"/>
  <c r="B113" i="8"/>
  <c r="F113" i="8" s="1"/>
  <c r="I89" i="8"/>
  <c r="D150" i="8" s="1"/>
  <c r="B151" i="8" s="1"/>
  <c r="C110" i="8"/>
  <c r="G110" i="8" s="1"/>
  <c r="B90" i="8"/>
  <c r="D137" i="8" s="1"/>
  <c r="B138" i="8" s="1"/>
  <c r="B88" i="8"/>
  <c r="D135" i="8" s="1"/>
  <c r="B136" i="8" s="1"/>
  <c r="B175" i="8"/>
  <c r="B176" i="8" s="1"/>
  <c r="B177" i="8" s="1"/>
  <c r="C115" i="8"/>
  <c r="C111" i="8"/>
  <c r="G111" i="8" s="1"/>
  <c r="B115" i="8"/>
  <c r="F115" i="8" s="1"/>
  <c r="C117" i="8"/>
  <c r="I87" i="8"/>
  <c r="D148" i="8" s="1"/>
  <c r="B149" i="8" s="1"/>
  <c r="C113" i="8"/>
  <c r="I90" i="8"/>
  <c r="D151" i="8" s="1"/>
  <c r="B152" i="8" s="1"/>
  <c r="B112" i="8"/>
  <c r="F112" i="8" s="1"/>
  <c r="C88" i="8"/>
  <c r="E135" i="8" s="1"/>
  <c r="B84" i="8"/>
  <c r="C92" i="8"/>
  <c r="E139" i="8" s="1"/>
  <c r="B85" i="8"/>
  <c r="D132" i="8" s="1"/>
  <c r="B133" i="8" s="1"/>
  <c r="I86" i="8"/>
  <c r="D147" i="8" s="1"/>
  <c r="B148" i="8" s="1"/>
  <c r="J85" i="8"/>
  <c r="E146" i="8" s="1"/>
  <c r="C119" i="8"/>
  <c r="G119" i="8" s="1"/>
  <c r="I92" i="8"/>
  <c r="D153" i="8" s="1"/>
  <c r="C121" i="8"/>
  <c r="G121" i="8" s="1"/>
  <c r="J91" i="8"/>
  <c r="E152" i="8" s="1"/>
  <c r="B117" i="8"/>
  <c r="F117" i="8" s="1"/>
  <c r="C85" i="8"/>
  <c r="E132" i="8" s="1"/>
  <c r="C114" i="8"/>
  <c r="C84" i="8"/>
  <c r="C118" i="8"/>
  <c r="G118" i="8" s="1"/>
  <c r="I85" i="8"/>
  <c r="D146" i="8" s="1"/>
  <c r="B147" i="8" s="1"/>
  <c r="B86" i="8"/>
  <c r="D133" i="8" s="1"/>
  <c r="B134" i="8" s="1"/>
  <c r="B110" i="8"/>
  <c r="F110" i="8" s="1"/>
  <c r="J86" i="8"/>
  <c r="E147" i="8" s="1"/>
  <c r="B118" i="8"/>
  <c r="F118" i="8" s="1"/>
  <c r="C112" i="8"/>
  <c r="G112" i="8" s="1"/>
  <c r="B119" i="8"/>
  <c r="F119" i="8" s="1"/>
  <c r="C116" i="8"/>
  <c r="I91" i="8"/>
  <c r="D152" i="8" s="1"/>
  <c r="B153" i="8" s="1"/>
  <c r="C120" i="8"/>
  <c r="G120" i="8" s="1"/>
  <c r="C86" i="8"/>
  <c r="E133" i="8" s="1"/>
  <c r="J89" i="8"/>
  <c r="E150" i="8" s="1"/>
  <c r="C87" i="8"/>
  <c r="E134" i="8" s="1"/>
  <c r="J92" i="8"/>
  <c r="E153" i="8" s="1"/>
  <c r="C90" i="8"/>
  <c r="E137" i="8" s="1"/>
  <c r="B120" i="8"/>
  <c r="F120" i="8" s="1"/>
  <c r="B111" i="8"/>
  <c r="F111" i="8" s="1"/>
  <c r="H64" i="8"/>
  <c r="B116" i="8"/>
  <c r="F116" i="8" s="1"/>
  <c r="J88" i="8"/>
  <c r="E149" i="8" s="1"/>
  <c r="B121" i="8"/>
  <c r="F121" i="8" s="1"/>
  <c r="B87" i="8"/>
  <c r="D134" i="8" s="1"/>
  <c r="B135" i="8" s="1"/>
  <c r="J90" i="8"/>
  <c r="E151" i="8" s="1"/>
  <c r="B92" i="8"/>
  <c r="D139" i="8" s="1"/>
  <c r="C89" i="8"/>
  <c r="E136" i="8" s="1"/>
  <c r="B89" i="8"/>
  <c r="H152" i="1"/>
  <c r="I152" i="1" s="1"/>
  <c r="E116" i="1" l="1"/>
  <c r="E117" i="1"/>
  <c r="G117" i="7"/>
  <c r="G117" i="2"/>
  <c r="G117" i="4"/>
  <c r="G117" i="8"/>
  <c r="G117" i="9"/>
  <c r="G117" i="5"/>
  <c r="G117" i="6"/>
  <c r="G116" i="6"/>
  <c r="G116" i="4"/>
  <c r="G116" i="2"/>
  <c r="G116" i="5"/>
  <c r="G116" i="8"/>
  <c r="G116" i="7"/>
  <c r="G116" i="9"/>
  <c r="E114" i="1"/>
  <c r="G115" i="7"/>
  <c r="G115" i="6"/>
  <c r="G115" i="9"/>
  <c r="G115" i="2"/>
  <c r="G115" i="5"/>
  <c r="G115" i="8"/>
  <c r="G115" i="4"/>
  <c r="G114" i="6"/>
  <c r="G114" i="9"/>
  <c r="G114" i="8"/>
  <c r="G114" i="7"/>
  <c r="G114" i="5"/>
  <c r="G114" i="2"/>
  <c r="G114" i="4"/>
  <c r="G139" i="1"/>
  <c r="O139" i="1" s="1"/>
  <c r="E112" i="1"/>
  <c r="E113" i="1"/>
  <c r="G113" i="7"/>
  <c r="G113" i="2"/>
  <c r="G113" i="5"/>
  <c r="G113" i="8"/>
  <c r="G113" i="9"/>
  <c r="G113" i="4"/>
  <c r="G113" i="6"/>
  <c r="H146" i="7"/>
  <c r="I146" i="7" s="1"/>
  <c r="G152" i="1"/>
  <c r="O152" i="1" s="1"/>
  <c r="F146" i="1"/>
  <c r="N146" i="1" s="1"/>
  <c r="G151" i="1"/>
  <c r="H132" i="1"/>
  <c r="I132" i="1" s="1"/>
  <c r="G138" i="1"/>
  <c r="F147" i="1"/>
  <c r="N147" i="1" s="1"/>
  <c r="M115" i="1"/>
  <c r="N115" i="1" s="1"/>
  <c r="M119" i="1"/>
  <c r="N119" i="1" s="1"/>
  <c r="G147" i="1"/>
  <c r="O147" i="1" s="1"/>
  <c r="G148" i="1"/>
  <c r="M113" i="1"/>
  <c r="Y113" i="1" s="1"/>
  <c r="M116" i="1"/>
  <c r="Y116" i="1" s="1"/>
  <c r="F151" i="1"/>
  <c r="F139" i="1"/>
  <c r="N139" i="1" s="1"/>
  <c r="F153" i="1"/>
  <c r="N153" i="1" s="1"/>
  <c r="M112" i="1"/>
  <c r="N112" i="1" s="1"/>
  <c r="G153" i="1"/>
  <c r="F148" i="1"/>
  <c r="F149" i="1"/>
  <c r="N149" i="1" s="1"/>
  <c r="G135" i="1"/>
  <c r="O135" i="1" s="1"/>
  <c r="M120" i="1"/>
  <c r="N120" i="1" s="1"/>
  <c r="G149" i="1"/>
  <c r="G146" i="1"/>
  <c r="M118" i="1"/>
  <c r="N118" i="1" s="1"/>
  <c r="M117" i="1"/>
  <c r="Y117" i="1" s="1"/>
  <c r="M121" i="1"/>
  <c r="Y121" i="1" s="1"/>
  <c r="F152" i="1"/>
  <c r="N152" i="1" s="1"/>
  <c r="G150" i="1"/>
  <c r="O150" i="1" s="1"/>
  <c r="G136" i="1"/>
  <c r="G134" i="1"/>
  <c r="O134" i="1" s="1"/>
  <c r="G137" i="1"/>
  <c r="O137" i="1" s="1"/>
  <c r="G132" i="1"/>
  <c r="O132" i="1" s="1"/>
  <c r="M114" i="1"/>
  <c r="Y114" i="1" s="1"/>
  <c r="G133" i="1"/>
  <c r="O133" i="1" s="1"/>
  <c r="C132" i="6"/>
  <c r="B125" i="6"/>
  <c r="M110" i="6" s="1"/>
  <c r="C150" i="6"/>
  <c r="H150" i="6" s="1"/>
  <c r="I150" i="6" s="1"/>
  <c r="C134" i="8"/>
  <c r="C153" i="8"/>
  <c r="H153" i="8" s="1"/>
  <c r="I153" i="8" s="1"/>
  <c r="B132" i="8"/>
  <c r="F127" i="8"/>
  <c r="Q76" i="8" a="1"/>
  <c r="Q76" i="8" s="1"/>
  <c r="C149" i="6"/>
  <c r="H149" i="6" s="1"/>
  <c r="I149" i="6" s="1"/>
  <c r="C137" i="4"/>
  <c r="B182" i="6"/>
  <c r="C191" i="6" s="1"/>
  <c r="C202" i="6" s="1"/>
  <c r="B182" i="8"/>
  <c r="C191" i="8" s="1"/>
  <c r="C202" i="8" s="1"/>
  <c r="B182" i="2"/>
  <c r="C191" i="2" s="1"/>
  <c r="C202" i="2" s="1"/>
  <c r="B182" i="4"/>
  <c r="C191" i="4" s="1"/>
  <c r="C202" i="4" s="1"/>
  <c r="B182" i="3"/>
  <c r="C191" i="3" s="1"/>
  <c r="C202" i="3" s="1"/>
  <c r="B182" i="7"/>
  <c r="C191" i="7" s="1"/>
  <c r="C202" i="7" s="1"/>
  <c r="B182" i="9"/>
  <c r="C191" i="9" s="1"/>
  <c r="C202" i="9" s="1"/>
  <c r="B182" i="5"/>
  <c r="C191" i="5" s="1"/>
  <c r="C202" i="5" s="1"/>
  <c r="C148" i="7"/>
  <c r="H148" i="7" s="1"/>
  <c r="I148" i="7" s="1"/>
  <c r="C153" i="5"/>
  <c r="C135" i="5"/>
  <c r="H135" i="5" s="1"/>
  <c r="I135" i="5" s="1"/>
  <c r="C137" i="5"/>
  <c r="H137" i="5" s="1"/>
  <c r="I137" i="5" s="1"/>
  <c r="C151" i="5"/>
  <c r="H151" i="5" s="1"/>
  <c r="I151" i="5" s="1"/>
  <c r="C152" i="9"/>
  <c r="H152" i="9" s="1"/>
  <c r="I152" i="9" s="1"/>
  <c r="B178" i="9"/>
  <c r="D181" i="9"/>
  <c r="B193" i="9" s="1"/>
  <c r="C134" i="9"/>
  <c r="H134" i="9" s="1"/>
  <c r="I134" i="9" s="1"/>
  <c r="F132" i="1"/>
  <c r="C151" i="2"/>
  <c r="B132" i="2"/>
  <c r="F126" i="2"/>
  <c r="F127" i="2"/>
  <c r="Q76" i="2" a="1"/>
  <c r="Q76" i="2" s="1"/>
  <c r="C137" i="8"/>
  <c r="D181" i="8"/>
  <c r="B193" i="8" s="1"/>
  <c r="B178" i="8"/>
  <c r="H146" i="8"/>
  <c r="I146" i="8" s="1"/>
  <c r="C137" i="6"/>
  <c r="H137" i="6" s="1"/>
  <c r="I137" i="6" s="1"/>
  <c r="C152" i="6"/>
  <c r="H152" i="6" s="1"/>
  <c r="I152" i="6" s="1"/>
  <c r="C148" i="6"/>
  <c r="H148" i="6" s="1"/>
  <c r="I148" i="6" s="1"/>
  <c r="C147" i="4"/>
  <c r="H147" i="4" s="1"/>
  <c r="I147" i="4" s="1"/>
  <c r="C150" i="4"/>
  <c r="H150" i="4" s="1"/>
  <c r="I150" i="4" s="1"/>
  <c r="C148" i="4"/>
  <c r="H148" i="4" s="1"/>
  <c r="I148" i="4" s="1"/>
  <c r="C136" i="4"/>
  <c r="A182" i="5"/>
  <c r="C190" i="5" s="1"/>
  <c r="C201" i="5" s="1"/>
  <c r="A182" i="7"/>
  <c r="C190" i="7" s="1"/>
  <c r="C201" i="7" s="1"/>
  <c r="A182" i="3"/>
  <c r="C190" i="3" s="1"/>
  <c r="C201" i="3" s="1"/>
  <c r="A182" i="9"/>
  <c r="C190" i="9" s="1"/>
  <c r="C201" i="9" s="1"/>
  <c r="A182" i="2"/>
  <c r="C190" i="2" s="1"/>
  <c r="C201" i="2" s="1"/>
  <c r="A182" i="4"/>
  <c r="C190" i="4" s="1"/>
  <c r="C201" i="4" s="1"/>
  <c r="A182" i="6"/>
  <c r="C190" i="6" s="1"/>
  <c r="C201" i="6" s="1"/>
  <c r="A182" i="8"/>
  <c r="C190" i="8" s="1"/>
  <c r="C201" i="8" s="1"/>
  <c r="B132" i="4"/>
  <c r="F126" i="4"/>
  <c r="F127" i="4"/>
  <c r="C139" i="7"/>
  <c r="H139" i="7" s="1"/>
  <c r="I139" i="7" s="1"/>
  <c r="C151" i="7"/>
  <c r="H151" i="7" s="1"/>
  <c r="I151" i="7" s="1"/>
  <c r="C134" i="7"/>
  <c r="H134" i="7" s="1"/>
  <c r="I134" i="7" s="1"/>
  <c r="C152" i="7"/>
  <c r="H152" i="7" s="1"/>
  <c r="I152" i="7" s="1"/>
  <c r="H153" i="5"/>
  <c r="I153" i="5" s="1"/>
  <c r="C153" i="9"/>
  <c r="C139" i="2"/>
  <c r="H139" i="2" s="1"/>
  <c r="I139" i="2" s="1"/>
  <c r="C138" i="2"/>
  <c r="H138" i="2" s="1"/>
  <c r="I138" i="2" s="1"/>
  <c r="C180" i="4"/>
  <c r="A192" i="4" s="1"/>
  <c r="A203" i="4" s="1"/>
  <c r="C180" i="8"/>
  <c r="A192" i="8" s="1"/>
  <c r="A203" i="8" s="1"/>
  <c r="C180" i="2"/>
  <c r="A192" i="2" s="1"/>
  <c r="A203" i="2" s="1"/>
  <c r="C180" i="3"/>
  <c r="A192" i="3" s="1"/>
  <c r="A203" i="3" s="1"/>
  <c r="C180" i="7"/>
  <c r="A192" i="7" s="1"/>
  <c r="A203" i="7" s="1"/>
  <c r="C180" i="5"/>
  <c r="A192" i="5" s="1"/>
  <c r="A203" i="5" s="1"/>
  <c r="C180" i="6"/>
  <c r="A192" i="6" s="1"/>
  <c r="A203" i="6" s="1"/>
  <c r="C180" i="9"/>
  <c r="A192" i="9" s="1"/>
  <c r="A203" i="9" s="1"/>
  <c r="C152" i="2"/>
  <c r="H152" i="2" s="1"/>
  <c r="I152" i="2" s="1"/>
  <c r="B178" i="2"/>
  <c r="D181" i="2"/>
  <c r="B193" i="2" s="1"/>
  <c r="C153" i="2"/>
  <c r="H153" i="2" s="1"/>
  <c r="I153" i="2" s="1"/>
  <c r="C149" i="8"/>
  <c r="H149" i="8" s="1"/>
  <c r="I149" i="8" s="1"/>
  <c r="C147" i="6"/>
  <c r="H147" i="6" s="1"/>
  <c r="I147" i="6" s="1"/>
  <c r="I92" i="3"/>
  <c r="D153" i="3" s="1"/>
  <c r="B85" i="3"/>
  <c r="D132" i="3" s="1"/>
  <c r="B133" i="3" s="1"/>
  <c r="B92" i="3"/>
  <c r="D139" i="3" s="1"/>
  <c r="J89" i="3"/>
  <c r="E150" i="3" s="1"/>
  <c r="J91" i="3"/>
  <c r="E152" i="3" s="1"/>
  <c r="I86" i="3"/>
  <c r="D147" i="3" s="1"/>
  <c r="B148" i="3" s="1"/>
  <c r="B110" i="3"/>
  <c r="F110" i="3" s="1"/>
  <c r="J85" i="3"/>
  <c r="E146" i="3" s="1"/>
  <c r="B115" i="3"/>
  <c r="F115" i="3" s="1"/>
  <c r="B117" i="3"/>
  <c r="F117" i="3" s="1"/>
  <c r="I85" i="3"/>
  <c r="D146" i="3" s="1"/>
  <c r="B147" i="3" s="1"/>
  <c r="J87" i="3"/>
  <c r="E148" i="3" s="1"/>
  <c r="C111" i="3"/>
  <c r="G111" i="3" s="1"/>
  <c r="J84" i="3"/>
  <c r="C146" i="3" s="1"/>
  <c r="C115" i="3"/>
  <c r="I84" i="3"/>
  <c r="B146" i="3" s="1"/>
  <c r="B114" i="3"/>
  <c r="F114" i="3" s="1"/>
  <c r="J86" i="3"/>
  <c r="E147" i="3" s="1"/>
  <c r="B119" i="3"/>
  <c r="F119" i="3" s="1"/>
  <c r="C110" i="3"/>
  <c r="G110" i="3" s="1"/>
  <c r="I88" i="3"/>
  <c r="D149" i="3" s="1"/>
  <c r="B150" i="3" s="1"/>
  <c r="B90" i="3"/>
  <c r="D137" i="3" s="1"/>
  <c r="B138" i="3" s="1"/>
  <c r="B120" i="3"/>
  <c r="F120" i="3" s="1"/>
  <c r="C118" i="3"/>
  <c r="G118" i="3" s="1"/>
  <c r="C90" i="3"/>
  <c r="E137" i="3" s="1"/>
  <c r="B87" i="3"/>
  <c r="D134" i="3" s="1"/>
  <c r="B135" i="3" s="1"/>
  <c r="C87" i="3"/>
  <c r="E134" i="3" s="1"/>
  <c r="B116" i="3"/>
  <c r="F116" i="3" s="1"/>
  <c r="C84" i="3"/>
  <c r="I91" i="3"/>
  <c r="D152" i="3" s="1"/>
  <c r="B153" i="3" s="1"/>
  <c r="I87" i="3"/>
  <c r="D148" i="3" s="1"/>
  <c r="B149" i="3" s="1"/>
  <c r="B88" i="3"/>
  <c r="D135" i="3" s="1"/>
  <c r="B136" i="3" s="1"/>
  <c r="C86" i="3"/>
  <c r="E133" i="3" s="1"/>
  <c r="B112" i="3"/>
  <c r="F112" i="3" s="1"/>
  <c r="B89" i="3"/>
  <c r="D136" i="3" s="1"/>
  <c r="B137" i="3" s="1"/>
  <c r="B118" i="3"/>
  <c r="F118" i="3" s="1"/>
  <c r="C117" i="3"/>
  <c r="B86" i="3"/>
  <c r="D133" i="3" s="1"/>
  <c r="B134" i="3" s="1"/>
  <c r="C89" i="3"/>
  <c r="E136" i="3" s="1"/>
  <c r="B175" i="3"/>
  <c r="B176" i="3" s="1"/>
  <c r="B177" i="3" s="1"/>
  <c r="C120" i="3"/>
  <c r="G120" i="3" s="1"/>
  <c r="C113" i="3"/>
  <c r="B91" i="3"/>
  <c r="D138" i="3" s="1"/>
  <c r="B139" i="3" s="1"/>
  <c r="C85" i="3"/>
  <c r="E132" i="3" s="1"/>
  <c r="B121" i="3"/>
  <c r="F121" i="3" s="1"/>
  <c r="B113" i="3"/>
  <c r="F113" i="3" s="1"/>
  <c r="C112" i="3"/>
  <c r="G112" i="3" s="1"/>
  <c r="H64" i="3"/>
  <c r="C119" i="3"/>
  <c r="G119" i="3" s="1"/>
  <c r="B111" i="3"/>
  <c r="F111" i="3" s="1"/>
  <c r="B84" i="3"/>
  <c r="I90" i="3"/>
  <c r="D151" i="3" s="1"/>
  <c r="B152" i="3" s="1"/>
  <c r="C121" i="3"/>
  <c r="G121" i="3" s="1"/>
  <c r="C91" i="3"/>
  <c r="E138" i="3" s="1"/>
  <c r="I89" i="3"/>
  <c r="D150" i="3" s="1"/>
  <c r="B151" i="3" s="1"/>
  <c r="J90" i="3"/>
  <c r="E151" i="3" s="1"/>
  <c r="C116" i="3"/>
  <c r="C92" i="3"/>
  <c r="E139" i="3" s="1"/>
  <c r="J88" i="3"/>
  <c r="E149" i="3" s="1"/>
  <c r="J92" i="3"/>
  <c r="E153" i="3" s="1"/>
  <c r="C114" i="3"/>
  <c r="C88" i="3"/>
  <c r="E135" i="3" s="1"/>
  <c r="H136" i="1"/>
  <c r="I136" i="1" s="1"/>
  <c r="F136" i="1"/>
  <c r="C136" i="5"/>
  <c r="H136" i="5" s="1"/>
  <c r="I136" i="5" s="1"/>
  <c r="C137" i="2"/>
  <c r="H137" i="2" s="1"/>
  <c r="I137" i="2" s="1"/>
  <c r="B180" i="9"/>
  <c r="A191" i="9" s="1"/>
  <c r="A202" i="9" s="1"/>
  <c r="B180" i="7"/>
  <c r="A191" i="7" s="1"/>
  <c r="A202" i="7" s="1"/>
  <c r="B180" i="8"/>
  <c r="A191" i="8" s="1"/>
  <c r="A202" i="8" s="1"/>
  <c r="B180" i="3"/>
  <c r="A191" i="3" s="1"/>
  <c r="A202" i="3" s="1"/>
  <c r="B180" i="4"/>
  <c r="A191" i="4" s="1"/>
  <c r="A202" i="4" s="1"/>
  <c r="B180" i="6"/>
  <c r="A191" i="6" s="1"/>
  <c r="A202" i="6" s="1"/>
  <c r="B180" i="5"/>
  <c r="A191" i="5" s="1"/>
  <c r="A202" i="5" s="1"/>
  <c r="B180" i="2"/>
  <c r="A191" i="2" s="1"/>
  <c r="A202" i="2" s="1"/>
  <c r="C133" i="2"/>
  <c r="H133" i="2" s="1"/>
  <c r="I133" i="2" s="1"/>
  <c r="C147" i="2"/>
  <c r="H147" i="2" s="1"/>
  <c r="I147" i="2" s="1"/>
  <c r="C153" i="6"/>
  <c r="C134" i="6"/>
  <c r="H134" i="6" s="1"/>
  <c r="I134" i="6" s="1"/>
  <c r="H137" i="1"/>
  <c r="I137" i="1" s="1"/>
  <c r="F137" i="1"/>
  <c r="C152" i="4"/>
  <c r="H152" i="4" s="1"/>
  <c r="I152" i="4" s="1"/>
  <c r="C133" i="4"/>
  <c r="H133" i="4" s="1"/>
  <c r="I133" i="4" s="1"/>
  <c r="C149" i="4"/>
  <c r="H149" i="4" s="1"/>
  <c r="I149" i="4" s="1"/>
  <c r="C132" i="4"/>
  <c r="B125" i="4"/>
  <c r="E113" i="4" s="1"/>
  <c r="C138" i="7"/>
  <c r="H138" i="7" s="1"/>
  <c r="I138" i="7" s="1"/>
  <c r="C133" i="7"/>
  <c r="C138" i="5"/>
  <c r="H138" i="5" s="1"/>
  <c r="I138" i="5" s="1"/>
  <c r="C133" i="5"/>
  <c r="H133" i="5" s="1"/>
  <c r="I133" i="5" s="1"/>
  <c r="C152" i="5"/>
  <c r="H152" i="5" s="1"/>
  <c r="I152" i="5" s="1"/>
  <c r="C133" i="9"/>
  <c r="C151" i="9"/>
  <c r="H151" i="9" s="1"/>
  <c r="I151" i="9" s="1"/>
  <c r="C147" i="9"/>
  <c r="H147" i="9" s="1"/>
  <c r="I147" i="9" s="1"/>
  <c r="M110" i="1"/>
  <c r="F150" i="1"/>
  <c r="C136" i="2"/>
  <c r="A180" i="2"/>
  <c r="C151" i="6"/>
  <c r="H151" i="6" s="1"/>
  <c r="I151" i="6" s="1"/>
  <c r="B178" i="4"/>
  <c r="D181" i="4"/>
  <c r="B193" i="4" s="1"/>
  <c r="C153" i="7"/>
  <c r="H153" i="7" s="1"/>
  <c r="I153" i="7" s="1"/>
  <c r="C132" i="5"/>
  <c r="B125" i="5"/>
  <c r="E114" i="5" s="1"/>
  <c r="C135" i="9"/>
  <c r="B132" i="9"/>
  <c r="F126" i="9"/>
  <c r="F127" i="9"/>
  <c r="Q76" i="9" a="1"/>
  <c r="Q76" i="9" s="1"/>
  <c r="C135" i="2"/>
  <c r="C152" i="8"/>
  <c r="H152" i="8" s="1"/>
  <c r="I152" i="8" s="1"/>
  <c r="C138" i="8"/>
  <c r="H138" i="8" s="1"/>
  <c r="I138" i="8" s="1"/>
  <c r="C132" i="8"/>
  <c r="B125" i="8"/>
  <c r="E115" i="8" s="1"/>
  <c r="C147" i="8"/>
  <c r="H147" i="8" s="1"/>
  <c r="I147" i="8" s="1"/>
  <c r="C133" i="6"/>
  <c r="H146" i="4"/>
  <c r="I146" i="4" s="1"/>
  <c r="C138" i="4"/>
  <c r="H138" i="4" s="1"/>
  <c r="I138" i="4" s="1"/>
  <c r="C182" i="5"/>
  <c r="C192" i="5" s="1"/>
  <c r="C203" i="5" s="1"/>
  <c r="C182" i="3"/>
  <c r="C192" i="3" s="1"/>
  <c r="C203" i="3" s="1"/>
  <c r="C182" i="9"/>
  <c r="C192" i="9" s="1"/>
  <c r="C203" i="9" s="1"/>
  <c r="C182" i="2"/>
  <c r="C192" i="2" s="1"/>
  <c r="C203" i="2" s="1"/>
  <c r="C182" i="7"/>
  <c r="C192" i="7" s="1"/>
  <c r="C203" i="7" s="1"/>
  <c r="C182" i="8"/>
  <c r="C192" i="8" s="1"/>
  <c r="C203" i="8" s="1"/>
  <c r="C182" i="6"/>
  <c r="C192" i="6" s="1"/>
  <c r="C203" i="6" s="1"/>
  <c r="C182" i="4"/>
  <c r="C192" i="4" s="1"/>
  <c r="C203" i="4" s="1"/>
  <c r="C153" i="4"/>
  <c r="H153" i="4" s="1"/>
  <c r="I153" i="4" s="1"/>
  <c r="C149" i="7"/>
  <c r="H149" i="7" s="1"/>
  <c r="I149" i="7" s="1"/>
  <c r="C136" i="7"/>
  <c r="C132" i="7"/>
  <c r="B125" i="7"/>
  <c r="E115" i="7" s="1"/>
  <c r="C134" i="5"/>
  <c r="H134" i="5" s="1"/>
  <c r="I134" i="5" s="1"/>
  <c r="C147" i="5"/>
  <c r="H147" i="5" s="1"/>
  <c r="I147" i="5" s="1"/>
  <c r="H135" i="1"/>
  <c r="I135" i="1" s="1"/>
  <c r="F135" i="1"/>
  <c r="C138" i="9"/>
  <c r="H138" i="9" s="1"/>
  <c r="I138" i="9" s="1"/>
  <c r="C132" i="2"/>
  <c r="B125" i="2"/>
  <c r="E113" i="2" s="1"/>
  <c r="F126" i="8"/>
  <c r="D136" i="8"/>
  <c r="B137" i="8" s="1"/>
  <c r="B132" i="6"/>
  <c r="F127" i="6"/>
  <c r="Q76" i="6" a="1"/>
  <c r="Q76" i="6" s="1"/>
  <c r="F126" i="6"/>
  <c r="R73" i="1"/>
  <c r="Q74" i="1"/>
  <c r="R74" i="1" s="1"/>
  <c r="B132" i="7"/>
  <c r="Q76" i="7" a="1"/>
  <c r="Q76" i="7" s="1"/>
  <c r="F126" i="7"/>
  <c r="F127" i="7"/>
  <c r="C147" i="7"/>
  <c r="H147" i="7" s="1"/>
  <c r="I147" i="7" s="1"/>
  <c r="C135" i="7"/>
  <c r="C139" i="5"/>
  <c r="H139" i="5" s="1"/>
  <c r="I139" i="5" s="1"/>
  <c r="C137" i="9"/>
  <c r="H137" i="9" s="1"/>
  <c r="I137" i="9" s="1"/>
  <c r="C150" i="9"/>
  <c r="H150" i="9" s="1"/>
  <c r="I150" i="9" s="1"/>
  <c r="C139" i="9"/>
  <c r="H139" i="9" s="1"/>
  <c r="I139" i="9" s="1"/>
  <c r="C148" i="9"/>
  <c r="H148" i="9" s="1"/>
  <c r="I148" i="9" s="1"/>
  <c r="H138" i="1"/>
  <c r="I138" i="1" s="1"/>
  <c r="F138" i="1"/>
  <c r="C134" i="2"/>
  <c r="C150" i="2"/>
  <c r="H150" i="2" s="1"/>
  <c r="I150" i="2" s="1"/>
  <c r="H146" i="2"/>
  <c r="I146" i="2" s="1"/>
  <c r="C136" i="8"/>
  <c r="C138" i="6"/>
  <c r="C137" i="7"/>
  <c r="H137" i="7" s="1"/>
  <c r="I137" i="7" s="1"/>
  <c r="C150" i="7"/>
  <c r="H150" i="7" s="1"/>
  <c r="I150" i="7" s="1"/>
  <c r="C135" i="8"/>
  <c r="C133" i="8"/>
  <c r="C139" i="8"/>
  <c r="H139" i="8" s="1"/>
  <c r="I139" i="8" s="1"/>
  <c r="C135" i="6"/>
  <c r="H135" i="6" s="1"/>
  <c r="I135" i="6" s="1"/>
  <c r="H146" i="6"/>
  <c r="I146" i="6" s="1"/>
  <c r="H153" i="6"/>
  <c r="I153" i="6" s="1"/>
  <c r="C136" i="6"/>
  <c r="H136" i="6" s="1"/>
  <c r="I136" i="6" s="1"/>
  <c r="C151" i="4"/>
  <c r="H151" i="4" s="1"/>
  <c r="I151" i="4" s="1"/>
  <c r="D181" i="5"/>
  <c r="B193" i="5" s="1"/>
  <c r="B178" i="5"/>
  <c r="H146" i="5"/>
  <c r="I146" i="5" s="1"/>
  <c r="C149" i="9"/>
  <c r="H149" i="9" s="1"/>
  <c r="I149" i="9" s="1"/>
  <c r="F133" i="1"/>
  <c r="C149" i="2"/>
  <c r="H149" i="2" s="1"/>
  <c r="I149" i="2" s="1"/>
  <c r="H151" i="2"/>
  <c r="I151" i="2" s="1"/>
  <c r="C148" i="2"/>
  <c r="H148" i="2" s="1"/>
  <c r="I148" i="2" s="1"/>
  <c r="C134" i="4"/>
  <c r="H134" i="4" s="1"/>
  <c r="I134" i="4" s="1"/>
  <c r="C148" i="5"/>
  <c r="H148" i="5" s="1"/>
  <c r="I148" i="5" s="1"/>
  <c r="H134" i="1"/>
  <c r="I134" i="1" s="1"/>
  <c r="F134" i="1"/>
  <c r="C150" i="8"/>
  <c r="H150" i="8" s="1"/>
  <c r="I150" i="8" s="1"/>
  <c r="C151" i="8"/>
  <c r="H151" i="8" s="1"/>
  <c r="I151" i="8" s="1"/>
  <c r="C148" i="8"/>
  <c r="H148" i="8" s="1"/>
  <c r="I148" i="8" s="1"/>
  <c r="C139" i="6"/>
  <c r="H139" i="6" s="1"/>
  <c r="I139" i="6" s="1"/>
  <c r="B178" i="6"/>
  <c r="D181" i="6"/>
  <c r="B193" i="6" s="1"/>
  <c r="Q76" i="4" a="1"/>
  <c r="Q76" i="4" s="1"/>
  <c r="D136" i="4"/>
  <c r="B137" i="4" s="1"/>
  <c r="C135" i="4"/>
  <c r="C139" i="4"/>
  <c r="H139" i="4" s="1"/>
  <c r="I139" i="4" s="1"/>
  <c r="D181" i="7"/>
  <c r="B193" i="7" s="1"/>
  <c r="B178" i="7"/>
  <c r="B132" i="5"/>
  <c r="Q76" i="5" a="1"/>
  <c r="Q76" i="5" s="1"/>
  <c r="F126" i="5"/>
  <c r="F127" i="5"/>
  <c r="C149" i="5"/>
  <c r="H149" i="5" s="1"/>
  <c r="I149" i="5" s="1"/>
  <c r="C150" i="5"/>
  <c r="H150" i="5" s="1"/>
  <c r="I150" i="5" s="1"/>
  <c r="C132" i="9"/>
  <c r="B125" i="9"/>
  <c r="E114" i="9" s="1"/>
  <c r="H153" i="9"/>
  <c r="I153" i="9" s="1"/>
  <c r="C136" i="9"/>
  <c r="H146" i="9"/>
  <c r="I146" i="9" s="1"/>
  <c r="E111" i="1"/>
  <c r="G126" i="1"/>
  <c r="E110" i="1"/>
  <c r="M111" i="1"/>
  <c r="E116" i="5" l="1"/>
  <c r="E117" i="6"/>
  <c r="E117" i="4"/>
  <c r="E116" i="9"/>
  <c r="E116" i="2"/>
  <c r="E117" i="5"/>
  <c r="E117" i="2"/>
  <c r="E116" i="7"/>
  <c r="E116" i="4"/>
  <c r="E117" i="9"/>
  <c r="E117" i="7"/>
  <c r="E116" i="8"/>
  <c r="E116" i="6"/>
  <c r="E117" i="8"/>
  <c r="G117" i="3"/>
  <c r="G116" i="3"/>
  <c r="H137" i="8"/>
  <c r="I137" i="8" s="1"/>
  <c r="L136" i="1"/>
  <c r="E114" i="7"/>
  <c r="E115" i="4"/>
  <c r="E115" i="9"/>
  <c r="E114" i="4"/>
  <c r="E114" i="8"/>
  <c r="E115" i="6"/>
  <c r="E114" i="2"/>
  <c r="E115" i="5"/>
  <c r="E114" i="6"/>
  <c r="E115" i="2"/>
  <c r="G115" i="3"/>
  <c r="G114" i="3"/>
  <c r="G150" i="6"/>
  <c r="O150" i="6" s="1"/>
  <c r="G152" i="6"/>
  <c r="O152" i="6" s="1"/>
  <c r="H132" i="5"/>
  <c r="I132" i="5" s="1"/>
  <c r="H137" i="4"/>
  <c r="I137" i="4" s="1"/>
  <c r="M139" i="1"/>
  <c r="L139" i="1"/>
  <c r="L152" i="1"/>
  <c r="K139" i="1"/>
  <c r="M114" i="6"/>
  <c r="N114" i="6" s="1"/>
  <c r="O114" i="6" s="1"/>
  <c r="L150" i="1"/>
  <c r="N114" i="1"/>
  <c r="P114" i="1" s="1"/>
  <c r="J139" i="1"/>
  <c r="M152" i="1"/>
  <c r="L133" i="1"/>
  <c r="Y115" i="1"/>
  <c r="G133" i="8"/>
  <c r="O133" i="8" s="1"/>
  <c r="E112" i="8"/>
  <c r="M112" i="9"/>
  <c r="N112" i="9" s="1"/>
  <c r="P112" i="9" s="1"/>
  <c r="E112" i="9"/>
  <c r="G137" i="5"/>
  <c r="O137" i="5" s="1"/>
  <c r="E112" i="5"/>
  <c r="G151" i="6"/>
  <c r="O151" i="6" s="1"/>
  <c r="E112" i="6"/>
  <c r="G150" i="2"/>
  <c r="O150" i="2" s="1"/>
  <c r="E112" i="2"/>
  <c r="G133" i="7"/>
  <c r="O133" i="7" s="1"/>
  <c r="E112" i="7"/>
  <c r="E113" i="9"/>
  <c r="E113" i="7"/>
  <c r="E113" i="8"/>
  <c r="G152" i="4"/>
  <c r="O152" i="4" s="1"/>
  <c r="E112" i="4"/>
  <c r="E113" i="6"/>
  <c r="E113" i="5"/>
  <c r="G113" i="3"/>
  <c r="L148" i="1"/>
  <c r="M150" i="1"/>
  <c r="M148" i="1"/>
  <c r="Y119" i="1"/>
  <c r="M119" i="4"/>
  <c r="N119" i="4" s="1"/>
  <c r="O119" i="4" s="1"/>
  <c r="G153" i="7"/>
  <c r="O153" i="7" s="1"/>
  <c r="L135" i="1"/>
  <c r="Y120" i="1"/>
  <c r="G150" i="4"/>
  <c r="O150" i="4" s="1"/>
  <c r="M110" i="8"/>
  <c r="N110" i="8" s="1"/>
  <c r="M136" i="1"/>
  <c r="O136" i="1"/>
  <c r="K146" i="1"/>
  <c r="J146" i="1"/>
  <c r="J149" i="1"/>
  <c r="M119" i="5"/>
  <c r="N119" i="5" s="1"/>
  <c r="P119" i="5" s="1"/>
  <c r="M118" i="7"/>
  <c r="N118" i="7" s="1"/>
  <c r="O118" i="7" s="1"/>
  <c r="G139" i="5"/>
  <c r="O139" i="5" s="1"/>
  <c r="L151" i="1"/>
  <c r="G148" i="5"/>
  <c r="O148" i="5" s="1"/>
  <c r="G139" i="8"/>
  <c r="F149" i="5"/>
  <c r="G147" i="8"/>
  <c r="G147" i="5"/>
  <c r="G138" i="8"/>
  <c r="O138" i="8" s="1"/>
  <c r="G149" i="5"/>
  <c r="F139" i="8"/>
  <c r="M121" i="8"/>
  <c r="N121" i="8" s="1"/>
  <c r="O121" i="8" s="1"/>
  <c r="F139" i="5"/>
  <c r="O151" i="1"/>
  <c r="K147" i="1"/>
  <c r="M151" i="1"/>
  <c r="L147" i="1"/>
  <c r="M147" i="1"/>
  <c r="Y118" i="1"/>
  <c r="M118" i="5"/>
  <c r="N118" i="5" s="1"/>
  <c r="O118" i="5" s="1"/>
  <c r="L153" i="1"/>
  <c r="M135" i="1"/>
  <c r="L146" i="1"/>
  <c r="K149" i="1"/>
  <c r="M133" i="1"/>
  <c r="J148" i="1"/>
  <c r="J147" i="1"/>
  <c r="J151" i="1"/>
  <c r="M138" i="1"/>
  <c r="L138" i="1"/>
  <c r="M146" i="1"/>
  <c r="O146" i="1"/>
  <c r="O138" i="1"/>
  <c r="J152" i="1"/>
  <c r="N151" i="1"/>
  <c r="F149" i="2"/>
  <c r="M113" i="7"/>
  <c r="N113" i="7" s="1"/>
  <c r="P113" i="7" s="1"/>
  <c r="K151" i="1"/>
  <c r="K148" i="1"/>
  <c r="K152" i="1"/>
  <c r="M114" i="8"/>
  <c r="N114" i="8" s="1"/>
  <c r="P114" i="8" s="1"/>
  <c r="N148" i="1"/>
  <c r="G151" i="2"/>
  <c r="O151" i="2" s="1"/>
  <c r="G135" i="5"/>
  <c r="O135" i="5" s="1"/>
  <c r="F147" i="5"/>
  <c r="L134" i="1"/>
  <c r="Y112" i="1"/>
  <c r="F148" i="8"/>
  <c r="N148" i="8" s="1"/>
  <c r="G148" i="9"/>
  <c r="O148" i="9" s="1"/>
  <c r="M115" i="5"/>
  <c r="N115" i="5" s="1"/>
  <c r="P115" i="5" s="1"/>
  <c r="M117" i="8"/>
  <c r="N117" i="8" s="1"/>
  <c r="O117" i="8" s="1"/>
  <c r="G153" i="8"/>
  <c r="O153" i="8" s="1"/>
  <c r="F134" i="2"/>
  <c r="M117" i="5"/>
  <c r="N117" i="5" s="1"/>
  <c r="O117" i="5" s="1"/>
  <c r="O148" i="1"/>
  <c r="M121" i="5"/>
  <c r="N121" i="5" s="1"/>
  <c r="P121" i="5" s="1"/>
  <c r="G150" i="8"/>
  <c r="O150" i="8" s="1"/>
  <c r="M112" i="8"/>
  <c r="N112" i="8" s="1"/>
  <c r="P112" i="8" s="1"/>
  <c r="G132" i="8"/>
  <c r="F150" i="7"/>
  <c r="N150" i="7" s="1"/>
  <c r="G138" i="5"/>
  <c r="O138" i="5" s="1"/>
  <c r="M110" i="2"/>
  <c r="N110" i="2" s="1"/>
  <c r="G146" i="5"/>
  <c r="O146" i="5" s="1"/>
  <c r="G137" i="8"/>
  <c r="O137" i="8" s="1"/>
  <c r="H146" i="3"/>
  <c r="I146" i="3" s="1"/>
  <c r="G146" i="6"/>
  <c r="O146" i="6" s="1"/>
  <c r="M121" i="7"/>
  <c r="N121" i="7" s="1"/>
  <c r="P121" i="7" s="1"/>
  <c r="F151" i="8"/>
  <c r="N151" i="8" s="1"/>
  <c r="F133" i="8"/>
  <c r="F150" i="5"/>
  <c r="N150" i="5" s="1"/>
  <c r="G149" i="8"/>
  <c r="O149" i="8" s="1"/>
  <c r="G148" i="2"/>
  <c r="O148" i="2" s="1"/>
  <c r="G134" i="8"/>
  <c r="M114" i="5"/>
  <c r="N114" i="5" s="1"/>
  <c r="P114" i="5" s="1"/>
  <c r="M120" i="5"/>
  <c r="N120" i="5" s="1"/>
  <c r="P120" i="5" s="1"/>
  <c r="N117" i="1"/>
  <c r="O117" i="1" s="1"/>
  <c r="G139" i="9"/>
  <c r="O139" i="9" s="1"/>
  <c r="M112" i="5"/>
  <c r="N112" i="5" s="1"/>
  <c r="P112" i="5" s="1"/>
  <c r="M116" i="7"/>
  <c r="N116" i="7" s="1"/>
  <c r="P116" i="7" s="1"/>
  <c r="F150" i="8"/>
  <c r="N150" i="8" s="1"/>
  <c r="F135" i="8"/>
  <c r="N135" i="8" s="1"/>
  <c r="G135" i="8"/>
  <c r="F148" i="5"/>
  <c r="F136" i="8"/>
  <c r="N136" i="8" s="1"/>
  <c r="G138" i="9"/>
  <c r="O138" i="9" s="1"/>
  <c r="M111" i="5"/>
  <c r="N111" i="5" s="1"/>
  <c r="P111" i="5" s="1"/>
  <c r="G133" i="5"/>
  <c r="O133" i="5" s="1"/>
  <c r="L132" i="1"/>
  <c r="F132" i="9"/>
  <c r="N132" i="9" s="1"/>
  <c r="G139" i="2"/>
  <c r="O139" i="2" s="1"/>
  <c r="J153" i="1"/>
  <c r="M132" i="1"/>
  <c r="F132" i="2"/>
  <c r="G134" i="9"/>
  <c r="O134" i="9" s="1"/>
  <c r="G150" i="9"/>
  <c r="O150" i="9" s="1"/>
  <c r="M153" i="1"/>
  <c r="F134" i="8"/>
  <c r="M119" i="9"/>
  <c r="N119" i="9" s="1"/>
  <c r="P119" i="9" s="1"/>
  <c r="M121" i="2"/>
  <c r="N121" i="2" s="1"/>
  <c r="O121" i="2" s="1"/>
  <c r="K153" i="1"/>
  <c r="N121" i="1"/>
  <c r="O121" i="1" s="1"/>
  <c r="M115" i="2"/>
  <c r="N115" i="2" s="1"/>
  <c r="P115" i="2" s="1"/>
  <c r="F135" i="9"/>
  <c r="N135" i="9" s="1"/>
  <c r="M114" i="9"/>
  <c r="N114" i="9" s="1"/>
  <c r="O114" i="9" s="1"/>
  <c r="O153" i="1"/>
  <c r="F147" i="9"/>
  <c r="N147" i="9" s="1"/>
  <c r="G134" i="4"/>
  <c r="O134" i="4" s="1"/>
  <c r="N116" i="1"/>
  <c r="P116" i="1" s="1"/>
  <c r="G147" i="2"/>
  <c r="M119" i="2"/>
  <c r="N119" i="2" s="1"/>
  <c r="P119" i="2" s="1"/>
  <c r="M115" i="9"/>
  <c r="N115" i="9" s="1"/>
  <c r="P115" i="9" s="1"/>
  <c r="G149" i="2"/>
  <c r="O149" i="2" s="1"/>
  <c r="G134" i="7"/>
  <c r="O134" i="7" s="1"/>
  <c r="M111" i="7"/>
  <c r="N111" i="7" s="1"/>
  <c r="O111" i="7" s="1"/>
  <c r="F132" i="7"/>
  <c r="G146" i="8"/>
  <c r="O146" i="8" s="1"/>
  <c r="G134" i="2"/>
  <c r="O134" i="2" s="1"/>
  <c r="M114" i="7"/>
  <c r="N114" i="7" s="1"/>
  <c r="O114" i="7" s="1"/>
  <c r="G146" i="2"/>
  <c r="O146" i="2" s="1"/>
  <c r="O149" i="1"/>
  <c r="M115" i="7"/>
  <c r="N115" i="7" s="1"/>
  <c r="P115" i="7" s="1"/>
  <c r="F151" i="2"/>
  <c r="G133" i="9"/>
  <c r="O133" i="9" s="1"/>
  <c r="F149" i="9"/>
  <c r="N149" i="9" s="1"/>
  <c r="F139" i="9"/>
  <c r="M118" i="2"/>
  <c r="N118" i="2" s="1"/>
  <c r="P118" i="2" s="1"/>
  <c r="M117" i="2"/>
  <c r="N117" i="2" s="1"/>
  <c r="O117" i="2" s="1"/>
  <c r="F146" i="9"/>
  <c r="N113" i="1"/>
  <c r="O113" i="1" s="1"/>
  <c r="F148" i="2"/>
  <c r="G149" i="7"/>
  <c r="O149" i="7" s="1"/>
  <c r="F150" i="2"/>
  <c r="F135" i="7"/>
  <c r="N135" i="7" s="1"/>
  <c r="L137" i="1"/>
  <c r="G135" i="7"/>
  <c r="O135" i="7" s="1"/>
  <c r="F147" i="8"/>
  <c r="N147" i="8" s="1"/>
  <c r="F132" i="5"/>
  <c r="N132" i="5" s="1"/>
  <c r="G132" i="7"/>
  <c r="O132" i="7" s="1"/>
  <c r="F147" i="2"/>
  <c r="N147" i="2" s="1"/>
  <c r="M149" i="1"/>
  <c r="M114" i="2"/>
  <c r="N114" i="2" s="1"/>
  <c r="P114" i="2" s="1"/>
  <c r="M111" i="8"/>
  <c r="N111" i="8" s="1"/>
  <c r="O111" i="8" s="1"/>
  <c r="F146" i="2"/>
  <c r="N146" i="2" s="1"/>
  <c r="M137" i="1"/>
  <c r="F136" i="2"/>
  <c r="N136" i="2" s="1"/>
  <c r="L149" i="1"/>
  <c r="M118" i="9"/>
  <c r="N118" i="9" s="1"/>
  <c r="P118" i="9" s="1"/>
  <c r="G152" i="5"/>
  <c r="F136" i="9"/>
  <c r="N136" i="9" s="1"/>
  <c r="M116" i="2"/>
  <c r="N116" i="2" s="1"/>
  <c r="O116" i="2" s="1"/>
  <c r="F137" i="7"/>
  <c r="G133" i="2"/>
  <c r="O133" i="2" s="1"/>
  <c r="F147" i="7"/>
  <c r="N147" i="7" s="1"/>
  <c r="G153" i="2"/>
  <c r="O153" i="2" s="1"/>
  <c r="F132" i="8"/>
  <c r="N132" i="8" s="1"/>
  <c r="F146" i="5"/>
  <c r="F153" i="5"/>
  <c r="G148" i="6"/>
  <c r="O148" i="6" s="1"/>
  <c r="F151" i="6"/>
  <c r="G127" i="1"/>
  <c r="J127" i="1" s="1"/>
  <c r="J126" i="1"/>
  <c r="I127" i="1"/>
  <c r="I126" i="1"/>
  <c r="Q77" i="5"/>
  <c r="R77" i="5" s="1"/>
  <c r="R76" i="5"/>
  <c r="M121" i="4"/>
  <c r="N121" i="4" s="1"/>
  <c r="P118" i="1"/>
  <c r="O118" i="1"/>
  <c r="H138" i="6"/>
  <c r="I138" i="6" s="1"/>
  <c r="F138" i="6"/>
  <c r="F148" i="9"/>
  <c r="H132" i="7"/>
  <c r="I132" i="7" s="1"/>
  <c r="E110" i="7"/>
  <c r="E111" i="7"/>
  <c r="G126" i="7"/>
  <c r="G127" i="7" s="1"/>
  <c r="G153" i="4"/>
  <c r="M113" i="8"/>
  <c r="N113" i="8" s="1"/>
  <c r="F152" i="8"/>
  <c r="H136" i="9"/>
  <c r="I136" i="9" s="1"/>
  <c r="G135" i="2"/>
  <c r="G146" i="9"/>
  <c r="F146" i="7"/>
  <c r="F152" i="4"/>
  <c r="M121" i="6"/>
  <c r="N121" i="6" s="1"/>
  <c r="M116" i="8"/>
  <c r="N116" i="8" s="1"/>
  <c r="F136" i="5"/>
  <c r="C134" i="3"/>
  <c r="H134" i="3" s="1"/>
  <c r="I134" i="3" s="1"/>
  <c r="C138" i="3"/>
  <c r="H138" i="3" s="1"/>
  <c r="I138" i="3" s="1"/>
  <c r="C181" i="3"/>
  <c r="B192" i="3" s="1"/>
  <c r="B203" i="3" s="1"/>
  <c r="C181" i="9"/>
  <c r="B192" i="9" s="1"/>
  <c r="B203" i="9" s="1"/>
  <c r="C181" i="5"/>
  <c r="B192" i="5" s="1"/>
  <c r="B203" i="5" s="1"/>
  <c r="C181" i="8"/>
  <c r="B192" i="8" s="1"/>
  <c r="B203" i="8" s="1"/>
  <c r="C181" i="2"/>
  <c r="B192" i="2" s="1"/>
  <c r="B203" i="2" s="1"/>
  <c r="C181" i="6"/>
  <c r="B192" i="6" s="1"/>
  <c r="B203" i="6" s="1"/>
  <c r="C181" i="7"/>
  <c r="B192" i="7" s="1"/>
  <c r="B203" i="7" s="1"/>
  <c r="C181" i="4"/>
  <c r="B192" i="4" s="1"/>
  <c r="B203" i="4" s="1"/>
  <c r="F153" i="9"/>
  <c r="F152" i="7"/>
  <c r="F148" i="4"/>
  <c r="F137" i="6"/>
  <c r="F152" i="9"/>
  <c r="F135" i="5"/>
  <c r="M117" i="7"/>
  <c r="N117" i="7" s="1"/>
  <c r="H136" i="4"/>
  <c r="I136" i="4" s="1"/>
  <c r="M120" i="6"/>
  <c r="N120" i="6" s="1"/>
  <c r="F146" i="4"/>
  <c r="P115" i="1"/>
  <c r="O115" i="1"/>
  <c r="K137" i="1"/>
  <c r="J137" i="1"/>
  <c r="N137" i="1"/>
  <c r="K136" i="1"/>
  <c r="J136" i="1"/>
  <c r="N136" i="1"/>
  <c r="N111" i="1"/>
  <c r="Y111" i="1"/>
  <c r="M119" i="6"/>
  <c r="N119" i="6" s="1"/>
  <c r="F151" i="4"/>
  <c r="F147" i="6"/>
  <c r="F150" i="4"/>
  <c r="G147" i="6"/>
  <c r="F149" i="6"/>
  <c r="F132" i="6"/>
  <c r="E110" i="9"/>
  <c r="E111" i="9"/>
  <c r="G126" i="9"/>
  <c r="G127" i="9" s="1"/>
  <c r="K134" i="1"/>
  <c r="J134" i="1"/>
  <c r="N134" i="1"/>
  <c r="M119" i="7"/>
  <c r="N119" i="7" s="1"/>
  <c r="M120" i="7"/>
  <c r="N120" i="7" s="1"/>
  <c r="M111" i="4"/>
  <c r="N111" i="4" s="1"/>
  <c r="F135" i="6"/>
  <c r="G136" i="7"/>
  <c r="G149" i="9"/>
  <c r="G146" i="7"/>
  <c r="M120" i="4"/>
  <c r="N120" i="4" s="1"/>
  <c r="E110" i="2"/>
  <c r="E111" i="2"/>
  <c r="G126" i="2"/>
  <c r="G127" i="2" s="1"/>
  <c r="G153" i="9"/>
  <c r="F136" i="7"/>
  <c r="F138" i="4"/>
  <c r="F133" i="6"/>
  <c r="E111" i="8"/>
  <c r="E110" i="8"/>
  <c r="G126" i="8"/>
  <c r="G127" i="8" s="1"/>
  <c r="F135" i="2"/>
  <c r="E110" i="5"/>
  <c r="E111" i="5"/>
  <c r="G126" i="5"/>
  <c r="G127" i="5" s="1"/>
  <c r="H134" i="2"/>
  <c r="I134" i="2" s="1"/>
  <c r="F151" i="9"/>
  <c r="G151" i="5"/>
  <c r="F133" i="7"/>
  <c r="G148" i="4"/>
  <c r="G153" i="6"/>
  <c r="F146" i="8"/>
  <c r="G132" i="2"/>
  <c r="C136" i="3"/>
  <c r="A181" i="6"/>
  <c r="B190" i="6" s="1"/>
  <c r="B201" i="6" s="1"/>
  <c r="A181" i="2"/>
  <c r="B190" i="2" s="1"/>
  <c r="B201" i="2" s="1"/>
  <c r="A181" i="9"/>
  <c r="B190" i="9" s="1"/>
  <c r="B201" i="9" s="1"/>
  <c r="A181" i="4"/>
  <c r="B190" i="4" s="1"/>
  <c r="B201" i="4" s="1"/>
  <c r="A181" i="5"/>
  <c r="B190" i="5" s="1"/>
  <c r="B201" i="5" s="1"/>
  <c r="A181" i="3"/>
  <c r="B190" i="3" s="1"/>
  <c r="B201" i="3" s="1"/>
  <c r="A181" i="8"/>
  <c r="B190" i="8" s="1"/>
  <c r="B201" i="8" s="1"/>
  <c r="A181" i="7"/>
  <c r="B190" i="7" s="1"/>
  <c r="B201" i="7" s="1"/>
  <c r="C139" i="3"/>
  <c r="H139" i="3" s="1"/>
  <c r="I139" i="3" s="1"/>
  <c r="G148" i="8"/>
  <c r="F152" i="2"/>
  <c r="G153" i="5"/>
  <c r="F134" i="7"/>
  <c r="M117" i="4"/>
  <c r="N117" i="4" s="1"/>
  <c r="F148" i="6"/>
  <c r="M115" i="8"/>
  <c r="N115" i="8" s="1"/>
  <c r="M112" i="2"/>
  <c r="N112" i="2" s="1"/>
  <c r="F134" i="9"/>
  <c r="G150" i="5"/>
  <c r="M113" i="5"/>
  <c r="N113" i="5" s="1"/>
  <c r="G136" i="4"/>
  <c r="M115" i="6"/>
  <c r="N115" i="6" s="1"/>
  <c r="Q77" i="8"/>
  <c r="R77" i="8" s="1"/>
  <c r="R76" i="8"/>
  <c r="O112" i="1"/>
  <c r="P112" i="1"/>
  <c r="G139" i="6"/>
  <c r="D181" i="3"/>
  <c r="B193" i="3" s="1"/>
  <c r="B178" i="3"/>
  <c r="F135" i="4"/>
  <c r="G137" i="4"/>
  <c r="M115" i="4"/>
  <c r="N115" i="4" s="1"/>
  <c r="M118" i="4"/>
  <c r="N118" i="4" s="1"/>
  <c r="G133" i="4"/>
  <c r="K138" i="1"/>
  <c r="J138" i="1"/>
  <c r="N138" i="1"/>
  <c r="F150" i="9"/>
  <c r="M112" i="4"/>
  <c r="N112" i="4" s="1"/>
  <c r="R76" i="6"/>
  <c r="Q77" i="6"/>
  <c r="R77" i="6" s="1"/>
  <c r="G137" i="9"/>
  <c r="G148" i="7"/>
  <c r="M116" i="6"/>
  <c r="N116" i="6" s="1"/>
  <c r="Q77" i="9"/>
  <c r="R77" i="9" s="1"/>
  <c r="R76" i="9"/>
  <c r="M113" i="2"/>
  <c r="N113" i="2" s="1"/>
  <c r="M111" i="2"/>
  <c r="N111" i="2" s="1"/>
  <c r="G132" i="9"/>
  <c r="F152" i="5"/>
  <c r="H136" i="7"/>
  <c r="I136" i="7" s="1"/>
  <c r="F149" i="4"/>
  <c r="G133" i="6"/>
  <c r="H136" i="8"/>
  <c r="I136" i="8" s="1"/>
  <c r="F133" i="2"/>
  <c r="C132" i="3"/>
  <c r="B125" i="3"/>
  <c r="E113" i="3" s="1"/>
  <c r="C153" i="3"/>
  <c r="H153" i="3" s="1"/>
  <c r="I153" i="3" s="1"/>
  <c r="F149" i="8"/>
  <c r="G137" i="2"/>
  <c r="H135" i="9"/>
  <c r="I135" i="9" s="1"/>
  <c r="M110" i="5"/>
  <c r="G150" i="7"/>
  <c r="H132" i="4"/>
  <c r="I132" i="4" s="1"/>
  <c r="G146" i="4"/>
  <c r="H133" i="6"/>
  <c r="I133" i="6" s="1"/>
  <c r="Q77" i="2"/>
  <c r="R77" i="2" s="1"/>
  <c r="R76" i="2"/>
  <c r="K132" i="1"/>
  <c r="J132" i="1"/>
  <c r="N132" i="1"/>
  <c r="M113" i="9"/>
  <c r="N113" i="9" s="1"/>
  <c r="F151" i="5"/>
  <c r="F137" i="4"/>
  <c r="M113" i="6"/>
  <c r="N113" i="6" s="1"/>
  <c r="G149" i="6"/>
  <c r="H134" i="8"/>
  <c r="I134" i="8" s="1"/>
  <c r="G149" i="4"/>
  <c r="F132" i="4"/>
  <c r="C137" i="3"/>
  <c r="B181" i="2"/>
  <c r="B191" i="2" s="1"/>
  <c r="B202" i="2" s="1"/>
  <c r="B181" i="3"/>
  <c r="B191" i="3" s="1"/>
  <c r="B202" i="3" s="1"/>
  <c r="B181" i="7"/>
  <c r="B191" i="7" s="1"/>
  <c r="B202" i="7" s="1"/>
  <c r="B181" i="4"/>
  <c r="B191" i="4" s="1"/>
  <c r="B202" i="4" s="1"/>
  <c r="B181" i="8"/>
  <c r="B191" i="8" s="1"/>
  <c r="B202" i="8" s="1"/>
  <c r="B181" i="5"/>
  <c r="B191" i="5" s="1"/>
  <c r="B202" i="5" s="1"/>
  <c r="B181" i="9"/>
  <c r="B191" i="9" s="1"/>
  <c r="B202" i="9" s="1"/>
  <c r="F146" i="6"/>
  <c r="B181" i="6"/>
  <c r="B191" i="6" s="1"/>
  <c r="B202" i="6" s="1"/>
  <c r="M111" i="9"/>
  <c r="N111" i="9" s="1"/>
  <c r="H135" i="4"/>
  <c r="I135" i="4" s="1"/>
  <c r="F138" i="9"/>
  <c r="F149" i="7"/>
  <c r="M111" i="6"/>
  <c r="N111" i="6" s="1"/>
  <c r="G152" i="7"/>
  <c r="J150" i="1"/>
  <c r="K150" i="1"/>
  <c r="N150" i="1"/>
  <c r="F133" i="9"/>
  <c r="G137" i="7"/>
  <c r="G132" i="4"/>
  <c r="F134" i="6"/>
  <c r="G136" i="2"/>
  <c r="C133" i="3"/>
  <c r="C149" i="3"/>
  <c r="H149" i="3" s="1"/>
  <c r="I149" i="3" s="1"/>
  <c r="C151" i="3"/>
  <c r="H151" i="3" s="1"/>
  <c r="I151" i="3" s="1"/>
  <c r="M120" i="8"/>
  <c r="N120" i="8" s="1"/>
  <c r="F138" i="2"/>
  <c r="M116" i="9"/>
  <c r="N116" i="9" s="1"/>
  <c r="F151" i="7"/>
  <c r="G135" i="4"/>
  <c r="F147" i="4"/>
  <c r="G136" i="8"/>
  <c r="G136" i="5"/>
  <c r="F137" i="5"/>
  <c r="G147" i="7"/>
  <c r="H132" i="8"/>
  <c r="I132" i="8" s="1"/>
  <c r="F150" i="6"/>
  <c r="O119" i="1"/>
  <c r="P119" i="1"/>
  <c r="J133" i="1"/>
  <c r="K133" i="1"/>
  <c r="N133" i="1"/>
  <c r="A190" i="2"/>
  <c r="C152" i="3"/>
  <c r="H152" i="3" s="1"/>
  <c r="I152" i="3" s="1"/>
  <c r="C147" i="3"/>
  <c r="H147" i="3" s="1"/>
  <c r="I147" i="3" s="1"/>
  <c r="E111" i="6"/>
  <c r="E110" i="6"/>
  <c r="G126" i="6"/>
  <c r="G127" i="6" s="1"/>
  <c r="G134" i="6"/>
  <c r="R76" i="4"/>
  <c r="Q77" i="4"/>
  <c r="R77" i="4" s="1"/>
  <c r="G138" i="6"/>
  <c r="M110" i="7"/>
  <c r="G135" i="6"/>
  <c r="M116" i="4"/>
  <c r="N116" i="4" s="1"/>
  <c r="G136" i="9"/>
  <c r="M114" i="4"/>
  <c r="N114" i="4" s="1"/>
  <c r="H132" i="6"/>
  <c r="I132" i="6" s="1"/>
  <c r="M110" i="9"/>
  <c r="F138" i="8"/>
  <c r="F153" i="7"/>
  <c r="H136" i="2"/>
  <c r="I136" i="2" s="1"/>
  <c r="Y110" i="1"/>
  <c r="M122" i="1"/>
  <c r="N110" i="1"/>
  <c r="M121" i="9"/>
  <c r="N121" i="9" s="1"/>
  <c r="G132" i="5"/>
  <c r="F138" i="7"/>
  <c r="F133" i="4"/>
  <c r="M117" i="6"/>
  <c r="N117" i="6" s="1"/>
  <c r="M119" i="8"/>
  <c r="N119" i="8" s="1"/>
  <c r="F137" i="2"/>
  <c r="C150" i="3"/>
  <c r="H150" i="3" s="1"/>
  <c r="I150" i="3" s="1"/>
  <c r="B132" i="3"/>
  <c r="F127" i="3"/>
  <c r="F126" i="3"/>
  <c r="Q76" i="3" a="1"/>
  <c r="Q76" i="3" s="1"/>
  <c r="C135" i="3"/>
  <c r="H135" i="3" s="1"/>
  <c r="I135" i="3" s="1"/>
  <c r="G152" i="2"/>
  <c r="G138" i="2"/>
  <c r="M120" i="9"/>
  <c r="N120" i="9" s="1"/>
  <c r="G138" i="7"/>
  <c r="F136" i="4"/>
  <c r="F152" i="6"/>
  <c r="F137" i="8"/>
  <c r="M116" i="5"/>
  <c r="N116" i="5" s="1"/>
  <c r="F148" i="7"/>
  <c r="M112" i="6"/>
  <c r="N112" i="6" s="1"/>
  <c r="G152" i="8"/>
  <c r="H135" i="8"/>
  <c r="I135" i="8" s="1"/>
  <c r="E110" i="4"/>
  <c r="G126" i="4"/>
  <c r="G127" i="4" s="1"/>
  <c r="E111" i="4"/>
  <c r="N110" i="6"/>
  <c r="M110" i="4"/>
  <c r="G132" i="6"/>
  <c r="F153" i="6"/>
  <c r="P120" i="1"/>
  <c r="O120" i="1"/>
  <c r="M113" i="4"/>
  <c r="N113" i="4" s="1"/>
  <c r="F134" i="4"/>
  <c r="G138" i="4"/>
  <c r="E122" i="1"/>
  <c r="G135" i="9"/>
  <c r="F139" i="4"/>
  <c r="F139" i="6"/>
  <c r="H135" i="7"/>
  <c r="I135" i="7" s="1"/>
  <c r="G139" i="4"/>
  <c r="F136" i="6"/>
  <c r="H133" i="8"/>
  <c r="I133" i="8" s="1"/>
  <c r="G137" i="6"/>
  <c r="G147" i="9"/>
  <c r="F137" i="9"/>
  <c r="Q77" i="7"/>
  <c r="R77" i="7" s="1"/>
  <c r="R76" i="7"/>
  <c r="N135" i="1"/>
  <c r="J135" i="1"/>
  <c r="K135" i="1"/>
  <c r="F134" i="5"/>
  <c r="F153" i="4"/>
  <c r="G151" i="8"/>
  <c r="H132" i="9"/>
  <c r="I132" i="9" s="1"/>
  <c r="H135" i="2"/>
  <c r="I135" i="2" s="1"/>
  <c r="H133" i="9"/>
  <c r="I133" i="9" s="1"/>
  <c r="M134" i="1"/>
  <c r="F133" i="5"/>
  <c r="F138" i="5"/>
  <c r="H133" i="7"/>
  <c r="I133" i="7" s="1"/>
  <c r="G151" i="4"/>
  <c r="M118" i="6"/>
  <c r="N118" i="6" s="1"/>
  <c r="M118" i="8"/>
  <c r="N118" i="8" s="1"/>
  <c r="M117" i="9"/>
  <c r="N117" i="9" s="1"/>
  <c r="C148" i="3"/>
  <c r="H148" i="3" s="1"/>
  <c r="I148" i="3" s="1"/>
  <c r="F153" i="2"/>
  <c r="F139" i="2"/>
  <c r="G152" i="9"/>
  <c r="G151" i="7"/>
  <c r="F139" i="7"/>
  <c r="G147" i="4"/>
  <c r="G136" i="6"/>
  <c r="M120" i="2"/>
  <c r="N120" i="2" s="1"/>
  <c r="H132" i="2"/>
  <c r="I132" i="2" s="1"/>
  <c r="G151" i="9"/>
  <c r="G134" i="5"/>
  <c r="M112" i="7"/>
  <c r="N112" i="7" s="1"/>
  <c r="F153" i="8"/>
  <c r="G139" i="7"/>
  <c r="E117" i="3" l="1"/>
  <c r="E116" i="3"/>
  <c r="W147" i="1"/>
  <c r="W153" i="1"/>
  <c r="W152" i="1"/>
  <c r="W151" i="1"/>
  <c r="W150" i="1"/>
  <c r="W149" i="1"/>
  <c r="W148" i="1"/>
  <c r="W146" i="1"/>
  <c r="M150" i="6"/>
  <c r="K137" i="7"/>
  <c r="L152" i="6"/>
  <c r="E114" i="3"/>
  <c r="E115" i="3"/>
  <c r="W139" i="1"/>
  <c r="V139" i="1"/>
  <c r="AD139" i="1"/>
  <c r="AF139" i="1"/>
  <c r="P139" i="1"/>
  <c r="Q139" i="1"/>
  <c r="R139" i="1"/>
  <c r="AE139" i="1"/>
  <c r="U139" i="1"/>
  <c r="O121" i="5"/>
  <c r="J139" i="8"/>
  <c r="P114" i="6"/>
  <c r="L153" i="7"/>
  <c r="M152" i="4"/>
  <c r="J134" i="8"/>
  <c r="O112" i="9"/>
  <c r="L133" i="7"/>
  <c r="P119" i="4"/>
  <c r="J148" i="5"/>
  <c r="O114" i="1"/>
  <c r="J146" i="9"/>
  <c r="M151" i="6"/>
  <c r="M134" i="8"/>
  <c r="P152" i="1"/>
  <c r="N146" i="9"/>
  <c r="N134" i="8"/>
  <c r="M148" i="9"/>
  <c r="U152" i="1"/>
  <c r="AD152" i="1"/>
  <c r="K132" i="9"/>
  <c r="P118" i="5"/>
  <c r="O134" i="8"/>
  <c r="L133" i="2"/>
  <c r="L150" i="2"/>
  <c r="K133" i="8"/>
  <c r="P121" i="8"/>
  <c r="K146" i="9"/>
  <c r="K134" i="8"/>
  <c r="L134" i="7"/>
  <c r="M137" i="5"/>
  <c r="L149" i="5"/>
  <c r="M119" i="3"/>
  <c r="N119" i="3" s="1"/>
  <c r="O119" i="3" s="1"/>
  <c r="E112" i="3"/>
  <c r="K149" i="5"/>
  <c r="N149" i="5"/>
  <c r="V146" i="1"/>
  <c r="J147" i="8"/>
  <c r="U146" i="1"/>
  <c r="L153" i="8"/>
  <c r="K151" i="8"/>
  <c r="M150" i="4"/>
  <c r="R148" i="1"/>
  <c r="L147" i="5"/>
  <c r="AF146" i="1"/>
  <c r="L147" i="8"/>
  <c r="L150" i="4"/>
  <c r="O112" i="5"/>
  <c r="O111" i="5"/>
  <c r="O147" i="8"/>
  <c r="K147" i="8"/>
  <c r="P118" i="7"/>
  <c r="N147" i="5"/>
  <c r="M147" i="8"/>
  <c r="P117" i="5"/>
  <c r="M135" i="7"/>
  <c r="P116" i="2"/>
  <c r="AE146" i="1"/>
  <c r="J153" i="5"/>
  <c r="AD146" i="1"/>
  <c r="L138" i="8"/>
  <c r="K150" i="5"/>
  <c r="L133" i="9"/>
  <c r="O118" i="9"/>
  <c r="O113" i="7"/>
  <c r="K139" i="8"/>
  <c r="O116" i="1"/>
  <c r="P117" i="1"/>
  <c r="M149" i="7"/>
  <c r="K150" i="7"/>
  <c r="M146" i="8"/>
  <c r="J147" i="5"/>
  <c r="O147" i="5"/>
  <c r="J139" i="9"/>
  <c r="M147" i="5"/>
  <c r="M133" i="8"/>
  <c r="K147" i="5"/>
  <c r="L133" i="8"/>
  <c r="O119" i="5"/>
  <c r="M149" i="8"/>
  <c r="R152" i="1"/>
  <c r="Q146" i="1"/>
  <c r="AF148" i="1"/>
  <c r="J149" i="5"/>
  <c r="AD148" i="1"/>
  <c r="L149" i="8"/>
  <c r="Q148" i="1"/>
  <c r="L150" i="6"/>
  <c r="AE152" i="1"/>
  <c r="O149" i="5"/>
  <c r="U148" i="1"/>
  <c r="Q152" i="1"/>
  <c r="P111" i="8"/>
  <c r="P114" i="7"/>
  <c r="J146" i="2"/>
  <c r="AE147" i="1"/>
  <c r="M149" i="5"/>
  <c r="O116" i="7"/>
  <c r="AF152" i="1"/>
  <c r="J139" i="5"/>
  <c r="O118" i="2"/>
  <c r="R146" i="1"/>
  <c r="M148" i="6"/>
  <c r="O115" i="9"/>
  <c r="M146" i="5"/>
  <c r="V148" i="1"/>
  <c r="L150" i="9"/>
  <c r="P146" i="1"/>
  <c r="P148" i="1"/>
  <c r="AE148" i="1"/>
  <c r="M139" i="5"/>
  <c r="L133" i="5"/>
  <c r="V152" i="1"/>
  <c r="K146" i="2"/>
  <c r="L135" i="7"/>
  <c r="N137" i="7"/>
  <c r="J150" i="7"/>
  <c r="N139" i="8"/>
  <c r="R147" i="1"/>
  <c r="AF147" i="1"/>
  <c r="P117" i="2"/>
  <c r="L139" i="8"/>
  <c r="O114" i="8"/>
  <c r="P114" i="9"/>
  <c r="L146" i="2"/>
  <c r="Q147" i="1"/>
  <c r="M150" i="8"/>
  <c r="P147" i="1"/>
  <c r="U147" i="1"/>
  <c r="AD147" i="1"/>
  <c r="M146" i="2"/>
  <c r="K150" i="8"/>
  <c r="M137" i="8"/>
  <c r="L150" i="8"/>
  <c r="J137" i="7"/>
  <c r="J148" i="8"/>
  <c r="J150" i="8"/>
  <c r="K148" i="2"/>
  <c r="V147" i="1"/>
  <c r="K135" i="8"/>
  <c r="M139" i="8"/>
  <c r="O139" i="8"/>
  <c r="K132" i="5"/>
  <c r="O119" i="9"/>
  <c r="O115" i="5"/>
  <c r="M133" i="2"/>
  <c r="L146" i="6"/>
  <c r="L146" i="8"/>
  <c r="K139" i="5"/>
  <c r="L139" i="5"/>
  <c r="O112" i="8"/>
  <c r="N139" i="5"/>
  <c r="M150" i="9"/>
  <c r="K148" i="8"/>
  <c r="L139" i="2"/>
  <c r="P113" i="1"/>
  <c r="L135" i="8"/>
  <c r="K147" i="9"/>
  <c r="M133" i="7"/>
  <c r="M135" i="8"/>
  <c r="K147" i="7"/>
  <c r="O135" i="8"/>
  <c r="P111" i="7"/>
  <c r="J136" i="8"/>
  <c r="O114" i="5"/>
  <c r="O115" i="7"/>
  <c r="K136" i="2"/>
  <c r="J151" i="2"/>
  <c r="V153" i="1"/>
  <c r="J136" i="2"/>
  <c r="K132" i="7"/>
  <c r="K132" i="8"/>
  <c r="J149" i="2"/>
  <c r="J132" i="8"/>
  <c r="AF153" i="1"/>
  <c r="M148" i="2"/>
  <c r="M133" i="9"/>
  <c r="J132" i="7"/>
  <c r="M133" i="5"/>
  <c r="M151" i="2"/>
  <c r="M149" i="2"/>
  <c r="L148" i="2"/>
  <c r="K136" i="8"/>
  <c r="L152" i="4"/>
  <c r="L151" i="2"/>
  <c r="L149" i="2"/>
  <c r="L148" i="6"/>
  <c r="Q153" i="1"/>
  <c r="K151" i="2"/>
  <c r="L148" i="5"/>
  <c r="J151" i="8"/>
  <c r="M146" i="6"/>
  <c r="K153" i="5"/>
  <c r="M148" i="5"/>
  <c r="L151" i="6"/>
  <c r="L152" i="5"/>
  <c r="M147" i="2"/>
  <c r="K132" i="2"/>
  <c r="K134" i="2"/>
  <c r="R135" i="1"/>
  <c r="R133" i="1"/>
  <c r="L132" i="7"/>
  <c r="M132" i="8"/>
  <c r="M134" i="4"/>
  <c r="P153" i="1"/>
  <c r="N151" i="2"/>
  <c r="N132" i="7"/>
  <c r="AD153" i="1"/>
  <c r="O132" i="8"/>
  <c r="O121" i="7"/>
  <c r="R153" i="1"/>
  <c r="M132" i="7"/>
  <c r="M153" i="2"/>
  <c r="K149" i="2"/>
  <c r="U153" i="1"/>
  <c r="L135" i="5"/>
  <c r="O120" i="5"/>
  <c r="N149" i="2"/>
  <c r="AE153" i="1"/>
  <c r="M135" i="5"/>
  <c r="K148" i="5"/>
  <c r="L153" i="2"/>
  <c r="P121" i="2"/>
  <c r="P117" i="8"/>
  <c r="N148" i="2"/>
  <c r="N148" i="5"/>
  <c r="J148" i="2"/>
  <c r="U149" i="1"/>
  <c r="R151" i="1"/>
  <c r="AF151" i="1"/>
  <c r="U151" i="1"/>
  <c r="J134" i="2"/>
  <c r="AD151" i="1"/>
  <c r="V151" i="1"/>
  <c r="P151" i="1"/>
  <c r="P150" i="1"/>
  <c r="AE151" i="1"/>
  <c r="Q151" i="1"/>
  <c r="P136" i="1"/>
  <c r="R132" i="1"/>
  <c r="J136" i="9"/>
  <c r="R149" i="1"/>
  <c r="G132" i="3"/>
  <c r="O132" i="3" s="1"/>
  <c r="N134" i="2"/>
  <c r="N133" i="8"/>
  <c r="L138" i="9"/>
  <c r="Q149" i="1"/>
  <c r="L138" i="5"/>
  <c r="Q150" i="1"/>
  <c r="M138" i="9"/>
  <c r="P132" i="1"/>
  <c r="R150" i="1"/>
  <c r="V149" i="1"/>
  <c r="M113" i="3"/>
  <c r="N113" i="3" s="1"/>
  <c r="P113" i="3" s="1"/>
  <c r="M122" i="6"/>
  <c r="J149" i="9"/>
  <c r="G136" i="3"/>
  <c r="F137" i="3"/>
  <c r="N137" i="3" s="1"/>
  <c r="K146" i="5"/>
  <c r="K149" i="9"/>
  <c r="M134" i="9"/>
  <c r="G139" i="3"/>
  <c r="O139" i="3" s="1"/>
  <c r="F138" i="3"/>
  <c r="N138" i="3" s="1"/>
  <c r="J147" i="2"/>
  <c r="P149" i="1"/>
  <c r="E122" i="4"/>
  <c r="G67" i="4" s="1"/>
  <c r="Q133" i="1"/>
  <c r="AE149" i="1"/>
  <c r="M110" i="3"/>
  <c r="N110" i="3" s="1"/>
  <c r="L137" i="8"/>
  <c r="P121" i="1"/>
  <c r="Q132" i="1"/>
  <c r="J132" i="5"/>
  <c r="O114" i="2"/>
  <c r="N139" i="9"/>
  <c r="L149" i="7"/>
  <c r="L134" i="9"/>
  <c r="N153" i="5"/>
  <c r="P137" i="1"/>
  <c r="M138" i="5"/>
  <c r="O147" i="2"/>
  <c r="K147" i="2"/>
  <c r="F133" i="3"/>
  <c r="N133" i="3" s="1"/>
  <c r="E122" i="9"/>
  <c r="G67" i="9" s="1"/>
  <c r="K136" i="9"/>
  <c r="M115" i="3"/>
  <c r="N115" i="3" s="1"/>
  <c r="O115" i="3" s="1"/>
  <c r="H132" i="3"/>
  <c r="I132" i="3" s="1"/>
  <c r="M139" i="2"/>
  <c r="J146" i="5"/>
  <c r="G151" i="3"/>
  <c r="G153" i="3"/>
  <c r="O153" i="3" s="1"/>
  <c r="K150" i="2"/>
  <c r="M153" i="7"/>
  <c r="M117" i="3"/>
  <c r="N117" i="3" s="1"/>
  <c r="O117" i="3" s="1"/>
  <c r="L134" i="8"/>
  <c r="O115" i="2"/>
  <c r="G133" i="3"/>
  <c r="J133" i="8"/>
  <c r="G149" i="3"/>
  <c r="O149" i="3" s="1"/>
  <c r="N146" i="5"/>
  <c r="F152" i="3"/>
  <c r="N152" i="3" s="1"/>
  <c r="G150" i="3"/>
  <c r="O150" i="3" s="1"/>
  <c r="N150" i="2"/>
  <c r="L139" i="9"/>
  <c r="M121" i="3"/>
  <c r="N121" i="3" s="1"/>
  <c r="O121" i="3" s="1"/>
  <c r="J132" i="2"/>
  <c r="M138" i="8"/>
  <c r="J132" i="9"/>
  <c r="M134" i="7"/>
  <c r="O119" i="2"/>
  <c r="M150" i="2"/>
  <c r="J147" i="9"/>
  <c r="F147" i="3"/>
  <c r="L146" i="5"/>
  <c r="H133" i="3"/>
  <c r="I133" i="3" s="1"/>
  <c r="G134" i="3"/>
  <c r="O134" i="3" s="1"/>
  <c r="F150" i="3"/>
  <c r="N150" i="3" s="1"/>
  <c r="L134" i="2"/>
  <c r="O152" i="5"/>
  <c r="M152" i="6"/>
  <c r="AD149" i="1"/>
  <c r="F151" i="3"/>
  <c r="J150" i="2"/>
  <c r="M139" i="9"/>
  <c r="G152" i="3"/>
  <c r="O152" i="3" s="1"/>
  <c r="M114" i="3"/>
  <c r="N114" i="3" s="1"/>
  <c r="P114" i="3" s="1"/>
  <c r="N132" i="2"/>
  <c r="J147" i="7"/>
  <c r="Q138" i="1"/>
  <c r="G135" i="3"/>
  <c r="O135" i="3" s="1"/>
  <c r="R136" i="1"/>
  <c r="K135" i="7"/>
  <c r="L137" i="5"/>
  <c r="G147" i="3"/>
  <c r="O147" i="3" s="1"/>
  <c r="M153" i="8"/>
  <c r="F135" i="3"/>
  <c r="M134" i="2"/>
  <c r="M152" i="5"/>
  <c r="AF149" i="1"/>
  <c r="G148" i="3"/>
  <c r="L148" i="9"/>
  <c r="K139" i="9"/>
  <c r="F136" i="3"/>
  <c r="N136" i="3" s="1"/>
  <c r="J135" i="8"/>
  <c r="J150" i="5"/>
  <c r="L147" i="2"/>
  <c r="F148" i="3"/>
  <c r="N148" i="3" s="1"/>
  <c r="H137" i="3"/>
  <c r="I137" i="3" s="1"/>
  <c r="M111" i="3"/>
  <c r="N111" i="3" s="1"/>
  <c r="O111" i="3" s="1"/>
  <c r="O152" i="8"/>
  <c r="M152" i="8"/>
  <c r="L152" i="8"/>
  <c r="L135" i="6"/>
  <c r="M135" i="6"/>
  <c r="O135" i="6"/>
  <c r="O116" i="9"/>
  <c r="P116" i="9"/>
  <c r="AF138" i="1"/>
  <c r="V138" i="1"/>
  <c r="U138" i="1"/>
  <c r="AD138" i="1"/>
  <c r="W138" i="1"/>
  <c r="AE138" i="1"/>
  <c r="N152" i="2"/>
  <c r="K152" i="2"/>
  <c r="J152" i="2"/>
  <c r="O147" i="6"/>
  <c r="M147" i="6"/>
  <c r="L147" i="6"/>
  <c r="P110" i="6"/>
  <c r="O110" i="6"/>
  <c r="N122" i="6"/>
  <c r="J136" i="4"/>
  <c r="N136" i="4"/>
  <c r="K136" i="4"/>
  <c r="N137" i="4"/>
  <c r="K137" i="4"/>
  <c r="J137" i="4"/>
  <c r="N139" i="2"/>
  <c r="J139" i="2"/>
  <c r="K139" i="2"/>
  <c r="P117" i="9"/>
  <c r="O117" i="9"/>
  <c r="L139" i="4"/>
  <c r="M139" i="4"/>
  <c r="O139" i="4"/>
  <c r="Q136" i="1"/>
  <c r="K137" i="2"/>
  <c r="J137" i="2"/>
  <c r="N137" i="2"/>
  <c r="O136" i="9"/>
  <c r="M136" i="9"/>
  <c r="L136" i="9"/>
  <c r="E122" i="6"/>
  <c r="N151" i="7"/>
  <c r="J151" i="7"/>
  <c r="K151" i="7"/>
  <c r="P110" i="8"/>
  <c r="N122" i="8"/>
  <c r="O110" i="8"/>
  <c r="H136" i="3"/>
  <c r="I136" i="3" s="1"/>
  <c r="M149" i="6"/>
  <c r="L149" i="6"/>
  <c r="O149" i="6"/>
  <c r="M137" i="2"/>
  <c r="O137" i="2"/>
  <c r="L137" i="2"/>
  <c r="K152" i="5"/>
  <c r="J152" i="5"/>
  <c r="N152" i="5"/>
  <c r="L137" i="9"/>
  <c r="M137" i="9"/>
  <c r="O137" i="9"/>
  <c r="O113" i="5"/>
  <c r="P113" i="5"/>
  <c r="M153" i="5"/>
  <c r="L153" i="5"/>
  <c r="O153" i="5"/>
  <c r="F139" i="3"/>
  <c r="O151" i="5"/>
  <c r="M151" i="5"/>
  <c r="L151" i="5"/>
  <c r="E122" i="8"/>
  <c r="M153" i="9"/>
  <c r="L153" i="9"/>
  <c r="O153" i="9"/>
  <c r="O149" i="9"/>
  <c r="M149" i="9"/>
  <c r="L149" i="9"/>
  <c r="P111" i="1"/>
  <c r="O111" i="1"/>
  <c r="J135" i="5"/>
  <c r="N135" i="5"/>
  <c r="K135" i="5"/>
  <c r="G137" i="3"/>
  <c r="P116" i="8"/>
  <c r="O116" i="8"/>
  <c r="O113" i="8"/>
  <c r="P113" i="8"/>
  <c r="L132" i="8"/>
  <c r="O112" i="7"/>
  <c r="P112" i="7"/>
  <c r="P119" i="8"/>
  <c r="O119" i="8"/>
  <c r="P121" i="6"/>
  <c r="O121" i="6"/>
  <c r="P118" i="6"/>
  <c r="O118" i="6"/>
  <c r="P111" i="9"/>
  <c r="O111" i="9"/>
  <c r="O137" i="4"/>
  <c r="M137" i="4"/>
  <c r="L137" i="4"/>
  <c r="N149" i="6"/>
  <c r="J149" i="6"/>
  <c r="K149" i="6"/>
  <c r="N137" i="6"/>
  <c r="K137" i="6"/>
  <c r="J137" i="6"/>
  <c r="N152" i="4"/>
  <c r="J152" i="4"/>
  <c r="K152" i="4"/>
  <c r="O151" i="9"/>
  <c r="M151" i="9"/>
  <c r="L151" i="9"/>
  <c r="M136" i="6"/>
  <c r="L136" i="6"/>
  <c r="O136" i="6"/>
  <c r="M151" i="4"/>
  <c r="O151" i="4"/>
  <c r="L151" i="4"/>
  <c r="O151" i="8"/>
  <c r="M151" i="8"/>
  <c r="L151" i="8"/>
  <c r="P138" i="1"/>
  <c r="N139" i="4"/>
  <c r="K139" i="4"/>
  <c r="J139" i="4"/>
  <c r="M132" i="6"/>
  <c r="L132" i="6"/>
  <c r="O132" i="6"/>
  <c r="J148" i="7"/>
  <c r="K148" i="7"/>
  <c r="N148" i="7"/>
  <c r="O138" i="7"/>
  <c r="M138" i="7"/>
  <c r="L138" i="7"/>
  <c r="N133" i="4"/>
  <c r="J133" i="4"/>
  <c r="K133" i="4"/>
  <c r="J153" i="7"/>
  <c r="K153" i="7"/>
  <c r="N153" i="7"/>
  <c r="N110" i="9"/>
  <c r="M122" i="9"/>
  <c r="L134" i="6"/>
  <c r="O134" i="6"/>
  <c r="M134" i="6"/>
  <c r="J137" i="5"/>
  <c r="N137" i="5"/>
  <c r="K137" i="5"/>
  <c r="O120" i="8"/>
  <c r="P120" i="8"/>
  <c r="J149" i="7"/>
  <c r="K149" i="7"/>
  <c r="N149" i="7"/>
  <c r="N132" i="4"/>
  <c r="K132" i="4"/>
  <c r="J132" i="4"/>
  <c r="K151" i="5"/>
  <c r="J151" i="5"/>
  <c r="N151" i="5"/>
  <c r="O146" i="4"/>
  <c r="M146" i="4"/>
  <c r="L146" i="4"/>
  <c r="F153" i="3"/>
  <c r="K133" i="2"/>
  <c r="J133" i="2"/>
  <c r="N133" i="2"/>
  <c r="P113" i="2"/>
  <c r="O113" i="2"/>
  <c r="M122" i="2"/>
  <c r="N135" i="4"/>
  <c r="J135" i="4"/>
  <c r="K135" i="4"/>
  <c r="O115" i="6"/>
  <c r="P115" i="6"/>
  <c r="P112" i="2"/>
  <c r="O112" i="2"/>
  <c r="O132" i="2"/>
  <c r="L132" i="2"/>
  <c r="M132" i="2"/>
  <c r="N138" i="4"/>
  <c r="K138" i="4"/>
  <c r="J138" i="4"/>
  <c r="E122" i="2"/>
  <c r="N147" i="6"/>
  <c r="K147" i="6"/>
  <c r="J147" i="6"/>
  <c r="K148" i="4"/>
  <c r="J148" i="4"/>
  <c r="N148" i="4"/>
  <c r="F134" i="3"/>
  <c r="N146" i="7"/>
  <c r="J146" i="7"/>
  <c r="K146" i="7"/>
  <c r="N138" i="6"/>
  <c r="J138" i="6"/>
  <c r="K138" i="6"/>
  <c r="R80" i="1"/>
  <c r="R83" i="1" s="1"/>
  <c r="Q80" i="1"/>
  <c r="Q83" i="1" s="1"/>
  <c r="O118" i="8"/>
  <c r="P118" i="8"/>
  <c r="N149" i="8"/>
  <c r="J149" i="8"/>
  <c r="K149" i="8"/>
  <c r="M150" i="5"/>
  <c r="O150" i="5"/>
  <c r="L150" i="5"/>
  <c r="P120" i="2"/>
  <c r="O120" i="2"/>
  <c r="R138" i="1"/>
  <c r="J138" i="2"/>
  <c r="N138" i="2"/>
  <c r="K138" i="2"/>
  <c r="N153" i="4"/>
  <c r="K153" i="4"/>
  <c r="J153" i="4"/>
  <c r="O135" i="9"/>
  <c r="M135" i="9"/>
  <c r="L135" i="9"/>
  <c r="N153" i="6"/>
  <c r="K153" i="6"/>
  <c r="J153" i="6"/>
  <c r="P116" i="5"/>
  <c r="O116" i="5"/>
  <c r="P120" i="9"/>
  <c r="O120" i="9"/>
  <c r="K138" i="7"/>
  <c r="J138" i="7"/>
  <c r="N138" i="7"/>
  <c r="N138" i="8"/>
  <c r="K138" i="8"/>
  <c r="J138" i="8"/>
  <c r="P116" i="4"/>
  <c r="O116" i="4"/>
  <c r="O136" i="5"/>
  <c r="L136" i="5"/>
  <c r="M136" i="5"/>
  <c r="O136" i="2"/>
  <c r="M136" i="2"/>
  <c r="L136" i="2"/>
  <c r="J135" i="9"/>
  <c r="P113" i="9"/>
  <c r="O113" i="9"/>
  <c r="P116" i="6"/>
  <c r="O116" i="6"/>
  <c r="O110" i="2"/>
  <c r="P110" i="2"/>
  <c r="N122" i="2"/>
  <c r="O136" i="4"/>
  <c r="L136" i="4"/>
  <c r="M136" i="4"/>
  <c r="P115" i="8"/>
  <c r="O115" i="8"/>
  <c r="F146" i="3"/>
  <c r="N146" i="8"/>
  <c r="K146" i="8"/>
  <c r="J146" i="8"/>
  <c r="J136" i="7"/>
  <c r="N136" i="7"/>
  <c r="K136" i="7"/>
  <c r="P120" i="4"/>
  <c r="O120" i="4"/>
  <c r="AE134" i="1"/>
  <c r="W134" i="1"/>
  <c r="AF134" i="1"/>
  <c r="U134" i="1"/>
  <c r="AD134" i="1"/>
  <c r="V134" i="1"/>
  <c r="V137" i="1"/>
  <c r="U137" i="1"/>
  <c r="AD137" i="1"/>
  <c r="AE137" i="1"/>
  <c r="AF137" i="1"/>
  <c r="W137" i="1"/>
  <c r="N146" i="4"/>
  <c r="J146" i="4"/>
  <c r="K146" i="4"/>
  <c r="M120" i="3"/>
  <c r="N120" i="3" s="1"/>
  <c r="O146" i="9"/>
  <c r="M146" i="9"/>
  <c r="L146" i="9"/>
  <c r="E122" i="7"/>
  <c r="O121" i="4"/>
  <c r="P121" i="4"/>
  <c r="L134" i="4"/>
  <c r="P113" i="6"/>
  <c r="O113" i="6"/>
  <c r="M137" i="6"/>
  <c r="O137" i="6"/>
  <c r="L137" i="6"/>
  <c r="P112" i="6"/>
  <c r="O112" i="6"/>
  <c r="J133" i="9"/>
  <c r="K133" i="9"/>
  <c r="N133" i="9"/>
  <c r="O148" i="8"/>
  <c r="M148" i="8"/>
  <c r="L148" i="8"/>
  <c r="J133" i="6"/>
  <c r="K133" i="6"/>
  <c r="N133" i="6"/>
  <c r="J150" i="4"/>
  <c r="K150" i="4"/>
  <c r="N150" i="4"/>
  <c r="G67" i="1"/>
  <c r="K137" i="8"/>
  <c r="J137" i="8"/>
  <c r="N137" i="8"/>
  <c r="L138" i="2"/>
  <c r="O138" i="2"/>
  <c r="M138" i="2"/>
  <c r="M132" i="5"/>
  <c r="O132" i="5"/>
  <c r="L132" i="5"/>
  <c r="O114" i="4"/>
  <c r="P114" i="4"/>
  <c r="O136" i="8"/>
  <c r="M136" i="8"/>
  <c r="L136" i="8"/>
  <c r="J134" i="6"/>
  <c r="N134" i="6"/>
  <c r="K134" i="6"/>
  <c r="AF150" i="1"/>
  <c r="V150" i="1"/>
  <c r="U150" i="1"/>
  <c r="AD150" i="1"/>
  <c r="AE150" i="1"/>
  <c r="K135" i="9"/>
  <c r="O149" i="4"/>
  <c r="M149" i="4"/>
  <c r="L149" i="4"/>
  <c r="O150" i="7"/>
  <c r="M150" i="7"/>
  <c r="L150" i="7"/>
  <c r="M133" i="6"/>
  <c r="L133" i="6"/>
  <c r="O133" i="6"/>
  <c r="O148" i="7"/>
  <c r="L148" i="7"/>
  <c r="M148" i="7"/>
  <c r="P118" i="4"/>
  <c r="O118" i="4"/>
  <c r="Q135" i="1"/>
  <c r="N148" i="6"/>
  <c r="J148" i="6"/>
  <c r="K148" i="6"/>
  <c r="L153" i="6"/>
  <c r="O153" i="6"/>
  <c r="M153" i="6"/>
  <c r="E122" i="5"/>
  <c r="M146" i="7"/>
  <c r="L146" i="7"/>
  <c r="O146" i="7"/>
  <c r="N135" i="6"/>
  <c r="K135" i="6"/>
  <c r="J135" i="6"/>
  <c r="P120" i="6"/>
  <c r="O120" i="6"/>
  <c r="O135" i="2"/>
  <c r="M135" i="2"/>
  <c r="L135" i="2"/>
  <c r="R137" i="1"/>
  <c r="U133" i="1"/>
  <c r="AD133" i="1"/>
  <c r="AF133" i="1"/>
  <c r="AE133" i="1"/>
  <c r="W133" i="1"/>
  <c r="V133" i="1"/>
  <c r="O133" i="4"/>
  <c r="M133" i="4"/>
  <c r="L133" i="4"/>
  <c r="N151" i="9"/>
  <c r="K151" i="9"/>
  <c r="J151" i="9"/>
  <c r="AF136" i="1"/>
  <c r="W136" i="1"/>
  <c r="AE136" i="1"/>
  <c r="AD136" i="1"/>
  <c r="V136" i="1"/>
  <c r="U136" i="1"/>
  <c r="K152" i="9"/>
  <c r="J152" i="9"/>
  <c r="N152" i="9"/>
  <c r="M153" i="4"/>
  <c r="L153" i="4"/>
  <c r="O153" i="4"/>
  <c r="N139" i="6"/>
  <c r="K139" i="6"/>
  <c r="J139" i="6"/>
  <c r="P117" i="6"/>
  <c r="O117" i="6"/>
  <c r="O138" i="6"/>
  <c r="M138" i="6"/>
  <c r="L138" i="6"/>
  <c r="O147" i="7"/>
  <c r="M147" i="7"/>
  <c r="L147" i="7"/>
  <c r="P111" i="2"/>
  <c r="O111" i="2"/>
  <c r="O119" i="7"/>
  <c r="P119" i="7"/>
  <c r="O147" i="4"/>
  <c r="M147" i="4"/>
  <c r="L147" i="4"/>
  <c r="N138" i="5"/>
  <c r="J138" i="5"/>
  <c r="K138" i="5"/>
  <c r="N137" i="9"/>
  <c r="J137" i="9"/>
  <c r="K137" i="9"/>
  <c r="O151" i="7"/>
  <c r="M151" i="7"/>
  <c r="L151" i="7"/>
  <c r="N133" i="5"/>
  <c r="K133" i="5"/>
  <c r="J133" i="5"/>
  <c r="P121" i="9"/>
  <c r="O121" i="9"/>
  <c r="K150" i="6"/>
  <c r="J150" i="6"/>
  <c r="N150" i="6"/>
  <c r="N147" i="4"/>
  <c r="K147" i="4"/>
  <c r="J147" i="4"/>
  <c r="M132" i="4"/>
  <c r="O132" i="4"/>
  <c r="L132" i="4"/>
  <c r="O152" i="7"/>
  <c r="M152" i="7"/>
  <c r="L152" i="7"/>
  <c r="J138" i="9"/>
  <c r="N138" i="9"/>
  <c r="K138" i="9"/>
  <c r="AD132" i="1"/>
  <c r="AE132" i="1"/>
  <c r="AF132" i="1"/>
  <c r="V132" i="1"/>
  <c r="W132" i="1"/>
  <c r="U132" i="1"/>
  <c r="N110" i="5"/>
  <c r="M122" i="5"/>
  <c r="E111" i="3"/>
  <c r="G126" i="3"/>
  <c r="G127" i="3" s="1"/>
  <c r="E110" i="3"/>
  <c r="N149" i="4"/>
  <c r="K149" i="4"/>
  <c r="J149" i="4"/>
  <c r="O112" i="4"/>
  <c r="P112" i="4"/>
  <c r="O115" i="4"/>
  <c r="P115" i="4"/>
  <c r="M112" i="3"/>
  <c r="N112" i="3" s="1"/>
  <c r="M139" i="6"/>
  <c r="O139" i="6"/>
  <c r="L139" i="6"/>
  <c r="P135" i="1"/>
  <c r="O117" i="4"/>
  <c r="P117" i="4"/>
  <c r="O148" i="4"/>
  <c r="M148" i="4"/>
  <c r="L148" i="4"/>
  <c r="N135" i="2"/>
  <c r="K135" i="2"/>
  <c r="J135" i="2"/>
  <c r="P111" i="4"/>
  <c r="O111" i="4"/>
  <c r="P119" i="6"/>
  <c r="O119" i="6"/>
  <c r="N152" i="7"/>
  <c r="K152" i="7"/>
  <c r="J152" i="7"/>
  <c r="M116" i="3"/>
  <c r="N116" i="3" s="1"/>
  <c r="Q137" i="1"/>
  <c r="N153" i="2"/>
  <c r="K153" i="2"/>
  <c r="J153" i="2"/>
  <c r="O132" i="9"/>
  <c r="M132" i="9"/>
  <c r="L132" i="9"/>
  <c r="L136" i="7"/>
  <c r="M136" i="7"/>
  <c r="O136" i="7"/>
  <c r="K151" i="6"/>
  <c r="J151" i="6"/>
  <c r="N151" i="6"/>
  <c r="L134" i="5"/>
  <c r="M134" i="5"/>
  <c r="O134" i="5"/>
  <c r="R76" i="3"/>
  <c r="Q77" i="3"/>
  <c r="R77" i="3" s="1"/>
  <c r="O111" i="6"/>
  <c r="P111" i="6"/>
  <c r="J134" i="9"/>
  <c r="N134" i="9"/>
  <c r="K134" i="9"/>
  <c r="N151" i="4"/>
  <c r="K151" i="4"/>
  <c r="J151" i="4"/>
  <c r="J135" i="7"/>
  <c r="R79" i="1"/>
  <c r="R82" i="1" s="1"/>
  <c r="Q79" i="1"/>
  <c r="Q82" i="1" s="1"/>
  <c r="M139" i="7"/>
  <c r="L139" i="7"/>
  <c r="O139" i="7"/>
  <c r="N153" i="8"/>
  <c r="J153" i="8"/>
  <c r="K153" i="8"/>
  <c r="N139" i="7"/>
  <c r="K139" i="7"/>
  <c r="J139" i="7"/>
  <c r="K134" i="5"/>
  <c r="N134" i="5"/>
  <c r="J134" i="5"/>
  <c r="O147" i="9"/>
  <c r="M147" i="9"/>
  <c r="L147" i="9"/>
  <c r="O138" i="4"/>
  <c r="M138" i="4"/>
  <c r="L138" i="4"/>
  <c r="N134" i="4"/>
  <c r="K134" i="4"/>
  <c r="J134" i="4"/>
  <c r="K152" i="6"/>
  <c r="J152" i="6"/>
  <c r="N152" i="6"/>
  <c r="O152" i="2"/>
  <c r="M152" i="2"/>
  <c r="L152" i="2"/>
  <c r="P133" i="1"/>
  <c r="O152" i="9"/>
  <c r="L152" i="9"/>
  <c r="M152" i="9"/>
  <c r="P134" i="1"/>
  <c r="R134" i="1"/>
  <c r="Q134" i="1"/>
  <c r="AE135" i="1"/>
  <c r="W135" i="1"/>
  <c r="AD135" i="1"/>
  <c r="AF135" i="1"/>
  <c r="V135" i="1"/>
  <c r="U135" i="1"/>
  <c r="J136" i="6"/>
  <c r="K136" i="6"/>
  <c r="N136" i="6"/>
  <c r="O113" i="4"/>
  <c r="P113" i="4"/>
  <c r="N110" i="4"/>
  <c r="M122" i="4"/>
  <c r="O110" i="1"/>
  <c r="P110" i="1"/>
  <c r="N122" i="1"/>
  <c r="N110" i="7"/>
  <c r="M122" i="7"/>
  <c r="G146" i="3"/>
  <c r="A201" i="2"/>
  <c r="A205" i="2" s="1" a="1"/>
  <c r="M135" i="4"/>
  <c r="L135" i="4"/>
  <c r="O135" i="4"/>
  <c r="F149" i="3"/>
  <c r="O137" i="7"/>
  <c r="L137" i="7"/>
  <c r="M137" i="7"/>
  <c r="M122" i="8"/>
  <c r="N146" i="6"/>
  <c r="K146" i="6"/>
  <c r="J146" i="6"/>
  <c r="F132" i="3"/>
  <c r="N150" i="9"/>
  <c r="J150" i="9"/>
  <c r="K150" i="9"/>
  <c r="K134" i="7"/>
  <c r="N134" i="7"/>
  <c r="J134" i="7"/>
  <c r="G138" i="3"/>
  <c r="N133" i="7"/>
  <c r="K133" i="7"/>
  <c r="J133" i="7"/>
  <c r="P120" i="7"/>
  <c r="O120" i="7"/>
  <c r="J132" i="6"/>
  <c r="K132" i="6"/>
  <c r="N132" i="6"/>
  <c r="M118" i="3"/>
  <c r="N118" i="3" s="1"/>
  <c r="O117" i="7"/>
  <c r="P117" i="7"/>
  <c r="N153" i="9"/>
  <c r="J153" i="9"/>
  <c r="K153" i="9"/>
  <c r="N136" i="5"/>
  <c r="K136" i="5"/>
  <c r="J136" i="5"/>
  <c r="N152" i="8"/>
  <c r="J152" i="8"/>
  <c r="K152" i="8"/>
  <c r="J148" i="9"/>
  <c r="K148" i="9"/>
  <c r="N148" i="9"/>
  <c r="H120" i="1" l="1"/>
  <c r="AB120" i="1" s="1"/>
  <c r="H112" i="1"/>
  <c r="R112" i="1" s="1"/>
  <c r="H118" i="1"/>
  <c r="Q118" i="1" s="1"/>
  <c r="H115" i="1"/>
  <c r="AB115" i="1" s="1"/>
  <c r="H113" i="1"/>
  <c r="H114" i="1"/>
  <c r="K114" i="1" s="1"/>
  <c r="L114" i="1" s="1"/>
  <c r="H119" i="1"/>
  <c r="J119" i="1" s="1"/>
  <c r="H110" i="1"/>
  <c r="AB110" i="1" s="1"/>
  <c r="H111" i="1"/>
  <c r="AB111" i="1" s="1"/>
  <c r="H121" i="1"/>
  <c r="AB121" i="1" s="1"/>
  <c r="J151" i="3"/>
  <c r="L136" i="3"/>
  <c r="Y139" i="1"/>
  <c r="AB139" i="1" s="1"/>
  <c r="X139" i="1"/>
  <c r="AA139" i="1" s="1"/>
  <c r="X146" i="1"/>
  <c r="AA146" i="1" s="1"/>
  <c r="K151" i="3"/>
  <c r="Y146" i="1"/>
  <c r="AB146" i="1" s="1"/>
  <c r="L151" i="3"/>
  <c r="J137" i="3"/>
  <c r="R134" i="8"/>
  <c r="P119" i="3"/>
  <c r="Y152" i="1"/>
  <c r="AB152" i="1" s="1"/>
  <c r="Q149" i="5"/>
  <c r="X152" i="1"/>
  <c r="AA152" i="1" s="1"/>
  <c r="R149" i="5"/>
  <c r="X147" i="1"/>
  <c r="AA147" i="1" s="1"/>
  <c r="X148" i="1"/>
  <c r="AA148" i="1" s="1"/>
  <c r="M132" i="3"/>
  <c r="L149" i="3"/>
  <c r="Y148" i="1"/>
  <c r="AB148" i="1" s="1"/>
  <c r="P149" i="5"/>
  <c r="R147" i="5"/>
  <c r="M139" i="3"/>
  <c r="Q139" i="8"/>
  <c r="R147" i="8"/>
  <c r="Q147" i="5"/>
  <c r="P147" i="8"/>
  <c r="R133" i="8"/>
  <c r="R139" i="8"/>
  <c r="Q147" i="8"/>
  <c r="P117" i="3"/>
  <c r="P139" i="8"/>
  <c r="J152" i="3"/>
  <c r="K150" i="3"/>
  <c r="J150" i="3"/>
  <c r="O114" i="3"/>
  <c r="L133" i="3"/>
  <c r="P147" i="5"/>
  <c r="Q139" i="5"/>
  <c r="P146" i="2"/>
  <c r="Q146" i="2"/>
  <c r="R146" i="2"/>
  <c r="L148" i="3"/>
  <c r="P139" i="5"/>
  <c r="K138" i="3"/>
  <c r="P148" i="2"/>
  <c r="R150" i="8"/>
  <c r="Y147" i="1"/>
  <c r="AB147" i="1" s="1"/>
  <c r="P135" i="8"/>
  <c r="R139" i="5"/>
  <c r="Q150" i="8"/>
  <c r="P150" i="8"/>
  <c r="X149" i="1"/>
  <c r="AA149" i="1" s="1"/>
  <c r="R132" i="8"/>
  <c r="J147" i="3"/>
  <c r="Q134" i="8"/>
  <c r="R148" i="2"/>
  <c r="Q132" i="8"/>
  <c r="Y153" i="1"/>
  <c r="AB153" i="1" s="1"/>
  <c r="X153" i="1"/>
  <c r="AA153" i="1" s="1"/>
  <c r="O133" i="3"/>
  <c r="O136" i="3"/>
  <c r="P132" i="8"/>
  <c r="Q148" i="2"/>
  <c r="K136" i="3"/>
  <c r="P134" i="8"/>
  <c r="P121" i="3"/>
  <c r="J136" i="3"/>
  <c r="N147" i="3"/>
  <c r="M147" i="3"/>
  <c r="K147" i="3"/>
  <c r="M133" i="3"/>
  <c r="M136" i="3"/>
  <c r="Y149" i="1"/>
  <c r="AB149" i="1" s="1"/>
  <c r="P135" i="5"/>
  <c r="P132" i="7"/>
  <c r="M135" i="3"/>
  <c r="K152" i="3"/>
  <c r="K148" i="3"/>
  <c r="O148" i="3"/>
  <c r="J148" i="3"/>
  <c r="P133" i="8"/>
  <c r="M151" i="3"/>
  <c r="P148" i="5"/>
  <c r="Q132" i="7"/>
  <c r="P111" i="3"/>
  <c r="R132" i="7"/>
  <c r="AG148" i="1"/>
  <c r="L152" i="3"/>
  <c r="Q135" i="5"/>
  <c r="M152" i="3"/>
  <c r="R133" i="2"/>
  <c r="P134" i="2"/>
  <c r="Q154" i="1"/>
  <c r="Q151" i="2"/>
  <c r="P122" i="1"/>
  <c r="L139" i="3"/>
  <c r="O113" i="3"/>
  <c r="L147" i="3"/>
  <c r="L150" i="3"/>
  <c r="P151" i="2"/>
  <c r="R151" i="2"/>
  <c r="P115" i="3"/>
  <c r="P147" i="2"/>
  <c r="Y151" i="1"/>
  <c r="AB151" i="1" s="1"/>
  <c r="P149" i="2"/>
  <c r="L135" i="3"/>
  <c r="N151" i="3"/>
  <c r="K137" i="3"/>
  <c r="X151" i="1"/>
  <c r="AA151" i="1" s="1"/>
  <c r="AH147" i="1"/>
  <c r="Q149" i="2"/>
  <c r="Q133" i="8"/>
  <c r="R149" i="2"/>
  <c r="R148" i="5"/>
  <c r="Q148" i="5"/>
  <c r="Q140" i="1"/>
  <c r="O151" i="3"/>
  <c r="P150" i="2"/>
  <c r="R154" i="1"/>
  <c r="Q134" i="2"/>
  <c r="P154" i="1"/>
  <c r="T154" i="1" s="1"/>
  <c r="M148" i="3"/>
  <c r="AI153" i="1"/>
  <c r="AI152" i="1"/>
  <c r="R134" i="2"/>
  <c r="O122" i="1"/>
  <c r="P138" i="8"/>
  <c r="K133" i="3"/>
  <c r="Q135" i="7"/>
  <c r="R150" i="2"/>
  <c r="J133" i="3"/>
  <c r="M153" i="3"/>
  <c r="Q146" i="5"/>
  <c r="Q153" i="8"/>
  <c r="R133" i="9"/>
  <c r="P133" i="2"/>
  <c r="P149" i="7"/>
  <c r="Q152" i="4"/>
  <c r="J135" i="3"/>
  <c r="P139" i="9"/>
  <c r="R139" i="2"/>
  <c r="R147" i="2"/>
  <c r="Q135" i="8"/>
  <c r="R135" i="8"/>
  <c r="Q133" i="2"/>
  <c r="Q147" i="2"/>
  <c r="R152" i="5"/>
  <c r="P140" i="1"/>
  <c r="T140" i="1" s="1"/>
  <c r="R133" i="5"/>
  <c r="Q138" i="5"/>
  <c r="R152" i="4"/>
  <c r="P146" i="8"/>
  <c r="R138" i="8"/>
  <c r="Q139" i="2"/>
  <c r="P150" i="6"/>
  <c r="P152" i="4"/>
  <c r="P151" i="6"/>
  <c r="AG139" i="1"/>
  <c r="R148" i="6"/>
  <c r="P150" i="4"/>
  <c r="M150" i="3"/>
  <c r="Q153" i="7"/>
  <c r="R135" i="5"/>
  <c r="N135" i="3"/>
  <c r="Q139" i="9"/>
  <c r="Q150" i="2"/>
  <c r="Q138" i="8"/>
  <c r="AH139" i="1"/>
  <c r="K135" i="3"/>
  <c r="R133" i="7"/>
  <c r="Q137" i="5"/>
  <c r="P133" i="7"/>
  <c r="Q149" i="8"/>
  <c r="R138" i="5"/>
  <c r="R151" i="6"/>
  <c r="R146" i="8"/>
  <c r="P153" i="8"/>
  <c r="R148" i="9"/>
  <c r="P146" i="6"/>
  <c r="R140" i="1"/>
  <c r="AG147" i="1"/>
  <c r="R152" i="6"/>
  <c r="AI147" i="1"/>
  <c r="J138" i="3"/>
  <c r="E122" i="3"/>
  <c r="G67" i="3" s="1"/>
  <c r="Q137" i="8"/>
  <c r="P152" i="5"/>
  <c r="P134" i="7"/>
  <c r="M149" i="3"/>
  <c r="AG149" i="1"/>
  <c r="Q146" i="8"/>
  <c r="AH152" i="1"/>
  <c r="L153" i="3"/>
  <c r="Q148" i="6"/>
  <c r="Q134" i="4"/>
  <c r="Q148" i="9"/>
  <c r="AI146" i="1"/>
  <c r="P150" i="9"/>
  <c r="Q134" i="9"/>
  <c r="P153" i="2"/>
  <c r="P138" i="9"/>
  <c r="P146" i="5"/>
  <c r="P153" i="7"/>
  <c r="R146" i="5"/>
  <c r="R153" i="7"/>
  <c r="R139" i="9"/>
  <c r="R150" i="4"/>
  <c r="P133" i="9"/>
  <c r="P139" i="2"/>
  <c r="Q137" i="6"/>
  <c r="P137" i="6"/>
  <c r="R137" i="6"/>
  <c r="P136" i="4"/>
  <c r="Q136" i="4"/>
  <c r="R136" i="4"/>
  <c r="Q138" i="7"/>
  <c r="P138" i="7"/>
  <c r="R138" i="7"/>
  <c r="R153" i="2"/>
  <c r="R135" i="4"/>
  <c r="P135" i="4"/>
  <c r="Q135" i="4"/>
  <c r="P135" i="7"/>
  <c r="R149" i="8"/>
  <c r="Q151" i="6"/>
  <c r="R135" i="7"/>
  <c r="P110" i="4"/>
  <c r="P122" i="4" s="1"/>
  <c r="N122" i="4"/>
  <c r="O110" i="4"/>
  <c r="O122" i="4" s="1"/>
  <c r="Q133" i="9"/>
  <c r="AI132" i="1"/>
  <c r="AG132" i="1"/>
  <c r="X136" i="1"/>
  <c r="AA136" i="1" s="1"/>
  <c r="Y136" i="1"/>
  <c r="AB136" i="1" s="1"/>
  <c r="AG133" i="1"/>
  <c r="AI133" i="1"/>
  <c r="R149" i="7"/>
  <c r="AI149" i="1"/>
  <c r="Q133" i="7"/>
  <c r="E175" i="1"/>
  <c r="B67" i="9" s="1"/>
  <c r="I67" i="1"/>
  <c r="B67" i="7"/>
  <c r="E175" i="7" s="1"/>
  <c r="E176" i="7" s="1"/>
  <c r="E177" i="7" s="1"/>
  <c r="B67" i="8"/>
  <c r="E175" i="8" s="1"/>
  <c r="E176" i="8" s="1"/>
  <c r="E177" i="8" s="1"/>
  <c r="B67" i="2"/>
  <c r="E175" i="2" s="1"/>
  <c r="E176" i="2" s="1"/>
  <c r="E177" i="2" s="1"/>
  <c r="B67" i="3"/>
  <c r="E175" i="3" s="1"/>
  <c r="E176" i="3" s="1"/>
  <c r="E177" i="3" s="1"/>
  <c r="B67" i="4"/>
  <c r="B67" i="6"/>
  <c r="E175" i="6" s="1"/>
  <c r="E176" i="6" s="1"/>
  <c r="E177" i="6" s="1"/>
  <c r="R148" i="8"/>
  <c r="P148" i="8"/>
  <c r="Q148" i="8"/>
  <c r="P148" i="9"/>
  <c r="G67" i="2"/>
  <c r="AI151" i="1"/>
  <c r="Q150" i="4"/>
  <c r="Q152" i="5"/>
  <c r="P132" i="6"/>
  <c r="R132" i="6"/>
  <c r="Q132" i="6"/>
  <c r="R153" i="8"/>
  <c r="Q153" i="2"/>
  <c r="R151" i="5"/>
  <c r="P151" i="5"/>
  <c r="Q151" i="5"/>
  <c r="P148" i="6"/>
  <c r="R137" i="2"/>
  <c r="Q137" i="2"/>
  <c r="P137" i="2"/>
  <c r="O122" i="8"/>
  <c r="AH149" i="1"/>
  <c r="R134" i="9"/>
  <c r="R150" i="9"/>
  <c r="N134" i="3"/>
  <c r="K134" i="3"/>
  <c r="J134" i="3"/>
  <c r="P136" i="9"/>
  <c r="Q136" i="9"/>
  <c r="R136" i="9"/>
  <c r="Q150" i="9"/>
  <c r="K149" i="3"/>
  <c r="N149" i="3"/>
  <c r="J149" i="3"/>
  <c r="R152" i="9"/>
  <c r="Q152" i="9"/>
  <c r="P152" i="9"/>
  <c r="Q152" i="2"/>
  <c r="R152" i="2"/>
  <c r="P152" i="2"/>
  <c r="P136" i="7"/>
  <c r="R136" i="7"/>
  <c r="Q136" i="7"/>
  <c r="R148" i="4"/>
  <c r="P148" i="4"/>
  <c r="Q148" i="4"/>
  <c r="O110" i="5"/>
  <c r="O122" i="5" s="1"/>
  <c r="P110" i="5"/>
  <c r="P122" i="5" s="1"/>
  <c r="N122" i="5"/>
  <c r="AI136" i="1"/>
  <c r="AG136" i="1"/>
  <c r="Q133" i="4"/>
  <c r="R133" i="4"/>
  <c r="P133" i="4"/>
  <c r="R135" i="2"/>
  <c r="P135" i="2"/>
  <c r="Q135" i="2"/>
  <c r="AH151" i="1"/>
  <c r="Q133" i="6"/>
  <c r="P133" i="6"/>
  <c r="R133" i="6"/>
  <c r="AH150" i="1"/>
  <c r="G67" i="7"/>
  <c r="X134" i="1"/>
  <c r="AA134" i="1" s="1"/>
  <c r="Y134" i="1"/>
  <c r="AB134" i="1" s="1"/>
  <c r="Q134" i="7"/>
  <c r="R134" i="6"/>
  <c r="P134" i="6"/>
  <c r="Q134" i="6"/>
  <c r="N139" i="3"/>
  <c r="K139" i="3"/>
  <c r="J139" i="3"/>
  <c r="P122" i="8"/>
  <c r="AG146" i="1"/>
  <c r="R152" i="8"/>
  <c r="P152" i="8"/>
  <c r="Q152" i="8"/>
  <c r="P134" i="4"/>
  <c r="P139" i="6"/>
  <c r="R139" i="6"/>
  <c r="Q139" i="6"/>
  <c r="Q132" i="4"/>
  <c r="R132" i="4"/>
  <c r="P132" i="4"/>
  <c r="AH135" i="1"/>
  <c r="Q132" i="9"/>
  <c r="P132" i="9"/>
  <c r="R132" i="9"/>
  <c r="P137" i="5"/>
  <c r="Q146" i="6"/>
  <c r="O112" i="3"/>
  <c r="P112" i="3"/>
  <c r="Y132" i="1"/>
  <c r="AB132" i="1" s="1"/>
  <c r="X132" i="1"/>
  <c r="AA132" i="1" s="1"/>
  <c r="Q138" i="6"/>
  <c r="P138" i="6"/>
  <c r="R138" i="6"/>
  <c r="AH136" i="1"/>
  <c r="AG150" i="1"/>
  <c r="AI150" i="1"/>
  <c r="Q132" i="5"/>
  <c r="P132" i="5"/>
  <c r="R132" i="5"/>
  <c r="R134" i="7"/>
  <c r="Q146" i="4"/>
  <c r="P146" i="4"/>
  <c r="R146" i="4"/>
  <c r="R151" i="8"/>
  <c r="P151" i="8"/>
  <c r="Q151" i="8"/>
  <c r="R149" i="6"/>
  <c r="Q149" i="6"/>
  <c r="P149" i="6"/>
  <c r="M122" i="3"/>
  <c r="P133" i="5"/>
  <c r="R134" i="4"/>
  <c r="R147" i="4"/>
  <c r="Q147" i="4"/>
  <c r="P147" i="4"/>
  <c r="X133" i="1"/>
  <c r="AA133" i="1" s="1"/>
  <c r="Y133" i="1"/>
  <c r="AB133" i="1" s="1"/>
  <c r="AG134" i="1"/>
  <c r="AI134" i="1"/>
  <c r="K153" i="3"/>
  <c r="N153" i="3"/>
  <c r="J153" i="3"/>
  <c r="P118" i="3"/>
  <c r="O118" i="3"/>
  <c r="J132" i="3"/>
  <c r="N132" i="3"/>
  <c r="K132" i="3"/>
  <c r="R137" i="8"/>
  <c r="A205" i="2"/>
  <c r="B205" i="2"/>
  <c r="A206" i="2"/>
  <c r="C207" i="2"/>
  <c r="C205" i="2"/>
  <c r="A207" i="2"/>
  <c r="B207" i="2"/>
  <c r="C206" i="2"/>
  <c r="B206" i="2"/>
  <c r="L134" i="3"/>
  <c r="R137" i="5"/>
  <c r="R146" i="6"/>
  <c r="R153" i="4"/>
  <c r="Q153" i="4"/>
  <c r="P153" i="4"/>
  <c r="R150" i="7"/>
  <c r="P150" i="7"/>
  <c r="Q150" i="7"/>
  <c r="X150" i="1"/>
  <c r="AA150" i="1" s="1"/>
  <c r="Y150" i="1"/>
  <c r="AB150" i="1" s="1"/>
  <c r="R138" i="2"/>
  <c r="P138" i="2"/>
  <c r="Q138" i="2"/>
  <c r="AI148" i="1"/>
  <c r="R146" i="9"/>
  <c r="P146" i="9"/>
  <c r="Q146" i="9"/>
  <c r="AH137" i="1"/>
  <c r="P136" i="5"/>
  <c r="R136" i="5"/>
  <c r="Q136" i="5"/>
  <c r="L132" i="3"/>
  <c r="P132" i="2"/>
  <c r="Q132" i="2"/>
  <c r="R132" i="2"/>
  <c r="P152" i="6"/>
  <c r="P137" i="4"/>
  <c r="Q137" i="4"/>
  <c r="R137" i="4"/>
  <c r="AH146" i="1"/>
  <c r="O110" i="3"/>
  <c r="P110" i="3"/>
  <c r="N122" i="3"/>
  <c r="G67" i="6"/>
  <c r="Q133" i="5"/>
  <c r="R147" i="6"/>
  <c r="P147" i="6"/>
  <c r="Q147" i="6"/>
  <c r="AH138" i="1"/>
  <c r="R150" i="6"/>
  <c r="Q138" i="9"/>
  <c r="M134" i="3"/>
  <c r="Q139" i="7"/>
  <c r="P139" i="7"/>
  <c r="R139" i="7"/>
  <c r="P152" i="7"/>
  <c r="Q152" i="7"/>
  <c r="R152" i="7"/>
  <c r="Q147" i="7"/>
  <c r="P147" i="7"/>
  <c r="R147" i="7"/>
  <c r="P146" i="7"/>
  <c r="R146" i="7"/>
  <c r="Q146" i="7"/>
  <c r="Q148" i="7"/>
  <c r="R148" i="7"/>
  <c r="P148" i="7"/>
  <c r="AI137" i="1"/>
  <c r="AG137" i="1"/>
  <c r="AH134" i="1"/>
  <c r="P135" i="9"/>
  <c r="Q135" i="9"/>
  <c r="R135" i="9"/>
  <c r="Q152" i="6"/>
  <c r="Q136" i="6"/>
  <c r="R136" i="6"/>
  <c r="P136" i="6"/>
  <c r="AH153" i="1"/>
  <c r="Q153" i="9"/>
  <c r="R153" i="9"/>
  <c r="P153" i="9"/>
  <c r="P153" i="5"/>
  <c r="Q153" i="5"/>
  <c r="R153" i="5"/>
  <c r="O122" i="6"/>
  <c r="Q150" i="6"/>
  <c r="R147" i="9"/>
  <c r="P147" i="9"/>
  <c r="Q147" i="9"/>
  <c r="P134" i="5"/>
  <c r="Q134" i="5"/>
  <c r="R134" i="5"/>
  <c r="O137" i="3"/>
  <c r="L137" i="3"/>
  <c r="M137" i="3"/>
  <c r="Q149" i="9"/>
  <c r="P149" i="9"/>
  <c r="R149" i="9"/>
  <c r="O138" i="3"/>
  <c r="M138" i="3"/>
  <c r="L138" i="3"/>
  <c r="O110" i="7"/>
  <c r="O122" i="7" s="1"/>
  <c r="P110" i="7"/>
  <c r="P122" i="7" s="1"/>
  <c r="N122" i="7"/>
  <c r="P149" i="8"/>
  <c r="R138" i="9"/>
  <c r="X135" i="1"/>
  <c r="AA135" i="1" s="1"/>
  <c r="Y135" i="1"/>
  <c r="AB135" i="1" s="1"/>
  <c r="R138" i="4"/>
  <c r="Q138" i="4"/>
  <c r="P138" i="4"/>
  <c r="R151" i="7"/>
  <c r="P151" i="7"/>
  <c r="Q151" i="7"/>
  <c r="AH133" i="1"/>
  <c r="P138" i="5"/>
  <c r="G67" i="5"/>
  <c r="Q149" i="7"/>
  <c r="Q136" i="8"/>
  <c r="P136" i="8"/>
  <c r="R136" i="8"/>
  <c r="AG152" i="1"/>
  <c r="O120" i="3"/>
  <c r="P120" i="3"/>
  <c r="Y137" i="1"/>
  <c r="AB137" i="1" s="1"/>
  <c r="X137" i="1"/>
  <c r="AA137" i="1" s="1"/>
  <c r="K146" i="3"/>
  <c r="N146" i="3"/>
  <c r="J146" i="3"/>
  <c r="P122" i="2"/>
  <c r="AH148" i="1"/>
  <c r="G67" i="8"/>
  <c r="P134" i="9"/>
  <c r="P122" i="6"/>
  <c r="AI138" i="1"/>
  <c r="AG138" i="1"/>
  <c r="AI135" i="1"/>
  <c r="AG135" i="1"/>
  <c r="N122" i="9"/>
  <c r="P110" i="9"/>
  <c r="P122" i="9" s="1"/>
  <c r="O110" i="9"/>
  <c r="O122" i="9" s="1"/>
  <c r="P137" i="8"/>
  <c r="O146" i="3"/>
  <c r="L146" i="3"/>
  <c r="M146" i="3"/>
  <c r="Q137" i="7"/>
  <c r="R137" i="7"/>
  <c r="P137" i="7"/>
  <c r="P116" i="3"/>
  <c r="O116" i="3"/>
  <c r="AH132" i="1"/>
  <c r="AG153" i="1"/>
  <c r="R153" i="6"/>
  <c r="P153" i="6"/>
  <c r="Q153" i="6"/>
  <c r="R149" i="4"/>
  <c r="P149" i="4"/>
  <c r="Q149" i="4"/>
  <c r="O122" i="2"/>
  <c r="R136" i="2"/>
  <c r="Q136" i="2"/>
  <c r="P136" i="2"/>
  <c r="P150" i="5"/>
  <c r="R150" i="5"/>
  <c r="Q150" i="5"/>
  <c r="AG151" i="1"/>
  <c r="P151" i="4"/>
  <c r="Q151" i="4"/>
  <c r="R151" i="4"/>
  <c r="Q151" i="9"/>
  <c r="P151" i="9"/>
  <c r="R151" i="9"/>
  <c r="P137" i="9"/>
  <c r="R137" i="9"/>
  <c r="Q137" i="9"/>
  <c r="P139" i="4"/>
  <c r="Q139" i="4"/>
  <c r="R139" i="4"/>
  <c r="AI139" i="1"/>
  <c r="X138" i="1"/>
  <c r="AA138" i="1" s="1"/>
  <c r="Y138" i="1"/>
  <c r="AB138" i="1" s="1"/>
  <c r="Q135" i="6"/>
  <c r="R135" i="6"/>
  <c r="P135" i="6"/>
  <c r="H117" i="1" l="1"/>
  <c r="AB117" i="1" s="1"/>
  <c r="H116" i="1"/>
  <c r="AB116" i="1" s="1"/>
  <c r="P156" i="1"/>
  <c r="P157" i="1"/>
  <c r="AB119" i="1"/>
  <c r="K119" i="1"/>
  <c r="L119" i="1" s="1"/>
  <c r="R119" i="1"/>
  <c r="Q119" i="1"/>
  <c r="I119" i="1"/>
  <c r="H119" i="8"/>
  <c r="K119" i="8" s="1"/>
  <c r="L119" i="8" s="1"/>
  <c r="H119" i="7"/>
  <c r="I119" i="7" s="1"/>
  <c r="H115" i="7"/>
  <c r="K115" i="7" s="1"/>
  <c r="L115" i="7" s="1"/>
  <c r="H117" i="7"/>
  <c r="K117" i="7" s="1"/>
  <c r="L117" i="7" s="1"/>
  <c r="Q114" i="1"/>
  <c r="Q111" i="1"/>
  <c r="I111" i="1"/>
  <c r="J121" i="1"/>
  <c r="H120" i="7"/>
  <c r="K120" i="7" s="1"/>
  <c r="L120" i="7" s="1"/>
  <c r="H110" i="7"/>
  <c r="J110" i="7" s="1"/>
  <c r="H118" i="7"/>
  <c r="I118" i="7" s="1"/>
  <c r="I110" i="1"/>
  <c r="H112" i="7"/>
  <c r="K112" i="7" s="1"/>
  <c r="L112" i="7" s="1"/>
  <c r="H111" i="7"/>
  <c r="J111" i="7" s="1"/>
  <c r="Q150" i="3"/>
  <c r="Q115" i="1"/>
  <c r="I121" i="1"/>
  <c r="K115" i="1"/>
  <c r="L115" i="1" s="1"/>
  <c r="R121" i="1"/>
  <c r="R115" i="1"/>
  <c r="K121" i="1"/>
  <c r="L121" i="1" s="1"/>
  <c r="J115" i="1"/>
  <c r="I115" i="1"/>
  <c r="AJ148" i="1"/>
  <c r="AM148" i="1" s="1"/>
  <c r="H113" i="7"/>
  <c r="K113" i="7" s="1"/>
  <c r="L113" i="7" s="1"/>
  <c r="Q136" i="3"/>
  <c r="R136" i="3"/>
  <c r="H114" i="3"/>
  <c r="I114" i="3" s="1"/>
  <c r="P136" i="3"/>
  <c r="AK149" i="1"/>
  <c r="AN149" i="1" s="1"/>
  <c r="J118" i="1"/>
  <c r="H111" i="8"/>
  <c r="I111" i="8" s="1"/>
  <c r="R118" i="1"/>
  <c r="T118" i="1" s="1"/>
  <c r="W118" i="1" s="1"/>
  <c r="H116" i="8"/>
  <c r="I116" i="8" s="1"/>
  <c r="H114" i="7"/>
  <c r="K114" i="7" s="1"/>
  <c r="L114" i="7" s="1"/>
  <c r="H112" i="8"/>
  <c r="K112" i="8" s="1"/>
  <c r="L112" i="8" s="1"/>
  <c r="Q121" i="1"/>
  <c r="AK147" i="1"/>
  <c r="AN147" i="1" s="1"/>
  <c r="P148" i="3"/>
  <c r="P147" i="3"/>
  <c r="R152" i="3"/>
  <c r="Q151" i="3"/>
  <c r="R114" i="1"/>
  <c r="Q147" i="3"/>
  <c r="AB114" i="1"/>
  <c r="R147" i="3"/>
  <c r="R151" i="3"/>
  <c r="J114" i="1"/>
  <c r="Q152" i="3"/>
  <c r="R148" i="3"/>
  <c r="I114" i="1"/>
  <c r="P152" i="3"/>
  <c r="Q148" i="3"/>
  <c r="Q135" i="3"/>
  <c r="P151" i="3"/>
  <c r="Q154" i="5"/>
  <c r="I118" i="1"/>
  <c r="P150" i="3"/>
  <c r="K111" i="1"/>
  <c r="L111" i="1" s="1"/>
  <c r="R135" i="3"/>
  <c r="AB118" i="1"/>
  <c r="R150" i="3"/>
  <c r="J111" i="1"/>
  <c r="P135" i="3"/>
  <c r="R111" i="1"/>
  <c r="AJ147" i="1"/>
  <c r="AM147" i="1" s="1"/>
  <c r="K118" i="1"/>
  <c r="L118" i="1" s="1"/>
  <c r="AK139" i="1"/>
  <c r="AN139" i="1" s="1"/>
  <c r="P133" i="3"/>
  <c r="H121" i="6"/>
  <c r="J121" i="6" s="1"/>
  <c r="H114" i="6"/>
  <c r="J114" i="6" s="1"/>
  <c r="E176" i="1"/>
  <c r="E177" i="1" s="1"/>
  <c r="E178" i="1" s="1"/>
  <c r="P154" i="2"/>
  <c r="R133" i="3"/>
  <c r="AJ139" i="1"/>
  <c r="AM139" i="1" s="1"/>
  <c r="AJ149" i="1"/>
  <c r="AM149" i="1" s="1"/>
  <c r="Q133" i="3"/>
  <c r="K110" i="1"/>
  <c r="L110" i="1" s="1"/>
  <c r="H113" i="6"/>
  <c r="J113" i="6" s="1"/>
  <c r="H119" i="6"/>
  <c r="I119" i="6" s="1"/>
  <c r="Q140" i="7"/>
  <c r="R110" i="1"/>
  <c r="H117" i="6"/>
  <c r="K117" i="6" s="1"/>
  <c r="L117" i="6" s="1"/>
  <c r="H110" i="6"/>
  <c r="J110" i="6" s="1"/>
  <c r="Q110" i="1"/>
  <c r="H118" i="6"/>
  <c r="K118" i="6" s="1"/>
  <c r="L118" i="6" s="1"/>
  <c r="H111" i="6"/>
  <c r="K111" i="6" s="1"/>
  <c r="L111" i="6" s="1"/>
  <c r="J110" i="1"/>
  <c r="H120" i="6"/>
  <c r="J120" i="6" s="1"/>
  <c r="H116" i="6"/>
  <c r="K116" i="6" s="1"/>
  <c r="L116" i="6" s="1"/>
  <c r="H112" i="6"/>
  <c r="J112" i="6" s="1"/>
  <c r="H115" i="6"/>
  <c r="K115" i="6" s="1"/>
  <c r="L115" i="6" s="1"/>
  <c r="Q132" i="3"/>
  <c r="P154" i="5"/>
  <c r="P153" i="3"/>
  <c r="AB112" i="1"/>
  <c r="Q154" i="2"/>
  <c r="J112" i="1"/>
  <c r="Q149" i="3"/>
  <c r="Q112" i="1"/>
  <c r="T112" i="1" s="1"/>
  <c r="W112" i="1" s="1"/>
  <c r="P143" i="1"/>
  <c r="P142" i="1"/>
  <c r="I112" i="1"/>
  <c r="K112" i="1"/>
  <c r="L112" i="1" s="1"/>
  <c r="H118" i="8"/>
  <c r="J118" i="8" s="1"/>
  <c r="H113" i="8"/>
  <c r="K113" i="8" s="1"/>
  <c r="L113" i="8" s="1"/>
  <c r="H115" i="8"/>
  <c r="J115" i="8" s="1"/>
  <c r="B67" i="5"/>
  <c r="H111" i="5" s="1"/>
  <c r="H121" i="8"/>
  <c r="J121" i="8" s="1"/>
  <c r="H117" i="8"/>
  <c r="J117" i="8" s="1"/>
  <c r="H118" i="2"/>
  <c r="K118" i="2" s="1"/>
  <c r="L118" i="2" s="1"/>
  <c r="H110" i="8"/>
  <c r="I110" i="8" s="1"/>
  <c r="H114" i="8"/>
  <c r="J114" i="8" s="1"/>
  <c r="H120" i="8"/>
  <c r="I120" i="8" s="1"/>
  <c r="H116" i="7"/>
  <c r="I116" i="7" s="1"/>
  <c r="H121" i="7"/>
  <c r="K121" i="7" s="1"/>
  <c r="L121" i="7" s="1"/>
  <c r="E175" i="9"/>
  <c r="E176" i="9" s="1"/>
  <c r="E177" i="9" s="1"/>
  <c r="A183" i="9" s="1"/>
  <c r="D190" i="9" s="1"/>
  <c r="H110" i="9"/>
  <c r="H114" i="9"/>
  <c r="H116" i="9"/>
  <c r="H111" i="9"/>
  <c r="H119" i="9"/>
  <c r="H117" i="9"/>
  <c r="H120" i="9"/>
  <c r="H118" i="9"/>
  <c r="H113" i="9"/>
  <c r="H115" i="9"/>
  <c r="H121" i="9"/>
  <c r="H112" i="9"/>
  <c r="R153" i="3"/>
  <c r="R140" i="8"/>
  <c r="H112" i="3"/>
  <c r="K112" i="3" s="1"/>
  <c r="L112" i="3" s="1"/>
  <c r="H120" i="3"/>
  <c r="K120" i="3" s="1"/>
  <c r="L120" i="3" s="1"/>
  <c r="P154" i="8"/>
  <c r="K120" i="1"/>
  <c r="L120" i="1" s="1"/>
  <c r="P132" i="3"/>
  <c r="Q154" i="4"/>
  <c r="H115" i="2"/>
  <c r="K115" i="2" s="1"/>
  <c r="L115" i="2" s="1"/>
  <c r="H112" i="2"/>
  <c r="J112" i="2" s="1"/>
  <c r="R154" i="8"/>
  <c r="Q140" i="4"/>
  <c r="H111" i="3"/>
  <c r="I111" i="3" s="1"/>
  <c r="H111" i="2"/>
  <c r="K111" i="2" s="1"/>
  <c r="L111" i="2" s="1"/>
  <c r="R154" i="5"/>
  <c r="Q153" i="3"/>
  <c r="P140" i="8"/>
  <c r="H118" i="3"/>
  <c r="J118" i="3" s="1"/>
  <c r="H116" i="3"/>
  <c r="J116" i="3" s="1"/>
  <c r="Q120" i="1"/>
  <c r="R140" i="7"/>
  <c r="H117" i="2"/>
  <c r="J117" i="2" s="1"/>
  <c r="H114" i="2"/>
  <c r="K114" i="2" s="1"/>
  <c r="L114" i="2" s="1"/>
  <c r="R154" i="2"/>
  <c r="Q140" i="8"/>
  <c r="H110" i="3"/>
  <c r="K110" i="3" s="1"/>
  <c r="L110" i="3" s="1"/>
  <c r="H113" i="3"/>
  <c r="J113" i="3" s="1"/>
  <c r="P154" i="6"/>
  <c r="J120" i="1"/>
  <c r="Q154" i="8"/>
  <c r="H110" i="2"/>
  <c r="J110" i="2" s="1"/>
  <c r="H119" i="2"/>
  <c r="I119" i="2" s="1"/>
  <c r="H115" i="3"/>
  <c r="K115" i="3" s="1"/>
  <c r="L115" i="3" s="1"/>
  <c r="R120" i="1"/>
  <c r="H121" i="2"/>
  <c r="I121" i="2" s="1"/>
  <c r="H113" i="2"/>
  <c r="K113" i="2" s="1"/>
  <c r="L113" i="2" s="1"/>
  <c r="R149" i="3"/>
  <c r="H121" i="3"/>
  <c r="J121" i="3" s="1"/>
  <c r="I120" i="1"/>
  <c r="Q139" i="3"/>
  <c r="H116" i="2"/>
  <c r="J116" i="2" s="1"/>
  <c r="H117" i="3"/>
  <c r="J117" i="3" s="1"/>
  <c r="H119" i="3"/>
  <c r="I119" i="3" s="1"/>
  <c r="H120" i="2"/>
  <c r="J120" i="2" s="1"/>
  <c r="E175" i="4"/>
  <c r="E176" i="4" s="1"/>
  <c r="E177" i="4" s="1"/>
  <c r="C183" i="4" s="1"/>
  <c r="D192" i="4" s="1"/>
  <c r="H112" i="4"/>
  <c r="H116" i="4"/>
  <c r="H110" i="4"/>
  <c r="H117" i="4"/>
  <c r="H118" i="4"/>
  <c r="H119" i="4"/>
  <c r="H113" i="4"/>
  <c r="H115" i="4"/>
  <c r="H111" i="4"/>
  <c r="H114" i="4"/>
  <c r="H120" i="4"/>
  <c r="H121" i="4"/>
  <c r="P140" i="7"/>
  <c r="AJ151" i="1"/>
  <c r="AM151" i="1" s="1"/>
  <c r="AK151" i="1"/>
  <c r="AN151" i="1" s="1"/>
  <c r="P140" i="2"/>
  <c r="R154" i="9"/>
  <c r="R154" i="6"/>
  <c r="P154" i="4"/>
  <c r="Q154" i="6"/>
  <c r="R140" i="4"/>
  <c r="Q134" i="3"/>
  <c r="R134" i="3"/>
  <c r="P134" i="3"/>
  <c r="P149" i="3"/>
  <c r="R138" i="3"/>
  <c r="P138" i="3"/>
  <c r="Q138" i="3"/>
  <c r="AJ137" i="1"/>
  <c r="AM137" i="1" s="1"/>
  <c r="AK137" i="1"/>
  <c r="AN137" i="1" s="1"/>
  <c r="R140" i="9"/>
  <c r="B183" i="3"/>
  <c r="D191" i="3" s="1"/>
  <c r="E178" i="3"/>
  <c r="D183" i="3"/>
  <c r="D193" i="3" s="1"/>
  <c r="A183" i="3"/>
  <c r="D190" i="3" s="1"/>
  <c r="C183" i="3"/>
  <c r="D192" i="3" s="1"/>
  <c r="AJ133" i="1"/>
  <c r="AM133" i="1" s="1"/>
  <c r="AK133" i="1"/>
  <c r="AN133" i="1" s="1"/>
  <c r="R132" i="3"/>
  <c r="AJ153" i="1"/>
  <c r="AM153" i="1" s="1"/>
  <c r="AK153" i="1"/>
  <c r="AN153" i="1" s="1"/>
  <c r="AK138" i="1"/>
  <c r="AN138" i="1" s="1"/>
  <c r="AJ138" i="1"/>
  <c r="AM138" i="1" s="1"/>
  <c r="P140" i="9"/>
  <c r="D183" i="2"/>
  <c r="D193" i="2" s="1"/>
  <c r="E178" i="2"/>
  <c r="B183" i="2"/>
  <c r="D191" i="2" s="1"/>
  <c r="C183" i="2"/>
  <c r="D192" i="2" s="1"/>
  <c r="A183" i="2"/>
  <c r="AJ135" i="1"/>
  <c r="AM135" i="1" s="1"/>
  <c r="AK135" i="1"/>
  <c r="AN135" i="1" s="1"/>
  <c r="AJ150" i="1"/>
  <c r="AM150" i="1" s="1"/>
  <c r="AK150" i="1"/>
  <c r="AN150" i="1" s="1"/>
  <c r="AK146" i="1"/>
  <c r="AN146" i="1" s="1"/>
  <c r="AJ146" i="1"/>
  <c r="AM146" i="1" s="1"/>
  <c r="AJ152" i="1"/>
  <c r="AM152" i="1" s="1"/>
  <c r="AK152" i="1"/>
  <c r="AN152" i="1" s="1"/>
  <c r="Q140" i="9"/>
  <c r="A183" i="8"/>
  <c r="D190" i="8" s="1"/>
  <c r="D183" i="8"/>
  <c r="D193" i="8" s="1"/>
  <c r="E178" i="8"/>
  <c r="C183" i="8"/>
  <c r="D192" i="8" s="1"/>
  <c r="B183" i="8"/>
  <c r="D191" i="8" s="1"/>
  <c r="R139" i="3"/>
  <c r="Q154" i="7"/>
  <c r="R140" i="5"/>
  <c r="Q140" i="6"/>
  <c r="E178" i="7"/>
  <c r="D183" i="7"/>
  <c r="D193" i="7" s="1"/>
  <c r="B183" i="7"/>
  <c r="D191" i="7" s="1"/>
  <c r="A183" i="7"/>
  <c r="D190" i="7" s="1"/>
  <c r="C183" i="7"/>
  <c r="D192" i="7" s="1"/>
  <c r="AK132" i="1"/>
  <c r="AN132" i="1" s="1"/>
  <c r="AJ132" i="1"/>
  <c r="AM132" i="1" s="1"/>
  <c r="P139" i="3"/>
  <c r="AK148" i="1"/>
  <c r="AN148" i="1" s="1"/>
  <c r="AJ136" i="1"/>
  <c r="AM136" i="1" s="1"/>
  <c r="AK136" i="1"/>
  <c r="AN136" i="1" s="1"/>
  <c r="R154" i="7"/>
  <c r="P122" i="3"/>
  <c r="R140" i="2"/>
  <c r="Q154" i="9"/>
  <c r="P140" i="5"/>
  <c r="R140" i="6"/>
  <c r="AJ134" i="1"/>
  <c r="AM134" i="1" s="1"/>
  <c r="AK134" i="1"/>
  <c r="AN134" i="1" s="1"/>
  <c r="R146" i="3"/>
  <c r="P146" i="3"/>
  <c r="Q146" i="3"/>
  <c r="P137" i="3"/>
  <c r="Q137" i="3"/>
  <c r="R137" i="3"/>
  <c r="P154" i="7"/>
  <c r="O122" i="3"/>
  <c r="Q140" i="2"/>
  <c r="P154" i="9"/>
  <c r="R154" i="4"/>
  <c r="Q140" i="5"/>
  <c r="P140" i="4"/>
  <c r="P140" i="6"/>
  <c r="E178" i="6"/>
  <c r="D183" i="6"/>
  <c r="D193" i="6" s="1"/>
  <c r="A183" i="6"/>
  <c r="D190" i="6" s="1"/>
  <c r="C183" i="6"/>
  <c r="D192" i="6" s="1"/>
  <c r="B183" i="6"/>
  <c r="D191" i="6" s="1"/>
  <c r="R117" i="1" l="1"/>
  <c r="J117" i="1"/>
  <c r="R116" i="1"/>
  <c r="I116" i="1"/>
  <c r="K117" i="1"/>
  <c r="L117" i="1" s="1"/>
  <c r="Q117" i="1"/>
  <c r="H122" i="1"/>
  <c r="B159" i="1" s="1"/>
  <c r="B164" i="1" s="1"/>
  <c r="E164" i="1" s="1"/>
  <c r="F185" i="1" s="1"/>
  <c r="J116" i="1"/>
  <c r="I117" i="1"/>
  <c r="K116" i="1"/>
  <c r="L116" i="1" s="1"/>
  <c r="Q116" i="1"/>
  <c r="R94" i="1"/>
  <c r="R97" i="1" s="1"/>
  <c r="Q94" i="1"/>
  <c r="Q97" i="1" s="1"/>
  <c r="T119" i="1"/>
  <c r="W119" i="1" s="1"/>
  <c r="U119" i="1"/>
  <c r="X119" i="1" s="1"/>
  <c r="B169" i="1"/>
  <c r="C169" i="1" s="1"/>
  <c r="F188" i="1" s="1"/>
  <c r="I115" i="7"/>
  <c r="J115" i="7"/>
  <c r="J117" i="7"/>
  <c r="P143" i="8"/>
  <c r="J119" i="8"/>
  <c r="I119" i="8"/>
  <c r="I117" i="7"/>
  <c r="R113" i="1"/>
  <c r="AB113" i="1"/>
  <c r="Q113" i="1"/>
  <c r="K113" i="1"/>
  <c r="L113" i="1" s="1"/>
  <c r="J113" i="1"/>
  <c r="I113" i="1"/>
  <c r="K119" i="7"/>
  <c r="L119" i="7" s="1"/>
  <c r="J119" i="7"/>
  <c r="I112" i="7"/>
  <c r="U111" i="1"/>
  <c r="X111" i="1" s="1"/>
  <c r="T114" i="1"/>
  <c r="W114" i="1" s="1"/>
  <c r="J112" i="7"/>
  <c r="I114" i="6"/>
  <c r="I113" i="7"/>
  <c r="B183" i="9"/>
  <c r="D191" i="9" s="1"/>
  <c r="I112" i="8"/>
  <c r="K110" i="7"/>
  <c r="L110" i="7" s="1"/>
  <c r="T115" i="1"/>
  <c r="W115" i="1" s="1"/>
  <c r="T121" i="1"/>
  <c r="W121" i="1" s="1"/>
  <c r="J113" i="7"/>
  <c r="J120" i="7"/>
  <c r="I120" i="7"/>
  <c r="I118" i="8"/>
  <c r="J118" i="7"/>
  <c r="I120" i="6"/>
  <c r="K116" i="8"/>
  <c r="L116" i="8" s="1"/>
  <c r="K118" i="7"/>
  <c r="L118" i="7" s="1"/>
  <c r="I110" i="7"/>
  <c r="U118" i="1"/>
  <c r="X118" i="1" s="1"/>
  <c r="K120" i="6"/>
  <c r="L120" i="6" s="1"/>
  <c r="K118" i="8"/>
  <c r="L118" i="8" s="1"/>
  <c r="K114" i="8"/>
  <c r="L114" i="8" s="1"/>
  <c r="I114" i="8"/>
  <c r="J119" i="2"/>
  <c r="U121" i="1"/>
  <c r="X121" i="1" s="1"/>
  <c r="P143" i="7"/>
  <c r="J114" i="3"/>
  <c r="J116" i="8"/>
  <c r="U115" i="1"/>
  <c r="X115" i="1" s="1"/>
  <c r="K114" i="3"/>
  <c r="L114" i="3" s="1"/>
  <c r="T110" i="1"/>
  <c r="W110" i="1" s="1"/>
  <c r="J113" i="8"/>
  <c r="J116" i="6"/>
  <c r="I113" i="8"/>
  <c r="I116" i="6"/>
  <c r="I121" i="6"/>
  <c r="K121" i="6"/>
  <c r="L121" i="6" s="1"/>
  <c r="K120" i="8"/>
  <c r="L120" i="8" s="1"/>
  <c r="P157" i="5"/>
  <c r="K115" i="8"/>
  <c r="L115" i="8" s="1"/>
  <c r="I111" i="7"/>
  <c r="K111" i="7"/>
  <c r="L111" i="7" s="1"/>
  <c r="P157" i="2"/>
  <c r="J112" i="8"/>
  <c r="P157" i="8"/>
  <c r="I115" i="6"/>
  <c r="P156" i="8"/>
  <c r="P156" i="5"/>
  <c r="J111" i="8"/>
  <c r="J119" i="6"/>
  <c r="K111" i="8"/>
  <c r="L111" i="8" s="1"/>
  <c r="J114" i="2"/>
  <c r="K117" i="2"/>
  <c r="L117" i="2" s="1"/>
  <c r="I113" i="6"/>
  <c r="K121" i="3"/>
  <c r="L121" i="3" s="1"/>
  <c r="I112" i="3"/>
  <c r="J121" i="2"/>
  <c r="K121" i="2"/>
  <c r="L121" i="2" s="1"/>
  <c r="J114" i="7"/>
  <c r="I110" i="6"/>
  <c r="J115" i="6"/>
  <c r="I114" i="7"/>
  <c r="K110" i="6"/>
  <c r="L110" i="6" s="1"/>
  <c r="P142" i="2"/>
  <c r="P157" i="6"/>
  <c r="P156" i="2"/>
  <c r="P143" i="4"/>
  <c r="P156" i="6"/>
  <c r="U114" i="1"/>
  <c r="X114" i="1" s="1"/>
  <c r="I121" i="8"/>
  <c r="I116" i="3"/>
  <c r="T111" i="1"/>
  <c r="W111" i="1" s="1"/>
  <c r="K118" i="3"/>
  <c r="L118" i="3" s="1"/>
  <c r="K114" i="6"/>
  <c r="L114" i="6" s="1"/>
  <c r="J110" i="3"/>
  <c r="I117" i="6"/>
  <c r="J111" i="2"/>
  <c r="I121" i="3"/>
  <c r="B183" i="4"/>
  <c r="D191" i="4" s="1"/>
  <c r="I117" i="2"/>
  <c r="A183" i="4"/>
  <c r="D190" i="4" s="1"/>
  <c r="I111" i="2"/>
  <c r="I117" i="8"/>
  <c r="D183" i="4"/>
  <c r="D193" i="4" s="1"/>
  <c r="K117" i="8"/>
  <c r="L117" i="8" s="1"/>
  <c r="J119" i="3"/>
  <c r="K119" i="3"/>
  <c r="L119" i="3" s="1"/>
  <c r="E178" i="4"/>
  <c r="P143" i="5"/>
  <c r="I114" i="2"/>
  <c r="K110" i="8"/>
  <c r="L110" i="8" s="1"/>
  <c r="K119" i="6"/>
  <c r="L119" i="6" s="1"/>
  <c r="J110" i="8"/>
  <c r="R87" i="1"/>
  <c r="R90" i="1" s="1"/>
  <c r="J113" i="2"/>
  <c r="I113" i="2"/>
  <c r="K111" i="3"/>
  <c r="L111" i="3" s="1"/>
  <c r="K113" i="6"/>
  <c r="L113" i="6" s="1"/>
  <c r="I118" i="6"/>
  <c r="J120" i="3"/>
  <c r="I111" i="6"/>
  <c r="I118" i="2"/>
  <c r="I120" i="2"/>
  <c r="I120" i="3"/>
  <c r="J111" i="6"/>
  <c r="J118" i="2"/>
  <c r="U120" i="1"/>
  <c r="X120" i="1" s="1"/>
  <c r="K120" i="2"/>
  <c r="L120" i="2" s="1"/>
  <c r="H122" i="6"/>
  <c r="B159" i="6" s="1"/>
  <c r="B164" i="6" s="1"/>
  <c r="E164" i="6" s="1"/>
  <c r="F185" i="6" s="1"/>
  <c r="J111" i="3"/>
  <c r="J118" i="6"/>
  <c r="I112" i="6"/>
  <c r="I115" i="8"/>
  <c r="J116" i="7"/>
  <c r="B169" i="6"/>
  <c r="C169" i="6" s="1"/>
  <c r="F188" i="6" s="1"/>
  <c r="K112" i="6"/>
  <c r="L112" i="6" s="1"/>
  <c r="J117" i="6"/>
  <c r="K116" i="7"/>
  <c r="L116" i="7" s="1"/>
  <c r="U110" i="1"/>
  <c r="X110" i="1" s="1"/>
  <c r="I112" i="2"/>
  <c r="P142" i="8"/>
  <c r="B169" i="7"/>
  <c r="C169" i="7" s="1"/>
  <c r="F188" i="7" s="1"/>
  <c r="H122" i="7"/>
  <c r="B159" i="7" s="1"/>
  <c r="B164" i="7" s="1"/>
  <c r="E164" i="7" s="1"/>
  <c r="F185" i="7" s="1"/>
  <c r="K121" i="8"/>
  <c r="L121" i="8" s="1"/>
  <c r="P143" i="2"/>
  <c r="I110" i="3"/>
  <c r="Q87" i="1"/>
  <c r="Q90" i="1" s="1"/>
  <c r="P157" i="4"/>
  <c r="B169" i="8"/>
  <c r="C169" i="8" s="1"/>
  <c r="F188" i="8" s="1"/>
  <c r="J115" i="3"/>
  <c r="U112" i="1"/>
  <c r="X112" i="1" s="1"/>
  <c r="J120" i="8"/>
  <c r="H122" i="8"/>
  <c r="B159" i="8" s="1"/>
  <c r="B164" i="8" s="1"/>
  <c r="E164" i="8" s="1"/>
  <c r="F185" i="8" s="1"/>
  <c r="Q140" i="3"/>
  <c r="Q154" i="3"/>
  <c r="E175" i="5"/>
  <c r="E176" i="5" s="1"/>
  <c r="E177" i="5" s="1"/>
  <c r="B183" i="5" s="1"/>
  <c r="D191" i="5" s="1"/>
  <c r="D183" i="9"/>
  <c r="D193" i="9" s="1"/>
  <c r="H122" i="3"/>
  <c r="I118" i="3"/>
  <c r="K112" i="2"/>
  <c r="L112" i="2" s="1"/>
  <c r="T120" i="1"/>
  <c r="W120" i="1" s="1"/>
  <c r="E178" i="9"/>
  <c r="I115" i="3"/>
  <c r="I117" i="3"/>
  <c r="K116" i="2"/>
  <c r="L116" i="2" s="1"/>
  <c r="H110" i="5"/>
  <c r="H120" i="5"/>
  <c r="H118" i="5"/>
  <c r="H119" i="5"/>
  <c r="H121" i="5"/>
  <c r="H115" i="5"/>
  <c r="H117" i="5"/>
  <c r="H116" i="5"/>
  <c r="H114" i="5"/>
  <c r="H112" i="5"/>
  <c r="H113" i="5"/>
  <c r="I121" i="7"/>
  <c r="K117" i="3"/>
  <c r="L117" i="3" s="1"/>
  <c r="I116" i="2"/>
  <c r="J121" i="7"/>
  <c r="J112" i="3"/>
  <c r="I113" i="3"/>
  <c r="K116" i="3"/>
  <c r="L116" i="3" s="1"/>
  <c r="C183" i="9"/>
  <c r="D192" i="9" s="1"/>
  <c r="K113" i="3"/>
  <c r="L113" i="3" s="1"/>
  <c r="I111" i="4"/>
  <c r="J111" i="4"/>
  <c r="K111" i="4"/>
  <c r="L111" i="4" s="1"/>
  <c r="I117" i="9"/>
  <c r="K117" i="9"/>
  <c r="L117" i="9" s="1"/>
  <c r="J117" i="9"/>
  <c r="H122" i="2"/>
  <c r="B159" i="2" s="1"/>
  <c r="B164" i="2" s="1"/>
  <c r="E164" i="2" s="1"/>
  <c r="F185" i="2" s="1"/>
  <c r="I115" i="2"/>
  <c r="P143" i="9"/>
  <c r="J115" i="4"/>
  <c r="I115" i="4"/>
  <c r="K115" i="4"/>
  <c r="L115" i="4" s="1"/>
  <c r="K119" i="9"/>
  <c r="L119" i="9" s="1"/>
  <c r="I119" i="9"/>
  <c r="J119" i="9"/>
  <c r="K112" i="4"/>
  <c r="L112" i="4" s="1"/>
  <c r="I112" i="4"/>
  <c r="J112" i="4"/>
  <c r="P156" i="4"/>
  <c r="R154" i="3"/>
  <c r="J115" i="2"/>
  <c r="I113" i="4"/>
  <c r="J113" i="4"/>
  <c r="K113" i="4"/>
  <c r="L113" i="4" s="1"/>
  <c r="I112" i="9"/>
  <c r="J112" i="9"/>
  <c r="K112" i="9"/>
  <c r="L112" i="9" s="1"/>
  <c r="J111" i="9"/>
  <c r="K111" i="9"/>
  <c r="L111" i="9" s="1"/>
  <c r="I111" i="9"/>
  <c r="B169" i="2"/>
  <c r="C169" i="2" s="1"/>
  <c r="I110" i="2"/>
  <c r="I119" i="4"/>
  <c r="K119" i="4"/>
  <c r="L119" i="4" s="1"/>
  <c r="J119" i="4"/>
  <c r="P142" i="7"/>
  <c r="J121" i="9"/>
  <c r="I121" i="9"/>
  <c r="K121" i="9"/>
  <c r="L121" i="9" s="1"/>
  <c r="K116" i="9"/>
  <c r="L116" i="9" s="1"/>
  <c r="J116" i="9"/>
  <c r="I116" i="9"/>
  <c r="K110" i="2"/>
  <c r="L110" i="2" s="1"/>
  <c r="I118" i="4"/>
  <c r="J118" i="4"/>
  <c r="K118" i="4"/>
  <c r="L118" i="4" s="1"/>
  <c r="I115" i="9"/>
  <c r="K115" i="9"/>
  <c r="L115" i="9" s="1"/>
  <c r="J115" i="9"/>
  <c r="I114" i="9"/>
  <c r="J114" i="9"/>
  <c r="K114" i="9"/>
  <c r="L114" i="9" s="1"/>
  <c r="J116" i="4"/>
  <c r="K116" i="4"/>
  <c r="L116" i="4" s="1"/>
  <c r="I116" i="4"/>
  <c r="I120" i="9"/>
  <c r="K120" i="9"/>
  <c r="L120" i="9" s="1"/>
  <c r="J120" i="9"/>
  <c r="K119" i="2"/>
  <c r="L119" i="2" s="1"/>
  <c r="P142" i="6"/>
  <c r="P140" i="3"/>
  <c r="J121" i="4"/>
  <c r="I121" i="4"/>
  <c r="K121" i="4"/>
  <c r="L121" i="4" s="1"/>
  <c r="K117" i="4"/>
  <c r="L117" i="4" s="1"/>
  <c r="I117" i="4"/>
  <c r="J117" i="4"/>
  <c r="K113" i="9"/>
  <c r="L113" i="9" s="1"/>
  <c r="J113" i="9"/>
  <c r="I113" i="9"/>
  <c r="B169" i="9"/>
  <c r="C169" i="9" s="1"/>
  <c r="F188" i="9" s="1"/>
  <c r="H122" i="9"/>
  <c r="B159" i="9" s="1"/>
  <c r="B164" i="9" s="1"/>
  <c r="E164" i="9" s="1"/>
  <c r="F185" i="9" s="1"/>
  <c r="I110" i="9"/>
  <c r="K110" i="9"/>
  <c r="L110" i="9" s="1"/>
  <c r="J110" i="9"/>
  <c r="I114" i="4"/>
  <c r="K114" i="4"/>
  <c r="L114" i="4" s="1"/>
  <c r="J114" i="4"/>
  <c r="P156" i="7"/>
  <c r="P157" i="7"/>
  <c r="I120" i="4"/>
  <c r="K120" i="4"/>
  <c r="L120" i="4" s="1"/>
  <c r="J120" i="4"/>
  <c r="B169" i="4"/>
  <c r="C169" i="4" s="1"/>
  <c r="J110" i="4"/>
  <c r="I110" i="4"/>
  <c r="H122" i="4"/>
  <c r="B159" i="4" s="1"/>
  <c r="B164" i="4" s="1"/>
  <c r="E164" i="4" s="1"/>
  <c r="K110" i="4"/>
  <c r="L110" i="4" s="1"/>
  <c r="B169" i="3"/>
  <c r="C169" i="3" s="1"/>
  <c r="I118" i="9"/>
  <c r="J118" i="9"/>
  <c r="K118" i="9"/>
  <c r="L118" i="9" s="1"/>
  <c r="D190" i="2"/>
  <c r="A195" i="2" s="1" a="1"/>
  <c r="A185" i="2" a="1"/>
  <c r="P142" i="4"/>
  <c r="P157" i="9"/>
  <c r="P142" i="5"/>
  <c r="P142" i="9"/>
  <c r="P154" i="3"/>
  <c r="P143" i="6"/>
  <c r="I111" i="5"/>
  <c r="J111" i="5"/>
  <c r="K111" i="5"/>
  <c r="L111" i="5" s="1"/>
  <c r="R140" i="3"/>
  <c r="P156" i="9"/>
  <c r="T116" i="1" l="1"/>
  <c r="W116" i="1" s="1"/>
  <c r="U117" i="1"/>
  <c r="X117" i="1" s="1"/>
  <c r="U116" i="1"/>
  <c r="X116" i="1" s="1"/>
  <c r="J122" i="1"/>
  <c r="B161" i="1" s="1"/>
  <c r="T117" i="1"/>
  <c r="W117" i="1" s="1"/>
  <c r="I55" i="1"/>
  <c r="I122" i="1"/>
  <c r="B160" i="1" s="1"/>
  <c r="L122" i="1"/>
  <c r="E178" i="5"/>
  <c r="T113" i="1"/>
  <c r="W113" i="1" s="1"/>
  <c r="U113" i="1"/>
  <c r="X113" i="1" s="1"/>
  <c r="L122" i="7"/>
  <c r="P157" i="3"/>
  <c r="I122" i="8"/>
  <c r="B160" i="8" s="1"/>
  <c r="J122" i="7"/>
  <c r="B161" i="7" s="1"/>
  <c r="J122" i="8"/>
  <c r="B161" i="8" s="1"/>
  <c r="I122" i="7"/>
  <c r="B160" i="7" s="1"/>
  <c r="C183" i="5"/>
  <c r="D192" i="5" s="1"/>
  <c r="I122" i="2"/>
  <c r="B160" i="2" s="1"/>
  <c r="L122" i="8"/>
  <c r="L122" i="6"/>
  <c r="D183" i="5"/>
  <c r="D193" i="5" s="1"/>
  <c r="A183" i="5"/>
  <c r="D190" i="5" s="1"/>
  <c r="J122" i="2"/>
  <c r="B161" i="2" s="1"/>
  <c r="J122" i="3"/>
  <c r="B161" i="3" s="1"/>
  <c r="J122" i="6"/>
  <c r="B161" i="6" s="1"/>
  <c r="I122" i="6"/>
  <c r="B160" i="6" s="1"/>
  <c r="L122" i="3"/>
  <c r="P143" i="3"/>
  <c r="P156" i="3"/>
  <c r="L122" i="2"/>
  <c r="B159" i="3"/>
  <c r="B164" i="3" s="1"/>
  <c r="E164" i="3" s="1"/>
  <c r="A181" i="1" s="1"/>
  <c r="I122" i="3"/>
  <c r="B160" i="3" s="1"/>
  <c r="I121" i="5"/>
  <c r="K121" i="5"/>
  <c r="L121" i="5" s="1"/>
  <c r="J121" i="5"/>
  <c r="I119" i="5"/>
  <c r="J119" i="5"/>
  <c r="K119" i="5"/>
  <c r="L119" i="5" s="1"/>
  <c r="I113" i="5"/>
  <c r="J113" i="5"/>
  <c r="K113" i="5"/>
  <c r="L113" i="5" s="1"/>
  <c r="J118" i="5"/>
  <c r="I118" i="5"/>
  <c r="K118" i="5"/>
  <c r="L118" i="5" s="1"/>
  <c r="I117" i="5"/>
  <c r="J117" i="5"/>
  <c r="K117" i="5"/>
  <c r="L117" i="5" s="1"/>
  <c r="I115" i="5"/>
  <c r="J115" i="5"/>
  <c r="K115" i="5"/>
  <c r="L115" i="5" s="1"/>
  <c r="J112" i="5"/>
  <c r="I112" i="5"/>
  <c r="K112" i="5"/>
  <c r="L112" i="5" s="1"/>
  <c r="J120" i="5"/>
  <c r="K120" i="5"/>
  <c r="L120" i="5" s="1"/>
  <c r="I120" i="5"/>
  <c r="K114" i="5"/>
  <c r="L114" i="5" s="1"/>
  <c r="I114" i="5"/>
  <c r="J114" i="5"/>
  <c r="K110" i="5"/>
  <c r="L110" i="5" s="1"/>
  <c r="J110" i="5"/>
  <c r="I110" i="5"/>
  <c r="H122" i="5"/>
  <c r="B159" i="5" s="1"/>
  <c r="B164" i="5" s="1"/>
  <c r="E164" i="5" s="1"/>
  <c r="A183" i="1" s="1"/>
  <c r="C212" i="1" s="1"/>
  <c r="B169" i="5"/>
  <c r="C169" i="5" s="1"/>
  <c r="F188" i="5" s="1"/>
  <c r="J116" i="5"/>
  <c r="K116" i="5"/>
  <c r="L116" i="5" s="1"/>
  <c r="I116" i="5"/>
  <c r="J122" i="9"/>
  <c r="B161" i="9" s="1"/>
  <c r="AC193" i="1"/>
  <c r="D181" i="1"/>
  <c r="B193" i="1" s="1"/>
  <c r="X193" i="1" s="1"/>
  <c r="F188" i="3"/>
  <c r="L122" i="9"/>
  <c r="P142" i="3"/>
  <c r="L122" i="4"/>
  <c r="I122" i="9"/>
  <c r="B160" i="9" s="1"/>
  <c r="I122" i="4"/>
  <c r="B160" i="4" s="1"/>
  <c r="F188" i="2"/>
  <c r="AB193" i="1"/>
  <c r="D180" i="1"/>
  <c r="A193" i="1" s="1"/>
  <c r="W193" i="1" s="1"/>
  <c r="F188" i="4"/>
  <c r="D182" i="1"/>
  <c r="C193" i="1" s="1"/>
  <c r="Y193" i="1" s="1"/>
  <c r="AD193" i="1"/>
  <c r="J122" i="4"/>
  <c r="B161" i="4" s="1"/>
  <c r="AB190" i="1"/>
  <c r="A182" i="1"/>
  <c r="AD190" i="1"/>
  <c r="F185" i="4"/>
  <c r="A188" i="2"/>
  <c r="C187" i="2"/>
  <c r="A186" i="2"/>
  <c r="C186" i="2"/>
  <c r="A185" i="2"/>
  <c r="H185" i="2" s="1" a="1"/>
  <c r="A187" i="2"/>
  <c r="D186" i="2"/>
  <c r="C188" i="2"/>
  <c r="D185" i="2"/>
  <c r="D187" i="2"/>
  <c r="C185" i="2"/>
  <c r="B187" i="2"/>
  <c r="B185" i="2"/>
  <c r="B186" i="2"/>
  <c r="D188" i="2"/>
  <c r="B188" i="2"/>
  <c r="A195" i="2"/>
  <c r="H195" i="2" s="1" a="1"/>
  <c r="C198" i="2"/>
  <c r="A197" i="2"/>
  <c r="A198" i="2"/>
  <c r="C195" i="2"/>
  <c r="B196" i="2"/>
  <c r="B198" i="2"/>
  <c r="D195" i="2"/>
  <c r="B197" i="2"/>
  <c r="D197" i="2"/>
  <c r="A196" i="2"/>
  <c r="C197" i="2"/>
  <c r="D198" i="2"/>
  <c r="B195" i="2"/>
  <c r="C196" i="2"/>
  <c r="D196" i="2"/>
  <c r="A180" i="9"/>
  <c r="A180" i="4"/>
  <c r="A180" i="7"/>
  <c r="A180" i="1"/>
  <c r="A180" i="3"/>
  <c r="A180" i="6"/>
  <c r="A180" i="8"/>
  <c r="A180" i="5"/>
  <c r="B165" i="1" l="1"/>
  <c r="E165" i="1" s="1"/>
  <c r="I56" i="1" s="1"/>
  <c r="B166" i="1"/>
  <c r="E166" i="1" s="1"/>
  <c r="I57" i="1" s="1"/>
  <c r="B166" i="7"/>
  <c r="E166" i="7" s="1"/>
  <c r="F187" i="7" s="1"/>
  <c r="B165" i="7"/>
  <c r="E165" i="7" s="1"/>
  <c r="F186" i="7" s="1"/>
  <c r="B165" i="8"/>
  <c r="E165" i="8" s="1"/>
  <c r="F186" i="8" s="1"/>
  <c r="B166" i="8"/>
  <c r="E166" i="8" s="1"/>
  <c r="F187" i="8" s="1"/>
  <c r="B165" i="6"/>
  <c r="E165" i="6" s="1"/>
  <c r="F186" i="6" s="1"/>
  <c r="B166" i="6"/>
  <c r="E166" i="6" s="1"/>
  <c r="F187" i="6" s="1"/>
  <c r="B166" i="2"/>
  <c r="E166" i="2" s="1"/>
  <c r="F185" i="3"/>
  <c r="AC190" i="1"/>
  <c r="B165" i="2"/>
  <c r="E165" i="2" s="1"/>
  <c r="B166" i="3"/>
  <c r="E166" i="3" s="1"/>
  <c r="B165" i="3"/>
  <c r="E165" i="3" s="1"/>
  <c r="D183" i="1"/>
  <c r="D193" i="1" s="1"/>
  <c r="Z193" i="1" s="1"/>
  <c r="L122" i="5"/>
  <c r="J122" i="5"/>
  <c r="B161" i="5" s="1"/>
  <c r="I122" i="5"/>
  <c r="B160" i="5" s="1"/>
  <c r="AE193" i="1"/>
  <c r="F185" i="5"/>
  <c r="AE190" i="1"/>
  <c r="D190" i="1"/>
  <c r="Z190" i="1" s="1"/>
  <c r="B166" i="4"/>
  <c r="E166" i="4" s="1"/>
  <c r="F187" i="4" s="1"/>
  <c r="B165" i="4"/>
  <c r="E165" i="4" s="1"/>
  <c r="F186" i="4" s="1"/>
  <c r="B165" i="9"/>
  <c r="E165" i="9" s="1"/>
  <c r="F186" i="9" s="1"/>
  <c r="B166" i="9"/>
  <c r="E166" i="9" s="1"/>
  <c r="F187" i="9" s="1"/>
  <c r="A190" i="1"/>
  <c r="A185" i="6" a="1"/>
  <c r="A190" i="6"/>
  <c r="A190" i="5"/>
  <c r="A185" i="5" a="1"/>
  <c r="A190" i="8"/>
  <c r="A185" i="8" a="1"/>
  <c r="A185" i="7" a="1"/>
  <c r="A190" i="7"/>
  <c r="A212" i="1"/>
  <c r="B190" i="1"/>
  <c r="H195" i="2"/>
  <c r="J195" i="2" s="1"/>
  <c r="L197" i="2" s="1"/>
  <c r="H197" i="2"/>
  <c r="J197" i="2" s="1"/>
  <c r="L196" i="2" s="1"/>
  <c r="H196" i="2"/>
  <c r="J196" i="2" s="1"/>
  <c r="L195" i="2" s="1"/>
  <c r="H198" i="2"/>
  <c r="J198" i="2" s="1"/>
  <c r="L198" i="2" s="1"/>
  <c r="A190" i="4"/>
  <c r="A185" i="4" a="1"/>
  <c r="A190" i="3"/>
  <c r="A185" i="3" a="1"/>
  <c r="B212" i="1"/>
  <c r="C190" i="1"/>
  <c r="A190" i="9"/>
  <c r="A185" i="9" a="1"/>
  <c r="H187" i="2"/>
  <c r="J187" i="2" s="1"/>
  <c r="L186" i="2" s="1"/>
  <c r="H188" i="2"/>
  <c r="J188" i="2" s="1"/>
  <c r="L188" i="2" s="1"/>
  <c r="H185" i="2"/>
  <c r="J185" i="2" s="1"/>
  <c r="L187" i="2" s="1"/>
  <c r="H186" i="2"/>
  <c r="J186" i="2" s="1"/>
  <c r="L185" i="2" s="1"/>
  <c r="F187" i="1" l="1"/>
  <c r="L57" i="1"/>
  <c r="M59" i="1" s="1"/>
  <c r="M57" i="1" s="1"/>
  <c r="Q30" i="1" s="1"/>
  <c r="F186" i="1"/>
  <c r="C181" i="1"/>
  <c r="A214" i="1" s="1"/>
  <c r="B181" i="1"/>
  <c r="A213" i="1" s="1"/>
  <c r="AB192" i="1"/>
  <c r="C180" i="1"/>
  <c r="A192" i="1" s="1"/>
  <c r="W192" i="1" s="1"/>
  <c r="F187" i="2"/>
  <c r="B180" i="1"/>
  <c r="A191" i="1" s="1"/>
  <c r="A202" i="1" s="1"/>
  <c r="AB191" i="1"/>
  <c r="F186" i="2"/>
  <c r="H205" i="2" s="1" a="1"/>
  <c r="H205" i="2" s="1"/>
  <c r="J205" i="2" s="1"/>
  <c r="L207" i="2" s="1"/>
  <c r="AC192" i="1"/>
  <c r="F187" i="3"/>
  <c r="AC191" i="1"/>
  <c r="F186" i="3"/>
  <c r="B182" i="1"/>
  <c r="B213" i="1" s="1"/>
  <c r="B166" i="5"/>
  <c r="E166" i="5" s="1"/>
  <c r="C183" i="1" s="1"/>
  <c r="C214" i="1" s="1"/>
  <c r="AD192" i="1"/>
  <c r="AD191" i="1"/>
  <c r="B165" i="5"/>
  <c r="E165" i="5" s="1"/>
  <c r="C182" i="1"/>
  <c r="C192" i="1" s="1"/>
  <c r="C187" i="3"/>
  <c r="D185" i="3"/>
  <c r="B188" i="3"/>
  <c r="B185" i="3"/>
  <c r="A188" i="3"/>
  <c r="C186" i="3"/>
  <c r="B186" i="3"/>
  <c r="C185" i="3"/>
  <c r="D186" i="3"/>
  <c r="A185" i="3"/>
  <c r="H185" i="3" s="1" a="1"/>
  <c r="C188" i="3"/>
  <c r="A186" i="3"/>
  <c r="D187" i="3"/>
  <c r="A187" i="3"/>
  <c r="D188" i="3"/>
  <c r="B187" i="3"/>
  <c r="A201" i="3"/>
  <c r="A205" i="3" s="1" a="1"/>
  <c r="A195" i="3" a="1"/>
  <c r="A201" i="5"/>
  <c r="A205" i="5" s="1" a="1"/>
  <c r="A195" i="5" a="1"/>
  <c r="A188" i="9"/>
  <c r="B187" i="9"/>
  <c r="C185" i="9"/>
  <c r="C188" i="9"/>
  <c r="A186" i="9"/>
  <c r="A187" i="9"/>
  <c r="D186" i="9"/>
  <c r="C187" i="9"/>
  <c r="D185" i="9"/>
  <c r="D187" i="9"/>
  <c r="B185" i="9"/>
  <c r="B188" i="9"/>
  <c r="B186" i="9"/>
  <c r="A185" i="9"/>
  <c r="H185" i="9" s="1" a="1"/>
  <c r="D188" i="9"/>
  <c r="C186" i="9"/>
  <c r="D185" i="6"/>
  <c r="C185" i="6"/>
  <c r="A187" i="6"/>
  <c r="D187" i="6"/>
  <c r="C188" i="6"/>
  <c r="C187" i="6"/>
  <c r="A186" i="6"/>
  <c r="B186" i="6"/>
  <c r="D188" i="6"/>
  <c r="A185" i="6"/>
  <c r="H185" i="6" s="1" a="1"/>
  <c r="B185" i="6"/>
  <c r="D186" i="6"/>
  <c r="B188" i="6"/>
  <c r="A188" i="6"/>
  <c r="B187" i="6"/>
  <c r="C186" i="6"/>
  <c r="D185" i="4"/>
  <c r="B188" i="4"/>
  <c r="D188" i="4"/>
  <c r="C185" i="4"/>
  <c r="A187" i="4"/>
  <c r="C188" i="4"/>
  <c r="D186" i="4"/>
  <c r="B186" i="4"/>
  <c r="A188" i="4"/>
  <c r="B187" i="4"/>
  <c r="C186" i="4"/>
  <c r="D187" i="4"/>
  <c r="B185" i="4"/>
  <c r="C187" i="4"/>
  <c r="A186" i="4"/>
  <c r="A185" i="4"/>
  <c r="H185" i="4" s="1" a="1"/>
  <c r="A201" i="4"/>
  <c r="A205" i="4" s="1" a="1"/>
  <c r="A195" i="4" a="1"/>
  <c r="A201" i="9"/>
  <c r="A205" i="9" s="1" a="1"/>
  <c r="A195" i="9" a="1"/>
  <c r="A195" i="7" a="1"/>
  <c r="A201" i="7"/>
  <c r="A205" i="7" s="1" a="1"/>
  <c r="C201" i="1"/>
  <c r="Y190" i="1"/>
  <c r="D185" i="7"/>
  <c r="C188" i="7"/>
  <c r="C186" i="7"/>
  <c r="B188" i="7"/>
  <c r="A188" i="7"/>
  <c r="D187" i="7"/>
  <c r="A187" i="7"/>
  <c r="A186" i="7"/>
  <c r="B187" i="7"/>
  <c r="C185" i="7"/>
  <c r="B185" i="7"/>
  <c r="C187" i="7"/>
  <c r="A185" i="7"/>
  <c r="H185" i="7" s="1" a="1"/>
  <c r="B186" i="7"/>
  <c r="D186" i="7"/>
  <c r="D188" i="7"/>
  <c r="X190" i="1"/>
  <c r="B201" i="1"/>
  <c r="A188" i="8"/>
  <c r="B187" i="8"/>
  <c r="D188" i="8"/>
  <c r="A185" i="8"/>
  <c r="H185" i="8" s="1" a="1"/>
  <c r="C187" i="8"/>
  <c r="C186" i="8"/>
  <c r="C188" i="8"/>
  <c r="D185" i="8"/>
  <c r="D186" i="8"/>
  <c r="A186" i="8"/>
  <c r="B185" i="8"/>
  <c r="B186" i="8"/>
  <c r="B188" i="8"/>
  <c r="C185" i="8"/>
  <c r="A187" i="8"/>
  <c r="D187" i="8"/>
  <c r="A201" i="6"/>
  <c r="A205" i="6" s="1" a="1"/>
  <c r="A195" i="6" a="1"/>
  <c r="A201" i="8"/>
  <c r="A205" i="8" s="1" a="1"/>
  <c r="A195" i="8" a="1"/>
  <c r="D187" i="5"/>
  <c r="A186" i="5"/>
  <c r="D185" i="5"/>
  <c r="A187" i="5"/>
  <c r="C188" i="5"/>
  <c r="B185" i="5"/>
  <c r="C187" i="5"/>
  <c r="C186" i="5"/>
  <c r="B187" i="5"/>
  <c r="A188" i="5"/>
  <c r="B186" i="5"/>
  <c r="A185" i="5"/>
  <c r="H185" i="5" s="1" a="1"/>
  <c r="D188" i="5"/>
  <c r="D186" i="5"/>
  <c r="B188" i="5"/>
  <c r="C185" i="5"/>
  <c r="W190" i="1"/>
  <c r="A201" i="1"/>
  <c r="A203" i="1" l="1"/>
  <c r="B192" i="1"/>
  <c r="B203" i="1" s="1"/>
  <c r="B191" i="1"/>
  <c r="X191" i="1" s="1"/>
  <c r="W191" i="1"/>
  <c r="H206" i="2"/>
  <c r="J206" i="2" s="1"/>
  <c r="L205" i="2" s="1"/>
  <c r="H207" i="2"/>
  <c r="J207" i="2" s="1"/>
  <c r="L206" i="2" s="1"/>
  <c r="C191" i="1"/>
  <c r="C202" i="1" s="1"/>
  <c r="AE192" i="1"/>
  <c r="F187" i="5"/>
  <c r="D192" i="1"/>
  <c r="Z192" i="1" s="1"/>
  <c r="B214" i="1"/>
  <c r="F186" i="5"/>
  <c r="B183" i="1"/>
  <c r="AE191" i="1"/>
  <c r="C196" i="8"/>
  <c r="D195" i="8"/>
  <c r="D197" i="8"/>
  <c r="B197" i="8"/>
  <c r="A198" i="8"/>
  <c r="D198" i="8"/>
  <c r="B198" i="8"/>
  <c r="B195" i="8"/>
  <c r="A196" i="8"/>
  <c r="C197" i="8"/>
  <c r="C195" i="8"/>
  <c r="A197" i="8"/>
  <c r="D196" i="8"/>
  <c r="A195" i="8"/>
  <c r="H195" i="8" s="1" a="1"/>
  <c r="C198" i="8"/>
  <c r="B196" i="8"/>
  <c r="B206" i="6"/>
  <c r="A205" i="6"/>
  <c r="H205" i="6" s="1" a="1"/>
  <c r="B205" i="6"/>
  <c r="A206" i="6"/>
  <c r="B207" i="6"/>
  <c r="A207" i="6"/>
  <c r="C207" i="6"/>
  <c r="C206" i="6"/>
  <c r="C205" i="6"/>
  <c r="A198" i="5"/>
  <c r="B197" i="5"/>
  <c r="C195" i="5"/>
  <c r="A197" i="5"/>
  <c r="A196" i="5"/>
  <c r="C196" i="5"/>
  <c r="A195" i="5"/>
  <c r="H195" i="5" s="1" a="1"/>
  <c r="C197" i="5"/>
  <c r="B196" i="5"/>
  <c r="D198" i="5"/>
  <c r="B195" i="5"/>
  <c r="C198" i="5"/>
  <c r="D197" i="5"/>
  <c r="D195" i="5"/>
  <c r="B198" i="5"/>
  <c r="D196" i="5"/>
  <c r="H186" i="4"/>
  <c r="J186" i="4" s="1"/>
  <c r="L185" i="4" s="1"/>
  <c r="H188" i="4"/>
  <c r="J188" i="4" s="1"/>
  <c r="L188" i="4" s="1"/>
  <c r="H185" i="4"/>
  <c r="J185" i="4" s="1"/>
  <c r="L187" i="4" s="1"/>
  <c r="H187" i="4"/>
  <c r="J187" i="4" s="1"/>
  <c r="L186" i="4" s="1"/>
  <c r="H187" i="8"/>
  <c r="J187" i="8" s="1"/>
  <c r="L186" i="8" s="1"/>
  <c r="H186" i="8"/>
  <c r="J186" i="8" s="1"/>
  <c r="L185" i="8" s="1"/>
  <c r="H188" i="8"/>
  <c r="J188" i="8" s="1"/>
  <c r="L188" i="8" s="1"/>
  <c r="H185" i="8"/>
  <c r="J185" i="8" s="1"/>
  <c r="L187" i="8" s="1"/>
  <c r="B195" i="9"/>
  <c r="D195" i="9"/>
  <c r="B197" i="9"/>
  <c r="A196" i="9"/>
  <c r="D196" i="9"/>
  <c r="B196" i="9"/>
  <c r="D197" i="9"/>
  <c r="D198" i="9"/>
  <c r="A197" i="9"/>
  <c r="C195" i="9"/>
  <c r="A198" i="9"/>
  <c r="C198" i="9"/>
  <c r="B198" i="9"/>
  <c r="C197" i="9"/>
  <c r="C196" i="9"/>
  <c r="A195" i="9"/>
  <c r="H195" i="9" s="1" a="1"/>
  <c r="C207" i="5"/>
  <c r="A205" i="5"/>
  <c r="H205" i="5" s="1" a="1"/>
  <c r="B205" i="5"/>
  <c r="B207" i="5"/>
  <c r="A207" i="5"/>
  <c r="C206" i="5"/>
  <c r="C205" i="5"/>
  <c r="A206" i="5"/>
  <c r="B206" i="5"/>
  <c r="B206" i="9"/>
  <c r="C207" i="9"/>
  <c r="B205" i="9"/>
  <c r="A206" i="9"/>
  <c r="C206" i="9"/>
  <c r="A205" i="9"/>
  <c r="H205" i="9" s="1" a="1"/>
  <c r="C205" i="9"/>
  <c r="A207" i="9"/>
  <c r="B207" i="9"/>
  <c r="H187" i="9"/>
  <c r="J187" i="9" s="1"/>
  <c r="L186" i="9" s="1"/>
  <c r="H186" i="9"/>
  <c r="J186" i="9" s="1"/>
  <c r="L185" i="9" s="1"/>
  <c r="H185" i="9"/>
  <c r="J185" i="9" s="1"/>
  <c r="L187" i="9" s="1"/>
  <c r="H188" i="9"/>
  <c r="J188" i="9" s="1"/>
  <c r="L188" i="9" s="1"/>
  <c r="C203" i="1"/>
  <c r="Y192" i="1"/>
  <c r="D198" i="6"/>
  <c r="B197" i="6"/>
  <c r="B195" i="6"/>
  <c r="A195" i="6"/>
  <c r="H195" i="6" s="1" a="1"/>
  <c r="C198" i="6"/>
  <c r="D196" i="6"/>
  <c r="A197" i="6"/>
  <c r="B196" i="6"/>
  <c r="C197" i="6"/>
  <c r="C196" i="6"/>
  <c r="A198" i="6"/>
  <c r="A196" i="6"/>
  <c r="B198" i="6"/>
  <c r="C195" i="6"/>
  <c r="D197" i="6"/>
  <c r="D195" i="6"/>
  <c r="B206" i="7"/>
  <c r="B207" i="7"/>
  <c r="A205" i="7"/>
  <c r="H205" i="7" s="1" a="1"/>
  <c r="A207" i="7"/>
  <c r="C207" i="7"/>
  <c r="A206" i="7"/>
  <c r="C206" i="7"/>
  <c r="B205" i="7"/>
  <c r="C205" i="7"/>
  <c r="A195" i="4"/>
  <c r="H195" i="4" s="1" a="1"/>
  <c r="A197" i="4"/>
  <c r="C197" i="4"/>
  <c r="B197" i="4"/>
  <c r="D197" i="4"/>
  <c r="B196" i="4"/>
  <c r="B195" i="4"/>
  <c r="D198" i="4"/>
  <c r="C196" i="4"/>
  <c r="D196" i="4"/>
  <c r="A196" i="4"/>
  <c r="C198" i="4"/>
  <c r="B198" i="4"/>
  <c r="C195" i="4"/>
  <c r="A198" i="4"/>
  <c r="D195" i="4"/>
  <c r="H188" i="5"/>
  <c r="J188" i="5" s="1"/>
  <c r="L188" i="5" s="1"/>
  <c r="H187" i="5"/>
  <c r="J187" i="5" s="1"/>
  <c r="L186" i="5" s="1"/>
  <c r="H185" i="5"/>
  <c r="J185" i="5" s="1"/>
  <c r="L187" i="5" s="1"/>
  <c r="H186" i="5"/>
  <c r="J186" i="5" s="1"/>
  <c r="L185" i="5" s="1"/>
  <c r="H186" i="7"/>
  <c r="J186" i="7" s="1"/>
  <c r="L185" i="7" s="1"/>
  <c r="H187" i="7"/>
  <c r="J187" i="7" s="1"/>
  <c r="L186" i="7" s="1"/>
  <c r="H185" i="7"/>
  <c r="J185" i="7" s="1"/>
  <c r="L187" i="7" s="1"/>
  <c r="H188" i="7"/>
  <c r="J188" i="7" s="1"/>
  <c r="L188" i="7" s="1"/>
  <c r="A206" i="4"/>
  <c r="B206" i="4"/>
  <c r="B207" i="4"/>
  <c r="C205" i="4"/>
  <c r="C206" i="4"/>
  <c r="B205" i="4"/>
  <c r="C207" i="4"/>
  <c r="A205" i="4"/>
  <c r="H205" i="4" s="1" a="1"/>
  <c r="A207" i="4"/>
  <c r="C195" i="3"/>
  <c r="A195" i="3"/>
  <c r="H195" i="3" s="1" a="1"/>
  <c r="C196" i="3"/>
  <c r="B196" i="3"/>
  <c r="B197" i="3"/>
  <c r="A198" i="3"/>
  <c r="B198" i="3"/>
  <c r="C198" i="3"/>
  <c r="D197" i="3"/>
  <c r="D195" i="3"/>
  <c r="D196" i="3"/>
  <c r="A196" i="3"/>
  <c r="C197" i="3"/>
  <c r="B195" i="3"/>
  <c r="A197" i="3"/>
  <c r="D198" i="3"/>
  <c r="H186" i="3"/>
  <c r="J186" i="3" s="1"/>
  <c r="L185" i="3" s="1"/>
  <c r="H187" i="3"/>
  <c r="J187" i="3" s="1"/>
  <c r="L186" i="3" s="1"/>
  <c r="H185" i="3"/>
  <c r="J185" i="3" s="1"/>
  <c r="L187" i="3" s="1"/>
  <c r="H188" i="3"/>
  <c r="J188" i="3" s="1"/>
  <c r="L188" i="3" s="1"/>
  <c r="B205" i="8"/>
  <c r="A205" i="8"/>
  <c r="H205" i="8" s="1" a="1"/>
  <c r="C207" i="8"/>
  <c r="A207" i="8"/>
  <c r="B207" i="8"/>
  <c r="C205" i="8"/>
  <c r="C206" i="8"/>
  <c r="B206" i="8"/>
  <c r="A206" i="8"/>
  <c r="A197" i="7"/>
  <c r="B198" i="7"/>
  <c r="C197" i="7"/>
  <c r="C196" i="7"/>
  <c r="D197" i="7"/>
  <c r="B196" i="7"/>
  <c r="D198" i="7"/>
  <c r="B195" i="7"/>
  <c r="A198" i="7"/>
  <c r="A195" i="7"/>
  <c r="H195" i="7" s="1" a="1"/>
  <c r="B197" i="7"/>
  <c r="D195" i="7"/>
  <c r="C198" i="7"/>
  <c r="C195" i="7"/>
  <c r="A196" i="7"/>
  <c r="D196" i="7"/>
  <c r="H185" i="6"/>
  <c r="J185" i="6" s="1"/>
  <c r="L187" i="6" s="1"/>
  <c r="H186" i="6"/>
  <c r="J186" i="6" s="1"/>
  <c r="L185" i="6" s="1"/>
  <c r="H187" i="6"/>
  <c r="J187" i="6" s="1"/>
  <c r="L186" i="6" s="1"/>
  <c r="H188" i="6"/>
  <c r="J188" i="6" s="1"/>
  <c r="L188" i="6" s="1"/>
  <c r="C205" i="3"/>
  <c r="B206" i="3"/>
  <c r="A206" i="3"/>
  <c r="B205" i="3"/>
  <c r="C207" i="3"/>
  <c r="B207" i="3"/>
  <c r="C206" i="3"/>
  <c r="A205" i="3"/>
  <c r="H205" i="3" s="1" a="1"/>
  <c r="A207" i="3"/>
  <c r="X192" i="1" l="1"/>
  <c r="B202" i="1"/>
  <c r="A205" i="1" s="1" a="1"/>
  <c r="C206" i="1" s="1"/>
  <c r="Y191" i="1"/>
  <c r="AB195" i="1" a="1"/>
  <c r="AC198" i="1" s="1"/>
  <c r="C213" i="1"/>
  <c r="A216" i="1" s="1" a="1"/>
  <c r="B217" i="1" s="1"/>
  <c r="D191" i="1"/>
  <c r="A185" i="1" a="1"/>
  <c r="H205" i="8"/>
  <c r="J205" i="8" s="1"/>
  <c r="L207" i="8" s="1"/>
  <c r="H207" i="8"/>
  <c r="J207" i="8" s="1"/>
  <c r="L206" i="8" s="1"/>
  <c r="H206" i="8"/>
  <c r="J206" i="8" s="1"/>
  <c r="L205" i="8" s="1"/>
  <c r="H207" i="9"/>
  <c r="J207" i="9" s="1"/>
  <c r="L206" i="9" s="1"/>
  <c r="H205" i="9"/>
  <c r="J205" i="9" s="1"/>
  <c r="L207" i="9" s="1"/>
  <c r="H206" i="9"/>
  <c r="J206" i="9" s="1"/>
  <c r="L205" i="9" s="1"/>
  <c r="H197" i="9"/>
  <c r="J197" i="9" s="1"/>
  <c r="L196" i="9" s="1"/>
  <c r="H198" i="9"/>
  <c r="J198" i="9" s="1"/>
  <c r="L198" i="9" s="1"/>
  <c r="H196" i="9"/>
  <c r="J196" i="9" s="1"/>
  <c r="L195" i="9" s="1"/>
  <c r="H195" i="9"/>
  <c r="J195" i="9" s="1"/>
  <c r="L197" i="9" s="1"/>
  <c r="H205" i="5"/>
  <c r="J205" i="5" s="1"/>
  <c r="L207" i="5" s="1"/>
  <c r="H207" i="5"/>
  <c r="J207" i="5" s="1"/>
  <c r="L206" i="5" s="1"/>
  <c r="H206" i="5"/>
  <c r="J206" i="5" s="1"/>
  <c r="L205" i="5" s="1"/>
  <c r="H195" i="3"/>
  <c r="J195" i="3" s="1"/>
  <c r="L197" i="3" s="1"/>
  <c r="H197" i="3"/>
  <c r="J197" i="3" s="1"/>
  <c r="L196" i="3" s="1"/>
  <c r="H196" i="3"/>
  <c r="J196" i="3" s="1"/>
  <c r="L195" i="3" s="1"/>
  <c r="H198" i="3"/>
  <c r="J198" i="3" s="1"/>
  <c r="L198" i="3" s="1"/>
  <c r="H196" i="5"/>
  <c r="J196" i="5" s="1"/>
  <c r="L195" i="5" s="1"/>
  <c r="H197" i="5"/>
  <c r="J197" i="5" s="1"/>
  <c r="L196" i="5" s="1"/>
  <c r="H198" i="5"/>
  <c r="J198" i="5" s="1"/>
  <c r="L198" i="5" s="1"/>
  <c r="H195" i="5"/>
  <c r="J195" i="5" s="1"/>
  <c r="L197" i="5" s="1"/>
  <c r="H205" i="3"/>
  <c r="J205" i="3" s="1"/>
  <c r="L207" i="3" s="1"/>
  <c r="H207" i="3"/>
  <c r="J207" i="3" s="1"/>
  <c r="L206" i="3" s="1"/>
  <c r="H206" i="3"/>
  <c r="J206" i="3" s="1"/>
  <c r="L205" i="3" s="1"/>
  <c r="H195" i="6"/>
  <c r="J195" i="6" s="1"/>
  <c r="L197" i="6" s="1"/>
  <c r="H197" i="6"/>
  <c r="J197" i="6" s="1"/>
  <c r="L196" i="6" s="1"/>
  <c r="H198" i="6"/>
  <c r="J198" i="6" s="1"/>
  <c r="L198" i="6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H206" i="6"/>
  <c r="J206" i="6" s="1"/>
  <c r="L205" i="6" s="1"/>
  <c r="H207" i="6"/>
  <c r="J207" i="6" s="1"/>
  <c r="L206" i="6" s="1"/>
  <c r="H205" i="6"/>
  <c r="J205" i="6" s="1"/>
  <c r="L207" i="6" s="1"/>
  <c r="H195" i="8"/>
  <c r="J195" i="8" s="1"/>
  <c r="L197" i="8" s="1"/>
  <c r="H196" i="8"/>
  <c r="J196" i="8" s="1"/>
  <c r="L195" i="8" s="1"/>
  <c r="H198" i="8"/>
  <c r="J198" i="8" s="1"/>
  <c r="L198" i="8" s="1"/>
  <c r="H197" i="8"/>
  <c r="J197" i="8" s="1"/>
  <c r="L196" i="8" s="1"/>
  <c r="H198" i="7"/>
  <c r="J198" i="7" s="1"/>
  <c r="L198" i="7" s="1"/>
  <c r="H196" i="7"/>
  <c r="J196" i="7" s="1"/>
  <c r="L195" i="7" s="1"/>
  <c r="H197" i="7"/>
  <c r="J197" i="7" s="1"/>
  <c r="L196" i="7" s="1"/>
  <c r="H195" i="7"/>
  <c r="J195" i="7" s="1"/>
  <c r="L197" i="7" s="1"/>
  <c r="H206" i="4"/>
  <c r="J206" i="4" s="1"/>
  <c r="L205" i="4" s="1"/>
  <c r="H205" i="4"/>
  <c r="J205" i="4" s="1"/>
  <c r="L207" i="4" s="1"/>
  <c r="H207" i="4"/>
  <c r="J207" i="4" s="1"/>
  <c r="L206" i="4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AB195" i="1" l="1"/>
  <c r="AE195" i="1"/>
  <c r="AE196" i="1"/>
  <c r="AE197" i="1"/>
  <c r="AD197" i="1"/>
  <c r="AB196" i="1"/>
  <c r="AD198" i="1"/>
  <c r="AC197" i="1"/>
  <c r="AB198" i="1"/>
  <c r="AC196" i="1"/>
  <c r="AC195" i="1"/>
  <c r="AE198" i="1"/>
  <c r="AD196" i="1"/>
  <c r="AD195" i="1"/>
  <c r="AB197" i="1"/>
  <c r="B218" i="1"/>
  <c r="B216" i="1"/>
  <c r="A217" i="1"/>
  <c r="A216" i="1"/>
  <c r="A218" i="1"/>
  <c r="C216" i="1"/>
  <c r="C217" i="1"/>
  <c r="B185" i="1"/>
  <c r="A187" i="1"/>
  <c r="B186" i="1"/>
  <c r="C186" i="1"/>
  <c r="A185" i="1"/>
  <c r="D185" i="1"/>
  <c r="C187" i="1"/>
  <c r="A186" i="1"/>
  <c r="B188" i="1"/>
  <c r="D187" i="1"/>
  <c r="B187" i="1"/>
  <c r="C185" i="1"/>
  <c r="A188" i="1"/>
  <c r="C188" i="1"/>
  <c r="D188" i="1"/>
  <c r="D186" i="1"/>
  <c r="C218" i="1"/>
  <c r="Z191" i="1"/>
  <c r="A195" i="1" a="1"/>
  <c r="A206" i="1"/>
  <c r="B206" i="1"/>
  <c r="A207" i="1"/>
  <c r="B205" i="1"/>
  <c r="C207" i="1"/>
  <c r="C205" i="1"/>
  <c r="B207" i="1"/>
  <c r="A205" i="1"/>
  <c r="AG195" i="1" l="1" a="1"/>
  <c r="AI197" i="1" s="1"/>
  <c r="H205" i="1" a="1"/>
  <c r="H205" i="1" s="1"/>
  <c r="J205" i="1" s="1"/>
  <c r="L207" i="1" s="1"/>
  <c r="H216" i="1" a="1"/>
  <c r="H185" i="1" a="1"/>
  <c r="C198" i="1"/>
  <c r="B198" i="1"/>
  <c r="D195" i="1"/>
  <c r="C197" i="1"/>
  <c r="B196" i="1"/>
  <c r="D196" i="1"/>
  <c r="C196" i="1"/>
  <c r="D198" i="1"/>
  <c r="A196" i="1"/>
  <c r="C195" i="1"/>
  <c r="A197" i="1"/>
  <c r="A198" i="1"/>
  <c r="B195" i="1"/>
  <c r="D197" i="1"/>
  <c r="A195" i="1"/>
  <c r="B197" i="1"/>
  <c r="AG195" i="1" l="1"/>
  <c r="AJ195" i="1"/>
  <c r="AJ198" i="1"/>
  <c r="AG196" i="1"/>
  <c r="AI196" i="1"/>
  <c r="AI195" i="1"/>
  <c r="AH198" i="1"/>
  <c r="AJ197" i="1"/>
  <c r="AH195" i="1"/>
  <c r="AJ196" i="1"/>
  <c r="AI198" i="1"/>
  <c r="AG197" i="1"/>
  <c r="AG198" i="1"/>
  <c r="AH196" i="1"/>
  <c r="AH197" i="1"/>
  <c r="H206" i="1"/>
  <c r="J206" i="1" s="1"/>
  <c r="L205" i="1" s="1"/>
  <c r="H207" i="1"/>
  <c r="J207" i="1" s="1"/>
  <c r="L206" i="1" s="1"/>
  <c r="H188" i="1"/>
  <c r="J188" i="1" s="1"/>
  <c r="L188" i="1" s="1"/>
  <c r="H186" i="1"/>
  <c r="J186" i="1" s="1"/>
  <c r="L185" i="1" s="1"/>
  <c r="H187" i="1"/>
  <c r="J187" i="1" s="1"/>
  <c r="L186" i="1" s="1"/>
  <c r="H185" i="1"/>
  <c r="J185" i="1" s="1"/>
  <c r="L187" i="1" s="1"/>
  <c r="H195" i="1" a="1"/>
  <c r="J217" i="1"/>
  <c r="L217" i="1" s="1"/>
  <c r="H216" i="1"/>
  <c r="J216" i="1" s="1"/>
  <c r="L216" i="1" s="1"/>
  <c r="J218" i="1"/>
  <c r="L219" i="1" s="1"/>
  <c r="H195" i="1" l="1"/>
  <c r="H198" i="1"/>
  <c r="J198" i="1" s="1"/>
  <c r="L198" i="1" s="1"/>
  <c r="H196" i="1"/>
  <c r="J196" i="1" s="1"/>
  <c r="L195" i="1" s="1"/>
  <c r="H197" i="1"/>
  <c r="J197" i="1" s="1"/>
  <c r="L196" i="1" s="1"/>
  <c r="J195" i="1" l="1"/>
  <c r="L197" i="1" s="1"/>
  <c r="AL195" i="1" a="1"/>
  <c r="AL198" i="1" l="1"/>
  <c r="AL195" i="1"/>
  <c r="AL196" i="1"/>
  <c r="AL19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<sst xmlns="http://schemas.openxmlformats.org/spreadsheetml/2006/main" count="2432" uniqueCount="229">
  <si>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</si>
  <si>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</si>
  <si>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</si>
  <si>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</si>
  <si>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</si>
  <si>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</si>
  <si>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</si>
  <si>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</si>
  <si>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</si>
  <si>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</si>
  <si>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</si>
  <si>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</si>
  <si>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</si>
  <si>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</si>
  <si>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</si>
  <si>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</si>
  <si>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</si>
  <si>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</si>
  <si>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</si>
  <si>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</si>
  <si>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</si>
  <si>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</si>
  <si>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</si>
  <si>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</si>
  <si>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</si>
  <si>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</si>
  <si>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</si>
  <si>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</si>
  <si>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</si>
  <si>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</si>
  <si>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</si>
  <si>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</si>
  <si>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</si>
  <si>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</si>
  <si>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</si>
  <si>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</si>
  <si>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</si>
  <si>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</si>
  <si>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</si>
  <si>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</si>
  <si>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</si>
  <si>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</si>
  <si>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</si>
  <si>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</si>
  <si>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</si>
  <si>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</si>
  <si>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</si>
  <si>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</si>
  <si>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</si>
  <si>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</si>
  <si>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</si>
  <si>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</si>
  <si>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</si>
  <si>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</si>
  <si>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</si>
  <si>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</si>
  <si>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</si>
  <si>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</si>
  <si>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</si>
  <si>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</si>
  <si>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</si>
  <si>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</si>
  <si>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</si>
  <si>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</si>
  <si>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</si>
  <si>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</si>
  <si>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</si>
  <si>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</si>
  <si>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</si>
  <si>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</si>
  <si>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</si>
  <si>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</si>
  <si>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</si>
  <si>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</si>
  <si>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</si>
  <si>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</si>
  <si>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</si>
  <si>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</si>
  <si>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</si>
  <si>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</si>
  <si>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</si>
  <si>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</si>
  <si>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</si>
  <si>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</si>
  <si>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</si>
  <si>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</si>
  <si>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</si>
  <si>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</si>
  <si>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</si>
  <si>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</si>
  <si>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</si>
  <si>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</si>
  <si>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</si>
  <si>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</si>
  <si>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</si>
  <si>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</si>
  <si>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</si>
  <si>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</si>
  <si>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</si>
  <si>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</si>
  <si>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</si>
  <si>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</si>
  <si>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</si>
  <si>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</si>
  <si>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</si>
  <si>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</si>
  <si>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</si>
  <si>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</si>
  <si>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</si>
  <si>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</si>
  <si>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</si>
  <si>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</si>
  <si>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</si>
  <si>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</si>
  <si>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</si>
  <si>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</si>
  <si>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</si>
  <si>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</si>
  <si>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</si>
  <si>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</si>
  <si>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</si>
  <si>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</si>
  <si>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</si>
  <si>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</si>
  <si>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</si>
  <si>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</si>
  <si>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</si>
  <si>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</si>
  <si>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</si>
  <si>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</si>
  <si>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</si>
  <si>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</si>
  <si>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</si>
  <si>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</si>
  <si>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</si>
  <si>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</si>
  <si>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</si>
  <si>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</si>
  <si>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</si>
  <si>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</si>
  <si>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</si>
  <si>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</si>
  <si>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</si>
  <si>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</si>
  <si>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</si>
  <si>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</si>
  <si>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</si>
  <si>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</si>
  <si>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</si>
  <si>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</si>
  <si>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</si>
  <si>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</si>
  <si>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</si>
  <si>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</si>
  <si>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</si>
  <si>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</si>
  <si>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</si>
  <si>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</si>
  <si>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</si>
  <si>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</si>
  <si>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</si>
  <si>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</si>
  <si>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</si>
  <si>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</si>
  <si>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</si>
  <si>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</si>
  <si>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</si>
  <si>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</si>
  <si>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</si>
  <si>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</si>
  <si>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</si>
  <si>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</si>
  <si>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</si>
  <si>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</si>
  <si>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</si>
  <si>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</si>
  <si>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</si>
  <si>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</si>
  <si>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</si>
  <si>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</si>
  <si>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</si>
  <si>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</si>
  <si>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</si>
  <si>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</si>
  <si>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</si>
  <si>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</si>
  <si>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</si>
  <si>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</si>
  <si>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</si>
  <si>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</si>
  <si>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</si>
  <si>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</si>
  <si>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</si>
  <si>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</si>
  <si>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</si>
  <si>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</si>
  <si>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</si>
  <si>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</si>
  <si>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</si>
  <si>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</si>
  <si>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</si>
  <si>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</si>
  <si>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</si>
  <si>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</si>
  <si>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</si>
  <si>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</si>
  <si>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</si>
  <si>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</si>
  <si>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FALSE IF rounding errors, usually going to be FALSE so use (x+h)-x in place of h when dividing for the partial differential</t>
  </si>
  <si>
    <t>Density</t>
  </si>
  <si>
    <t>Rigid Plate Analysis</t>
  </si>
  <si>
    <t>Plate Shape:</t>
  </si>
  <si>
    <t>Rectangle</t>
  </si>
  <si>
    <t>h</t>
  </si>
  <si>
    <t>x-width:</t>
  </si>
  <si>
    <t>y-width:</t>
  </si>
  <si>
    <t>Y/X</t>
  </si>
  <si>
    <t>A</t>
  </si>
  <si>
    <t>Sx</t>
  </si>
  <si>
    <t>Sy</t>
  </si>
  <si>
    <t>in3</t>
  </si>
  <si>
    <t>B,max</t>
  </si>
  <si>
    <t>Reduced Bearing Area Check</t>
  </si>
  <si>
    <t>Fill in OSHA cells above, W2 and W3</t>
  </si>
  <si>
    <t xml:space="preserve"> rectangular area equivalent to current plate</t>
  </si>
  <si>
    <t>cx</t>
  </si>
  <si>
    <t>cy</t>
  </si>
  <si>
    <t>x'</t>
  </si>
  <si>
    <t>y'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</si>
</sst>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0" fillId="2" borderId="0" xfId="0" applyFill="1"/>
    <xf numFmtId="0" fontId="11" fillId="0" borderId="0" xfId="0" applyFont="1"/>
    <xf numFmtId="0" fontId="1" fillId="0" borderId="0" xfId="0" applyFont="1" applyAlignment="1">
      <alignment horizontal="left"/>
    </xf>
    <xf numFmtId="0" fontId="11" fillId="0" borderId="0" xfId="0" applyFont="1" applyBorder="1"/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5.525 ksi &gt; 2.4606 ksi
Design Status: OK
SOLUTION FOUND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41129647878367E-2"/>
          <c:y val="0.13791919191919194"/>
          <c:w val="0.73993718074167536"/>
          <c:h val="0.8091413346059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11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5.5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11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70105A4-77A1-4458-8C88-36CDA9BA3A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9D-4D2C-BFDD-57392E734A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14CA92-388F-44D5-A4A5-C471586605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9D-4D2C-BFDD-57392E734A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9D-4D2C-BFDD-57392E734A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9D-4D2C-BFDD-57392E734A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D9D-4D2C-BFDD-57392E734A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9D-4D2C-BFDD-57392E734A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9D-4D2C-BFDD-57392E734A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9D-4D2C-BFDD-57392E734A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D9D-4D2C-BFDD-57392E734A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D9D-4D2C-BFDD-57392E734A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D9D-4D2C-BFDD-57392E734A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D9D-4D2C-BFDD-57392E73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2.75</c:v>
                </c:pt>
                <c:pt idx="1">
                  <c:v>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8.25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0.1514 kips</c:v>
                  </c:pt>
                  <c:pt idx="1">
                    <c:v>
0.1514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1A1047DC-6383-4A04-8B0A-BB77C672A9D9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335900211236509"/>
                      <c:h val="6.822619899785253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2.75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8.25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Analysis'!$Q$25</c15:f>
                <c15:dlblRangeCache>
                  <c:ptCount val="1"/>
                  <c:pt idx="0">
                    <c:v>P: 50 kips
Mx: 0 kip-in
My: 0 kip-in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-0.66947772084341306</c:v>
                </c:pt>
                <c:pt idx="1">
                  <c:v>11.744735841529678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-0.74473584152968009</c:v>
                </c:pt>
                <c:pt idx="1">
                  <c:v>11.669477720843414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E887AFA-1156-4B84-959A-57F9286C6E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2.7688119416434027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8.2311880583565973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50.3028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aseline="0">
                        <a:solidFill>
                          <a:srgbClr val="C00000"/>
                        </a:solidFill>
                        <a:latin typeface="Calibri" panose="020F0502020204030204" pitchFamily="34" charset="0"/>
                      </a:defRPr>
                    </a:pPr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352665940461806E-2"/>
                      <c:h val="3.386876640419947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2.75</c:v>
                </c:pt>
                <c:pt idx="1">
                  <c:v>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2</c:v>
                </c:pt>
                <c:pt idx="1">
                  <c:v>8.25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965DACA-E1F8-475B-BACD-791D9A3715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B65A0C-9455-444F-9768-98A47CF274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FA7541-352B-4FA6-9DE6-54F9B29163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32DCC8-DF0B-4FE0-9DA9-C9C523CB89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412D3F-DFA0-43D5-BC04-09826D9CB9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7CC25C-E1FD-44B8-99B1-D9F0BE60B7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479FE2-B52D-4B88-8544-67C5A9A2D7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0A13D1E-371A-45EB-AF7F-B9866A7E88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11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0</c:v>
                </c:pt>
                <c:pt idx="1">
                  <c:v>5.4247418793137339</c:v>
                </c:pt>
                <c:pt idx="2">
                  <c:v>5.5</c:v>
                </c:pt>
                <c:pt idx="3">
                  <c:v>10.924741879313734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0">
                    <c:v>0.0167 ksi</c:v>
                  </c:pt>
                  <c:pt idx="1">
                    <c:v>0 ksi</c:v>
                  </c:pt>
                  <c:pt idx="2">
                    <c:v>0.0167 ksi</c:v>
                  </c:pt>
                  <c:pt idx="3">
                    <c:v>0 ksi</c:v>
                  </c:pt>
                  <c:pt idx="4">
                    <c:v>0.0167 ksi</c:v>
                  </c:pt>
                  <c:pt idx="5">
                    <c:v>2.4606 ksi</c:v>
                  </c:pt>
                  <c:pt idx="6">
                    <c:v>0.0167 ksi</c:v>
                  </c:pt>
                  <c:pt idx="7">
                    <c:v>0.0167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DB26052-A5C1-445C-83D0-7AF0B0833E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7F8E7E-A56B-482F-9320-96A08A44B7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7.5258120686267915E-2</c:v>
                </c:pt>
                <c:pt idx="1">
                  <c:v>#N/A</c:v>
                </c:pt>
                <c:pt idx="2">
                  <c:v>5.5752581206862661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0</c:v>
                </c:pt>
                <c:pt idx="1">
                  <c:v>#N/A</c:v>
                </c:pt>
                <c:pt idx="2">
                  <c:v>5.5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0">
                    <c:v>0 ksi</c:v>
                  </c:pt>
                  <c:pt idx="2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E32797-0945-4907-8B23-430F1B488E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E5E0BE-501B-46E7-AFB9-962D822E88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82412B-FB0D-4601-AF16-B007D81C9D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21A37E-5F7F-4C1D-A310-FFB856CE20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2C5828-E012-46ED-9B24-ED5D55F0DB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606CF8-49EF-47EB-A874-917B1FA662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D14772-8A9B-4669-BBE6-4657AF5BEC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C89C76-BF7B-4704-8299-DEDF83B78F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11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5.5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11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2.75</c:v>
                </c:pt>
                <c:pt idx="1">
                  <c:v>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2</c:v>
                </c:pt>
                <c:pt idx="1">
                  <c:v>8.25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4172674043921225"/>
                  <c:y val="-0.27268685380594748"/>
                </c:manualLayout>
              </c:layout>
              <c:tx>
                <c:rich>
                  <a:bodyPr/>
                  <a:lstStyle/>
                  <a:p>
                    <a:fld id="{0E02EE02-5C00-4F31-94AE-508ED10980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2.75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8.25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5.525 ksi &gt; 2.4606 ksi
Design Status: 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-0.66947772084341306</c:v>
                </c:pt>
                <c:pt idx="1">
                  <c:v>11.744735841529678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-0.74473584152968009</c:v>
                </c:pt>
                <c:pt idx="1">
                  <c:v>11.669477720843414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2.7688119416434027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8.2311880583565973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2.75</c:v>
                </c:pt>
                <c:pt idx="1">
                  <c:v>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2</c:v>
                </c:pt>
                <c:pt idx="1">
                  <c:v>8.25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4.583333333333333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6.416666666666667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ser>
          <c:idx val="10"/>
          <c:order val="10"/>
          <c:tx>
            <c:strRef>
              <c:f>'Rigid Bearing Plate Analysis'!$AA$37</c:f>
              <c:strCache>
                <c:ptCount val="1"/>
                <c:pt idx="0">
                  <c:v>Reduced Bearing Area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plus"/>
            <c:size val="7"/>
            <c:spPr>
              <a:noFill/>
              <a:ln w="19050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Analysis'!$AA$39:$AA$43</c:f>
              <c:numCache>
                <c:formatCode>0.00</c:formatCode>
                <c:ptCount val="5"/>
                <c:pt idx="0">
                  <c:v>1.0683180149992664</c:v>
                </c:pt>
                <c:pt idx="1">
                  <c:v>4.4316819850007336</c:v>
                </c:pt>
                <c:pt idx="2">
                  <c:v>4.4316819850007336</c:v>
                </c:pt>
                <c:pt idx="3">
                  <c:v>1.0683180149992664</c:v>
                </c:pt>
                <c:pt idx="4">
                  <c:v>1.0683180149992664</c:v>
                </c:pt>
              </c:numCache>
            </c:numRef>
          </c:xVal>
          <c:yVal>
            <c:numRef>
              <c:f>'Rigid Bearing Plate Analysis'!$AB$39:$AB$43</c:f>
              <c:numCache>
                <c:formatCode>0.00</c:formatCode>
                <c:ptCount val="5"/>
                <c:pt idx="0">
                  <c:v>6.9046544119994131</c:v>
                </c:pt>
                <c:pt idx="1">
                  <c:v>6.9046544119994131</c:v>
                </c:pt>
                <c:pt idx="2">
                  <c:v>9.5953455880005869</c:v>
                </c:pt>
                <c:pt idx="3">
                  <c:v>9.5953455880005869</c:v>
                </c:pt>
                <c:pt idx="4">
                  <c:v>6.9046544119994131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4-466B-B193-5EAA767B0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-7.7781745930520225</c:v>
                </c:pt>
                <c:pt idx="1">
                  <c:v>-3.8890872965260117</c:v>
                </c:pt>
                <c:pt idx="2">
                  <c:v>0</c:v>
                </c:pt>
                <c:pt idx="3">
                  <c:v>3.8890872965260104</c:v>
                </c:pt>
                <c:pt idx="4">
                  <c:v>7.7781745930520216</c:v>
                </c:pt>
                <c:pt idx="5">
                  <c:v>0</c:v>
                </c:pt>
                <c:pt idx="6">
                  <c:v>-7.7781745930520225</c:v>
                </c:pt>
                <c:pt idx="7">
                  <c:v>-7.7781745930520225</c:v>
                </c:pt>
                <c:pt idx="8">
                  <c:v>-7.7781745930520225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-3.8890872965260104</c:v>
                </c:pt>
                <c:pt idx="1">
                  <c:v>-7.7781745930520216</c:v>
                </c:pt>
                <c:pt idx="2">
                  <c:v>-3.8890872965260113</c:v>
                </c:pt>
                <c:pt idx="3">
                  <c:v>-7.7781745930520225</c:v>
                </c:pt>
                <c:pt idx="4">
                  <c:v>-3.8890872965260117</c:v>
                </c:pt>
                <c:pt idx="5">
                  <c:v>3.8890872965260113</c:v>
                </c:pt>
                <c:pt idx="6">
                  <c:v>-3.8890872965260104</c:v>
                </c:pt>
                <c:pt idx="7">
                  <c:v>-3.8890872965260104</c:v>
                </c:pt>
                <c:pt idx="8">
                  <c:v>-3.8890872965260104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-4.4194173824159222</c:v>
                </c:pt>
                <c:pt idx="1">
                  <c:v>4.4194173824159213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-4.4194173824159213</c:v>
                </c:pt>
                <c:pt idx="1">
                  <c:v>-4.4194173824159222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-8.7781745930520216</c:v>
                </c:pt>
                <c:pt idx="1">
                  <c:v>8.7781745930520216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-3.9423028240026254</c:v>
                </c:pt>
                <c:pt idx="1">
                  <c:v>-3.9423028240026254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-7.7781745930520225</c:v>
                </c:pt>
                <c:pt idx="1">
                  <c:v>-5.3215527476614198E-2</c:v>
                </c:pt>
                <c:pt idx="2">
                  <c:v>0</c:v>
                </c:pt>
                <c:pt idx="3">
                  <c:v>7.7249590655754075</c:v>
                </c:pt>
                <c:pt idx="4">
                  <c:v>7.7781745930520216</c:v>
                </c:pt>
                <c:pt idx="5">
                  <c:v>0</c:v>
                </c:pt>
                <c:pt idx="6">
                  <c:v>-7.7781745930520225</c:v>
                </c:pt>
                <c:pt idx="7">
                  <c:v>-7.7781745930520225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-3.8890872965260104</c:v>
                </c:pt>
                <c:pt idx="1">
                  <c:v>-3.9423028240026254</c:v>
                </c:pt>
                <c:pt idx="2">
                  <c:v>-3.8890872965260113</c:v>
                </c:pt>
                <c:pt idx="3">
                  <c:v>-3.9423028240026254</c:v>
                </c:pt>
                <c:pt idx="4">
                  <c:v>-3.8890872965260117</c:v>
                </c:pt>
                <c:pt idx="5">
                  <c:v>3.8890872965260113</c:v>
                </c:pt>
                <c:pt idx="6">
                  <c:v>-3.8890872965260104</c:v>
                </c:pt>
                <c:pt idx="7">
                  <c:v>-3.8890872965260104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-7.7249590655754066</c:v>
                </c:pt>
                <c:pt idx="1">
                  <c:v>0</c:v>
                </c:pt>
                <c:pt idx="2">
                  <c:v>5.3215527476614163E-2</c:v>
                </c:pt>
                <c:pt idx="3">
                  <c:v>7.7781745930520216</c:v>
                </c:pt>
                <c:pt idx="4">
                  <c:v>0</c:v>
                </c:pt>
                <c:pt idx="5">
                  <c:v>-7.7781745930520225</c:v>
                </c:pt>
                <c:pt idx="6">
                  <c:v>-7.7781745930520225</c:v>
                </c:pt>
                <c:pt idx="7">
                  <c:v>-7.7781745930520225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-3.9423028240026254</c:v>
                </c:pt>
                <c:pt idx="1">
                  <c:v>-3.8890872965260113</c:v>
                </c:pt>
                <c:pt idx="2">
                  <c:v>-3.9423028240026254</c:v>
                </c:pt>
                <c:pt idx="3">
                  <c:v>-3.8890872965260117</c:v>
                </c:pt>
                <c:pt idx="4">
                  <c:v>3.8890872965260113</c:v>
                </c:pt>
                <c:pt idx="5">
                  <c:v>-3.8890872965260104</c:v>
                </c:pt>
                <c:pt idx="6">
                  <c:v>-3.8890872965260104</c:v>
                </c:pt>
                <c:pt idx="7">
                  <c:v>-3.8890872965260104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-2.8250615817856694E-16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-2.6604103006671636E-2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-8.7781745930520216</c:v>
                </c:pt>
                <c:pt idx="1">
                  <c:v>8.7781745930520216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-8.7781745930520216</c:v>
                </c:pt>
                <c:pt idx="1">
                  <c:v>8.7781745930520216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-7.7781745930520225</c:v>
                </c:pt>
                <c:pt idx="1">
                  <c:v>-7.7781745930520225</c:v>
                </c:pt>
                <c:pt idx="2">
                  <c:v>-7.7781745930520225</c:v>
                </c:pt>
                <c:pt idx="3">
                  <c:v>-7.7781745930520225</c:v>
                </c:pt>
                <c:pt idx="4">
                  <c:v>-7.7781745930520225</c:v>
                </c:pt>
                <c:pt idx="5">
                  <c:v>-7.7781745930520225</c:v>
                </c:pt>
                <c:pt idx="6">
                  <c:v>-7.7781745930520225</c:v>
                </c:pt>
                <c:pt idx="7">
                  <c:v>-7.7781745930520225</c:v>
                </c:pt>
                <c:pt idx="8">
                  <c:v>-7.7781745930520225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-3.8890872965260104</c:v>
                </c:pt>
                <c:pt idx="1">
                  <c:v>-3.8890872965260104</c:v>
                </c:pt>
                <c:pt idx="2">
                  <c:v>-3.8890872965260104</c:v>
                </c:pt>
                <c:pt idx="3">
                  <c:v>-3.8890872965260104</c:v>
                </c:pt>
                <c:pt idx="4">
                  <c:v>-3.8890872965260104</c:v>
                </c:pt>
                <c:pt idx="5">
                  <c:v>-3.8890872965260104</c:v>
                </c:pt>
                <c:pt idx="6">
                  <c:v>-3.8890872965260104</c:v>
                </c:pt>
                <c:pt idx="7">
                  <c:v>-3.8890872965260104</c:v>
                </c:pt>
                <c:pt idx="8">
                  <c:v>-3.8890872965260104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-7.7781745930520225</c:v>
                </c:pt>
                <c:pt idx="1">
                  <c:v>-7.7781745930520225</c:v>
                </c:pt>
                <c:pt idx="2">
                  <c:v>-7.7781745930520225</c:v>
                </c:pt>
                <c:pt idx="3">
                  <c:v>-7.7781745930520225</c:v>
                </c:pt>
                <c:pt idx="4">
                  <c:v>-7.7781745930520225</c:v>
                </c:pt>
                <c:pt idx="5">
                  <c:v>-7.7781745930520225</c:v>
                </c:pt>
                <c:pt idx="6">
                  <c:v>-7.7781745930520225</c:v>
                </c:pt>
                <c:pt idx="7">
                  <c:v>-7.7781745930520225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-3.8890872965260104</c:v>
                </c:pt>
                <c:pt idx="1">
                  <c:v>-3.8890872965260104</c:v>
                </c:pt>
                <c:pt idx="2">
                  <c:v>-3.8890872965260104</c:v>
                </c:pt>
                <c:pt idx="3">
                  <c:v>-3.8890872965260104</c:v>
                </c:pt>
                <c:pt idx="4">
                  <c:v>-3.8890872965260104</c:v>
                </c:pt>
                <c:pt idx="5">
                  <c:v>-3.8890872965260104</c:v>
                </c:pt>
                <c:pt idx="6">
                  <c:v>-3.8890872965260104</c:v>
                </c:pt>
                <c:pt idx="7">
                  <c:v>-3.8890872965260104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-7.7781745930520225</c:v>
                </c:pt>
                <c:pt idx="1">
                  <c:v>-7.7781745930520225</c:v>
                </c:pt>
                <c:pt idx="2">
                  <c:v>-7.7781745930520225</c:v>
                </c:pt>
                <c:pt idx="3">
                  <c:v>-7.7781745930520225</c:v>
                </c:pt>
                <c:pt idx="4">
                  <c:v>-7.7781745930520225</c:v>
                </c:pt>
                <c:pt idx="5">
                  <c:v>-7.7781745930520225</c:v>
                </c:pt>
                <c:pt idx="6">
                  <c:v>-7.7781745930520225</c:v>
                </c:pt>
                <c:pt idx="7">
                  <c:v>-7.7781745930520225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-3.8890872965260104</c:v>
                </c:pt>
                <c:pt idx="1">
                  <c:v>-3.8890872965260104</c:v>
                </c:pt>
                <c:pt idx="2">
                  <c:v>-3.8890872965260104</c:v>
                </c:pt>
                <c:pt idx="3">
                  <c:v>-3.8890872965260104</c:v>
                </c:pt>
                <c:pt idx="4">
                  <c:v>-3.8890872965260104</c:v>
                </c:pt>
                <c:pt idx="5">
                  <c:v>-3.8890872965260104</c:v>
                </c:pt>
                <c:pt idx="6">
                  <c:v>-3.8890872965260104</c:v>
                </c:pt>
                <c:pt idx="7">
                  <c:v>-3.8890872965260104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-4.4194173824159222</c:v>
                </c:pt>
                <c:pt idx="1">
                  <c:v>4.4194173824159213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-4.4194173824159213</c:v>
                </c:pt>
                <c:pt idx="1">
                  <c:v>-4.4194173824159222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11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5.5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0</c:v>
                </c:pt>
                <c:pt idx="1">
                  <c:v>8.25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11</c:v>
                </c:pt>
                <c:pt idx="1">
                  <c:v>2.75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6.1875000000000009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4.8124999999999991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-1.5906745930520225</c:v>
                </c:pt>
                <c:pt idx="1">
                  <c:v>13.965674593052025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-2.9656745930520225</c:v>
                </c:pt>
                <c:pt idx="1">
                  <c:v>12.590674593052022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ser>
          <c:idx val="4"/>
          <c:order val="4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Analysis'!$AM$38:$AM$39</c:f>
              <c:numCache>
                <c:formatCode>General</c:formatCode>
                <c:ptCount val="2"/>
                <c:pt idx="0" formatCode="0.000">
                  <c:v>13.965674593052025</c:v>
                </c:pt>
                <c:pt idx="1">
                  <c:v>-13.965674593052025</c:v>
                </c:pt>
              </c:numCache>
            </c:numRef>
          </c:xVal>
          <c:yVal>
            <c:numRef>
              <c:f>'Rigid Bearing Plate Analysis'!$AN$38:$AN$39</c:f>
              <c:numCache>
                <c:formatCode>General</c:formatCode>
                <c:ptCount val="2"/>
                <c:pt idx="0" formatCode="0.000">
                  <c:v>13.965674593052025</c:v>
                </c:pt>
                <c:pt idx="1">
                  <c:v>-13.965674593052025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A-4302-B467-C68459E9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879661</xdr:colOff>
      <xdr:row>37</xdr:row>
      <xdr:rowOff>62749</xdr:rowOff>
    </xdr:from>
    <xdr:to>
      <xdr:col>37</xdr:col>
      <xdr:colOff>846044</xdr:colOff>
      <xdr:row>61</xdr:row>
      <xdr:rowOff>6720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39</xdr:row>
          <xdr:rowOff>47625</xdr:rowOff>
        </xdr:from>
        <xdr:to>
          <xdr:col>21</xdr:col>
          <xdr:colOff>895350</xdr:colOff>
          <xdr:row>44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reduced bearing area that produces all compression less than fp,max and with smaller area than current 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2F56-D79D-4448-A8FE-E83386BAA8D2}">
  <sheetPr codeName="Sheet10"/>
  <dimension ref="A1:A4"/>
  <sheetViews>
    <sheetView workbookViewId="0">
      <selection activeCell="B4" sqref="B4"/>
    </sheetView>
  </sheetViews>
  <sheetFormatPr defaultRowHeight="15" x14ac:dyDescent="0.25"/>
  <cols>
    <col min="1" max="1" width="12.7109375" customWidth="1"/>
  </cols>
  <sheetData>
    <row r="1" spans="1:1" x14ac:dyDescent="0.25">
      <c r="A1" s="44" t="s">
        <v>210</v>
      </c>
    </row>
    <row r="4" spans="1:1" x14ac:dyDescent="0.25">
      <c r="A4" t="s">
        <v>211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08DE-04E6-4B80-8668-38C50B039EF2}">
  <sheetPr codeName="Sheet11"/>
  <dimension ref="A8:J22"/>
  <sheetViews>
    <sheetView topLeftCell="A7" workbookViewId="0">
      <selection activeCell="A25" sqref="A25"/>
    </sheetView>
  </sheetViews>
  <sheetFormatPr defaultRowHeight="15" x14ac:dyDescent="0.25"/>
  <sheetData>
    <row r="8" spans="1:10" x14ac:dyDescent="0.25">
      <c r="A8" s="44" t="s">
        <v>212</v>
      </c>
    </row>
    <row r="9" spans="1:10" x14ac:dyDescent="0.25">
      <c r="A9" t="s">
        <v>76</v>
      </c>
      <c r="B9" s="2">
        <v>14</v>
      </c>
      <c r="C9" t="s">
        <v>22</v>
      </c>
    </row>
    <row r="10" spans="1:10" x14ac:dyDescent="0.25">
      <c r="A10" t="s">
        <v>213</v>
      </c>
      <c r="B10" s="2">
        <v>24</v>
      </c>
      <c r="C10" t="s">
        <v>22</v>
      </c>
    </row>
    <row r="12" spans="1:10" x14ac:dyDescent="0.25">
      <c r="A12" t="s">
        <v>0</v>
      </c>
      <c r="B12" t="s">
        <v>203</v>
      </c>
      <c r="H12" t="s">
        <v>133</v>
      </c>
      <c r="I12" t="s">
        <v>202</v>
      </c>
    </row>
    <row r="13" spans="1:10" x14ac:dyDescent="0.25">
      <c r="A13" s="1" t="s">
        <v>3</v>
      </c>
      <c r="B13" s="1" t="s">
        <v>6</v>
      </c>
      <c r="C13" s="1" t="s">
        <v>7</v>
      </c>
      <c r="H13" t="s">
        <v>3</v>
      </c>
      <c r="I13" s="1" t="s">
        <v>6</v>
      </c>
      <c r="J13" s="1" t="s">
        <v>7</v>
      </c>
    </row>
    <row r="14" spans="1:10" x14ac:dyDescent="0.25">
      <c r="A14">
        <v>1</v>
      </c>
      <c r="B14" s="4">
        <v>0</v>
      </c>
      <c r="C14" s="4">
        <v>0</v>
      </c>
      <c r="H14">
        <v>1</v>
      </c>
      <c r="I14" s="2">
        <v>0</v>
      </c>
      <c r="J14" s="2">
        <v>0</v>
      </c>
    </row>
    <row r="15" spans="1:10" x14ac:dyDescent="0.25">
      <c r="A15">
        <v>2</v>
      </c>
      <c r="B15" s="7">
        <f>B9</f>
        <v>14</v>
      </c>
      <c r="C15" s="7">
        <v>0</v>
      </c>
      <c r="H15">
        <v>2</v>
      </c>
      <c r="I15" s="2">
        <f>I14</f>
        <v>0</v>
      </c>
      <c r="J15" s="2">
        <f>B10</f>
        <v>24</v>
      </c>
    </row>
    <row r="16" spans="1:10" x14ac:dyDescent="0.25">
      <c r="A16">
        <v>3</v>
      </c>
      <c r="B16" s="7">
        <f>B15</f>
        <v>14</v>
      </c>
      <c r="C16" s="7">
        <f>B10</f>
        <v>24</v>
      </c>
      <c r="H16">
        <v>3</v>
      </c>
      <c r="I16" s="2">
        <f>B9</f>
        <v>14</v>
      </c>
      <c r="J16" s="2">
        <f>J15</f>
        <v>24</v>
      </c>
    </row>
    <row r="17" spans="1:10" x14ac:dyDescent="0.25">
      <c r="A17">
        <v>4</v>
      </c>
      <c r="B17" s="7">
        <f>B14</f>
        <v>0</v>
      </c>
      <c r="C17" s="7">
        <f>C16</f>
        <v>24</v>
      </c>
      <c r="H17">
        <v>4</v>
      </c>
      <c r="I17" s="2">
        <f>I16</f>
        <v>14</v>
      </c>
      <c r="J17" s="2">
        <v>0</v>
      </c>
    </row>
    <row r="18" spans="1:10" x14ac:dyDescent="0.25">
      <c r="A18">
        <v>5</v>
      </c>
      <c r="B18" s="7">
        <v>0</v>
      </c>
      <c r="C18" s="7">
        <v>0</v>
      </c>
      <c r="H18">
        <v>5</v>
      </c>
      <c r="I18" s="2">
        <v>0</v>
      </c>
      <c r="J18" s="2">
        <v>0</v>
      </c>
    </row>
    <row r="19" spans="1:10" x14ac:dyDescent="0.25">
      <c r="A19">
        <v>6</v>
      </c>
      <c r="B19" s="7">
        <v>0</v>
      </c>
      <c r="C19" s="7">
        <v>0</v>
      </c>
      <c r="H19">
        <v>6</v>
      </c>
      <c r="I19" s="2">
        <v>0</v>
      </c>
      <c r="J19" s="2">
        <v>0</v>
      </c>
    </row>
    <row r="20" spans="1:10" x14ac:dyDescent="0.25">
      <c r="A20">
        <v>7</v>
      </c>
      <c r="B20" s="7">
        <v>0</v>
      </c>
      <c r="C20" s="7">
        <v>0</v>
      </c>
      <c r="H20">
        <v>7</v>
      </c>
      <c r="I20" s="2">
        <v>0</v>
      </c>
      <c r="J20" s="2">
        <v>0</v>
      </c>
    </row>
    <row r="21" spans="1:10" x14ac:dyDescent="0.25">
      <c r="A21">
        <v>8</v>
      </c>
      <c r="B21" s="7">
        <v>0</v>
      </c>
      <c r="C21" s="7">
        <v>0</v>
      </c>
      <c r="H21">
        <v>8</v>
      </c>
      <c r="I21" s="2">
        <v>0</v>
      </c>
      <c r="J21" s="2">
        <v>0</v>
      </c>
    </row>
    <row r="22" spans="1:10" x14ac:dyDescent="0.25">
      <c r="A22">
        <v>9</v>
      </c>
      <c r="B22" s="4">
        <v>0</v>
      </c>
      <c r="C22" s="4">
        <v>0</v>
      </c>
      <c r="H22">
        <v>9</v>
      </c>
      <c r="I22" s="1">
        <f>I14</f>
        <v>0</v>
      </c>
      <c r="J22" s="1">
        <f>J14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topLeftCell="A22" zoomScale="85" zoomScaleNormal="85" workbookViewId="0">
      <selection activeCell="W4" sqref="W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7109375" bestFit="1" customWidth="1"/>
    <col min="24" max="24" width="13.5703125" bestFit="1" customWidth="1"/>
    <col min="25" max="25" width="11.28515625" customWidth="1"/>
    <col min="26" max="27" width="11.7109375" bestFit="1" customWidth="1"/>
    <col min="28" max="28" width="12.7109375" bestFit="1" customWidth="1"/>
    <col min="29" max="29" width="13.5703125" bestFit="1" customWidth="1"/>
    <col min="30" max="30" width="13.85546875" bestFit="1" customWidth="1"/>
    <col min="31" max="31" width="14.5703125" bestFit="1" customWidth="1"/>
    <col min="38" max="38" width="12.85546875" bestFit="1" customWidth="1"/>
  </cols>
  <sheetData>
    <row r="1" spans="1:40" x14ac:dyDescent="0.25">
      <c r="A1" t="s">
        <v>101</v>
      </c>
      <c r="V1" s="63" t="s">
        <v>204</v>
      </c>
    </row>
    <row r="2" spans="1:40" x14ac:dyDescent="0.25">
      <c r="A2" s="10" t="s">
        <v>78</v>
      </c>
      <c r="B2" s="2">
        <v>50</v>
      </c>
      <c r="C2" t="s">
        <v>36</v>
      </c>
      <c r="D2" t="s">
        <v>103</v>
      </c>
      <c r="G2" s="1" t="s">
        <v>205</v>
      </c>
      <c r="H2" s="10" t="s">
        <v>186</v>
      </c>
      <c r="I2">
        <f>B2/D22</f>
        <v>0.55096418732782371</v>
      </c>
      <c r="J2" t="s">
        <v>11</v>
      </c>
      <c r="N2" t="s">
        <v>188</v>
      </c>
      <c r="V2" t="s">
        <v>214</v>
      </c>
      <c r="W2" s="62">
        <v>5</v>
      </c>
      <c r="X2" s="10" t="s">
        <v>22</v>
      </c>
    </row>
    <row r="3" spans="1:40" x14ac:dyDescent="0.25">
      <c r="A3" s="10" t="s">
        <v>79</v>
      </c>
      <c r="B3" s="2">
        <v>0</v>
      </c>
      <c r="C3" t="s">
        <v>102</v>
      </c>
      <c r="D3" t="str">
        <f>"- Mx puts compression on +y"</f>
        <v>- Mx puts compression on +y</v>
      </c>
      <c r="G3" s="4">
        <f>B3/12</f>
        <v>0</v>
      </c>
      <c r="H3" s="10" t="s">
        <v>177</v>
      </c>
      <c r="I3" s="3">
        <f>B9-E22</f>
        <v>-1.833333333333333</v>
      </c>
      <c r="J3" t="s">
        <v>22</v>
      </c>
      <c r="K3" t="s">
        <v>179</v>
      </c>
      <c r="L3" s="4">
        <f>B2*I3</f>
        <v>-91.666666666666657</v>
      </c>
      <c r="M3" t="str">
        <f>"+My"</f>
        <v>+My</v>
      </c>
      <c r="N3" s="4">
        <f>L3+B4</f>
        <v>-91.666666666666657</v>
      </c>
      <c r="O3" t="s">
        <v>102</v>
      </c>
      <c r="V3" t="s">
        <v>215</v>
      </c>
      <c r="W3" s="62">
        <v>4</v>
      </c>
      <c r="X3" s="10" t="s">
        <v>22</v>
      </c>
    </row>
    <row r="4" spans="1:40" x14ac:dyDescent="0.25">
      <c r="A4" s="10" t="s">
        <v>80</v>
      </c>
      <c r="B4" s="2">
        <v>0</v>
      </c>
      <c r="C4" t="s">
        <v>102</v>
      </c>
      <c r="D4" t="str">
        <f>"- My puts compression on -x"</f>
        <v>- My puts compression on -x</v>
      </c>
      <c r="G4" s="4">
        <f>B4/12</f>
        <v>0</v>
      </c>
      <c r="H4" s="10" t="s">
        <v>178</v>
      </c>
      <c r="I4" s="3">
        <f>C9-F22</f>
        <v>1.833333333333333</v>
      </c>
      <c r="J4" t="s">
        <v>22</v>
      </c>
      <c r="K4" t="s">
        <v>180</v>
      </c>
      <c r="L4" s="4">
        <f>B2*I4*-1</f>
        <v>-91.666666666666657</v>
      </c>
      <c r="M4" t="str">
        <f>"+Mx"</f>
        <v>+Mx</v>
      </c>
      <c r="N4" s="4">
        <f>B3+L4</f>
        <v>-91.666666666666657</v>
      </c>
      <c r="O4" t="s">
        <v>102</v>
      </c>
      <c r="V4" s="10" t="s">
        <v>79</v>
      </c>
      <c r="W4" s="1">
        <f>(300/1000)*(18+W3/2)</f>
        <v>6</v>
      </c>
      <c r="X4" s="16" t="s">
        <v>102</v>
      </c>
    </row>
    <row r="5" spans="1:40" x14ac:dyDescent="0.25">
      <c r="A5" s="10" t="s">
        <v>104</v>
      </c>
      <c r="B5" s="20">
        <f>IF(AND(B3=0,B4=0),0,ATAN2(B3,B4))</f>
        <v>0</v>
      </c>
      <c r="C5" t="s">
        <v>19</v>
      </c>
      <c r="M5" s="10" t="s">
        <v>104</v>
      </c>
      <c r="N5" s="20">
        <f>IF(AND(N4=0,N3=0),0,ATAN2(N4,N3))</f>
        <v>-2.3561944901923448</v>
      </c>
      <c r="O5" t="s">
        <v>19</v>
      </c>
      <c r="P5" t="s">
        <v>187</v>
      </c>
      <c r="V5" s="10" t="s">
        <v>80</v>
      </c>
      <c r="W5" s="1">
        <f>(300/1000)*(18+W2/2)</f>
        <v>6.1499999999999995</v>
      </c>
      <c r="X5" s="16" t="s">
        <v>102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</row>
    <row r="9" spans="1:40" x14ac:dyDescent="0.25">
      <c r="B9" s="2">
        <f>5.5/2</f>
        <v>2.75</v>
      </c>
      <c r="C9" s="2">
        <f>5.5+B9</f>
        <v>8.25</v>
      </c>
      <c r="D9" t="s">
        <v>21</v>
      </c>
    </row>
    <row r="11" spans="1:40" x14ac:dyDescent="0.25">
      <c r="A11" t="s">
        <v>0</v>
      </c>
      <c r="B11" t="s">
        <v>203</v>
      </c>
      <c r="E11" s="59" t="str">
        <f>IF(D22&lt;0,"Plate Coordinates entered in the wrong order","")</f>
        <v/>
      </c>
      <c r="N11" t="s">
        <v>176</v>
      </c>
      <c r="AD11" t="s">
        <v>181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182</v>
      </c>
      <c r="AE12" s="18"/>
      <c r="AG12" s="18" t="s">
        <v>183</v>
      </c>
      <c r="AH12" s="18" t="s">
        <v>184</v>
      </c>
      <c r="AK12" s="18" t="s">
        <v>185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G22-(D22*F22*F22)</f>
        <v>838.80729166666652</v>
      </c>
      <c r="O13" s="19">
        <f>H22-(D22*E22*E22)</f>
        <v>838.80729166666674</v>
      </c>
      <c r="P13" s="19">
        <f>I22-(D22*E22*F22)</f>
        <v>305.02083333333303</v>
      </c>
      <c r="Q13" s="19">
        <f>N13+O13</f>
        <v>1677.6145833333333</v>
      </c>
      <c r="R13" s="19">
        <f>SQRT(ABS(N13/D22))</f>
        <v>3.0402393911591163</v>
      </c>
      <c r="S13" s="19">
        <f>SQRT(O13/D22)</f>
        <v>3.0402393911591168</v>
      </c>
      <c r="T13" s="19">
        <f>SQRT(Q13/D22)</f>
        <v>4.2995477798381438</v>
      </c>
      <c r="U13" s="19">
        <f>N13/(MAX(C13:C20)-F22)</f>
        <v>183.01249999999999</v>
      </c>
      <c r="V13" s="19">
        <f>N13/(MIN(C13:C20)-F22)</f>
        <v>-130.72321428571425</v>
      </c>
      <c r="W13" s="19">
        <f>O13/(MIN(B13:B20)-E22)</f>
        <v>-183.01250000000002</v>
      </c>
      <c r="X13" s="19">
        <f>O13/(MAX(B13:B20)-E22)</f>
        <v>130.72321428571428</v>
      </c>
    </row>
    <row r="14" spans="1:40" x14ac:dyDescent="0.25">
      <c r="A14">
        <v>2</v>
      </c>
      <c r="B14" s="7">
        <v>5.5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L14">
        <f>IF(AND(B14=B15,C14=C15),0,1)</f>
        <v>1</v>
      </c>
      <c r="Y14" s="1">
        <f>$N$13/(C14-$F$22)</f>
        <v>-130.72321428571425</v>
      </c>
      <c r="Z14">
        <f>$O$13/(B14-$E$22)</f>
        <v>915.06249999999977</v>
      </c>
      <c r="AA14">
        <f>-1*$B$3/Y14</f>
        <v>0</v>
      </c>
      <c r="AB14">
        <f>$B$4/Z14</f>
        <v>0</v>
      </c>
      <c r="AC14">
        <f>$I$2+AG14+AK14</f>
        <v>-0.70838252656434397</v>
      </c>
      <c r="AD14" s="9">
        <f>C14-$F$22</f>
        <v>-6.416666666666667</v>
      </c>
      <c r="AE14">
        <f>(AD14*$N$4*$O$13)/(($N$13*$O$13)-($P$13*$P$13))</f>
        <v>0.80808080808080784</v>
      </c>
      <c r="AF14">
        <f>(AD14*$N$3*$P$13)/(($N$13*$O$13)-($P$13*$P$13))</f>
        <v>0.29384756657483896</v>
      </c>
      <c r="AG14">
        <f>(AE14+AF14)*-1</f>
        <v>-1.1019283746556467</v>
      </c>
      <c r="AH14" s="9">
        <f>B14-$E$22</f>
        <v>0.91666666666666696</v>
      </c>
      <c r="AI14">
        <f>(-1*AH14*$N$3*$N$13)/(($N$13*$O$13)-($P$13*$P$13))</f>
        <v>0.11544011544011543</v>
      </c>
      <c r="AJ14">
        <f>(-1*AH14*$N$4*$P$13)/(($N$13*$O$13)-($P$13*$P$13))</f>
        <v>4.1978223796405575E-2</v>
      </c>
      <c r="AK14">
        <f>(AI14+AJ14)*-1</f>
        <v>-0.15741833923652099</v>
      </c>
      <c r="AM14">
        <f>AA14+AB14+$I$2</f>
        <v>0.55096418732782371</v>
      </c>
      <c r="AN14" t="b">
        <f>AM14=AC14</f>
        <v>0</v>
      </c>
    </row>
    <row r="15" spans="1:40" x14ac:dyDescent="0.25">
      <c r="A15">
        <v>3</v>
      </c>
      <c r="B15" s="7">
        <v>5.5</v>
      </c>
      <c r="C15" s="7">
        <v>5.5</v>
      </c>
      <c r="D15" s="5">
        <f t="shared" ref="D15:D18" si="0">((B14*C15)-(B15*C14))*0.5</f>
        <v>15.125</v>
      </c>
      <c r="E15" s="5">
        <f t="shared" ref="E15:E18" si="1">(B15+B14)*((B14*C15)-(B15*C14))*(1/6)</f>
        <v>55.458333333333329</v>
      </c>
      <c r="F15" s="5">
        <f t="shared" ref="F15:F18" si="2">(C15+C14)*((B14*C15)-(B15*C14))*(1/6)</f>
        <v>27.729166666666664</v>
      </c>
      <c r="G15" s="5">
        <f t="shared" ref="G15:G18" si="3">(((C14*C14)+(C14*C15)+(C15*C15))*((B14*C15)-(B15*C14)))/12</f>
        <v>76.255208333333329</v>
      </c>
      <c r="H15" s="5">
        <f t="shared" ref="H15:H18" si="4">(((B14*B14)+(B14*B15)+(B15*B15))*((B14*C15)-(B15*C14)))/12</f>
        <v>228.765625</v>
      </c>
      <c r="I15" s="5">
        <f t="shared" ref="I15:I18" si="5">(((B14*C15)+(2*B14*C14)+(2*B15*C15)+(B15*C14))*((B14*C15)-(B15*C14)))/24</f>
        <v>114.3828125</v>
      </c>
      <c r="J15" s="5">
        <f t="shared" ref="J15:J18" si="6">G15+H15</f>
        <v>305.02083333333331</v>
      </c>
      <c r="K15">
        <f t="shared" ref="K15:K21" si="7">ATAN2((B15-$E$22),(C15-$F$22))</f>
        <v>-0.78539816339744828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-915.06249999999955</v>
      </c>
      <c r="Z15">
        <f t="shared" ref="Z15:Z21" si="10">$O$13/(B15-$E$22)</f>
        <v>915.06249999999977</v>
      </c>
      <c r="AA15">
        <f t="shared" ref="AA15:AA21" si="11">-1*$B$3/Y15</f>
        <v>0</v>
      </c>
      <c r="AB15">
        <f t="shared" ref="AB15:AB21" si="12">$B$4/Z15</f>
        <v>0</v>
      </c>
      <c r="AC15">
        <f t="shared" ref="AC15:AC21" si="13">$I$2+AG15+AK15</f>
        <v>0.23612750885478168</v>
      </c>
      <c r="AD15" s="9">
        <f t="shared" ref="AD15:AD21" si="14">C15-$F$22</f>
        <v>-0.91666666666666696</v>
      </c>
      <c r="AE15">
        <f t="shared" ref="AE15:AE21" si="15">(AD15*$N$4*$O$13)/(($N$13*$O$13)-($P$13*$P$13))</f>
        <v>0.11544011544011544</v>
      </c>
      <c r="AF15">
        <f t="shared" ref="AF15:AF21" si="16">(AD15*$N$3*$P$13)/(($N$13*$O$13)-($P$13*$P$13))</f>
        <v>4.1978223796405575E-2</v>
      </c>
      <c r="AG15">
        <f t="shared" ref="AG15:AG21" si="17">(AE15+AF15)*-1</f>
        <v>-0.15741833923652102</v>
      </c>
      <c r="AH15" s="9">
        <f t="shared" ref="AH15:AH21" si="18">B15-$E$22</f>
        <v>0.91666666666666696</v>
      </c>
      <c r="AI15">
        <f t="shared" ref="AI15:AI21" si="19">(-1*AH15*$N$3*$N$13)/(($N$13*$O$13)-($P$13*$P$13))</f>
        <v>0.11544011544011543</v>
      </c>
      <c r="AJ15">
        <f t="shared" ref="AJ15:AJ21" si="20">(-1*AH15*$N$4*$P$13)/(($N$13*$O$13)-($P$13*$P$13))</f>
        <v>4.1978223796405575E-2</v>
      </c>
      <c r="AK15">
        <f t="shared" ref="AK15:AK21" si="21">(AI15+AJ15)*-1</f>
        <v>-0.15741833923652099</v>
      </c>
      <c r="AM15">
        <f t="shared" ref="AM15:AM21" si="22">AA15+AB15+$I$2</f>
        <v>0.55096418732782371</v>
      </c>
      <c r="AN15" t="b">
        <f t="shared" ref="AN15:AN21" si="23">AM15=AC15</f>
        <v>0</v>
      </c>
    </row>
    <row r="16" spans="1:40" x14ac:dyDescent="0.25">
      <c r="A16">
        <v>4</v>
      </c>
      <c r="B16" s="7">
        <v>11</v>
      </c>
      <c r="C16" s="7"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-915.06249999999955</v>
      </c>
      <c r="Z16">
        <f t="shared" si="10"/>
        <v>130.72321428571428</v>
      </c>
      <c r="AA16">
        <f t="shared" si="11"/>
        <v>0</v>
      </c>
      <c r="AB16">
        <f t="shared" si="12"/>
        <v>0</v>
      </c>
      <c r="AC16">
        <f t="shared" si="13"/>
        <v>-0.70838252656434408</v>
      </c>
      <c r="AD16" s="9">
        <f t="shared" si="14"/>
        <v>-0.91666666666666696</v>
      </c>
      <c r="AE16">
        <f t="shared" si="15"/>
        <v>0.11544011544011544</v>
      </c>
      <c r="AF16">
        <f t="shared" si="16"/>
        <v>4.1978223796405575E-2</v>
      </c>
      <c r="AG16">
        <f t="shared" si="17"/>
        <v>-0.15741833923652102</v>
      </c>
      <c r="AH16" s="9">
        <f t="shared" si="18"/>
        <v>6.416666666666667</v>
      </c>
      <c r="AI16">
        <f t="shared" si="19"/>
        <v>0.80808080808080773</v>
      </c>
      <c r="AJ16">
        <f t="shared" si="20"/>
        <v>0.29384756657483896</v>
      </c>
      <c r="AK16">
        <f t="shared" si="21"/>
        <v>-1.1019283746556467</v>
      </c>
      <c r="AM16">
        <f t="shared" si="22"/>
        <v>0.55096418732782371</v>
      </c>
      <c r="AN16" t="b">
        <f t="shared" si="23"/>
        <v>0</v>
      </c>
    </row>
    <row r="17" spans="1:40" x14ac:dyDescent="0.25">
      <c r="A17">
        <v>5</v>
      </c>
      <c r="B17" s="7">
        <v>11</v>
      </c>
      <c r="C17" s="7"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L17">
        <f t="shared" si="8"/>
        <v>1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9"/>
        <v>183.01249999999999</v>
      </c>
      <c r="Z17">
        <f t="shared" si="10"/>
        <v>130.72321428571428</v>
      </c>
      <c r="AA17">
        <f t="shared" si="11"/>
        <v>0</v>
      </c>
      <c r="AB17">
        <f t="shared" si="12"/>
        <v>0</v>
      </c>
      <c r="AC17">
        <f t="shared" si="13"/>
        <v>0.23612750885478162</v>
      </c>
      <c r="AD17" s="9">
        <f t="shared" si="14"/>
        <v>4.583333333333333</v>
      </c>
      <c r="AE17">
        <f t="shared" si="15"/>
        <v>-0.57720057720057694</v>
      </c>
      <c r="AF17">
        <f t="shared" si="16"/>
        <v>-0.20989111898202775</v>
      </c>
      <c r="AG17">
        <f t="shared" si="17"/>
        <v>0.78709169618260466</v>
      </c>
      <c r="AH17" s="9">
        <f t="shared" si="18"/>
        <v>6.416666666666667</v>
      </c>
      <c r="AI17">
        <f t="shared" si="19"/>
        <v>0.80808080808080773</v>
      </c>
      <c r="AJ17">
        <f t="shared" si="20"/>
        <v>0.29384756657483896</v>
      </c>
      <c r="AK17">
        <f t="shared" si="21"/>
        <v>-1.1019283746556467</v>
      </c>
      <c r="AM17">
        <f t="shared" si="22"/>
        <v>0.55096418732782371</v>
      </c>
      <c r="AN17" t="b">
        <f t="shared" si="23"/>
        <v>0</v>
      </c>
    </row>
    <row r="18" spans="1:40" x14ac:dyDescent="0.25">
      <c r="A18">
        <v>6</v>
      </c>
      <c r="B18" s="7">
        <v>0</v>
      </c>
      <c r="C18" s="7"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L18">
        <f t="shared" si="8"/>
        <v>1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183.01249999999999</v>
      </c>
      <c r="Z18">
        <f t="shared" si="10"/>
        <v>-183.01250000000002</v>
      </c>
      <c r="AA18">
        <f t="shared" si="11"/>
        <v>0</v>
      </c>
      <c r="AB18">
        <f t="shared" si="12"/>
        <v>0</v>
      </c>
      <c r="AC18">
        <f t="shared" si="13"/>
        <v>2.1251475796930328</v>
      </c>
      <c r="AD18" s="9">
        <f t="shared" si="14"/>
        <v>4.583333333333333</v>
      </c>
      <c r="AE18">
        <f t="shared" si="15"/>
        <v>-0.57720057720057694</v>
      </c>
      <c r="AF18">
        <f t="shared" si="16"/>
        <v>-0.20989111898202775</v>
      </c>
      <c r="AG18">
        <f t="shared" si="17"/>
        <v>0.78709169618260466</v>
      </c>
      <c r="AH18" s="9">
        <f t="shared" si="18"/>
        <v>-4.583333333333333</v>
      </c>
      <c r="AI18">
        <f t="shared" si="19"/>
        <v>-0.57720057720057683</v>
      </c>
      <c r="AJ18">
        <f t="shared" si="20"/>
        <v>-0.20989111898202775</v>
      </c>
      <c r="AK18">
        <f t="shared" si="21"/>
        <v>0.78709169618260455</v>
      </c>
      <c r="AM18">
        <f t="shared" si="22"/>
        <v>0.55096418732782371</v>
      </c>
      <c r="AN18" t="b">
        <f t="shared" si="23"/>
        <v>0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-2.1910458127777179</v>
      </c>
      <c r="L19">
        <f t="shared" si="8"/>
        <v>0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9"/>
        <v>-130.72321428571425</v>
      </c>
      <c r="Z19">
        <f t="shared" si="10"/>
        <v>-183.01250000000002</v>
      </c>
      <c r="AA19">
        <f t="shared" si="11"/>
        <v>0</v>
      </c>
      <c r="AB19">
        <f t="shared" si="12"/>
        <v>0</v>
      </c>
      <c r="AC19">
        <f t="shared" si="13"/>
        <v>0.23612750885478151</v>
      </c>
      <c r="AD19" s="9">
        <f t="shared" si="14"/>
        <v>-6.416666666666667</v>
      </c>
      <c r="AE19">
        <f t="shared" si="15"/>
        <v>0.80808080808080784</v>
      </c>
      <c r="AF19">
        <f t="shared" si="16"/>
        <v>0.29384756657483896</v>
      </c>
      <c r="AG19">
        <f t="shared" si="17"/>
        <v>-1.1019283746556467</v>
      </c>
      <c r="AH19" s="9">
        <f t="shared" si="18"/>
        <v>-4.583333333333333</v>
      </c>
      <c r="AI19">
        <f t="shared" si="19"/>
        <v>-0.57720057720057683</v>
      </c>
      <c r="AJ19">
        <f t="shared" si="20"/>
        <v>-0.20989111898202775</v>
      </c>
      <c r="AK19">
        <f t="shared" si="21"/>
        <v>0.78709169618260455</v>
      </c>
      <c r="AM19">
        <f t="shared" si="22"/>
        <v>0.55096418732782371</v>
      </c>
      <c r="AN19" t="b">
        <f t="shared" si="23"/>
        <v>0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-2.1910458127777179</v>
      </c>
      <c r="L20">
        <f t="shared" si="8"/>
        <v>0</v>
      </c>
      <c r="Y20" s="1">
        <f t="shared" si="9"/>
        <v>-130.72321428571425</v>
      </c>
      <c r="Z20">
        <f t="shared" si="10"/>
        <v>-183.01250000000002</v>
      </c>
      <c r="AA20">
        <f t="shared" si="11"/>
        <v>0</v>
      </c>
      <c r="AB20">
        <f t="shared" si="12"/>
        <v>0</v>
      </c>
      <c r="AC20">
        <f t="shared" si="13"/>
        <v>0.23612750885478151</v>
      </c>
      <c r="AD20" s="9">
        <f t="shared" si="14"/>
        <v>-6.416666666666667</v>
      </c>
      <c r="AE20">
        <f t="shared" si="15"/>
        <v>0.80808080808080784</v>
      </c>
      <c r="AF20">
        <f t="shared" si="16"/>
        <v>0.29384756657483896</v>
      </c>
      <c r="AG20">
        <f t="shared" si="17"/>
        <v>-1.1019283746556467</v>
      </c>
      <c r="AH20" s="9">
        <f t="shared" si="18"/>
        <v>-4.583333333333333</v>
      </c>
      <c r="AI20">
        <f t="shared" si="19"/>
        <v>-0.57720057720057683</v>
      </c>
      <c r="AJ20">
        <f t="shared" si="20"/>
        <v>-0.20989111898202775</v>
      </c>
      <c r="AK20">
        <f t="shared" si="21"/>
        <v>0.78709169618260455</v>
      </c>
      <c r="AM20">
        <f t="shared" si="22"/>
        <v>0.55096418732782371</v>
      </c>
      <c r="AN20" t="b">
        <f t="shared" si="23"/>
        <v>0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-2.1910458127777179</v>
      </c>
      <c r="L21">
        <v>1</v>
      </c>
      <c r="Y21" s="1">
        <f t="shared" si="9"/>
        <v>-130.72321428571425</v>
      </c>
      <c r="Z21">
        <f t="shared" si="10"/>
        <v>-183.01250000000002</v>
      </c>
      <c r="AA21">
        <f t="shared" si="11"/>
        <v>0</v>
      </c>
      <c r="AB21">
        <f t="shared" si="12"/>
        <v>0</v>
      </c>
      <c r="AC21">
        <f t="shared" si="13"/>
        <v>0.23612750885478151</v>
      </c>
      <c r="AD21" s="9">
        <f t="shared" si="14"/>
        <v>-6.416666666666667</v>
      </c>
      <c r="AE21">
        <f t="shared" si="15"/>
        <v>0.80808080808080784</v>
      </c>
      <c r="AF21">
        <f t="shared" si="16"/>
        <v>0.29384756657483896</v>
      </c>
      <c r="AG21">
        <f t="shared" si="17"/>
        <v>-1.1019283746556467</v>
      </c>
      <c r="AH21" s="9">
        <f t="shared" si="18"/>
        <v>-4.583333333333333</v>
      </c>
      <c r="AI21">
        <f t="shared" si="19"/>
        <v>-0.57720057720057683</v>
      </c>
      <c r="AJ21">
        <f t="shared" si="20"/>
        <v>-0.20989111898202775</v>
      </c>
      <c r="AK21">
        <f t="shared" si="21"/>
        <v>0.78709169618260455</v>
      </c>
      <c r="AM21">
        <f t="shared" si="22"/>
        <v>0.55096418732782371</v>
      </c>
      <c r="AN21" t="b">
        <f t="shared" si="23"/>
        <v>0</v>
      </c>
    </row>
    <row r="22" spans="1:40" x14ac:dyDescent="0.25">
      <c r="D22" s="5">
        <f>SUM(D13:D21)</f>
        <v>90.75</v>
      </c>
      <c r="E22" s="3">
        <f>SUM(E14:E21)/D22</f>
        <v>4.583333333333333</v>
      </c>
      <c r="F22" s="3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  <c r="AC22">
        <f>COUNTIF(AC14:AC21,"&gt;0")</f>
        <v>6</v>
      </c>
    </row>
    <row r="23" spans="1:40" x14ac:dyDescent="0.25">
      <c r="A23" t="s">
        <v>133</v>
      </c>
      <c r="B23" t="s">
        <v>202</v>
      </c>
      <c r="D23" s="5"/>
      <c r="E23" s="60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2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50 kips
Mx: 0 kip-in
My: 0 kip-in</v>
      </c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  <c r="AC26">
        <f>MAX(AC14:AC21)</f>
        <v>2.1251475796930328</v>
      </c>
      <c r="AD26">
        <f>COUNTIFS(AC14:AC21,AC26,L14:L21,1)</f>
        <v>1</v>
      </c>
      <c r="AE26">
        <f>SUMIF(AC14:AC21,AC26,B14:B21)/AD26</f>
        <v>0</v>
      </c>
      <c r="AF26">
        <f>SUMIF(AC14:AC21,AC26,C14:C21)/AD26</f>
        <v>11</v>
      </c>
      <c r="AG26" t="s">
        <v>200</v>
      </c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5">((B26*C27)-(B27*C26))*0.5</f>
        <v>0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-0.70838252656434408</v>
      </c>
      <c r="AD27">
        <f>COUNTIFS(AC14:AC21,AC27,L14:L21,1)</f>
        <v>2</v>
      </c>
      <c r="AE27">
        <f>SUMIF(AC14:AC21,AC27,B14:B21)/AD27</f>
        <v>8.25</v>
      </c>
      <c r="AF27">
        <f>SUMIF(AC14:AC21,AC27,C14:C21)/AD27</f>
        <v>2.75</v>
      </c>
      <c r="AG27" t="s">
        <v>199</v>
      </c>
    </row>
    <row r="28" spans="1:40" x14ac:dyDescent="0.25">
      <c r="A28">
        <v>4</v>
      </c>
      <c r="B28" s="2">
        <v>0</v>
      </c>
      <c r="C28" s="2">
        <v>0</v>
      </c>
      <c r="D28" s="5">
        <f t="shared" si="45"/>
        <v>0</v>
      </c>
      <c r="E28" s="5"/>
      <c r="F28" s="5"/>
      <c r="G28" s="5"/>
      <c r="H28" s="5"/>
      <c r="I28" s="5"/>
      <c r="J28" s="5"/>
      <c r="AJ28" t="s">
        <v>192</v>
      </c>
    </row>
    <row r="29" spans="1:40" x14ac:dyDescent="0.25">
      <c r="A29">
        <v>5</v>
      </c>
      <c r="B29" s="2">
        <v>0</v>
      </c>
      <c r="C29" s="2">
        <v>0</v>
      </c>
      <c r="D29" s="5">
        <f t="shared" si="45"/>
        <v>0</v>
      </c>
      <c r="E29" s="5"/>
      <c r="F29" s="5"/>
      <c r="G29" s="5"/>
      <c r="H29" s="5"/>
      <c r="I29" s="5"/>
      <c r="J29" s="5"/>
      <c r="AD29" t="s">
        <v>196</v>
      </c>
      <c r="AE29">
        <f>SQRT(POWER(AE27-AE26,2)+POWER(AF27-AF26,2))</f>
        <v>11.667261889578034</v>
      </c>
      <c r="AG29">
        <f>(AE27-AE26)</f>
        <v>8.25</v>
      </c>
      <c r="AH29">
        <f>AF27-AF26</f>
        <v>-8.25</v>
      </c>
      <c r="AJ29">
        <f>AG29/AE29</f>
        <v>0.70710678118654757</v>
      </c>
      <c r="AK29">
        <f>AH29/AE29</f>
        <v>-0.70710678118654757</v>
      </c>
    </row>
    <row r="30" spans="1:40" x14ac:dyDescent="0.25">
      <c r="A30">
        <v>6</v>
      </c>
      <c r="B30" s="2">
        <v>0</v>
      </c>
      <c r="C30" s="2">
        <v>0</v>
      </c>
      <c r="D30" s="5">
        <f t="shared" si="45"/>
        <v>0</v>
      </c>
      <c r="E30" s="5"/>
      <c r="F30" s="5"/>
      <c r="G30" s="5"/>
      <c r="H30" s="5"/>
      <c r="I30" s="5"/>
      <c r="J30" s="5"/>
      <c r="Q30" s="61" t="str">
        <f ca="1"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5.525 ksi &gt; 2.4606 ksi
Design Status: OK
SOLUTION FOUND</v>
      </c>
      <c r="AD30" t="s">
        <v>197</v>
      </c>
      <c r="AE30">
        <f>(AC27-AC26)/AE29</f>
        <v>-0.24286161852494906</v>
      </c>
    </row>
    <row r="31" spans="1:40" x14ac:dyDescent="0.25">
      <c r="A31">
        <v>7</v>
      </c>
      <c r="B31" s="2">
        <v>0</v>
      </c>
      <c r="C31" s="2">
        <v>0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-0.78539816339744828</v>
      </c>
      <c r="AK31" t="s">
        <v>193</v>
      </c>
    </row>
    <row r="32" spans="1:40" x14ac:dyDescent="0.25">
      <c r="A32">
        <v>8</v>
      </c>
      <c r="B32" s="2">
        <v>0</v>
      </c>
      <c r="C32" s="2">
        <v>0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189</v>
      </c>
      <c r="AE32">
        <f>IF(AND(AG29=0,AH29=0),0,(-1*AC26/AE30))</f>
        <v>8.750446417183527</v>
      </c>
      <c r="AF32" t="s">
        <v>195</v>
      </c>
      <c r="AJ32">
        <f>AJ31+(PI()/2)</f>
        <v>0.78539816339744828</v>
      </c>
      <c r="AK32" t="s">
        <v>194</v>
      </c>
    </row>
    <row r="33" spans="1:40" x14ac:dyDescent="0.25">
      <c r="A33">
        <v>9</v>
      </c>
      <c r="B33" s="1">
        <f>B25</f>
        <v>0</v>
      </c>
      <c r="C33" s="1">
        <f>C25</f>
        <v>0</v>
      </c>
      <c r="D33" s="5">
        <f t="shared" si="45"/>
        <v>0</v>
      </c>
      <c r="E33" s="5"/>
      <c r="F33" s="5"/>
      <c r="G33" s="5"/>
      <c r="H33" s="5"/>
      <c r="I33" s="5"/>
      <c r="J33" s="5"/>
      <c r="V33" s="65" t="s">
        <v>222</v>
      </c>
      <c r="AJ33">
        <f>AJ31-(PI()/2)</f>
        <v>-2.3561944901923448</v>
      </c>
    </row>
    <row r="34" spans="1:40" x14ac:dyDescent="0.25">
      <c r="D34" s="5">
        <f>SUM(D25:D33)</f>
        <v>0</v>
      </c>
      <c r="E34" s="5"/>
      <c r="F34" s="5"/>
      <c r="G34" s="5"/>
      <c r="H34" s="5"/>
      <c r="I34" s="5"/>
      <c r="J34" s="5"/>
      <c r="V34" s="1" t="s">
        <v>221</v>
      </c>
      <c r="W34" s="3">
        <f>SQRT(D22/W36)</f>
        <v>10.650704202070397</v>
      </c>
      <c r="X34" t="s">
        <v>224</v>
      </c>
      <c r="AD34" t="s">
        <v>198</v>
      </c>
      <c r="AE34">
        <f>AE32/AE29</f>
        <v>0.75000000000000011</v>
      </c>
    </row>
    <row r="35" spans="1:40" x14ac:dyDescent="0.25">
      <c r="A35" t="s">
        <v>4</v>
      </c>
      <c r="Q35" t="s">
        <v>25</v>
      </c>
      <c r="T35" t="s">
        <v>14</v>
      </c>
      <c r="V35" s="1" t="s">
        <v>201</v>
      </c>
      <c r="W35" s="68">
        <v>3.3633639700014673</v>
      </c>
      <c r="X35" s="1" t="s">
        <v>22</v>
      </c>
      <c r="AE35" t="s">
        <v>190</v>
      </c>
      <c r="AF35" t="s">
        <v>191</v>
      </c>
    </row>
    <row r="36" spans="1:40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V36" s="1" t="s">
        <v>216</v>
      </c>
      <c r="W36" s="66">
        <f>W3/W2</f>
        <v>0.8</v>
      </c>
      <c r="X36" s="64" t="s">
        <v>223</v>
      </c>
      <c r="AE36">
        <f>AE26+(AE34*(AE27-AE26))</f>
        <v>6.1875000000000009</v>
      </c>
      <c r="AF36">
        <f>AF26+(AE34*(AF27-AF26))</f>
        <v>4.8124999999999991</v>
      </c>
      <c r="AI36">
        <f>MAX(B13:C21)*-1</f>
        <v>-11</v>
      </c>
      <c r="AJ36">
        <f>AE36+(AI36*COS(AJ32))</f>
        <v>-1.5906745930520225</v>
      </c>
      <c r="AK36">
        <f>AF36+(AI36*SIN(AJ32))</f>
        <v>-2.9656745930520225</v>
      </c>
    </row>
    <row r="37" spans="1:40" x14ac:dyDescent="0.25">
      <c r="A37">
        <v>1</v>
      </c>
      <c r="B37" s="7">
        <f>5.5/2</f>
        <v>2.75</v>
      </c>
      <c r="C37" s="7">
        <v>2</v>
      </c>
      <c r="D37" s="13" t="s">
        <v>2</v>
      </c>
      <c r="Q37" s="12">
        <f>IF($D37="y",B37,NA())</f>
        <v>2.75</v>
      </c>
      <c r="R37" s="12">
        <f>IF($D37="y",C37,NA())</f>
        <v>2</v>
      </c>
      <c r="T37" s="4">
        <f>MAX(MAX(B13:B20),MAX(C13:C20))</f>
        <v>11</v>
      </c>
      <c r="U37" s="1">
        <f>T37</f>
        <v>11</v>
      </c>
      <c r="V37" s="1" t="s">
        <v>217</v>
      </c>
      <c r="W37" s="67">
        <f>W35*(W36*W35)</f>
        <v>9.0497737557632245</v>
      </c>
      <c r="X37" s="1" t="s">
        <v>22</v>
      </c>
      <c r="AA37" t="str">
        <f>IF(W44=0,"Reduced Bearing Area","")</f>
        <v>Reduced Bearing Area</v>
      </c>
      <c r="AI37">
        <f>-1*AI36</f>
        <v>11</v>
      </c>
      <c r="AJ37">
        <f>AE36+(AI37*COS(AJ32))</f>
        <v>13.965674593052025</v>
      </c>
      <c r="AK37">
        <f>AF36+(AI37*SIN(AJ32))</f>
        <v>12.590674593052022</v>
      </c>
    </row>
    <row r="38" spans="1:40" x14ac:dyDescent="0.25">
      <c r="A38">
        <v>2</v>
      </c>
      <c r="B38" s="7">
        <v>9</v>
      </c>
      <c r="C38" s="7">
        <f>5.5+(5.5/2)</f>
        <v>8.25</v>
      </c>
      <c r="D38" s="13" t="s">
        <v>2</v>
      </c>
      <c r="Q38" s="12">
        <f t="shared" ref="Q38:Q48" si="46">IF($D38="y",B38,NA())</f>
        <v>9</v>
      </c>
      <c r="R38" s="12">
        <f t="shared" ref="R38:R48" si="47">IF($D38="y",C38,NA())</f>
        <v>8.25</v>
      </c>
      <c r="V38" s="1" t="s">
        <v>218</v>
      </c>
      <c r="W38" s="3">
        <f>W35*POWER(W36*W35,2)*(1/6)</f>
        <v>4.0583577315731842</v>
      </c>
      <c r="X38" s="1" t="s">
        <v>220</v>
      </c>
      <c r="Y38" s="1" t="s">
        <v>1</v>
      </c>
      <c r="Z38" s="1" t="s">
        <v>2</v>
      </c>
      <c r="AA38" s="1" t="s">
        <v>227</v>
      </c>
      <c r="AB38" s="1" t="s">
        <v>228</v>
      </c>
      <c r="AM38" s="9" cm="1">
        <f t="array" ref="AM38">MAX(ABS(AJ36:AJ37),ABS(AE36),ABS(AE26:AE27),ABS(B13:B21),ABS(C13:C21),ABS(AK36:AK37),ABS(AF36),ABS(AF26:AF27))</f>
        <v>13.965674593052025</v>
      </c>
      <c r="AN38" s="9">
        <f>AM38</f>
        <v>13.965674593052025</v>
      </c>
    </row>
    <row r="39" spans="1:40" x14ac:dyDescent="0.25">
      <c r="A39">
        <v>3</v>
      </c>
      <c r="B39" s="7">
        <v>0</v>
      </c>
      <c r="C39" s="7">
        <v>0</v>
      </c>
      <c r="D39" s="13" t="s">
        <v>15</v>
      </c>
      <c r="Q39" s="12" t="e">
        <f t="shared" si="46"/>
        <v>#N/A</v>
      </c>
      <c r="R39" s="12" t="e">
        <f t="shared" si="47"/>
        <v>#N/A</v>
      </c>
      <c r="V39" s="1" t="s">
        <v>219</v>
      </c>
      <c r="W39" s="3">
        <f>(W36*W35)*POWER(W35,2)*(1/6)</f>
        <v>5.0729471644664814</v>
      </c>
      <c r="X39" s="1" t="s">
        <v>220</v>
      </c>
      <c r="Y39" s="5">
        <v>0</v>
      </c>
      <c r="Z39" s="5">
        <v>0</v>
      </c>
      <c r="AA39" s="5">
        <f>IF($W$44=0,Y39-($Z$45-$B$9),NA())</f>
        <v>1.0683180149992664</v>
      </c>
      <c r="AB39" s="5">
        <f>IF($W$44=0,Z39-($Z$46-$C$9),NA())</f>
        <v>6.9046544119994131</v>
      </c>
      <c r="AC39" s="5"/>
      <c r="AD39" s="5"/>
      <c r="AE39" s="5"/>
      <c r="AM39">
        <f>AM38*-1</f>
        <v>-13.965674593052025</v>
      </c>
      <c r="AN39">
        <f>AM39</f>
        <v>-13.965674593052025</v>
      </c>
    </row>
    <row r="40" spans="1:40" x14ac:dyDescent="0.25">
      <c r="A40">
        <v>4</v>
      </c>
      <c r="B40" s="7">
        <v>0</v>
      </c>
      <c r="C40" s="7">
        <v>0</v>
      </c>
      <c r="D40" s="13" t="s">
        <v>15</v>
      </c>
      <c r="Q40" s="12" t="e">
        <f t="shared" si="46"/>
        <v>#N/A</v>
      </c>
      <c r="R40" s="12" t="e">
        <f t="shared" si="47"/>
        <v>#N/A</v>
      </c>
      <c r="W40" s="3">
        <f>(B2/W37)+(B3/W38)+(B4/W39)</f>
        <v>5.5249999999346047</v>
      </c>
      <c r="X40" s="1" t="s">
        <v>11</v>
      </c>
      <c r="Y40" s="5">
        <f>W35</f>
        <v>3.3633639700014673</v>
      </c>
      <c r="Z40" s="5">
        <v>0</v>
      </c>
      <c r="AA40" s="5">
        <f t="shared" ref="AA40:AA43" si="48">IF($W$44=0,Y40-($Z$45-$B$9),NA())</f>
        <v>4.4316819850007336</v>
      </c>
      <c r="AB40" s="5">
        <f t="shared" ref="AB40:AB43" si="49">IF($W$44=0,Z40-($Z$46-$C$9),NA())</f>
        <v>6.9046544119994131</v>
      </c>
      <c r="AC40" s="5">
        <f>((AA39*AB40)-(AA40*AB39))*0.5</f>
        <v>-11.611432937315247</v>
      </c>
      <c r="AD40" s="5">
        <f>(AA40+AA39)*((AA39*AB40)-(AA40*AB39))*(1/6)</f>
        <v>-21.287627051744618</v>
      </c>
      <c r="AE40" s="5">
        <f>(AB40+AB39)*((AA39*AB40)-(AA40*AB39))*(1/6)</f>
        <v>-53.448621106846005</v>
      </c>
    </row>
    <row r="41" spans="1:40" x14ac:dyDescent="0.25">
      <c r="A41">
        <v>5</v>
      </c>
      <c r="B41" s="7">
        <v>0</v>
      </c>
      <c r="C41" s="7">
        <v>0</v>
      </c>
      <c r="D41" s="13" t="s">
        <v>15</v>
      </c>
      <c r="Q41" s="12" t="e">
        <f t="shared" si="46"/>
        <v>#N/A</v>
      </c>
      <c r="R41" s="12" t="e">
        <f t="shared" si="47"/>
        <v>#N/A</v>
      </c>
      <c r="W41" s="3">
        <f>(B2/W37)-(B3/W38)-(B4/W39)</f>
        <v>5.5249999999346047</v>
      </c>
      <c r="X41" s="1" t="s">
        <v>11</v>
      </c>
      <c r="Y41" s="5">
        <f>W35</f>
        <v>3.3633639700014673</v>
      </c>
      <c r="Z41" s="5">
        <f>W35*W36</f>
        <v>2.6906911760011738</v>
      </c>
      <c r="AA41" s="5">
        <f t="shared" si="48"/>
        <v>4.4316819850007336</v>
      </c>
      <c r="AB41" s="5">
        <f t="shared" si="49"/>
        <v>9.5953455880005869</v>
      </c>
      <c r="AC41" s="5">
        <f t="shared" ref="AC41:AC43" si="50">((AA40*AB41)-(AA41*AB40))*0.5</f>
        <v>5.9621438059424214</v>
      </c>
      <c r="AD41" s="5">
        <f t="shared" ref="AD41:AD43" si="51">(AA41+AA40)*((AA40*AB41)-(AA41*AB40))*(1/6)</f>
        <v>17.614883531185825</v>
      </c>
      <c r="AE41" s="5">
        <f t="shared" ref="AE41:AE43" si="52">(AB41+AB40)*((AA40*AB41)-(AA41*AB40))*(1/6)</f>
        <v>32.791790932683313</v>
      </c>
    </row>
    <row r="42" spans="1:40" x14ac:dyDescent="0.25">
      <c r="A42">
        <v>6</v>
      </c>
      <c r="B42" s="7">
        <v>0</v>
      </c>
      <c r="C42" s="7">
        <v>0</v>
      </c>
      <c r="D42" s="13" t="s">
        <v>15</v>
      </c>
      <c r="Q42" s="12" t="e">
        <f t="shared" si="46"/>
        <v>#N/A</v>
      </c>
      <c r="R42" s="12" t="e">
        <f t="shared" si="47"/>
        <v>#N/A</v>
      </c>
      <c r="W42" s="3">
        <f>(B2/W37)+(B3/W38)-(B4/W39)</f>
        <v>5.5249999999346047</v>
      </c>
      <c r="X42" s="1" t="s">
        <v>11</v>
      </c>
      <c r="Y42" s="5">
        <v>0</v>
      </c>
      <c r="Z42" s="5">
        <f>Z41</f>
        <v>2.6906911760011738</v>
      </c>
      <c r="AA42" s="5">
        <f t="shared" si="48"/>
        <v>1.0683180149992664</v>
      </c>
      <c r="AB42" s="5">
        <f t="shared" si="49"/>
        <v>9.5953455880005869</v>
      </c>
      <c r="AC42" s="5">
        <f t="shared" si="50"/>
        <v>16.13631981519686</v>
      </c>
      <c r="AD42" s="5">
        <f t="shared" si="51"/>
        <v>29.583252994527573</v>
      </c>
      <c r="AE42" s="5">
        <f t="shared" si="52"/>
        <v>103.22237676354376</v>
      </c>
    </row>
    <row r="43" spans="1:40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46"/>
        <v>#N/A</v>
      </c>
      <c r="R43" s="12" t="e">
        <f t="shared" si="47"/>
        <v>#N/A</v>
      </c>
      <c r="W43" s="3">
        <f>(B2/W37)-(B3/W38)+(B4/W39)</f>
        <v>5.5249999999346047</v>
      </c>
      <c r="X43" s="1" t="s">
        <v>11</v>
      </c>
      <c r="Y43" s="5">
        <v>0</v>
      </c>
      <c r="Z43" s="5">
        <v>0</v>
      </c>
      <c r="AA43" s="5">
        <f t="shared" si="48"/>
        <v>1.0683180149992664</v>
      </c>
      <c r="AB43" s="5">
        <f t="shared" si="49"/>
        <v>6.9046544119994131</v>
      </c>
      <c r="AC43" s="5">
        <f t="shared" si="50"/>
        <v>-1.4372569280608078</v>
      </c>
      <c r="AD43" s="5">
        <f t="shared" si="51"/>
        <v>-1.0236316456199104</v>
      </c>
      <c r="AE43" s="5">
        <f t="shared" si="52"/>
        <v>-7.9049131043344421</v>
      </c>
    </row>
    <row r="44" spans="1:40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46"/>
        <v>#N/A</v>
      </c>
      <c r="R44" s="12" t="e">
        <f t="shared" si="47"/>
        <v>#N/A</v>
      </c>
      <c r="W44" s="3">
        <f>COUNTIF(W40:W43,"&lt;0")+COUNTIF(W40:W43,"&gt;"&amp;B61)</f>
        <v>0</v>
      </c>
      <c r="Y44" s="5"/>
      <c r="Z44" s="5"/>
      <c r="AA44" s="5"/>
      <c r="AB44" s="5"/>
      <c r="AC44" s="5">
        <f>SUM(AC40:AC43)</f>
        <v>9.0497737557632263</v>
      </c>
      <c r="AD44" s="5">
        <f>SUM(AD40:AD43)/AC44</f>
        <v>2.7499999999999996</v>
      </c>
      <c r="AE44" s="5">
        <f>SUM(AE40:AE43)/AC44</f>
        <v>8.2500000000000018</v>
      </c>
    </row>
    <row r="45" spans="1:40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6"/>
        <v>#N/A</v>
      </c>
      <c r="R45" s="12" t="e">
        <f t="shared" si="47"/>
        <v>#N/A</v>
      </c>
      <c r="Y45" t="s">
        <v>225</v>
      </c>
      <c r="Z45" s="1">
        <f>Y40/2</f>
        <v>1.6816819850007336</v>
      </c>
      <c r="AC45" s="5" t="b">
        <f>AC44=W37</f>
        <v>0</v>
      </c>
    </row>
    <row r="46" spans="1:40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6"/>
        <v>#N/A</v>
      </c>
      <c r="R46" s="12" t="e">
        <f t="shared" si="47"/>
        <v>#N/A</v>
      </c>
      <c r="Y46" t="s">
        <v>226</v>
      </c>
      <c r="Z46" s="1">
        <f>Z41/2</f>
        <v>1.3453455880005869</v>
      </c>
    </row>
    <row r="47" spans="1:40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6"/>
        <v>#N/A</v>
      </c>
      <c r="R47" s="12" t="e">
        <f t="shared" si="47"/>
        <v>#N/A</v>
      </c>
      <c r="U47" s="1"/>
      <c r="V47" s="1"/>
      <c r="W47" s="1">
        <v>2.0000000001095217</v>
      </c>
      <c r="X47" s="1"/>
    </row>
    <row r="48" spans="1:40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6"/>
        <v>#N/A</v>
      </c>
      <c r="R48" s="12" t="e">
        <f t="shared" si="47"/>
        <v>#N/A</v>
      </c>
    </row>
    <row r="50" spans="1:25" x14ac:dyDescent="0.25">
      <c r="A50" t="s">
        <v>175</v>
      </c>
      <c r="B50" s="13" t="s">
        <v>209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5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165</v>
      </c>
      <c r="Y52" s="54" t="s">
        <v>164</v>
      </c>
    </row>
    <row r="53" spans="1:25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165</v>
      </c>
      <c r="E54" s="47">
        <v>0.5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0.1418988244310414</v>
      </c>
      <c r="C55" t="s">
        <v>67</v>
      </c>
      <c r="D55" s="54" t="s">
        <v>164</v>
      </c>
      <c r="E55" s="1">
        <f ca="1">OFFSET(X52,MATCH(E54,X53:X73,0),1)</f>
        <v>13</v>
      </c>
      <c r="F55" s="7">
        <v>0</v>
      </c>
      <c r="G55" t="s">
        <v>174</v>
      </c>
      <c r="H55" s="48" t="s">
        <v>159</v>
      </c>
      <c r="I55" s="55">
        <f>E164</f>
        <v>1.2079226507921703E-13</v>
      </c>
      <c r="J55" s="49" t="str">
        <f>F164</f>
        <v>kips</v>
      </c>
      <c r="K55" t="s">
        <v>167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7.1178208426024669</v>
      </c>
      <c r="D56" s="54" t="s">
        <v>153</v>
      </c>
      <c r="E56" s="46">
        <f ca="1">IF(F55=0,0.7854*POWER(E54-(0.9743/E55),2),0.7854*POWER(E54-(0.9743/F55),2))</f>
        <v>0.1418988244310414</v>
      </c>
      <c r="F56" t="s">
        <v>67</v>
      </c>
      <c r="H56" s="50" t="s">
        <v>160</v>
      </c>
      <c r="I56" s="56">
        <f t="shared" ref="I56:J57" si="53">E165</f>
        <v>8.4470974277187086E-14</v>
      </c>
      <c r="J56" s="51" t="str">
        <f t="shared" si="53"/>
        <v>kip-in</v>
      </c>
      <c r="X56">
        <v>0.625</v>
      </c>
      <c r="Y56">
        <v>11</v>
      </c>
    </row>
    <row r="57" spans="1:25" ht="15.75" thickBot="1" x14ac:dyDescent="0.3">
      <c r="D57" s="54" t="s">
        <v>154</v>
      </c>
      <c r="E57" s="13" t="s">
        <v>172</v>
      </c>
      <c r="H57" s="52" t="s">
        <v>161</v>
      </c>
      <c r="I57" s="57">
        <f t="shared" si="53"/>
        <v>1.0613825020702321E-13</v>
      </c>
      <c r="J57" s="53" t="str">
        <f t="shared" si="53"/>
        <v>kip-in</v>
      </c>
      <c r="L57" s="1">
        <f>SQRT(POWER(I57,2)+POWER(I56,2)+POWER(I55,2))</f>
        <v>1.8163547273402763E-13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166</v>
      </c>
      <c r="E58" s="3">
        <f>IF(E57="STD",E54+(1/16),E54+(5/16))</f>
        <v>0.5625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163</v>
      </c>
      <c r="E59" s="46">
        <f>PI()*(1/4)*E58*E58</f>
        <v>0.24850488763747386</v>
      </c>
      <c r="F59" t="s">
        <v>67</v>
      </c>
      <c r="H59" s="10" t="s">
        <v>168</v>
      </c>
      <c r="I59" s="2">
        <v>300</v>
      </c>
      <c r="K59" t="s">
        <v>170</v>
      </c>
      <c r="L59" s="58">
        <v>9.9999999999999998E-13</v>
      </c>
      <c r="M59" t="b">
        <f ca="1">OR(ABS(L57)&gt;L59,B66&lt;0,ABS(I67)&gt;(L59*10000))</f>
        <v>0</v>
      </c>
      <c r="X59">
        <v>1</v>
      </c>
      <c r="Y59">
        <v>8</v>
      </c>
    </row>
    <row r="60" spans="1:25" x14ac:dyDescent="0.25">
      <c r="D60" s="54" t="s">
        <v>155</v>
      </c>
      <c r="E60" s="13" t="s">
        <v>2</v>
      </c>
      <c r="H60" s="10" t="s">
        <v>169</v>
      </c>
      <c r="I60" s="1">
        <v>9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C63">
        <f>2*PI()</f>
        <v>6.2831853071795862</v>
      </c>
      <c r="J63" t="s">
        <v>141</v>
      </c>
      <c r="Q63" t="s">
        <v>171</v>
      </c>
      <c r="X63">
        <v>1.5</v>
      </c>
      <c r="Y63">
        <v>6</v>
      </c>
    </row>
    <row r="64" spans="1:25" x14ac:dyDescent="0.25">
      <c r="A64" s="11" t="s">
        <v>39</v>
      </c>
      <c r="B64" s="24">
        <v>0.78539816339744839</v>
      </c>
      <c r="C64" t="s">
        <v>19</v>
      </c>
      <c r="D64" t="s">
        <v>34</v>
      </c>
      <c r="H64" s="17">
        <f>DEGREES(B64)</f>
        <v>45.000000000000007</v>
      </c>
      <c r="I64" t="s">
        <v>41</v>
      </c>
      <c r="J64" s="3">
        <f>AJ32</f>
        <v>0.78539816339744828</v>
      </c>
      <c r="N64" s="8">
        <f>J64</f>
        <v>0.78539816339744828</v>
      </c>
      <c r="P64" s="8">
        <f>Q64</f>
        <v>0.78539816339744828</v>
      </c>
      <c r="Q64" s="8">
        <f>J64</f>
        <v>0.78539816339744828</v>
      </c>
      <c r="X64">
        <v>1.75</v>
      </c>
      <c r="Y64">
        <v>5</v>
      </c>
    </row>
    <row r="65" spans="1:25" x14ac:dyDescent="0.25">
      <c r="A65" s="1" t="s">
        <v>40</v>
      </c>
      <c r="B65" s="24">
        <v>7.8313901205286367</v>
      </c>
      <c r="C65" t="s">
        <v>22</v>
      </c>
      <c r="D65" t="s">
        <v>29</v>
      </c>
      <c r="J65" s="1">
        <f>AE32</f>
        <v>8.750446417183527</v>
      </c>
      <c r="N65">
        <f>0.5*J65</f>
        <v>4.3752232085917635</v>
      </c>
      <c r="P65">
        <f>0.5*Q65</f>
        <v>4.3752232085917635</v>
      </c>
      <c r="Q65">
        <f>AE32</f>
        <v>8.750446417183527</v>
      </c>
      <c r="X65">
        <v>2</v>
      </c>
      <c r="Y65">
        <v>4.5</v>
      </c>
    </row>
    <row r="66" spans="1:25" x14ac:dyDescent="0.25">
      <c r="A66" s="11" t="s">
        <v>42</v>
      </c>
      <c r="B66" s="24">
        <v>2.4605728406750562</v>
      </c>
      <c r="C66" t="s">
        <v>11</v>
      </c>
      <c r="D66">
        <f>B66/B53</f>
        <v>6.039281603482233E-4</v>
      </c>
      <c r="I66" s="20"/>
      <c r="J66" s="4">
        <f>MAX(AC14:AC21)*2</f>
        <v>4.2502951593860656</v>
      </c>
      <c r="N66">
        <f>2*J66</f>
        <v>8.5005903187721312</v>
      </c>
      <c r="P66">
        <f>0.5*Q66</f>
        <v>1.0625737898465164</v>
      </c>
      <c r="Q66">
        <f>MAX(AC14:AC21)</f>
        <v>2.1251475796930328</v>
      </c>
      <c r="X66">
        <v>2.25</v>
      </c>
      <c r="Y66">
        <v>4.5</v>
      </c>
    </row>
    <row r="67" spans="1:25" x14ac:dyDescent="0.25">
      <c r="A67" s="1" t="s">
        <v>37</v>
      </c>
      <c r="B67" s="24">
        <v>0.15140697609079823</v>
      </c>
      <c r="C67" t="s">
        <v>36</v>
      </c>
      <c r="D67" t="s">
        <v>122</v>
      </c>
      <c r="G67" s="20">
        <f ca="1">($B$56*$B$66*$B$55*$E$122)/$B$65</f>
        <v>0.15140697609072068</v>
      </c>
      <c r="H67" t="s">
        <v>36</v>
      </c>
      <c r="I67">
        <f ca="1">IF(B67=0,0,1-G67/B67)</f>
        <v>5.1214588125958471E-13</v>
      </c>
      <c r="Q67">
        <v>0</v>
      </c>
      <c r="X67">
        <v>2.5</v>
      </c>
      <c r="Y67">
        <v>4</v>
      </c>
    </row>
    <row r="68" spans="1:25" x14ac:dyDescent="0.25">
      <c r="N68" t="s">
        <v>206</v>
      </c>
      <c r="P68" t="s">
        <v>207</v>
      </c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54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54"/>
        <v>1</v>
      </c>
      <c r="B73" s="4">
        <f t="shared" ref="B73:B81" si="55">B13-$B$9</f>
        <v>-2.75</v>
      </c>
      <c r="C73" s="4">
        <f t="shared" ref="C73:C81" si="56">C13-$C$9</f>
        <v>-8.25</v>
      </c>
      <c r="E73" s="1">
        <v>0</v>
      </c>
      <c r="F73" s="1">
        <v>0</v>
      </c>
      <c r="H73" s="1">
        <f t="shared" ref="H73:H81" si="57">A25</f>
        <v>1</v>
      </c>
      <c r="I73" s="4">
        <f>B25-$B$9</f>
        <v>-2.75</v>
      </c>
      <c r="J73" s="4">
        <f>C25-$C$9</f>
        <v>-8.25</v>
      </c>
      <c r="Q73" cm="1">
        <f t="array" ref="Q73">(-1*MAX(ABS(B84:C91)))-1</f>
        <v>-8.7781745930520216</v>
      </c>
      <c r="R73">
        <f>Q73</f>
        <v>-8.7781745930520216</v>
      </c>
      <c r="X73">
        <v>4</v>
      </c>
      <c r="Y73">
        <v>4</v>
      </c>
    </row>
    <row r="74" spans="1:25" x14ac:dyDescent="0.25">
      <c r="A74" s="1">
        <f t="shared" si="54"/>
        <v>2</v>
      </c>
      <c r="B74" s="4">
        <f t="shared" si="55"/>
        <v>2.75</v>
      </c>
      <c r="C74" s="4">
        <f t="shared" si="56"/>
        <v>-8.25</v>
      </c>
      <c r="H74" s="1">
        <f t="shared" si="57"/>
        <v>2</v>
      </c>
      <c r="I74" s="4">
        <f t="shared" ref="I74:I81" si="58">B26-$B$9</f>
        <v>-2.75</v>
      </c>
      <c r="J74" s="4">
        <f t="shared" ref="J74:J81" si="59">C26-$C$9</f>
        <v>-8.25</v>
      </c>
      <c r="Q74">
        <f>-1*Q73</f>
        <v>8.7781745930520216</v>
      </c>
      <c r="R74">
        <f>Q74</f>
        <v>8.7781745930520216</v>
      </c>
    </row>
    <row r="75" spans="1:25" x14ac:dyDescent="0.25">
      <c r="A75" s="1">
        <f t="shared" si="54"/>
        <v>3</v>
      </c>
      <c r="B75" s="4">
        <f t="shared" si="55"/>
        <v>2.75</v>
      </c>
      <c r="C75" s="4">
        <f t="shared" si="56"/>
        <v>-2.75</v>
      </c>
      <c r="H75" s="1">
        <f t="shared" si="57"/>
        <v>3</v>
      </c>
      <c r="I75" s="4">
        <f t="shared" si="58"/>
        <v>-2.75</v>
      </c>
      <c r="J75" s="4">
        <f t="shared" si="59"/>
        <v>-8.25</v>
      </c>
    </row>
    <row r="76" spans="1:25" x14ac:dyDescent="0.25">
      <c r="A76" s="1">
        <f t="shared" si="54"/>
        <v>4</v>
      </c>
      <c r="B76" s="4">
        <f t="shared" si="55"/>
        <v>8.25</v>
      </c>
      <c r="C76" s="4">
        <f t="shared" si="56"/>
        <v>-2.75</v>
      </c>
      <c r="H76" s="1">
        <f t="shared" si="57"/>
        <v>4</v>
      </c>
      <c r="I76" s="4">
        <f t="shared" si="58"/>
        <v>-2.75</v>
      </c>
      <c r="J76" s="4">
        <f t="shared" si="59"/>
        <v>-8.25</v>
      </c>
    </row>
    <row r="77" spans="1:25" x14ac:dyDescent="0.25">
      <c r="A77" s="1">
        <f t="shared" si="54"/>
        <v>5</v>
      </c>
      <c r="B77" s="4">
        <f t="shared" si="55"/>
        <v>8.25</v>
      </c>
      <c r="C77" s="4">
        <f t="shared" si="56"/>
        <v>2.75</v>
      </c>
      <c r="H77" s="1">
        <f t="shared" si="57"/>
        <v>5</v>
      </c>
      <c r="I77" s="4">
        <f t="shared" si="58"/>
        <v>-2.75</v>
      </c>
      <c r="J77" s="4">
        <f t="shared" si="59"/>
        <v>-8.25</v>
      </c>
      <c r="Q77" t="s">
        <v>148</v>
      </c>
    </row>
    <row r="78" spans="1:25" x14ac:dyDescent="0.25">
      <c r="A78" s="1">
        <f t="shared" si="54"/>
        <v>6</v>
      </c>
      <c r="B78" s="4">
        <f t="shared" si="55"/>
        <v>-2.75</v>
      </c>
      <c r="C78" s="4">
        <f t="shared" si="56"/>
        <v>2.75</v>
      </c>
      <c r="H78" s="1">
        <f t="shared" si="57"/>
        <v>6</v>
      </c>
      <c r="I78" s="4">
        <f t="shared" si="58"/>
        <v>-2.75</v>
      </c>
      <c r="J78" s="4">
        <f t="shared" si="59"/>
        <v>-8.25</v>
      </c>
      <c r="Q78" t="s">
        <v>27</v>
      </c>
      <c r="R78" t="s">
        <v>28</v>
      </c>
    </row>
    <row r="79" spans="1:25" x14ac:dyDescent="0.25">
      <c r="A79" s="1">
        <f t="shared" si="54"/>
        <v>7</v>
      </c>
      <c r="B79" s="4">
        <f t="shared" si="55"/>
        <v>-2.75</v>
      </c>
      <c r="C79" s="4">
        <f t="shared" si="56"/>
        <v>-8.25</v>
      </c>
      <c r="H79" s="1">
        <f t="shared" si="57"/>
        <v>7</v>
      </c>
      <c r="I79" s="4">
        <f t="shared" si="58"/>
        <v>-2.75</v>
      </c>
      <c r="J79" s="4">
        <f t="shared" si="59"/>
        <v>-8.25</v>
      </c>
      <c r="Q79">
        <f>(I126*COS(-1*$B$64))+(J126*SIN(-1*$B$64))</f>
        <v>-3.4194777208434131</v>
      </c>
      <c r="R79">
        <f>(-1*I126*SIN(-1*$B$64))+(J126*COS(-1*$B$64))</f>
        <v>-8.9947358415296801</v>
      </c>
    </row>
    <row r="80" spans="1:25" x14ac:dyDescent="0.25">
      <c r="A80" s="1">
        <f t="shared" si="54"/>
        <v>8</v>
      </c>
      <c r="B80" s="4">
        <f t="shared" si="55"/>
        <v>-2.75</v>
      </c>
      <c r="C80" s="4">
        <f t="shared" si="56"/>
        <v>-8.25</v>
      </c>
      <c r="H80" s="1">
        <f t="shared" si="57"/>
        <v>8</v>
      </c>
      <c r="I80" s="4">
        <f t="shared" si="58"/>
        <v>-2.75</v>
      </c>
      <c r="J80" s="4">
        <f t="shared" si="59"/>
        <v>-8.25</v>
      </c>
      <c r="Q80">
        <f>(I127*COS(-1*$B$64))+(J127*SIN(-1*$B$64))</f>
        <v>8.9947358415296783</v>
      </c>
      <c r="R80">
        <f>(-1*I127*SIN(-1*$B$64))+(J127*COS(-1*$B$64))</f>
        <v>3.4194777208434144</v>
      </c>
    </row>
    <row r="81" spans="1:18" x14ac:dyDescent="0.25">
      <c r="A81" s="1">
        <f t="shared" si="54"/>
        <v>9</v>
      </c>
      <c r="B81" s="4">
        <f t="shared" si="55"/>
        <v>-2.75</v>
      </c>
      <c r="C81" s="4">
        <f t="shared" si="56"/>
        <v>-8.25</v>
      </c>
      <c r="H81" s="1">
        <f t="shared" si="57"/>
        <v>9</v>
      </c>
      <c r="I81" s="4">
        <f t="shared" si="58"/>
        <v>-2.75</v>
      </c>
      <c r="J81" s="4">
        <f t="shared" si="59"/>
        <v>-8.25</v>
      </c>
    </row>
    <row r="82" spans="1:18" x14ac:dyDescent="0.25">
      <c r="A82" t="s">
        <v>30</v>
      </c>
      <c r="B82" s="9"/>
      <c r="H82" t="s">
        <v>139</v>
      </c>
      <c r="Q82" s="4">
        <f>Q79+$B$9</f>
        <v>-0.66947772084341306</v>
      </c>
      <c r="R82" s="4">
        <f>R79+$C$9</f>
        <v>-0.74473584152968009</v>
      </c>
    </row>
    <row r="83" spans="1:18" x14ac:dyDescent="0.25">
      <c r="A83" s="1" t="str">
        <f t="shared" ref="A83:A92" si="60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11.744735841529678</v>
      </c>
      <c r="R83" s="4">
        <f>R80+$C$9</f>
        <v>11.669477720843414</v>
      </c>
    </row>
    <row r="84" spans="1:18" x14ac:dyDescent="0.25">
      <c r="A84" s="1">
        <f t="shared" si="60"/>
        <v>1</v>
      </c>
      <c r="B84" s="4">
        <f t="shared" ref="B84:B92" si="61">(B73*COS($B$64))+(C73*SIN($B$64))</f>
        <v>-7.7781745930520225</v>
      </c>
      <c r="C84" s="1">
        <f t="shared" ref="C84:C92" si="62">(-1*B73*SIN($B$64))+(C73*COS($B$64))</f>
        <v>-3.8890872965260104</v>
      </c>
      <c r="H84" s="1">
        <f t="shared" ref="H84:H92" si="63">H73</f>
        <v>1</v>
      </c>
      <c r="I84" s="4">
        <f>(I73*COS($B$64))+(J73*SIN($B$64))</f>
        <v>-7.7781745930520225</v>
      </c>
      <c r="J84" s="1">
        <f>(-1*I73*SIN($B$64))+(J73*COS($B$64))</f>
        <v>-3.8890872965260104</v>
      </c>
    </row>
    <row r="85" spans="1:18" x14ac:dyDescent="0.25">
      <c r="A85" s="1">
        <f t="shared" si="60"/>
        <v>2</v>
      </c>
      <c r="B85" s="4">
        <f t="shared" si="61"/>
        <v>-3.8890872965260117</v>
      </c>
      <c r="C85" s="1">
        <f t="shared" si="62"/>
        <v>-7.7781745930520216</v>
      </c>
      <c r="H85" s="1">
        <f t="shared" si="63"/>
        <v>2</v>
      </c>
      <c r="I85" s="4">
        <f t="shared" ref="I85:I92" si="64">(I74*COS($B$64))+(J74*SIN($B$64))</f>
        <v>-7.7781745930520225</v>
      </c>
      <c r="J85" s="1">
        <f t="shared" ref="J85:J92" si="65">(-1*I74*SIN($B$64))+(J74*COS($B$64))</f>
        <v>-3.8890872965260104</v>
      </c>
      <c r="Q85" t="s">
        <v>149</v>
      </c>
    </row>
    <row r="86" spans="1:18" x14ac:dyDescent="0.25">
      <c r="A86" s="1">
        <f t="shared" si="60"/>
        <v>3</v>
      </c>
      <c r="B86" s="4">
        <f t="shared" si="61"/>
        <v>0</v>
      </c>
      <c r="C86" s="1">
        <f t="shared" si="62"/>
        <v>-3.8890872965260113</v>
      </c>
      <c r="H86" s="1">
        <f t="shared" si="63"/>
        <v>3</v>
      </c>
      <c r="I86" s="4">
        <f t="shared" si="64"/>
        <v>-7.7781745930520225</v>
      </c>
      <c r="J86" s="1">
        <f t="shared" si="65"/>
        <v>-3.8890872965260104</v>
      </c>
      <c r="Q86" t="s">
        <v>27</v>
      </c>
      <c r="R86" t="s">
        <v>28</v>
      </c>
    </row>
    <row r="87" spans="1:18" x14ac:dyDescent="0.25">
      <c r="A87" s="1">
        <f t="shared" si="60"/>
        <v>4</v>
      </c>
      <c r="B87" s="4">
        <f t="shared" si="61"/>
        <v>3.8890872965260104</v>
      </c>
      <c r="C87" s="1">
        <f t="shared" si="62"/>
        <v>-7.7781745930520225</v>
      </c>
      <c r="H87" s="1">
        <f t="shared" si="63"/>
        <v>4</v>
      </c>
      <c r="I87" s="4">
        <f t="shared" si="64"/>
        <v>-7.7781745930520225</v>
      </c>
      <c r="J87" s="1">
        <f t="shared" si="65"/>
        <v>-3.8890872965260104</v>
      </c>
      <c r="Q87">
        <f>(P142*COS(-1*$B$64))+(P143*SIN(-1*$B$64))</f>
        <v>1.8811941643402733E-2</v>
      </c>
      <c r="R87">
        <f>(-1*P142*SIN(-1*$B$64))+(P143*COS(-1*$B$64))</f>
        <v>-1.8811941643403132E-2</v>
      </c>
    </row>
    <row r="88" spans="1:18" x14ac:dyDescent="0.25">
      <c r="A88" s="1">
        <f t="shared" si="60"/>
        <v>5</v>
      </c>
      <c r="B88" s="4">
        <f t="shared" si="61"/>
        <v>7.7781745930520216</v>
      </c>
      <c r="C88" s="1">
        <f t="shared" si="62"/>
        <v>-3.8890872965260117</v>
      </c>
      <c r="H88" s="1">
        <f t="shared" si="63"/>
        <v>5</v>
      </c>
      <c r="I88" s="4">
        <f t="shared" si="64"/>
        <v>-7.7781745930520225</v>
      </c>
      <c r="J88" s="1">
        <f t="shared" si="65"/>
        <v>-3.8890872965260104</v>
      </c>
    </row>
    <row r="89" spans="1:18" x14ac:dyDescent="0.25">
      <c r="A89" s="1">
        <f t="shared" si="60"/>
        <v>6</v>
      </c>
      <c r="B89" s="4">
        <f t="shared" si="61"/>
        <v>0</v>
      </c>
      <c r="C89" s="1">
        <f t="shared" si="62"/>
        <v>3.8890872965260113</v>
      </c>
      <c r="H89" s="1">
        <f t="shared" si="63"/>
        <v>6</v>
      </c>
      <c r="I89" s="4">
        <f t="shared" si="64"/>
        <v>-7.7781745930520225</v>
      </c>
      <c r="J89" s="1">
        <f t="shared" si="65"/>
        <v>-3.8890872965260104</v>
      </c>
    </row>
    <row r="90" spans="1:18" x14ac:dyDescent="0.25">
      <c r="A90" s="1">
        <f t="shared" si="60"/>
        <v>7</v>
      </c>
      <c r="B90" s="4">
        <f t="shared" si="61"/>
        <v>-7.7781745930520225</v>
      </c>
      <c r="C90" s="1">
        <f t="shared" si="62"/>
        <v>-3.8890872965260104</v>
      </c>
      <c r="H90" s="1">
        <f t="shared" si="63"/>
        <v>7</v>
      </c>
      <c r="I90" s="4">
        <f t="shared" si="64"/>
        <v>-7.7781745930520225</v>
      </c>
      <c r="J90" s="1">
        <f t="shared" si="65"/>
        <v>-3.8890872965260104</v>
      </c>
      <c r="Q90" s="4">
        <f>Q87+$B$9</f>
        <v>2.7688119416434027</v>
      </c>
      <c r="R90" s="4">
        <f>R87+$C$9</f>
        <v>8.2311880583565973</v>
      </c>
    </row>
    <row r="91" spans="1:18" x14ac:dyDescent="0.25">
      <c r="A91" s="1">
        <f t="shared" si="60"/>
        <v>8</v>
      </c>
      <c r="B91" s="4">
        <f t="shared" si="61"/>
        <v>-7.7781745930520225</v>
      </c>
      <c r="C91" s="1">
        <f t="shared" si="62"/>
        <v>-3.8890872965260104</v>
      </c>
      <c r="H91" s="1">
        <f t="shared" si="63"/>
        <v>8</v>
      </c>
      <c r="I91" s="4">
        <f t="shared" si="64"/>
        <v>-7.7781745930520225</v>
      </c>
      <c r="J91" s="1">
        <f t="shared" si="65"/>
        <v>-3.8890872965260104</v>
      </c>
    </row>
    <row r="92" spans="1:18" x14ac:dyDescent="0.25">
      <c r="A92" s="1">
        <f t="shared" si="60"/>
        <v>9</v>
      </c>
      <c r="B92" s="4">
        <f t="shared" si="61"/>
        <v>-7.7781745930520225</v>
      </c>
      <c r="C92" s="1">
        <f t="shared" si="62"/>
        <v>-3.8890872965260104</v>
      </c>
      <c r="H92" s="1">
        <f t="shared" si="63"/>
        <v>9</v>
      </c>
      <c r="I92" s="4">
        <f t="shared" si="64"/>
        <v>-7.7781745930520225</v>
      </c>
      <c r="J92" s="1">
        <f t="shared" si="65"/>
        <v>-3.8890872965260104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6">A37</f>
        <v>1</v>
      </c>
      <c r="B95" s="4">
        <f t="shared" ref="B95:B106" si="67">B37-$B$9</f>
        <v>0</v>
      </c>
      <c r="C95" s="4">
        <f t="shared" ref="C95:C106" si="68">C37-$C$9</f>
        <v>-6.25</v>
      </c>
      <c r="D95" t="str">
        <f t="shared" ref="D95:D106" si="69">D37</f>
        <v>y</v>
      </c>
    </row>
    <row r="96" spans="1:18" x14ac:dyDescent="0.25">
      <c r="A96">
        <f t="shared" si="66"/>
        <v>2</v>
      </c>
      <c r="B96" s="4">
        <f t="shared" si="67"/>
        <v>6.25</v>
      </c>
      <c r="C96" s="4">
        <f t="shared" si="68"/>
        <v>0</v>
      </c>
      <c r="D96" t="str">
        <f t="shared" si="69"/>
        <v>y</v>
      </c>
    </row>
    <row r="97" spans="1:28" x14ac:dyDescent="0.25">
      <c r="A97">
        <f t="shared" si="66"/>
        <v>3</v>
      </c>
      <c r="B97" s="4">
        <f t="shared" si="67"/>
        <v>-2.75</v>
      </c>
      <c r="C97" s="4">
        <f t="shared" si="68"/>
        <v>-8.25</v>
      </c>
      <c r="D97" t="str">
        <f t="shared" si="69"/>
        <v>n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6"/>
        <v>4</v>
      </c>
      <c r="B98" s="4">
        <f t="shared" si="67"/>
        <v>-2.75</v>
      </c>
      <c r="C98" s="4">
        <f t="shared" si="68"/>
        <v>-8.25</v>
      </c>
      <c r="D98" t="str">
        <f t="shared" si="69"/>
        <v>n</v>
      </c>
    </row>
    <row r="99" spans="1:28" x14ac:dyDescent="0.25">
      <c r="A99">
        <f t="shared" si="66"/>
        <v>5</v>
      </c>
      <c r="B99" s="4">
        <f t="shared" si="67"/>
        <v>-2.75</v>
      </c>
      <c r="C99" s="4">
        <f t="shared" si="68"/>
        <v>-8.25</v>
      </c>
      <c r="D99" t="str">
        <f t="shared" si="69"/>
        <v>n</v>
      </c>
    </row>
    <row r="100" spans="1:28" x14ac:dyDescent="0.25">
      <c r="A100">
        <f t="shared" si="66"/>
        <v>6</v>
      </c>
      <c r="B100" s="4">
        <f t="shared" si="67"/>
        <v>-2.75</v>
      </c>
      <c r="C100" s="4">
        <f t="shared" si="68"/>
        <v>-8.25</v>
      </c>
      <c r="D100" t="str">
        <f t="shared" si="69"/>
        <v>n</v>
      </c>
    </row>
    <row r="101" spans="1:28" x14ac:dyDescent="0.25">
      <c r="A101">
        <f t="shared" si="66"/>
        <v>7</v>
      </c>
      <c r="B101" s="4">
        <f t="shared" si="67"/>
        <v>-2.75</v>
      </c>
      <c r="C101" s="4">
        <f t="shared" si="68"/>
        <v>-8.25</v>
      </c>
      <c r="D101" t="str">
        <f t="shared" si="69"/>
        <v>n</v>
      </c>
    </row>
    <row r="102" spans="1:28" x14ac:dyDescent="0.25">
      <c r="A102">
        <f t="shared" si="66"/>
        <v>8</v>
      </c>
      <c r="B102" s="4">
        <f t="shared" si="67"/>
        <v>-2.75</v>
      </c>
      <c r="C102" s="4">
        <f t="shared" si="68"/>
        <v>-8.25</v>
      </c>
      <c r="D102" t="str">
        <f t="shared" si="69"/>
        <v>n</v>
      </c>
    </row>
    <row r="103" spans="1:28" x14ac:dyDescent="0.25">
      <c r="A103">
        <f t="shared" si="66"/>
        <v>9</v>
      </c>
      <c r="B103" s="4">
        <f t="shared" si="67"/>
        <v>-2.75</v>
      </c>
      <c r="C103" s="4">
        <f t="shared" si="68"/>
        <v>-8.25</v>
      </c>
      <c r="D103" t="str">
        <f t="shared" si="69"/>
        <v>n</v>
      </c>
    </row>
    <row r="104" spans="1:28" x14ac:dyDescent="0.25">
      <c r="A104">
        <f t="shared" si="66"/>
        <v>10</v>
      </c>
      <c r="B104" s="4">
        <f t="shared" si="67"/>
        <v>-2.75</v>
      </c>
      <c r="C104" s="4">
        <f t="shared" si="68"/>
        <v>-8.25</v>
      </c>
      <c r="D104" t="str">
        <f t="shared" si="69"/>
        <v>n</v>
      </c>
    </row>
    <row r="105" spans="1:28" x14ac:dyDescent="0.25">
      <c r="A105">
        <f t="shared" si="66"/>
        <v>11</v>
      </c>
      <c r="B105" s="4">
        <f t="shared" si="67"/>
        <v>-2.75</v>
      </c>
      <c r="C105" s="4">
        <f t="shared" si="68"/>
        <v>-8.25</v>
      </c>
      <c r="D105" t="str">
        <f t="shared" si="69"/>
        <v>n</v>
      </c>
    </row>
    <row r="106" spans="1:28" x14ac:dyDescent="0.25">
      <c r="A106">
        <f t="shared" si="66"/>
        <v>12</v>
      </c>
      <c r="B106" s="4">
        <f t="shared" si="67"/>
        <v>-2.75</v>
      </c>
      <c r="C106" s="4">
        <f t="shared" si="68"/>
        <v>-8.25</v>
      </c>
      <c r="D106" t="str">
        <f t="shared" si="69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  <c r="Q109" s="1" t="s">
        <v>27</v>
      </c>
      <c r="R109" s="1" t="s">
        <v>28</v>
      </c>
      <c r="Y109" t="s">
        <v>162</v>
      </c>
      <c r="AB109" t="s">
        <v>173</v>
      </c>
    </row>
    <row r="110" spans="1:28" x14ac:dyDescent="0.25">
      <c r="A110">
        <f>A95</f>
        <v>1</v>
      </c>
      <c r="B110" s="1">
        <f>(B95*COS($B$64))+(C95*SIN($B$64))</f>
        <v>-4.4194173824159222</v>
      </c>
      <c r="C110" s="1">
        <f>(-1*B95*SIN($B$64))+(C95*COS($B$64))</f>
        <v>-4.4194173824159213</v>
      </c>
      <c r="D110" t="str">
        <f t="shared" ref="D110" si="70">D95</f>
        <v>y</v>
      </c>
      <c r="E110" s="4">
        <f t="shared" ref="E110:E121" si="71">IF($D110="y",$B$125-C110,0)</f>
        <v>0.47711455841329586</v>
      </c>
      <c r="F110" s="1">
        <f>IF($D110="y",B110,NA())</f>
        <v>-4.4194173824159222</v>
      </c>
      <c r="G110" s="1">
        <f>IF($D110="y",C110,NA())</f>
        <v>-4.4194173824159213</v>
      </c>
      <c r="H110">
        <f>IF(OR($E$122=0,$B$67&lt;0),0,-1*MAX(($B$67/$E$122)*(E110),0))</f>
        <v>-0.15140697609079795</v>
      </c>
      <c r="I110">
        <f>H110*C110</f>
        <v>0.6691306219547043</v>
      </c>
      <c r="J110">
        <f>H110*B110*-1</f>
        <v>-0.66913062195470441</v>
      </c>
      <c r="K110">
        <f ca="1">H110/$B$55</f>
        <v>-1.0670065569456302</v>
      </c>
      <c r="L110">
        <f ca="1">K110/$B$54</f>
        <v>-3.6793329549849315E-5</v>
      </c>
      <c r="M110">
        <f t="shared" ref="M110:M121" si="72">IFERROR(($D$66/$B$65)*(G110-$B$125),0)</f>
        <v>-3.679332954983047E-5</v>
      </c>
      <c r="N110">
        <f t="shared" ref="N110:N121" si="73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-4.4194173824159222</v>
      </c>
      <c r="R110">
        <f>IF($H110&lt;0,G110,NA())</f>
        <v>-4.4194173824159213</v>
      </c>
      <c r="T110">
        <f>(Q110*COS(-1*$B$64))+(R110*SIN(-1*$B$64))</f>
        <v>0</v>
      </c>
      <c r="U110">
        <f>(-1*Q110*SIN(-1*$B$64))+(R110*COS(-1*$B$64))</f>
        <v>-6.25</v>
      </c>
      <c r="W110" s="4">
        <f>T110+$B$9</f>
        <v>2.75</v>
      </c>
      <c r="X110" s="4">
        <f>U110+$C$9</f>
        <v>2</v>
      </c>
      <c r="Y110">
        <f t="shared" ref="Y110:Y121" si="74">IF(AND($E$60="n",M110&gt;0,D110="y"),M110*$B$53*$E$59,0)</f>
        <v>0</v>
      </c>
      <c r="AB110" t="str">
        <f t="shared" ref="AB110:AB121" si="75">IF(H110&lt;&gt;0,CHAR(10)&amp;CHAR(10)&amp;ROUND(ABS(H110),4)&amp;" kips",IF(AND($E$60="n",D110="y"),CHAR(10)&amp;CHAR(10)&amp;ROUND(ABS(Y110),4)&amp;" kips",""))</f>
        <v xml:space="preserve">
0.1514 kips</v>
      </c>
    </row>
    <row r="111" spans="1:28" x14ac:dyDescent="0.25">
      <c r="A111">
        <f t="shared" ref="A111:D111" si="76">A96</f>
        <v>2</v>
      </c>
      <c r="B111" s="1">
        <f t="shared" ref="B111:B121" si="77">(B96*COS($B$64))+(C96*SIN($B$64))</f>
        <v>4.4194173824159213</v>
      </c>
      <c r="C111" s="1">
        <f t="shared" ref="C111:C121" si="78">(-1*B96*SIN($B$64))+(C96*COS($B$64))</f>
        <v>-4.4194173824159222</v>
      </c>
      <c r="D111" t="str">
        <f t="shared" si="76"/>
        <v>y</v>
      </c>
      <c r="E111" s="4">
        <f t="shared" si="71"/>
        <v>0.47711455841329675</v>
      </c>
      <c r="F111" s="1">
        <f t="shared" ref="F111:F121" si="79">IF($D111="y",B111,NA())</f>
        <v>4.4194173824159213</v>
      </c>
      <c r="G111" s="1">
        <f t="shared" ref="G111:G121" si="80">IF($D111="y",C111,NA())</f>
        <v>-4.4194173824159222</v>
      </c>
      <c r="H111">
        <f t="shared" ref="H111:H121" si="81">IF(OR($E$122=0,$B$67&lt;0),0,-1*MAX(($B$67/$E$122)*(E111),0))</f>
        <v>-0.15140697609079823</v>
      </c>
      <c r="I111">
        <f t="shared" ref="I111:I121" si="82">H111*C111</f>
        <v>0.66913062195470563</v>
      </c>
      <c r="J111">
        <f t="shared" ref="J111:J121" si="83">H111*B111*-1</f>
        <v>0.66913062195470552</v>
      </c>
      <c r="K111">
        <f ca="1">H111/$B$55</f>
        <v>-1.0670065569456322</v>
      </c>
      <c r="L111">
        <f t="shared" ref="L111:L121" ca="1" si="84">K111/$B$54</f>
        <v>-3.6793329549849383E-5</v>
      </c>
      <c r="M111">
        <f t="shared" si="72"/>
        <v>-3.6793329549830538E-5</v>
      </c>
      <c r="N111">
        <f t="shared" si="73"/>
        <v>0</v>
      </c>
      <c r="O111">
        <f t="shared" ref="O111:O121" si="85">N111*C111</f>
        <v>0</v>
      </c>
      <c r="P111">
        <f t="shared" ref="P111:P121" si="86">N111*B111*-1</f>
        <v>0</v>
      </c>
      <c r="Q111">
        <f t="shared" ref="Q111:Q121" si="87">IF($H111&lt;0,F111,NA())</f>
        <v>4.4194173824159213</v>
      </c>
      <c r="R111">
        <f t="shared" ref="R111:R121" si="88">IF($H111&lt;0,G111,NA())</f>
        <v>-4.4194173824159222</v>
      </c>
      <c r="T111">
        <f t="shared" ref="T111:T121" si="89">(Q111*COS(-1*$B$64))+(R111*SIN(-1*$B$64))</f>
        <v>6.25</v>
      </c>
      <c r="U111">
        <f t="shared" ref="U111:U121" si="90">(-1*Q111*SIN(-1*$B$64))+(R111*COS(-1*$B$64))</f>
        <v>0</v>
      </c>
      <c r="W111" s="4">
        <f t="shared" ref="W111:W121" si="91">T111+$B$9</f>
        <v>9</v>
      </c>
      <c r="X111" s="4">
        <f t="shared" ref="X111:X121" si="92">U111+$C$9</f>
        <v>8.25</v>
      </c>
      <c r="Y111">
        <f t="shared" si="74"/>
        <v>0</v>
      </c>
      <c r="AB111" t="str">
        <f t="shared" si="75"/>
        <v xml:space="preserve">
0.1514 kips</v>
      </c>
    </row>
    <row r="112" spans="1:28" x14ac:dyDescent="0.25">
      <c r="A112">
        <f t="shared" ref="A112:D112" si="93">A97</f>
        <v>3</v>
      </c>
      <c r="B112" s="1">
        <f t="shared" si="77"/>
        <v>-7.7781745930520225</v>
      </c>
      <c r="C112" s="1">
        <f t="shared" si="78"/>
        <v>-3.8890872965260104</v>
      </c>
      <c r="D112" t="str">
        <f t="shared" si="93"/>
        <v>n</v>
      </c>
      <c r="E112" s="4">
        <f t="shared" si="71"/>
        <v>0</v>
      </c>
      <c r="F112" s="1" t="e">
        <f t="shared" si="79"/>
        <v>#N/A</v>
      </c>
      <c r="G112" s="1" t="e">
        <f t="shared" si="80"/>
        <v>#N/A</v>
      </c>
      <c r="H112">
        <f t="shared" si="81"/>
        <v>0</v>
      </c>
      <c r="I112">
        <f t="shared" si="82"/>
        <v>0</v>
      </c>
      <c r="J112">
        <f t="shared" si="83"/>
        <v>0</v>
      </c>
      <c r="K112">
        <f t="shared" ref="K112:K121" ca="1" si="94">H112/$B$55</f>
        <v>0</v>
      </c>
      <c r="L112">
        <f t="shared" ca="1" si="84"/>
        <v>0</v>
      </c>
      <c r="M112">
        <f t="shared" si="72"/>
        <v>0</v>
      </c>
      <c r="N112">
        <f t="shared" si="73"/>
        <v>0</v>
      </c>
      <c r="O112">
        <f t="shared" si="85"/>
        <v>0</v>
      </c>
      <c r="P112">
        <f t="shared" si="86"/>
        <v>0</v>
      </c>
      <c r="Q112" t="e">
        <f t="shared" si="87"/>
        <v>#N/A</v>
      </c>
      <c r="R112" t="e">
        <f t="shared" si="88"/>
        <v>#N/A</v>
      </c>
      <c r="T112" t="e">
        <f t="shared" si="89"/>
        <v>#N/A</v>
      </c>
      <c r="U112" t="e">
        <f t="shared" si="90"/>
        <v>#N/A</v>
      </c>
      <c r="W112" s="4" t="e">
        <f t="shared" si="91"/>
        <v>#N/A</v>
      </c>
      <c r="X112" s="4" t="e">
        <f t="shared" si="92"/>
        <v>#N/A</v>
      </c>
      <c r="Y112">
        <f t="shared" si="74"/>
        <v>0</v>
      </c>
      <c r="AB112" t="str">
        <f t="shared" si="75"/>
        <v/>
      </c>
    </row>
    <row r="113" spans="1:28" x14ac:dyDescent="0.25">
      <c r="A113">
        <f t="shared" ref="A113:D113" si="95">A98</f>
        <v>4</v>
      </c>
      <c r="B113" s="1">
        <f t="shared" si="77"/>
        <v>-7.7781745930520225</v>
      </c>
      <c r="C113" s="1">
        <f t="shared" si="78"/>
        <v>-3.8890872965260104</v>
      </c>
      <c r="D113" t="str">
        <f t="shared" si="95"/>
        <v>n</v>
      </c>
      <c r="E113" s="4">
        <f t="shared" si="71"/>
        <v>0</v>
      </c>
      <c r="F113" s="1" t="e">
        <f t="shared" si="79"/>
        <v>#N/A</v>
      </c>
      <c r="G113" s="1" t="e">
        <f t="shared" si="80"/>
        <v>#N/A</v>
      </c>
      <c r="H113">
        <f t="shared" si="81"/>
        <v>0</v>
      </c>
      <c r="I113">
        <f t="shared" si="82"/>
        <v>0</v>
      </c>
      <c r="J113">
        <f t="shared" si="83"/>
        <v>0</v>
      </c>
      <c r="K113">
        <f t="shared" ca="1" si="94"/>
        <v>0</v>
      </c>
      <c r="L113">
        <f t="shared" ca="1" si="84"/>
        <v>0</v>
      </c>
      <c r="M113">
        <f t="shared" si="72"/>
        <v>0</v>
      </c>
      <c r="N113">
        <f t="shared" si="73"/>
        <v>0</v>
      </c>
      <c r="O113">
        <f t="shared" si="85"/>
        <v>0</v>
      </c>
      <c r="P113">
        <f t="shared" si="86"/>
        <v>0</v>
      </c>
      <c r="Q113" t="e">
        <f t="shared" si="87"/>
        <v>#N/A</v>
      </c>
      <c r="R113" t="e">
        <f t="shared" si="88"/>
        <v>#N/A</v>
      </c>
      <c r="T113" t="e">
        <f t="shared" si="89"/>
        <v>#N/A</v>
      </c>
      <c r="U113" t="e">
        <f t="shared" si="90"/>
        <v>#N/A</v>
      </c>
      <c r="W113" s="4" t="e">
        <f t="shared" si="91"/>
        <v>#N/A</v>
      </c>
      <c r="X113" s="4" t="e">
        <f t="shared" si="92"/>
        <v>#N/A</v>
      </c>
      <c r="Y113">
        <f t="shared" si="74"/>
        <v>0</v>
      </c>
      <c r="AB113" t="str">
        <f t="shared" si="75"/>
        <v/>
      </c>
    </row>
    <row r="114" spans="1:28" x14ac:dyDescent="0.25">
      <c r="A114">
        <f t="shared" ref="A114:D114" si="96">A99</f>
        <v>5</v>
      </c>
      <c r="B114" s="1">
        <f t="shared" si="77"/>
        <v>-7.7781745930520225</v>
      </c>
      <c r="C114" s="1">
        <f t="shared" si="78"/>
        <v>-3.8890872965260104</v>
      </c>
      <c r="D114" t="str">
        <f t="shared" si="96"/>
        <v>n</v>
      </c>
      <c r="E114" s="4">
        <f t="shared" si="71"/>
        <v>0</v>
      </c>
      <c r="F114" s="1" t="e">
        <f t="shared" si="79"/>
        <v>#N/A</v>
      </c>
      <c r="G114" s="1" t="e">
        <f t="shared" si="80"/>
        <v>#N/A</v>
      </c>
      <c r="H114">
        <f t="shared" si="81"/>
        <v>0</v>
      </c>
      <c r="I114">
        <f t="shared" si="82"/>
        <v>0</v>
      </c>
      <c r="J114">
        <f t="shared" si="83"/>
        <v>0</v>
      </c>
      <c r="K114">
        <f t="shared" ca="1" si="94"/>
        <v>0</v>
      </c>
      <c r="L114">
        <f t="shared" ca="1" si="84"/>
        <v>0</v>
      </c>
      <c r="M114">
        <f t="shared" si="72"/>
        <v>0</v>
      </c>
      <c r="N114">
        <f t="shared" si="73"/>
        <v>0</v>
      </c>
      <c r="O114">
        <f t="shared" si="85"/>
        <v>0</v>
      </c>
      <c r="P114">
        <f t="shared" si="86"/>
        <v>0</v>
      </c>
      <c r="Q114" t="e">
        <f t="shared" si="87"/>
        <v>#N/A</v>
      </c>
      <c r="R114" t="e">
        <f t="shared" si="88"/>
        <v>#N/A</v>
      </c>
      <c r="T114" t="e">
        <f t="shared" si="89"/>
        <v>#N/A</v>
      </c>
      <c r="U114" t="e">
        <f t="shared" si="90"/>
        <v>#N/A</v>
      </c>
      <c r="W114" s="4" t="e">
        <f t="shared" si="91"/>
        <v>#N/A</v>
      </c>
      <c r="X114" s="4" t="e">
        <f t="shared" si="92"/>
        <v>#N/A</v>
      </c>
      <c r="Y114">
        <f t="shared" si="74"/>
        <v>0</v>
      </c>
      <c r="AB114" t="str">
        <f t="shared" si="75"/>
        <v/>
      </c>
    </row>
    <row r="115" spans="1:28" x14ac:dyDescent="0.25">
      <c r="A115">
        <f t="shared" ref="A115:D115" si="97">A100</f>
        <v>6</v>
      </c>
      <c r="B115" s="1">
        <f t="shared" si="77"/>
        <v>-7.7781745930520225</v>
      </c>
      <c r="C115" s="1">
        <f t="shared" si="78"/>
        <v>-3.8890872965260104</v>
      </c>
      <c r="D115" t="str">
        <f t="shared" si="97"/>
        <v>n</v>
      </c>
      <c r="E115" s="4">
        <f t="shared" si="71"/>
        <v>0</v>
      </c>
      <c r="F115" s="1" t="e">
        <f t="shared" si="79"/>
        <v>#N/A</v>
      </c>
      <c r="G115" s="1" t="e">
        <f t="shared" si="80"/>
        <v>#N/A</v>
      </c>
      <c r="H115">
        <f t="shared" si="81"/>
        <v>0</v>
      </c>
      <c r="I115">
        <f t="shared" si="82"/>
        <v>0</v>
      </c>
      <c r="J115">
        <f t="shared" si="83"/>
        <v>0</v>
      </c>
      <c r="K115">
        <f t="shared" ca="1" si="94"/>
        <v>0</v>
      </c>
      <c r="L115">
        <f t="shared" ca="1" si="84"/>
        <v>0</v>
      </c>
      <c r="M115">
        <f t="shared" si="72"/>
        <v>0</v>
      </c>
      <c r="N115">
        <f t="shared" si="73"/>
        <v>0</v>
      </c>
      <c r="O115">
        <f t="shared" si="85"/>
        <v>0</v>
      </c>
      <c r="P115">
        <f t="shared" si="86"/>
        <v>0</v>
      </c>
      <c r="Q115" t="e">
        <f t="shared" si="87"/>
        <v>#N/A</v>
      </c>
      <c r="R115" t="e">
        <f t="shared" si="88"/>
        <v>#N/A</v>
      </c>
      <c r="T115" t="e">
        <f t="shared" si="89"/>
        <v>#N/A</v>
      </c>
      <c r="U115" t="e">
        <f t="shared" si="90"/>
        <v>#N/A</v>
      </c>
      <c r="W115" s="4" t="e">
        <f t="shared" si="91"/>
        <v>#N/A</v>
      </c>
      <c r="X115" s="4" t="e">
        <f t="shared" si="92"/>
        <v>#N/A</v>
      </c>
      <c r="Y115">
        <f t="shared" si="74"/>
        <v>0</v>
      </c>
      <c r="AB115" t="str">
        <f t="shared" si="75"/>
        <v/>
      </c>
    </row>
    <row r="116" spans="1:28" x14ac:dyDescent="0.25">
      <c r="A116">
        <f t="shared" ref="A116:D116" si="98">A101</f>
        <v>7</v>
      </c>
      <c r="B116" s="1">
        <f t="shared" si="77"/>
        <v>-7.7781745930520225</v>
      </c>
      <c r="C116" s="1">
        <f t="shared" si="78"/>
        <v>-3.8890872965260104</v>
      </c>
      <c r="D116" t="str">
        <f t="shared" si="98"/>
        <v>n</v>
      </c>
      <c r="E116" s="4">
        <f t="shared" si="71"/>
        <v>0</v>
      </c>
      <c r="F116" s="1" t="e">
        <f t="shared" si="79"/>
        <v>#N/A</v>
      </c>
      <c r="G116" s="1" t="e">
        <f t="shared" si="80"/>
        <v>#N/A</v>
      </c>
      <c r="H116">
        <f t="shared" si="81"/>
        <v>0</v>
      </c>
      <c r="I116">
        <f t="shared" si="82"/>
        <v>0</v>
      </c>
      <c r="J116">
        <f t="shared" si="83"/>
        <v>0</v>
      </c>
      <c r="K116">
        <f t="shared" ca="1" si="94"/>
        <v>0</v>
      </c>
      <c r="L116">
        <f t="shared" ca="1" si="84"/>
        <v>0</v>
      </c>
      <c r="M116">
        <f t="shared" si="72"/>
        <v>0</v>
      </c>
      <c r="N116">
        <f t="shared" si="73"/>
        <v>0</v>
      </c>
      <c r="O116">
        <f t="shared" si="85"/>
        <v>0</v>
      </c>
      <c r="P116">
        <f t="shared" si="86"/>
        <v>0</v>
      </c>
      <c r="Q116" t="e">
        <f t="shared" si="87"/>
        <v>#N/A</v>
      </c>
      <c r="R116" t="e">
        <f t="shared" si="88"/>
        <v>#N/A</v>
      </c>
      <c r="T116" t="e">
        <f t="shared" si="89"/>
        <v>#N/A</v>
      </c>
      <c r="U116" t="e">
        <f t="shared" si="90"/>
        <v>#N/A</v>
      </c>
      <c r="W116" s="4" t="e">
        <f t="shared" si="91"/>
        <v>#N/A</v>
      </c>
      <c r="X116" s="4" t="e">
        <f t="shared" si="92"/>
        <v>#N/A</v>
      </c>
      <c r="Y116">
        <f t="shared" si="74"/>
        <v>0</v>
      </c>
      <c r="AB116" t="str">
        <f t="shared" si="75"/>
        <v/>
      </c>
    </row>
    <row r="117" spans="1:28" x14ac:dyDescent="0.25">
      <c r="A117">
        <f t="shared" ref="A117:D117" si="99">A102</f>
        <v>8</v>
      </c>
      <c r="B117" s="1">
        <f t="shared" si="77"/>
        <v>-7.7781745930520225</v>
      </c>
      <c r="C117" s="1">
        <f t="shared" si="78"/>
        <v>-3.8890872965260104</v>
      </c>
      <c r="D117" t="str">
        <f t="shared" si="99"/>
        <v>n</v>
      </c>
      <c r="E117" s="4">
        <f t="shared" si="71"/>
        <v>0</v>
      </c>
      <c r="F117" s="1" t="e">
        <f t="shared" si="79"/>
        <v>#N/A</v>
      </c>
      <c r="G117" s="1" t="e">
        <f t="shared" si="80"/>
        <v>#N/A</v>
      </c>
      <c r="H117">
        <f t="shared" si="81"/>
        <v>0</v>
      </c>
      <c r="I117">
        <f t="shared" si="82"/>
        <v>0</v>
      </c>
      <c r="J117">
        <f t="shared" si="83"/>
        <v>0</v>
      </c>
      <c r="K117">
        <f t="shared" ca="1" si="94"/>
        <v>0</v>
      </c>
      <c r="L117">
        <f t="shared" ca="1" si="84"/>
        <v>0</v>
      </c>
      <c r="M117">
        <f t="shared" si="72"/>
        <v>0</v>
      </c>
      <c r="N117">
        <f t="shared" si="73"/>
        <v>0</v>
      </c>
      <c r="O117">
        <f t="shared" si="85"/>
        <v>0</v>
      </c>
      <c r="P117">
        <f t="shared" si="86"/>
        <v>0</v>
      </c>
      <c r="Q117" t="e">
        <f t="shared" si="87"/>
        <v>#N/A</v>
      </c>
      <c r="R117" t="e">
        <f t="shared" si="88"/>
        <v>#N/A</v>
      </c>
      <c r="T117" t="e">
        <f t="shared" si="89"/>
        <v>#N/A</v>
      </c>
      <c r="U117" t="e">
        <f t="shared" si="90"/>
        <v>#N/A</v>
      </c>
      <c r="W117" s="4" t="e">
        <f t="shared" si="91"/>
        <v>#N/A</v>
      </c>
      <c r="X117" s="4" t="e">
        <f t="shared" si="92"/>
        <v>#N/A</v>
      </c>
      <c r="Y117">
        <f t="shared" si="74"/>
        <v>0</v>
      </c>
      <c r="AB117" t="str">
        <f t="shared" si="75"/>
        <v/>
      </c>
    </row>
    <row r="118" spans="1:28" x14ac:dyDescent="0.25">
      <c r="A118">
        <f t="shared" ref="A118:D118" si="100">A103</f>
        <v>9</v>
      </c>
      <c r="B118" s="1">
        <f t="shared" si="77"/>
        <v>-7.7781745930520225</v>
      </c>
      <c r="C118" s="1">
        <f t="shared" si="78"/>
        <v>-3.8890872965260104</v>
      </c>
      <c r="D118" t="str">
        <f t="shared" si="100"/>
        <v>n</v>
      </c>
      <c r="E118" s="4">
        <f t="shared" si="71"/>
        <v>0</v>
      </c>
      <c r="F118" s="1" t="e">
        <f t="shared" si="79"/>
        <v>#N/A</v>
      </c>
      <c r="G118" s="1" t="e">
        <f t="shared" si="80"/>
        <v>#N/A</v>
      </c>
      <c r="H118">
        <f t="shared" si="81"/>
        <v>0</v>
      </c>
      <c r="I118">
        <f t="shared" si="82"/>
        <v>0</v>
      </c>
      <c r="J118">
        <f t="shared" si="83"/>
        <v>0</v>
      </c>
      <c r="K118">
        <f t="shared" ca="1" si="94"/>
        <v>0</v>
      </c>
      <c r="L118">
        <f t="shared" ca="1" si="84"/>
        <v>0</v>
      </c>
      <c r="M118">
        <f t="shared" si="72"/>
        <v>0</v>
      </c>
      <c r="N118">
        <f t="shared" si="73"/>
        <v>0</v>
      </c>
      <c r="O118">
        <f t="shared" si="85"/>
        <v>0</v>
      </c>
      <c r="P118">
        <f t="shared" si="86"/>
        <v>0</v>
      </c>
      <c r="Q118" t="e">
        <f t="shared" si="87"/>
        <v>#N/A</v>
      </c>
      <c r="R118" t="e">
        <f t="shared" si="88"/>
        <v>#N/A</v>
      </c>
      <c r="T118" t="e">
        <f t="shared" si="89"/>
        <v>#N/A</v>
      </c>
      <c r="U118" t="e">
        <f t="shared" si="90"/>
        <v>#N/A</v>
      </c>
      <c r="W118" s="4" t="e">
        <f t="shared" si="91"/>
        <v>#N/A</v>
      </c>
      <c r="X118" s="4" t="e">
        <f t="shared" si="92"/>
        <v>#N/A</v>
      </c>
      <c r="Y118">
        <f t="shared" si="74"/>
        <v>0</v>
      </c>
      <c r="AB118" t="str">
        <f t="shared" si="75"/>
        <v/>
      </c>
    </row>
    <row r="119" spans="1:28" x14ac:dyDescent="0.25">
      <c r="A119">
        <f t="shared" ref="A119:D119" si="101">A104</f>
        <v>10</v>
      </c>
      <c r="B119" s="1">
        <f t="shared" si="77"/>
        <v>-7.7781745930520225</v>
      </c>
      <c r="C119" s="1">
        <f t="shared" si="78"/>
        <v>-3.8890872965260104</v>
      </c>
      <c r="D119" t="str">
        <f t="shared" si="101"/>
        <v>n</v>
      </c>
      <c r="E119" s="4">
        <f t="shared" si="71"/>
        <v>0</v>
      </c>
      <c r="F119" s="1" t="e">
        <f t="shared" si="79"/>
        <v>#N/A</v>
      </c>
      <c r="G119" s="1" t="e">
        <f t="shared" si="80"/>
        <v>#N/A</v>
      </c>
      <c r="H119">
        <f t="shared" si="81"/>
        <v>0</v>
      </c>
      <c r="I119">
        <f t="shared" si="82"/>
        <v>0</v>
      </c>
      <c r="J119">
        <f t="shared" si="83"/>
        <v>0</v>
      </c>
      <c r="K119">
        <f t="shared" ca="1" si="94"/>
        <v>0</v>
      </c>
      <c r="L119">
        <f t="shared" ca="1" si="84"/>
        <v>0</v>
      </c>
      <c r="M119">
        <f t="shared" si="72"/>
        <v>0</v>
      </c>
      <c r="N119">
        <f t="shared" si="73"/>
        <v>0</v>
      </c>
      <c r="O119">
        <f t="shared" si="85"/>
        <v>0</v>
      </c>
      <c r="P119">
        <f t="shared" si="86"/>
        <v>0</v>
      </c>
      <c r="Q119" t="e">
        <f t="shared" si="87"/>
        <v>#N/A</v>
      </c>
      <c r="R119" t="e">
        <f t="shared" si="88"/>
        <v>#N/A</v>
      </c>
      <c r="T119" t="e">
        <f t="shared" si="89"/>
        <v>#N/A</v>
      </c>
      <c r="U119" t="e">
        <f t="shared" si="90"/>
        <v>#N/A</v>
      </c>
      <c r="W119" s="4" t="e">
        <f t="shared" si="91"/>
        <v>#N/A</v>
      </c>
      <c r="X119" s="4" t="e">
        <f t="shared" si="92"/>
        <v>#N/A</v>
      </c>
      <c r="Y119">
        <f t="shared" si="74"/>
        <v>0</v>
      </c>
      <c r="AB119" t="str">
        <f t="shared" si="75"/>
        <v/>
      </c>
    </row>
    <row r="120" spans="1:28" x14ac:dyDescent="0.25">
      <c r="A120">
        <f t="shared" ref="A120:D120" si="102">A105</f>
        <v>11</v>
      </c>
      <c r="B120" s="1">
        <f t="shared" si="77"/>
        <v>-7.7781745930520225</v>
      </c>
      <c r="C120" s="1">
        <f t="shared" si="78"/>
        <v>-3.8890872965260104</v>
      </c>
      <c r="D120" t="str">
        <f t="shared" si="102"/>
        <v>n</v>
      </c>
      <c r="E120" s="4">
        <f t="shared" si="71"/>
        <v>0</v>
      </c>
      <c r="F120" s="1" t="e">
        <f t="shared" si="79"/>
        <v>#N/A</v>
      </c>
      <c r="G120" s="1" t="e">
        <f t="shared" si="80"/>
        <v>#N/A</v>
      </c>
      <c r="H120">
        <f t="shared" si="81"/>
        <v>0</v>
      </c>
      <c r="I120">
        <f t="shared" si="82"/>
        <v>0</v>
      </c>
      <c r="J120">
        <f t="shared" si="83"/>
        <v>0</v>
      </c>
      <c r="K120">
        <f t="shared" ca="1" si="94"/>
        <v>0</v>
      </c>
      <c r="L120">
        <f t="shared" ca="1" si="84"/>
        <v>0</v>
      </c>
      <c r="M120">
        <f t="shared" si="72"/>
        <v>0</v>
      </c>
      <c r="N120">
        <f t="shared" si="73"/>
        <v>0</v>
      </c>
      <c r="O120">
        <f t="shared" si="85"/>
        <v>0</v>
      </c>
      <c r="P120">
        <f t="shared" si="86"/>
        <v>0</v>
      </c>
      <c r="Q120" t="e">
        <f t="shared" si="87"/>
        <v>#N/A</v>
      </c>
      <c r="R120" t="e">
        <f t="shared" si="88"/>
        <v>#N/A</v>
      </c>
      <c r="T120" t="e">
        <f t="shared" si="89"/>
        <v>#N/A</v>
      </c>
      <c r="U120" t="e">
        <f t="shared" si="90"/>
        <v>#N/A</v>
      </c>
      <c r="W120" s="4" t="e">
        <f t="shared" si="91"/>
        <v>#N/A</v>
      </c>
      <c r="X120" s="4" t="e">
        <f t="shared" si="92"/>
        <v>#N/A</v>
      </c>
      <c r="Y120">
        <f t="shared" si="74"/>
        <v>0</v>
      </c>
      <c r="AB120" t="str">
        <f t="shared" si="75"/>
        <v/>
      </c>
    </row>
    <row r="121" spans="1:28" ht="15.75" thickBot="1" x14ac:dyDescent="0.3">
      <c r="A121">
        <f t="shared" ref="A121:D121" si="103">A106</f>
        <v>12</v>
      </c>
      <c r="B121" s="1">
        <f t="shared" si="77"/>
        <v>-7.7781745930520225</v>
      </c>
      <c r="C121" s="1">
        <f t="shared" si="78"/>
        <v>-3.8890872965260104</v>
      </c>
      <c r="D121" t="str">
        <f t="shared" si="103"/>
        <v>n</v>
      </c>
      <c r="E121" s="4">
        <f t="shared" si="71"/>
        <v>0</v>
      </c>
      <c r="F121" s="1" t="e">
        <f t="shared" si="79"/>
        <v>#N/A</v>
      </c>
      <c r="G121" s="1" t="e">
        <f t="shared" si="80"/>
        <v>#N/A</v>
      </c>
      <c r="H121" s="23">
        <f t="shared" si="81"/>
        <v>0</v>
      </c>
      <c r="I121" s="23">
        <f t="shared" si="82"/>
        <v>0</v>
      </c>
      <c r="J121" s="23">
        <f t="shared" si="83"/>
        <v>0</v>
      </c>
      <c r="K121">
        <f t="shared" ca="1" si="94"/>
        <v>0</v>
      </c>
      <c r="L121">
        <f t="shared" ca="1" si="84"/>
        <v>0</v>
      </c>
      <c r="M121">
        <f t="shared" si="72"/>
        <v>0</v>
      </c>
      <c r="N121" s="23">
        <f t="shared" si="73"/>
        <v>0</v>
      </c>
      <c r="O121" s="23">
        <f t="shared" si="85"/>
        <v>0</v>
      </c>
      <c r="P121" s="23">
        <f t="shared" si="86"/>
        <v>0</v>
      </c>
      <c r="Q121" t="e">
        <f t="shared" si="87"/>
        <v>#N/A</v>
      </c>
      <c r="R121" t="e">
        <f t="shared" si="88"/>
        <v>#N/A</v>
      </c>
      <c r="T121" t="e">
        <f t="shared" si="89"/>
        <v>#N/A</v>
      </c>
      <c r="U121" t="e">
        <f t="shared" si="90"/>
        <v>#N/A</v>
      </c>
      <c r="W121" s="4" t="e">
        <f t="shared" si="91"/>
        <v>#N/A</v>
      </c>
      <c r="X121" s="4" t="e">
        <f t="shared" si="92"/>
        <v>#N/A</v>
      </c>
      <c r="Y121">
        <f t="shared" si="74"/>
        <v>0</v>
      </c>
      <c r="AB121" t="str">
        <f t="shared" si="75"/>
        <v/>
      </c>
    </row>
    <row r="122" spans="1:28" ht="15.75" thickTop="1" x14ac:dyDescent="0.25">
      <c r="D122" s="10" t="s">
        <v>44</v>
      </c>
      <c r="E122" s="4">
        <f>MAX(E110:E121)</f>
        <v>0.47711455841329675</v>
      </c>
      <c r="H122">
        <f>SUM(H110:H121)</f>
        <v>-0.30281395218159618</v>
      </c>
      <c r="I122">
        <f t="shared" ref="I122:J122" si="104">SUM(I110:I121)</f>
        <v>1.3382612439094099</v>
      </c>
      <c r="J122">
        <f t="shared" si="104"/>
        <v>1.1102230246251565E-15</v>
      </c>
      <c r="L122">
        <f ca="1">MIN(L110:L121)</f>
        <v>-3.6793329549849383E-5</v>
      </c>
      <c r="M122">
        <f>MIN(M110:M121)</f>
        <v>-3.6793329549830538E-5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-3.9423028240026254</v>
      </c>
      <c r="F125" s="1" t="s">
        <v>27</v>
      </c>
      <c r="G125" s="1" t="s">
        <v>28</v>
      </c>
    </row>
    <row r="126" spans="1:28" x14ac:dyDescent="0.25">
      <c r="F126" s="4">
        <f>MIN(B84:B92)-1</f>
        <v>-8.7781745930520216</v>
      </c>
      <c r="G126" s="4">
        <f>B125</f>
        <v>-3.9423028240026254</v>
      </c>
      <c r="I126">
        <f>IF(OR($G$126&gt;MAX($C$84:$C$92)+5,$G$126&lt;MIN($C$84:$C$92)-5),NA(),F126)</f>
        <v>-8.7781745930520216</v>
      </c>
      <c r="J126">
        <f>IF(OR($G$126&gt;MAX($C$84:$C$92)+5,$G$126&lt;MIN($C$84:$C$92)-5),NA(),G126)</f>
        <v>-3.9423028240026254</v>
      </c>
    </row>
    <row r="127" spans="1:28" x14ac:dyDescent="0.25">
      <c r="F127" s="4">
        <f>MAX(B84:B92)+1</f>
        <v>8.7781745930520216</v>
      </c>
      <c r="G127" s="4">
        <f>G126</f>
        <v>-3.9423028240026254</v>
      </c>
      <c r="I127">
        <f>IF(OR($G$126&gt;MAX($C$84:$C$92)+5,$G$126&lt;MIN($C$84:$C$92)-5),NA(),F127)</f>
        <v>8.7781745930520216</v>
      </c>
      <c r="J127">
        <f>IF(OR($G$126&gt;MAX($C$84:$C$92)+5,$G$126&lt;MIN($C$84:$C$92)-5),NA(),G127)</f>
        <v>-3.9423028240026254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-7.7781745930520225</v>
      </c>
      <c r="C132" s="4">
        <f>C84</f>
        <v>-3.8890872965260104</v>
      </c>
      <c r="D132" s="4">
        <f t="shared" ref="D132:E139" si="105">B85</f>
        <v>-3.8890872965260117</v>
      </c>
      <c r="E132" s="4">
        <f t="shared" si="105"/>
        <v>-7.7781745930520216</v>
      </c>
      <c r="F132" s="4">
        <f t="shared" ref="F132:F139" si="106">($B$66/$B$65)*(C132-$B$125)</f>
        <v>1.6719979415649063E-2</v>
      </c>
      <c r="G132" s="4">
        <f t="shared" ref="G132:G139" si="107">($B$66/$B$65)*(E132-$B$125)</f>
        <v>-1.2052064512140546</v>
      </c>
      <c r="H132" s="4">
        <f>IF(B132=D132,"V",(C132-E132)/(B132-D132))</f>
        <v>-1.0000000000000002</v>
      </c>
      <c r="I132" s="4">
        <f>IF(H132="V",0,(-1*B132*H132)+C132)</f>
        <v>-11.667261889578034</v>
      </c>
      <c r="J132" s="4">
        <f>IF($F132&gt;=0,B132,IF(AND($F132&lt;0,$G132&gt;=0),IF(H132="V",B132,($B$125-I132)/H132),0))</f>
        <v>-7.7781745930520225</v>
      </c>
      <c r="K132" s="4">
        <f>IF($F132&gt;=0,C132,IF(AND($F132&lt;0,$G132&gt;=0),$B$125,0))</f>
        <v>-3.8890872965260104</v>
      </c>
      <c r="L132" s="4">
        <f>IF($G132&gt;=0,D132,IF(AND($G132&lt;0,$F132&gt;=0),IF(H132="V",D132,($B$125-I132)/H132),0))</f>
        <v>-7.7249590655754066</v>
      </c>
      <c r="M132" s="4">
        <f>IF($G132&gt;=0,E132,IF(AND($G132&lt;0,$F132&gt;=0),$B$125,0))</f>
        <v>-3.9423028240026254</v>
      </c>
      <c r="N132" s="4">
        <f>IF(F132&lt;0,0,F132)</f>
        <v>1.6719979415649063E-2</v>
      </c>
      <c r="O132" s="4">
        <f>IF(G132&lt;0,0,G132)</f>
        <v>0</v>
      </c>
      <c r="P132" s="4">
        <f>(1/6)*(M132-K132)*((N132*((2*J132)+L132))+(O132*(J132+(2*L132))))</f>
        <v>3.4524725986801374E-3</v>
      </c>
      <c r="Q132" s="4">
        <f>((1/12)*(M132-K132)*(N132*J132*((3*K132)+M132)+N132*L132*(K132+M132)+O132*J132*(K132+M132)+O132*L132*(K132+(3*M132))))</f>
        <v>-1.3488139049951895E-2</v>
      </c>
      <c r="R132" s="4">
        <f>((-1/24)*(M132-K132)*(J132*J132*((3*N132)+O132)+2*J132*L132*(N132+O132)+L132*L132*(N132+(3*O132))))</f>
        <v>1.3396381462720652E-2</v>
      </c>
      <c r="U132">
        <f>IF(AND(J132=0,K132=0,L132=0,M132=0),NA(),J132)</f>
        <v>-7.7781745930520225</v>
      </c>
      <c r="V132">
        <f>IF(AND(J132=0,K132=0,L132=0,M132=0),NA(),K132)</f>
        <v>-3.8890872965260104</v>
      </c>
      <c r="W132" s="9" t="str">
        <f>IF(AND(J132=0,K132=0,L132=0,M132=0),"",ROUND(N132,4)&amp;" ksi")</f>
        <v>0.0167 ksi</v>
      </c>
      <c r="X132">
        <f>(U132*COS(-1*$B$64))+(V132*SIN(-1*$B$64))</f>
        <v>-2.7499999999999996</v>
      </c>
      <c r="Y132">
        <f>(-1*U132*SIN(-1*$B$64))+(V132*COS(-1*$B$64))</f>
        <v>-8.25</v>
      </c>
      <c r="AA132" s="4">
        <f>X132+$B$9</f>
        <v>0</v>
      </c>
      <c r="AB132" s="4">
        <f>Y132+$C$9</f>
        <v>0</v>
      </c>
      <c r="AD132">
        <f>IF(AND(J132=0,K132=0,L132=0,M132=0),NA(),L132)</f>
        <v>-7.7249590655754066</v>
      </c>
      <c r="AE132">
        <f>IF(AND(J132=0,K132=0,L132=0,M132=0),NA(),M132)</f>
        <v>-3.9423028240026254</v>
      </c>
      <c r="AF132" s="9" t="str">
        <f>IF(AND(J132=0,K132=0,L132=0,M132=0),"",ROUND(O132,4)&amp;" ksi")</f>
        <v>0 ksi</v>
      </c>
      <c r="AG132">
        <f>IF(COUNTIF($U$132:$U$139,AD132)&gt;0,NA(),AD132)</f>
        <v>-7.7249590655754066</v>
      </c>
      <c r="AH132">
        <f>IF(AND(COUNTIF($V$132:$V$139,AE132)&gt;0,AF132&lt;&gt;"0 ksi"),NA(),AE132)</f>
        <v>-3.9423028240026254</v>
      </c>
      <c r="AI132" t="str">
        <f>IF(COUNTIF($U$132:$U$139,AD132)&gt;0,"",AF132)</f>
        <v>0 ksi</v>
      </c>
      <c r="AJ132">
        <f>(AG132*COS(-1*$B$64))+(AH132*SIN(-1*$B$64))</f>
        <v>-2.6747418793137321</v>
      </c>
      <c r="AK132">
        <f>(-1*AG132*SIN(-1*$B$64))+(AH132*COS(-1*$B$64))</f>
        <v>-8.2499999999999982</v>
      </c>
      <c r="AM132" s="4">
        <f>AJ132+$B$9</f>
        <v>7.5258120686267915E-2</v>
      </c>
      <c r="AN132" s="4">
        <f>AK132+$C$9</f>
        <v>0</v>
      </c>
    </row>
    <row r="133" spans="1:40" x14ac:dyDescent="0.25">
      <c r="A133" t="s">
        <v>70</v>
      </c>
      <c r="B133" s="4">
        <f t="shared" ref="B133:C138" si="108">D132</f>
        <v>-3.8890872965260117</v>
      </c>
      <c r="C133" s="4">
        <f t="shared" si="108"/>
        <v>-7.7781745930520216</v>
      </c>
      <c r="D133" s="4">
        <f t="shared" si="105"/>
        <v>0</v>
      </c>
      <c r="E133" s="4">
        <f t="shared" si="105"/>
        <v>-3.8890872965260113</v>
      </c>
      <c r="F133" s="4">
        <f t="shared" si="106"/>
        <v>-1.2052064512140546</v>
      </c>
      <c r="G133" s="4">
        <f t="shared" si="107"/>
        <v>1.6719979415648782E-2</v>
      </c>
      <c r="H133" s="4">
        <f t="shared" ref="H133:H139" si="109">IF(B133=D133,"V",(C133-E133)/(B133-D133))</f>
        <v>0.99999999999999967</v>
      </c>
      <c r="I133" s="4">
        <f t="shared" ref="I133:I139" si="110">IF(H133="V",0,(-1*B133*H133)+C133)</f>
        <v>-3.8890872965260113</v>
      </c>
      <c r="J133" s="4">
        <f t="shared" ref="J133:J139" si="111">IF($F133&gt;=0,B133,IF(AND($F133&lt;0,$G133&gt;=0),IF(H133="V",B133,($B$125-I133)/H133),0))</f>
        <v>-5.3215527476614198E-2</v>
      </c>
      <c r="K133" s="4">
        <f t="shared" ref="K133:K139" si="112">IF($F133&gt;=0,C133,IF(AND($F133&lt;0,$G133&gt;=0),$B$125,0))</f>
        <v>-3.9423028240026254</v>
      </c>
      <c r="L133" s="4">
        <f t="shared" ref="L133:L139" si="113">IF($G133&gt;=0,D133,IF(AND($G133&lt;0,$F133&gt;=0),IF(H133="V",D133,($B$125-I133)/H133),0))</f>
        <v>0</v>
      </c>
      <c r="M133" s="4">
        <f t="shared" ref="M133:M139" si="114">IF($G133&gt;=0,E133,IF(AND($G133&lt;0,$F133&gt;=0),$B$125,0))</f>
        <v>-3.8890872965260113</v>
      </c>
      <c r="N133" s="4">
        <f t="shared" ref="N133:N139" si="115">IF(F133&lt;0,0,F133)</f>
        <v>0</v>
      </c>
      <c r="O133" s="4">
        <f t="shared" ref="O133:O139" si="116">IF(G133&lt;0,0,G133)</f>
        <v>1.6719979415648782E-2</v>
      </c>
      <c r="P133" s="4">
        <f t="shared" ref="P133:P139" si="117">(1/6)*(M133-K133)*((N133*((2*J133)+L133))+(O133*(J133+(2*L133))))</f>
        <v>-7.8915303406139516E-6</v>
      </c>
      <c r="Q133" s="4">
        <f t="shared" ref="Q133:Q139" si="118">((1/12)*(M133-K133)*(N133*J133*((3*K133)+M133)+N133*L133*(K133+M133)+O133*J133*(K133+M133)+O133*L133*(K133+(3*M133))))</f>
        <v>3.0900826372668041E-5</v>
      </c>
      <c r="R133" s="4">
        <f t="shared" ref="R133:R139" si="119">((-1/24)*(M133-K133)*(J133*J133*((3*N133)+O133)+2*J133*L133*(N133+O133)+L133*L133*(N133+(3*O133))))</f>
        <v>-1.0498798741836907E-7</v>
      </c>
      <c r="U133">
        <f t="shared" ref="U133:U153" si="120">IF(AND(J133=0,K133=0,L133=0,M133=0),NA(),J133)</f>
        <v>-5.3215527476614198E-2</v>
      </c>
      <c r="V133">
        <f t="shared" ref="V133:V153" si="121">IF(AND(J133=0,K133=0,L133=0,M133=0),NA(),K133)</f>
        <v>-3.9423028240026254</v>
      </c>
      <c r="W133" s="9" t="str">
        <f t="shared" ref="W133:W144" si="122">IF(AND(J133=0,K133=0,L133=0,M133=0),"",ROUND(N133,4)&amp;" ksi")</f>
        <v>0 ksi</v>
      </c>
      <c r="X133">
        <f t="shared" ref="X133:X139" si="123">(U133*COS(-1*$B$64))+(V133*SIN(-1*$B$64))</f>
        <v>2.75</v>
      </c>
      <c r="Y133">
        <f t="shared" ref="Y133:Y139" si="124">(-1*U133*SIN(-1*$B$64))+(V133*COS(-1*$B$64))</f>
        <v>-2.8252581206862657</v>
      </c>
      <c r="AA133" s="4">
        <f t="shared" ref="AA133:AA139" si="125">X133+$B$9</f>
        <v>5.5</v>
      </c>
      <c r="AB133" s="4">
        <f t="shared" ref="AB133:AB139" si="126">Y133+$C$9</f>
        <v>5.4247418793137339</v>
      </c>
      <c r="AD133">
        <f t="shared" ref="AD133:AD139" si="127">IF(AND(J133=0,K133=0,L133=0,M133=0),NA(),L133)</f>
        <v>0</v>
      </c>
      <c r="AE133">
        <f t="shared" ref="AE133:AE139" si="128">IF(AND(J133=0,K133=0,L133=0,M133=0),NA(),M133)</f>
        <v>-3.8890872965260113</v>
      </c>
      <c r="AF133" s="9" t="str">
        <f t="shared" ref="AF133:AF139" si="129">IF(AND(J133=0,K133=0,L133=0,M133=0),"",ROUND(O133,4)&amp;" ksi")</f>
        <v>0.0167 ksi</v>
      </c>
      <c r="AG133" t="e">
        <f t="shared" ref="AG133:AG139" si="130">IF(COUNTIF($U$132:$U$139,AD133)&gt;0,NA(),AD133)</f>
        <v>#N/A</v>
      </c>
      <c r="AH133" t="e">
        <f t="shared" ref="AH133:AH139" si="131">IF(AND(COUNTIF($V$132:$V$139,AE133)&gt;0,AF133&lt;&gt;"0 ksi"),NA(),AE133)</f>
        <v>#N/A</v>
      </c>
      <c r="AI133" t="str">
        <f t="shared" ref="AI133:AI139" si="132">IF(COUNTIF($U$132:$U$139,AD133)&gt;0,"",AF133)</f>
        <v/>
      </c>
      <c r="AJ133" t="e">
        <f t="shared" ref="AJ133:AJ139" si="133">(AG133*COS(-1*$B$64))+(AH133*SIN(-1*$B$64))</f>
        <v>#N/A</v>
      </c>
      <c r="AK133" t="e">
        <f t="shared" ref="AK133:AK139" si="134">(-1*AG133*SIN(-1*$B$64))+(AH133*COS(-1*$B$64))</f>
        <v>#N/A</v>
      </c>
      <c r="AM133" s="4" t="e">
        <f t="shared" ref="AM133:AM139" si="135">AJ133+$B$9</f>
        <v>#N/A</v>
      </c>
      <c r="AN133" s="4" t="e">
        <f t="shared" ref="AN133:AN139" si="136">AK133+$C$9</f>
        <v>#N/A</v>
      </c>
    </row>
    <row r="134" spans="1:40" x14ac:dyDescent="0.25">
      <c r="A134" t="s">
        <v>71</v>
      </c>
      <c r="B134" s="4">
        <f t="shared" si="108"/>
        <v>0</v>
      </c>
      <c r="C134" s="4">
        <f t="shared" si="108"/>
        <v>-3.8890872965260113</v>
      </c>
      <c r="D134" s="4">
        <f t="shared" si="105"/>
        <v>3.8890872965260104</v>
      </c>
      <c r="E134" s="4">
        <f t="shared" si="105"/>
        <v>-7.7781745930520225</v>
      </c>
      <c r="F134" s="4">
        <f t="shared" si="106"/>
        <v>1.6719979415648782E-2</v>
      </c>
      <c r="G134" s="4">
        <f t="shared" si="107"/>
        <v>-1.2052064512140548</v>
      </c>
      <c r="H134" s="4">
        <f t="shared" si="109"/>
        <v>-1.0000000000000002</v>
      </c>
      <c r="I134" s="4">
        <f t="shared" si="110"/>
        <v>-3.8890872965260113</v>
      </c>
      <c r="J134" s="4">
        <f t="shared" si="111"/>
        <v>0</v>
      </c>
      <c r="K134" s="4">
        <f t="shared" si="112"/>
        <v>-3.8890872965260113</v>
      </c>
      <c r="L134" s="4">
        <f t="shared" si="113"/>
        <v>5.3215527476614163E-2</v>
      </c>
      <c r="M134" s="4">
        <f t="shared" si="114"/>
        <v>-3.9423028240026254</v>
      </c>
      <c r="N134" s="4">
        <f t="shared" si="115"/>
        <v>1.6719979415648782E-2</v>
      </c>
      <c r="O134" s="4">
        <f t="shared" si="116"/>
        <v>0</v>
      </c>
      <c r="P134" s="4">
        <f t="shared" si="117"/>
        <v>-7.8915303406139448E-6</v>
      </c>
      <c r="Q134" s="4">
        <f t="shared" si="118"/>
        <v>3.090082637266802E-5</v>
      </c>
      <c r="R134" s="4">
        <f t="shared" si="119"/>
        <v>1.0498798741836894E-7</v>
      </c>
      <c r="U134">
        <f t="shared" si="120"/>
        <v>0</v>
      </c>
      <c r="V134">
        <f t="shared" si="121"/>
        <v>-3.8890872965260113</v>
      </c>
      <c r="W134" s="9" t="str">
        <f t="shared" si="122"/>
        <v>0.0167 ksi</v>
      </c>
      <c r="X134">
        <f t="shared" si="123"/>
        <v>2.75</v>
      </c>
      <c r="Y134">
        <f t="shared" si="124"/>
        <v>-2.7499999999999996</v>
      </c>
      <c r="AA134" s="4">
        <f t="shared" si="125"/>
        <v>5.5</v>
      </c>
      <c r="AB134" s="4">
        <f t="shared" si="126"/>
        <v>5.5</v>
      </c>
      <c r="AD134">
        <f t="shared" si="127"/>
        <v>5.3215527476614163E-2</v>
      </c>
      <c r="AE134">
        <f t="shared" si="128"/>
        <v>-3.9423028240026254</v>
      </c>
      <c r="AF134" s="9" t="str">
        <f t="shared" si="129"/>
        <v>0 ksi</v>
      </c>
      <c r="AG134">
        <f t="shared" si="130"/>
        <v>5.3215527476614163E-2</v>
      </c>
      <c r="AH134">
        <f t="shared" si="131"/>
        <v>-3.9423028240026254</v>
      </c>
      <c r="AI134" t="str">
        <f t="shared" si="132"/>
        <v>0 ksi</v>
      </c>
      <c r="AJ134">
        <f t="shared" si="133"/>
        <v>2.8252581206862661</v>
      </c>
      <c r="AK134">
        <f t="shared" si="134"/>
        <v>-2.7499999999999996</v>
      </c>
      <c r="AM134" s="4">
        <f t="shared" si="135"/>
        <v>5.5752581206862661</v>
      </c>
      <c r="AN134" s="4">
        <f t="shared" si="136"/>
        <v>5.5</v>
      </c>
    </row>
    <row r="135" spans="1:40" x14ac:dyDescent="0.25">
      <c r="A135" t="s">
        <v>72</v>
      </c>
      <c r="B135" s="4">
        <f t="shared" si="108"/>
        <v>3.8890872965260104</v>
      </c>
      <c r="C135" s="4">
        <f t="shared" si="108"/>
        <v>-7.7781745930520225</v>
      </c>
      <c r="D135" s="4">
        <f t="shared" si="105"/>
        <v>7.7781745930520216</v>
      </c>
      <c r="E135" s="4">
        <f t="shared" si="105"/>
        <v>-3.8890872965260117</v>
      </c>
      <c r="F135" s="4">
        <f t="shared" si="106"/>
        <v>-1.2052064512140548</v>
      </c>
      <c r="G135" s="4">
        <f t="shared" si="107"/>
        <v>1.6719979415648643E-2</v>
      </c>
      <c r="H135" s="4">
        <f t="shared" si="109"/>
        <v>0.99999999999999989</v>
      </c>
      <c r="I135" s="4">
        <f t="shared" si="110"/>
        <v>-11.667261889578032</v>
      </c>
      <c r="J135" s="4">
        <f t="shared" si="111"/>
        <v>7.7249590655754075</v>
      </c>
      <c r="K135" s="4">
        <f t="shared" si="112"/>
        <v>-3.9423028240026254</v>
      </c>
      <c r="L135" s="4">
        <f t="shared" si="113"/>
        <v>7.7781745930520216</v>
      </c>
      <c r="M135" s="4">
        <f t="shared" si="114"/>
        <v>-3.8890872965260117</v>
      </c>
      <c r="N135" s="4">
        <f t="shared" si="115"/>
        <v>0</v>
      </c>
      <c r="O135" s="4">
        <f t="shared" si="116"/>
        <v>1.6719979415648643E-2</v>
      </c>
      <c r="P135" s="4">
        <f t="shared" si="117"/>
        <v>3.4524725986799644E-3</v>
      </c>
      <c r="Q135" s="4">
        <f t="shared" si="118"/>
        <v>-1.348813904995122E-2</v>
      </c>
      <c r="R135" s="4">
        <f t="shared" si="119"/>
        <v>-1.3396381462719981E-2</v>
      </c>
      <c r="U135">
        <f t="shared" si="120"/>
        <v>7.7249590655754075</v>
      </c>
      <c r="V135">
        <f t="shared" si="121"/>
        <v>-3.9423028240026254</v>
      </c>
      <c r="W135" s="9" t="str">
        <f t="shared" si="122"/>
        <v>0 ksi</v>
      </c>
      <c r="X135">
        <f t="shared" si="123"/>
        <v>8.25</v>
      </c>
      <c r="Y135">
        <f t="shared" si="124"/>
        <v>2.6747418793137343</v>
      </c>
      <c r="AA135" s="4">
        <f t="shared" si="125"/>
        <v>11</v>
      </c>
      <c r="AB135" s="4">
        <f t="shared" si="126"/>
        <v>10.924741879313734</v>
      </c>
      <c r="AD135">
        <f t="shared" si="127"/>
        <v>7.7781745930520216</v>
      </c>
      <c r="AE135">
        <f t="shared" si="128"/>
        <v>-3.8890872965260117</v>
      </c>
      <c r="AF135" s="9" t="str">
        <f t="shared" si="129"/>
        <v>0.0167 ksi</v>
      </c>
      <c r="AG135" t="e">
        <f t="shared" si="130"/>
        <v>#N/A</v>
      </c>
      <c r="AH135" t="e">
        <f t="shared" si="131"/>
        <v>#N/A</v>
      </c>
      <c r="AI135" t="str">
        <f t="shared" si="132"/>
        <v/>
      </c>
      <c r="AJ135" t="e">
        <f t="shared" si="133"/>
        <v>#N/A</v>
      </c>
      <c r="AK135" t="e">
        <f t="shared" si="134"/>
        <v>#N/A</v>
      </c>
      <c r="AM135" s="4" t="e">
        <f t="shared" si="135"/>
        <v>#N/A</v>
      </c>
      <c r="AN135" s="4" t="e">
        <f t="shared" si="136"/>
        <v>#N/A</v>
      </c>
    </row>
    <row r="136" spans="1:40" x14ac:dyDescent="0.25">
      <c r="A136" t="s">
        <v>73</v>
      </c>
      <c r="B136" s="4">
        <f t="shared" si="108"/>
        <v>7.7781745930520216</v>
      </c>
      <c r="C136" s="4">
        <f t="shared" si="108"/>
        <v>-3.8890872965260117</v>
      </c>
      <c r="D136" s="4">
        <f t="shared" si="105"/>
        <v>0</v>
      </c>
      <c r="E136" s="4">
        <f t="shared" si="105"/>
        <v>3.8890872965260113</v>
      </c>
      <c r="F136" s="4">
        <f t="shared" si="106"/>
        <v>1.6719979415648643E-2</v>
      </c>
      <c r="G136" s="4">
        <f t="shared" si="107"/>
        <v>2.4605728406750562</v>
      </c>
      <c r="H136" s="4">
        <f t="shared" si="109"/>
        <v>-1.0000000000000002</v>
      </c>
      <c r="I136" s="4">
        <f t="shared" si="110"/>
        <v>3.8890872965260117</v>
      </c>
      <c r="J136" s="4">
        <f t="shared" si="111"/>
        <v>7.7781745930520216</v>
      </c>
      <c r="K136" s="4">
        <f t="shared" si="112"/>
        <v>-3.8890872965260117</v>
      </c>
      <c r="L136" s="4">
        <f t="shared" si="113"/>
        <v>0</v>
      </c>
      <c r="M136" s="4">
        <f t="shared" si="114"/>
        <v>3.8890872965260113</v>
      </c>
      <c r="N136" s="4">
        <f t="shared" si="115"/>
        <v>1.6719979415648643E-2</v>
      </c>
      <c r="O136" s="4">
        <f t="shared" si="116"/>
        <v>2.4605728406750562</v>
      </c>
      <c r="P136" s="4">
        <f t="shared" si="117"/>
        <v>25.147962395022397</v>
      </c>
      <c r="Q136" s="4">
        <f t="shared" si="118"/>
        <v>-0.6556733837310591</v>
      </c>
      <c r="R136" s="4">
        <f t="shared" si="119"/>
        <v>-49.229147233863245</v>
      </c>
      <c r="U136">
        <f t="shared" si="120"/>
        <v>7.7781745930520216</v>
      </c>
      <c r="V136">
        <f t="shared" si="121"/>
        <v>-3.8890872965260117</v>
      </c>
      <c r="W136" s="9" t="str">
        <f t="shared" si="122"/>
        <v>0.0167 ksi</v>
      </c>
      <c r="X136">
        <f t="shared" si="123"/>
        <v>8.25</v>
      </c>
      <c r="Y136">
        <f t="shared" si="124"/>
        <v>2.75</v>
      </c>
      <c r="AA136" s="4">
        <f t="shared" si="125"/>
        <v>11</v>
      </c>
      <c r="AB136" s="4">
        <f t="shared" si="126"/>
        <v>11</v>
      </c>
      <c r="AD136">
        <f t="shared" si="127"/>
        <v>0</v>
      </c>
      <c r="AE136">
        <f t="shared" si="128"/>
        <v>3.8890872965260113</v>
      </c>
      <c r="AF136" s="9" t="str">
        <f t="shared" si="129"/>
        <v>2.4606 ksi</v>
      </c>
      <c r="AG136" t="e">
        <f t="shared" si="130"/>
        <v>#N/A</v>
      </c>
      <c r="AH136" t="e">
        <f t="shared" si="131"/>
        <v>#N/A</v>
      </c>
      <c r="AI136" t="str">
        <f t="shared" si="132"/>
        <v/>
      </c>
      <c r="AJ136" t="e">
        <f t="shared" si="133"/>
        <v>#N/A</v>
      </c>
      <c r="AK136" t="e">
        <f t="shared" si="134"/>
        <v>#N/A</v>
      </c>
      <c r="AM136" s="4" t="e">
        <f t="shared" si="135"/>
        <v>#N/A</v>
      </c>
      <c r="AN136" s="4" t="e">
        <f t="shared" si="136"/>
        <v>#N/A</v>
      </c>
    </row>
    <row r="137" spans="1:40" x14ac:dyDescent="0.25">
      <c r="A137" t="s">
        <v>74</v>
      </c>
      <c r="B137" s="4">
        <f t="shared" si="108"/>
        <v>0</v>
      </c>
      <c r="C137" s="4">
        <f t="shared" si="108"/>
        <v>3.8890872965260113</v>
      </c>
      <c r="D137" s="4">
        <f t="shared" si="105"/>
        <v>-7.7781745930520225</v>
      </c>
      <c r="E137" s="4">
        <f t="shared" si="105"/>
        <v>-3.8890872965260104</v>
      </c>
      <c r="F137" s="4">
        <f t="shared" si="106"/>
        <v>2.4605728406750562</v>
      </c>
      <c r="G137" s="4">
        <f t="shared" si="107"/>
        <v>1.6719979415649063E-2</v>
      </c>
      <c r="H137" s="4">
        <f t="shared" si="109"/>
        <v>0.99999999999999989</v>
      </c>
      <c r="I137" s="4">
        <f t="shared" si="110"/>
        <v>3.8890872965260113</v>
      </c>
      <c r="J137" s="4">
        <f t="shared" si="111"/>
        <v>0</v>
      </c>
      <c r="K137" s="4">
        <f t="shared" si="112"/>
        <v>3.8890872965260113</v>
      </c>
      <c r="L137" s="4">
        <f t="shared" si="113"/>
        <v>-7.7781745930520225</v>
      </c>
      <c r="M137" s="4">
        <f t="shared" si="114"/>
        <v>-3.8890872965260104</v>
      </c>
      <c r="N137" s="4">
        <f t="shared" si="115"/>
        <v>2.4605728406750562</v>
      </c>
      <c r="O137" s="4">
        <f t="shared" si="116"/>
        <v>1.6719979415649063E-2</v>
      </c>
      <c r="P137" s="4">
        <f t="shared" si="117"/>
        <v>25.147962395022397</v>
      </c>
      <c r="Q137" s="4">
        <f t="shared" si="118"/>
        <v>-0.65567338373105832</v>
      </c>
      <c r="R137" s="4">
        <f t="shared" si="119"/>
        <v>49.229147233863259</v>
      </c>
      <c r="U137">
        <f t="shared" si="120"/>
        <v>0</v>
      </c>
      <c r="V137">
        <f t="shared" si="121"/>
        <v>3.8890872965260113</v>
      </c>
      <c r="W137" s="9" t="str">
        <f t="shared" si="122"/>
        <v>2.4606 ksi</v>
      </c>
      <c r="X137">
        <f t="shared" si="123"/>
        <v>-2.75</v>
      </c>
      <c r="Y137">
        <f t="shared" si="124"/>
        <v>2.7499999999999996</v>
      </c>
      <c r="AA137" s="4">
        <f t="shared" si="125"/>
        <v>0</v>
      </c>
      <c r="AB137" s="4">
        <f t="shared" si="126"/>
        <v>11</v>
      </c>
      <c r="AD137">
        <f t="shared" si="127"/>
        <v>-7.7781745930520225</v>
      </c>
      <c r="AE137">
        <f t="shared" si="128"/>
        <v>-3.8890872965260104</v>
      </c>
      <c r="AF137" s="9" t="str">
        <f t="shared" si="129"/>
        <v>0.0167 ksi</v>
      </c>
      <c r="AG137" t="e">
        <f t="shared" si="130"/>
        <v>#N/A</v>
      </c>
      <c r="AH137" t="e">
        <f t="shared" si="131"/>
        <v>#N/A</v>
      </c>
      <c r="AI137" t="str">
        <f t="shared" si="132"/>
        <v/>
      </c>
      <c r="AJ137" t="e">
        <f t="shared" si="133"/>
        <v>#N/A</v>
      </c>
      <c r="AK137" t="e">
        <f t="shared" si="134"/>
        <v>#N/A</v>
      </c>
      <c r="AM137" s="4" t="e">
        <f t="shared" si="135"/>
        <v>#N/A</v>
      </c>
      <c r="AN137" s="4" t="e">
        <f t="shared" si="136"/>
        <v>#N/A</v>
      </c>
    </row>
    <row r="138" spans="1:40" x14ac:dyDescent="0.25">
      <c r="A138" t="s">
        <v>75</v>
      </c>
      <c r="B138" s="4">
        <f t="shared" si="108"/>
        <v>-7.7781745930520225</v>
      </c>
      <c r="C138" s="4">
        <f t="shared" si="108"/>
        <v>-3.8890872965260104</v>
      </c>
      <c r="D138" s="4">
        <f t="shared" si="105"/>
        <v>-7.7781745930520225</v>
      </c>
      <c r="E138" s="4">
        <f t="shared" si="105"/>
        <v>-3.8890872965260104</v>
      </c>
      <c r="F138" s="4">
        <f t="shared" si="106"/>
        <v>1.6719979415649063E-2</v>
      </c>
      <c r="G138" s="4">
        <f t="shared" si="107"/>
        <v>1.6719979415649063E-2</v>
      </c>
      <c r="H138" s="4" t="str">
        <f t="shared" si="109"/>
        <v>V</v>
      </c>
      <c r="I138" s="4">
        <f t="shared" si="110"/>
        <v>0</v>
      </c>
      <c r="J138" s="4">
        <f t="shared" si="111"/>
        <v>-7.7781745930520225</v>
      </c>
      <c r="K138" s="4">
        <f t="shared" si="112"/>
        <v>-3.8890872965260104</v>
      </c>
      <c r="L138" s="4">
        <f t="shared" si="113"/>
        <v>-7.7781745930520225</v>
      </c>
      <c r="M138" s="4">
        <f t="shared" si="114"/>
        <v>-3.8890872965260104</v>
      </c>
      <c r="N138" s="4">
        <f t="shared" si="115"/>
        <v>1.6719979415649063E-2</v>
      </c>
      <c r="O138" s="4">
        <f t="shared" si="116"/>
        <v>1.6719979415649063E-2</v>
      </c>
      <c r="P138" s="30">
        <f t="shared" si="117"/>
        <v>0</v>
      </c>
      <c r="Q138" s="30">
        <f t="shared" si="118"/>
        <v>0</v>
      </c>
      <c r="R138" s="30">
        <f t="shared" si="119"/>
        <v>0</v>
      </c>
      <c r="U138">
        <f t="shared" si="120"/>
        <v>-7.7781745930520225</v>
      </c>
      <c r="V138">
        <f t="shared" si="121"/>
        <v>-3.8890872965260104</v>
      </c>
      <c r="W138" s="9" t="str">
        <f t="shared" si="122"/>
        <v>0.0167 ksi</v>
      </c>
      <c r="X138">
        <f t="shared" si="123"/>
        <v>-2.7499999999999996</v>
      </c>
      <c r="Y138">
        <f t="shared" si="124"/>
        <v>-8.25</v>
      </c>
      <c r="AA138" s="4">
        <f t="shared" si="125"/>
        <v>0</v>
      </c>
      <c r="AB138" s="4">
        <f t="shared" si="126"/>
        <v>0</v>
      </c>
      <c r="AD138">
        <f t="shared" si="127"/>
        <v>-7.7781745930520225</v>
      </c>
      <c r="AE138">
        <f t="shared" si="128"/>
        <v>-3.8890872965260104</v>
      </c>
      <c r="AF138" s="9" t="str">
        <f t="shared" si="129"/>
        <v>0.0167 ksi</v>
      </c>
      <c r="AG138" t="e">
        <f t="shared" si="130"/>
        <v>#N/A</v>
      </c>
      <c r="AH138" t="e">
        <f t="shared" si="131"/>
        <v>#N/A</v>
      </c>
      <c r="AI138" t="str">
        <f t="shared" si="132"/>
        <v/>
      </c>
      <c r="AJ138" t="e">
        <f t="shared" si="133"/>
        <v>#N/A</v>
      </c>
      <c r="AK138" t="e">
        <f t="shared" si="134"/>
        <v>#N/A</v>
      </c>
      <c r="AM138" s="4" t="e">
        <f t="shared" si="135"/>
        <v>#N/A</v>
      </c>
      <c r="AN138" s="4" t="e">
        <f t="shared" si="136"/>
        <v>#N/A</v>
      </c>
    </row>
    <row r="139" spans="1:40" ht="15.75" thickBot="1" x14ac:dyDescent="0.3">
      <c r="A139" t="s">
        <v>134</v>
      </c>
      <c r="B139" s="4">
        <f>D138</f>
        <v>-7.7781745930520225</v>
      </c>
      <c r="C139" s="4">
        <f>E138</f>
        <v>-3.8890872965260104</v>
      </c>
      <c r="D139" s="4">
        <f t="shared" si="105"/>
        <v>-7.7781745930520225</v>
      </c>
      <c r="E139" s="4">
        <f t="shared" si="105"/>
        <v>-3.8890872965260104</v>
      </c>
      <c r="F139" s="4">
        <f t="shared" si="106"/>
        <v>1.6719979415649063E-2</v>
      </c>
      <c r="G139" s="4">
        <f t="shared" si="107"/>
        <v>1.6719979415649063E-2</v>
      </c>
      <c r="H139" s="4" t="str">
        <f t="shared" si="109"/>
        <v>V</v>
      </c>
      <c r="I139" s="4">
        <f t="shared" si="110"/>
        <v>0</v>
      </c>
      <c r="J139" s="4">
        <f t="shared" si="111"/>
        <v>-7.7781745930520225</v>
      </c>
      <c r="K139" s="4">
        <f t="shared" si="112"/>
        <v>-3.8890872965260104</v>
      </c>
      <c r="L139" s="4">
        <f t="shared" si="113"/>
        <v>-7.7781745930520225</v>
      </c>
      <c r="M139" s="4">
        <f t="shared" si="114"/>
        <v>-3.8890872965260104</v>
      </c>
      <c r="N139" s="4">
        <f t="shared" si="115"/>
        <v>1.6719979415649063E-2</v>
      </c>
      <c r="O139" s="4">
        <f t="shared" si="116"/>
        <v>1.6719979415649063E-2</v>
      </c>
      <c r="P139" s="31">
        <f t="shared" si="117"/>
        <v>0</v>
      </c>
      <c r="Q139" s="31">
        <f t="shared" si="118"/>
        <v>0</v>
      </c>
      <c r="R139" s="31">
        <f t="shared" si="119"/>
        <v>0</v>
      </c>
      <c r="U139">
        <f t="shared" si="120"/>
        <v>-7.7781745930520225</v>
      </c>
      <c r="V139">
        <f t="shared" si="121"/>
        <v>-3.8890872965260104</v>
      </c>
      <c r="W139" s="9" t="str">
        <f t="shared" si="122"/>
        <v>0.0167 ksi</v>
      </c>
      <c r="X139">
        <f t="shared" si="123"/>
        <v>-2.7499999999999996</v>
      </c>
      <c r="Y139">
        <f t="shared" si="124"/>
        <v>-8.25</v>
      </c>
      <c r="AA139" s="4">
        <f t="shared" si="125"/>
        <v>0</v>
      </c>
      <c r="AB139" s="4">
        <f t="shared" si="126"/>
        <v>0</v>
      </c>
      <c r="AD139">
        <f t="shared" si="127"/>
        <v>-7.7781745930520225</v>
      </c>
      <c r="AE139">
        <f t="shared" si="128"/>
        <v>-3.8890872965260104</v>
      </c>
      <c r="AF139" s="9" t="str">
        <f t="shared" si="129"/>
        <v>0.0167 ksi</v>
      </c>
      <c r="AG139" t="e">
        <f t="shared" si="130"/>
        <v>#N/A</v>
      </c>
      <c r="AH139" t="e">
        <f t="shared" si="131"/>
        <v>#N/A</v>
      </c>
      <c r="AI139" t="str">
        <f t="shared" si="132"/>
        <v/>
      </c>
      <c r="AJ139" t="e">
        <f t="shared" si="133"/>
        <v>#N/A</v>
      </c>
      <c r="AK139" t="e">
        <f t="shared" si="134"/>
        <v>#N/A</v>
      </c>
      <c r="AM139" s="4" t="e">
        <f t="shared" si="135"/>
        <v>#N/A</v>
      </c>
      <c r="AN139" s="4" t="e">
        <f t="shared" si="136"/>
        <v>#N/A</v>
      </c>
    </row>
    <row r="140" spans="1:40" ht="15.75" thickTop="1" x14ac:dyDescent="0.25">
      <c r="P140" s="4">
        <f>SUM(P132:P139)</f>
        <v>50.302813952181474</v>
      </c>
      <c r="Q140" s="4">
        <f>SUM(Q132:Q139)</f>
        <v>-1.3382612439092751</v>
      </c>
      <c r="R140" s="4">
        <f>SUM(R132:R139)</f>
        <v>1.4210854715202004E-14</v>
      </c>
      <c r="T140" t="str">
        <f>ROUND(P140,4)&amp;" kips"</f>
        <v>50.3028 kips</v>
      </c>
      <c r="W140" s="9" t="str">
        <f t="shared" si="122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22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-2.8250615817856694E-16</v>
      </c>
      <c r="W142" s="9" t="str">
        <f t="shared" si="122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-2.6604103006671636E-2</v>
      </c>
      <c r="W143" s="9" t="str">
        <f t="shared" si="122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22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20"/>
        <v>xi' (in)</v>
      </c>
      <c r="V145" t="str">
        <f t="shared" si="121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-7.7781745930520225</v>
      </c>
      <c r="C146" s="9">
        <f>J84</f>
        <v>-3.8890872965260104</v>
      </c>
      <c r="D146" s="9">
        <f t="shared" ref="D146:E153" si="137">I85</f>
        <v>-7.7781745930520225</v>
      </c>
      <c r="E146">
        <f t="shared" si="137"/>
        <v>-3.8890872965260104</v>
      </c>
      <c r="F146" s="4">
        <f>($B$66/$B$65)*(C146-$B$125)</f>
        <v>1.6719979415649063E-2</v>
      </c>
      <c r="G146" s="4">
        <f>($B$66/$B$65)*(E146-$B$125)</f>
        <v>1.6719979415649063E-2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-7.7781745930520225</v>
      </c>
      <c r="K146" s="4">
        <f>IF($F146&gt;=0,C146,IF(AND($F146&lt;0,$G146&gt;=0),$B$125,0))</f>
        <v>-3.8890872965260104</v>
      </c>
      <c r="L146" s="4">
        <f>IF($G146&gt;=0,D146,IF(AND($G146&lt;0,$F146&gt;=0),IF(H146="V",D146,($B$125-I146)/H146),0))</f>
        <v>-7.7781745930520225</v>
      </c>
      <c r="M146" s="4">
        <f>IF($G146&gt;=0,E146,IF(AND($G146&lt;0,$F146&gt;=0),$B$125,0))</f>
        <v>-3.8890872965260104</v>
      </c>
      <c r="N146" s="4">
        <f>IF(F146&lt;0,0,F146)</f>
        <v>1.6719979415649063E-2</v>
      </c>
      <c r="O146" s="4">
        <f>IF(G146&lt;0,0,G146)</f>
        <v>1.6719979415649063E-2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>
        <f t="shared" si="120"/>
        <v>-7.7781745930520225</v>
      </c>
      <c r="V146">
        <f t="shared" si="121"/>
        <v>-3.8890872965260104</v>
      </c>
      <c r="W146" s="9" t="str">
        <f>IF($D$34=0,"",IF(AND(J146=0,K146=0,L146=0,M146=0),"",CHAR(10)&amp;CHAR(10)&amp;-1*ROUND(N146,4)&amp;" ksi"))</f>
        <v/>
      </c>
      <c r="X146">
        <f t="shared" ref="X146:X153" si="138">(U146*COS(-1*$B$64))+(V146*SIN(-1*$B$64))</f>
        <v>-2.7499999999999996</v>
      </c>
      <c r="Y146">
        <f t="shared" ref="Y146:Y153" si="139">(-1*U146*SIN(-1*$B$64))+(V146*COS(-1*$B$64))</f>
        <v>-8.25</v>
      </c>
      <c r="AA146" s="4">
        <f t="shared" ref="AA146:AA153" si="140">X146+$B$9</f>
        <v>0</v>
      </c>
      <c r="AB146" s="4">
        <f t="shared" ref="AB146:AB153" si="141">Y146+$C$9</f>
        <v>0</v>
      </c>
      <c r="AD146">
        <f t="shared" ref="AD146:AD153" si="142">IF(AND(J146=0,K146=0,L146=0,M146=0),NA(),L146)</f>
        <v>-7.7781745930520225</v>
      </c>
      <c r="AE146">
        <f t="shared" ref="AE146:AE153" si="143">IF(AND(J146=0,K146=0,L146=0,M146=0),NA(),M146)</f>
        <v>-3.8890872965260104</v>
      </c>
      <c r="AF146" s="9" t="str">
        <f>IF(AND(J146=0,K146=0,L146=0,M146=0),"",CHAR(10)&amp;CHAR(10)&amp;-1*ROUND(O146,4)&amp;" ksi")</f>
        <v xml:space="preserve">
-0.0167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44">(AG146*COS(-1*$B$64))+(AH146*SIN(-1*$B$64))</f>
        <v>#N/A</v>
      </c>
      <c r="AK146" t="e">
        <f t="shared" ref="AK146:AK153" si="145">(-1*AG146*SIN(-1*$B$64))+(AH146*COS(-1*$B$64))</f>
        <v>#N/A</v>
      </c>
      <c r="AM146" s="4" t="e">
        <f t="shared" ref="AM146:AM153" si="146">AJ146+$B$9</f>
        <v>#N/A</v>
      </c>
      <c r="AN146" s="4" t="e">
        <f t="shared" ref="AN146:AN153" si="147">AK146+$C$9</f>
        <v>#N/A</v>
      </c>
    </row>
    <row r="147" spans="1:40" x14ac:dyDescent="0.25">
      <c r="A147" t="s">
        <v>70</v>
      </c>
      <c r="B147" s="9">
        <f t="shared" ref="B147:C153" si="148">D146</f>
        <v>-7.7781745930520225</v>
      </c>
      <c r="C147">
        <f t="shared" si="148"/>
        <v>-3.8890872965260104</v>
      </c>
      <c r="D147" s="9">
        <f t="shared" si="137"/>
        <v>-7.7781745930520225</v>
      </c>
      <c r="E147">
        <f t="shared" si="137"/>
        <v>-3.8890872965260104</v>
      </c>
      <c r="F147" s="4">
        <f t="shared" ref="F147:F153" si="149">($B$66/$B$65)*(C147-$B$125)</f>
        <v>1.6719979415649063E-2</v>
      </c>
      <c r="G147" s="4">
        <f t="shared" ref="G147:G153" si="150">($B$66/$B$65)*(E147-$B$125)</f>
        <v>1.6719979415649063E-2</v>
      </c>
      <c r="H147" s="4" t="str">
        <f t="shared" ref="H147:H153" si="151">IF(B147=D147,"V",(C147-E147)/(B147-D147))</f>
        <v>V</v>
      </c>
      <c r="I147" s="4">
        <f t="shared" ref="I147:I153" si="152">IF(H147="V",0,(-1*B147*H147)+C147)</f>
        <v>0</v>
      </c>
      <c r="J147" s="4">
        <f t="shared" ref="J147:J153" si="153">IF($F147&gt;=0,B147,IF(AND($F147&lt;0,$G147&gt;=0),IF(H147="V",B147,($B$125-I147)/H147),0))</f>
        <v>-7.7781745930520225</v>
      </c>
      <c r="K147" s="4">
        <f t="shared" ref="K147:K153" si="154">IF($F147&gt;=0,C147,IF(AND($F147&lt;0,$G147&gt;=0),$B$125,0))</f>
        <v>-3.8890872965260104</v>
      </c>
      <c r="L147" s="4">
        <f t="shared" ref="L147:L153" si="155">IF($G147&gt;=0,D147,IF(AND($G147&lt;0,$F147&gt;=0),IF(H147="V",D147,($B$125-I147)/H147),0))</f>
        <v>-7.7781745930520225</v>
      </c>
      <c r="M147" s="4">
        <f t="shared" ref="M147:M153" si="156">IF($G147&gt;=0,E147,IF(AND($G147&lt;0,$F147&gt;=0),$B$125,0))</f>
        <v>-3.8890872965260104</v>
      </c>
      <c r="N147" s="4">
        <f t="shared" ref="N147:N153" si="157">IF(F147&lt;0,0,F147)</f>
        <v>1.6719979415649063E-2</v>
      </c>
      <c r="O147" s="4">
        <f t="shared" ref="O147:O153" si="158">IF(G147&lt;0,0,G147)</f>
        <v>1.6719979415649063E-2</v>
      </c>
      <c r="P147" s="4">
        <f t="shared" ref="P147:P153" si="159">(1/6)*(M147-K147)*((N147*((2*J147)+L147))+(O147*(J147+(2*L147))))</f>
        <v>0</v>
      </c>
      <c r="Q147" s="4">
        <f t="shared" ref="Q147:Q153" si="160">((1/12)*(M147-K147)*(N147*J147*((3*K147)+M147)+N147*L147*(K147+M147)+O147*J147*(K147+M147)+O147*L147*(K147+(3*M147))))</f>
        <v>0</v>
      </c>
      <c r="R147" s="4">
        <f t="shared" ref="R147:R153" si="161">((-1/24)*(M147-K147)*(J147*J147*((3*N147)+O147)+2*J147*L147*(N147+O147)+L147*L147*(N147+(3*O147))))</f>
        <v>0</v>
      </c>
      <c r="U147">
        <f t="shared" si="120"/>
        <v>-7.7781745930520225</v>
      </c>
      <c r="V147">
        <f t="shared" si="121"/>
        <v>-3.8890872965260104</v>
      </c>
      <c r="W147" s="9" t="str">
        <f t="shared" ref="W147:W153" si="162">IF($D$34=0,"",IF(AND(J147=0,K147=0,L147=0,M147=0),"",CHAR(10)&amp;CHAR(10)&amp;-1*ROUND(N147,4)&amp;" ksi"))</f>
        <v/>
      </c>
      <c r="X147">
        <f t="shared" si="138"/>
        <v>-2.7499999999999996</v>
      </c>
      <c r="Y147">
        <f t="shared" si="139"/>
        <v>-8.25</v>
      </c>
      <c r="AA147" s="4">
        <f t="shared" si="140"/>
        <v>0</v>
      </c>
      <c r="AB147" s="4">
        <f t="shared" si="141"/>
        <v>0</v>
      </c>
      <c r="AD147">
        <f t="shared" si="142"/>
        <v>-7.7781745930520225</v>
      </c>
      <c r="AE147">
        <f t="shared" si="143"/>
        <v>-3.8890872965260104</v>
      </c>
      <c r="AF147" s="9" t="str">
        <f t="shared" ref="AF147:AF153" si="163">IF(AND(J147=0,K147=0,L147=0,M147=0),"",CHAR(10)&amp;CHAR(10)&amp;-1*ROUND(O147,4)&amp;" ksi")</f>
        <v xml:space="preserve">
-0.0167 ksi</v>
      </c>
      <c r="AG147" t="e">
        <f t="shared" ref="AG147:AG153" si="164">IF(COUNTIF($U$146:$U$153,AD147)&gt;0,NA(),AD147)</f>
        <v>#N/A</v>
      </c>
      <c r="AH147" t="e">
        <f t="shared" ref="AH147:AH153" si="165">IF(AND(COUNTIF($V$146:$V$153,AE147)&gt;0,AF147&lt;&gt;CHAR(10)&amp;CHAR(10)&amp;"0 ksi"),NA(),AE147)</f>
        <v>#N/A</v>
      </c>
      <c r="AI147" t="str">
        <f t="shared" ref="AI147:AI153" si="166">IF(COUNTIF($U$146:$U$153,AD147)&gt;0,"",AF147)</f>
        <v/>
      </c>
      <c r="AJ147" t="e">
        <f t="shared" si="144"/>
        <v>#N/A</v>
      </c>
      <c r="AK147" t="e">
        <f t="shared" si="145"/>
        <v>#N/A</v>
      </c>
      <c r="AM147" s="4" t="e">
        <f t="shared" si="146"/>
        <v>#N/A</v>
      </c>
      <c r="AN147" s="4" t="e">
        <f t="shared" si="147"/>
        <v>#N/A</v>
      </c>
    </row>
    <row r="148" spans="1:40" x14ac:dyDescent="0.25">
      <c r="A148" t="s">
        <v>71</v>
      </c>
      <c r="B148" s="9">
        <f t="shared" si="148"/>
        <v>-7.7781745930520225</v>
      </c>
      <c r="C148">
        <f t="shared" si="148"/>
        <v>-3.8890872965260104</v>
      </c>
      <c r="D148" s="9">
        <f t="shared" si="137"/>
        <v>-7.7781745930520225</v>
      </c>
      <c r="E148">
        <f t="shared" si="137"/>
        <v>-3.8890872965260104</v>
      </c>
      <c r="F148" s="4">
        <f t="shared" si="149"/>
        <v>1.6719979415649063E-2</v>
      </c>
      <c r="G148" s="4">
        <f t="shared" si="150"/>
        <v>1.6719979415649063E-2</v>
      </c>
      <c r="H148" s="4" t="str">
        <f t="shared" si="151"/>
        <v>V</v>
      </c>
      <c r="I148" s="4">
        <f t="shared" si="152"/>
        <v>0</v>
      </c>
      <c r="J148" s="4">
        <f t="shared" si="153"/>
        <v>-7.7781745930520225</v>
      </c>
      <c r="K148" s="4">
        <f t="shared" si="154"/>
        <v>-3.8890872965260104</v>
      </c>
      <c r="L148" s="4">
        <f t="shared" si="155"/>
        <v>-7.7781745930520225</v>
      </c>
      <c r="M148" s="4">
        <f t="shared" si="156"/>
        <v>-3.8890872965260104</v>
      </c>
      <c r="N148" s="4">
        <f t="shared" si="157"/>
        <v>1.6719979415649063E-2</v>
      </c>
      <c r="O148" s="4">
        <f t="shared" si="158"/>
        <v>1.6719979415649063E-2</v>
      </c>
      <c r="P148" s="4">
        <f t="shared" si="159"/>
        <v>0</v>
      </c>
      <c r="Q148" s="4">
        <f t="shared" si="160"/>
        <v>0</v>
      </c>
      <c r="R148" s="4">
        <f t="shared" si="161"/>
        <v>0</v>
      </c>
      <c r="U148">
        <f t="shared" si="120"/>
        <v>-7.7781745930520225</v>
      </c>
      <c r="V148">
        <f t="shared" si="121"/>
        <v>-3.8890872965260104</v>
      </c>
      <c r="W148" s="9" t="str">
        <f t="shared" si="162"/>
        <v/>
      </c>
      <c r="X148">
        <f t="shared" si="138"/>
        <v>-2.7499999999999996</v>
      </c>
      <c r="Y148">
        <f t="shared" si="139"/>
        <v>-8.25</v>
      </c>
      <c r="AA148" s="4">
        <f t="shared" si="140"/>
        <v>0</v>
      </c>
      <c r="AB148" s="4">
        <f t="shared" si="141"/>
        <v>0</v>
      </c>
      <c r="AD148">
        <f t="shared" si="142"/>
        <v>-7.7781745930520225</v>
      </c>
      <c r="AE148">
        <f t="shared" si="143"/>
        <v>-3.8890872965260104</v>
      </c>
      <c r="AF148" s="9" t="str">
        <f t="shared" si="163"/>
        <v xml:space="preserve">
-0.0167 ksi</v>
      </c>
      <c r="AG148" t="e">
        <f t="shared" si="164"/>
        <v>#N/A</v>
      </c>
      <c r="AH148" t="e">
        <f t="shared" si="165"/>
        <v>#N/A</v>
      </c>
      <c r="AI148" t="str">
        <f t="shared" si="166"/>
        <v/>
      </c>
      <c r="AJ148" t="e">
        <f t="shared" si="144"/>
        <v>#N/A</v>
      </c>
      <c r="AK148" t="e">
        <f t="shared" si="145"/>
        <v>#N/A</v>
      </c>
      <c r="AM148" s="4" t="e">
        <f t="shared" si="146"/>
        <v>#N/A</v>
      </c>
      <c r="AN148" s="4" t="e">
        <f t="shared" si="147"/>
        <v>#N/A</v>
      </c>
    </row>
    <row r="149" spans="1:40" x14ac:dyDescent="0.25">
      <c r="A149" t="s">
        <v>72</v>
      </c>
      <c r="B149" s="9">
        <f t="shared" si="148"/>
        <v>-7.7781745930520225</v>
      </c>
      <c r="C149">
        <f t="shared" si="148"/>
        <v>-3.8890872965260104</v>
      </c>
      <c r="D149" s="9">
        <f t="shared" si="137"/>
        <v>-7.7781745930520225</v>
      </c>
      <c r="E149">
        <f t="shared" si="137"/>
        <v>-3.8890872965260104</v>
      </c>
      <c r="F149" s="4">
        <f t="shared" si="149"/>
        <v>1.6719979415649063E-2</v>
      </c>
      <c r="G149" s="4">
        <f t="shared" si="150"/>
        <v>1.6719979415649063E-2</v>
      </c>
      <c r="H149" s="4" t="str">
        <f t="shared" si="151"/>
        <v>V</v>
      </c>
      <c r="I149" s="4">
        <f t="shared" si="152"/>
        <v>0</v>
      </c>
      <c r="J149" s="4">
        <f t="shared" si="153"/>
        <v>-7.7781745930520225</v>
      </c>
      <c r="K149" s="4">
        <f t="shared" si="154"/>
        <v>-3.8890872965260104</v>
      </c>
      <c r="L149" s="4">
        <f t="shared" si="155"/>
        <v>-7.7781745930520225</v>
      </c>
      <c r="M149" s="4">
        <f t="shared" si="156"/>
        <v>-3.8890872965260104</v>
      </c>
      <c r="N149" s="4">
        <f t="shared" si="157"/>
        <v>1.6719979415649063E-2</v>
      </c>
      <c r="O149" s="4">
        <f t="shared" si="158"/>
        <v>1.6719979415649063E-2</v>
      </c>
      <c r="P149" s="4">
        <f t="shared" si="159"/>
        <v>0</v>
      </c>
      <c r="Q149" s="4">
        <f t="shared" si="160"/>
        <v>0</v>
      </c>
      <c r="R149" s="4">
        <f t="shared" si="161"/>
        <v>0</v>
      </c>
      <c r="U149">
        <f t="shared" si="120"/>
        <v>-7.7781745930520225</v>
      </c>
      <c r="V149">
        <f t="shared" si="121"/>
        <v>-3.8890872965260104</v>
      </c>
      <c r="W149" s="9" t="str">
        <f t="shared" si="162"/>
        <v/>
      </c>
      <c r="X149">
        <f t="shared" si="138"/>
        <v>-2.7499999999999996</v>
      </c>
      <c r="Y149">
        <f t="shared" si="139"/>
        <v>-8.25</v>
      </c>
      <c r="AA149" s="4">
        <f t="shared" si="140"/>
        <v>0</v>
      </c>
      <c r="AB149" s="4">
        <f t="shared" si="141"/>
        <v>0</v>
      </c>
      <c r="AD149">
        <f t="shared" si="142"/>
        <v>-7.7781745930520225</v>
      </c>
      <c r="AE149">
        <f t="shared" si="143"/>
        <v>-3.8890872965260104</v>
      </c>
      <c r="AF149" s="9" t="str">
        <f t="shared" si="163"/>
        <v xml:space="preserve">
-0.0167 ksi</v>
      </c>
      <c r="AG149" t="e">
        <f t="shared" si="164"/>
        <v>#N/A</v>
      </c>
      <c r="AH149" t="e">
        <f t="shared" si="165"/>
        <v>#N/A</v>
      </c>
      <c r="AI149" t="str">
        <f t="shared" si="166"/>
        <v/>
      </c>
      <c r="AJ149" t="e">
        <f t="shared" si="144"/>
        <v>#N/A</v>
      </c>
      <c r="AK149" t="e">
        <f t="shared" si="145"/>
        <v>#N/A</v>
      </c>
      <c r="AM149" s="4" t="e">
        <f t="shared" si="146"/>
        <v>#N/A</v>
      </c>
      <c r="AN149" s="4" t="e">
        <f t="shared" si="147"/>
        <v>#N/A</v>
      </c>
    </row>
    <row r="150" spans="1:40" x14ac:dyDescent="0.25">
      <c r="A150" t="s">
        <v>73</v>
      </c>
      <c r="B150" s="9">
        <f t="shared" si="148"/>
        <v>-7.7781745930520225</v>
      </c>
      <c r="C150">
        <f t="shared" si="148"/>
        <v>-3.8890872965260104</v>
      </c>
      <c r="D150" s="9">
        <f t="shared" si="137"/>
        <v>-7.7781745930520225</v>
      </c>
      <c r="E150">
        <f t="shared" si="137"/>
        <v>-3.8890872965260104</v>
      </c>
      <c r="F150" s="4">
        <f t="shared" si="149"/>
        <v>1.6719979415649063E-2</v>
      </c>
      <c r="G150" s="4">
        <f t="shared" si="150"/>
        <v>1.6719979415649063E-2</v>
      </c>
      <c r="H150" s="4" t="str">
        <f t="shared" si="151"/>
        <v>V</v>
      </c>
      <c r="I150" s="4">
        <f t="shared" si="152"/>
        <v>0</v>
      </c>
      <c r="J150" s="4">
        <f t="shared" si="153"/>
        <v>-7.7781745930520225</v>
      </c>
      <c r="K150" s="4">
        <f t="shared" si="154"/>
        <v>-3.8890872965260104</v>
      </c>
      <c r="L150" s="4">
        <f t="shared" si="155"/>
        <v>-7.7781745930520225</v>
      </c>
      <c r="M150" s="4">
        <f t="shared" si="156"/>
        <v>-3.8890872965260104</v>
      </c>
      <c r="N150" s="4">
        <f t="shared" si="157"/>
        <v>1.6719979415649063E-2</v>
      </c>
      <c r="O150" s="4">
        <f t="shared" si="158"/>
        <v>1.6719979415649063E-2</v>
      </c>
      <c r="P150" s="4">
        <f t="shared" si="159"/>
        <v>0</v>
      </c>
      <c r="Q150" s="4">
        <f t="shared" si="160"/>
        <v>0</v>
      </c>
      <c r="R150" s="4">
        <f t="shared" si="161"/>
        <v>0</v>
      </c>
      <c r="U150">
        <f t="shared" si="120"/>
        <v>-7.7781745930520225</v>
      </c>
      <c r="V150">
        <f t="shared" si="121"/>
        <v>-3.8890872965260104</v>
      </c>
      <c r="W150" s="9" t="str">
        <f t="shared" si="162"/>
        <v/>
      </c>
      <c r="X150">
        <f t="shared" si="138"/>
        <v>-2.7499999999999996</v>
      </c>
      <c r="Y150">
        <f t="shared" si="139"/>
        <v>-8.25</v>
      </c>
      <c r="AA150" s="4">
        <f t="shared" si="140"/>
        <v>0</v>
      </c>
      <c r="AB150" s="4">
        <f t="shared" si="141"/>
        <v>0</v>
      </c>
      <c r="AD150">
        <f t="shared" si="142"/>
        <v>-7.7781745930520225</v>
      </c>
      <c r="AE150">
        <f t="shared" si="143"/>
        <v>-3.8890872965260104</v>
      </c>
      <c r="AF150" s="9" t="str">
        <f t="shared" si="163"/>
        <v xml:space="preserve">
-0.0167 ksi</v>
      </c>
      <c r="AG150" t="e">
        <f t="shared" si="164"/>
        <v>#N/A</v>
      </c>
      <c r="AH150" t="e">
        <f t="shared" si="165"/>
        <v>#N/A</v>
      </c>
      <c r="AI150" t="str">
        <f t="shared" si="166"/>
        <v/>
      </c>
      <c r="AJ150" t="e">
        <f t="shared" si="144"/>
        <v>#N/A</v>
      </c>
      <c r="AK150" t="e">
        <f t="shared" si="145"/>
        <v>#N/A</v>
      </c>
      <c r="AM150" s="4" t="e">
        <f t="shared" si="146"/>
        <v>#N/A</v>
      </c>
      <c r="AN150" s="4" t="e">
        <f t="shared" si="147"/>
        <v>#N/A</v>
      </c>
    </row>
    <row r="151" spans="1:40" x14ac:dyDescent="0.25">
      <c r="A151" t="s">
        <v>74</v>
      </c>
      <c r="B151" s="9">
        <f t="shared" si="148"/>
        <v>-7.7781745930520225</v>
      </c>
      <c r="C151">
        <f t="shared" si="148"/>
        <v>-3.8890872965260104</v>
      </c>
      <c r="D151" s="9">
        <f t="shared" si="137"/>
        <v>-7.7781745930520225</v>
      </c>
      <c r="E151">
        <f t="shared" si="137"/>
        <v>-3.8890872965260104</v>
      </c>
      <c r="F151" s="4">
        <f t="shared" si="149"/>
        <v>1.6719979415649063E-2</v>
      </c>
      <c r="G151" s="4">
        <f t="shared" si="150"/>
        <v>1.6719979415649063E-2</v>
      </c>
      <c r="H151" s="4" t="str">
        <f t="shared" si="151"/>
        <v>V</v>
      </c>
      <c r="I151" s="4">
        <f t="shared" si="152"/>
        <v>0</v>
      </c>
      <c r="J151" s="4">
        <f t="shared" si="153"/>
        <v>-7.7781745930520225</v>
      </c>
      <c r="K151" s="4">
        <f t="shared" si="154"/>
        <v>-3.8890872965260104</v>
      </c>
      <c r="L151" s="4">
        <f t="shared" si="155"/>
        <v>-7.7781745930520225</v>
      </c>
      <c r="M151" s="4">
        <f t="shared" si="156"/>
        <v>-3.8890872965260104</v>
      </c>
      <c r="N151" s="4">
        <f t="shared" si="157"/>
        <v>1.6719979415649063E-2</v>
      </c>
      <c r="O151" s="4">
        <f t="shared" si="158"/>
        <v>1.6719979415649063E-2</v>
      </c>
      <c r="P151" s="4">
        <f t="shared" si="159"/>
        <v>0</v>
      </c>
      <c r="Q151" s="4">
        <f t="shared" si="160"/>
        <v>0</v>
      </c>
      <c r="R151" s="4">
        <f t="shared" si="161"/>
        <v>0</v>
      </c>
      <c r="U151">
        <f t="shared" si="120"/>
        <v>-7.7781745930520225</v>
      </c>
      <c r="V151">
        <f t="shared" si="121"/>
        <v>-3.8890872965260104</v>
      </c>
      <c r="W151" s="9" t="str">
        <f t="shared" si="162"/>
        <v/>
      </c>
      <c r="X151">
        <f t="shared" si="138"/>
        <v>-2.7499999999999996</v>
      </c>
      <c r="Y151">
        <f t="shared" si="139"/>
        <v>-8.25</v>
      </c>
      <c r="AA151" s="4">
        <f t="shared" si="140"/>
        <v>0</v>
      </c>
      <c r="AB151" s="4">
        <f t="shared" si="141"/>
        <v>0</v>
      </c>
      <c r="AD151">
        <f t="shared" si="142"/>
        <v>-7.7781745930520225</v>
      </c>
      <c r="AE151">
        <f t="shared" si="143"/>
        <v>-3.8890872965260104</v>
      </c>
      <c r="AF151" s="9" t="str">
        <f t="shared" si="163"/>
        <v xml:space="preserve">
-0.0167 ksi</v>
      </c>
      <c r="AG151" t="e">
        <f t="shared" si="164"/>
        <v>#N/A</v>
      </c>
      <c r="AH151" t="e">
        <f t="shared" si="165"/>
        <v>#N/A</v>
      </c>
      <c r="AI151" t="str">
        <f t="shared" si="166"/>
        <v/>
      </c>
      <c r="AJ151" t="e">
        <f t="shared" si="144"/>
        <v>#N/A</v>
      </c>
      <c r="AK151" t="e">
        <f t="shared" si="145"/>
        <v>#N/A</v>
      </c>
      <c r="AM151" s="4" t="e">
        <f t="shared" si="146"/>
        <v>#N/A</v>
      </c>
      <c r="AN151" s="4" t="e">
        <f t="shared" si="147"/>
        <v>#N/A</v>
      </c>
    </row>
    <row r="152" spans="1:40" x14ac:dyDescent="0.25">
      <c r="A152" t="s">
        <v>75</v>
      </c>
      <c r="B152" s="9">
        <f t="shared" si="148"/>
        <v>-7.7781745930520225</v>
      </c>
      <c r="C152">
        <f t="shared" si="148"/>
        <v>-3.8890872965260104</v>
      </c>
      <c r="D152" s="9">
        <f t="shared" si="137"/>
        <v>-7.7781745930520225</v>
      </c>
      <c r="E152">
        <f t="shared" si="137"/>
        <v>-3.8890872965260104</v>
      </c>
      <c r="F152" s="4">
        <f t="shared" si="149"/>
        <v>1.6719979415649063E-2</v>
      </c>
      <c r="G152" s="4">
        <f t="shared" si="150"/>
        <v>1.6719979415649063E-2</v>
      </c>
      <c r="H152" s="4" t="str">
        <f t="shared" si="151"/>
        <v>V</v>
      </c>
      <c r="I152" s="4">
        <f t="shared" si="152"/>
        <v>0</v>
      </c>
      <c r="J152" s="4">
        <f t="shared" si="153"/>
        <v>-7.7781745930520225</v>
      </c>
      <c r="K152" s="4">
        <f t="shared" si="154"/>
        <v>-3.8890872965260104</v>
      </c>
      <c r="L152" s="4">
        <f t="shared" si="155"/>
        <v>-7.7781745930520225</v>
      </c>
      <c r="M152" s="4">
        <f t="shared" si="156"/>
        <v>-3.8890872965260104</v>
      </c>
      <c r="N152" s="4">
        <f t="shared" si="157"/>
        <v>1.6719979415649063E-2</v>
      </c>
      <c r="O152" s="4">
        <f t="shared" si="158"/>
        <v>1.6719979415649063E-2</v>
      </c>
      <c r="P152" s="4">
        <f t="shared" si="159"/>
        <v>0</v>
      </c>
      <c r="Q152" s="4">
        <f t="shared" si="160"/>
        <v>0</v>
      </c>
      <c r="R152" s="4">
        <f t="shared" si="161"/>
        <v>0</v>
      </c>
      <c r="U152">
        <f t="shared" si="120"/>
        <v>-7.7781745930520225</v>
      </c>
      <c r="V152">
        <f t="shared" si="121"/>
        <v>-3.8890872965260104</v>
      </c>
      <c r="W152" s="9" t="str">
        <f t="shared" si="162"/>
        <v/>
      </c>
      <c r="X152">
        <f t="shared" si="138"/>
        <v>-2.7499999999999996</v>
      </c>
      <c r="Y152">
        <f t="shared" si="139"/>
        <v>-8.25</v>
      </c>
      <c r="AA152" s="4">
        <f t="shared" si="140"/>
        <v>0</v>
      </c>
      <c r="AB152" s="4">
        <f t="shared" si="141"/>
        <v>0</v>
      </c>
      <c r="AD152">
        <f t="shared" si="142"/>
        <v>-7.7781745930520225</v>
      </c>
      <c r="AE152">
        <f t="shared" si="143"/>
        <v>-3.8890872965260104</v>
      </c>
      <c r="AF152" s="9" t="str">
        <f t="shared" si="163"/>
        <v xml:space="preserve">
-0.0167 ksi</v>
      </c>
      <c r="AG152" t="e">
        <f t="shared" si="164"/>
        <v>#N/A</v>
      </c>
      <c r="AH152" t="e">
        <f t="shared" si="165"/>
        <v>#N/A</v>
      </c>
      <c r="AI152" t="str">
        <f t="shared" si="166"/>
        <v/>
      </c>
      <c r="AJ152" t="e">
        <f t="shared" si="144"/>
        <v>#N/A</v>
      </c>
      <c r="AK152" t="e">
        <f t="shared" si="145"/>
        <v>#N/A</v>
      </c>
      <c r="AM152" s="4" t="e">
        <f t="shared" si="146"/>
        <v>#N/A</v>
      </c>
      <c r="AN152" s="4" t="e">
        <f t="shared" si="147"/>
        <v>#N/A</v>
      </c>
    </row>
    <row r="153" spans="1:40" ht="15.75" thickBot="1" x14ac:dyDescent="0.3">
      <c r="A153" t="s">
        <v>134</v>
      </c>
      <c r="B153" s="9">
        <f t="shared" si="148"/>
        <v>-7.7781745930520225</v>
      </c>
      <c r="C153">
        <f t="shared" si="148"/>
        <v>-3.8890872965260104</v>
      </c>
      <c r="D153" s="9">
        <f t="shared" si="137"/>
        <v>-7.7781745930520225</v>
      </c>
      <c r="E153">
        <f t="shared" si="137"/>
        <v>-3.8890872965260104</v>
      </c>
      <c r="F153" s="4">
        <f t="shared" si="149"/>
        <v>1.6719979415649063E-2</v>
      </c>
      <c r="G153" s="4">
        <f t="shared" si="150"/>
        <v>1.6719979415649063E-2</v>
      </c>
      <c r="H153" s="4" t="str">
        <f t="shared" si="151"/>
        <v>V</v>
      </c>
      <c r="I153" s="4">
        <f t="shared" si="152"/>
        <v>0</v>
      </c>
      <c r="J153" s="4">
        <f t="shared" si="153"/>
        <v>-7.7781745930520225</v>
      </c>
      <c r="K153" s="4">
        <f t="shared" si="154"/>
        <v>-3.8890872965260104</v>
      </c>
      <c r="L153" s="4">
        <f t="shared" si="155"/>
        <v>-7.7781745930520225</v>
      </c>
      <c r="M153" s="4">
        <f t="shared" si="156"/>
        <v>-3.8890872965260104</v>
      </c>
      <c r="N153" s="4">
        <f t="shared" si="157"/>
        <v>1.6719979415649063E-2</v>
      </c>
      <c r="O153" s="4">
        <f t="shared" si="158"/>
        <v>1.6719979415649063E-2</v>
      </c>
      <c r="P153" s="22">
        <f t="shared" si="159"/>
        <v>0</v>
      </c>
      <c r="Q153" s="22">
        <f t="shared" si="160"/>
        <v>0</v>
      </c>
      <c r="R153" s="22">
        <f t="shared" si="161"/>
        <v>0</v>
      </c>
      <c r="U153">
        <f t="shared" si="120"/>
        <v>-7.7781745930520225</v>
      </c>
      <c r="V153">
        <f t="shared" si="121"/>
        <v>-3.8890872965260104</v>
      </c>
      <c r="W153" s="9" t="str">
        <f t="shared" si="162"/>
        <v/>
      </c>
      <c r="X153">
        <f t="shared" si="138"/>
        <v>-2.7499999999999996</v>
      </c>
      <c r="Y153">
        <f t="shared" si="139"/>
        <v>-8.25</v>
      </c>
      <c r="AA153" s="4">
        <f t="shared" si="140"/>
        <v>0</v>
      </c>
      <c r="AB153" s="4">
        <f t="shared" si="141"/>
        <v>0</v>
      </c>
      <c r="AD153">
        <f t="shared" si="142"/>
        <v>-7.7781745930520225</v>
      </c>
      <c r="AE153">
        <f t="shared" si="143"/>
        <v>-3.8890872965260104</v>
      </c>
      <c r="AF153" s="9" t="str">
        <f t="shared" si="163"/>
        <v xml:space="preserve">
-0.0167 ksi</v>
      </c>
      <c r="AG153" t="e">
        <f t="shared" si="164"/>
        <v>#N/A</v>
      </c>
      <c r="AH153" t="e">
        <f t="shared" si="165"/>
        <v>#N/A</v>
      </c>
      <c r="AI153" t="str">
        <f t="shared" si="166"/>
        <v/>
      </c>
      <c r="AJ153" t="e">
        <f t="shared" si="144"/>
        <v>#N/A</v>
      </c>
      <c r="AK153" t="e">
        <f t="shared" si="145"/>
        <v>#N/A</v>
      </c>
      <c r="AM153" s="4" t="e">
        <f t="shared" si="146"/>
        <v>#N/A</v>
      </c>
      <c r="AN153" s="4" t="e">
        <f t="shared" si="147"/>
        <v>#N/A</v>
      </c>
    </row>
    <row r="154" spans="1:40" ht="15.75" thickTop="1" x14ac:dyDescent="0.25">
      <c r="P154" s="4">
        <f>SUM(P146:P153)</f>
        <v>0</v>
      </c>
      <c r="Q154" s="4">
        <f t="shared" ref="Q154:R154" si="167">SUM(Q146:Q153)</f>
        <v>0</v>
      </c>
      <c r="R154" s="4">
        <f t="shared" si="167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49.999999999999879</v>
      </c>
      <c r="C159" t="s">
        <v>36</v>
      </c>
    </row>
    <row r="160" spans="1:40" x14ac:dyDescent="0.25">
      <c r="A160" s="1" t="s">
        <v>106</v>
      </c>
      <c r="B160" s="4">
        <f>Q140+I122+Q154-O122</f>
        <v>1.34781075189494E-13</v>
      </c>
      <c r="C160" t="s">
        <v>102</v>
      </c>
    </row>
    <row r="161" spans="1:9" x14ac:dyDescent="0.25">
      <c r="A161" s="1" t="s">
        <v>107</v>
      </c>
      <c r="B161" s="4">
        <f>R140+J122+R154-P122</f>
        <v>1.532107773982716E-14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49.999999999999879</v>
      </c>
      <c r="C164" t="s">
        <v>36</v>
      </c>
      <c r="E164" s="8">
        <f>B2-B164</f>
        <v>1.2079226507921703E-13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8.4470974277187086E-14</v>
      </c>
      <c r="C165" t="s">
        <v>102</v>
      </c>
      <c r="E165" s="8">
        <f>B3+B165</f>
        <v>8.4470974277187086E-14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1.0613825020702321E-13</v>
      </c>
      <c r="C166" t="s">
        <v>102</v>
      </c>
      <c r="E166" s="8">
        <f>B4+B166</f>
        <v>1.0613825020702321E-13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2.4605728406750562</v>
      </c>
      <c r="B169" s="1">
        <f ca="1">IF(E122=0,0,(MIN(H110:H121)*B65)/(B55*B56*E122))</f>
        <v>-2.4605728406763161</v>
      </c>
      <c r="C169" s="3">
        <f ca="1">A169+B169</f>
        <v>-1.2598810883446276E-12</v>
      </c>
    </row>
    <row r="173" spans="1:9" x14ac:dyDescent="0.25">
      <c r="A173" s="44" t="s">
        <v>152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1.1649337342311738E-8</v>
      </c>
      <c r="C175" s="27">
        <f>B65*SQRT(I175)</f>
        <v>1.1615828712744079E-7</v>
      </c>
      <c r="D175" s="27">
        <f>B66*SQRT(I175)</f>
        <v>3.6496193156806058E-8</v>
      </c>
      <c r="E175" s="27">
        <f>IF(B67=0,SQRT(I175),B67*SQRT(I175))</f>
        <v>2.2457283740406142E-9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0.78539817504678577</v>
      </c>
      <c r="C176" s="3">
        <f>B65+C175</f>
        <v>7.8313902366869241</v>
      </c>
      <c r="D176" s="3">
        <f>D175+B66</f>
        <v>2.4605728771712494</v>
      </c>
      <c r="E176" s="3">
        <f>B67+E175</f>
        <v>0.15140697833652661</v>
      </c>
      <c r="F176" s="16" t="s">
        <v>125</v>
      </c>
    </row>
    <row r="177" spans="1:31" x14ac:dyDescent="0.25">
      <c r="B177" s="27">
        <f>B176-B64</f>
        <v>1.1649337383623504E-8</v>
      </c>
      <c r="C177" s="27">
        <f>C176-B65</f>
        <v>1.161582874331657E-7</v>
      </c>
      <c r="D177" s="27">
        <f>D176-B66</f>
        <v>3.6496193178692238E-8</v>
      </c>
      <c r="E177" s="27">
        <f>E176-B67</f>
        <v>2.2457283810339845E-9</v>
      </c>
      <c r="F177" s="16" t="s">
        <v>123</v>
      </c>
    </row>
    <row r="178" spans="1:31" x14ac:dyDescent="0.25">
      <c r="B178" t="b">
        <f>B177=B175</f>
        <v>0</v>
      </c>
      <c r="C178" t="b">
        <f t="shared" ref="C178:D178" si="168">C177=C175</f>
        <v>0</v>
      </c>
      <c r="D178" t="b">
        <f t="shared" si="168"/>
        <v>0</v>
      </c>
      <c r="E178" t="b">
        <f>E177=E175</f>
        <v>0</v>
      </c>
      <c r="F178" s="16" t="s">
        <v>124</v>
      </c>
      <c r="G178" t="s">
        <v>208</v>
      </c>
    </row>
    <row r="179" spans="1:31" x14ac:dyDescent="0.25">
      <c r="C179" s="29"/>
    </row>
    <row r="180" spans="1:31" x14ac:dyDescent="0.25">
      <c r="A180" s="25">
        <f>(d_sigma_p!E164-d_sigma_m!E164)/(2*'Rigid Bearing Plate Analysis'!D177)</f>
        <v>-20.443537786034994</v>
      </c>
      <c r="B180" s="25">
        <f>(d_sigma_p!E165-d_sigma_m!E165)/(2*'Rigid Bearing Plate Analysis'!D177)</f>
        <v>-0.38458257005661617</v>
      </c>
      <c r="C180" s="25">
        <f>(d_sigma_p!E166-d_sigma_m!E166)/(2*'Rigid Bearing Plate Analysis'!D177)</f>
        <v>-0.38458270772291592</v>
      </c>
      <c r="D180" s="25">
        <f ca="1">(d_sigma_p!C169-d_sigma_m!C169)/(2*D177)</f>
        <v>1</v>
      </c>
    </row>
    <row r="181" spans="1:31" x14ac:dyDescent="0.25">
      <c r="A181" s="25">
        <f>(d_alpha_p!E164-d_alpha_m!E164)/(2*B177)</f>
        <v>6.0994261936217286E-7</v>
      </c>
      <c r="B181" s="25">
        <f>(d_alpha_p!E165-d_alpha_m!E165)/(2*B177)</f>
        <v>-147.96849298701923</v>
      </c>
      <c r="C181" s="25">
        <f>(d_alpha_p!E166-d_alpha_m!E166)/(2*B177)</f>
        <v>147.96849290615145</v>
      </c>
      <c r="D181" s="25">
        <f ca="1">(d_alpha_p!C169-d_alpha_m!C169)/(2*B177)</f>
        <v>0</v>
      </c>
    </row>
    <row r="182" spans="1:31" x14ac:dyDescent="0.25">
      <c r="A182" s="25">
        <f>(d_Y_p!E164-d_Y_m!E164)/(2*C177)</f>
        <v>-12.843807324376204</v>
      </c>
      <c r="B182" s="25">
        <f>(d_Y_p!E165-d_Y_m!E165)/(2*C177)</f>
        <v>-18.019056759310153</v>
      </c>
      <c r="C182" s="25">
        <f>(d_Y_p!E166-d_Y_m!E166)/(2*C177)</f>
        <v>-18.019056672802407</v>
      </c>
      <c r="D182" s="25">
        <f ca="1">(d_Y_p!C169-d_Y_m!C169)/(2*C177)</f>
        <v>-5.4713886777985499</v>
      </c>
    </row>
    <row r="183" spans="1:31" x14ac:dyDescent="0.25">
      <c r="A183" s="25">
        <f>(d_T_p!E164-d_T_m!E164)/(2*E177)</f>
        <v>2.0000004943710175</v>
      </c>
      <c r="B183" s="25">
        <f>(d_T_p!E165-d_T_m!E165)/(2*E177)</f>
        <v>6.2500000431447065</v>
      </c>
      <c r="C183" s="25">
        <f>(d_T_p!E166-d_T_m!E166)/(2*E177)</f>
        <v>6.2500000081873983</v>
      </c>
      <c r="D183" s="25">
        <f ca="1">(d_T_p!C169-d_T_m!C169)/(2*E177)</f>
        <v>-16.251383608525785</v>
      </c>
    </row>
    <row r="184" spans="1:31" x14ac:dyDescent="0.25">
      <c r="A184" s="25"/>
      <c r="B184" s="25"/>
      <c r="C184" s="25"/>
      <c r="D184" s="25"/>
    </row>
    <row r="185" spans="1:31" x14ac:dyDescent="0.25">
      <c r="A185" s="25">
        <f t="array" aca="1" ref="A185:D188" ca="1">MINVERSE(A180:D183)</f>
        <v>-4.9211456989753592E-2</v>
      </c>
      <c r="B185" s="25">
        <f ca="1"/>
        <v>-2.325026989193185E-11</v>
      </c>
      <c r="C185" s="25">
        <f ca="1"/>
        <v>-4.7986908307467833E-12</v>
      </c>
      <c r="D185" s="25">
        <f ca="1"/>
        <v>-3.0281395202363458E-3</v>
      </c>
      <c r="F185" s="8">
        <f>-1*E164</f>
        <v>-1.2079226507921703E-13</v>
      </c>
      <c r="H185">
        <f t="array" aca="1" ref="H185:H188" ca="1">MMULT(A185:D188,F185:F188)</f>
        <v>2.1292676456993556E-15</v>
      </c>
      <c r="J185" s="8">
        <f ca="1">$B$66+H185</f>
        <v>2.4605728406750584</v>
      </c>
      <c r="K185" s="11" t="s">
        <v>115</v>
      </c>
      <c r="L185" s="8">
        <f ca="1">J186</f>
        <v>0.78539816339746116</v>
      </c>
      <c r="M185" s="11" t="s">
        <v>116</v>
      </c>
      <c r="N185" t="s">
        <v>143</v>
      </c>
    </row>
    <row r="186" spans="1:31" x14ac:dyDescent="0.25">
      <c r="A186" s="25">
        <f ca="1"/>
        <v>1.6528107379505344E-2</v>
      </c>
      <c r="B186" s="25">
        <f ca="1"/>
        <v>-3.3790977232166495E-3</v>
      </c>
      <c r="C186" s="25">
        <f ca="1"/>
        <v>-2.4846871427654526E-2</v>
      </c>
      <c r="D186" s="25">
        <f ca="1"/>
        <v>9.3822779684739743E-3</v>
      </c>
      <c r="F186" s="8">
        <f>-1*E165</f>
        <v>-8.4470974277187086E-14</v>
      </c>
      <c r="H186">
        <f ca="1"/>
        <v>1.2746726183537907E-14</v>
      </c>
      <c r="J186" s="8">
        <f ca="1">$B$64+H186</f>
        <v>0.78539816339746116</v>
      </c>
      <c r="K186" s="11" t="s">
        <v>116</v>
      </c>
      <c r="L186" s="8">
        <f ca="1">J187</f>
        <v>7.8313901205286491</v>
      </c>
      <c r="M186" s="1" t="s">
        <v>117</v>
      </c>
    </row>
    <row r="187" spans="1:31" x14ac:dyDescent="0.25">
      <c r="A187" s="25">
        <f ca="1"/>
        <v>1.6528107591393407E-2</v>
      </c>
      <c r="B187" s="25">
        <f ca="1"/>
        <v>3.3790977553369282E-3</v>
      </c>
      <c r="C187" s="25">
        <f ca="1"/>
        <v>-2.4846871441233844E-2</v>
      </c>
      <c r="D187" s="25">
        <f ca="1"/>
        <v>9.3822779860839086E-3</v>
      </c>
      <c r="F187" s="8">
        <f>-1*E166</f>
        <v>-1.0613825020702321E-13</v>
      </c>
      <c r="H187">
        <f ca="1"/>
        <v>1.2175854825142075E-14</v>
      </c>
      <c r="J187" s="8">
        <f ca="1">$B$65+H187</f>
        <v>7.8313901205286491</v>
      </c>
      <c r="K187" s="1" t="s">
        <v>117</v>
      </c>
      <c r="L187" s="8">
        <f ca="1">J185</f>
        <v>2.4605728406750584</v>
      </c>
      <c r="M187" s="11" t="s">
        <v>115</v>
      </c>
    </row>
    <row r="188" spans="1:31" x14ac:dyDescent="0.25">
      <c r="A188" s="25">
        <f ca="1"/>
        <v>6.6565659093519927E-3</v>
      </c>
      <c r="B188" s="25">
        <f ca="1"/>
        <v>2.223012754948584E-12</v>
      </c>
      <c r="C188" s="25">
        <f ca="1"/>
        <v>-1.9111350866928802E-2</v>
      </c>
      <c r="D188" s="25">
        <f ca="1"/>
        <v>-5.4689362256739073E-2</v>
      </c>
      <c r="F188">
        <f ca="1">-1*C169</f>
        <v>1.2598810883446276E-12</v>
      </c>
      <c r="H188">
        <f ca="1"/>
        <v>-6.7677709574813228E-14</v>
      </c>
      <c r="J188" s="8">
        <f ca="1">$B$67+H188</f>
        <v>0.15140697609073056</v>
      </c>
      <c r="K188" s="1" t="s">
        <v>118</v>
      </c>
      <c r="L188" s="8">
        <f ca="1">J188</f>
        <v>0.15140697609073056</v>
      </c>
      <c r="M188" s="1" t="s">
        <v>118</v>
      </c>
    </row>
    <row r="189" spans="1:31" x14ac:dyDescent="0.25">
      <c r="A189" s="25"/>
      <c r="B189" s="25"/>
      <c r="C189" s="25"/>
      <c r="D189" s="25"/>
    </row>
    <row r="190" spans="1:31" x14ac:dyDescent="0.25">
      <c r="A190" s="25">
        <f>A180</f>
        <v>-20.443537786034994</v>
      </c>
      <c r="B190" s="25">
        <f>A181</f>
        <v>6.0994261936217286E-7</v>
      </c>
      <c r="C190" s="25">
        <f>A182</f>
        <v>-12.843807324376204</v>
      </c>
      <c r="D190" s="25">
        <f>A183</f>
        <v>2.0000004943710175</v>
      </c>
      <c r="F190" t="s">
        <v>119</v>
      </c>
      <c r="W190" s="25">
        <f>A190</f>
        <v>-20.443537786034994</v>
      </c>
      <c r="X190" s="25">
        <f t="shared" ref="X190:Z190" si="169">B190</f>
        <v>6.0994261936217286E-7</v>
      </c>
      <c r="Y190" s="25">
        <f t="shared" si="169"/>
        <v>-12.843807324376204</v>
      </c>
      <c r="Z190" s="25">
        <f t="shared" si="169"/>
        <v>2.0000004943710175</v>
      </c>
      <c r="AB190" s="25">
        <f>(d_sigma_p!E164-(2*'Rigid Bearing Plate Analysis'!E164)+d_sigma_m!E164)/POWER('Rigid Bearing Plate Analysis'!D177,2)</f>
        <v>0</v>
      </c>
      <c r="AC190" s="25">
        <f>(d_alpha_p!E164-(2*'Rigid Bearing Plate Analysis'!E164)+d_alpha_m!E164)/POWER('Rigid Bearing Plate Analysis'!B177,2)</f>
        <v>-481556406.98444641</v>
      </c>
      <c r="AD190" s="25">
        <f>(d_Y_p!E164-(2*'Rigid Bearing Plate Analysis'!E164)+d_Y_m!E164)/POWER('Rigid Bearing Plate Analysis'!C177,2)</f>
        <v>-1.5798325503817299</v>
      </c>
      <c r="AE190" s="25">
        <f>(d_T_p!E164-(2*'Rigid Bearing Plate Analysis'!E164)+d_T_m!E164)/POWER('Rigid Bearing Plate Analysis'!E177,2)</f>
        <v>1408.8856596975515</v>
      </c>
    </row>
    <row r="191" spans="1:31" x14ac:dyDescent="0.25">
      <c r="A191" s="25">
        <f>B180</f>
        <v>-0.38458257005661617</v>
      </c>
      <c r="B191" s="25">
        <f>B181</f>
        <v>-147.96849298701923</v>
      </c>
      <c r="C191" s="25">
        <f>B182</f>
        <v>-18.019056759310153</v>
      </c>
      <c r="D191" s="25">
        <f>B183</f>
        <v>6.2500000431447065</v>
      </c>
      <c r="F191" t="s">
        <v>120</v>
      </c>
      <c r="W191" s="25">
        <f t="shared" ref="W191:W193" si="170">A191</f>
        <v>-0.38458257005661617</v>
      </c>
      <c r="X191" s="25">
        <f t="shared" ref="X191:X193" si="171">B191</f>
        <v>-147.96849298701923</v>
      </c>
      <c r="Y191" s="25">
        <f t="shared" ref="Y191:Y193" si="172">C191</f>
        <v>-18.019056759310153</v>
      </c>
      <c r="Z191" s="25">
        <f t="shared" ref="Z191:Z193" si="173">D191</f>
        <v>6.2500000431447065</v>
      </c>
      <c r="AB191" s="25">
        <f>(d_sigma_p!E165-(2*'Rigid Bearing Plate Analysis'!E165)+d_sigma_m!E165)/POWER('Rigid Bearing Plate Analysis'!D177,2)</f>
        <v>-11.316218572711353</v>
      </c>
      <c r="AC191" s="25">
        <f>(d_alpha_p!E165-(2*'Rigid Bearing Plate Analysis'!E165)+d_alpha_m!E165)/POWER('Rigid Bearing Plate Analysis'!B177,2)</f>
        <v>-1504863391.7513595</v>
      </c>
      <c r="AD191" s="25">
        <f>(d_Y_p!E165-(2*'Rigid Bearing Plate Analysis'!E165)+d_Y_m!E165)/POWER('Rigid Bearing Plate Analysis'!C177,2)</f>
        <v>-8.8321534011724978</v>
      </c>
      <c r="AE191" s="25">
        <f>(d_T_p!E165-(2*'Rigid Bearing Plate Analysis'!E165)+d_T_m!E165)/POWER('Rigid Bearing Plate Analysis'!E177,2)</f>
        <v>15.566134497388418</v>
      </c>
    </row>
    <row r="192" spans="1:31" x14ac:dyDescent="0.25">
      <c r="A192" s="25">
        <f>C180</f>
        <v>-0.38458270772291592</v>
      </c>
      <c r="B192" s="25">
        <f>C181</f>
        <v>147.96849290615145</v>
      </c>
      <c r="C192" s="25">
        <f>C182</f>
        <v>-18.019056672802407</v>
      </c>
      <c r="D192" s="25">
        <f>C183</f>
        <v>6.2500000081873983</v>
      </c>
      <c r="F192" t="s">
        <v>121</v>
      </c>
      <c r="W192" s="25">
        <f t="shared" si="170"/>
        <v>-0.38458270772291592</v>
      </c>
      <c r="X192" s="25">
        <f t="shared" si="171"/>
        <v>147.96849290615145</v>
      </c>
      <c r="Y192" s="25">
        <f t="shared" si="172"/>
        <v>-18.019056672802407</v>
      </c>
      <c r="Z192" s="25">
        <f t="shared" si="173"/>
        <v>6.2500000081873983</v>
      </c>
      <c r="AB192" s="25">
        <f>(d_sigma_p!E166-(2*'Rigid Bearing Plate Analysis'!E166)+d_sigma_m!E166)/POWER('Rigid Bearing Plate Analysis'!D177,2)</f>
        <v>11.316218572711353</v>
      </c>
      <c r="AC192" s="25">
        <f>(d_alpha_p!E166-(2*'Rigid Bearing Plate Analysis'!E166)+d_alpha_m!E166)/POWER('Rigid Bearing Plate Analysis'!B177,2)</f>
        <v>-1504863699.5058663</v>
      </c>
      <c r="AD192" s="25">
        <f>(d_Y_p!E166-(2*'Rigid Bearing Plate Analysis'!E166)+d_Y_m!E166)/POWER('Rigid Bearing Plate Analysis'!C177,2)</f>
        <v>-8.8321533697840451</v>
      </c>
      <c r="AE192" s="25">
        <f>(d_T_p!E166-(2*'Rigid Bearing Plate Analysis'!E166)+d_T_m!E166)/POWER('Rigid Bearing Plate Analysis'!E177,2)</f>
        <v>-15.566134497388418</v>
      </c>
    </row>
    <row r="193" spans="1:38" x14ac:dyDescent="0.25">
      <c r="A193" s="25">
        <f ca="1">D180</f>
        <v>1</v>
      </c>
      <c r="B193" s="25">
        <f ca="1">D181</f>
        <v>0</v>
      </c>
      <c r="C193" s="25">
        <f ca="1">D182</f>
        <v>-5.4713886777985499</v>
      </c>
      <c r="D193" s="25">
        <f ca="1">D183</f>
        <v>-16.251383608525785</v>
      </c>
      <c r="W193" s="25">
        <f t="shared" ca="1" si="170"/>
        <v>1</v>
      </c>
      <c r="X193" s="25">
        <f t="shared" ca="1" si="171"/>
        <v>0</v>
      </c>
      <c r="Y193" s="25">
        <f t="shared" ca="1" si="172"/>
        <v>-5.4713886777985499</v>
      </c>
      <c r="Z193" s="25">
        <f t="shared" ca="1" si="173"/>
        <v>-16.251383608525785</v>
      </c>
      <c r="AB193" s="25">
        <f ca="1">(d_sigma_p!C169-(2*'Rigid Bearing Plate Analysis'!C169)+d_sigma_m!C169)/POWER('Rigid Bearing Plate Analysis'!D177,2)</f>
        <v>0</v>
      </c>
      <c r="AC193" s="25">
        <f ca="1">(d_alpha_p!C169-(2*'Rigid Bearing Plate Analysis'!C169)+d_alpha_m!C169)/POWER('Rigid Bearing Plate Analysis'!B177,2)</f>
        <v>3912976974.6889505</v>
      </c>
      <c r="AD193" s="25">
        <f ca="1">(d_Y_p!C169-(2*'Rigid Bearing Plate Analysis'!C169)+d_Y_m!C169)/POWER('Rigid Bearing Plate Analysis'!C177,2)</f>
        <v>-22.940485158668036</v>
      </c>
      <c r="AE193" s="25">
        <f ca="1">(d_T_p!C169-(2*'Rigid Bearing Plate Analysis'!C169)+d_T_m!C169)/POWER('Rigid Bearing Plate Analysis'!E177,2)</f>
        <v>-88.055353731096972</v>
      </c>
    </row>
    <row r="194" spans="1:38" ht="15.75" thickBot="1" x14ac:dyDescent="0.3">
      <c r="A194" s="25"/>
      <c r="B194" s="25"/>
      <c r="C194" s="25"/>
      <c r="D194" s="25"/>
      <c r="W194" s="25"/>
      <c r="X194" s="25"/>
      <c r="Y194" s="25"/>
      <c r="Z194" s="25"/>
    </row>
    <row r="195" spans="1:38" x14ac:dyDescent="0.25">
      <c r="A195" s="25">
        <f t="array" aca="1" ref="A195:D198" ca="1">MINVERSE(A190:D193)</f>
        <v>-4.9211456989753599E-2</v>
      </c>
      <c r="B195" s="25">
        <f ca="1"/>
        <v>1.6528107379505351E-2</v>
      </c>
      <c r="C195" s="25">
        <f ca="1"/>
        <v>1.652810759139341E-2</v>
      </c>
      <c r="D195" s="25">
        <f ca="1"/>
        <v>6.6565659093519962E-3</v>
      </c>
      <c r="H195">
        <f t="array" aca="1" ref="H195:H198" ca="1">MMULT(A195:D198,F185:F188)</f>
        <v>1.1180435107864247E-14</v>
      </c>
      <c r="J195" s="8">
        <f ca="1">$B$66+H195</f>
        <v>2.4605728406750673</v>
      </c>
      <c r="K195" s="11" t="s">
        <v>115</v>
      </c>
      <c r="L195" s="36">
        <f ca="1">J196</f>
        <v>0.78539816339744828</v>
      </c>
      <c r="M195" s="37" t="s">
        <v>116</v>
      </c>
      <c r="N195" t="s">
        <v>146</v>
      </c>
      <c r="AB195">
        <f t="array" aca="1" ref="AB195:AE198" ca="1">MINVERSE(AB190:AE193)</f>
        <v>9.7800569858277073E-4</v>
      </c>
      <c r="AC195">
        <f ca="1"/>
        <v>-4.4306329541961668E-2</v>
      </c>
      <c r="AD195">
        <f ca="1"/>
        <v>4.4062412505091346E-2</v>
      </c>
      <c r="AE195">
        <f ca="1"/>
        <v>2.6556928877285108E-5</v>
      </c>
      <c r="AG195">
        <f t="array" aca="1" ref="AG195:AJ198" ca="1">MMULT(W190:Z193,AB195:AE198)</f>
        <v>-1.055649121719106E-3</v>
      </c>
      <c r="AH195">
        <f ca="1"/>
        <v>1.2671675545594121</v>
      </c>
      <c r="AI195">
        <f ca="1"/>
        <v>-0.53940216258389573</v>
      </c>
      <c r="AJ195">
        <f ca="1"/>
        <v>0.27975604830974343</v>
      </c>
      <c r="AL195">
        <f t="array" aca="1" ref="AL195:AL198" ca="1">MMULT(AG195:AJ198,H195:H198)</f>
        <v>-9.3452206325937556E-15</v>
      </c>
    </row>
    <row r="196" spans="1:38" x14ac:dyDescent="0.25">
      <c r="A196" s="25">
        <f ca="1"/>
        <v>-2.3250269884391158E-11</v>
      </c>
      <c r="B196" s="25">
        <f ca="1"/>
        <v>-3.3790977232166495E-3</v>
      </c>
      <c r="C196" s="25">
        <f ca="1"/>
        <v>3.3790977553369286E-3</v>
      </c>
      <c r="D196" s="25">
        <f ca="1"/>
        <v>2.2230133414261342E-12</v>
      </c>
      <c r="H196">
        <f ca="1"/>
        <v>-7.3215840562821139E-17</v>
      </c>
      <c r="J196" s="8">
        <f ca="1">$B$64+H196</f>
        <v>0.78539816339744828</v>
      </c>
      <c r="K196" s="11" t="s">
        <v>116</v>
      </c>
      <c r="L196" s="38">
        <f ca="1">J197</f>
        <v>7.8313901205286172</v>
      </c>
      <c r="M196" s="39" t="s">
        <v>117</v>
      </c>
      <c r="AB196">
        <f ca="1"/>
        <v>8.0041899330577465E-12</v>
      </c>
      <c r="AC196">
        <f ca="1"/>
        <v>-1.6703544180462893E-10</v>
      </c>
      <c r="AD196">
        <f ca="1"/>
        <v>-1.6703544180462893E-10</v>
      </c>
      <c r="AE196">
        <f ca="1"/>
        <v>1.2806703892892397E-10</v>
      </c>
      <c r="AG196">
        <f ca="1"/>
        <v>2.8641778172346914E-2</v>
      </c>
      <c r="AH196">
        <f ca="1"/>
        <v>0.5237408383290485</v>
      </c>
      <c r="AI196">
        <f ca="1"/>
        <v>0.48975576039992263</v>
      </c>
      <c r="AJ196">
        <f ca="1"/>
        <v>0.3932981393933328</v>
      </c>
      <c r="AL196">
        <f ca="1"/>
        <v>-3.6849528300961642E-14</v>
      </c>
    </row>
    <row r="197" spans="1:38" x14ac:dyDescent="0.25">
      <c r="A197" s="25">
        <f ca="1"/>
        <v>-4.7986910396135521E-12</v>
      </c>
      <c r="B197" s="25">
        <f ca="1"/>
        <v>-2.4846871427654519E-2</v>
      </c>
      <c r="C197" s="25">
        <f ca="1"/>
        <v>-2.4846871441233844E-2</v>
      </c>
      <c r="D197" s="25">
        <f ca="1"/>
        <v>-1.9111350866928806E-2</v>
      </c>
      <c r="H197">
        <f ca="1"/>
        <v>-1.9341986634257268E-14</v>
      </c>
      <c r="J197" s="8">
        <f ca="1">$B$65+H197</f>
        <v>7.8313901205286172</v>
      </c>
      <c r="K197" s="1" t="s">
        <v>117</v>
      </c>
      <c r="L197" s="38">
        <f ca="1">J195</f>
        <v>2.4605728406750673</v>
      </c>
      <c r="M197" s="43" t="s">
        <v>115</v>
      </c>
      <c r="AB197">
        <f ca="1"/>
        <v>-1.3637912654858033E-3</v>
      </c>
      <c r="AC197">
        <f ca="1"/>
        <v>-2.8151056933527253E-2</v>
      </c>
      <c r="AD197">
        <f ca="1"/>
        <v>-2.8151056933527253E-2</v>
      </c>
      <c r="AE197">
        <f ca="1"/>
        <v>-2.1820660247772853E-2</v>
      </c>
      <c r="AG197">
        <f ca="1"/>
        <v>2.8641780263611617E-2</v>
      </c>
      <c r="AH197">
        <f ca="1"/>
        <v>0.52374079256438644</v>
      </c>
      <c r="AI197">
        <f ca="1"/>
        <v>0.48975570246986289</v>
      </c>
      <c r="AJ197">
        <f ca="1"/>
        <v>0.39329817540111933</v>
      </c>
      <c r="AL197">
        <f ca="1"/>
        <v>-3.684952968598282E-14</v>
      </c>
    </row>
    <row r="198" spans="1:38" ht="15.75" thickBot="1" x14ac:dyDescent="0.3">
      <c r="A198" s="25">
        <f ca="1"/>
        <v>-3.0281395202363458E-3</v>
      </c>
      <c r="B198" s="25">
        <f ca="1"/>
        <v>9.382277968473976E-3</v>
      </c>
      <c r="C198" s="25">
        <f ca="1"/>
        <v>9.3822779860839103E-3</v>
      </c>
      <c r="D198" s="25">
        <f ca="1"/>
        <v>-5.4689362256739073E-2</v>
      </c>
      <c r="H198">
        <f ca="1"/>
        <v>-7.0324666138603987E-14</v>
      </c>
      <c r="J198" s="8">
        <f ca="1">$B$67+H198</f>
        <v>0.1514069760907279</v>
      </c>
      <c r="K198" s="1" t="s">
        <v>118</v>
      </c>
      <c r="L198" s="41">
        <f ca="1">J198</f>
        <v>0.1514069760907279</v>
      </c>
      <c r="M198" s="42" t="s">
        <v>118</v>
      </c>
      <c r="AB198">
        <f ca="1"/>
        <v>7.1098736807845753E-4</v>
      </c>
      <c r="AC198">
        <f ca="1"/>
        <v>-8.8659390068990582E-5</v>
      </c>
      <c r="AD198">
        <f ca="1"/>
        <v>-8.8659390068990582E-5</v>
      </c>
      <c r="AE198">
        <f ca="1"/>
        <v>1.9304983056848199E-5</v>
      </c>
      <c r="AG198">
        <f ca="1"/>
        <v>-3.1146906720167823E-3</v>
      </c>
      <c r="AH198">
        <f ca="1"/>
        <v>0.11115988239071078</v>
      </c>
      <c r="AI198">
        <f ca="1"/>
        <v>0.19952862443776381</v>
      </c>
      <c r="AJ198">
        <f ca="1"/>
        <v>0.11910213766541765</v>
      </c>
      <c r="AL198">
        <f ca="1"/>
        <v>-1.2278060315907167E-14</v>
      </c>
    </row>
    <row r="199" spans="1:38" x14ac:dyDescent="0.25">
      <c r="A199" s="25"/>
      <c r="B199" s="25"/>
      <c r="C199" s="25"/>
      <c r="D199" s="25"/>
      <c r="J199" s="8"/>
      <c r="K199" s="1"/>
      <c r="L199" s="8"/>
      <c r="M199" s="1"/>
    </row>
    <row r="200" spans="1:38" x14ac:dyDescent="0.25">
      <c r="A200" s="25"/>
      <c r="B200" s="25"/>
      <c r="C200" s="25"/>
      <c r="D200" s="25"/>
    </row>
    <row r="201" spans="1:38" x14ac:dyDescent="0.25">
      <c r="A201" s="25">
        <f>A190</f>
        <v>-20.443537786034994</v>
      </c>
      <c r="B201" s="25">
        <f t="shared" ref="B201:C201" si="174">B190</f>
        <v>6.0994261936217286E-7</v>
      </c>
      <c r="C201" s="25">
        <f t="shared" si="174"/>
        <v>-12.843807324376204</v>
      </c>
      <c r="D201" s="25"/>
    </row>
    <row r="202" spans="1:38" x14ac:dyDescent="0.25">
      <c r="A202" s="25">
        <f t="shared" ref="A202:C202" si="175">A191</f>
        <v>-0.38458257005661617</v>
      </c>
      <c r="B202" s="25">
        <f t="shared" si="175"/>
        <v>-147.96849298701923</v>
      </c>
      <c r="C202" s="25">
        <f t="shared" si="175"/>
        <v>-18.019056759310153</v>
      </c>
      <c r="D202" s="25"/>
    </row>
    <row r="203" spans="1:38" x14ac:dyDescent="0.25">
      <c r="A203" s="25">
        <f t="shared" ref="A203:C203" si="176">A192</f>
        <v>-0.38458270772291592</v>
      </c>
      <c r="B203" s="25">
        <f t="shared" si="176"/>
        <v>147.96849290615145</v>
      </c>
      <c r="C203" s="25">
        <f t="shared" si="176"/>
        <v>-18.019056672802407</v>
      </c>
      <c r="D203" s="25"/>
    </row>
    <row r="204" spans="1:38" x14ac:dyDescent="0.25">
      <c r="A204" s="25"/>
      <c r="B204" s="25"/>
      <c r="C204" s="25"/>
      <c r="D204" s="25"/>
      <c r="J204" s="8"/>
      <c r="K204" s="11"/>
      <c r="L204" s="8"/>
      <c r="M204" s="11"/>
    </row>
    <row r="205" spans="1:38" x14ac:dyDescent="0.25">
      <c r="A205" s="25">
        <f t="array" ref="A205:C207">MINVERSE(A201:C203)</f>
        <v>-4.9580029770042021E-2</v>
      </c>
      <c r="B205" s="25">
        <v>1.767007995149877E-2</v>
      </c>
      <c r="C205" s="25">
        <v>1.7670080165530237E-2</v>
      </c>
      <c r="D205" s="25"/>
      <c r="H205">
        <f t="array" ref="H205:H207">MMULT(A205:C207,F185:F187)</f>
        <v>2.6208038397722898E-15</v>
      </c>
      <c r="J205" s="8">
        <f>$B$66+H205</f>
        <v>2.4605728406750589</v>
      </c>
      <c r="K205" s="11" t="s">
        <v>115</v>
      </c>
      <c r="L205" s="8">
        <f>J206</f>
        <v>0.78539816339744828</v>
      </c>
      <c r="M205" s="11" t="s">
        <v>116</v>
      </c>
      <c r="N205" t="s">
        <v>145</v>
      </c>
    </row>
    <row r="206" spans="1:38" x14ac:dyDescent="0.25">
      <c r="A206" s="25">
        <v>-2.3373357676088094E-11</v>
      </c>
      <c r="B206" s="25">
        <v>-3.3790977228352788E-3</v>
      </c>
      <c r="C206" s="25">
        <v>3.3790977557182993E-3</v>
      </c>
      <c r="D206" s="25"/>
      <c r="H206">
        <v>-7.3215843421378339E-17</v>
      </c>
      <c r="J206" s="8">
        <f>$B$64+H206</f>
        <v>0.78539816339744828</v>
      </c>
      <c r="K206" s="11" t="s">
        <v>116</v>
      </c>
      <c r="L206" s="8">
        <f>J207</f>
        <v>7.831390120528642</v>
      </c>
      <c r="M206" s="1" t="s">
        <v>117</v>
      </c>
      <c r="N206" t="s">
        <v>147</v>
      </c>
    </row>
    <row r="207" spans="1:38" x14ac:dyDescent="0.25">
      <c r="A207" s="25">
        <v>1.0581918346594299E-3</v>
      </c>
      <c r="B207" s="25">
        <v>-2.8125534750602064E-2</v>
      </c>
      <c r="C207" s="25">
        <v>-2.8125534770335227E-2</v>
      </c>
      <c r="D207" s="25"/>
      <c r="H207">
        <v>5.2331649805135649E-15</v>
      </c>
      <c r="J207" s="8">
        <f>$B$65+H207</f>
        <v>7.831390120528642</v>
      </c>
      <c r="K207" s="1" t="s">
        <v>117</v>
      </c>
      <c r="L207" s="8">
        <f>J205</f>
        <v>2.4605728406750589</v>
      </c>
      <c r="M207" s="11" t="s">
        <v>115</v>
      </c>
    </row>
    <row r="208" spans="1:38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6.0994261936217286E-7</v>
      </c>
      <c r="B212" s="25">
        <f>A182</f>
        <v>-12.843807324376204</v>
      </c>
      <c r="C212" s="25">
        <f>A183</f>
        <v>2.0000004943710175</v>
      </c>
    </row>
    <row r="213" spans="1:14" x14ac:dyDescent="0.25">
      <c r="A213" s="25">
        <f>B181</f>
        <v>-147.96849298701923</v>
      </c>
      <c r="B213" s="25">
        <f>B182</f>
        <v>-18.019056759310153</v>
      </c>
      <c r="C213" s="25">
        <f>B183</f>
        <v>6.2500000431447065</v>
      </c>
    </row>
    <row r="214" spans="1:14" x14ac:dyDescent="0.25">
      <c r="A214" s="25">
        <f>C181</f>
        <v>147.96849290615145</v>
      </c>
      <c r="B214" s="25">
        <f>C182</f>
        <v>-18.019056672802407</v>
      </c>
      <c r="C214" s="25">
        <f>C183</f>
        <v>6.2500000081873983</v>
      </c>
    </row>
    <row r="215" spans="1:14" ht="15.75" thickBot="1" x14ac:dyDescent="0.3"/>
    <row r="216" spans="1:14" x14ac:dyDescent="0.25">
      <c r="A216">
        <f t="array" ref="A216:C218">MINVERSE(A212:C214)</f>
        <v>-6.8157118316154691E-12</v>
      </c>
      <c r="B216">
        <v>-3.3790977287363414E-3</v>
      </c>
      <c r="C216">
        <v>3.3790977498172367E-3</v>
      </c>
      <c r="H216" cm="1">
        <f t="array" ref="H216:H218">MMULT(A216:C218,F185:F187)</f>
        <v>-7.32158442966169E-17</v>
      </c>
      <c r="J216" s="8">
        <f>$B$64+H216</f>
        <v>0.78539816339744828</v>
      </c>
      <c r="K216" s="11" t="s">
        <v>116</v>
      </c>
      <c r="L216" s="36">
        <f>J216</f>
        <v>0.78539816339744828</v>
      </c>
      <c r="M216" s="37" t="s">
        <v>116</v>
      </c>
      <c r="N216" t="s">
        <v>144</v>
      </c>
    </row>
    <row r="217" spans="1:14" x14ac:dyDescent="0.25">
      <c r="A217">
        <v>-0.14128868158798957</v>
      </c>
      <c r="B217">
        <v>2.2606194251785571E-2</v>
      </c>
      <c r="C217">
        <v>2.2606194846548001E-2</v>
      </c>
      <c r="H217">
        <v>1.2757630661070222E-14</v>
      </c>
      <c r="J217" s="8">
        <f>$B$65+H217</f>
        <v>7.8313901205286491</v>
      </c>
      <c r="K217" s="1" t="s">
        <v>117</v>
      </c>
      <c r="L217" s="38">
        <f>J217</f>
        <v>7.8313901205286491</v>
      </c>
      <c r="M217" s="39" t="s">
        <v>117</v>
      </c>
    </row>
    <row r="218" spans="1:14" x14ac:dyDescent="0.25">
      <c r="A218">
        <v>-0.4073422010265495</v>
      </c>
      <c r="B218">
        <v>0.14517476679910665</v>
      </c>
      <c r="C218">
        <v>0.14517476855755754</v>
      </c>
      <c r="H218">
        <v>2.1532137223457985E-14</v>
      </c>
      <c r="J218" s="8">
        <f>$B$67+H218</f>
        <v>0.15140697609081977</v>
      </c>
      <c r="K218" s="1" t="s">
        <v>118</v>
      </c>
      <c r="L218" s="38">
        <f>B66</f>
        <v>2.4605728406750562</v>
      </c>
      <c r="M218" s="40"/>
    </row>
    <row r="219" spans="1:14" ht="15.75" thickBot="1" x14ac:dyDescent="0.3">
      <c r="L219" s="41">
        <f>J218</f>
        <v>0.15140697609081977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ReducedBearing">
                <anchor moveWithCells="1" sizeWithCells="1">
                  <from>
                    <xdr:col>19</xdr:col>
                    <xdr:colOff>228600</xdr:colOff>
                    <xdr:row>39</xdr:row>
                    <xdr:rowOff>47625</xdr:rowOff>
                  </from>
                  <to>
                    <xdr:col>21</xdr:col>
                    <xdr:colOff>895350</xdr:colOff>
                    <xdr:row>44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45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0.55096418732782371</v>
      </c>
      <c r="J2" t="s">
        <v>11</v>
      </c>
    </row>
    <row r="3" spans="1:29" x14ac:dyDescent="0.25">
      <c r="A3" s="10" t="s">
        <v>79</v>
      </c>
      <c r="B3" s="17">
        <f>'Rigid Bearing Plate Analysis'!B3</f>
        <v>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 t="e">
        <f>ATAN2(B3,B4)</f>
        <v>#DIV/0!</v>
      </c>
      <c r="C5" t="s">
        <v>19</v>
      </c>
      <c r="I5">
        <f>SUM(I2:I4)</f>
        <v>0.55096418732782371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0</v>
      </c>
      <c r="AB14">
        <f>$B$4/Z14</f>
        <v>0</v>
      </c>
      <c r="AC14">
        <f>$I$2+AA14+AB14</f>
        <v>0.55096418732782371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0</v>
      </c>
      <c r="AB15">
        <f t="shared" ref="AB15:AB21" si="11">$B$4/Z15</f>
        <v>0</v>
      </c>
      <c r="AC15">
        <f t="shared" ref="AC15:AC20" si="12">$I$2+AA15+AB15</f>
        <v>0.55096418732782371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0</v>
      </c>
      <c r="AB16">
        <f t="shared" si="11"/>
        <v>0</v>
      </c>
      <c r="AC16">
        <f t="shared" si="12"/>
        <v>0.55096418732782371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</v>
      </c>
      <c r="AB17">
        <f t="shared" si="11"/>
        <v>0</v>
      </c>
      <c r="AC17">
        <f t="shared" si="12"/>
        <v>0.55096418732782371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</v>
      </c>
      <c r="AB18">
        <f t="shared" si="11"/>
        <v>0</v>
      </c>
      <c r="AC18">
        <f t="shared" si="12"/>
        <v>0.55096418732782371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0</v>
      </c>
      <c r="AB19">
        <f t="shared" si="11"/>
        <v>0</v>
      </c>
      <c r="AC19">
        <f t="shared" si="12"/>
        <v>0.55096418732782371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0</v>
      </c>
      <c r="AB20">
        <f t="shared" si="11"/>
        <v>0</v>
      </c>
      <c r="AC20">
        <f t="shared" si="12"/>
        <v>0.55096418732782371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0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0.78539816339744839</v>
      </c>
      <c r="C64" t="s">
        <v>19</v>
      </c>
      <c r="D64" t="s">
        <v>34</v>
      </c>
      <c r="H64" s="17">
        <f>DEGREES(B64)</f>
        <v>45.000000000000007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7.8313901205286367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2.4605728771712494</v>
      </c>
      <c r="C66" t="s">
        <v>11</v>
      </c>
      <c r="D66">
        <f>B66/B53</f>
        <v>6.039281693059255E-4</v>
      </c>
      <c r="I66" s="20"/>
    </row>
    <row r="67" spans="1:18" x14ac:dyDescent="0.25">
      <c r="A67" s="1" t="s">
        <v>37</v>
      </c>
      <c r="B67" s="17">
        <f>'Rigid Bearing Plate Analysis'!B67</f>
        <v>0.15140697609079823</v>
      </c>
      <c r="C67" t="s">
        <v>36</v>
      </c>
      <c r="D67" t="s">
        <v>122</v>
      </c>
      <c r="G67" s="20">
        <f ca="1">($B$56*$B$66*$B$55*$E$122)/$B$65</f>
        <v>0.15140697833644906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-8.7781745930520216</v>
      </c>
      <c r="R76">
        <f>Q76</f>
        <v>-8.7781745930520216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8.7781745930520216</v>
      </c>
      <c r="R77">
        <f>Q77</f>
        <v>8.7781745930520216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-7.7781745930520225</v>
      </c>
      <c r="C84" s="1">
        <f t="shared" ref="C84:C92" si="23">(-1*B73*SIN($B$64))+(C73*COS($B$64))</f>
        <v>-3.8890872965260104</v>
      </c>
      <c r="H84" s="1">
        <f t="shared" ref="H84:H92" si="24">H73</f>
        <v>1</v>
      </c>
      <c r="I84" s="4">
        <f>(I73*COS($B$64))+(J73*SIN($B$64))</f>
        <v>-7.7781745930520225</v>
      </c>
      <c r="J84" s="1">
        <f>(-1*I73*SIN($B$64))+(J73*COS($B$64))</f>
        <v>-3.8890872965260104</v>
      </c>
    </row>
    <row r="85" spans="1:10" x14ac:dyDescent="0.25">
      <c r="A85" s="1">
        <f t="shared" si="21"/>
        <v>2</v>
      </c>
      <c r="B85" s="4">
        <f t="shared" si="22"/>
        <v>-3.8890872965260117</v>
      </c>
      <c r="C85" s="1">
        <f t="shared" si="23"/>
        <v>-7.7781745930520216</v>
      </c>
      <c r="H85" s="1">
        <f t="shared" si="24"/>
        <v>2</v>
      </c>
      <c r="I85" s="4">
        <f t="shared" ref="I85:I92" si="25">(I74*COS($B$64))+(J74*SIN($B$64))</f>
        <v>-7.7781745930520225</v>
      </c>
      <c r="J85" s="1">
        <f t="shared" ref="J85:J92" si="26">(-1*I74*SIN($B$64))+(J74*COS($B$64))</f>
        <v>-3.8890872965260104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-3.8890872965260113</v>
      </c>
      <c r="H86" s="1">
        <f t="shared" si="24"/>
        <v>3</v>
      </c>
      <c r="I86" s="4">
        <f t="shared" si="25"/>
        <v>-7.7781745930520225</v>
      </c>
      <c r="J86" s="1">
        <f t="shared" si="26"/>
        <v>-3.8890872965260104</v>
      </c>
    </row>
    <row r="87" spans="1:10" x14ac:dyDescent="0.25">
      <c r="A87" s="1">
        <f t="shared" si="21"/>
        <v>4</v>
      </c>
      <c r="B87" s="4">
        <f t="shared" si="22"/>
        <v>3.8890872965260104</v>
      </c>
      <c r="C87" s="1">
        <f t="shared" si="23"/>
        <v>-7.7781745930520225</v>
      </c>
      <c r="H87" s="1">
        <f t="shared" si="24"/>
        <v>4</v>
      </c>
      <c r="I87" s="4">
        <f t="shared" si="25"/>
        <v>-7.7781745930520225</v>
      </c>
      <c r="J87" s="1">
        <f t="shared" si="26"/>
        <v>-3.8890872965260104</v>
      </c>
    </row>
    <row r="88" spans="1:10" x14ac:dyDescent="0.25">
      <c r="A88" s="1">
        <f t="shared" si="21"/>
        <v>5</v>
      </c>
      <c r="B88" s="4">
        <f t="shared" si="22"/>
        <v>7.7781745930520216</v>
      </c>
      <c r="C88" s="1">
        <f t="shared" si="23"/>
        <v>-3.8890872965260117</v>
      </c>
      <c r="H88" s="1">
        <f t="shared" si="24"/>
        <v>5</v>
      </c>
      <c r="I88" s="4">
        <f t="shared" si="25"/>
        <v>-7.7781745930520225</v>
      </c>
      <c r="J88" s="1">
        <f t="shared" si="26"/>
        <v>-3.8890872965260104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3.8890872965260113</v>
      </c>
      <c r="H89" s="1">
        <f t="shared" si="24"/>
        <v>6</v>
      </c>
      <c r="I89" s="4">
        <f t="shared" si="25"/>
        <v>-7.7781745930520225</v>
      </c>
      <c r="J89" s="1">
        <f t="shared" si="26"/>
        <v>-3.8890872965260104</v>
      </c>
    </row>
    <row r="90" spans="1:10" x14ac:dyDescent="0.25">
      <c r="A90" s="1">
        <f t="shared" si="21"/>
        <v>7</v>
      </c>
      <c r="B90" s="4">
        <f t="shared" si="22"/>
        <v>-7.7781745930520225</v>
      </c>
      <c r="C90" s="1">
        <f t="shared" si="23"/>
        <v>-3.8890872965260104</v>
      </c>
      <c r="H90" s="1">
        <f t="shared" si="24"/>
        <v>7</v>
      </c>
      <c r="I90" s="4">
        <f t="shared" si="25"/>
        <v>-7.7781745930520225</v>
      </c>
      <c r="J90" s="1">
        <f t="shared" si="26"/>
        <v>-3.8890872965260104</v>
      </c>
    </row>
    <row r="91" spans="1:10" x14ac:dyDescent="0.25">
      <c r="A91" s="1">
        <f t="shared" si="21"/>
        <v>8</v>
      </c>
      <c r="B91" s="4">
        <f t="shared" si="22"/>
        <v>-7.7781745930520225</v>
      </c>
      <c r="C91" s="1">
        <f t="shared" si="23"/>
        <v>-3.8890872965260104</v>
      </c>
      <c r="H91" s="1">
        <f t="shared" si="24"/>
        <v>8</v>
      </c>
      <c r="I91" s="4">
        <f t="shared" si="25"/>
        <v>-7.7781745930520225</v>
      </c>
      <c r="J91" s="1">
        <f t="shared" si="26"/>
        <v>-3.8890872965260104</v>
      </c>
    </row>
    <row r="92" spans="1:10" x14ac:dyDescent="0.25">
      <c r="A92" s="1">
        <f t="shared" si="21"/>
        <v>9</v>
      </c>
      <c r="B92" s="4">
        <f t="shared" si="22"/>
        <v>-7.7781745930520225</v>
      </c>
      <c r="C92" s="1">
        <f t="shared" si="23"/>
        <v>-3.8890872965260104</v>
      </c>
      <c r="H92" s="1">
        <f t="shared" si="24"/>
        <v>9</v>
      </c>
      <c r="I92" s="4">
        <f t="shared" si="25"/>
        <v>-7.7781745930520225</v>
      </c>
      <c r="J92" s="1">
        <f t="shared" si="26"/>
        <v>-3.8890872965260104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-4.4194173824159222</v>
      </c>
      <c r="C110" s="1">
        <f>(-1*B95*SIN($B$64))+(C95*COS($B$64))</f>
        <v>-4.4194173824159213</v>
      </c>
      <c r="D110" t="str">
        <f t="shared" ref="D110" si="31">D95</f>
        <v>y</v>
      </c>
      <c r="E110" s="4">
        <f t="shared" ref="E110:E121" si="32">IF($D110="y",$B$125-C110,0)</f>
        <v>0.47711455841329586</v>
      </c>
      <c r="F110" s="1">
        <f>IF($D110="y",B110,NA())</f>
        <v>-4.4194173824159222</v>
      </c>
      <c r="G110" s="1">
        <f>IF($D110="y",C110,NA())</f>
        <v>-4.4194173824159213</v>
      </c>
      <c r="H110">
        <f t="shared" ref="H110:H121" si="33">IF($E$122=0,0,-1*MAX(($B$67/$E$122)*(E110),0))</f>
        <v>-0.15140697609079795</v>
      </c>
      <c r="I110">
        <f>H110*C110</f>
        <v>0.6691306219547043</v>
      </c>
      <c r="J110">
        <f>H110*B110*-1</f>
        <v>-0.66913062195470441</v>
      </c>
      <c r="K110">
        <f ca="1">H110/$B$55</f>
        <v>-1.0670065569456302</v>
      </c>
      <c r="L110">
        <f ca="1">K110/$B$54</f>
        <v>-3.6793329549849315E-5</v>
      </c>
      <c r="M110">
        <f t="shared" ref="M110:M121" si="34">IFERROR(($D$66/$B$65)*(G110-$B$125),0)</f>
        <v>-3.6793330095563735E-5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4.4194173824159213</v>
      </c>
      <c r="C111" s="1">
        <f t="shared" ref="C111:C121" si="37">(-1*B96*SIN($B$64))+(C96*COS($B$64))</f>
        <v>-4.4194173824159222</v>
      </c>
      <c r="D111" t="str">
        <f t="shared" si="35"/>
        <v>y</v>
      </c>
      <c r="E111" s="4">
        <f t="shared" si="32"/>
        <v>0.47711455841329675</v>
      </c>
      <c r="F111" s="1">
        <f t="shared" ref="F111:G121" si="38">IF($D111="y",B111,NA())</f>
        <v>4.4194173824159213</v>
      </c>
      <c r="G111" s="1">
        <f t="shared" si="38"/>
        <v>-4.4194173824159222</v>
      </c>
      <c r="H111">
        <f t="shared" si="33"/>
        <v>-0.15140697609079823</v>
      </c>
      <c r="I111">
        <f t="shared" ref="I111:I121" si="39">H111*C111</f>
        <v>0.66913062195470563</v>
      </c>
      <c r="J111">
        <f t="shared" ref="J111:J121" si="40">H111*B111*-1</f>
        <v>0.66913062195470552</v>
      </c>
      <c r="K111">
        <f ca="1">H111/$B$55</f>
        <v>-1.0670065569456322</v>
      </c>
      <c r="L111">
        <f t="shared" ref="L111:L121" ca="1" si="41">K111/$B$54</f>
        <v>-3.6793329549849383E-5</v>
      </c>
      <c r="M111">
        <f t="shared" si="34"/>
        <v>-3.6793330095563803E-5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-7.7781745930520225</v>
      </c>
      <c r="C112" s="1">
        <f t="shared" si="37"/>
        <v>-3.8890872965260104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-7.7781745930520225</v>
      </c>
      <c r="C113" s="1">
        <f t="shared" si="37"/>
        <v>-3.8890872965260104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-7.7781745930520225</v>
      </c>
      <c r="C114" s="1">
        <f t="shared" si="37"/>
        <v>-3.8890872965260104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-7.7781745930520225</v>
      </c>
      <c r="C115" s="1">
        <f t="shared" si="37"/>
        <v>-3.8890872965260104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-7.7781745930520225</v>
      </c>
      <c r="C116" s="1">
        <f t="shared" si="37"/>
        <v>-3.8890872965260104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-7.7781745930520225</v>
      </c>
      <c r="C117" s="1">
        <f t="shared" si="37"/>
        <v>-3.8890872965260104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-7.7781745930520225</v>
      </c>
      <c r="C118" s="1">
        <f t="shared" si="37"/>
        <v>-3.8890872965260104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-7.7781745930520225</v>
      </c>
      <c r="C119" s="1">
        <f t="shared" si="37"/>
        <v>-3.8890872965260104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-7.7781745930520225</v>
      </c>
      <c r="C120" s="1">
        <f t="shared" si="37"/>
        <v>-3.8890872965260104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-7.7781745930520225</v>
      </c>
      <c r="C121" s="1">
        <f t="shared" si="37"/>
        <v>-3.8890872965260104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0.47711455841329675</v>
      </c>
      <c r="H122">
        <f>SUM(H110:H121)</f>
        <v>-0.30281395218159618</v>
      </c>
      <c r="I122">
        <f t="shared" ref="I122:J122" si="46">SUM(I110:I121)</f>
        <v>1.3382612439094099</v>
      </c>
      <c r="J122">
        <f t="shared" si="46"/>
        <v>1.1102230246251565E-15</v>
      </c>
      <c r="L122">
        <f ca="1">MIN(L110:L121)</f>
        <v>-3.6793329549849383E-5</v>
      </c>
      <c r="M122">
        <f>MIN(M110:M121)</f>
        <v>-3.6793330095563803E-5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-3.9423028240026254</v>
      </c>
      <c r="F125" s="1" t="s">
        <v>27</v>
      </c>
      <c r="G125" s="1" t="s">
        <v>28</v>
      </c>
    </row>
    <row r="126" spans="1:16" x14ac:dyDescent="0.25">
      <c r="F126" s="4">
        <f>MIN(B84:B90)-1</f>
        <v>-8.7781745930520216</v>
      </c>
      <c r="G126" s="4">
        <f>B125</f>
        <v>-3.9423028240026254</v>
      </c>
    </row>
    <row r="127" spans="1:16" x14ac:dyDescent="0.25">
      <c r="F127" s="4">
        <f>MAX(B84:B90)+1</f>
        <v>8.7781745930520216</v>
      </c>
      <c r="G127" s="4">
        <f>G126</f>
        <v>-3.9423028240026254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-7.7781745930520225</v>
      </c>
      <c r="C132" s="4">
        <f>C84</f>
        <v>-3.8890872965260104</v>
      </c>
      <c r="D132" s="4">
        <f t="shared" ref="D132:E139" si="47">B85</f>
        <v>-3.8890872965260117</v>
      </c>
      <c r="E132" s="4">
        <f t="shared" si="47"/>
        <v>-7.7781745930520216</v>
      </c>
      <c r="F132" s="4">
        <f t="shared" ref="F132:F139" si="48">($B$66/$B$65)*(C132-$B$125)</f>
        <v>1.6719979663646436E-2</v>
      </c>
      <c r="G132" s="4">
        <f t="shared" ref="G132:G139" si="49">($B$66/$B$65)*(E132-$B$125)</f>
        <v>-1.2052064690901552</v>
      </c>
      <c r="H132" s="4">
        <f>IF(B132=D132,"V",(C132-E132)/(B132-D132))</f>
        <v>-1.0000000000000002</v>
      </c>
      <c r="I132" s="4">
        <f>IF(H132="V",0,(-1*B132*H132)+C132)</f>
        <v>-11.667261889578034</v>
      </c>
      <c r="J132" s="4">
        <f>IF($F132&gt;=0,B132,IF(AND($F132&lt;0,$G132&gt;=0),IF(H132="V",B132,($B$125-I132)/H132),0))</f>
        <v>-7.7781745930520225</v>
      </c>
      <c r="K132" s="4">
        <f>IF($F132&gt;=0,C132,IF(AND($F132&lt;0,$G132&gt;=0),$B$125,0))</f>
        <v>-3.8890872965260104</v>
      </c>
      <c r="L132" s="4">
        <f>IF($G132&gt;=0,D132,IF(AND($G132&lt;0,$F132&gt;=0),IF(H132="V",D132,($B$125-I132)/H132),0))</f>
        <v>-7.7249590655754066</v>
      </c>
      <c r="M132" s="4">
        <f>IF($G132&gt;=0,E132,IF(AND($G132&lt;0,$F132&gt;=0),$B$125,0))</f>
        <v>-3.9423028240026254</v>
      </c>
      <c r="N132" s="4">
        <f>IF(F132&lt;0,0,F132)</f>
        <v>1.6719979663646436E-2</v>
      </c>
      <c r="O132" s="4">
        <f>IF(G132&lt;0,0,G132)</f>
        <v>0</v>
      </c>
      <c r="P132" s="4">
        <f>(1/6)*(M132-K132)*((N132*((2*J132)+L132))+(O132*(J132+(2*L132))))</f>
        <v>3.452472649888582E-3</v>
      </c>
      <c r="Q132" s="4">
        <f>((1/12)*(M132-K132)*(N132*J132*((3*K132)+M132)+N132*L132*(K132+M132)+O132*J132*(K132+M132)+O132*L132*(K132+(3*M132))))</f>
        <v>-1.3488139250013327E-2</v>
      </c>
      <c r="R132" s="4">
        <f>((-1/24)*(M132-K132)*(J132*J132*((3*N132)+O132)+2*J132*L132*(N132+O132)+L132*L132*(N132+(3*O132))))</f>
        <v>1.3396381661421101E-2</v>
      </c>
    </row>
    <row r="133" spans="1:18" x14ac:dyDescent="0.25">
      <c r="A133" t="s">
        <v>70</v>
      </c>
      <c r="B133" s="4">
        <f t="shared" ref="B133:C138" si="50">D132</f>
        <v>-3.8890872965260117</v>
      </c>
      <c r="C133" s="4">
        <f t="shared" si="50"/>
        <v>-7.7781745930520216</v>
      </c>
      <c r="D133" s="4">
        <f t="shared" si="47"/>
        <v>0</v>
      </c>
      <c r="E133" s="4">
        <f t="shared" si="47"/>
        <v>-3.8890872965260113</v>
      </c>
      <c r="F133" s="4">
        <f t="shared" si="48"/>
        <v>-1.2052064690901552</v>
      </c>
      <c r="G133" s="4">
        <f t="shared" si="49"/>
        <v>1.6719979663646155E-2</v>
      </c>
      <c r="H133" s="4">
        <f t="shared" ref="H133:H139" si="51">IF(B133=D133,"V",(C133-E133)/(B133-D133))</f>
        <v>0.99999999999999967</v>
      </c>
      <c r="I133" s="4">
        <f t="shared" ref="I133:I139" si="52">IF(H133="V",0,(-1*B133*H133)+C133)</f>
        <v>-3.8890872965260113</v>
      </c>
      <c r="J133" s="4">
        <f t="shared" ref="J133:J139" si="53">IF($F133&gt;=0,B133,IF(AND($F133&lt;0,$G133&gt;=0),IF(H133="V",B133,($B$125-I133)/H133),0))</f>
        <v>-5.3215527476614198E-2</v>
      </c>
      <c r="K133" s="4">
        <f t="shared" ref="K133:K139" si="54">IF($F133&gt;=0,C133,IF(AND($F133&lt;0,$G133&gt;=0),$B$125,0))</f>
        <v>-3.9423028240026254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-3.8890872965260113</v>
      </c>
      <c r="N133" s="4">
        <f t="shared" ref="N133:O139" si="57">IF(F133&lt;0,0,F133)</f>
        <v>0</v>
      </c>
      <c r="O133" s="4">
        <f t="shared" si="57"/>
        <v>1.6719979663646155E-2</v>
      </c>
      <c r="P133" s="4">
        <f t="shared" ref="P133:P139" si="58">(1/6)*(M133-K133)*((N133*((2*J133)+L133))+(O133*(J133+(2*L133))))</f>
        <v>-7.8915304576642623E-6</v>
      </c>
      <c r="Q133" s="4">
        <f t="shared" ref="Q133:Q139" si="59">((1/12)*(M133-K133)*(N133*J133*((3*K133)+M133)+N133*L133*(K133+M133)+O133*J133*(K133+M133)+O133*L133*(K133+(3*M133))))</f>
        <v>3.090082683100137E-5</v>
      </c>
      <c r="R133" s="4">
        <f t="shared" ref="R133:R139" si="60">((-1/24)*(M133-K133)*(J133*J133*((3*N133)+O133)+2*J133*L133*(N133+O133)+L133*L133*(N133+(3*O133))))</f>
        <v>-1.0498798897559259E-7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-3.8890872965260113</v>
      </c>
      <c r="D134" s="4">
        <f t="shared" si="47"/>
        <v>3.8890872965260104</v>
      </c>
      <c r="E134" s="4">
        <f t="shared" si="47"/>
        <v>-7.7781745930520225</v>
      </c>
      <c r="F134" s="4">
        <f t="shared" si="48"/>
        <v>1.6719979663646155E-2</v>
      </c>
      <c r="G134" s="4">
        <f t="shared" si="49"/>
        <v>-1.2052064690901554</v>
      </c>
      <c r="H134" s="4">
        <f t="shared" si="51"/>
        <v>-1.0000000000000002</v>
      </c>
      <c r="I134" s="4">
        <f t="shared" si="52"/>
        <v>-3.8890872965260113</v>
      </c>
      <c r="J134" s="4">
        <f t="shared" si="53"/>
        <v>0</v>
      </c>
      <c r="K134" s="4">
        <f t="shared" si="54"/>
        <v>-3.8890872965260113</v>
      </c>
      <c r="L134" s="4">
        <f t="shared" si="55"/>
        <v>5.3215527476614163E-2</v>
      </c>
      <c r="M134" s="4">
        <f t="shared" si="56"/>
        <v>-3.9423028240026254</v>
      </c>
      <c r="N134" s="4">
        <f t="shared" si="57"/>
        <v>1.6719979663646155E-2</v>
      </c>
      <c r="O134" s="4">
        <f t="shared" si="57"/>
        <v>0</v>
      </c>
      <c r="P134" s="4">
        <f t="shared" si="58"/>
        <v>-7.8915304576642572E-6</v>
      </c>
      <c r="Q134" s="4">
        <f t="shared" si="59"/>
        <v>3.090082683100135E-5</v>
      </c>
      <c r="R134" s="4">
        <f t="shared" si="60"/>
        <v>1.0498798897559247E-7</v>
      </c>
    </row>
    <row r="135" spans="1:18" x14ac:dyDescent="0.25">
      <c r="A135" t="s">
        <v>72</v>
      </c>
      <c r="B135" s="4">
        <f t="shared" si="50"/>
        <v>3.8890872965260104</v>
      </c>
      <c r="C135" s="4">
        <f t="shared" si="50"/>
        <v>-7.7781745930520225</v>
      </c>
      <c r="D135" s="4">
        <f t="shared" si="47"/>
        <v>7.7781745930520216</v>
      </c>
      <c r="E135" s="4">
        <f t="shared" si="47"/>
        <v>-3.8890872965260117</v>
      </c>
      <c r="F135" s="4">
        <f t="shared" si="48"/>
        <v>-1.2052064690901554</v>
      </c>
      <c r="G135" s="4">
        <f t="shared" si="49"/>
        <v>1.6719979663646016E-2</v>
      </c>
      <c r="H135" s="4">
        <f t="shared" si="51"/>
        <v>0.99999999999999989</v>
      </c>
      <c r="I135" s="4">
        <f t="shared" si="52"/>
        <v>-11.667261889578032</v>
      </c>
      <c r="J135" s="4">
        <f t="shared" si="53"/>
        <v>7.7249590655754075</v>
      </c>
      <c r="K135" s="4">
        <f t="shared" si="54"/>
        <v>-3.9423028240026254</v>
      </c>
      <c r="L135" s="4">
        <f t="shared" si="55"/>
        <v>7.7781745930520216</v>
      </c>
      <c r="M135" s="4">
        <f t="shared" si="56"/>
        <v>-3.8890872965260117</v>
      </c>
      <c r="N135" s="4">
        <f t="shared" si="57"/>
        <v>0</v>
      </c>
      <c r="O135" s="4">
        <f t="shared" si="57"/>
        <v>1.6719979663646016E-2</v>
      </c>
      <c r="P135" s="4">
        <f t="shared" si="58"/>
        <v>3.4524726498884085E-3</v>
      </c>
      <c r="Q135" s="4">
        <f t="shared" si="59"/>
        <v>-1.3488139250012654E-2</v>
      </c>
      <c r="R135" s="4">
        <f t="shared" si="60"/>
        <v>-1.3396381661420429E-2</v>
      </c>
    </row>
    <row r="136" spans="1:18" x14ac:dyDescent="0.25">
      <c r="A136" t="s">
        <v>73</v>
      </c>
      <c r="B136" s="4">
        <f t="shared" si="50"/>
        <v>7.7781745930520216</v>
      </c>
      <c r="C136" s="4">
        <f t="shared" si="50"/>
        <v>-3.8890872965260117</v>
      </c>
      <c r="D136" s="4">
        <f t="shared" si="47"/>
        <v>0</v>
      </c>
      <c r="E136" s="4">
        <f t="shared" si="47"/>
        <v>3.8890872965260113</v>
      </c>
      <c r="F136" s="4">
        <f t="shared" si="48"/>
        <v>1.6719979663646016E-2</v>
      </c>
      <c r="G136" s="4">
        <f t="shared" si="49"/>
        <v>2.4605728771712494</v>
      </c>
      <c r="H136" s="4">
        <f t="shared" si="51"/>
        <v>-1.0000000000000002</v>
      </c>
      <c r="I136" s="4">
        <f t="shared" si="52"/>
        <v>3.8890872965260117</v>
      </c>
      <c r="J136" s="4">
        <f t="shared" si="53"/>
        <v>7.7781745930520216</v>
      </c>
      <c r="K136" s="4">
        <f t="shared" si="54"/>
        <v>-3.8890872965260117</v>
      </c>
      <c r="L136" s="4">
        <f t="shared" si="55"/>
        <v>0</v>
      </c>
      <c r="M136" s="4">
        <f t="shared" si="56"/>
        <v>3.8890872965260113</v>
      </c>
      <c r="N136" s="4">
        <f t="shared" si="57"/>
        <v>1.6719979663646016E-2</v>
      </c>
      <c r="O136" s="4">
        <f t="shared" si="57"/>
        <v>2.4605728771712494</v>
      </c>
      <c r="P136" s="4">
        <f t="shared" si="58"/>
        <v>25.147962768026954</v>
      </c>
      <c r="Q136" s="4">
        <f t="shared" si="59"/>
        <v>-0.65567339345626685</v>
      </c>
      <c r="R136" s="4">
        <f t="shared" si="60"/>
        <v>-49.229147964049503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3.8890872965260113</v>
      </c>
      <c r="D137" s="4">
        <f t="shared" si="47"/>
        <v>-7.7781745930520225</v>
      </c>
      <c r="E137" s="4">
        <f t="shared" si="47"/>
        <v>-3.8890872965260104</v>
      </c>
      <c r="F137" s="4">
        <f t="shared" si="48"/>
        <v>2.4605728771712494</v>
      </c>
      <c r="G137" s="4">
        <f t="shared" si="49"/>
        <v>1.6719979663646436E-2</v>
      </c>
      <c r="H137" s="4">
        <f t="shared" si="51"/>
        <v>0.99999999999999989</v>
      </c>
      <c r="I137" s="4">
        <f t="shared" si="52"/>
        <v>3.8890872965260113</v>
      </c>
      <c r="J137" s="4">
        <f t="shared" si="53"/>
        <v>0</v>
      </c>
      <c r="K137" s="4">
        <f t="shared" si="54"/>
        <v>3.8890872965260113</v>
      </c>
      <c r="L137" s="4">
        <f t="shared" si="55"/>
        <v>-7.7781745930520225</v>
      </c>
      <c r="M137" s="4">
        <f t="shared" si="56"/>
        <v>-3.8890872965260104</v>
      </c>
      <c r="N137" s="4">
        <f t="shared" si="57"/>
        <v>2.4605728771712494</v>
      </c>
      <c r="O137" s="4">
        <f t="shared" si="57"/>
        <v>1.6719979663646436E-2</v>
      </c>
      <c r="P137" s="4">
        <f t="shared" si="58"/>
        <v>25.147962768026961</v>
      </c>
      <c r="Q137" s="4">
        <f t="shared" si="59"/>
        <v>-0.6556733934562663</v>
      </c>
      <c r="R137" s="4">
        <f t="shared" si="60"/>
        <v>49.229147964049524</v>
      </c>
    </row>
    <row r="138" spans="1:18" x14ac:dyDescent="0.25">
      <c r="A138" t="s">
        <v>75</v>
      </c>
      <c r="B138" s="4">
        <f t="shared" si="50"/>
        <v>-7.7781745930520225</v>
      </c>
      <c r="C138" s="4">
        <f t="shared" si="50"/>
        <v>-3.8890872965260104</v>
      </c>
      <c r="D138" s="4">
        <f t="shared" si="47"/>
        <v>-7.7781745930520225</v>
      </c>
      <c r="E138" s="4">
        <f t="shared" si="47"/>
        <v>-3.8890872965260104</v>
      </c>
      <c r="F138" s="4">
        <f t="shared" si="48"/>
        <v>1.6719979663646436E-2</v>
      </c>
      <c r="G138" s="4">
        <f t="shared" si="49"/>
        <v>1.6719979663646436E-2</v>
      </c>
      <c r="H138" s="4" t="str">
        <f t="shared" si="51"/>
        <v>V</v>
      </c>
      <c r="I138" s="4">
        <f t="shared" si="52"/>
        <v>0</v>
      </c>
      <c r="J138" s="4">
        <f t="shared" si="53"/>
        <v>-7.7781745930520225</v>
      </c>
      <c r="K138" s="4">
        <f t="shared" si="54"/>
        <v>-3.8890872965260104</v>
      </c>
      <c r="L138" s="4">
        <f t="shared" si="55"/>
        <v>-7.7781745930520225</v>
      </c>
      <c r="M138" s="4">
        <f t="shared" si="56"/>
        <v>-3.8890872965260104</v>
      </c>
      <c r="N138" s="4">
        <f t="shared" si="57"/>
        <v>1.6719979663646436E-2</v>
      </c>
      <c r="O138" s="4">
        <f t="shared" si="57"/>
        <v>1.6719979663646436E-2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-7.7781745930520225</v>
      </c>
      <c r="C139" s="4">
        <f>E138</f>
        <v>-3.8890872965260104</v>
      </c>
      <c r="D139" s="4">
        <f t="shared" si="47"/>
        <v>-7.7781745930520225</v>
      </c>
      <c r="E139" s="4">
        <f t="shared" si="47"/>
        <v>-3.8890872965260104</v>
      </c>
      <c r="F139" s="4">
        <f t="shared" si="48"/>
        <v>1.6719979663646436E-2</v>
      </c>
      <c r="G139" s="4">
        <f t="shared" si="49"/>
        <v>1.6719979663646436E-2</v>
      </c>
      <c r="H139" s="4" t="str">
        <f t="shared" si="51"/>
        <v>V</v>
      </c>
      <c r="I139" s="4">
        <f t="shared" si="52"/>
        <v>0</v>
      </c>
      <c r="J139" s="4">
        <f t="shared" si="53"/>
        <v>-7.7781745930520225</v>
      </c>
      <c r="K139" s="4">
        <f t="shared" si="54"/>
        <v>-3.8890872965260104</v>
      </c>
      <c r="L139" s="4">
        <f t="shared" si="55"/>
        <v>-7.7781745930520225</v>
      </c>
      <c r="M139" s="4">
        <f t="shared" si="56"/>
        <v>-3.8890872965260104</v>
      </c>
      <c r="N139" s="4">
        <f t="shared" si="57"/>
        <v>1.6719979663646436E-2</v>
      </c>
      <c r="O139" s="4">
        <f t="shared" si="57"/>
        <v>1.6719979663646436E-2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50.302814698292778</v>
      </c>
      <c r="Q140" s="4">
        <f>SUM(Q132:Q139)</f>
        <v>-1.3382612637588971</v>
      </c>
      <c r="R140" s="4">
        <f>SUM(R132:R139)</f>
        <v>2.1316282072803006E-14</v>
      </c>
    </row>
    <row r="142" spans="1:18" x14ac:dyDescent="0.25">
      <c r="O142" t="s">
        <v>96</v>
      </c>
      <c r="P142" s="1">
        <f>-1*R140/P140</f>
        <v>-4.2375923098248528E-16</v>
      </c>
    </row>
    <row r="143" spans="1:18" x14ac:dyDescent="0.25">
      <c r="O143" t="s">
        <v>97</v>
      </c>
      <c r="P143" s="1">
        <f>Q140/P140</f>
        <v>-2.6604103006671636E-2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-7.7781745930520225</v>
      </c>
      <c r="C146" s="9">
        <f>J84</f>
        <v>-3.8890872965260104</v>
      </c>
      <c r="D146" s="9">
        <f t="shared" ref="D146:E153" si="61">I85</f>
        <v>-7.7781745930520225</v>
      </c>
      <c r="E146">
        <f t="shared" si="61"/>
        <v>-3.8890872965260104</v>
      </c>
      <c r="F146" s="4">
        <f>($B$66/$B$65)*(C146-$B$125)</f>
        <v>1.6719979663646436E-2</v>
      </c>
      <c r="G146" s="4">
        <f>($B$66/$B$65)*(E146-$B$125)</f>
        <v>1.6719979663646436E-2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-7.7781745930520225</v>
      </c>
      <c r="K146" s="4">
        <f>IF($F146&gt;=0,C146,IF(AND($F146&lt;0,$G146&gt;=0),$B$125,0))</f>
        <v>-3.8890872965260104</v>
      </c>
      <c r="L146" s="4">
        <f>IF($G146&gt;=0,D146,IF(AND($G146&lt;0,$F146&gt;=0),IF(H146="V",D146,($B$125-I146)/H146),0))</f>
        <v>-7.7781745930520225</v>
      </c>
      <c r="M146" s="4">
        <f>IF($G146&gt;=0,E146,IF(AND($G146&lt;0,$F146&gt;=0),$B$125,0))</f>
        <v>-3.8890872965260104</v>
      </c>
      <c r="N146" s="4">
        <f>IF(F146&lt;0,0,F146)</f>
        <v>1.6719979663646436E-2</v>
      </c>
      <c r="O146" s="4">
        <f>IF(G146&lt;0,0,G146)</f>
        <v>1.6719979663646436E-2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-7.7781745930520225</v>
      </c>
      <c r="C147">
        <f t="shared" si="62"/>
        <v>-3.8890872965260104</v>
      </c>
      <c r="D147" s="9">
        <f t="shared" si="61"/>
        <v>-7.7781745930520225</v>
      </c>
      <c r="E147">
        <f t="shared" si="61"/>
        <v>-3.8890872965260104</v>
      </c>
      <c r="F147" s="4">
        <f t="shared" ref="F147:F153" si="63">($B$66/$B$65)*(C147-$B$125)</f>
        <v>1.6719979663646436E-2</v>
      </c>
      <c r="G147" s="4">
        <f t="shared" ref="G147:G153" si="64">($B$66/$B$65)*(E147-$B$125)</f>
        <v>1.6719979663646436E-2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-7.7781745930520225</v>
      </c>
      <c r="K147" s="4">
        <f t="shared" ref="K147:K153" si="68">IF($F147&gt;=0,C147,IF(AND($F147&lt;0,$G147&gt;=0),$B$125,0))</f>
        <v>-3.8890872965260104</v>
      </c>
      <c r="L147" s="4">
        <f t="shared" ref="L147:L153" si="69">IF($G147&gt;=0,D147,IF(AND($G147&lt;0,$F147&gt;=0),IF(H147="V",D147,($B$125-I147)/H147),0))</f>
        <v>-7.7781745930520225</v>
      </c>
      <c r="M147" s="4">
        <f t="shared" ref="M147:M153" si="70">IF($G147&gt;=0,E147,IF(AND($G147&lt;0,$F147&gt;=0),$B$125,0))</f>
        <v>-3.8890872965260104</v>
      </c>
      <c r="N147" s="4">
        <f t="shared" ref="N147:O153" si="71">IF(F147&lt;0,0,F147)</f>
        <v>1.6719979663646436E-2</v>
      </c>
      <c r="O147" s="4">
        <f t="shared" si="71"/>
        <v>1.6719979663646436E-2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-7.7781745930520225</v>
      </c>
      <c r="C148">
        <f t="shared" si="62"/>
        <v>-3.8890872965260104</v>
      </c>
      <c r="D148" s="9">
        <f t="shared" si="61"/>
        <v>-7.7781745930520225</v>
      </c>
      <c r="E148">
        <f t="shared" si="61"/>
        <v>-3.8890872965260104</v>
      </c>
      <c r="F148" s="4">
        <f t="shared" si="63"/>
        <v>1.6719979663646436E-2</v>
      </c>
      <c r="G148" s="4">
        <f t="shared" si="64"/>
        <v>1.6719979663646436E-2</v>
      </c>
      <c r="H148" s="4" t="str">
        <f t="shared" si="65"/>
        <v>V</v>
      </c>
      <c r="I148" s="4">
        <f t="shared" si="66"/>
        <v>0</v>
      </c>
      <c r="J148" s="4">
        <f t="shared" si="67"/>
        <v>-7.7781745930520225</v>
      </c>
      <c r="K148" s="4">
        <f t="shared" si="68"/>
        <v>-3.8890872965260104</v>
      </c>
      <c r="L148" s="4">
        <f t="shared" si="69"/>
        <v>-7.7781745930520225</v>
      </c>
      <c r="M148" s="4">
        <f t="shared" si="70"/>
        <v>-3.8890872965260104</v>
      </c>
      <c r="N148" s="4">
        <f t="shared" si="71"/>
        <v>1.6719979663646436E-2</v>
      </c>
      <c r="O148" s="4">
        <f t="shared" si="71"/>
        <v>1.6719979663646436E-2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-7.7781745930520225</v>
      </c>
      <c r="C149">
        <f t="shared" si="62"/>
        <v>-3.8890872965260104</v>
      </c>
      <c r="D149" s="9">
        <f t="shared" si="61"/>
        <v>-7.7781745930520225</v>
      </c>
      <c r="E149">
        <f t="shared" si="61"/>
        <v>-3.8890872965260104</v>
      </c>
      <c r="F149" s="4">
        <f t="shared" si="63"/>
        <v>1.6719979663646436E-2</v>
      </c>
      <c r="G149" s="4">
        <f t="shared" si="64"/>
        <v>1.6719979663646436E-2</v>
      </c>
      <c r="H149" s="4" t="str">
        <f t="shared" si="65"/>
        <v>V</v>
      </c>
      <c r="I149" s="4">
        <f t="shared" si="66"/>
        <v>0</v>
      </c>
      <c r="J149" s="4">
        <f t="shared" si="67"/>
        <v>-7.7781745930520225</v>
      </c>
      <c r="K149" s="4">
        <f t="shared" si="68"/>
        <v>-3.8890872965260104</v>
      </c>
      <c r="L149" s="4">
        <f t="shared" si="69"/>
        <v>-7.7781745930520225</v>
      </c>
      <c r="M149" s="4">
        <f t="shared" si="70"/>
        <v>-3.8890872965260104</v>
      </c>
      <c r="N149" s="4">
        <f t="shared" si="71"/>
        <v>1.6719979663646436E-2</v>
      </c>
      <c r="O149" s="4">
        <f t="shared" si="71"/>
        <v>1.6719979663646436E-2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-7.7781745930520225</v>
      </c>
      <c r="C150">
        <f t="shared" si="62"/>
        <v>-3.8890872965260104</v>
      </c>
      <c r="D150" s="9">
        <f t="shared" si="61"/>
        <v>-7.7781745930520225</v>
      </c>
      <c r="E150">
        <f t="shared" si="61"/>
        <v>-3.8890872965260104</v>
      </c>
      <c r="F150" s="4">
        <f t="shared" si="63"/>
        <v>1.6719979663646436E-2</v>
      </c>
      <c r="G150" s="4">
        <f t="shared" si="64"/>
        <v>1.6719979663646436E-2</v>
      </c>
      <c r="H150" s="4" t="str">
        <f t="shared" si="65"/>
        <v>V</v>
      </c>
      <c r="I150" s="4">
        <f t="shared" si="66"/>
        <v>0</v>
      </c>
      <c r="J150" s="4">
        <f t="shared" si="67"/>
        <v>-7.7781745930520225</v>
      </c>
      <c r="K150" s="4">
        <f t="shared" si="68"/>
        <v>-3.8890872965260104</v>
      </c>
      <c r="L150" s="4">
        <f t="shared" si="69"/>
        <v>-7.7781745930520225</v>
      </c>
      <c r="M150" s="4">
        <f t="shared" si="70"/>
        <v>-3.8890872965260104</v>
      </c>
      <c r="N150" s="4">
        <f t="shared" si="71"/>
        <v>1.6719979663646436E-2</v>
      </c>
      <c r="O150" s="4">
        <f t="shared" si="71"/>
        <v>1.6719979663646436E-2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-7.7781745930520225</v>
      </c>
      <c r="C151">
        <f t="shared" si="62"/>
        <v>-3.8890872965260104</v>
      </c>
      <c r="D151" s="9">
        <f t="shared" si="61"/>
        <v>-7.7781745930520225</v>
      </c>
      <c r="E151">
        <f t="shared" si="61"/>
        <v>-3.8890872965260104</v>
      </c>
      <c r="F151" s="4">
        <f t="shared" si="63"/>
        <v>1.6719979663646436E-2</v>
      </c>
      <c r="G151" s="4">
        <f t="shared" si="64"/>
        <v>1.6719979663646436E-2</v>
      </c>
      <c r="H151" s="4" t="str">
        <f t="shared" si="65"/>
        <v>V</v>
      </c>
      <c r="I151" s="4">
        <f t="shared" si="66"/>
        <v>0</v>
      </c>
      <c r="J151" s="4">
        <f t="shared" si="67"/>
        <v>-7.7781745930520225</v>
      </c>
      <c r="K151" s="4">
        <f t="shared" si="68"/>
        <v>-3.8890872965260104</v>
      </c>
      <c r="L151" s="4">
        <f t="shared" si="69"/>
        <v>-7.7781745930520225</v>
      </c>
      <c r="M151" s="4">
        <f t="shared" si="70"/>
        <v>-3.8890872965260104</v>
      </c>
      <c r="N151" s="4">
        <f t="shared" si="71"/>
        <v>1.6719979663646436E-2</v>
      </c>
      <c r="O151" s="4">
        <f t="shared" si="71"/>
        <v>1.6719979663646436E-2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-7.7781745930520225</v>
      </c>
      <c r="C152">
        <f t="shared" si="62"/>
        <v>-3.8890872965260104</v>
      </c>
      <c r="D152" s="9">
        <f t="shared" si="61"/>
        <v>-7.7781745930520225</v>
      </c>
      <c r="E152">
        <f t="shared" si="61"/>
        <v>-3.8890872965260104</v>
      </c>
      <c r="F152" s="4">
        <f t="shared" si="63"/>
        <v>1.6719979663646436E-2</v>
      </c>
      <c r="G152" s="4">
        <f t="shared" si="64"/>
        <v>1.6719979663646436E-2</v>
      </c>
      <c r="H152" s="4" t="str">
        <f t="shared" si="65"/>
        <v>V</v>
      </c>
      <c r="I152" s="4">
        <f t="shared" si="66"/>
        <v>0</v>
      </c>
      <c r="J152" s="4">
        <f t="shared" si="67"/>
        <v>-7.7781745930520225</v>
      </c>
      <c r="K152" s="4">
        <f t="shared" si="68"/>
        <v>-3.8890872965260104</v>
      </c>
      <c r="L152" s="4">
        <f t="shared" si="69"/>
        <v>-7.7781745930520225</v>
      </c>
      <c r="M152" s="4">
        <f t="shared" si="70"/>
        <v>-3.8890872965260104</v>
      </c>
      <c r="N152" s="4">
        <f t="shared" si="71"/>
        <v>1.6719979663646436E-2</v>
      </c>
      <c r="O152" s="4">
        <f t="shared" si="71"/>
        <v>1.6719979663646436E-2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-7.7781745930520225</v>
      </c>
      <c r="C153">
        <f t="shared" si="62"/>
        <v>-3.8890872965260104</v>
      </c>
      <c r="D153" s="9">
        <f t="shared" si="61"/>
        <v>-7.7781745930520225</v>
      </c>
      <c r="E153">
        <f t="shared" si="61"/>
        <v>-3.8890872965260104</v>
      </c>
      <c r="F153" s="4">
        <f t="shared" si="63"/>
        <v>1.6719979663646436E-2</v>
      </c>
      <c r="G153" s="4">
        <f t="shared" si="64"/>
        <v>1.6719979663646436E-2</v>
      </c>
      <c r="H153" s="4" t="str">
        <f t="shared" si="65"/>
        <v>V</v>
      </c>
      <c r="I153" s="4">
        <f t="shared" si="66"/>
        <v>0</v>
      </c>
      <c r="J153" s="4">
        <f t="shared" si="67"/>
        <v>-7.7781745930520225</v>
      </c>
      <c r="K153" s="4">
        <f t="shared" si="68"/>
        <v>-3.8890872965260104</v>
      </c>
      <c r="L153" s="4">
        <f t="shared" si="69"/>
        <v>-7.7781745930520225</v>
      </c>
      <c r="M153" s="4">
        <f t="shared" si="70"/>
        <v>-3.8890872965260104</v>
      </c>
      <c r="N153" s="4">
        <f t="shared" si="71"/>
        <v>1.6719979663646436E-2</v>
      </c>
      <c r="O153" s="4">
        <f t="shared" si="71"/>
        <v>1.6719979663646436E-2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50.000000746111184</v>
      </c>
      <c r="C159" t="s">
        <v>36</v>
      </c>
    </row>
    <row r="160" spans="1:18" x14ac:dyDescent="0.25">
      <c r="A160" s="1" t="s">
        <v>106</v>
      </c>
      <c r="B160" s="4">
        <f>Q140+I122+Q154-O122</f>
        <v>-1.9849487165046753E-8</v>
      </c>
      <c r="C160" t="s">
        <v>102</v>
      </c>
    </row>
    <row r="161" spans="1:9" x14ac:dyDescent="0.25">
      <c r="A161" s="1" t="s">
        <v>107</v>
      </c>
      <c r="B161" s="4">
        <f>R140+J122+R154-P122</f>
        <v>2.2426505097428162E-14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50.000000746111184</v>
      </c>
      <c r="C164" t="s">
        <v>36</v>
      </c>
      <c r="E164" s="8">
        <f>B2-B164</f>
        <v>-7.4611118350276229E-7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-1.403572283541373E-8</v>
      </c>
      <c r="C165" t="s">
        <v>102</v>
      </c>
      <c r="E165" s="8">
        <f>B3+B165</f>
        <v>-1.403572283541373E-8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-1.4035691119546066E-8</v>
      </c>
      <c r="C166" t="s">
        <v>102</v>
      </c>
      <c r="E166" s="8">
        <f>B4+B166</f>
        <v>-1.4035691119546066E-8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2.4605728771712494</v>
      </c>
      <c r="B169" s="1">
        <f ca="1">IF(E122=0,0,(MIN(H110:H121)*B65)/(B55*B56*E122))</f>
        <v>-2.4605728406763161</v>
      </c>
      <c r="C169" s="3">
        <f ca="1">A169+B169</f>
        <v>3.6494933297603893E-8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1.1649337342311738E-8</v>
      </c>
      <c r="C175" s="27">
        <f>B65*SQRT(I175)</f>
        <v>1.1615828712744079E-7</v>
      </c>
      <c r="D175" s="27">
        <f>B66*SQRT(I175)</f>
        <v>3.6496193698132082E-8</v>
      </c>
      <c r="E175" s="27">
        <f>B67*SQRT(I175)</f>
        <v>2.2457283740406142E-9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0.78539817504678577</v>
      </c>
      <c r="C176" s="3">
        <f>B65+C175</f>
        <v>7.8313902366869241</v>
      </c>
      <c r="D176" s="3">
        <f>D175+B66</f>
        <v>2.460572913667443</v>
      </c>
      <c r="E176" s="3">
        <f>B67+E175</f>
        <v>0.15140697833652661</v>
      </c>
      <c r="F176" s="16" t="s">
        <v>125</v>
      </c>
    </row>
    <row r="177" spans="1:13" x14ac:dyDescent="0.25">
      <c r="B177" s="27">
        <f>B176-B64</f>
        <v>1.1649337383623504E-8</v>
      </c>
      <c r="C177" s="27">
        <f>C176-B65</f>
        <v>1.161582874331657E-7</v>
      </c>
      <c r="D177" s="27">
        <f>D176-B66</f>
        <v>3.6496193622781448E-8</v>
      </c>
      <c r="E177" s="27">
        <f>E176-B67</f>
        <v>2.2457283810339845E-9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-7.7781745814552306</v>
      </c>
      <c r="B181" s="25">
        <f>(d_alpha_p!E136-d_alpha_m!E136)/(2*B177)</f>
        <v>0</v>
      </c>
      <c r="C181" s="25">
        <f>(d_alpha_p!E137-d_alpha_m!E137)/(2*B177)</f>
        <v>7.7781745623945238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7.4611118350276229E-7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1.403572283541373E-8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1.4035691119546066E-8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-3.6494933297603893E-8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-7.7781745814552306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7.7781745623945238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-7.7781745814552306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7.7781745623945238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0.55096418732782371</v>
      </c>
      <c r="J2" t="s">
        <v>11</v>
      </c>
    </row>
    <row r="3" spans="1:29" x14ac:dyDescent="0.25">
      <c r="A3" s="10" t="s">
        <v>79</v>
      </c>
      <c r="B3" s="17">
        <f>'Rigid Bearing Plate Analysis'!B3</f>
        <v>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 t="e">
        <f>ATAN2(B3,B4)</f>
        <v>#DIV/0!</v>
      </c>
      <c r="C5" t="s">
        <v>19</v>
      </c>
      <c r="I5">
        <f>SUM(I2:I4)</f>
        <v>0.55096418732782371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0</v>
      </c>
      <c r="AB14">
        <f>$B$4/Z14</f>
        <v>0</v>
      </c>
      <c r="AC14">
        <f>$I$2+AA14+AB14</f>
        <v>0.55096418732782371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0</v>
      </c>
      <c r="AB15">
        <f t="shared" ref="AB15:AB21" si="11">$B$4/Z15</f>
        <v>0</v>
      </c>
      <c r="AC15">
        <f t="shared" ref="AC15:AC20" si="12">$I$2+AA15+AB15</f>
        <v>0.55096418732782371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0</v>
      </c>
      <c r="AB16">
        <f t="shared" si="11"/>
        <v>0</v>
      </c>
      <c r="AC16">
        <f t="shared" si="12"/>
        <v>0.55096418732782371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</v>
      </c>
      <c r="AB17">
        <f t="shared" si="11"/>
        <v>0</v>
      </c>
      <c r="AC17">
        <f t="shared" si="12"/>
        <v>0.55096418732782371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</v>
      </c>
      <c r="AB18">
        <f t="shared" si="11"/>
        <v>0</v>
      </c>
      <c r="AC18">
        <f t="shared" si="12"/>
        <v>0.55096418732782371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0</v>
      </c>
      <c r="AB19">
        <f t="shared" si="11"/>
        <v>0</v>
      </c>
      <c r="AC19">
        <f t="shared" si="12"/>
        <v>0.55096418732782371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0</v>
      </c>
      <c r="AB20">
        <f t="shared" si="11"/>
        <v>0</v>
      </c>
      <c r="AC20">
        <f t="shared" si="12"/>
        <v>0.55096418732782371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0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0.78539816339744839</v>
      </c>
      <c r="C64" t="s">
        <v>19</v>
      </c>
      <c r="D64" t="s">
        <v>34</v>
      </c>
      <c r="H64" s="17">
        <f>DEGREES(B64)</f>
        <v>45.000000000000007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7.8313901205286367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2.460572804178863</v>
      </c>
      <c r="C66" t="s">
        <v>11</v>
      </c>
      <c r="D66">
        <f>B66/B53</f>
        <v>6.039281513905211E-4</v>
      </c>
      <c r="I66" s="20"/>
    </row>
    <row r="67" spans="1:18" x14ac:dyDescent="0.25">
      <c r="A67" s="1" t="s">
        <v>37</v>
      </c>
      <c r="B67" s="17">
        <f>'Rigid Bearing Plate Analysis'!B67</f>
        <v>0.15140697609079823</v>
      </c>
      <c r="C67" t="s">
        <v>36</v>
      </c>
      <c r="D67" t="s">
        <v>122</v>
      </c>
      <c r="G67" s="20">
        <f ca="1">($B$56*$B$66*$B$55*$E$122)/$B$65</f>
        <v>0.15140697384499233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-8.7781745930520216</v>
      </c>
      <c r="R76">
        <f>Q76</f>
        <v>-8.7781745930520216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8.7781745930520216</v>
      </c>
      <c r="R77">
        <f>Q77</f>
        <v>8.7781745930520216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-7.7781745930520225</v>
      </c>
      <c r="C84" s="1">
        <f t="shared" ref="C84:C92" si="23">(-1*B73*SIN($B$64))+(C73*COS($B$64))</f>
        <v>-3.8890872965260104</v>
      </c>
      <c r="H84" s="1">
        <f t="shared" ref="H84:H92" si="24">H73</f>
        <v>1</v>
      </c>
      <c r="I84" s="4">
        <f>(I73*COS($B$64))+(J73*SIN($B$64))</f>
        <v>-7.7781745930520225</v>
      </c>
      <c r="J84" s="1">
        <f>(-1*I73*SIN($B$64))+(J73*COS($B$64))</f>
        <v>-3.8890872965260104</v>
      </c>
    </row>
    <row r="85" spans="1:10" x14ac:dyDescent="0.25">
      <c r="A85" s="1">
        <f t="shared" si="21"/>
        <v>2</v>
      </c>
      <c r="B85" s="4">
        <f t="shared" si="22"/>
        <v>-3.8890872965260117</v>
      </c>
      <c r="C85" s="1">
        <f t="shared" si="23"/>
        <v>-7.7781745930520216</v>
      </c>
      <c r="H85" s="1">
        <f t="shared" si="24"/>
        <v>2</v>
      </c>
      <c r="I85" s="4">
        <f t="shared" ref="I85:I92" si="25">(I74*COS($B$64))+(J74*SIN($B$64))</f>
        <v>-7.7781745930520225</v>
      </c>
      <c r="J85" s="1">
        <f t="shared" ref="J85:J92" si="26">(-1*I74*SIN($B$64))+(J74*COS($B$64))</f>
        <v>-3.8890872965260104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-3.8890872965260113</v>
      </c>
      <c r="H86" s="1">
        <f t="shared" si="24"/>
        <v>3</v>
      </c>
      <c r="I86" s="4">
        <f t="shared" si="25"/>
        <v>-7.7781745930520225</v>
      </c>
      <c r="J86" s="1">
        <f t="shared" si="26"/>
        <v>-3.8890872965260104</v>
      </c>
    </row>
    <row r="87" spans="1:10" x14ac:dyDescent="0.25">
      <c r="A87" s="1">
        <f t="shared" si="21"/>
        <v>4</v>
      </c>
      <c r="B87" s="4">
        <f t="shared" si="22"/>
        <v>3.8890872965260104</v>
      </c>
      <c r="C87" s="1">
        <f t="shared" si="23"/>
        <v>-7.7781745930520225</v>
      </c>
      <c r="H87" s="1">
        <f t="shared" si="24"/>
        <v>4</v>
      </c>
      <c r="I87" s="4">
        <f t="shared" si="25"/>
        <v>-7.7781745930520225</v>
      </c>
      <c r="J87" s="1">
        <f t="shared" si="26"/>
        <v>-3.8890872965260104</v>
      </c>
    </row>
    <row r="88" spans="1:10" x14ac:dyDescent="0.25">
      <c r="A88" s="1">
        <f t="shared" si="21"/>
        <v>5</v>
      </c>
      <c r="B88" s="4">
        <f t="shared" si="22"/>
        <v>7.7781745930520216</v>
      </c>
      <c r="C88" s="1">
        <f t="shared" si="23"/>
        <v>-3.8890872965260117</v>
      </c>
      <c r="H88" s="1">
        <f t="shared" si="24"/>
        <v>5</v>
      </c>
      <c r="I88" s="4">
        <f t="shared" si="25"/>
        <v>-7.7781745930520225</v>
      </c>
      <c r="J88" s="1">
        <f t="shared" si="26"/>
        <v>-3.8890872965260104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3.8890872965260113</v>
      </c>
      <c r="H89" s="1">
        <f t="shared" si="24"/>
        <v>6</v>
      </c>
      <c r="I89" s="4">
        <f t="shared" si="25"/>
        <v>-7.7781745930520225</v>
      </c>
      <c r="J89" s="1">
        <f t="shared" si="26"/>
        <v>-3.8890872965260104</v>
      </c>
    </row>
    <row r="90" spans="1:10" x14ac:dyDescent="0.25">
      <c r="A90" s="1">
        <f t="shared" si="21"/>
        <v>7</v>
      </c>
      <c r="B90" s="4">
        <f t="shared" si="22"/>
        <v>-7.7781745930520225</v>
      </c>
      <c r="C90" s="1">
        <f t="shared" si="23"/>
        <v>-3.8890872965260104</v>
      </c>
      <c r="H90" s="1">
        <f t="shared" si="24"/>
        <v>7</v>
      </c>
      <c r="I90" s="4">
        <f t="shared" si="25"/>
        <v>-7.7781745930520225</v>
      </c>
      <c r="J90" s="1">
        <f t="shared" si="26"/>
        <v>-3.8890872965260104</v>
      </c>
    </row>
    <row r="91" spans="1:10" x14ac:dyDescent="0.25">
      <c r="A91" s="1">
        <f t="shared" si="21"/>
        <v>8</v>
      </c>
      <c r="B91" s="4">
        <f t="shared" si="22"/>
        <v>-7.7781745930520225</v>
      </c>
      <c r="C91" s="1">
        <f t="shared" si="23"/>
        <v>-3.8890872965260104</v>
      </c>
      <c r="H91" s="1">
        <f t="shared" si="24"/>
        <v>8</v>
      </c>
      <c r="I91" s="4">
        <f t="shared" si="25"/>
        <v>-7.7781745930520225</v>
      </c>
      <c r="J91" s="1">
        <f t="shared" si="26"/>
        <v>-3.8890872965260104</v>
      </c>
    </row>
    <row r="92" spans="1:10" x14ac:dyDescent="0.25">
      <c r="A92" s="1">
        <f t="shared" si="21"/>
        <v>9</v>
      </c>
      <c r="B92" s="4">
        <f t="shared" si="22"/>
        <v>-7.7781745930520225</v>
      </c>
      <c r="C92" s="1">
        <f t="shared" si="23"/>
        <v>-3.8890872965260104</v>
      </c>
      <c r="H92" s="1">
        <f t="shared" si="24"/>
        <v>9</v>
      </c>
      <c r="I92" s="4">
        <f t="shared" si="25"/>
        <v>-7.7781745930520225</v>
      </c>
      <c r="J92" s="1">
        <f t="shared" si="26"/>
        <v>-3.8890872965260104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-4.4194173824159222</v>
      </c>
      <c r="C110" s="1">
        <f>(-1*B95*SIN($B$64))+(C95*COS($B$64))</f>
        <v>-4.4194173824159213</v>
      </c>
      <c r="D110" t="str">
        <f t="shared" ref="D110" si="31">D95</f>
        <v>y</v>
      </c>
      <c r="E110" s="4">
        <f t="shared" ref="E110:E121" si="32">IF($D110="y",$B$125-C110,0)</f>
        <v>0.47711455841329586</v>
      </c>
      <c r="F110" s="1">
        <f>IF($D110="y",B110,NA())</f>
        <v>-4.4194173824159222</v>
      </c>
      <c r="G110" s="1">
        <f>IF($D110="y",C110,NA())</f>
        <v>-4.4194173824159213</v>
      </c>
      <c r="H110">
        <f t="shared" ref="H110:H121" si="33">IF($E$122=0,0,-1*MAX(($B$67/$E$122)*(E110),0))</f>
        <v>-0.15140697609079795</v>
      </c>
      <c r="I110">
        <f>H110*C110</f>
        <v>0.6691306219547043</v>
      </c>
      <c r="J110">
        <f>H110*B110*-1</f>
        <v>-0.66913062195470441</v>
      </c>
      <c r="K110">
        <f ca="1">H110/$B$55</f>
        <v>-1.0670065569456302</v>
      </c>
      <c r="L110">
        <f ca="1">K110/$B$54</f>
        <v>-3.6793329549849315E-5</v>
      </c>
      <c r="M110">
        <f t="shared" ref="M110:M121" si="34">IFERROR(($D$66/$B$65)*(G110-$B$125),0)</f>
        <v>-3.6793329004097205E-5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4.4194173824159213</v>
      </c>
      <c r="C111" s="1">
        <f t="shared" ref="C111:C121" si="37">(-1*B96*SIN($B$64))+(C96*COS($B$64))</f>
        <v>-4.4194173824159222</v>
      </c>
      <c r="D111" t="str">
        <f t="shared" si="35"/>
        <v>y</v>
      </c>
      <c r="E111" s="4">
        <f t="shared" si="32"/>
        <v>0.47711455841329675</v>
      </c>
      <c r="F111" s="1">
        <f t="shared" ref="F111:G121" si="38">IF($D111="y",B111,NA())</f>
        <v>4.4194173824159213</v>
      </c>
      <c r="G111" s="1">
        <f t="shared" si="38"/>
        <v>-4.4194173824159222</v>
      </c>
      <c r="H111">
        <f t="shared" si="33"/>
        <v>-0.15140697609079823</v>
      </c>
      <c r="I111">
        <f t="shared" ref="I111:I121" si="39">H111*C111</f>
        <v>0.66913062195470563</v>
      </c>
      <c r="J111">
        <f t="shared" ref="J111:J121" si="40">H111*B111*-1</f>
        <v>0.66913062195470552</v>
      </c>
      <c r="K111">
        <f ca="1">H111/$B$55</f>
        <v>-1.0670065569456322</v>
      </c>
      <c r="L111">
        <f t="shared" ref="L111:L121" ca="1" si="41">K111/$B$54</f>
        <v>-3.6793329549849383E-5</v>
      </c>
      <c r="M111">
        <f t="shared" si="34"/>
        <v>-3.6793329004097273E-5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-7.7781745930520225</v>
      </c>
      <c r="C112" s="1">
        <f t="shared" si="37"/>
        <v>-3.8890872965260104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-7.7781745930520225</v>
      </c>
      <c r="C113" s="1">
        <f t="shared" si="37"/>
        <v>-3.8890872965260104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-7.7781745930520225</v>
      </c>
      <c r="C114" s="1">
        <f t="shared" si="37"/>
        <v>-3.8890872965260104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-7.7781745930520225</v>
      </c>
      <c r="C115" s="1">
        <f t="shared" si="37"/>
        <v>-3.8890872965260104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-7.7781745930520225</v>
      </c>
      <c r="C116" s="1">
        <f t="shared" si="37"/>
        <v>-3.8890872965260104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-7.7781745930520225</v>
      </c>
      <c r="C117" s="1">
        <f t="shared" si="37"/>
        <v>-3.8890872965260104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-7.7781745930520225</v>
      </c>
      <c r="C118" s="1">
        <f t="shared" si="37"/>
        <v>-3.8890872965260104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-7.7781745930520225</v>
      </c>
      <c r="C119" s="1">
        <f t="shared" si="37"/>
        <v>-3.8890872965260104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-7.7781745930520225</v>
      </c>
      <c r="C120" s="1">
        <f t="shared" si="37"/>
        <v>-3.8890872965260104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-7.7781745930520225</v>
      </c>
      <c r="C121" s="1">
        <f t="shared" si="37"/>
        <v>-3.8890872965260104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0.47711455841329675</v>
      </c>
      <c r="H122">
        <f>SUM(H110:H121)</f>
        <v>-0.30281395218159618</v>
      </c>
      <c r="I122">
        <f t="shared" ref="I122:J122" si="46">SUM(I110:I121)</f>
        <v>1.3382612439094099</v>
      </c>
      <c r="J122">
        <f t="shared" si="46"/>
        <v>1.1102230246251565E-15</v>
      </c>
      <c r="L122">
        <f ca="1">MIN(L110:L121)</f>
        <v>-3.6793329549849383E-5</v>
      </c>
      <c r="M122">
        <f>MIN(M110:M121)</f>
        <v>-3.6793329004097273E-5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-3.9423028240026254</v>
      </c>
      <c r="F125" s="1" t="s">
        <v>27</v>
      </c>
      <c r="G125" s="1" t="s">
        <v>28</v>
      </c>
    </row>
    <row r="126" spans="1:16" x14ac:dyDescent="0.25">
      <c r="F126" s="4">
        <f>MIN(B84:B90)-1</f>
        <v>-8.7781745930520216</v>
      </c>
      <c r="G126" s="4">
        <f>B125</f>
        <v>-3.9423028240026254</v>
      </c>
    </row>
    <row r="127" spans="1:16" x14ac:dyDescent="0.25">
      <c r="F127" s="4">
        <f>MAX(B84:B90)+1</f>
        <v>8.7781745930520216</v>
      </c>
      <c r="G127" s="4">
        <f>G126</f>
        <v>-3.9423028240026254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-7.7781745930520225</v>
      </c>
      <c r="C132" s="4">
        <f>C84</f>
        <v>-3.8890872965260104</v>
      </c>
      <c r="D132" s="4">
        <f t="shared" ref="D132:E139" si="47">B85</f>
        <v>-3.8890872965260117</v>
      </c>
      <c r="E132" s="4">
        <f t="shared" si="47"/>
        <v>-7.7781745930520216</v>
      </c>
      <c r="F132" s="4">
        <f t="shared" ref="F132:F139" si="48">($B$66/$B$65)*(C132-$B$125)</f>
        <v>1.6719979167651691E-2</v>
      </c>
      <c r="G132" s="4">
        <f t="shared" ref="G132:G139" si="49">($B$66/$B$65)*(E132-$B$125)</f>
        <v>-1.2052064333379542</v>
      </c>
      <c r="H132" s="4">
        <f>IF(B132=D132,"V",(C132-E132)/(B132-D132))</f>
        <v>-1.0000000000000002</v>
      </c>
      <c r="I132" s="4">
        <f>IF(H132="V",0,(-1*B132*H132)+C132)</f>
        <v>-11.667261889578034</v>
      </c>
      <c r="J132" s="4">
        <f>IF($F132&gt;=0,B132,IF(AND($F132&lt;0,$G132&gt;=0),IF(H132="V",B132,($B$125-I132)/H132),0))</f>
        <v>-7.7781745930520225</v>
      </c>
      <c r="K132" s="4">
        <f>IF($F132&gt;=0,C132,IF(AND($F132&lt;0,$G132&gt;=0),$B$125,0))</f>
        <v>-3.8890872965260104</v>
      </c>
      <c r="L132" s="4">
        <f>IF($G132&gt;=0,D132,IF(AND($G132&lt;0,$F132&gt;=0),IF(H132="V",D132,($B$125-I132)/H132),0))</f>
        <v>-7.7249590655754066</v>
      </c>
      <c r="M132" s="4">
        <f>IF($G132&gt;=0,E132,IF(AND($G132&lt;0,$F132&gt;=0),$B$125,0))</f>
        <v>-3.9423028240026254</v>
      </c>
      <c r="N132" s="4">
        <f>IF(F132&lt;0,0,F132)</f>
        <v>1.6719979167651691E-2</v>
      </c>
      <c r="O132" s="4">
        <f>IF(G132&lt;0,0,G132)</f>
        <v>0</v>
      </c>
      <c r="P132" s="4">
        <f>(1/6)*(M132-K132)*((N132*((2*J132)+L132))+(O132*(J132+(2*L132))))</f>
        <v>3.4524725474716932E-3</v>
      </c>
      <c r="Q132" s="4">
        <f>((1/12)*(M132-K132)*(N132*J132*((3*K132)+M132)+N132*L132*(K132+M132)+O132*J132*(K132+M132)+O132*L132*(K132+(3*M132))))</f>
        <v>-1.3488138849890462E-2</v>
      </c>
      <c r="R132" s="4">
        <f>((-1/24)*(M132-K132)*(J132*J132*((3*N132)+O132)+2*J132*L132*(N132+O132)+L132*L132*(N132+(3*O132))))</f>
        <v>1.3396381264020204E-2</v>
      </c>
    </row>
    <row r="133" spans="1:18" x14ac:dyDescent="0.25">
      <c r="A133" t="s">
        <v>70</v>
      </c>
      <c r="B133" s="4">
        <f t="shared" ref="B133:C138" si="50">D132</f>
        <v>-3.8890872965260117</v>
      </c>
      <c r="C133" s="4">
        <f t="shared" si="50"/>
        <v>-7.7781745930520216</v>
      </c>
      <c r="D133" s="4">
        <f t="shared" si="47"/>
        <v>0</v>
      </c>
      <c r="E133" s="4">
        <f t="shared" si="47"/>
        <v>-3.8890872965260113</v>
      </c>
      <c r="F133" s="4">
        <f t="shared" si="48"/>
        <v>-1.2052064333379542</v>
      </c>
      <c r="G133" s="4">
        <f t="shared" si="49"/>
        <v>1.6719979167651413E-2</v>
      </c>
      <c r="H133" s="4">
        <f t="shared" ref="H133:H139" si="51">IF(B133=D133,"V",(C133-E133)/(B133-D133))</f>
        <v>0.99999999999999967</v>
      </c>
      <c r="I133" s="4">
        <f t="shared" ref="I133:I139" si="52">IF(H133="V",0,(-1*B133*H133)+C133)</f>
        <v>-3.8890872965260113</v>
      </c>
      <c r="J133" s="4">
        <f t="shared" ref="J133:J139" si="53">IF($F133&gt;=0,B133,IF(AND($F133&lt;0,$G133&gt;=0),IF(H133="V",B133,($B$125-I133)/H133),0))</f>
        <v>-5.3215527476614198E-2</v>
      </c>
      <c r="K133" s="4">
        <f t="shared" ref="K133:K139" si="54">IF($F133&gt;=0,C133,IF(AND($F133&lt;0,$G133&gt;=0),$B$125,0))</f>
        <v>-3.9423028240026254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-3.8890872965260113</v>
      </c>
      <c r="N133" s="4">
        <f t="shared" ref="N133:O139" si="57">IF(F133&lt;0,0,F133)</f>
        <v>0</v>
      </c>
      <c r="O133" s="4">
        <f t="shared" si="57"/>
        <v>1.6719979167651413E-2</v>
      </c>
      <c r="P133" s="4">
        <f t="shared" ref="P133:P139" si="58">(1/6)*(M133-K133)*((N133*((2*J133)+L133))+(O133*(J133+(2*L133))))</f>
        <v>-7.8915302235636409E-6</v>
      </c>
      <c r="Q133" s="4">
        <f t="shared" ref="Q133:Q139" si="59">((1/12)*(M133-K133)*(N133*J133*((3*K133)+M133)+N133*L133*(K133+M133)+O133*J133*(K133+M133)+O133*L133*(K133+(3*M133))))</f>
        <v>3.0900825914334725E-5</v>
      </c>
      <c r="R133" s="4">
        <f t="shared" ref="R133:R139" si="60">((-1/24)*(M133-K133)*(J133*J133*((3*N133)+O133)+2*J133*L133*(N133+O133)+L133*L133*(N133+(3*O133))))</f>
        <v>-1.0498798586114559E-7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-3.8890872965260113</v>
      </c>
      <c r="D134" s="4">
        <f t="shared" si="47"/>
        <v>3.8890872965260104</v>
      </c>
      <c r="E134" s="4">
        <f t="shared" si="47"/>
        <v>-7.7781745930520225</v>
      </c>
      <c r="F134" s="4">
        <f t="shared" si="48"/>
        <v>1.6719979167651413E-2</v>
      </c>
      <c r="G134" s="4">
        <f t="shared" si="49"/>
        <v>-1.2052064333379544</v>
      </c>
      <c r="H134" s="4">
        <f t="shared" si="51"/>
        <v>-1.0000000000000002</v>
      </c>
      <c r="I134" s="4">
        <f t="shared" si="52"/>
        <v>-3.8890872965260113</v>
      </c>
      <c r="J134" s="4">
        <f t="shared" si="53"/>
        <v>0</v>
      </c>
      <c r="K134" s="4">
        <f t="shared" si="54"/>
        <v>-3.8890872965260113</v>
      </c>
      <c r="L134" s="4">
        <f t="shared" si="55"/>
        <v>5.3215527476614163E-2</v>
      </c>
      <c r="M134" s="4">
        <f t="shared" si="56"/>
        <v>-3.9423028240026254</v>
      </c>
      <c r="N134" s="4">
        <f t="shared" si="57"/>
        <v>1.6719979167651413E-2</v>
      </c>
      <c r="O134" s="4">
        <f t="shared" si="57"/>
        <v>0</v>
      </c>
      <c r="P134" s="4">
        <f t="shared" si="58"/>
        <v>-7.8915302235636375E-6</v>
      </c>
      <c r="Q134" s="4">
        <f t="shared" si="59"/>
        <v>3.0900825914334705E-5</v>
      </c>
      <c r="R134" s="4">
        <f t="shared" si="60"/>
        <v>1.0498798586114547E-7</v>
      </c>
    </row>
    <row r="135" spans="1:18" x14ac:dyDescent="0.25">
      <c r="A135" t="s">
        <v>72</v>
      </c>
      <c r="B135" s="4">
        <f t="shared" si="50"/>
        <v>3.8890872965260104</v>
      </c>
      <c r="C135" s="4">
        <f t="shared" si="50"/>
        <v>-7.7781745930520225</v>
      </c>
      <c r="D135" s="4">
        <f t="shared" si="47"/>
        <v>7.7781745930520216</v>
      </c>
      <c r="E135" s="4">
        <f t="shared" si="47"/>
        <v>-3.8890872965260117</v>
      </c>
      <c r="F135" s="4">
        <f t="shared" si="48"/>
        <v>-1.2052064333379544</v>
      </c>
      <c r="G135" s="4">
        <f t="shared" si="49"/>
        <v>1.6719979167651274E-2</v>
      </c>
      <c r="H135" s="4">
        <f t="shared" si="51"/>
        <v>0.99999999999999989</v>
      </c>
      <c r="I135" s="4">
        <f t="shared" si="52"/>
        <v>-11.667261889578032</v>
      </c>
      <c r="J135" s="4">
        <f t="shared" si="53"/>
        <v>7.7249590655754075</v>
      </c>
      <c r="K135" s="4">
        <f t="shared" si="54"/>
        <v>-3.9423028240026254</v>
      </c>
      <c r="L135" s="4">
        <f t="shared" si="55"/>
        <v>7.7781745930520216</v>
      </c>
      <c r="M135" s="4">
        <f t="shared" si="56"/>
        <v>-3.8890872965260117</v>
      </c>
      <c r="N135" s="4">
        <f t="shared" si="57"/>
        <v>0</v>
      </c>
      <c r="O135" s="4">
        <f t="shared" si="57"/>
        <v>1.6719979167651274E-2</v>
      </c>
      <c r="P135" s="4">
        <f t="shared" si="58"/>
        <v>3.4524725474715206E-3</v>
      </c>
      <c r="Q135" s="4">
        <f t="shared" si="59"/>
        <v>-1.3488138849889789E-2</v>
      </c>
      <c r="R135" s="4">
        <f t="shared" si="60"/>
        <v>-1.3396381264019534E-2</v>
      </c>
    </row>
    <row r="136" spans="1:18" x14ac:dyDescent="0.25">
      <c r="A136" t="s">
        <v>73</v>
      </c>
      <c r="B136" s="4">
        <f t="shared" si="50"/>
        <v>7.7781745930520216</v>
      </c>
      <c r="C136" s="4">
        <f t="shared" si="50"/>
        <v>-3.8890872965260117</v>
      </c>
      <c r="D136" s="4">
        <f t="shared" si="47"/>
        <v>0</v>
      </c>
      <c r="E136" s="4">
        <f t="shared" si="47"/>
        <v>3.8890872965260113</v>
      </c>
      <c r="F136" s="4">
        <f t="shared" si="48"/>
        <v>1.6719979167651274E-2</v>
      </c>
      <c r="G136" s="4">
        <f t="shared" si="49"/>
        <v>2.460572804178863</v>
      </c>
      <c r="H136" s="4">
        <f t="shared" si="51"/>
        <v>-1.0000000000000002</v>
      </c>
      <c r="I136" s="4">
        <f t="shared" si="52"/>
        <v>3.8890872965260117</v>
      </c>
      <c r="J136" s="4">
        <f t="shared" si="53"/>
        <v>7.7781745930520216</v>
      </c>
      <c r="K136" s="4">
        <f t="shared" si="54"/>
        <v>-3.8890872965260117</v>
      </c>
      <c r="L136" s="4">
        <f t="shared" si="55"/>
        <v>0</v>
      </c>
      <c r="M136" s="4">
        <f t="shared" si="56"/>
        <v>3.8890872965260113</v>
      </c>
      <c r="N136" s="4">
        <f t="shared" si="57"/>
        <v>1.6719979167651274E-2</v>
      </c>
      <c r="O136" s="4">
        <f t="shared" si="57"/>
        <v>2.460572804178863</v>
      </c>
      <c r="P136" s="4">
        <f t="shared" si="58"/>
        <v>25.147962022017833</v>
      </c>
      <c r="Q136" s="4">
        <f t="shared" si="59"/>
        <v>-0.65567337400585113</v>
      </c>
      <c r="R136" s="4">
        <f t="shared" si="60"/>
        <v>-49.229146503676979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3.8890872965260113</v>
      </c>
      <c r="D137" s="4">
        <f t="shared" si="47"/>
        <v>-7.7781745930520225</v>
      </c>
      <c r="E137" s="4">
        <f t="shared" si="47"/>
        <v>-3.8890872965260104</v>
      </c>
      <c r="F137" s="4">
        <f t="shared" si="48"/>
        <v>2.460572804178863</v>
      </c>
      <c r="G137" s="4">
        <f t="shared" si="49"/>
        <v>1.6719979167651691E-2</v>
      </c>
      <c r="H137" s="4">
        <f t="shared" si="51"/>
        <v>0.99999999999999989</v>
      </c>
      <c r="I137" s="4">
        <f t="shared" si="52"/>
        <v>3.8890872965260113</v>
      </c>
      <c r="J137" s="4">
        <f t="shared" si="53"/>
        <v>0</v>
      </c>
      <c r="K137" s="4">
        <f t="shared" si="54"/>
        <v>3.8890872965260113</v>
      </c>
      <c r="L137" s="4">
        <f t="shared" si="55"/>
        <v>-7.7781745930520225</v>
      </c>
      <c r="M137" s="4">
        <f t="shared" si="56"/>
        <v>-3.8890872965260104</v>
      </c>
      <c r="N137" s="4">
        <f t="shared" si="57"/>
        <v>2.460572804178863</v>
      </c>
      <c r="O137" s="4">
        <f t="shared" si="57"/>
        <v>1.6719979167651691E-2</v>
      </c>
      <c r="P137" s="4">
        <f t="shared" si="58"/>
        <v>25.14796202201784</v>
      </c>
      <c r="Q137" s="4">
        <f t="shared" si="59"/>
        <v>-0.65567337400585046</v>
      </c>
      <c r="R137" s="4">
        <f t="shared" si="60"/>
        <v>49.229146503677008</v>
      </c>
    </row>
    <row r="138" spans="1:18" x14ac:dyDescent="0.25">
      <c r="A138" t="s">
        <v>75</v>
      </c>
      <c r="B138" s="4">
        <f t="shared" si="50"/>
        <v>-7.7781745930520225</v>
      </c>
      <c r="C138" s="4">
        <f t="shared" si="50"/>
        <v>-3.8890872965260104</v>
      </c>
      <c r="D138" s="4">
        <f t="shared" si="47"/>
        <v>-7.7781745930520225</v>
      </c>
      <c r="E138" s="4">
        <f t="shared" si="47"/>
        <v>-3.8890872965260104</v>
      </c>
      <c r="F138" s="4">
        <f t="shared" si="48"/>
        <v>1.6719979167651691E-2</v>
      </c>
      <c r="G138" s="4">
        <f t="shared" si="49"/>
        <v>1.6719979167651691E-2</v>
      </c>
      <c r="H138" s="4" t="str">
        <f t="shared" si="51"/>
        <v>V</v>
      </c>
      <c r="I138" s="4">
        <f t="shared" si="52"/>
        <v>0</v>
      </c>
      <c r="J138" s="4">
        <f t="shared" si="53"/>
        <v>-7.7781745930520225</v>
      </c>
      <c r="K138" s="4">
        <f t="shared" si="54"/>
        <v>-3.8890872965260104</v>
      </c>
      <c r="L138" s="4">
        <f t="shared" si="55"/>
        <v>-7.7781745930520225</v>
      </c>
      <c r="M138" s="4">
        <f t="shared" si="56"/>
        <v>-3.8890872965260104</v>
      </c>
      <c r="N138" s="4">
        <f t="shared" si="57"/>
        <v>1.6719979167651691E-2</v>
      </c>
      <c r="O138" s="4">
        <f t="shared" si="57"/>
        <v>1.6719979167651691E-2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-7.7781745930520225</v>
      </c>
      <c r="C139" s="4">
        <f>E138</f>
        <v>-3.8890872965260104</v>
      </c>
      <c r="D139" s="4">
        <f t="shared" si="47"/>
        <v>-7.7781745930520225</v>
      </c>
      <c r="E139" s="4">
        <f t="shared" si="47"/>
        <v>-3.8890872965260104</v>
      </c>
      <c r="F139" s="4">
        <f t="shared" si="48"/>
        <v>1.6719979167651691E-2</v>
      </c>
      <c r="G139" s="4">
        <f t="shared" si="49"/>
        <v>1.6719979167651691E-2</v>
      </c>
      <c r="H139" s="4" t="str">
        <f t="shared" si="51"/>
        <v>V</v>
      </c>
      <c r="I139" s="4">
        <f t="shared" si="52"/>
        <v>0</v>
      </c>
      <c r="J139" s="4">
        <f t="shared" si="53"/>
        <v>-7.7781745930520225</v>
      </c>
      <c r="K139" s="4">
        <f t="shared" si="54"/>
        <v>-3.8890872965260104</v>
      </c>
      <c r="L139" s="4">
        <f t="shared" si="55"/>
        <v>-7.7781745930520225</v>
      </c>
      <c r="M139" s="4">
        <f t="shared" si="56"/>
        <v>-3.8890872965260104</v>
      </c>
      <c r="N139" s="4">
        <f t="shared" si="57"/>
        <v>1.6719979167651691E-2</v>
      </c>
      <c r="O139" s="4">
        <f t="shared" si="57"/>
        <v>1.6719979167651691E-2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50.302813206070169</v>
      </c>
      <c r="Q140" s="4">
        <f>SUM(Q132:Q139)</f>
        <v>-1.3382612240596532</v>
      </c>
      <c r="R140" s="4">
        <f>SUM(R132:R139)</f>
        <v>2.8421709430404007E-14</v>
      </c>
    </row>
    <row r="142" spans="1:18" x14ac:dyDescent="0.25">
      <c r="O142" t="s">
        <v>96</v>
      </c>
      <c r="P142" s="1">
        <f>-1*R140/P140</f>
        <v>-5.6501232473762098E-16</v>
      </c>
    </row>
    <row r="143" spans="1:18" x14ac:dyDescent="0.25">
      <c r="O143" t="s">
        <v>97</v>
      </c>
      <c r="P143" s="1">
        <f>Q140/P140</f>
        <v>-2.6604103006671639E-2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-7.7781745930520225</v>
      </c>
      <c r="C146" s="9">
        <f>J84</f>
        <v>-3.8890872965260104</v>
      </c>
      <c r="D146" s="9">
        <f t="shared" ref="D146:E153" si="61">I85</f>
        <v>-7.7781745930520225</v>
      </c>
      <c r="E146">
        <f t="shared" si="61"/>
        <v>-3.8890872965260104</v>
      </c>
      <c r="F146" s="4">
        <f>($B$66/$B$65)*(C146-$B$125)</f>
        <v>1.6719979167651691E-2</v>
      </c>
      <c r="G146" s="4">
        <f>($B$66/$B$65)*(E146-$B$125)</f>
        <v>1.6719979167651691E-2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-7.7781745930520225</v>
      </c>
      <c r="K146" s="4">
        <f>IF($F146&gt;=0,C146,IF(AND($F146&lt;0,$G146&gt;=0),$B$125,0))</f>
        <v>-3.8890872965260104</v>
      </c>
      <c r="L146" s="4">
        <f>IF($G146&gt;=0,D146,IF(AND($G146&lt;0,$F146&gt;=0),IF(H146="V",D146,($B$125-I146)/H146),0))</f>
        <v>-7.7781745930520225</v>
      </c>
      <c r="M146" s="4">
        <f>IF($G146&gt;=0,E146,IF(AND($G146&lt;0,$F146&gt;=0),$B$125,0))</f>
        <v>-3.8890872965260104</v>
      </c>
      <c r="N146" s="4">
        <f>IF(F146&lt;0,0,F146)</f>
        <v>1.6719979167651691E-2</v>
      </c>
      <c r="O146" s="4">
        <f>IF(G146&lt;0,0,G146)</f>
        <v>1.6719979167651691E-2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-7.7781745930520225</v>
      </c>
      <c r="C147">
        <f t="shared" si="62"/>
        <v>-3.8890872965260104</v>
      </c>
      <c r="D147" s="9">
        <f t="shared" si="61"/>
        <v>-7.7781745930520225</v>
      </c>
      <c r="E147">
        <f t="shared" si="61"/>
        <v>-3.8890872965260104</v>
      </c>
      <c r="F147" s="4">
        <f t="shared" ref="F147:F153" si="63">($B$66/$B$65)*(C147-$B$125)</f>
        <v>1.6719979167651691E-2</v>
      </c>
      <c r="G147" s="4">
        <f t="shared" ref="G147:G153" si="64">($B$66/$B$65)*(E147-$B$125)</f>
        <v>1.6719979167651691E-2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-7.7781745930520225</v>
      </c>
      <c r="K147" s="4">
        <f t="shared" ref="K147:K153" si="68">IF($F147&gt;=0,C147,IF(AND($F147&lt;0,$G147&gt;=0),$B$125,0))</f>
        <v>-3.8890872965260104</v>
      </c>
      <c r="L147" s="4">
        <f t="shared" ref="L147:L153" si="69">IF($G147&gt;=0,D147,IF(AND($G147&lt;0,$F147&gt;=0),IF(H147="V",D147,($B$125-I147)/H147),0))</f>
        <v>-7.7781745930520225</v>
      </c>
      <c r="M147" s="4">
        <f t="shared" ref="M147:M153" si="70">IF($G147&gt;=0,E147,IF(AND($G147&lt;0,$F147&gt;=0),$B$125,0))</f>
        <v>-3.8890872965260104</v>
      </c>
      <c r="N147" s="4">
        <f t="shared" ref="N147:O153" si="71">IF(F147&lt;0,0,F147)</f>
        <v>1.6719979167651691E-2</v>
      </c>
      <c r="O147" s="4">
        <f t="shared" si="71"/>
        <v>1.6719979167651691E-2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-7.7781745930520225</v>
      </c>
      <c r="C148">
        <f t="shared" si="62"/>
        <v>-3.8890872965260104</v>
      </c>
      <c r="D148" s="9">
        <f t="shared" si="61"/>
        <v>-7.7781745930520225</v>
      </c>
      <c r="E148">
        <f t="shared" si="61"/>
        <v>-3.8890872965260104</v>
      </c>
      <c r="F148" s="4">
        <f t="shared" si="63"/>
        <v>1.6719979167651691E-2</v>
      </c>
      <c r="G148" s="4">
        <f t="shared" si="64"/>
        <v>1.6719979167651691E-2</v>
      </c>
      <c r="H148" s="4" t="str">
        <f t="shared" si="65"/>
        <v>V</v>
      </c>
      <c r="I148" s="4">
        <f t="shared" si="66"/>
        <v>0</v>
      </c>
      <c r="J148" s="4">
        <f t="shared" si="67"/>
        <v>-7.7781745930520225</v>
      </c>
      <c r="K148" s="4">
        <f t="shared" si="68"/>
        <v>-3.8890872965260104</v>
      </c>
      <c r="L148" s="4">
        <f t="shared" si="69"/>
        <v>-7.7781745930520225</v>
      </c>
      <c r="M148" s="4">
        <f t="shared" si="70"/>
        <v>-3.8890872965260104</v>
      </c>
      <c r="N148" s="4">
        <f t="shared" si="71"/>
        <v>1.6719979167651691E-2</v>
      </c>
      <c r="O148" s="4">
        <f t="shared" si="71"/>
        <v>1.6719979167651691E-2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-7.7781745930520225</v>
      </c>
      <c r="C149">
        <f t="shared" si="62"/>
        <v>-3.8890872965260104</v>
      </c>
      <c r="D149" s="9">
        <f t="shared" si="61"/>
        <v>-7.7781745930520225</v>
      </c>
      <c r="E149">
        <f t="shared" si="61"/>
        <v>-3.8890872965260104</v>
      </c>
      <c r="F149" s="4">
        <f t="shared" si="63"/>
        <v>1.6719979167651691E-2</v>
      </c>
      <c r="G149" s="4">
        <f t="shared" si="64"/>
        <v>1.6719979167651691E-2</v>
      </c>
      <c r="H149" s="4" t="str">
        <f t="shared" si="65"/>
        <v>V</v>
      </c>
      <c r="I149" s="4">
        <f t="shared" si="66"/>
        <v>0</v>
      </c>
      <c r="J149" s="4">
        <f t="shared" si="67"/>
        <v>-7.7781745930520225</v>
      </c>
      <c r="K149" s="4">
        <f t="shared" si="68"/>
        <v>-3.8890872965260104</v>
      </c>
      <c r="L149" s="4">
        <f t="shared" si="69"/>
        <v>-7.7781745930520225</v>
      </c>
      <c r="M149" s="4">
        <f t="shared" si="70"/>
        <v>-3.8890872965260104</v>
      </c>
      <c r="N149" s="4">
        <f t="shared" si="71"/>
        <v>1.6719979167651691E-2</v>
      </c>
      <c r="O149" s="4">
        <f t="shared" si="71"/>
        <v>1.6719979167651691E-2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-7.7781745930520225</v>
      </c>
      <c r="C150">
        <f t="shared" si="62"/>
        <v>-3.8890872965260104</v>
      </c>
      <c r="D150" s="9">
        <f t="shared" si="61"/>
        <v>-7.7781745930520225</v>
      </c>
      <c r="E150">
        <f t="shared" si="61"/>
        <v>-3.8890872965260104</v>
      </c>
      <c r="F150" s="4">
        <f t="shared" si="63"/>
        <v>1.6719979167651691E-2</v>
      </c>
      <c r="G150" s="4">
        <f t="shared" si="64"/>
        <v>1.6719979167651691E-2</v>
      </c>
      <c r="H150" s="4" t="str">
        <f t="shared" si="65"/>
        <v>V</v>
      </c>
      <c r="I150" s="4">
        <f t="shared" si="66"/>
        <v>0</v>
      </c>
      <c r="J150" s="4">
        <f t="shared" si="67"/>
        <v>-7.7781745930520225</v>
      </c>
      <c r="K150" s="4">
        <f t="shared" si="68"/>
        <v>-3.8890872965260104</v>
      </c>
      <c r="L150" s="4">
        <f t="shared" si="69"/>
        <v>-7.7781745930520225</v>
      </c>
      <c r="M150" s="4">
        <f t="shared" si="70"/>
        <v>-3.8890872965260104</v>
      </c>
      <c r="N150" s="4">
        <f t="shared" si="71"/>
        <v>1.6719979167651691E-2</v>
      </c>
      <c r="O150" s="4">
        <f t="shared" si="71"/>
        <v>1.6719979167651691E-2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-7.7781745930520225</v>
      </c>
      <c r="C151">
        <f t="shared" si="62"/>
        <v>-3.8890872965260104</v>
      </c>
      <c r="D151" s="9">
        <f t="shared" si="61"/>
        <v>-7.7781745930520225</v>
      </c>
      <c r="E151">
        <f t="shared" si="61"/>
        <v>-3.8890872965260104</v>
      </c>
      <c r="F151" s="4">
        <f t="shared" si="63"/>
        <v>1.6719979167651691E-2</v>
      </c>
      <c r="G151" s="4">
        <f t="shared" si="64"/>
        <v>1.6719979167651691E-2</v>
      </c>
      <c r="H151" s="4" t="str">
        <f t="shared" si="65"/>
        <v>V</v>
      </c>
      <c r="I151" s="4">
        <f t="shared" si="66"/>
        <v>0</v>
      </c>
      <c r="J151" s="4">
        <f t="shared" si="67"/>
        <v>-7.7781745930520225</v>
      </c>
      <c r="K151" s="4">
        <f t="shared" si="68"/>
        <v>-3.8890872965260104</v>
      </c>
      <c r="L151" s="4">
        <f t="shared" si="69"/>
        <v>-7.7781745930520225</v>
      </c>
      <c r="M151" s="4">
        <f t="shared" si="70"/>
        <v>-3.8890872965260104</v>
      </c>
      <c r="N151" s="4">
        <f t="shared" si="71"/>
        <v>1.6719979167651691E-2</v>
      </c>
      <c r="O151" s="4">
        <f t="shared" si="71"/>
        <v>1.6719979167651691E-2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-7.7781745930520225</v>
      </c>
      <c r="C152">
        <f t="shared" si="62"/>
        <v>-3.8890872965260104</v>
      </c>
      <c r="D152" s="9">
        <f t="shared" si="61"/>
        <v>-7.7781745930520225</v>
      </c>
      <c r="E152">
        <f t="shared" si="61"/>
        <v>-3.8890872965260104</v>
      </c>
      <c r="F152" s="4">
        <f t="shared" si="63"/>
        <v>1.6719979167651691E-2</v>
      </c>
      <c r="G152" s="4">
        <f t="shared" si="64"/>
        <v>1.6719979167651691E-2</v>
      </c>
      <c r="H152" s="4" t="str">
        <f t="shared" si="65"/>
        <v>V</v>
      </c>
      <c r="I152" s="4">
        <f t="shared" si="66"/>
        <v>0</v>
      </c>
      <c r="J152" s="4">
        <f t="shared" si="67"/>
        <v>-7.7781745930520225</v>
      </c>
      <c r="K152" s="4">
        <f t="shared" si="68"/>
        <v>-3.8890872965260104</v>
      </c>
      <c r="L152" s="4">
        <f t="shared" si="69"/>
        <v>-7.7781745930520225</v>
      </c>
      <c r="M152" s="4">
        <f t="shared" si="70"/>
        <v>-3.8890872965260104</v>
      </c>
      <c r="N152" s="4">
        <f t="shared" si="71"/>
        <v>1.6719979167651691E-2</v>
      </c>
      <c r="O152" s="4">
        <f t="shared" si="71"/>
        <v>1.6719979167651691E-2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-7.7781745930520225</v>
      </c>
      <c r="C153">
        <f t="shared" si="62"/>
        <v>-3.8890872965260104</v>
      </c>
      <c r="D153" s="9">
        <f t="shared" si="61"/>
        <v>-7.7781745930520225</v>
      </c>
      <c r="E153">
        <f t="shared" si="61"/>
        <v>-3.8890872965260104</v>
      </c>
      <c r="F153" s="4">
        <f t="shared" si="63"/>
        <v>1.6719979167651691E-2</v>
      </c>
      <c r="G153" s="4">
        <f t="shared" si="64"/>
        <v>1.6719979167651691E-2</v>
      </c>
      <c r="H153" s="4" t="str">
        <f t="shared" si="65"/>
        <v>V</v>
      </c>
      <c r="I153" s="4">
        <f t="shared" si="66"/>
        <v>0</v>
      </c>
      <c r="J153" s="4">
        <f t="shared" si="67"/>
        <v>-7.7781745930520225</v>
      </c>
      <c r="K153" s="4">
        <f t="shared" si="68"/>
        <v>-3.8890872965260104</v>
      </c>
      <c r="L153" s="4">
        <f t="shared" si="69"/>
        <v>-7.7781745930520225</v>
      </c>
      <c r="M153" s="4">
        <f t="shared" si="70"/>
        <v>-3.8890872965260104</v>
      </c>
      <c r="N153" s="4">
        <f t="shared" si="71"/>
        <v>1.6719979167651691E-2</v>
      </c>
      <c r="O153" s="4">
        <f t="shared" si="71"/>
        <v>1.6719979167651691E-2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49.999999253888575</v>
      </c>
      <c r="C159" t="s">
        <v>36</v>
      </c>
    </row>
    <row r="160" spans="1:18" x14ac:dyDescent="0.25">
      <c r="A160" s="1" t="s">
        <v>106</v>
      </c>
      <c r="B160" s="4">
        <f>Q140+I122+Q154-O122</f>
        <v>1.9849756727197132E-8</v>
      </c>
      <c r="C160" t="s">
        <v>102</v>
      </c>
    </row>
    <row r="161" spans="1:9" x14ac:dyDescent="0.25">
      <c r="A161" s="1" t="s">
        <v>107</v>
      </c>
      <c r="B161" s="4">
        <f>R140+J122+R154-P122</f>
        <v>2.9531932455029164E-14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49.999999253888575</v>
      </c>
      <c r="C164" t="s">
        <v>36</v>
      </c>
      <c r="E164" s="8">
        <f>B2-B164</f>
        <v>7.4611142508729245E-7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1.4035876704474681E-8</v>
      </c>
      <c r="C165" t="s">
        <v>102</v>
      </c>
      <c r="E165" s="8">
        <f>B3+B165</f>
        <v>1.4035876704474681E-8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1.4035918468934084E-8</v>
      </c>
      <c r="C166" t="s">
        <v>102</v>
      </c>
      <c r="E166" s="8">
        <f>B4+B166</f>
        <v>1.4035918468934084E-8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2.460572804178863</v>
      </c>
      <c r="B169" s="1">
        <f ca="1">IF(E122=0,0,(MIN(H110:H121)*B65)/(B55*B56*E122))</f>
        <v>-2.4605728406763161</v>
      </c>
      <c r="C169" s="3">
        <f ca="1">A169+B169</f>
        <v>-3.6497453059780582E-8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1.1649337342311738E-8</v>
      </c>
      <c r="C175" s="27">
        <f>B65*SQRT(I175)</f>
        <v>1.1615828712744079E-7</v>
      </c>
      <c r="D175" s="27">
        <f>B66*SQRT(I175)</f>
        <v>3.6496192615480033E-8</v>
      </c>
      <c r="E175" s="27">
        <f>B67*SQRT(I175)</f>
        <v>2.2457283740406142E-9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0.78539817504678577</v>
      </c>
      <c r="C176" s="3">
        <f>B65+C175</f>
        <v>7.8313902366869241</v>
      </c>
      <c r="D176" s="3">
        <f>D175+B66</f>
        <v>2.4605728406750558</v>
      </c>
      <c r="E176" s="3">
        <f>B67+E175</f>
        <v>0.15140697833652661</v>
      </c>
      <c r="F176" s="16" t="s">
        <v>125</v>
      </c>
    </row>
    <row r="177" spans="1:13" x14ac:dyDescent="0.25">
      <c r="B177" s="27">
        <f>B176-B64</f>
        <v>1.1649337383623504E-8</v>
      </c>
      <c r="C177" s="27">
        <f>C176-B65</f>
        <v>1.161582874331657E-7</v>
      </c>
      <c r="D177" s="27">
        <f>D176-B66</f>
        <v>3.6496192734603028E-8</v>
      </c>
      <c r="E177" s="27">
        <f>E176-B67</f>
        <v>2.2457283810339845E-9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-20.443537786034994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-7.7781745814552306</v>
      </c>
      <c r="B181" s="25">
        <f>(d_alpha_p!E136-d_alpha_m!E136)/(2*B177)</f>
        <v>0</v>
      </c>
      <c r="C181" s="25">
        <f>(d_alpha_p!E137-d_alpha_m!E137)/(2*B177)</f>
        <v>7.7781745623945238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-7.4611142508729245E-7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-1.4035876704474681E-8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-1.4035918468934084E-8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3.6497453059780582E-8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-20.443537786034994</v>
      </c>
      <c r="B190" s="25">
        <f>A181</f>
        <v>-7.7781745814552306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7.7781745623945238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-20.443537786034994</v>
      </c>
      <c r="B201" s="25">
        <f t="shared" ref="B201:C201" si="77">B190</f>
        <v>-7.7781745814552306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7.7781745623945238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0.55096418732782371</v>
      </c>
      <c r="J2" t="s">
        <v>11</v>
      </c>
    </row>
    <row r="3" spans="1:29" x14ac:dyDescent="0.25">
      <c r="A3" s="10" t="s">
        <v>79</v>
      </c>
      <c r="B3" s="17">
        <f>'Rigid Bearing Plate Analysis'!B3</f>
        <v>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 t="e">
        <f>ATAN2(B3,B4)</f>
        <v>#DIV/0!</v>
      </c>
      <c r="C5" t="s">
        <v>19</v>
      </c>
      <c r="I5">
        <f>SUM(I2:I4)</f>
        <v>0.55096418732782371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0</v>
      </c>
      <c r="AB14">
        <f>$B$4/Z14</f>
        <v>0</v>
      </c>
      <c r="AC14">
        <f>$I$2+AA14+AB14</f>
        <v>0.55096418732782371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0</v>
      </c>
      <c r="AB15">
        <f t="shared" ref="AB15:AB21" si="11">$B$4/Z15</f>
        <v>0</v>
      </c>
      <c r="AC15">
        <f t="shared" ref="AC15:AC20" si="12">$I$2+AA15+AB15</f>
        <v>0.55096418732782371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0</v>
      </c>
      <c r="AB16">
        <f t="shared" si="11"/>
        <v>0</v>
      </c>
      <c r="AC16">
        <f t="shared" si="12"/>
        <v>0.55096418732782371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</v>
      </c>
      <c r="AB17">
        <f t="shared" si="11"/>
        <v>0</v>
      </c>
      <c r="AC17">
        <f t="shared" si="12"/>
        <v>0.55096418732782371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</v>
      </c>
      <c r="AB18">
        <f t="shared" si="11"/>
        <v>0</v>
      </c>
      <c r="AC18">
        <f t="shared" si="12"/>
        <v>0.55096418732782371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0</v>
      </c>
      <c r="AB19">
        <f t="shared" si="11"/>
        <v>0</v>
      </c>
      <c r="AC19">
        <f t="shared" si="12"/>
        <v>0.55096418732782371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0</v>
      </c>
      <c r="AB20">
        <f t="shared" si="11"/>
        <v>0</v>
      </c>
      <c r="AC20">
        <f t="shared" si="12"/>
        <v>0.55096418732782371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0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0.78539817504678577</v>
      </c>
      <c r="C64" t="s">
        <v>19</v>
      </c>
      <c r="D64" t="s">
        <v>34</v>
      </c>
      <c r="H64" s="17">
        <f>DEGREES(B64)</f>
        <v>45.000000667457876</v>
      </c>
      <c r="I64" t="s">
        <v>41</v>
      </c>
    </row>
    <row r="65" spans="1:18" x14ac:dyDescent="0.25">
      <c r="A65" s="1" t="s">
        <v>40</v>
      </c>
      <c r="B65" s="17">
        <f>'Rigid Bearing Plate Analysis'!B65</f>
        <v>7.8313901205286367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2.4605728406750562</v>
      </c>
      <c r="C66" t="s">
        <v>11</v>
      </c>
      <c r="D66">
        <f>B66/B53</f>
        <v>6.039281603482233E-4</v>
      </c>
      <c r="I66" s="20"/>
    </row>
    <row r="67" spans="1:18" x14ac:dyDescent="0.25">
      <c r="A67" s="1" t="s">
        <v>37</v>
      </c>
      <c r="B67" s="17">
        <f>'Rigid Bearing Plate Analysis'!B67</f>
        <v>0.15140697609079823</v>
      </c>
      <c r="C67" t="s">
        <v>36</v>
      </c>
      <c r="D67" t="s">
        <v>122</v>
      </c>
      <c r="G67" s="20">
        <f ca="1">($B$56*$B$66*$B$55*$E$122)/$B$65</f>
        <v>0.15140699242836547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-8.7781746383573118</v>
      </c>
      <c r="R76">
        <f>Q76</f>
        <v>-8.7781746383573118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8.7781746383573118</v>
      </c>
      <c r="R77">
        <f>Q77</f>
        <v>8.7781746383573118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-7.7781746383573118</v>
      </c>
      <c r="C84" s="1">
        <f t="shared" ref="C84:C92" si="23">(-1*B73*SIN($B$64))+(C73*COS($B$64))</f>
        <v>-3.8890872059154304</v>
      </c>
      <c r="H84" s="1">
        <f t="shared" ref="H84:H92" si="24">H73</f>
        <v>1</v>
      </c>
      <c r="I84" s="4">
        <f>(I73*COS($B$64))+(J73*SIN($B$64))</f>
        <v>-7.7781746383573118</v>
      </c>
      <c r="J84" s="1">
        <f>(-1*I73*SIN($B$64))+(J73*COS($B$64))</f>
        <v>-3.8890872059154304</v>
      </c>
    </row>
    <row r="85" spans="1:10" x14ac:dyDescent="0.25">
      <c r="A85" s="1">
        <f t="shared" si="21"/>
        <v>2</v>
      </c>
      <c r="B85" s="4">
        <f t="shared" si="22"/>
        <v>-3.8890873871365912</v>
      </c>
      <c r="C85" s="1">
        <f t="shared" si="23"/>
        <v>-7.7781745477467314</v>
      </c>
      <c r="H85" s="1">
        <f t="shared" si="24"/>
        <v>2</v>
      </c>
      <c r="I85" s="4">
        <f t="shared" ref="I85:I92" si="25">(I74*COS($B$64))+(J74*SIN($B$64))</f>
        <v>-7.7781746383573118</v>
      </c>
      <c r="J85" s="1">
        <f t="shared" ref="J85:J92" si="26">(-1*I74*SIN($B$64))+(J74*COS($B$64))</f>
        <v>-3.8890872059154304</v>
      </c>
    </row>
    <row r="86" spans="1:10" x14ac:dyDescent="0.25">
      <c r="A86" s="1">
        <f t="shared" si="21"/>
        <v>3</v>
      </c>
      <c r="B86" s="4">
        <f t="shared" si="22"/>
        <v>-4.5305290186092861E-8</v>
      </c>
      <c r="C86" s="1">
        <f t="shared" si="23"/>
        <v>-3.8890872965260108</v>
      </c>
      <c r="H86" s="1">
        <f t="shared" si="24"/>
        <v>3</v>
      </c>
      <c r="I86" s="4">
        <f t="shared" si="25"/>
        <v>-7.7781746383573118</v>
      </c>
      <c r="J86" s="1">
        <f t="shared" si="26"/>
        <v>-3.8890872059154304</v>
      </c>
    </row>
    <row r="87" spans="1:10" x14ac:dyDescent="0.25">
      <c r="A87" s="1">
        <f t="shared" si="21"/>
        <v>4</v>
      </c>
      <c r="B87" s="4">
        <f t="shared" si="22"/>
        <v>3.8890872059154304</v>
      </c>
      <c r="C87" s="1">
        <f t="shared" si="23"/>
        <v>-7.7781746383573118</v>
      </c>
      <c r="H87" s="1">
        <f t="shared" si="24"/>
        <v>4</v>
      </c>
      <c r="I87" s="4">
        <f t="shared" si="25"/>
        <v>-7.7781746383573118</v>
      </c>
      <c r="J87" s="1">
        <f t="shared" si="26"/>
        <v>-3.8890872059154304</v>
      </c>
    </row>
    <row r="88" spans="1:10" x14ac:dyDescent="0.25">
      <c r="A88" s="1">
        <f t="shared" si="21"/>
        <v>5</v>
      </c>
      <c r="B88" s="4">
        <f t="shared" si="22"/>
        <v>7.7781745477467314</v>
      </c>
      <c r="C88" s="1">
        <f t="shared" si="23"/>
        <v>-3.8890873871365912</v>
      </c>
      <c r="H88" s="1">
        <f t="shared" si="24"/>
        <v>5</v>
      </c>
      <c r="I88" s="4">
        <f t="shared" si="25"/>
        <v>-7.7781746383573118</v>
      </c>
      <c r="J88" s="1">
        <f t="shared" si="26"/>
        <v>-3.8890872059154304</v>
      </c>
    </row>
    <row r="89" spans="1:10" x14ac:dyDescent="0.25">
      <c r="A89" s="1">
        <f t="shared" si="21"/>
        <v>6</v>
      </c>
      <c r="B89" s="4">
        <f t="shared" si="22"/>
        <v>4.5305290186092861E-8</v>
      </c>
      <c r="C89" s="1">
        <f t="shared" si="23"/>
        <v>3.8890872965260108</v>
      </c>
      <c r="H89" s="1">
        <f t="shared" si="24"/>
        <v>6</v>
      </c>
      <c r="I89" s="4">
        <f t="shared" si="25"/>
        <v>-7.7781746383573118</v>
      </c>
      <c r="J89" s="1">
        <f t="shared" si="26"/>
        <v>-3.8890872059154304</v>
      </c>
    </row>
    <row r="90" spans="1:10" x14ac:dyDescent="0.25">
      <c r="A90" s="1">
        <f t="shared" si="21"/>
        <v>7</v>
      </c>
      <c r="B90" s="4">
        <f t="shared" si="22"/>
        <v>-7.7781746383573118</v>
      </c>
      <c r="C90" s="1">
        <f t="shared" si="23"/>
        <v>-3.8890872059154304</v>
      </c>
      <c r="H90" s="1">
        <f t="shared" si="24"/>
        <v>7</v>
      </c>
      <c r="I90" s="4">
        <f t="shared" si="25"/>
        <v>-7.7781746383573118</v>
      </c>
      <c r="J90" s="1">
        <f t="shared" si="26"/>
        <v>-3.8890872059154304</v>
      </c>
    </row>
    <row r="91" spans="1:10" x14ac:dyDescent="0.25">
      <c r="A91" s="1">
        <f t="shared" si="21"/>
        <v>8</v>
      </c>
      <c r="B91" s="4">
        <f t="shared" si="22"/>
        <v>-7.7781746383573118</v>
      </c>
      <c r="C91" s="1">
        <f t="shared" si="23"/>
        <v>-3.8890872059154304</v>
      </c>
      <c r="H91" s="1">
        <f t="shared" si="24"/>
        <v>8</v>
      </c>
      <c r="I91" s="4">
        <f t="shared" si="25"/>
        <v>-7.7781746383573118</v>
      </c>
      <c r="J91" s="1">
        <f t="shared" si="26"/>
        <v>-3.8890872059154304</v>
      </c>
    </row>
    <row r="92" spans="1:10" x14ac:dyDescent="0.25">
      <c r="A92" s="1">
        <f t="shared" si="21"/>
        <v>9</v>
      </c>
      <c r="B92" s="4">
        <f t="shared" si="22"/>
        <v>-7.7781746383573118</v>
      </c>
      <c r="C92" s="1">
        <f t="shared" si="23"/>
        <v>-3.8890872059154304</v>
      </c>
      <c r="H92" s="1">
        <f t="shared" si="24"/>
        <v>9</v>
      </c>
      <c r="I92" s="4">
        <f t="shared" si="25"/>
        <v>-7.7781746383573118</v>
      </c>
      <c r="J92" s="1">
        <f t="shared" si="26"/>
        <v>-3.8890872059154304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-4.4194174338992056</v>
      </c>
      <c r="C110" s="1">
        <f>(-1*B95*SIN($B$64))+(C95*COS($B$64))</f>
        <v>-4.419417330932637</v>
      </c>
      <c r="D110" t="str">
        <f t="shared" ref="D110" si="31">D95</f>
        <v>y</v>
      </c>
      <c r="E110" s="4">
        <f t="shared" ref="E110:E121" si="32">IF($D110="y",$B$125-C110,0)</f>
        <v>0.47711450693001112</v>
      </c>
      <c r="F110" s="1">
        <f>IF($D110="y",B110,NA())</f>
        <v>-4.4194174338992056</v>
      </c>
      <c r="G110" s="1">
        <f>IF($D110="y",C110,NA())</f>
        <v>-4.419417330932637</v>
      </c>
      <c r="H110">
        <f t="shared" ref="H110:H121" si="33">IF($E$122=0,0,-1*MAX(($B$67/$E$122)*(E110),0))</f>
        <v>-0.15140694341551128</v>
      </c>
      <c r="I110">
        <f>H110*C110</f>
        <v>0.66913046975404766</v>
      </c>
      <c r="J110">
        <f>H110*B110*-1</f>
        <v>-0.66913048534390107</v>
      </c>
      <c r="K110">
        <f ca="1">H110/$B$55</f>
        <v>-1.067006326673908</v>
      </c>
      <c r="L110">
        <f ca="1">K110/$B$54</f>
        <v>-3.6793321609445108E-5</v>
      </c>
      <c r="M110">
        <f t="shared" ref="M110:M121" si="34">IFERROR(($D$66/$B$65)*(G110-$B$125),0)</f>
        <v>-3.6793325579627865E-5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4.419417330932637</v>
      </c>
      <c r="C111" s="1">
        <f t="shared" ref="C111:C121" si="37">(-1*B96*SIN($B$64))+(C96*COS($B$64))</f>
        <v>-4.4194174338992056</v>
      </c>
      <c r="D111" t="str">
        <f t="shared" si="35"/>
        <v>y</v>
      </c>
      <c r="E111" s="4">
        <f t="shared" si="32"/>
        <v>0.47711460989657972</v>
      </c>
      <c r="F111" s="1">
        <f t="shared" ref="F111:G121" si="38">IF($D111="y",B111,NA())</f>
        <v>4.419417330932637</v>
      </c>
      <c r="G111" s="1">
        <f t="shared" si="38"/>
        <v>-4.4194174338992056</v>
      </c>
      <c r="H111">
        <f t="shared" si="33"/>
        <v>-0.15140697609079823</v>
      </c>
      <c r="I111">
        <f t="shared" ref="I111:I121" si="39">H111*C111</f>
        <v>0.66913062974963389</v>
      </c>
      <c r="J111">
        <f t="shared" ref="J111:J121" si="40">H111*B111*-1</f>
        <v>0.66913061415977715</v>
      </c>
      <c r="K111">
        <f ca="1">H111/$B$55</f>
        <v>-1.0670065569456322</v>
      </c>
      <c r="L111">
        <f t="shared" ref="L111:L121" ca="1" si="41">K111/$B$54</f>
        <v>-3.6793329549849383E-5</v>
      </c>
      <c r="M111">
        <f t="shared" si="34"/>
        <v>-3.6793333520033001E-5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-7.7781746383573118</v>
      </c>
      <c r="C112" s="1">
        <f t="shared" si="37"/>
        <v>-3.8890872059154304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-7.7781746383573118</v>
      </c>
      <c r="C113" s="1">
        <f t="shared" si="37"/>
        <v>-3.8890872059154304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-7.7781746383573118</v>
      </c>
      <c r="C114" s="1">
        <f t="shared" si="37"/>
        <v>-3.8890872059154304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-7.7781746383573118</v>
      </c>
      <c r="C115" s="1">
        <f t="shared" si="37"/>
        <v>-3.8890872059154304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-7.7781746383573118</v>
      </c>
      <c r="C116" s="1">
        <f t="shared" si="37"/>
        <v>-3.8890872059154304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-7.7781746383573118</v>
      </c>
      <c r="C117" s="1">
        <f t="shared" si="37"/>
        <v>-3.8890872059154304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-7.7781746383573118</v>
      </c>
      <c r="C118" s="1">
        <f t="shared" si="37"/>
        <v>-3.8890872059154304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-7.7781746383573118</v>
      </c>
      <c r="C119" s="1">
        <f t="shared" si="37"/>
        <v>-3.8890872059154304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-7.7781746383573118</v>
      </c>
      <c r="C120" s="1">
        <f t="shared" si="37"/>
        <v>-3.8890872059154304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-7.7781746383573118</v>
      </c>
      <c r="C121" s="1">
        <f t="shared" si="37"/>
        <v>-3.8890872059154304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0.47711460989657972</v>
      </c>
      <c r="H122">
        <f>SUM(H110:H121)</f>
        <v>-0.30281391950630954</v>
      </c>
      <c r="I122">
        <f t="shared" ref="I122:J122" si="46">SUM(I110:I121)</f>
        <v>1.3382610995036814</v>
      </c>
      <c r="J122">
        <f t="shared" si="46"/>
        <v>1.2881587607704859E-7</v>
      </c>
      <c r="L122">
        <f ca="1">MIN(L110:L121)</f>
        <v>-3.6793329549849383E-5</v>
      </c>
      <c r="M122">
        <f>MIN(M110:M121)</f>
        <v>-3.6793333520033001E-5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-3.9423028240026259</v>
      </c>
      <c r="F125" s="1" t="s">
        <v>27</v>
      </c>
      <c r="G125" s="1" t="s">
        <v>28</v>
      </c>
    </row>
    <row r="126" spans="1:16" x14ac:dyDescent="0.25">
      <c r="F126" s="4">
        <f>MIN(B84:B90)-1</f>
        <v>-8.7781746383573118</v>
      </c>
      <c r="G126" s="4">
        <f>B125</f>
        <v>-3.9423028240026259</v>
      </c>
    </row>
    <row r="127" spans="1:16" x14ac:dyDescent="0.25">
      <c r="F127" s="4">
        <f>MAX(B84:B90)+1</f>
        <v>8.7781745477467314</v>
      </c>
      <c r="G127" s="4">
        <f>G126</f>
        <v>-3.9423028240026259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-7.7781746383573118</v>
      </c>
      <c r="C132" s="4">
        <f>C84</f>
        <v>-3.8890872059154304</v>
      </c>
      <c r="D132" s="4">
        <f t="shared" ref="D132:E139" si="47">B85</f>
        <v>-3.8890873871365912</v>
      </c>
      <c r="E132" s="4">
        <f t="shared" si="47"/>
        <v>-7.7781745477467314</v>
      </c>
      <c r="F132" s="4">
        <f t="shared" ref="F132:F139" si="48">($B$66/$B$65)*(C132-$B$125)</f>
        <v>1.6720007884915657E-2</v>
      </c>
      <c r="G132" s="4">
        <f t="shared" ref="G132:G139" si="49">($B$66/$B$65)*(E132-$B$125)</f>
        <v>-1.2052064369794211</v>
      </c>
      <c r="H132" s="4">
        <f>IF(B132=D132,"V",(C132-E132)/(B132-D132))</f>
        <v>-1.0000000232986752</v>
      </c>
      <c r="I132" s="4">
        <f>IF(H132="V",0,(-1*B132*H132)+C132)</f>
        <v>-11.667262025493907</v>
      </c>
      <c r="J132" s="4">
        <f>IF($F132&gt;=0,B132,IF(AND($F132&lt;0,$G132&gt;=0),IF(H132="V",B132,($B$125-I132)/H132),0))</f>
        <v>-7.7781746383573118</v>
      </c>
      <c r="K132" s="4">
        <f>IF($F132&gt;=0,C132,IF(AND($F132&lt;0,$G132&gt;=0),$B$125,0))</f>
        <v>-3.8890872059154304</v>
      </c>
      <c r="L132" s="4">
        <f>IF($G132&gt;=0,D132,IF(AND($G132&lt;0,$F132&gt;=0),IF(H132="V",D132,($B$125-I132)/H132),0))</f>
        <v>-7.724959021509969</v>
      </c>
      <c r="M132" s="4">
        <f>IF($G132&gt;=0,E132,IF(AND($G132&lt;0,$F132&gt;=0),$B$125,0))</f>
        <v>-3.9423028240026259</v>
      </c>
      <c r="N132" s="4">
        <f>IF(F132&lt;0,0,F132)</f>
        <v>1.6720007884915657E-2</v>
      </c>
      <c r="O132" s="4">
        <f>IF(G132&lt;0,0,G132)</f>
        <v>0</v>
      </c>
      <c r="P132" s="4">
        <f>(1/6)*(M132-K132)*((N132*((2*J132)+L132))+(O132*(J132+(2*L132))))</f>
        <v>3.4524843627078143E-3</v>
      </c>
      <c r="Q132" s="4">
        <f>((1/12)*(M132-K132)*(N132*J132*((3*K132)+M132)+N132*L132*(K132+M132)+O132*J132*(K132+M132)+O132*L132*(K132+(3*M132))))</f>
        <v>-1.348818480092932E-2</v>
      </c>
      <c r="R132" s="4">
        <f>((-1/24)*(M132-K132)*(J132*J132*((3*N132)+O132)+2*J132*L132*(N132+O132)+L132*L132*(N132+(3*O132))))</f>
        <v>1.3396427136732541E-2</v>
      </c>
    </row>
    <row r="133" spans="1:18" x14ac:dyDescent="0.25">
      <c r="A133" t="s">
        <v>70</v>
      </c>
      <c r="B133" s="4">
        <f t="shared" ref="B133:C138" si="50">D132</f>
        <v>-3.8890873871365912</v>
      </c>
      <c r="C133" s="4">
        <f t="shared" si="50"/>
        <v>-7.7781745477467314</v>
      </c>
      <c r="D133" s="4">
        <f t="shared" si="47"/>
        <v>-4.5305290186092861E-8</v>
      </c>
      <c r="E133" s="4">
        <f t="shared" si="47"/>
        <v>-3.8890872965260108</v>
      </c>
      <c r="F133" s="4">
        <f t="shared" si="48"/>
        <v>-1.2052064369794211</v>
      </c>
      <c r="G133" s="4">
        <f t="shared" si="49"/>
        <v>1.6719979415649063E-2</v>
      </c>
      <c r="H133" s="4">
        <f t="shared" ref="H133:H139" si="51">IF(B133=D133,"V",(C133-E133)/(B133-D133))</f>
        <v>0.99999997670132545</v>
      </c>
      <c r="I133" s="4">
        <f t="shared" ref="I133:I139" si="52">IF(H133="V",0,(-1*B133*H133)+C133)</f>
        <v>-3.8890872512207215</v>
      </c>
      <c r="J133" s="4">
        <f t="shared" ref="J133:J139" si="53">IF($F133&gt;=0,B133,IF(AND($F133&lt;0,$G133&gt;=0),IF(H133="V",B133,($B$125-I133)/H133),0))</f>
        <v>-5.3215574021756702E-2</v>
      </c>
      <c r="K133" s="4">
        <f t="shared" ref="K133:K139" si="54">IF($F133&gt;=0,C133,IF(AND($F133&lt;0,$G133&gt;=0),$B$125,0))</f>
        <v>-3.9423028240026259</v>
      </c>
      <c r="L133" s="4">
        <f t="shared" ref="L133:L139" si="55">IF($G133&gt;=0,D133,IF(AND($G133&lt;0,$F133&gt;=0),IF(H133="V",D133,($B$125-I133)/H133),0))</f>
        <v>-4.5305290186092861E-8</v>
      </c>
      <c r="M133" s="4">
        <f t="shared" ref="M133:M139" si="56">IF($G133&gt;=0,E133,IF(AND($G133&lt;0,$F133&gt;=0),$B$125,0))</f>
        <v>-3.8890872965260108</v>
      </c>
      <c r="N133" s="4">
        <f t="shared" ref="N133:O139" si="57">IF(F133&lt;0,0,F133)</f>
        <v>0</v>
      </c>
      <c r="O133" s="4">
        <f t="shared" si="57"/>
        <v>1.6719979415649063E-2</v>
      </c>
      <c r="P133" s="4">
        <f t="shared" ref="P133:P139" si="58">(1/6)*(M133-K133)*((N133*((2*J133)+L133))+(O133*(J133+(2*L133))))</f>
        <v>-7.891550679951242E-6</v>
      </c>
      <c r="Q133" s="4">
        <f t="shared" ref="Q133:Q139" si="59">((1/12)*(M133-K133)*(N133*J133*((3*K133)+M133)+N133*L133*(K133+M133)+O133*J133*(K133+M133)+O133*L133*(K133+(3*M133))))</f>
        <v>3.0900905836546565E-5</v>
      </c>
      <c r="R133" s="4">
        <f t="shared" ref="R133:R139" si="60">((-1/24)*(M133-K133)*(J133*J133*((3*N133)+O133)+2*J133*L133*(N133+O133)+L133*L133*(N133+(3*O133))))</f>
        <v>-1.0498834983907573E-7</v>
      </c>
    </row>
    <row r="134" spans="1:18" x14ac:dyDescent="0.25">
      <c r="A134" t="s">
        <v>71</v>
      </c>
      <c r="B134" s="4">
        <f t="shared" si="50"/>
        <v>-4.5305290186092861E-8</v>
      </c>
      <c r="C134" s="4">
        <f t="shared" si="50"/>
        <v>-3.8890872965260108</v>
      </c>
      <c r="D134" s="4">
        <f t="shared" si="47"/>
        <v>3.8890872059154304</v>
      </c>
      <c r="E134" s="4">
        <f t="shared" si="47"/>
        <v>-7.7781746383573118</v>
      </c>
      <c r="F134" s="4">
        <f t="shared" si="48"/>
        <v>1.6719979415649063E-2</v>
      </c>
      <c r="G134" s="4">
        <f t="shared" si="49"/>
        <v>-1.2052064654486878</v>
      </c>
      <c r="H134" s="4">
        <f t="shared" si="51"/>
        <v>-1.0000000232986752</v>
      </c>
      <c r="I134" s="4">
        <f t="shared" si="52"/>
        <v>-3.8890873418313019</v>
      </c>
      <c r="J134" s="4">
        <f t="shared" si="53"/>
        <v>-4.5305290186092861E-8</v>
      </c>
      <c r="K134" s="4">
        <f t="shared" si="54"/>
        <v>-3.8890872965260108</v>
      </c>
      <c r="L134" s="4">
        <f t="shared" si="55"/>
        <v>5.3215480931473783E-2</v>
      </c>
      <c r="M134" s="4">
        <f t="shared" si="56"/>
        <v>-3.9423028240026259</v>
      </c>
      <c r="N134" s="4">
        <f t="shared" si="57"/>
        <v>1.6719979415649063E-2</v>
      </c>
      <c r="O134" s="4">
        <f t="shared" si="57"/>
        <v>0</v>
      </c>
      <c r="P134" s="4">
        <f t="shared" si="58"/>
        <v>-7.8915100012774964E-6</v>
      </c>
      <c r="Q134" s="4">
        <f t="shared" si="59"/>
        <v>3.0900746908792796E-5</v>
      </c>
      <c r="R134" s="4">
        <f t="shared" si="60"/>
        <v>1.049876249986076E-7</v>
      </c>
    </row>
    <row r="135" spans="1:18" x14ac:dyDescent="0.25">
      <c r="A135" t="s">
        <v>72</v>
      </c>
      <c r="B135" s="4">
        <f t="shared" si="50"/>
        <v>3.8890872059154304</v>
      </c>
      <c r="C135" s="4">
        <f t="shared" si="50"/>
        <v>-7.7781746383573118</v>
      </c>
      <c r="D135" s="4">
        <f t="shared" si="47"/>
        <v>7.7781745477467314</v>
      </c>
      <c r="E135" s="4">
        <f t="shared" si="47"/>
        <v>-3.8890873871365912</v>
      </c>
      <c r="F135" s="4">
        <f t="shared" si="48"/>
        <v>-1.2052064654486878</v>
      </c>
      <c r="G135" s="4">
        <f t="shared" si="49"/>
        <v>1.671995094638247E-2</v>
      </c>
      <c r="H135" s="4">
        <f t="shared" si="51"/>
        <v>0.99999997670132545</v>
      </c>
      <c r="I135" s="4">
        <f t="shared" si="52"/>
        <v>-11.667261753662165</v>
      </c>
      <c r="J135" s="4">
        <f t="shared" si="53"/>
        <v>7.7249591096408476</v>
      </c>
      <c r="K135" s="4">
        <f t="shared" si="54"/>
        <v>-3.9423028240026259</v>
      </c>
      <c r="L135" s="4">
        <f t="shared" si="55"/>
        <v>7.7781745477467314</v>
      </c>
      <c r="M135" s="4">
        <f t="shared" si="56"/>
        <v>-3.8890873871365912</v>
      </c>
      <c r="N135" s="4">
        <f t="shared" si="57"/>
        <v>0</v>
      </c>
      <c r="O135" s="4">
        <f t="shared" si="57"/>
        <v>1.671995094638247E-2</v>
      </c>
      <c r="P135" s="4">
        <f t="shared" si="58"/>
        <v>3.4524608346725265E-3</v>
      </c>
      <c r="Q135" s="4">
        <f t="shared" si="59"/>
        <v>-1.3488093299051443E-2</v>
      </c>
      <c r="R135" s="4">
        <f t="shared" si="60"/>
        <v>-1.3396335788786809E-2</v>
      </c>
    </row>
    <row r="136" spans="1:18" x14ac:dyDescent="0.25">
      <c r="A136" t="s">
        <v>73</v>
      </c>
      <c r="B136" s="4">
        <f t="shared" si="50"/>
        <v>7.7781745477467314</v>
      </c>
      <c r="C136" s="4">
        <f t="shared" si="50"/>
        <v>-3.8890873871365912</v>
      </c>
      <c r="D136" s="4">
        <f t="shared" si="47"/>
        <v>4.5305290186092861E-8</v>
      </c>
      <c r="E136" s="4">
        <f t="shared" si="47"/>
        <v>3.8890872965260108</v>
      </c>
      <c r="F136" s="4">
        <f t="shared" si="48"/>
        <v>1.671995094638247E-2</v>
      </c>
      <c r="G136" s="4">
        <f t="shared" si="49"/>
        <v>2.4605728406750562</v>
      </c>
      <c r="H136" s="4">
        <f t="shared" si="51"/>
        <v>-1.0000000232986752</v>
      </c>
      <c r="I136" s="4">
        <f t="shared" si="52"/>
        <v>3.8890873418313028</v>
      </c>
      <c r="J136" s="4">
        <f t="shared" si="53"/>
        <v>7.7781745477467314</v>
      </c>
      <c r="K136" s="4">
        <f t="shared" si="54"/>
        <v>-3.8890873871365912</v>
      </c>
      <c r="L136" s="4">
        <f t="shared" si="55"/>
        <v>4.5305290186092861E-8</v>
      </c>
      <c r="M136" s="4">
        <f t="shared" si="56"/>
        <v>3.8890872965260108</v>
      </c>
      <c r="N136" s="4">
        <f t="shared" si="57"/>
        <v>1.671995094638247E-2</v>
      </c>
      <c r="O136" s="4">
        <f t="shared" si="57"/>
        <v>2.4605728406750562</v>
      </c>
      <c r="P136" s="4">
        <f t="shared" si="58"/>
        <v>25.147962257381835</v>
      </c>
      <c r="Q136" s="4">
        <f t="shared" si="59"/>
        <v>-0.65567285607304648</v>
      </c>
      <c r="R136" s="4">
        <f t="shared" si="60"/>
        <v>-49.229146125080163</v>
      </c>
    </row>
    <row r="137" spans="1:18" x14ac:dyDescent="0.25">
      <c r="A137" t="s">
        <v>74</v>
      </c>
      <c r="B137" s="4">
        <f t="shared" si="50"/>
        <v>4.5305290186092861E-8</v>
      </c>
      <c r="C137" s="4">
        <f t="shared" si="50"/>
        <v>3.8890872965260108</v>
      </c>
      <c r="D137" s="4">
        <f t="shared" si="47"/>
        <v>-7.7781746383573118</v>
      </c>
      <c r="E137" s="4">
        <f t="shared" si="47"/>
        <v>-3.8890872059154304</v>
      </c>
      <c r="F137" s="4">
        <f t="shared" si="48"/>
        <v>2.4605728406750562</v>
      </c>
      <c r="G137" s="4">
        <f t="shared" si="49"/>
        <v>1.6720007884915657E-2</v>
      </c>
      <c r="H137" s="4">
        <f t="shared" si="51"/>
        <v>0.99999997670132545</v>
      </c>
      <c r="I137" s="4">
        <f t="shared" si="52"/>
        <v>3.8890872512207215</v>
      </c>
      <c r="J137" s="4">
        <f t="shared" si="53"/>
        <v>4.5305290186092861E-8</v>
      </c>
      <c r="K137" s="4">
        <f t="shared" si="54"/>
        <v>3.8890872965260108</v>
      </c>
      <c r="L137" s="4">
        <f t="shared" si="55"/>
        <v>-7.7781746383573118</v>
      </c>
      <c r="M137" s="4">
        <f t="shared" si="56"/>
        <v>-3.8890872059154304</v>
      </c>
      <c r="N137" s="4">
        <f t="shared" si="57"/>
        <v>2.4605728406750562</v>
      </c>
      <c r="O137" s="4">
        <f t="shared" si="57"/>
        <v>1.6720007884915657E-2</v>
      </c>
      <c r="P137" s="4">
        <f t="shared" si="58"/>
        <v>25.147962532662952</v>
      </c>
      <c r="Q137" s="4">
        <f t="shared" si="59"/>
        <v>-0.65567391138901487</v>
      </c>
      <c r="R137" s="4">
        <f t="shared" si="60"/>
        <v>49.22914834264634</v>
      </c>
    </row>
    <row r="138" spans="1:18" x14ac:dyDescent="0.25">
      <c r="A138" t="s">
        <v>75</v>
      </c>
      <c r="B138" s="4">
        <f t="shared" si="50"/>
        <v>-7.7781746383573118</v>
      </c>
      <c r="C138" s="4">
        <f t="shared" si="50"/>
        <v>-3.8890872059154304</v>
      </c>
      <c r="D138" s="4">
        <f t="shared" si="47"/>
        <v>-7.7781746383573118</v>
      </c>
      <c r="E138" s="4">
        <f t="shared" si="47"/>
        <v>-3.8890872059154304</v>
      </c>
      <c r="F138" s="4">
        <f t="shared" si="48"/>
        <v>1.6720007884915657E-2</v>
      </c>
      <c r="G138" s="4">
        <f t="shared" si="49"/>
        <v>1.6720007884915657E-2</v>
      </c>
      <c r="H138" s="4" t="str">
        <f t="shared" si="51"/>
        <v>V</v>
      </c>
      <c r="I138" s="4">
        <f t="shared" si="52"/>
        <v>0</v>
      </c>
      <c r="J138" s="4">
        <f t="shared" si="53"/>
        <v>-7.7781746383573118</v>
      </c>
      <c r="K138" s="4">
        <f t="shared" si="54"/>
        <v>-3.8890872059154304</v>
      </c>
      <c r="L138" s="4">
        <f t="shared" si="55"/>
        <v>-7.7781746383573118</v>
      </c>
      <c r="M138" s="4">
        <f t="shared" si="56"/>
        <v>-3.8890872059154304</v>
      </c>
      <c r="N138" s="4">
        <f t="shared" si="57"/>
        <v>1.6720007884915657E-2</v>
      </c>
      <c r="O138" s="4">
        <f t="shared" si="57"/>
        <v>1.6720007884915657E-2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-7.7781746383573118</v>
      </c>
      <c r="C139" s="4">
        <f>E138</f>
        <v>-3.8890872059154304</v>
      </c>
      <c r="D139" s="4">
        <f t="shared" si="47"/>
        <v>-7.7781746383573118</v>
      </c>
      <c r="E139" s="4">
        <f t="shared" si="47"/>
        <v>-3.8890872059154304</v>
      </c>
      <c r="F139" s="4">
        <f t="shared" si="48"/>
        <v>1.6720007884915657E-2</v>
      </c>
      <c r="G139" s="4">
        <f t="shared" si="49"/>
        <v>1.6720007884915657E-2</v>
      </c>
      <c r="H139" s="4" t="str">
        <f t="shared" si="51"/>
        <v>V</v>
      </c>
      <c r="I139" s="4">
        <f t="shared" si="52"/>
        <v>0</v>
      </c>
      <c r="J139" s="4">
        <f t="shared" si="53"/>
        <v>-7.7781746383573118</v>
      </c>
      <c r="K139" s="4">
        <f t="shared" si="54"/>
        <v>-3.8890872059154304</v>
      </c>
      <c r="L139" s="4">
        <f t="shared" si="55"/>
        <v>-7.7781746383573118</v>
      </c>
      <c r="M139" s="4">
        <f t="shared" si="56"/>
        <v>-3.8890872059154304</v>
      </c>
      <c r="N139" s="4">
        <f t="shared" si="57"/>
        <v>1.6720007884915657E-2</v>
      </c>
      <c r="O139" s="4">
        <f t="shared" si="57"/>
        <v>1.6720007884915657E-2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50.302813952181481</v>
      </c>
      <c r="Q140" s="4">
        <f>SUM(Q132:Q139)</f>
        <v>-1.3382612439092969</v>
      </c>
      <c r="R140" s="4">
        <f>SUM(R132:R139)</f>
        <v>2.3089133946996299E-6</v>
      </c>
    </row>
    <row r="142" spans="1:18" x14ac:dyDescent="0.25">
      <c r="O142" t="s">
        <v>96</v>
      </c>
      <c r="P142" s="1">
        <f>-1*R140/P140</f>
        <v>-4.5900282972131804E-8</v>
      </c>
    </row>
    <row r="143" spans="1:18" x14ac:dyDescent="0.25">
      <c r="O143" t="s">
        <v>97</v>
      </c>
      <c r="P143" s="1">
        <f>Q140/P140</f>
        <v>-2.6604103006672066E-2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-7.7781746383573118</v>
      </c>
      <c r="C146" s="9">
        <f>J84</f>
        <v>-3.8890872059154304</v>
      </c>
      <c r="D146" s="9">
        <f t="shared" ref="D146:E153" si="61">I85</f>
        <v>-7.7781746383573118</v>
      </c>
      <c r="E146">
        <f t="shared" si="61"/>
        <v>-3.8890872059154304</v>
      </c>
      <c r="F146" s="4">
        <f>($B$66/$B$65)*(C146-$B$125)</f>
        <v>1.6720007884915657E-2</v>
      </c>
      <c r="G146" s="4">
        <f>($B$66/$B$65)*(E146-$B$125)</f>
        <v>1.6720007884915657E-2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-7.7781746383573118</v>
      </c>
      <c r="K146" s="4">
        <f>IF($F146&gt;=0,C146,IF(AND($F146&lt;0,$G146&gt;=0),$B$125,0))</f>
        <v>-3.8890872059154304</v>
      </c>
      <c r="L146" s="4">
        <f>IF($G146&gt;=0,D146,IF(AND($G146&lt;0,$F146&gt;=0),IF(H146="V",D146,($B$125-I146)/H146),0))</f>
        <v>-7.7781746383573118</v>
      </c>
      <c r="M146" s="4">
        <f>IF($G146&gt;=0,E146,IF(AND($G146&lt;0,$F146&gt;=0),$B$125,0))</f>
        <v>-3.8890872059154304</v>
      </c>
      <c r="N146" s="4">
        <f>IF(F146&lt;0,0,F146)</f>
        <v>1.6720007884915657E-2</v>
      </c>
      <c r="O146" s="4">
        <f>IF(G146&lt;0,0,G146)</f>
        <v>1.6720007884915657E-2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-7.7781746383573118</v>
      </c>
      <c r="C147">
        <f t="shared" si="62"/>
        <v>-3.8890872059154304</v>
      </c>
      <c r="D147" s="9">
        <f t="shared" si="61"/>
        <v>-7.7781746383573118</v>
      </c>
      <c r="E147">
        <f t="shared" si="61"/>
        <v>-3.8890872059154304</v>
      </c>
      <c r="F147" s="4">
        <f t="shared" ref="F147:F153" si="63">($B$66/$B$65)*(C147-$B$125)</f>
        <v>1.6720007884915657E-2</v>
      </c>
      <c r="G147" s="4">
        <f t="shared" ref="G147:G153" si="64">($B$66/$B$65)*(E147-$B$125)</f>
        <v>1.6720007884915657E-2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-7.7781746383573118</v>
      </c>
      <c r="K147" s="4">
        <f t="shared" ref="K147:K153" si="68">IF($F147&gt;=0,C147,IF(AND($F147&lt;0,$G147&gt;=0),$B$125,0))</f>
        <v>-3.8890872059154304</v>
      </c>
      <c r="L147" s="4">
        <f t="shared" ref="L147:L153" si="69">IF($G147&gt;=0,D147,IF(AND($G147&lt;0,$F147&gt;=0),IF(H147="V",D147,($B$125-I147)/H147),0))</f>
        <v>-7.7781746383573118</v>
      </c>
      <c r="M147" s="4">
        <f t="shared" ref="M147:M153" si="70">IF($G147&gt;=0,E147,IF(AND($G147&lt;0,$F147&gt;=0),$B$125,0))</f>
        <v>-3.8890872059154304</v>
      </c>
      <c r="N147" s="4">
        <f t="shared" ref="N147:O153" si="71">IF(F147&lt;0,0,F147)</f>
        <v>1.6720007884915657E-2</v>
      </c>
      <c r="O147" s="4">
        <f t="shared" si="71"/>
        <v>1.6720007884915657E-2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-7.7781746383573118</v>
      </c>
      <c r="C148">
        <f t="shared" si="62"/>
        <v>-3.8890872059154304</v>
      </c>
      <c r="D148" s="9">
        <f t="shared" si="61"/>
        <v>-7.7781746383573118</v>
      </c>
      <c r="E148">
        <f t="shared" si="61"/>
        <v>-3.8890872059154304</v>
      </c>
      <c r="F148" s="4">
        <f t="shared" si="63"/>
        <v>1.6720007884915657E-2</v>
      </c>
      <c r="G148" s="4">
        <f t="shared" si="64"/>
        <v>1.6720007884915657E-2</v>
      </c>
      <c r="H148" s="4" t="str">
        <f t="shared" si="65"/>
        <v>V</v>
      </c>
      <c r="I148" s="4">
        <f t="shared" si="66"/>
        <v>0</v>
      </c>
      <c r="J148" s="4">
        <f t="shared" si="67"/>
        <v>-7.7781746383573118</v>
      </c>
      <c r="K148" s="4">
        <f t="shared" si="68"/>
        <v>-3.8890872059154304</v>
      </c>
      <c r="L148" s="4">
        <f t="shared" si="69"/>
        <v>-7.7781746383573118</v>
      </c>
      <c r="M148" s="4">
        <f t="shared" si="70"/>
        <v>-3.8890872059154304</v>
      </c>
      <c r="N148" s="4">
        <f t="shared" si="71"/>
        <v>1.6720007884915657E-2</v>
      </c>
      <c r="O148" s="4">
        <f t="shared" si="71"/>
        <v>1.6720007884915657E-2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-7.7781746383573118</v>
      </c>
      <c r="C149">
        <f t="shared" si="62"/>
        <v>-3.8890872059154304</v>
      </c>
      <c r="D149" s="9">
        <f t="shared" si="61"/>
        <v>-7.7781746383573118</v>
      </c>
      <c r="E149">
        <f t="shared" si="61"/>
        <v>-3.8890872059154304</v>
      </c>
      <c r="F149" s="4">
        <f t="shared" si="63"/>
        <v>1.6720007884915657E-2</v>
      </c>
      <c r="G149" s="4">
        <f t="shared" si="64"/>
        <v>1.6720007884915657E-2</v>
      </c>
      <c r="H149" s="4" t="str">
        <f t="shared" si="65"/>
        <v>V</v>
      </c>
      <c r="I149" s="4">
        <f t="shared" si="66"/>
        <v>0</v>
      </c>
      <c r="J149" s="4">
        <f t="shared" si="67"/>
        <v>-7.7781746383573118</v>
      </c>
      <c r="K149" s="4">
        <f t="shared" si="68"/>
        <v>-3.8890872059154304</v>
      </c>
      <c r="L149" s="4">
        <f t="shared" si="69"/>
        <v>-7.7781746383573118</v>
      </c>
      <c r="M149" s="4">
        <f t="shared" si="70"/>
        <v>-3.8890872059154304</v>
      </c>
      <c r="N149" s="4">
        <f t="shared" si="71"/>
        <v>1.6720007884915657E-2</v>
      </c>
      <c r="O149" s="4">
        <f t="shared" si="71"/>
        <v>1.6720007884915657E-2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-7.7781746383573118</v>
      </c>
      <c r="C150">
        <f t="shared" si="62"/>
        <v>-3.8890872059154304</v>
      </c>
      <c r="D150" s="9">
        <f t="shared" si="61"/>
        <v>-7.7781746383573118</v>
      </c>
      <c r="E150">
        <f t="shared" si="61"/>
        <v>-3.8890872059154304</v>
      </c>
      <c r="F150" s="4">
        <f t="shared" si="63"/>
        <v>1.6720007884915657E-2</v>
      </c>
      <c r="G150" s="4">
        <f t="shared" si="64"/>
        <v>1.6720007884915657E-2</v>
      </c>
      <c r="H150" s="4" t="str">
        <f t="shared" si="65"/>
        <v>V</v>
      </c>
      <c r="I150" s="4">
        <f t="shared" si="66"/>
        <v>0</v>
      </c>
      <c r="J150" s="4">
        <f t="shared" si="67"/>
        <v>-7.7781746383573118</v>
      </c>
      <c r="K150" s="4">
        <f t="shared" si="68"/>
        <v>-3.8890872059154304</v>
      </c>
      <c r="L150" s="4">
        <f t="shared" si="69"/>
        <v>-7.7781746383573118</v>
      </c>
      <c r="M150" s="4">
        <f t="shared" si="70"/>
        <v>-3.8890872059154304</v>
      </c>
      <c r="N150" s="4">
        <f t="shared" si="71"/>
        <v>1.6720007884915657E-2</v>
      </c>
      <c r="O150" s="4">
        <f t="shared" si="71"/>
        <v>1.6720007884915657E-2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-7.7781746383573118</v>
      </c>
      <c r="C151">
        <f t="shared" si="62"/>
        <v>-3.8890872059154304</v>
      </c>
      <c r="D151" s="9">
        <f t="shared" si="61"/>
        <v>-7.7781746383573118</v>
      </c>
      <c r="E151">
        <f t="shared" si="61"/>
        <v>-3.8890872059154304</v>
      </c>
      <c r="F151" s="4">
        <f t="shared" si="63"/>
        <v>1.6720007884915657E-2</v>
      </c>
      <c r="G151" s="4">
        <f t="shared" si="64"/>
        <v>1.6720007884915657E-2</v>
      </c>
      <c r="H151" s="4" t="str">
        <f t="shared" si="65"/>
        <v>V</v>
      </c>
      <c r="I151" s="4">
        <f t="shared" si="66"/>
        <v>0</v>
      </c>
      <c r="J151" s="4">
        <f t="shared" si="67"/>
        <v>-7.7781746383573118</v>
      </c>
      <c r="K151" s="4">
        <f t="shared" si="68"/>
        <v>-3.8890872059154304</v>
      </c>
      <c r="L151" s="4">
        <f t="shared" si="69"/>
        <v>-7.7781746383573118</v>
      </c>
      <c r="M151" s="4">
        <f t="shared" si="70"/>
        <v>-3.8890872059154304</v>
      </c>
      <c r="N151" s="4">
        <f t="shared" si="71"/>
        <v>1.6720007884915657E-2</v>
      </c>
      <c r="O151" s="4">
        <f t="shared" si="71"/>
        <v>1.6720007884915657E-2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-7.7781746383573118</v>
      </c>
      <c r="C152">
        <f t="shared" si="62"/>
        <v>-3.8890872059154304</v>
      </c>
      <c r="D152" s="9">
        <f t="shared" si="61"/>
        <v>-7.7781746383573118</v>
      </c>
      <c r="E152">
        <f t="shared" si="61"/>
        <v>-3.8890872059154304</v>
      </c>
      <c r="F152" s="4">
        <f t="shared" si="63"/>
        <v>1.6720007884915657E-2</v>
      </c>
      <c r="G152" s="4">
        <f t="shared" si="64"/>
        <v>1.6720007884915657E-2</v>
      </c>
      <c r="H152" s="4" t="str">
        <f t="shared" si="65"/>
        <v>V</v>
      </c>
      <c r="I152" s="4">
        <f t="shared" si="66"/>
        <v>0</v>
      </c>
      <c r="J152" s="4">
        <f t="shared" si="67"/>
        <v>-7.7781746383573118</v>
      </c>
      <c r="K152" s="4">
        <f t="shared" si="68"/>
        <v>-3.8890872059154304</v>
      </c>
      <c r="L152" s="4">
        <f t="shared" si="69"/>
        <v>-7.7781746383573118</v>
      </c>
      <c r="M152" s="4">
        <f t="shared" si="70"/>
        <v>-3.8890872059154304</v>
      </c>
      <c r="N152" s="4">
        <f t="shared" si="71"/>
        <v>1.6720007884915657E-2</v>
      </c>
      <c r="O152" s="4">
        <f t="shared" si="71"/>
        <v>1.6720007884915657E-2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-7.7781746383573118</v>
      </c>
      <c r="C153">
        <f t="shared" si="62"/>
        <v>-3.8890872059154304</v>
      </c>
      <c r="D153" s="9">
        <f t="shared" si="61"/>
        <v>-7.7781746383573118</v>
      </c>
      <c r="E153">
        <f t="shared" si="61"/>
        <v>-3.8890872059154304</v>
      </c>
      <c r="F153" s="4">
        <f t="shared" si="63"/>
        <v>1.6720007884915657E-2</v>
      </c>
      <c r="G153" s="4">
        <f t="shared" si="64"/>
        <v>1.6720007884915657E-2</v>
      </c>
      <c r="H153" s="4" t="str">
        <f t="shared" si="65"/>
        <v>V</v>
      </c>
      <c r="I153" s="4">
        <f t="shared" si="66"/>
        <v>0</v>
      </c>
      <c r="J153" s="4">
        <f t="shared" si="67"/>
        <v>-7.7781746383573118</v>
      </c>
      <c r="K153" s="4">
        <f t="shared" si="68"/>
        <v>-3.8890872059154304</v>
      </c>
      <c r="L153" s="4">
        <f t="shared" si="69"/>
        <v>-7.7781746383573118</v>
      </c>
      <c r="M153" s="4">
        <f t="shared" si="70"/>
        <v>-3.8890872059154304</v>
      </c>
      <c r="N153" s="4">
        <f t="shared" si="71"/>
        <v>1.6720007884915657E-2</v>
      </c>
      <c r="O153" s="4">
        <f t="shared" si="71"/>
        <v>1.6720007884915657E-2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50.000000032675175</v>
      </c>
      <c r="C159" t="s">
        <v>36</v>
      </c>
    </row>
    <row r="160" spans="1:18" x14ac:dyDescent="0.25">
      <c r="A160" s="1" t="s">
        <v>106</v>
      </c>
      <c r="B160" s="4">
        <f>Q140+I122+Q154-O122</f>
        <v>-1.4440561546535946E-7</v>
      </c>
      <c r="C160" t="s">
        <v>102</v>
      </c>
    </row>
    <row r="161" spans="1:9" x14ac:dyDescent="0.25">
      <c r="A161" s="1" t="s">
        <v>107</v>
      </c>
      <c r="B161" s="4">
        <f>R140+J122+R154-P122</f>
        <v>2.4377292707766784E-6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50.000000032675175</v>
      </c>
      <c r="C164" t="s">
        <v>36</v>
      </c>
      <c r="E164" s="8">
        <f>B2-B164</f>
        <v>-3.2675174566065834E-8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-1.8258451068909528E-6</v>
      </c>
      <c r="C165" t="s">
        <v>102</v>
      </c>
      <c r="E165" s="8">
        <f>B3+B165</f>
        <v>-1.8258451068909528E-6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1.6216246868562684E-6</v>
      </c>
      <c r="C166" t="s">
        <v>102</v>
      </c>
      <c r="E166" s="8">
        <f>B4+B166</f>
        <v>1.6216246868562684E-6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2.4605728406750562</v>
      </c>
      <c r="B169" s="1">
        <f ca="1">IF(E122=0,0,(MIN(H110:H121)*B65)/(B55*B56*E122))</f>
        <v>-2.4605725751670127</v>
      </c>
      <c r="C169" s="3">
        <f ca="1">A169+B169</f>
        <v>2.6550804355096602E-7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1.1649337515099334E-8</v>
      </c>
      <c r="C175" s="27">
        <f>B65*SQRT(I175)</f>
        <v>1.1615828712744079E-7</v>
      </c>
      <c r="D175" s="27">
        <f>B66*SQRT(I175)</f>
        <v>3.6496193156806058E-8</v>
      </c>
      <c r="E175" s="27">
        <f>B67*SQRT(I175)</f>
        <v>2.2457283740406142E-9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0.78539818669612327</v>
      </c>
      <c r="C176" s="3">
        <f>B65+C175</f>
        <v>7.8313902366869241</v>
      </c>
      <c r="D176" s="3">
        <f>D175+B66</f>
        <v>2.4605728771712494</v>
      </c>
      <c r="E176" s="3">
        <f>B67+E175</f>
        <v>0.15140697833652661</v>
      </c>
      <c r="F176" s="16" t="s">
        <v>125</v>
      </c>
    </row>
    <row r="177" spans="1:13" x14ac:dyDescent="0.25">
      <c r="B177" s="27">
        <f>B176-B64</f>
        <v>1.1649337494645806E-8</v>
      </c>
      <c r="C177" s="27">
        <f>C176-B65</f>
        <v>1.161582874331657E-7</v>
      </c>
      <c r="D177" s="27">
        <f>D176-B66</f>
        <v>3.6496193178692238E-8</v>
      </c>
      <c r="E177" s="27">
        <f>E176-B67</f>
        <v>2.2457283810339845E-9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-20.443537786034994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-7.7781745073264785</v>
      </c>
      <c r="B181" s="25">
        <f>(d_alpha_p!E136-d_alpha_m!E136)/(2*B177)</f>
        <v>0</v>
      </c>
      <c r="C181" s="25">
        <f>(d_alpha_p!E137-d_alpha_m!E137)/(2*B177)</f>
        <v>7.7781744882657717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3.2675174566065834E-8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1.8258451068909528E-6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-1.6216246868562684E-6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-2.6550804355096602E-7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-20.443537786034994</v>
      </c>
      <c r="B190" s="25">
        <f>A181</f>
        <v>-7.7781745073264785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7.7781744882657717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-20.443537786034994</v>
      </c>
      <c r="B201" s="25">
        <f t="shared" ref="B201:C201" si="77">B190</f>
        <v>-7.7781745073264785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7.7781744882657717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0.55096418732782371</v>
      </c>
      <c r="J2" t="s">
        <v>11</v>
      </c>
    </row>
    <row r="3" spans="1:29" x14ac:dyDescent="0.25">
      <c r="A3" s="10" t="s">
        <v>79</v>
      </c>
      <c r="B3" s="17">
        <f>'Rigid Bearing Plate Analysis'!B3</f>
        <v>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 t="e">
        <f>ATAN2(B3,B4)</f>
        <v>#DIV/0!</v>
      </c>
      <c r="C5" t="s">
        <v>19</v>
      </c>
      <c r="I5">
        <f>SUM(I2:I4)</f>
        <v>0.55096418732782371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0</v>
      </c>
      <c r="AB14">
        <f>$B$4/Z14</f>
        <v>0</v>
      </c>
      <c r="AC14">
        <f>$I$2+AA14+AB14</f>
        <v>0.55096418732782371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0</v>
      </c>
      <c r="AB15">
        <f t="shared" ref="AB15:AB21" si="11">$B$4/Z15</f>
        <v>0</v>
      </c>
      <c r="AC15">
        <f t="shared" ref="AC15:AC20" si="12">$I$2+AA15+AB15</f>
        <v>0.55096418732782371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0</v>
      </c>
      <c r="AB16">
        <f t="shared" si="11"/>
        <v>0</v>
      </c>
      <c r="AC16">
        <f t="shared" si="12"/>
        <v>0.55096418732782371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</v>
      </c>
      <c r="AB17">
        <f t="shared" si="11"/>
        <v>0</v>
      </c>
      <c r="AC17">
        <f t="shared" si="12"/>
        <v>0.55096418732782371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</v>
      </c>
      <c r="AB18">
        <f t="shared" si="11"/>
        <v>0</v>
      </c>
      <c r="AC18">
        <f t="shared" si="12"/>
        <v>0.55096418732782371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0</v>
      </c>
      <c r="AB19">
        <f t="shared" si="11"/>
        <v>0</v>
      </c>
      <c r="AC19">
        <f t="shared" si="12"/>
        <v>0.55096418732782371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0</v>
      </c>
      <c r="AB20">
        <f t="shared" si="11"/>
        <v>0</v>
      </c>
      <c r="AC20">
        <f t="shared" si="12"/>
        <v>0.55096418732782371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0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0.78539815174811101</v>
      </c>
      <c r="C64" t="s">
        <v>19</v>
      </c>
      <c r="D64" t="s">
        <v>34</v>
      </c>
      <c r="H64" s="17">
        <f>DEGREES(B64)</f>
        <v>44.999999332542139</v>
      </c>
      <c r="I64" t="s">
        <v>41</v>
      </c>
    </row>
    <row r="65" spans="1:18" x14ac:dyDescent="0.25">
      <c r="A65" s="1" t="s">
        <v>40</v>
      </c>
      <c r="B65" s="17">
        <f>'Rigid Bearing Plate Analysis'!B65</f>
        <v>7.8313901205286367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2.4605728406750562</v>
      </c>
      <c r="C66" t="s">
        <v>11</v>
      </c>
      <c r="D66">
        <f>B66/B53</f>
        <v>6.039281603482233E-4</v>
      </c>
      <c r="I66" s="20"/>
    </row>
    <row r="67" spans="1:18" x14ac:dyDescent="0.25">
      <c r="A67" s="1" t="s">
        <v>37</v>
      </c>
      <c r="B67" s="17">
        <f>'Rigid Bearing Plate Analysis'!B67</f>
        <v>0.15140697609079823</v>
      </c>
      <c r="C67" t="s">
        <v>36</v>
      </c>
      <c r="D67" t="s">
        <v>122</v>
      </c>
      <c r="G67" s="20">
        <f ca="1">($B$56*$B$66*$B$55*$E$122)/$B$65</f>
        <v>0.15140699242836547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-8.7781746383573118</v>
      </c>
      <c r="R76">
        <f>Q76</f>
        <v>-8.7781746383573118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8.7781746383573118</v>
      </c>
      <c r="R77">
        <f>Q77</f>
        <v>8.7781746383573118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-7.7781745477467323</v>
      </c>
      <c r="C84" s="1">
        <f t="shared" ref="C84:C92" si="23">(-1*B73*SIN($B$64))+(C73*COS($B$64))</f>
        <v>-3.8890873871365899</v>
      </c>
      <c r="H84" s="1">
        <f t="shared" ref="H84:H92" si="24">H73</f>
        <v>1</v>
      </c>
      <c r="I84" s="4">
        <f>(I73*COS($B$64))+(J73*SIN($B$64))</f>
        <v>-7.7781745477467323</v>
      </c>
      <c r="J84" s="1">
        <f>(-1*I73*SIN($B$64))+(J73*COS($B$64))</f>
        <v>-3.8890873871365899</v>
      </c>
    </row>
    <row r="85" spans="1:10" x14ac:dyDescent="0.25">
      <c r="A85" s="1">
        <f t="shared" si="21"/>
        <v>2</v>
      </c>
      <c r="B85" s="4">
        <f t="shared" si="22"/>
        <v>-3.8890872059154313</v>
      </c>
      <c r="C85" s="1">
        <f t="shared" si="23"/>
        <v>-7.7781746383573118</v>
      </c>
      <c r="H85" s="1">
        <f t="shared" si="24"/>
        <v>2</v>
      </c>
      <c r="I85" s="4">
        <f t="shared" ref="I85:I92" si="25">(I74*COS($B$64))+(J74*SIN($B$64))</f>
        <v>-7.7781745477467323</v>
      </c>
      <c r="J85" s="1">
        <f t="shared" ref="J85:J92" si="26">(-1*I74*SIN($B$64))+(J74*COS($B$64))</f>
        <v>-3.8890873871365899</v>
      </c>
    </row>
    <row r="86" spans="1:10" x14ac:dyDescent="0.25">
      <c r="A86" s="1">
        <f t="shared" si="21"/>
        <v>3</v>
      </c>
      <c r="B86" s="4">
        <f t="shared" si="22"/>
        <v>4.5305289519959047E-8</v>
      </c>
      <c r="C86" s="1">
        <f t="shared" si="23"/>
        <v>-3.8890872965260108</v>
      </c>
      <c r="H86" s="1">
        <f t="shared" si="24"/>
        <v>3</v>
      </c>
      <c r="I86" s="4">
        <f t="shared" si="25"/>
        <v>-7.7781745477467323</v>
      </c>
      <c r="J86" s="1">
        <f t="shared" si="26"/>
        <v>-3.8890873871365899</v>
      </c>
    </row>
    <row r="87" spans="1:10" x14ac:dyDescent="0.25">
      <c r="A87" s="1">
        <f t="shared" si="21"/>
        <v>4</v>
      </c>
      <c r="B87" s="4">
        <f t="shared" si="22"/>
        <v>3.8890873871365899</v>
      </c>
      <c r="C87" s="1">
        <f t="shared" si="23"/>
        <v>-7.7781745477467323</v>
      </c>
      <c r="H87" s="1">
        <f t="shared" si="24"/>
        <v>4</v>
      </c>
      <c r="I87" s="4">
        <f t="shared" si="25"/>
        <v>-7.7781745477467323</v>
      </c>
      <c r="J87" s="1">
        <f t="shared" si="26"/>
        <v>-3.8890873871365899</v>
      </c>
    </row>
    <row r="88" spans="1:10" x14ac:dyDescent="0.25">
      <c r="A88" s="1">
        <f t="shared" si="21"/>
        <v>5</v>
      </c>
      <c r="B88" s="4">
        <f t="shared" si="22"/>
        <v>7.7781746383573118</v>
      </c>
      <c r="C88" s="1">
        <f t="shared" si="23"/>
        <v>-3.8890872059154313</v>
      </c>
      <c r="H88" s="1">
        <f t="shared" si="24"/>
        <v>5</v>
      </c>
      <c r="I88" s="4">
        <f t="shared" si="25"/>
        <v>-7.7781745477467323</v>
      </c>
      <c r="J88" s="1">
        <f t="shared" si="26"/>
        <v>-3.8890873871365899</v>
      </c>
    </row>
    <row r="89" spans="1:10" x14ac:dyDescent="0.25">
      <c r="A89" s="1">
        <f t="shared" si="21"/>
        <v>6</v>
      </c>
      <c r="B89" s="4">
        <f t="shared" si="22"/>
        <v>-4.5305289519959047E-8</v>
      </c>
      <c r="C89" s="1">
        <f t="shared" si="23"/>
        <v>3.8890872965260108</v>
      </c>
      <c r="H89" s="1">
        <f t="shared" si="24"/>
        <v>6</v>
      </c>
      <c r="I89" s="4">
        <f t="shared" si="25"/>
        <v>-7.7781745477467323</v>
      </c>
      <c r="J89" s="1">
        <f t="shared" si="26"/>
        <v>-3.8890873871365899</v>
      </c>
    </row>
    <row r="90" spans="1:10" x14ac:dyDescent="0.25">
      <c r="A90" s="1">
        <f t="shared" si="21"/>
        <v>7</v>
      </c>
      <c r="B90" s="4">
        <f t="shared" si="22"/>
        <v>-7.7781745477467323</v>
      </c>
      <c r="C90" s="1">
        <f t="shared" si="23"/>
        <v>-3.8890873871365899</v>
      </c>
      <c r="H90" s="1">
        <f t="shared" si="24"/>
        <v>7</v>
      </c>
      <c r="I90" s="4">
        <f t="shared" si="25"/>
        <v>-7.7781745477467323</v>
      </c>
      <c r="J90" s="1">
        <f t="shared" si="26"/>
        <v>-3.8890873871365899</v>
      </c>
    </row>
    <row r="91" spans="1:10" x14ac:dyDescent="0.25">
      <c r="A91" s="1">
        <f t="shared" si="21"/>
        <v>8</v>
      </c>
      <c r="B91" s="4">
        <f t="shared" si="22"/>
        <v>-7.7781745477467323</v>
      </c>
      <c r="C91" s="1">
        <f t="shared" si="23"/>
        <v>-3.8890873871365899</v>
      </c>
      <c r="H91" s="1">
        <f t="shared" si="24"/>
        <v>8</v>
      </c>
      <c r="I91" s="4">
        <f t="shared" si="25"/>
        <v>-7.7781745477467323</v>
      </c>
      <c r="J91" s="1">
        <f t="shared" si="26"/>
        <v>-3.8890873871365899</v>
      </c>
    </row>
    <row r="92" spans="1:10" x14ac:dyDescent="0.25">
      <c r="A92" s="1">
        <f t="shared" si="21"/>
        <v>9</v>
      </c>
      <c r="B92" s="4">
        <f t="shared" si="22"/>
        <v>-7.7781745477467323</v>
      </c>
      <c r="C92" s="1">
        <f t="shared" si="23"/>
        <v>-3.8890873871365899</v>
      </c>
      <c r="H92" s="1">
        <f t="shared" si="24"/>
        <v>9</v>
      </c>
      <c r="I92" s="4">
        <f t="shared" si="25"/>
        <v>-7.7781745477467323</v>
      </c>
      <c r="J92" s="1">
        <f t="shared" si="26"/>
        <v>-3.8890873871365899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-4.4194173309326379</v>
      </c>
      <c r="C110" s="1">
        <f>(-1*B95*SIN($B$64))+(C95*COS($B$64))</f>
        <v>-4.4194174338992056</v>
      </c>
      <c r="D110" t="str">
        <f t="shared" ref="D110" si="31">D95</f>
        <v>y</v>
      </c>
      <c r="E110" s="4">
        <f t="shared" ref="E110:E121" si="32">IF($D110="y",$B$125-C110,0)</f>
        <v>0.47711460989657972</v>
      </c>
      <c r="F110" s="1">
        <f>IF($D110="y",B110,NA())</f>
        <v>-4.4194173309326379</v>
      </c>
      <c r="G110" s="1">
        <f>IF($D110="y",C110,NA())</f>
        <v>-4.4194174338992056</v>
      </c>
      <c r="H110">
        <f t="shared" ref="H110:H121" si="33">IF($E$122=0,0,-1*MAX(($B$67/$E$122)*(E110),0))</f>
        <v>-0.15140697609079823</v>
      </c>
      <c r="I110">
        <f>H110*C110</f>
        <v>0.66913062974963389</v>
      </c>
      <c r="J110">
        <f>H110*B110*-1</f>
        <v>-0.66913061415977726</v>
      </c>
      <c r="K110">
        <f ca="1">H110/$B$55</f>
        <v>-1.0670065569456322</v>
      </c>
      <c r="L110">
        <f ca="1">K110/$B$54</f>
        <v>-3.6793329549849383E-5</v>
      </c>
      <c r="M110">
        <f t="shared" ref="M110:M121" si="34">IFERROR(($D$66/$B$65)*(G110-$B$125),0)</f>
        <v>-3.6793333520033001E-5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4.4194174338992056</v>
      </c>
      <c r="C111" s="1">
        <f t="shared" ref="C111:C121" si="37">(-1*B96*SIN($B$64))+(C96*COS($B$64))</f>
        <v>-4.4194173309326379</v>
      </c>
      <c r="D111" t="str">
        <f t="shared" si="35"/>
        <v>y</v>
      </c>
      <c r="E111" s="4">
        <f t="shared" si="32"/>
        <v>0.47711450693001201</v>
      </c>
      <c r="F111" s="1">
        <f t="shared" ref="F111:G121" si="38">IF($D111="y",B111,NA())</f>
        <v>4.4194174338992056</v>
      </c>
      <c r="G111" s="1">
        <f t="shared" si="38"/>
        <v>-4.4194173309326379</v>
      </c>
      <c r="H111">
        <f t="shared" si="33"/>
        <v>-0.15140694341551156</v>
      </c>
      <c r="I111">
        <f t="shared" ref="I111:I121" si="39">H111*C111</f>
        <v>0.669130469754049</v>
      </c>
      <c r="J111">
        <f t="shared" ref="J111:J121" si="40">H111*B111*-1</f>
        <v>0.66913048534390229</v>
      </c>
      <c r="K111">
        <f ca="1">H111/$B$55</f>
        <v>-1.06700632667391</v>
      </c>
      <c r="L111">
        <f t="shared" ref="L111:L121" ca="1" si="41">K111/$B$54</f>
        <v>-3.6793321609445176E-5</v>
      </c>
      <c r="M111">
        <f t="shared" si="34"/>
        <v>-3.6793325579627933E-5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-7.7781745477467323</v>
      </c>
      <c r="C112" s="1">
        <f t="shared" si="37"/>
        <v>-3.8890873871365899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-7.7781745477467323</v>
      </c>
      <c r="C113" s="1">
        <f t="shared" si="37"/>
        <v>-3.8890873871365899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-7.7781745477467323</v>
      </c>
      <c r="C114" s="1">
        <f t="shared" si="37"/>
        <v>-3.8890873871365899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-7.7781745477467323</v>
      </c>
      <c r="C115" s="1">
        <f t="shared" si="37"/>
        <v>-3.8890873871365899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-7.7781745477467323</v>
      </c>
      <c r="C116" s="1">
        <f t="shared" si="37"/>
        <v>-3.8890873871365899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-7.7781745477467323</v>
      </c>
      <c r="C117" s="1">
        <f t="shared" si="37"/>
        <v>-3.8890873871365899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-7.7781745477467323</v>
      </c>
      <c r="C118" s="1">
        <f t="shared" si="37"/>
        <v>-3.8890873871365899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-7.7781745477467323</v>
      </c>
      <c r="C119" s="1">
        <f t="shared" si="37"/>
        <v>-3.8890873871365899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-7.7781745477467323</v>
      </c>
      <c r="C120" s="1">
        <f t="shared" si="37"/>
        <v>-3.8890873871365899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-7.7781745477467323</v>
      </c>
      <c r="C121" s="1">
        <f t="shared" si="37"/>
        <v>-3.8890873871365899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0.47711460989657972</v>
      </c>
      <c r="H122">
        <f>SUM(H110:H121)</f>
        <v>-0.30281391950630976</v>
      </c>
      <c r="I122">
        <f t="shared" ref="I122:J122" si="46">SUM(I110:I121)</f>
        <v>1.3382610995036828</v>
      </c>
      <c r="J122">
        <f t="shared" si="46"/>
        <v>-1.2881587496682556E-7</v>
      </c>
      <c r="L122">
        <f ca="1">MIN(L110:L121)</f>
        <v>-3.6793329549849383E-5</v>
      </c>
      <c r="M122">
        <f>MIN(M110:M121)</f>
        <v>-3.6793333520033001E-5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-3.9423028240026259</v>
      </c>
      <c r="F125" s="1" t="s">
        <v>27</v>
      </c>
      <c r="G125" s="1" t="s">
        <v>28</v>
      </c>
    </row>
    <row r="126" spans="1:16" x14ac:dyDescent="0.25">
      <c r="F126" s="4">
        <f>MIN(B84:B90)-1</f>
        <v>-8.7781745477467332</v>
      </c>
      <c r="G126" s="4">
        <f>B125</f>
        <v>-3.9423028240026259</v>
      </c>
    </row>
    <row r="127" spans="1:16" x14ac:dyDescent="0.25">
      <c r="F127" s="4">
        <f>MAX(B84:B90)+1</f>
        <v>8.7781746383573118</v>
      </c>
      <c r="G127" s="4">
        <f>G126</f>
        <v>-3.9423028240026259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-7.7781745477467323</v>
      </c>
      <c r="C132" s="4">
        <f>C84</f>
        <v>-3.8890873871365899</v>
      </c>
      <c r="D132" s="4">
        <f t="shared" ref="D132:E139" si="47">B85</f>
        <v>-3.8890872059154313</v>
      </c>
      <c r="E132" s="4">
        <f t="shared" si="47"/>
        <v>-7.7781746383573118</v>
      </c>
      <c r="F132" s="4">
        <f t="shared" ref="F132:F139" si="48">($B$66/$B$65)*(C132-$B$125)</f>
        <v>1.6719950946382886E-2</v>
      </c>
      <c r="G132" s="4">
        <f t="shared" ref="G132:G139" si="49">($B$66/$B$65)*(E132-$B$125)</f>
        <v>-1.2052064654486878</v>
      </c>
      <c r="H132" s="4">
        <f>IF(B132=D132,"V",(C132-E132)/(B132-D132))</f>
        <v>-0.99999997670132579</v>
      </c>
      <c r="I132" s="4">
        <f>IF(H132="V",0,(-1*B132*H132)+C132)</f>
        <v>-11.667261753662167</v>
      </c>
      <c r="J132" s="4">
        <f>IF($F132&gt;=0,B132,IF(AND($F132&lt;0,$G132&gt;=0),IF(H132="V",B132,($B$125-I132)/H132),0))</f>
        <v>-7.7781745477467323</v>
      </c>
      <c r="K132" s="4">
        <f>IF($F132&gt;=0,C132,IF(AND($F132&lt;0,$G132&gt;=0),$B$125,0))</f>
        <v>-3.8890873871365899</v>
      </c>
      <c r="L132" s="4">
        <f>IF($G132&gt;=0,D132,IF(AND($G132&lt;0,$F132&gt;=0),IF(H132="V",D132,($B$125-I132)/H132),0))</f>
        <v>-7.7249591096408468</v>
      </c>
      <c r="M132" s="4">
        <f>IF($G132&gt;=0,E132,IF(AND($G132&lt;0,$F132&gt;=0),$B$125,0))</f>
        <v>-3.9423028240026259</v>
      </c>
      <c r="N132" s="4">
        <f>IF(F132&lt;0,0,F132)</f>
        <v>1.6719950946382886E-2</v>
      </c>
      <c r="O132" s="4">
        <f>IF(G132&lt;0,0,G132)</f>
        <v>0</v>
      </c>
      <c r="P132" s="4">
        <f>(1/6)*(M132-K132)*((N132*((2*J132)+L132))+(O132*(J132+(2*L132))))</f>
        <v>3.4524608346726995E-3</v>
      </c>
      <c r="Q132" s="4">
        <f>((1/12)*(M132-K132)*(N132*J132*((3*K132)+M132)+N132*L132*(K132+M132)+O132*J132*(K132+M132)+O132*L132*(K132+(3*M132))))</f>
        <v>-1.3488093299052116E-2</v>
      </c>
      <c r="R132" s="4">
        <f>((-1/24)*(M132-K132)*(J132*J132*((3*N132)+O132)+2*J132*L132*(N132+O132)+L132*L132*(N132+(3*O132))))</f>
        <v>1.3396335788787479E-2</v>
      </c>
    </row>
    <row r="133" spans="1:18" x14ac:dyDescent="0.25">
      <c r="A133" t="s">
        <v>70</v>
      </c>
      <c r="B133" s="4">
        <f t="shared" ref="B133:C138" si="50">D132</f>
        <v>-3.8890872059154313</v>
      </c>
      <c r="C133" s="4">
        <f t="shared" si="50"/>
        <v>-7.7781746383573118</v>
      </c>
      <c r="D133" s="4">
        <f t="shared" si="47"/>
        <v>4.5305289519959047E-8</v>
      </c>
      <c r="E133" s="4">
        <f t="shared" si="47"/>
        <v>-3.8890872965260108</v>
      </c>
      <c r="F133" s="4">
        <f t="shared" si="48"/>
        <v>-1.2052064654486878</v>
      </c>
      <c r="G133" s="4">
        <f t="shared" si="49"/>
        <v>1.6719979415649063E-2</v>
      </c>
      <c r="H133" s="4">
        <f t="shared" ref="H133:H139" si="51">IF(B133=D133,"V",(C133-E133)/(B133-D133))</f>
        <v>1.0000000232986752</v>
      </c>
      <c r="I133" s="4">
        <f t="shared" ref="I133:I139" si="52">IF(H133="V",0,(-1*B133*H133)+C133)</f>
        <v>-3.889087341831301</v>
      </c>
      <c r="J133" s="4">
        <f t="shared" ref="J133:J139" si="53">IF($F133&gt;=0,B133,IF(AND($F133&lt;0,$G133&gt;=0),IF(H133="V",B133,($B$125-I133)/H133),0))</f>
        <v>-5.3215480931474671E-2</v>
      </c>
      <c r="K133" s="4">
        <f t="shared" ref="K133:K139" si="54">IF($F133&gt;=0,C133,IF(AND($F133&lt;0,$G133&gt;=0),$B$125,0))</f>
        <v>-3.9423028240026259</v>
      </c>
      <c r="L133" s="4">
        <f t="shared" ref="L133:L139" si="55">IF($G133&gt;=0,D133,IF(AND($G133&lt;0,$F133&gt;=0),IF(H133="V",D133,($B$125-I133)/H133),0))</f>
        <v>4.5305289519959047E-8</v>
      </c>
      <c r="M133" s="4">
        <f t="shared" ref="M133:M139" si="56">IF($G133&gt;=0,E133,IF(AND($G133&lt;0,$F133&gt;=0),$B$125,0))</f>
        <v>-3.8890872965260108</v>
      </c>
      <c r="N133" s="4">
        <f t="shared" ref="N133:O139" si="57">IF(F133&lt;0,0,F133)</f>
        <v>0</v>
      </c>
      <c r="O133" s="4">
        <f t="shared" si="57"/>
        <v>1.6719979415649063E-2</v>
      </c>
      <c r="P133" s="4">
        <f t="shared" ref="P133:P139" si="58">(1/6)*(M133-K133)*((N133*((2*J133)+L133))+(O133*(J133+(2*L133))))</f>
        <v>-7.8915100012778267E-6</v>
      </c>
      <c r="Q133" s="4">
        <f t="shared" ref="Q133:Q139" si="59">((1/12)*(M133-K133)*(N133*J133*((3*K133)+M133)+N133*L133*(K133+M133)+O133*J133*(K133+M133)+O133*L133*(K133+(3*M133))))</f>
        <v>3.0900746908794076E-5</v>
      </c>
      <c r="R133" s="4">
        <f t="shared" ref="R133:R139" si="60">((-1/24)*(M133-K133)*(J133*J133*((3*N133)+O133)+2*J133*L133*(N133+O133)+L133*L133*(N133+(3*O133))))</f>
        <v>-1.0498762499861375E-7</v>
      </c>
    </row>
    <row r="134" spans="1:18" x14ac:dyDescent="0.25">
      <c r="A134" t="s">
        <v>71</v>
      </c>
      <c r="B134" s="4">
        <f t="shared" si="50"/>
        <v>4.5305289519959047E-8</v>
      </c>
      <c r="C134" s="4">
        <f t="shared" si="50"/>
        <v>-3.8890872965260108</v>
      </c>
      <c r="D134" s="4">
        <f t="shared" si="47"/>
        <v>3.8890873871365899</v>
      </c>
      <c r="E134" s="4">
        <f t="shared" si="47"/>
        <v>-7.7781745477467323</v>
      </c>
      <c r="F134" s="4">
        <f t="shared" si="48"/>
        <v>1.6719979415649063E-2</v>
      </c>
      <c r="G134" s="4">
        <f t="shared" si="49"/>
        <v>-1.2052064369794215</v>
      </c>
      <c r="H134" s="4">
        <f t="shared" si="51"/>
        <v>-0.9999999767013259</v>
      </c>
      <c r="I134" s="4">
        <f t="shared" si="52"/>
        <v>-3.8890872512207224</v>
      </c>
      <c r="J134" s="4">
        <f t="shared" si="53"/>
        <v>4.5305289519959047E-8</v>
      </c>
      <c r="K134" s="4">
        <f t="shared" si="54"/>
        <v>-3.8890872965260108</v>
      </c>
      <c r="L134" s="4">
        <f t="shared" si="55"/>
        <v>5.3215574021755793E-2</v>
      </c>
      <c r="M134" s="4">
        <f t="shared" si="56"/>
        <v>-3.9423028240026259</v>
      </c>
      <c r="N134" s="4">
        <f t="shared" si="57"/>
        <v>1.6719979415649063E-2</v>
      </c>
      <c r="O134" s="4">
        <f t="shared" si="57"/>
        <v>0</v>
      </c>
      <c r="P134" s="4">
        <f t="shared" si="58"/>
        <v>-7.89155067995091E-6</v>
      </c>
      <c r="Q134" s="4">
        <f t="shared" si="59"/>
        <v>3.0900905836545271E-5</v>
      </c>
      <c r="R134" s="4">
        <f t="shared" si="60"/>
        <v>1.0498834983906954E-7</v>
      </c>
    </row>
    <row r="135" spans="1:18" x14ac:dyDescent="0.25">
      <c r="A135" t="s">
        <v>72</v>
      </c>
      <c r="B135" s="4">
        <f t="shared" si="50"/>
        <v>3.8890873871365899</v>
      </c>
      <c r="C135" s="4">
        <f t="shared" si="50"/>
        <v>-7.7781745477467323</v>
      </c>
      <c r="D135" s="4">
        <f t="shared" si="47"/>
        <v>7.7781746383573118</v>
      </c>
      <c r="E135" s="4">
        <f t="shared" si="47"/>
        <v>-3.8890872059154313</v>
      </c>
      <c r="F135" s="4">
        <f t="shared" si="48"/>
        <v>-1.2052064369794215</v>
      </c>
      <c r="G135" s="4">
        <f t="shared" si="49"/>
        <v>1.6720007884915376E-2</v>
      </c>
      <c r="H135" s="4">
        <f t="shared" si="51"/>
        <v>1.0000000232986748</v>
      </c>
      <c r="I135" s="4">
        <f t="shared" si="52"/>
        <v>-11.667262025493905</v>
      </c>
      <c r="J135" s="4">
        <f t="shared" si="53"/>
        <v>7.7249590215099708</v>
      </c>
      <c r="K135" s="4">
        <f t="shared" si="54"/>
        <v>-3.9423028240026259</v>
      </c>
      <c r="L135" s="4">
        <f t="shared" si="55"/>
        <v>7.7781746383573118</v>
      </c>
      <c r="M135" s="4">
        <f t="shared" si="56"/>
        <v>-3.8890872059154313</v>
      </c>
      <c r="N135" s="4">
        <f t="shared" si="57"/>
        <v>0</v>
      </c>
      <c r="O135" s="4">
        <f t="shared" si="57"/>
        <v>1.6720007884915376E-2</v>
      </c>
      <c r="P135" s="4">
        <f t="shared" si="58"/>
        <v>3.452484362707699E-3</v>
      </c>
      <c r="Q135" s="4">
        <f t="shared" si="59"/>
        <v>-1.3488184800928874E-2</v>
      </c>
      <c r="R135" s="4">
        <f t="shared" si="60"/>
        <v>-1.3396427136732097E-2</v>
      </c>
    </row>
    <row r="136" spans="1:18" x14ac:dyDescent="0.25">
      <c r="A136" t="s">
        <v>73</v>
      </c>
      <c r="B136" s="4">
        <f t="shared" si="50"/>
        <v>7.7781746383573118</v>
      </c>
      <c r="C136" s="4">
        <f t="shared" si="50"/>
        <v>-3.8890872059154313</v>
      </c>
      <c r="D136" s="4">
        <f t="shared" si="47"/>
        <v>-4.5305289519959047E-8</v>
      </c>
      <c r="E136" s="4">
        <f t="shared" si="47"/>
        <v>3.8890872965260108</v>
      </c>
      <c r="F136" s="4">
        <f t="shared" si="48"/>
        <v>1.6720007884915376E-2</v>
      </c>
      <c r="G136" s="4">
        <f t="shared" si="49"/>
        <v>2.4605728406750562</v>
      </c>
      <c r="H136" s="4">
        <f t="shared" si="51"/>
        <v>-0.99999997670132568</v>
      </c>
      <c r="I136" s="4">
        <f t="shared" si="52"/>
        <v>3.8890872512207224</v>
      </c>
      <c r="J136" s="4">
        <f t="shared" si="53"/>
        <v>7.7781746383573118</v>
      </c>
      <c r="K136" s="4">
        <f t="shared" si="54"/>
        <v>-3.8890872059154313</v>
      </c>
      <c r="L136" s="4">
        <f t="shared" si="55"/>
        <v>-4.5305289519959047E-8</v>
      </c>
      <c r="M136" s="4">
        <f t="shared" si="56"/>
        <v>3.8890872965260108</v>
      </c>
      <c r="N136" s="4">
        <f t="shared" si="57"/>
        <v>1.6720007884915376E-2</v>
      </c>
      <c r="O136" s="4">
        <f t="shared" si="57"/>
        <v>2.4605728406750562</v>
      </c>
      <c r="P136" s="4">
        <f t="shared" si="58"/>
        <v>25.147962532662955</v>
      </c>
      <c r="Q136" s="4">
        <f t="shared" si="59"/>
        <v>-0.6556739113890071</v>
      </c>
      <c r="R136" s="4">
        <f t="shared" si="60"/>
        <v>-49.229148342646354</v>
      </c>
    </row>
    <row r="137" spans="1:18" x14ac:dyDescent="0.25">
      <c r="A137" t="s">
        <v>74</v>
      </c>
      <c r="B137" s="4">
        <f t="shared" si="50"/>
        <v>-4.5305289519959047E-8</v>
      </c>
      <c r="C137" s="4">
        <f t="shared" si="50"/>
        <v>3.8890872965260108</v>
      </c>
      <c r="D137" s="4">
        <f t="shared" si="47"/>
        <v>-7.7781745477467323</v>
      </c>
      <c r="E137" s="4">
        <f t="shared" si="47"/>
        <v>-3.8890873871365899</v>
      </c>
      <c r="F137" s="4">
        <f t="shared" si="48"/>
        <v>2.4605728406750562</v>
      </c>
      <c r="G137" s="4">
        <f t="shared" si="49"/>
        <v>1.6719950946382886E-2</v>
      </c>
      <c r="H137" s="4">
        <f t="shared" si="51"/>
        <v>1.0000000232986748</v>
      </c>
      <c r="I137" s="4">
        <f t="shared" si="52"/>
        <v>3.8890873418313014</v>
      </c>
      <c r="J137" s="4">
        <f t="shared" si="53"/>
        <v>-4.5305289519959047E-8</v>
      </c>
      <c r="K137" s="4">
        <f t="shared" si="54"/>
        <v>3.8890872965260108</v>
      </c>
      <c r="L137" s="4">
        <f t="shared" si="55"/>
        <v>-7.7781745477467323</v>
      </c>
      <c r="M137" s="4">
        <f t="shared" si="56"/>
        <v>-3.8890873871365899</v>
      </c>
      <c r="N137" s="4">
        <f t="shared" si="57"/>
        <v>2.4605728406750562</v>
      </c>
      <c r="O137" s="4">
        <f t="shared" si="57"/>
        <v>1.6719950946382886E-2</v>
      </c>
      <c r="P137" s="4">
        <f t="shared" si="58"/>
        <v>25.147962257381838</v>
      </c>
      <c r="Q137" s="4">
        <f t="shared" si="59"/>
        <v>-0.65567285607305414</v>
      </c>
      <c r="R137" s="4">
        <f t="shared" si="60"/>
        <v>49.229146125080177</v>
      </c>
    </row>
    <row r="138" spans="1:18" x14ac:dyDescent="0.25">
      <c r="A138" t="s">
        <v>75</v>
      </c>
      <c r="B138" s="4">
        <f t="shared" si="50"/>
        <v>-7.7781745477467323</v>
      </c>
      <c r="C138" s="4">
        <f t="shared" si="50"/>
        <v>-3.8890873871365899</v>
      </c>
      <c r="D138" s="4">
        <f t="shared" si="47"/>
        <v>-7.7781745477467323</v>
      </c>
      <c r="E138" s="4">
        <f t="shared" si="47"/>
        <v>-3.8890873871365899</v>
      </c>
      <c r="F138" s="4">
        <f t="shared" si="48"/>
        <v>1.6719950946382886E-2</v>
      </c>
      <c r="G138" s="4">
        <f t="shared" si="49"/>
        <v>1.6719950946382886E-2</v>
      </c>
      <c r="H138" s="4" t="str">
        <f t="shared" si="51"/>
        <v>V</v>
      </c>
      <c r="I138" s="4">
        <f t="shared" si="52"/>
        <v>0</v>
      </c>
      <c r="J138" s="4">
        <f t="shared" si="53"/>
        <v>-7.7781745477467323</v>
      </c>
      <c r="K138" s="4">
        <f t="shared" si="54"/>
        <v>-3.8890873871365899</v>
      </c>
      <c r="L138" s="4">
        <f t="shared" si="55"/>
        <v>-7.7781745477467323</v>
      </c>
      <c r="M138" s="4">
        <f t="shared" si="56"/>
        <v>-3.8890873871365899</v>
      </c>
      <c r="N138" s="4">
        <f t="shared" si="57"/>
        <v>1.6719950946382886E-2</v>
      </c>
      <c r="O138" s="4">
        <f t="shared" si="57"/>
        <v>1.6719950946382886E-2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-7.7781745477467323</v>
      </c>
      <c r="C139" s="4">
        <f>E138</f>
        <v>-3.8890873871365899</v>
      </c>
      <c r="D139" s="4">
        <f t="shared" si="47"/>
        <v>-7.7781745477467323</v>
      </c>
      <c r="E139" s="4">
        <f t="shared" si="47"/>
        <v>-3.8890873871365899</v>
      </c>
      <c r="F139" s="4">
        <f t="shared" si="48"/>
        <v>1.6719950946382886E-2</v>
      </c>
      <c r="G139" s="4">
        <f t="shared" si="49"/>
        <v>1.6719950946382886E-2</v>
      </c>
      <c r="H139" s="4" t="str">
        <f t="shared" si="51"/>
        <v>V</v>
      </c>
      <c r="I139" s="4">
        <f t="shared" si="52"/>
        <v>0</v>
      </c>
      <c r="J139" s="4">
        <f t="shared" si="53"/>
        <v>-7.7781745477467323</v>
      </c>
      <c r="K139" s="4">
        <f t="shared" si="54"/>
        <v>-3.8890873871365899</v>
      </c>
      <c r="L139" s="4">
        <f t="shared" si="55"/>
        <v>-7.7781745477467323</v>
      </c>
      <c r="M139" s="4">
        <f t="shared" si="56"/>
        <v>-3.8890873871365899</v>
      </c>
      <c r="N139" s="4">
        <f t="shared" si="57"/>
        <v>1.6719950946382886E-2</v>
      </c>
      <c r="O139" s="4">
        <f t="shared" si="57"/>
        <v>1.6719950946382886E-2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50.302813952181495</v>
      </c>
      <c r="Q140" s="4">
        <f>SUM(Q132:Q139)</f>
        <v>-1.3382612439092969</v>
      </c>
      <c r="R140" s="4">
        <f>SUM(R132:R139)</f>
        <v>-2.3089133946996299E-6</v>
      </c>
    </row>
    <row r="142" spans="1:18" x14ac:dyDescent="0.25">
      <c r="O142" t="s">
        <v>96</v>
      </c>
      <c r="P142" s="1">
        <f>-1*R140/P140</f>
        <v>4.590028297213179E-8</v>
      </c>
    </row>
    <row r="143" spans="1:18" x14ac:dyDescent="0.25">
      <c r="O143" t="s">
        <v>97</v>
      </c>
      <c r="P143" s="1">
        <f>Q140/P140</f>
        <v>-2.6604103006672059E-2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-7.7781745477467323</v>
      </c>
      <c r="C146" s="9">
        <f>J84</f>
        <v>-3.8890873871365899</v>
      </c>
      <c r="D146" s="9">
        <f t="shared" ref="D146:E153" si="61">I85</f>
        <v>-7.7781745477467323</v>
      </c>
      <c r="E146">
        <f t="shared" si="61"/>
        <v>-3.8890873871365899</v>
      </c>
      <c r="F146" s="4">
        <f>($B$66/$B$65)*(C146-$B$125)</f>
        <v>1.6719950946382886E-2</v>
      </c>
      <c r="G146" s="4">
        <f>($B$66/$B$65)*(E146-$B$125)</f>
        <v>1.6719950946382886E-2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-7.7781745477467323</v>
      </c>
      <c r="K146" s="4">
        <f>IF($F146&gt;=0,C146,IF(AND($F146&lt;0,$G146&gt;=0),$B$125,0))</f>
        <v>-3.8890873871365899</v>
      </c>
      <c r="L146" s="4">
        <f>IF($G146&gt;=0,D146,IF(AND($G146&lt;0,$F146&gt;=0),IF(H146="V",D146,($B$125-I146)/H146),0))</f>
        <v>-7.7781745477467323</v>
      </c>
      <c r="M146" s="4">
        <f>IF($G146&gt;=0,E146,IF(AND($G146&lt;0,$F146&gt;=0),$B$125,0))</f>
        <v>-3.8890873871365899</v>
      </c>
      <c r="N146" s="4">
        <f>IF(F146&lt;0,0,F146)</f>
        <v>1.6719950946382886E-2</v>
      </c>
      <c r="O146" s="4">
        <f>IF(G146&lt;0,0,G146)</f>
        <v>1.6719950946382886E-2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-7.7781745477467323</v>
      </c>
      <c r="C147">
        <f t="shared" si="62"/>
        <v>-3.8890873871365899</v>
      </c>
      <c r="D147" s="9">
        <f t="shared" si="61"/>
        <v>-7.7781745477467323</v>
      </c>
      <c r="E147">
        <f t="shared" si="61"/>
        <v>-3.8890873871365899</v>
      </c>
      <c r="F147" s="4">
        <f t="shared" ref="F147:F153" si="63">($B$66/$B$65)*(C147-$B$125)</f>
        <v>1.6719950946382886E-2</v>
      </c>
      <c r="G147" s="4">
        <f t="shared" ref="G147:G153" si="64">($B$66/$B$65)*(E147-$B$125)</f>
        <v>1.6719950946382886E-2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-7.7781745477467323</v>
      </c>
      <c r="K147" s="4">
        <f t="shared" ref="K147:K153" si="68">IF($F147&gt;=0,C147,IF(AND($F147&lt;0,$G147&gt;=0),$B$125,0))</f>
        <v>-3.8890873871365899</v>
      </c>
      <c r="L147" s="4">
        <f t="shared" ref="L147:L153" si="69">IF($G147&gt;=0,D147,IF(AND($G147&lt;0,$F147&gt;=0),IF(H147="V",D147,($B$125-I147)/H147),0))</f>
        <v>-7.7781745477467323</v>
      </c>
      <c r="M147" s="4">
        <f t="shared" ref="M147:M153" si="70">IF($G147&gt;=0,E147,IF(AND($G147&lt;0,$F147&gt;=0),$B$125,0))</f>
        <v>-3.8890873871365899</v>
      </c>
      <c r="N147" s="4">
        <f t="shared" ref="N147:O153" si="71">IF(F147&lt;0,0,F147)</f>
        <v>1.6719950946382886E-2</v>
      </c>
      <c r="O147" s="4">
        <f t="shared" si="71"/>
        <v>1.6719950946382886E-2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-7.7781745477467323</v>
      </c>
      <c r="C148">
        <f t="shared" si="62"/>
        <v>-3.8890873871365899</v>
      </c>
      <c r="D148" s="9">
        <f t="shared" si="61"/>
        <v>-7.7781745477467323</v>
      </c>
      <c r="E148">
        <f t="shared" si="61"/>
        <v>-3.8890873871365899</v>
      </c>
      <c r="F148" s="4">
        <f t="shared" si="63"/>
        <v>1.6719950946382886E-2</v>
      </c>
      <c r="G148" s="4">
        <f t="shared" si="64"/>
        <v>1.6719950946382886E-2</v>
      </c>
      <c r="H148" s="4" t="str">
        <f t="shared" si="65"/>
        <v>V</v>
      </c>
      <c r="I148" s="4">
        <f t="shared" si="66"/>
        <v>0</v>
      </c>
      <c r="J148" s="4">
        <f t="shared" si="67"/>
        <v>-7.7781745477467323</v>
      </c>
      <c r="K148" s="4">
        <f t="shared" si="68"/>
        <v>-3.8890873871365899</v>
      </c>
      <c r="L148" s="4">
        <f t="shared" si="69"/>
        <v>-7.7781745477467323</v>
      </c>
      <c r="M148" s="4">
        <f t="shared" si="70"/>
        <v>-3.8890873871365899</v>
      </c>
      <c r="N148" s="4">
        <f t="shared" si="71"/>
        <v>1.6719950946382886E-2</v>
      </c>
      <c r="O148" s="4">
        <f t="shared" si="71"/>
        <v>1.6719950946382886E-2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-7.7781745477467323</v>
      </c>
      <c r="C149">
        <f t="shared" si="62"/>
        <v>-3.8890873871365899</v>
      </c>
      <c r="D149" s="9">
        <f t="shared" si="61"/>
        <v>-7.7781745477467323</v>
      </c>
      <c r="E149">
        <f t="shared" si="61"/>
        <v>-3.8890873871365899</v>
      </c>
      <c r="F149" s="4">
        <f t="shared" si="63"/>
        <v>1.6719950946382886E-2</v>
      </c>
      <c r="G149" s="4">
        <f t="shared" si="64"/>
        <v>1.6719950946382886E-2</v>
      </c>
      <c r="H149" s="4" t="str">
        <f t="shared" si="65"/>
        <v>V</v>
      </c>
      <c r="I149" s="4">
        <f t="shared" si="66"/>
        <v>0</v>
      </c>
      <c r="J149" s="4">
        <f t="shared" si="67"/>
        <v>-7.7781745477467323</v>
      </c>
      <c r="K149" s="4">
        <f t="shared" si="68"/>
        <v>-3.8890873871365899</v>
      </c>
      <c r="L149" s="4">
        <f t="shared" si="69"/>
        <v>-7.7781745477467323</v>
      </c>
      <c r="M149" s="4">
        <f t="shared" si="70"/>
        <v>-3.8890873871365899</v>
      </c>
      <c r="N149" s="4">
        <f t="shared" si="71"/>
        <v>1.6719950946382886E-2</v>
      </c>
      <c r="O149" s="4">
        <f t="shared" si="71"/>
        <v>1.6719950946382886E-2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-7.7781745477467323</v>
      </c>
      <c r="C150">
        <f t="shared" si="62"/>
        <v>-3.8890873871365899</v>
      </c>
      <c r="D150" s="9">
        <f t="shared" si="61"/>
        <v>-7.7781745477467323</v>
      </c>
      <c r="E150">
        <f t="shared" si="61"/>
        <v>-3.8890873871365899</v>
      </c>
      <c r="F150" s="4">
        <f t="shared" si="63"/>
        <v>1.6719950946382886E-2</v>
      </c>
      <c r="G150" s="4">
        <f t="shared" si="64"/>
        <v>1.6719950946382886E-2</v>
      </c>
      <c r="H150" s="4" t="str">
        <f t="shared" si="65"/>
        <v>V</v>
      </c>
      <c r="I150" s="4">
        <f t="shared" si="66"/>
        <v>0</v>
      </c>
      <c r="J150" s="4">
        <f t="shared" si="67"/>
        <v>-7.7781745477467323</v>
      </c>
      <c r="K150" s="4">
        <f t="shared" si="68"/>
        <v>-3.8890873871365899</v>
      </c>
      <c r="L150" s="4">
        <f t="shared" si="69"/>
        <v>-7.7781745477467323</v>
      </c>
      <c r="M150" s="4">
        <f t="shared" si="70"/>
        <v>-3.8890873871365899</v>
      </c>
      <c r="N150" s="4">
        <f t="shared" si="71"/>
        <v>1.6719950946382886E-2</v>
      </c>
      <c r="O150" s="4">
        <f t="shared" si="71"/>
        <v>1.6719950946382886E-2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-7.7781745477467323</v>
      </c>
      <c r="C151">
        <f t="shared" si="62"/>
        <v>-3.8890873871365899</v>
      </c>
      <c r="D151" s="9">
        <f t="shared" si="61"/>
        <v>-7.7781745477467323</v>
      </c>
      <c r="E151">
        <f t="shared" si="61"/>
        <v>-3.8890873871365899</v>
      </c>
      <c r="F151" s="4">
        <f t="shared" si="63"/>
        <v>1.6719950946382886E-2</v>
      </c>
      <c r="G151" s="4">
        <f t="shared" si="64"/>
        <v>1.6719950946382886E-2</v>
      </c>
      <c r="H151" s="4" t="str">
        <f t="shared" si="65"/>
        <v>V</v>
      </c>
      <c r="I151" s="4">
        <f t="shared" si="66"/>
        <v>0</v>
      </c>
      <c r="J151" s="4">
        <f t="shared" si="67"/>
        <v>-7.7781745477467323</v>
      </c>
      <c r="K151" s="4">
        <f t="shared" si="68"/>
        <v>-3.8890873871365899</v>
      </c>
      <c r="L151" s="4">
        <f t="shared" si="69"/>
        <v>-7.7781745477467323</v>
      </c>
      <c r="M151" s="4">
        <f t="shared" si="70"/>
        <v>-3.8890873871365899</v>
      </c>
      <c r="N151" s="4">
        <f t="shared" si="71"/>
        <v>1.6719950946382886E-2</v>
      </c>
      <c r="O151" s="4">
        <f t="shared" si="71"/>
        <v>1.6719950946382886E-2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-7.7781745477467323</v>
      </c>
      <c r="C152">
        <f t="shared" si="62"/>
        <v>-3.8890873871365899</v>
      </c>
      <c r="D152" s="9">
        <f t="shared" si="61"/>
        <v>-7.7781745477467323</v>
      </c>
      <c r="E152">
        <f t="shared" si="61"/>
        <v>-3.8890873871365899</v>
      </c>
      <c r="F152" s="4">
        <f t="shared" si="63"/>
        <v>1.6719950946382886E-2</v>
      </c>
      <c r="G152" s="4">
        <f t="shared" si="64"/>
        <v>1.6719950946382886E-2</v>
      </c>
      <c r="H152" s="4" t="str">
        <f t="shared" si="65"/>
        <v>V</v>
      </c>
      <c r="I152" s="4">
        <f t="shared" si="66"/>
        <v>0</v>
      </c>
      <c r="J152" s="4">
        <f t="shared" si="67"/>
        <v>-7.7781745477467323</v>
      </c>
      <c r="K152" s="4">
        <f t="shared" si="68"/>
        <v>-3.8890873871365899</v>
      </c>
      <c r="L152" s="4">
        <f t="shared" si="69"/>
        <v>-7.7781745477467323</v>
      </c>
      <c r="M152" s="4">
        <f t="shared" si="70"/>
        <v>-3.8890873871365899</v>
      </c>
      <c r="N152" s="4">
        <f t="shared" si="71"/>
        <v>1.6719950946382886E-2</v>
      </c>
      <c r="O152" s="4">
        <f t="shared" si="71"/>
        <v>1.6719950946382886E-2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-7.7781745477467323</v>
      </c>
      <c r="C153">
        <f t="shared" si="62"/>
        <v>-3.8890873871365899</v>
      </c>
      <c r="D153" s="9">
        <f t="shared" si="61"/>
        <v>-7.7781745477467323</v>
      </c>
      <c r="E153">
        <f t="shared" si="61"/>
        <v>-3.8890873871365899</v>
      </c>
      <c r="F153" s="4">
        <f t="shared" si="63"/>
        <v>1.6719950946382886E-2</v>
      </c>
      <c r="G153" s="4">
        <f t="shared" si="64"/>
        <v>1.6719950946382886E-2</v>
      </c>
      <c r="H153" s="4" t="str">
        <f t="shared" si="65"/>
        <v>V</v>
      </c>
      <c r="I153" s="4">
        <f t="shared" si="66"/>
        <v>0</v>
      </c>
      <c r="J153" s="4">
        <f t="shared" si="67"/>
        <v>-7.7781745477467323</v>
      </c>
      <c r="K153" s="4">
        <f t="shared" si="68"/>
        <v>-3.8890873871365899</v>
      </c>
      <c r="L153" s="4">
        <f t="shared" si="69"/>
        <v>-7.7781745477467323</v>
      </c>
      <c r="M153" s="4">
        <f t="shared" si="70"/>
        <v>-3.8890873871365899</v>
      </c>
      <c r="N153" s="4">
        <f t="shared" si="71"/>
        <v>1.6719950946382886E-2</v>
      </c>
      <c r="O153" s="4">
        <f t="shared" si="71"/>
        <v>1.6719950946382886E-2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50.000000032675189</v>
      </c>
      <c r="C159" t="s">
        <v>36</v>
      </c>
    </row>
    <row r="160" spans="1:18" x14ac:dyDescent="0.25">
      <c r="A160" s="1" t="s">
        <v>106</v>
      </c>
      <c r="B160" s="4">
        <f>Q140+I122+Q154-O122</f>
        <v>-1.4440561413309183E-7</v>
      </c>
      <c r="C160" t="s">
        <v>102</v>
      </c>
    </row>
    <row r="161" spans="1:9" x14ac:dyDescent="0.25">
      <c r="A161" s="1" t="s">
        <v>107</v>
      </c>
      <c r="B161" s="4">
        <f>R140+J122+R154-P122</f>
        <v>-2.4377292696664554E-6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50.000000032675189</v>
      </c>
      <c r="C164" t="s">
        <v>36</v>
      </c>
      <c r="E164" s="8">
        <f>B2-B164</f>
        <v>-3.267518877692055E-8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1.6216246870132782E-6</v>
      </c>
      <c r="C165" t="s">
        <v>102</v>
      </c>
      <c r="E165" s="8">
        <f>B3+B165</f>
        <v>1.6216246870132782E-6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-1.8258451051638507E-6</v>
      </c>
      <c r="C166" t="s">
        <v>102</v>
      </c>
      <c r="E166" s="8">
        <f>B4+B166</f>
        <v>-1.8258451051638507E-6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2.4605728406750562</v>
      </c>
      <c r="B169" s="1">
        <f ca="1">IF(E122=0,0,(MIN(H110:H121)*B65)/(B55*B56*E122))</f>
        <v>-2.4605725751670127</v>
      </c>
      <c r="C169" s="3">
        <f ca="1">A169+B169</f>
        <v>2.6550804355096602E-7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1.1649337169524141E-8</v>
      </c>
      <c r="C175" s="27">
        <f>B65*SQRT(I175)</f>
        <v>1.1615828712744079E-7</v>
      </c>
      <c r="D175" s="27">
        <f>B66*SQRT(I175)</f>
        <v>3.6496193156806058E-8</v>
      </c>
      <c r="E175" s="27">
        <f>B67*SQRT(I175)</f>
        <v>2.2457283740406142E-9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0.78539816339744817</v>
      </c>
      <c r="C176" s="3">
        <f>B65+C175</f>
        <v>7.8313902366869241</v>
      </c>
      <c r="D176" s="3">
        <f>D175+B66</f>
        <v>2.4605728771712494</v>
      </c>
      <c r="E176" s="3">
        <f>B67+E175</f>
        <v>0.15140697833652661</v>
      </c>
      <c r="F176" s="16" t="s">
        <v>125</v>
      </c>
    </row>
    <row r="177" spans="1:13" x14ac:dyDescent="0.25">
      <c r="B177" s="27">
        <f>B176-B64</f>
        <v>1.1649337161578899E-8</v>
      </c>
      <c r="C177" s="27">
        <f>C176-B65</f>
        <v>1.161582874331657E-7</v>
      </c>
      <c r="D177" s="27">
        <f>D176-B66</f>
        <v>3.6496193178692238E-8</v>
      </c>
      <c r="E177" s="27">
        <f>E176-B67</f>
        <v>2.2457283810339845E-9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-20.443537786034994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-7.778174729712739</v>
      </c>
      <c r="B181" s="25">
        <f>(d_alpha_p!E136-d_alpha_m!E136)/(2*B177)</f>
        <v>0</v>
      </c>
      <c r="C181" s="25">
        <f>(d_alpha_p!E137-d_alpha_m!E137)/(2*B177)</f>
        <v>7.7781747106520314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3.267518877692055E-8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-1.6216246870132782E-6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1.8258451051638507E-6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-2.6550804355096602E-7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-20.443537786034994</v>
      </c>
      <c r="B190" s="25">
        <f>A181</f>
        <v>-7.778174729712739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7.7781747106520314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-20.443537786034994</v>
      </c>
      <c r="B201" s="25">
        <f t="shared" ref="B201:C201" si="77">B190</f>
        <v>-7.778174729712739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7.7781747106520314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0.55096418732782371</v>
      </c>
      <c r="J2" t="s">
        <v>11</v>
      </c>
    </row>
    <row r="3" spans="1:29" x14ac:dyDescent="0.25">
      <c r="A3" s="10" t="s">
        <v>79</v>
      </c>
      <c r="B3" s="17">
        <f>'Rigid Bearing Plate Analysis'!B3</f>
        <v>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 t="e">
        <f>ATAN2(B3,B4)</f>
        <v>#DIV/0!</v>
      </c>
      <c r="C5" t="s">
        <v>19</v>
      </c>
      <c r="I5">
        <f>SUM(I2:I4)</f>
        <v>0.55096418732782371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0</v>
      </c>
      <c r="AB14">
        <f>$B$4/Z14</f>
        <v>0</v>
      </c>
      <c r="AC14">
        <f>$I$2+AA14+AB14</f>
        <v>0.55096418732782371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0</v>
      </c>
      <c r="AB15">
        <f t="shared" ref="AB15:AB21" si="11">$B$4/Z15</f>
        <v>0</v>
      </c>
      <c r="AC15">
        <f t="shared" ref="AC15:AC20" si="12">$I$2+AA15+AB15</f>
        <v>0.55096418732782371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0</v>
      </c>
      <c r="AB16">
        <f t="shared" si="11"/>
        <v>0</v>
      </c>
      <c r="AC16">
        <f t="shared" si="12"/>
        <v>0.55096418732782371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</v>
      </c>
      <c r="AB17">
        <f t="shared" si="11"/>
        <v>0</v>
      </c>
      <c r="AC17">
        <f t="shared" si="12"/>
        <v>0.55096418732782371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</v>
      </c>
      <c r="AB18">
        <f t="shared" si="11"/>
        <v>0</v>
      </c>
      <c r="AC18">
        <f t="shared" si="12"/>
        <v>0.55096418732782371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0</v>
      </c>
      <c r="AB19">
        <f t="shared" si="11"/>
        <v>0</v>
      </c>
      <c r="AC19">
        <f t="shared" si="12"/>
        <v>0.55096418732782371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0</v>
      </c>
      <c r="AB20">
        <f t="shared" si="11"/>
        <v>0</v>
      </c>
      <c r="AC20">
        <f t="shared" si="12"/>
        <v>0.55096418732782371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0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0.78539816339744839</v>
      </c>
      <c r="C64" t="s">
        <v>19</v>
      </c>
      <c r="D64" t="s">
        <v>34</v>
      </c>
      <c r="H64" s="17">
        <f>DEGREES(B64)</f>
        <v>45.000000000000007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7.8313902366869241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2.4605728406750562</v>
      </c>
      <c r="C66" t="s">
        <v>11</v>
      </c>
      <c r="D66">
        <f>B66/B53</f>
        <v>6.039281603482233E-4</v>
      </c>
      <c r="I66" s="20"/>
    </row>
    <row r="67" spans="1:18" x14ac:dyDescent="0.25">
      <c r="A67" s="1" t="s">
        <v>37</v>
      </c>
      <c r="B67" s="17">
        <f>'Rigid Bearing Plate Analysis'!B67</f>
        <v>0.15140697609079823</v>
      </c>
      <c r="C67" t="s">
        <v>36</v>
      </c>
      <c r="D67" t="s">
        <v>122</v>
      </c>
      <c r="G67" s="20">
        <f ca="1">($B$56*$B$66*$B$55*$E$122)/$B$65</f>
        <v>0.15140693698345775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-8.7781745930520216</v>
      </c>
      <c r="R76">
        <f>Q76</f>
        <v>-8.7781745930520216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8.7781745930520216</v>
      </c>
      <c r="R77">
        <f>Q77</f>
        <v>8.7781745930520216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-7.7781745930520225</v>
      </c>
      <c r="C84" s="1">
        <f t="shared" ref="C84:C92" si="23">(-1*B73*SIN($B$64))+(C73*COS($B$64))</f>
        <v>-3.8890872965260104</v>
      </c>
      <c r="H84" s="1">
        <f t="shared" ref="H84:H92" si="24">H73</f>
        <v>1</v>
      </c>
      <c r="I84" s="4">
        <f>(I73*COS($B$64))+(J73*SIN($B$64))</f>
        <v>-7.7781745930520225</v>
      </c>
      <c r="J84" s="1">
        <f>(-1*I73*SIN($B$64))+(J73*COS($B$64))</f>
        <v>-3.8890872965260104</v>
      </c>
    </row>
    <row r="85" spans="1:10" x14ac:dyDescent="0.25">
      <c r="A85" s="1">
        <f t="shared" si="21"/>
        <v>2</v>
      </c>
      <c r="B85" s="4">
        <f t="shared" si="22"/>
        <v>-3.8890872965260117</v>
      </c>
      <c r="C85" s="1">
        <f t="shared" si="23"/>
        <v>-7.7781745930520216</v>
      </c>
      <c r="H85" s="1">
        <f t="shared" si="24"/>
        <v>2</v>
      </c>
      <c r="I85" s="4">
        <f t="shared" ref="I85:I92" si="25">(I74*COS($B$64))+(J74*SIN($B$64))</f>
        <v>-7.7781745930520225</v>
      </c>
      <c r="J85" s="1">
        <f t="shared" ref="J85:J92" si="26">(-1*I74*SIN($B$64))+(J74*COS($B$64))</f>
        <v>-3.8890872965260104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-3.8890872965260113</v>
      </c>
      <c r="H86" s="1">
        <f t="shared" si="24"/>
        <v>3</v>
      </c>
      <c r="I86" s="4">
        <f t="shared" si="25"/>
        <v>-7.7781745930520225</v>
      </c>
      <c r="J86" s="1">
        <f t="shared" si="26"/>
        <v>-3.8890872965260104</v>
      </c>
    </row>
    <row r="87" spans="1:10" x14ac:dyDescent="0.25">
      <c r="A87" s="1">
        <f t="shared" si="21"/>
        <v>4</v>
      </c>
      <c r="B87" s="4">
        <f t="shared" si="22"/>
        <v>3.8890872965260104</v>
      </c>
      <c r="C87" s="1">
        <f t="shared" si="23"/>
        <v>-7.7781745930520225</v>
      </c>
      <c r="H87" s="1">
        <f t="shared" si="24"/>
        <v>4</v>
      </c>
      <c r="I87" s="4">
        <f t="shared" si="25"/>
        <v>-7.7781745930520225</v>
      </c>
      <c r="J87" s="1">
        <f t="shared" si="26"/>
        <v>-3.8890872965260104</v>
      </c>
    </row>
    <row r="88" spans="1:10" x14ac:dyDescent="0.25">
      <c r="A88" s="1">
        <f t="shared" si="21"/>
        <v>5</v>
      </c>
      <c r="B88" s="4">
        <f t="shared" si="22"/>
        <v>7.7781745930520216</v>
      </c>
      <c r="C88" s="1">
        <f t="shared" si="23"/>
        <v>-3.8890872965260117</v>
      </c>
      <c r="H88" s="1">
        <f t="shared" si="24"/>
        <v>5</v>
      </c>
      <c r="I88" s="4">
        <f t="shared" si="25"/>
        <v>-7.7781745930520225</v>
      </c>
      <c r="J88" s="1">
        <f t="shared" si="26"/>
        <v>-3.8890872965260104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3.8890872965260113</v>
      </c>
      <c r="H89" s="1">
        <f t="shared" si="24"/>
        <v>6</v>
      </c>
      <c r="I89" s="4">
        <f t="shared" si="25"/>
        <v>-7.7781745930520225</v>
      </c>
      <c r="J89" s="1">
        <f t="shared" si="26"/>
        <v>-3.8890872965260104</v>
      </c>
    </row>
    <row r="90" spans="1:10" x14ac:dyDescent="0.25">
      <c r="A90" s="1">
        <f t="shared" si="21"/>
        <v>7</v>
      </c>
      <c r="B90" s="4">
        <f t="shared" si="22"/>
        <v>-7.7781745930520225</v>
      </c>
      <c r="C90" s="1">
        <f t="shared" si="23"/>
        <v>-3.8890872965260104</v>
      </c>
      <c r="H90" s="1">
        <f t="shared" si="24"/>
        <v>7</v>
      </c>
      <c r="I90" s="4">
        <f t="shared" si="25"/>
        <v>-7.7781745930520225</v>
      </c>
      <c r="J90" s="1">
        <f t="shared" si="26"/>
        <v>-3.8890872965260104</v>
      </c>
    </row>
    <row r="91" spans="1:10" x14ac:dyDescent="0.25">
      <c r="A91" s="1">
        <f t="shared" si="21"/>
        <v>8</v>
      </c>
      <c r="B91" s="4">
        <f t="shared" si="22"/>
        <v>-7.7781745930520225</v>
      </c>
      <c r="C91" s="1">
        <f t="shared" si="23"/>
        <v>-3.8890872965260104</v>
      </c>
      <c r="H91" s="1">
        <f t="shared" si="24"/>
        <v>8</v>
      </c>
      <c r="I91" s="4">
        <f t="shared" si="25"/>
        <v>-7.7781745930520225</v>
      </c>
      <c r="J91" s="1">
        <f t="shared" si="26"/>
        <v>-3.8890872965260104</v>
      </c>
    </row>
    <row r="92" spans="1:10" x14ac:dyDescent="0.25">
      <c r="A92" s="1">
        <f t="shared" si="21"/>
        <v>9</v>
      </c>
      <c r="B92" s="4">
        <f t="shared" si="22"/>
        <v>-7.7781745930520225</v>
      </c>
      <c r="C92" s="1">
        <f t="shared" si="23"/>
        <v>-3.8890872965260104</v>
      </c>
      <c r="H92" s="1">
        <f t="shared" si="24"/>
        <v>9</v>
      </c>
      <c r="I92" s="4">
        <f t="shared" si="25"/>
        <v>-7.7781745930520225</v>
      </c>
      <c r="J92" s="1">
        <f t="shared" si="26"/>
        <v>-3.8890872965260104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-4.4194173824159222</v>
      </c>
      <c r="C110" s="1">
        <f>(-1*B95*SIN($B$64))+(C95*COS($B$64))</f>
        <v>-4.4194173824159213</v>
      </c>
      <c r="D110" t="str">
        <f t="shared" ref="D110" si="31">D95</f>
        <v>y</v>
      </c>
      <c r="E110" s="4">
        <f t="shared" ref="E110:E121" si="32">IF($D110="y",$B$125-C110,0)</f>
        <v>0.47711444225500843</v>
      </c>
      <c r="F110" s="1">
        <f>IF($D110="y",B110,NA())</f>
        <v>-4.4194173824159222</v>
      </c>
      <c r="G110" s="1">
        <f>IF($D110="y",C110,NA())</f>
        <v>-4.4194173824159213</v>
      </c>
      <c r="H110">
        <f t="shared" ref="H110:H121" si="33">IF($E$122=0,0,-1*MAX(($B$67/$E$122)*(E110),0))</f>
        <v>-0.15140697609079795</v>
      </c>
      <c r="I110">
        <f>H110*C110</f>
        <v>0.6691306219547043</v>
      </c>
      <c r="J110">
        <f>H110*B110*-1</f>
        <v>-0.66913062195470441</v>
      </c>
      <c r="K110">
        <f ca="1">H110/$B$55</f>
        <v>-1.0670065569456302</v>
      </c>
      <c r="L110">
        <f ca="1">K110/$B$54</f>
        <v>-3.6793329549849315E-5</v>
      </c>
      <c r="M110">
        <f t="shared" ref="M110:M121" si="34">IFERROR(($D$66/$B$65)*(G110-$B$125),0)</f>
        <v>-3.6793320046395098E-5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4.4194173824159213</v>
      </c>
      <c r="C111" s="1">
        <f t="shared" ref="C111:C121" si="37">(-1*B96*SIN($B$64))+(C96*COS($B$64))</f>
        <v>-4.4194173824159222</v>
      </c>
      <c r="D111" t="str">
        <f t="shared" si="35"/>
        <v>y</v>
      </c>
      <c r="E111" s="4">
        <f t="shared" si="32"/>
        <v>0.47711444225500932</v>
      </c>
      <c r="F111" s="1">
        <f t="shared" ref="F111:G121" si="38">IF($D111="y",B111,NA())</f>
        <v>4.4194173824159213</v>
      </c>
      <c r="G111" s="1">
        <f t="shared" si="38"/>
        <v>-4.4194173824159222</v>
      </c>
      <c r="H111">
        <f t="shared" si="33"/>
        <v>-0.15140697609079823</v>
      </c>
      <c r="I111">
        <f t="shared" ref="I111:I121" si="39">H111*C111</f>
        <v>0.66913062195470563</v>
      </c>
      <c r="J111">
        <f t="shared" ref="J111:J121" si="40">H111*B111*-1</f>
        <v>0.66913062195470552</v>
      </c>
      <c r="K111">
        <f ca="1">H111/$B$55</f>
        <v>-1.0670065569456322</v>
      </c>
      <c r="L111">
        <f t="shared" ref="L111:L121" ca="1" si="41">K111/$B$54</f>
        <v>-3.6793329549849383E-5</v>
      </c>
      <c r="M111">
        <f t="shared" si="34"/>
        <v>-3.6793320046395166E-5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-7.7781745930520225</v>
      </c>
      <c r="C112" s="1">
        <f t="shared" si="37"/>
        <v>-3.8890872965260104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-7.7781745930520225</v>
      </c>
      <c r="C113" s="1">
        <f t="shared" si="37"/>
        <v>-3.8890872965260104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-7.7781745930520225</v>
      </c>
      <c r="C114" s="1">
        <f t="shared" si="37"/>
        <v>-3.8890872965260104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-7.7781745930520225</v>
      </c>
      <c r="C115" s="1">
        <f t="shared" si="37"/>
        <v>-3.8890872965260104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-7.7781745930520225</v>
      </c>
      <c r="C116" s="1">
        <f t="shared" si="37"/>
        <v>-3.8890872965260104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-7.7781745930520225</v>
      </c>
      <c r="C117" s="1">
        <f t="shared" si="37"/>
        <v>-3.8890872965260104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-7.7781745930520225</v>
      </c>
      <c r="C118" s="1">
        <f t="shared" si="37"/>
        <v>-3.8890872965260104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-7.7781745930520225</v>
      </c>
      <c r="C119" s="1">
        <f t="shared" si="37"/>
        <v>-3.8890872965260104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-7.7781745930520225</v>
      </c>
      <c r="C120" s="1">
        <f t="shared" si="37"/>
        <v>-3.8890872965260104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-7.7781745930520225</v>
      </c>
      <c r="C121" s="1">
        <f t="shared" si="37"/>
        <v>-3.8890872965260104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0.47711444225500932</v>
      </c>
      <c r="H122">
        <f>SUM(H110:H121)</f>
        <v>-0.30281395218159618</v>
      </c>
      <c r="I122">
        <f t="shared" ref="I122:J122" si="46">SUM(I110:I121)</f>
        <v>1.3382612439094099</v>
      </c>
      <c r="J122">
        <f t="shared" si="46"/>
        <v>1.1102230246251565E-15</v>
      </c>
      <c r="L122">
        <f ca="1">MIN(L110:L121)</f>
        <v>-3.6793329549849383E-5</v>
      </c>
      <c r="M122">
        <f>MIN(M110:M121)</f>
        <v>-3.6793320046395166E-5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-3.9423029401609129</v>
      </c>
      <c r="F125" s="1" t="s">
        <v>27</v>
      </c>
      <c r="G125" s="1" t="s">
        <v>28</v>
      </c>
    </row>
    <row r="126" spans="1:16" x14ac:dyDescent="0.25">
      <c r="F126" s="4">
        <f>MIN(B84:B90)-1</f>
        <v>-8.7781745930520216</v>
      </c>
      <c r="G126" s="4">
        <f>B125</f>
        <v>-3.9423029401609129</v>
      </c>
    </row>
    <row r="127" spans="1:16" x14ac:dyDescent="0.25">
      <c r="F127" s="4">
        <f>MAX(B84:B90)+1</f>
        <v>8.7781745930520216</v>
      </c>
      <c r="G127" s="4">
        <f>G126</f>
        <v>-3.9423029401609129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-7.7781745930520225</v>
      </c>
      <c r="C132" s="4">
        <f>C84</f>
        <v>-3.8890872965260104</v>
      </c>
      <c r="D132" s="4">
        <f t="shared" ref="D132:E139" si="47">B85</f>
        <v>-3.8890872965260117</v>
      </c>
      <c r="E132" s="4">
        <f t="shared" si="47"/>
        <v>-7.7781745930520216</v>
      </c>
      <c r="F132" s="4">
        <f t="shared" ref="F132:F139" si="48">($B$66/$B$65)*(C132-$B$125)</f>
        <v>1.6720015663844404E-2</v>
      </c>
      <c r="G132" s="4">
        <f t="shared" ref="G132:G139" si="49">($B$66/$B$65)*(E132-$B$125)</f>
        <v>-1.2052063968417617</v>
      </c>
      <c r="H132" s="4">
        <f>IF(B132=D132,"V",(C132-E132)/(B132-D132))</f>
        <v>-1.0000000000000002</v>
      </c>
      <c r="I132" s="4">
        <f>IF(H132="V",0,(-1*B132*H132)+C132)</f>
        <v>-11.667261889578034</v>
      </c>
      <c r="J132" s="4">
        <f>IF($F132&gt;=0,B132,IF(AND($F132&lt;0,$G132&gt;=0),IF(H132="V",B132,($B$125-I132)/H132),0))</f>
        <v>-7.7781745930520225</v>
      </c>
      <c r="K132" s="4">
        <f>IF($F132&gt;=0,C132,IF(AND($F132&lt;0,$G132&gt;=0),$B$125,0))</f>
        <v>-3.8890872965260104</v>
      </c>
      <c r="L132" s="4">
        <f>IF($G132&gt;=0,D132,IF(AND($G132&lt;0,$F132&gt;=0),IF(H132="V",D132,($B$125-I132)/H132),0))</f>
        <v>-7.72495894941712</v>
      </c>
      <c r="M132" s="4">
        <f>IF($G132&gt;=0,E132,IF(AND($G132&lt;0,$F132&gt;=0),$B$125,0))</f>
        <v>-3.9423029401609129</v>
      </c>
      <c r="N132" s="4">
        <f>IF(F132&lt;0,0,F132)</f>
        <v>1.6720015663844404E-2</v>
      </c>
      <c r="O132" s="4">
        <f>IF(G132&lt;0,0,G132)</f>
        <v>0</v>
      </c>
      <c r="P132" s="4">
        <f>(1/6)*(M132-K132)*((N132*((2*J132)+L132))+(O132*(J132+(2*L132))))</f>
        <v>3.4524876023032396E-3</v>
      </c>
      <c r="Q132" s="4">
        <f>((1/12)*(M132-K132)*(N132*J132*((3*K132)+M132)+N132*L132*(K132+M132)+O132*J132*(K132+M132)+O132*L132*(K132+(3*M132))))</f>
        <v>-1.3488197799562084E-2</v>
      </c>
      <c r="R132" s="4">
        <f>((-1/24)*(M132-K132)*(J132*J132*((3*N132)+O132)+2*J132*L132*(N132+O132)+L132*L132*(N132+(3*O132))))</f>
        <v>1.3396439613515571E-2</v>
      </c>
    </row>
    <row r="133" spans="1:18" x14ac:dyDescent="0.25">
      <c r="A133" t="s">
        <v>70</v>
      </c>
      <c r="B133" s="4">
        <f t="shared" ref="B133:C138" si="50">D132</f>
        <v>-3.8890872965260117</v>
      </c>
      <c r="C133" s="4">
        <f t="shared" si="50"/>
        <v>-7.7781745930520216</v>
      </c>
      <c r="D133" s="4">
        <f t="shared" si="47"/>
        <v>0</v>
      </c>
      <c r="E133" s="4">
        <f t="shared" si="47"/>
        <v>-3.8890872965260113</v>
      </c>
      <c r="F133" s="4">
        <f t="shared" si="48"/>
        <v>-1.2052063968417617</v>
      </c>
      <c r="G133" s="4">
        <f t="shared" si="49"/>
        <v>1.6720015663844127E-2</v>
      </c>
      <c r="H133" s="4">
        <f t="shared" ref="H133:H139" si="51">IF(B133=D133,"V",(C133-E133)/(B133-D133))</f>
        <v>0.99999999999999967</v>
      </c>
      <c r="I133" s="4">
        <f t="shared" ref="I133:I139" si="52">IF(H133="V",0,(-1*B133*H133)+C133)</f>
        <v>-3.8890872965260113</v>
      </c>
      <c r="J133" s="4">
        <f t="shared" ref="J133:J139" si="53">IF($F133&gt;=0,B133,IF(AND($F133&lt;0,$G133&gt;=0),IF(H133="V",B133,($B$125-I133)/H133),0))</f>
        <v>-5.3215643634901631E-2</v>
      </c>
      <c r="K133" s="4">
        <f t="shared" ref="K133:K139" si="54">IF($F133&gt;=0,C133,IF(AND($F133&lt;0,$G133&gt;=0),$B$125,0))</f>
        <v>-3.9423029401609129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-3.8890872965260113</v>
      </c>
      <c r="N133" s="4">
        <f t="shared" ref="N133:O139" si="57">IF(F133&lt;0,0,F133)</f>
        <v>0</v>
      </c>
      <c r="O133" s="4">
        <f t="shared" si="57"/>
        <v>1.6720015663844127E-2</v>
      </c>
      <c r="P133" s="4">
        <f t="shared" ref="P133:P139" si="58">(1/6)*(M133-K133)*((N133*((2*J133)+L133))+(O133*(J133+(2*L133))))</f>
        <v>-7.8915819003211813E-6</v>
      </c>
      <c r="Q133" s="4">
        <f t="shared" ref="Q133:Q139" si="59">((1/12)*(M133-K133)*(N133*J133*((3*K133)+M133)+N133*L133*(K133+M133)+O133*J133*(K133+M133)+O133*L133*(K133+(3*M133))))</f>
        <v>3.0901028723095274E-5</v>
      </c>
      <c r="R133" s="4">
        <f t="shared" ref="R133:R139" si="60">((-1/24)*(M133-K133)*(J133*J133*((3*N133)+O133)+2*J133*L133*(N133+O133)+L133*L133*(N133+(3*O133))))</f>
        <v>-1.0498890253078296E-7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-3.8890872965260113</v>
      </c>
      <c r="D134" s="4">
        <f t="shared" si="47"/>
        <v>3.8890872965260104</v>
      </c>
      <c r="E134" s="4">
        <f t="shared" si="47"/>
        <v>-7.7781745930520225</v>
      </c>
      <c r="F134" s="4">
        <f t="shared" si="48"/>
        <v>1.6720015663844127E-2</v>
      </c>
      <c r="G134" s="4">
        <f t="shared" si="49"/>
        <v>-1.2052063968417619</v>
      </c>
      <c r="H134" s="4">
        <f t="shared" si="51"/>
        <v>-1.0000000000000002</v>
      </c>
      <c r="I134" s="4">
        <f t="shared" si="52"/>
        <v>-3.8890872965260113</v>
      </c>
      <c r="J134" s="4">
        <f t="shared" si="53"/>
        <v>0</v>
      </c>
      <c r="K134" s="4">
        <f t="shared" si="54"/>
        <v>-3.8890872965260113</v>
      </c>
      <c r="L134" s="4">
        <f t="shared" si="55"/>
        <v>5.3215643634901597E-2</v>
      </c>
      <c r="M134" s="4">
        <f t="shared" si="56"/>
        <v>-3.9423029401609129</v>
      </c>
      <c r="N134" s="4">
        <f t="shared" si="57"/>
        <v>1.6720015663844127E-2</v>
      </c>
      <c r="O134" s="4">
        <f t="shared" si="57"/>
        <v>0</v>
      </c>
      <c r="P134" s="4">
        <f t="shared" si="58"/>
        <v>-7.8915819003211762E-6</v>
      </c>
      <c r="Q134" s="4">
        <f t="shared" si="59"/>
        <v>3.0901028723095253E-5</v>
      </c>
      <c r="R134" s="4">
        <f t="shared" si="60"/>
        <v>1.0498890253078281E-7</v>
      </c>
    </row>
    <row r="135" spans="1:18" x14ac:dyDescent="0.25">
      <c r="A135" t="s">
        <v>72</v>
      </c>
      <c r="B135" s="4">
        <f t="shared" si="50"/>
        <v>3.8890872965260104</v>
      </c>
      <c r="C135" s="4">
        <f t="shared" si="50"/>
        <v>-7.7781745930520225</v>
      </c>
      <c r="D135" s="4">
        <f t="shared" si="47"/>
        <v>7.7781745930520216</v>
      </c>
      <c r="E135" s="4">
        <f t="shared" si="47"/>
        <v>-3.8890872965260117</v>
      </c>
      <c r="F135" s="4">
        <f t="shared" si="48"/>
        <v>-1.2052063968417619</v>
      </c>
      <c r="G135" s="4">
        <f t="shared" si="49"/>
        <v>1.6720015663843988E-2</v>
      </c>
      <c r="H135" s="4">
        <f t="shared" si="51"/>
        <v>0.99999999999999989</v>
      </c>
      <c r="I135" s="4">
        <f t="shared" si="52"/>
        <v>-11.667261889578032</v>
      </c>
      <c r="J135" s="4">
        <f t="shared" si="53"/>
        <v>7.7249589494171209</v>
      </c>
      <c r="K135" s="4">
        <f t="shared" si="54"/>
        <v>-3.9423029401609129</v>
      </c>
      <c r="L135" s="4">
        <f t="shared" si="55"/>
        <v>7.7781745930520216</v>
      </c>
      <c r="M135" s="4">
        <f t="shared" si="56"/>
        <v>-3.8890872965260117</v>
      </c>
      <c r="N135" s="4">
        <f t="shared" si="57"/>
        <v>0</v>
      </c>
      <c r="O135" s="4">
        <f t="shared" si="57"/>
        <v>1.6720015663843988E-2</v>
      </c>
      <c r="P135" s="4">
        <f t="shared" si="58"/>
        <v>3.4524876023030674E-3</v>
      </c>
      <c r="Q135" s="4">
        <f t="shared" si="59"/>
        <v>-1.3488197799561414E-2</v>
      </c>
      <c r="R135" s="4">
        <f t="shared" si="60"/>
        <v>-1.3396439613514903E-2</v>
      </c>
    </row>
    <row r="136" spans="1:18" x14ac:dyDescent="0.25">
      <c r="A136" t="s">
        <v>73</v>
      </c>
      <c r="B136" s="4">
        <f t="shared" si="50"/>
        <v>7.7781745930520216</v>
      </c>
      <c r="C136" s="4">
        <f t="shared" si="50"/>
        <v>-3.8890872965260117</v>
      </c>
      <c r="D136" s="4">
        <f t="shared" si="47"/>
        <v>0</v>
      </c>
      <c r="E136" s="4">
        <f t="shared" si="47"/>
        <v>3.8890872965260113</v>
      </c>
      <c r="F136" s="4">
        <f t="shared" si="48"/>
        <v>1.6720015663843988E-2</v>
      </c>
      <c r="G136" s="4">
        <f t="shared" si="49"/>
        <v>2.4605728406750562</v>
      </c>
      <c r="H136" s="4">
        <f t="shared" si="51"/>
        <v>-1.0000000000000002</v>
      </c>
      <c r="I136" s="4">
        <f t="shared" si="52"/>
        <v>3.8890872965260117</v>
      </c>
      <c r="J136" s="4">
        <f t="shared" si="53"/>
        <v>7.7781745930520216</v>
      </c>
      <c r="K136" s="4">
        <f t="shared" si="54"/>
        <v>-3.8890872965260117</v>
      </c>
      <c r="L136" s="4">
        <f t="shared" si="55"/>
        <v>0</v>
      </c>
      <c r="M136" s="4">
        <f t="shared" si="56"/>
        <v>3.8890872965260113</v>
      </c>
      <c r="N136" s="4">
        <f t="shared" si="57"/>
        <v>1.6720015663843988E-2</v>
      </c>
      <c r="O136" s="4">
        <f t="shared" si="57"/>
        <v>2.4605728406750562</v>
      </c>
      <c r="P136" s="4">
        <f t="shared" si="58"/>
        <v>25.147963126027669</v>
      </c>
      <c r="Q136" s="4">
        <f t="shared" si="59"/>
        <v>-0.65567480520271904</v>
      </c>
      <c r="R136" s="4">
        <f t="shared" si="60"/>
        <v>-49.229149366070736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3.8890872965260113</v>
      </c>
      <c r="D137" s="4">
        <f t="shared" si="47"/>
        <v>-7.7781745930520225</v>
      </c>
      <c r="E137" s="4">
        <f t="shared" si="47"/>
        <v>-3.8890872965260104</v>
      </c>
      <c r="F137" s="4">
        <f t="shared" si="48"/>
        <v>2.4605728406750562</v>
      </c>
      <c r="G137" s="4">
        <f t="shared" si="49"/>
        <v>1.6720015663844404E-2</v>
      </c>
      <c r="H137" s="4">
        <f t="shared" si="51"/>
        <v>0.99999999999999989</v>
      </c>
      <c r="I137" s="4">
        <f t="shared" si="52"/>
        <v>3.8890872965260113</v>
      </c>
      <c r="J137" s="4">
        <f t="shared" si="53"/>
        <v>0</v>
      </c>
      <c r="K137" s="4">
        <f t="shared" si="54"/>
        <v>3.8890872965260113</v>
      </c>
      <c r="L137" s="4">
        <f t="shared" si="55"/>
        <v>-7.7781745930520225</v>
      </c>
      <c r="M137" s="4">
        <f t="shared" si="56"/>
        <v>-3.8890872965260104</v>
      </c>
      <c r="N137" s="4">
        <f t="shared" si="57"/>
        <v>2.4605728406750562</v>
      </c>
      <c r="O137" s="4">
        <f t="shared" si="57"/>
        <v>1.6720015663844404E-2</v>
      </c>
      <c r="P137" s="4">
        <f t="shared" si="58"/>
        <v>25.147963126027673</v>
      </c>
      <c r="Q137" s="4">
        <f t="shared" si="59"/>
        <v>-0.65567480520271826</v>
      </c>
      <c r="R137" s="4">
        <f t="shared" si="60"/>
        <v>49.229149366070757</v>
      </c>
    </row>
    <row r="138" spans="1:18" x14ac:dyDescent="0.25">
      <c r="A138" t="s">
        <v>75</v>
      </c>
      <c r="B138" s="4">
        <f t="shared" si="50"/>
        <v>-7.7781745930520225</v>
      </c>
      <c r="C138" s="4">
        <f t="shared" si="50"/>
        <v>-3.8890872965260104</v>
      </c>
      <c r="D138" s="4">
        <f t="shared" si="47"/>
        <v>-7.7781745930520225</v>
      </c>
      <c r="E138" s="4">
        <f t="shared" si="47"/>
        <v>-3.8890872965260104</v>
      </c>
      <c r="F138" s="4">
        <f t="shared" si="48"/>
        <v>1.6720015663844404E-2</v>
      </c>
      <c r="G138" s="4">
        <f t="shared" si="49"/>
        <v>1.6720015663844404E-2</v>
      </c>
      <c r="H138" s="4" t="str">
        <f t="shared" si="51"/>
        <v>V</v>
      </c>
      <c r="I138" s="4">
        <f t="shared" si="52"/>
        <v>0</v>
      </c>
      <c r="J138" s="4">
        <f t="shared" si="53"/>
        <v>-7.7781745930520225</v>
      </c>
      <c r="K138" s="4">
        <f t="shared" si="54"/>
        <v>-3.8890872965260104</v>
      </c>
      <c r="L138" s="4">
        <f t="shared" si="55"/>
        <v>-7.7781745930520225</v>
      </c>
      <c r="M138" s="4">
        <f t="shared" si="56"/>
        <v>-3.8890872965260104</v>
      </c>
      <c r="N138" s="4">
        <f t="shared" si="57"/>
        <v>1.6720015663844404E-2</v>
      </c>
      <c r="O138" s="4">
        <f t="shared" si="57"/>
        <v>1.6720015663844404E-2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-7.7781745930520225</v>
      </c>
      <c r="C139" s="4">
        <f>E138</f>
        <v>-3.8890872965260104</v>
      </c>
      <c r="D139" s="4">
        <f t="shared" si="47"/>
        <v>-7.7781745930520225</v>
      </c>
      <c r="E139" s="4">
        <f t="shared" si="47"/>
        <v>-3.8890872965260104</v>
      </c>
      <c r="F139" s="4">
        <f t="shared" si="48"/>
        <v>1.6720015663844404E-2</v>
      </c>
      <c r="G139" s="4">
        <f t="shared" si="49"/>
        <v>1.6720015663844404E-2</v>
      </c>
      <c r="H139" s="4" t="str">
        <f t="shared" si="51"/>
        <v>V</v>
      </c>
      <c r="I139" s="4">
        <f t="shared" si="52"/>
        <v>0</v>
      </c>
      <c r="J139" s="4">
        <f t="shared" si="53"/>
        <v>-7.7781745930520225</v>
      </c>
      <c r="K139" s="4">
        <f t="shared" si="54"/>
        <v>-3.8890872965260104</v>
      </c>
      <c r="L139" s="4">
        <f t="shared" si="55"/>
        <v>-7.7781745930520225</v>
      </c>
      <c r="M139" s="4">
        <f t="shared" si="56"/>
        <v>-3.8890872965260104</v>
      </c>
      <c r="N139" s="4">
        <f t="shared" si="57"/>
        <v>1.6720015663844404E-2</v>
      </c>
      <c r="O139" s="4">
        <f t="shared" si="57"/>
        <v>1.6720015663844404E-2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50.302815444096147</v>
      </c>
      <c r="Q140" s="4">
        <f>SUM(Q132:Q139)</f>
        <v>-1.3382642039471147</v>
      </c>
      <c r="R140" s="4">
        <f>SUM(R132:R139)</f>
        <v>2.1316282072803006E-14</v>
      </c>
    </row>
    <row r="142" spans="1:18" x14ac:dyDescent="0.25">
      <c r="O142" t="s">
        <v>96</v>
      </c>
      <c r="P142" s="1">
        <f>-1*R140/P140</f>
        <v>-4.2375922469971447E-16</v>
      </c>
    </row>
    <row r="143" spans="1:18" x14ac:dyDescent="0.25">
      <c r="O143" t="s">
        <v>97</v>
      </c>
      <c r="P143" s="1">
        <f>Q140/P140</f>
        <v>-2.6604161062006356E-2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-7.7781745930520225</v>
      </c>
      <c r="C146" s="9">
        <f>J84</f>
        <v>-3.8890872965260104</v>
      </c>
      <c r="D146" s="9">
        <f t="shared" ref="D146:E153" si="61">I85</f>
        <v>-7.7781745930520225</v>
      </c>
      <c r="E146">
        <f t="shared" si="61"/>
        <v>-3.8890872965260104</v>
      </c>
      <c r="F146" s="4">
        <f>($B$66/$B$65)*(C146-$B$125)</f>
        <v>1.6720015663844404E-2</v>
      </c>
      <c r="G146" s="4">
        <f>($B$66/$B$65)*(E146-$B$125)</f>
        <v>1.6720015663844404E-2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-7.7781745930520225</v>
      </c>
      <c r="K146" s="4">
        <f>IF($F146&gt;=0,C146,IF(AND($F146&lt;0,$G146&gt;=0),$B$125,0))</f>
        <v>-3.8890872965260104</v>
      </c>
      <c r="L146" s="4">
        <f>IF($G146&gt;=0,D146,IF(AND($G146&lt;0,$F146&gt;=0),IF(H146="V",D146,($B$125-I146)/H146),0))</f>
        <v>-7.7781745930520225</v>
      </c>
      <c r="M146" s="4">
        <f>IF($G146&gt;=0,E146,IF(AND($G146&lt;0,$F146&gt;=0),$B$125,0))</f>
        <v>-3.8890872965260104</v>
      </c>
      <c r="N146" s="4">
        <f>IF(F146&lt;0,0,F146)</f>
        <v>1.6720015663844404E-2</v>
      </c>
      <c r="O146" s="4">
        <f>IF(G146&lt;0,0,G146)</f>
        <v>1.6720015663844404E-2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-7.7781745930520225</v>
      </c>
      <c r="C147">
        <f t="shared" si="62"/>
        <v>-3.8890872965260104</v>
      </c>
      <c r="D147" s="9">
        <f t="shared" si="61"/>
        <v>-7.7781745930520225</v>
      </c>
      <c r="E147">
        <f t="shared" si="61"/>
        <v>-3.8890872965260104</v>
      </c>
      <c r="F147" s="4">
        <f t="shared" ref="F147:F153" si="63">($B$66/$B$65)*(C147-$B$125)</f>
        <v>1.6720015663844404E-2</v>
      </c>
      <c r="G147" s="4">
        <f t="shared" ref="G147:G153" si="64">($B$66/$B$65)*(E147-$B$125)</f>
        <v>1.6720015663844404E-2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-7.7781745930520225</v>
      </c>
      <c r="K147" s="4">
        <f t="shared" ref="K147:K153" si="68">IF($F147&gt;=0,C147,IF(AND($F147&lt;0,$G147&gt;=0),$B$125,0))</f>
        <v>-3.8890872965260104</v>
      </c>
      <c r="L147" s="4">
        <f t="shared" ref="L147:L153" si="69">IF($G147&gt;=0,D147,IF(AND($G147&lt;0,$F147&gt;=0),IF(H147="V",D147,($B$125-I147)/H147),0))</f>
        <v>-7.7781745930520225</v>
      </c>
      <c r="M147" s="4">
        <f t="shared" ref="M147:M153" si="70">IF($G147&gt;=0,E147,IF(AND($G147&lt;0,$F147&gt;=0),$B$125,0))</f>
        <v>-3.8890872965260104</v>
      </c>
      <c r="N147" s="4">
        <f t="shared" ref="N147:O153" si="71">IF(F147&lt;0,0,F147)</f>
        <v>1.6720015663844404E-2</v>
      </c>
      <c r="O147" s="4">
        <f t="shared" si="71"/>
        <v>1.6720015663844404E-2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-7.7781745930520225</v>
      </c>
      <c r="C148">
        <f t="shared" si="62"/>
        <v>-3.8890872965260104</v>
      </c>
      <c r="D148" s="9">
        <f t="shared" si="61"/>
        <v>-7.7781745930520225</v>
      </c>
      <c r="E148">
        <f t="shared" si="61"/>
        <v>-3.8890872965260104</v>
      </c>
      <c r="F148" s="4">
        <f t="shared" si="63"/>
        <v>1.6720015663844404E-2</v>
      </c>
      <c r="G148" s="4">
        <f t="shared" si="64"/>
        <v>1.6720015663844404E-2</v>
      </c>
      <c r="H148" s="4" t="str">
        <f t="shared" si="65"/>
        <v>V</v>
      </c>
      <c r="I148" s="4">
        <f t="shared" si="66"/>
        <v>0</v>
      </c>
      <c r="J148" s="4">
        <f t="shared" si="67"/>
        <v>-7.7781745930520225</v>
      </c>
      <c r="K148" s="4">
        <f t="shared" si="68"/>
        <v>-3.8890872965260104</v>
      </c>
      <c r="L148" s="4">
        <f t="shared" si="69"/>
        <v>-7.7781745930520225</v>
      </c>
      <c r="M148" s="4">
        <f t="shared" si="70"/>
        <v>-3.8890872965260104</v>
      </c>
      <c r="N148" s="4">
        <f t="shared" si="71"/>
        <v>1.6720015663844404E-2</v>
      </c>
      <c r="O148" s="4">
        <f t="shared" si="71"/>
        <v>1.6720015663844404E-2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-7.7781745930520225</v>
      </c>
      <c r="C149">
        <f t="shared" si="62"/>
        <v>-3.8890872965260104</v>
      </c>
      <c r="D149" s="9">
        <f t="shared" si="61"/>
        <v>-7.7781745930520225</v>
      </c>
      <c r="E149">
        <f t="shared" si="61"/>
        <v>-3.8890872965260104</v>
      </c>
      <c r="F149" s="4">
        <f t="shared" si="63"/>
        <v>1.6720015663844404E-2</v>
      </c>
      <c r="G149" s="4">
        <f t="shared" si="64"/>
        <v>1.6720015663844404E-2</v>
      </c>
      <c r="H149" s="4" t="str">
        <f t="shared" si="65"/>
        <v>V</v>
      </c>
      <c r="I149" s="4">
        <f t="shared" si="66"/>
        <v>0</v>
      </c>
      <c r="J149" s="4">
        <f t="shared" si="67"/>
        <v>-7.7781745930520225</v>
      </c>
      <c r="K149" s="4">
        <f t="shared" si="68"/>
        <v>-3.8890872965260104</v>
      </c>
      <c r="L149" s="4">
        <f t="shared" si="69"/>
        <v>-7.7781745930520225</v>
      </c>
      <c r="M149" s="4">
        <f t="shared" si="70"/>
        <v>-3.8890872965260104</v>
      </c>
      <c r="N149" s="4">
        <f t="shared" si="71"/>
        <v>1.6720015663844404E-2</v>
      </c>
      <c r="O149" s="4">
        <f t="shared" si="71"/>
        <v>1.6720015663844404E-2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-7.7781745930520225</v>
      </c>
      <c r="C150">
        <f t="shared" si="62"/>
        <v>-3.8890872965260104</v>
      </c>
      <c r="D150" s="9">
        <f t="shared" si="61"/>
        <v>-7.7781745930520225</v>
      </c>
      <c r="E150">
        <f t="shared" si="61"/>
        <v>-3.8890872965260104</v>
      </c>
      <c r="F150" s="4">
        <f t="shared" si="63"/>
        <v>1.6720015663844404E-2</v>
      </c>
      <c r="G150" s="4">
        <f t="shared" si="64"/>
        <v>1.6720015663844404E-2</v>
      </c>
      <c r="H150" s="4" t="str">
        <f t="shared" si="65"/>
        <v>V</v>
      </c>
      <c r="I150" s="4">
        <f t="shared" si="66"/>
        <v>0</v>
      </c>
      <c r="J150" s="4">
        <f t="shared" si="67"/>
        <v>-7.7781745930520225</v>
      </c>
      <c r="K150" s="4">
        <f t="shared" si="68"/>
        <v>-3.8890872965260104</v>
      </c>
      <c r="L150" s="4">
        <f t="shared" si="69"/>
        <v>-7.7781745930520225</v>
      </c>
      <c r="M150" s="4">
        <f t="shared" si="70"/>
        <v>-3.8890872965260104</v>
      </c>
      <c r="N150" s="4">
        <f t="shared" si="71"/>
        <v>1.6720015663844404E-2</v>
      </c>
      <c r="O150" s="4">
        <f t="shared" si="71"/>
        <v>1.6720015663844404E-2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-7.7781745930520225</v>
      </c>
      <c r="C151">
        <f t="shared" si="62"/>
        <v>-3.8890872965260104</v>
      </c>
      <c r="D151" s="9">
        <f t="shared" si="61"/>
        <v>-7.7781745930520225</v>
      </c>
      <c r="E151">
        <f t="shared" si="61"/>
        <v>-3.8890872965260104</v>
      </c>
      <c r="F151" s="4">
        <f t="shared" si="63"/>
        <v>1.6720015663844404E-2</v>
      </c>
      <c r="G151" s="4">
        <f t="shared" si="64"/>
        <v>1.6720015663844404E-2</v>
      </c>
      <c r="H151" s="4" t="str">
        <f t="shared" si="65"/>
        <v>V</v>
      </c>
      <c r="I151" s="4">
        <f t="shared" si="66"/>
        <v>0</v>
      </c>
      <c r="J151" s="4">
        <f t="shared" si="67"/>
        <v>-7.7781745930520225</v>
      </c>
      <c r="K151" s="4">
        <f t="shared" si="68"/>
        <v>-3.8890872965260104</v>
      </c>
      <c r="L151" s="4">
        <f t="shared" si="69"/>
        <v>-7.7781745930520225</v>
      </c>
      <c r="M151" s="4">
        <f t="shared" si="70"/>
        <v>-3.8890872965260104</v>
      </c>
      <c r="N151" s="4">
        <f t="shared" si="71"/>
        <v>1.6720015663844404E-2</v>
      </c>
      <c r="O151" s="4">
        <f t="shared" si="71"/>
        <v>1.6720015663844404E-2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-7.7781745930520225</v>
      </c>
      <c r="C152">
        <f t="shared" si="62"/>
        <v>-3.8890872965260104</v>
      </c>
      <c r="D152" s="9">
        <f t="shared" si="61"/>
        <v>-7.7781745930520225</v>
      </c>
      <c r="E152">
        <f t="shared" si="61"/>
        <v>-3.8890872965260104</v>
      </c>
      <c r="F152" s="4">
        <f t="shared" si="63"/>
        <v>1.6720015663844404E-2</v>
      </c>
      <c r="G152" s="4">
        <f t="shared" si="64"/>
        <v>1.6720015663844404E-2</v>
      </c>
      <c r="H152" s="4" t="str">
        <f t="shared" si="65"/>
        <v>V</v>
      </c>
      <c r="I152" s="4">
        <f t="shared" si="66"/>
        <v>0</v>
      </c>
      <c r="J152" s="4">
        <f t="shared" si="67"/>
        <v>-7.7781745930520225</v>
      </c>
      <c r="K152" s="4">
        <f t="shared" si="68"/>
        <v>-3.8890872965260104</v>
      </c>
      <c r="L152" s="4">
        <f t="shared" si="69"/>
        <v>-7.7781745930520225</v>
      </c>
      <c r="M152" s="4">
        <f t="shared" si="70"/>
        <v>-3.8890872965260104</v>
      </c>
      <c r="N152" s="4">
        <f t="shared" si="71"/>
        <v>1.6720015663844404E-2</v>
      </c>
      <c r="O152" s="4">
        <f t="shared" si="71"/>
        <v>1.6720015663844404E-2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-7.7781745930520225</v>
      </c>
      <c r="C153">
        <f t="shared" si="62"/>
        <v>-3.8890872965260104</v>
      </c>
      <c r="D153" s="9">
        <f t="shared" si="61"/>
        <v>-7.7781745930520225</v>
      </c>
      <c r="E153">
        <f t="shared" si="61"/>
        <v>-3.8890872965260104</v>
      </c>
      <c r="F153" s="4">
        <f t="shared" si="63"/>
        <v>1.6720015663844404E-2</v>
      </c>
      <c r="G153" s="4">
        <f t="shared" si="64"/>
        <v>1.6720015663844404E-2</v>
      </c>
      <c r="H153" s="4" t="str">
        <f t="shared" si="65"/>
        <v>V</v>
      </c>
      <c r="I153" s="4">
        <f t="shared" si="66"/>
        <v>0</v>
      </c>
      <c r="J153" s="4">
        <f t="shared" si="67"/>
        <v>-7.7781745930520225</v>
      </c>
      <c r="K153" s="4">
        <f t="shared" si="68"/>
        <v>-3.8890872965260104</v>
      </c>
      <c r="L153" s="4">
        <f t="shared" si="69"/>
        <v>-7.7781745930520225</v>
      </c>
      <c r="M153" s="4">
        <f t="shared" si="70"/>
        <v>-3.8890872965260104</v>
      </c>
      <c r="N153" s="4">
        <f t="shared" si="71"/>
        <v>1.6720015663844404E-2</v>
      </c>
      <c r="O153" s="4">
        <f t="shared" si="71"/>
        <v>1.6720015663844404E-2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50.000001491914553</v>
      </c>
      <c r="C159" t="s">
        <v>36</v>
      </c>
    </row>
    <row r="160" spans="1:18" x14ac:dyDescent="0.25">
      <c r="A160" s="1" t="s">
        <v>106</v>
      </c>
      <c r="B160" s="4">
        <f>Q140+I122+Q154-O122</f>
        <v>-2.9600377047245274E-6</v>
      </c>
      <c r="C160" t="s">
        <v>102</v>
      </c>
    </row>
    <row r="161" spans="1:9" x14ac:dyDescent="0.25">
      <c r="A161" s="1" t="s">
        <v>107</v>
      </c>
      <c r="B161" s="4">
        <f>R140+J122+R154-P122</f>
        <v>2.2426505097428162E-14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50.000001491914553</v>
      </c>
      <c r="C164" t="s">
        <v>36</v>
      </c>
      <c r="E164" s="8">
        <f>B2-B164</f>
        <v>-1.4919145527869659E-6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-2.0930627494365106E-6</v>
      </c>
      <c r="C165" t="s">
        <v>102</v>
      </c>
      <c r="E165" s="8">
        <f>B3+B165</f>
        <v>-2.0930627494365106E-6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-2.093062717720643E-6</v>
      </c>
      <c r="C166" t="s">
        <v>102</v>
      </c>
      <c r="E166" s="8">
        <f>B4+B166</f>
        <v>-2.093062717720643E-6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2.4605728406750562</v>
      </c>
      <c r="B169" s="1">
        <f ca="1">IF(E122=0,0,(MIN(H110:H121)*B65)/(B55*B56*E122))</f>
        <v>-2.4605734762236096</v>
      </c>
      <c r="C169" s="3">
        <f ca="1">A169+B169</f>
        <v>-6.3554855334047033E-7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1.1649337342311738E-8</v>
      </c>
      <c r="C175" s="27">
        <f>B65*SQRT(I175)</f>
        <v>1.1615828885034662E-7</v>
      </c>
      <c r="D175" s="27">
        <f>B66*SQRT(I175)</f>
        <v>3.6496193156806058E-8</v>
      </c>
      <c r="E175" s="27">
        <f>B67*SQRT(I175)</f>
        <v>2.2457283740406142E-9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0.78539817504678577</v>
      </c>
      <c r="C176" s="3">
        <f>B65+C175</f>
        <v>7.8313903528452133</v>
      </c>
      <c r="D176" s="3">
        <f>D175+B66</f>
        <v>2.4605728771712494</v>
      </c>
      <c r="E176" s="3">
        <f>B67+E175</f>
        <v>0.15140697833652661</v>
      </c>
      <c r="F176" s="16" t="s">
        <v>125</v>
      </c>
    </row>
    <row r="177" spans="1:13" x14ac:dyDescent="0.25">
      <c r="B177" s="27">
        <f>B176-B64</f>
        <v>1.1649337383623504E-8</v>
      </c>
      <c r="C177" s="27">
        <f>C176-B65</f>
        <v>1.1615828920952254E-7</v>
      </c>
      <c r="D177" s="27">
        <f>D176-B66</f>
        <v>3.6496193178692238E-8</v>
      </c>
      <c r="E177" s="27">
        <f>E176-B67</f>
        <v>2.2457283810339845E-9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-20.443537786034994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-7.7781745814552306</v>
      </c>
      <c r="B181" s="25">
        <f>(d_alpha_p!E136-d_alpha_m!E136)/(2*B177)</f>
        <v>0</v>
      </c>
      <c r="C181" s="25">
        <f>(d_alpha_p!E137-d_alpha_m!E137)/(2*B177)</f>
        <v>7.7781745623945238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1.4919145527869659E-6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2.0930627494365106E-6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2.093062717720643E-6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6.3554855334047033E-7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-20.443537786034994</v>
      </c>
      <c r="B190" s="25">
        <f>A181</f>
        <v>-7.7781745814552306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7.7781745623945238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-20.443537786034994</v>
      </c>
      <c r="B201" s="25">
        <f t="shared" ref="B201:C201" si="77">B190</f>
        <v>-7.7781745814552306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7.7781745623945238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0.55096418732782371</v>
      </c>
      <c r="J2" t="s">
        <v>11</v>
      </c>
    </row>
    <row r="3" spans="1:29" x14ac:dyDescent="0.25">
      <c r="A3" s="10" t="s">
        <v>79</v>
      </c>
      <c r="B3" s="17">
        <f>'Rigid Bearing Plate Analysis'!B3</f>
        <v>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 t="e">
        <f>ATAN2(B3,B4)</f>
        <v>#DIV/0!</v>
      </c>
      <c r="C5" t="s">
        <v>19</v>
      </c>
      <c r="I5">
        <f>SUM(I2:I4)</f>
        <v>0.55096418732782371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0</v>
      </c>
      <c r="AB14">
        <f>$B$4/Z14</f>
        <v>0</v>
      </c>
      <c r="AC14">
        <f>$I$2+AA14+AB14</f>
        <v>0.55096418732782371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0</v>
      </c>
      <c r="AB15">
        <f t="shared" ref="AB15:AB21" si="11">$B$4/Z15</f>
        <v>0</v>
      </c>
      <c r="AC15">
        <f t="shared" ref="AC15:AC20" si="12">$I$2+AA15+AB15</f>
        <v>0.55096418732782371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0</v>
      </c>
      <c r="AB16">
        <f t="shared" si="11"/>
        <v>0</v>
      </c>
      <c r="AC16">
        <f t="shared" si="12"/>
        <v>0.55096418732782371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</v>
      </c>
      <c r="AB17">
        <f t="shared" si="11"/>
        <v>0</v>
      </c>
      <c r="AC17">
        <f t="shared" si="12"/>
        <v>0.55096418732782371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</v>
      </c>
      <c r="AB18">
        <f t="shared" si="11"/>
        <v>0</v>
      </c>
      <c r="AC18">
        <f t="shared" si="12"/>
        <v>0.55096418732782371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0</v>
      </c>
      <c r="AB19">
        <f t="shared" si="11"/>
        <v>0</v>
      </c>
      <c r="AC19">
        <f t="shared" si="12"/>
        <v>0.55096418732782371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0</v>
      </c>
      <c r="AB20">
        <f t="shared" si="11"/>
        <v>0</v>
      </c>
      <c r="AC20">
        <f t="shared" si="12"/>
        <v>0.55096418732782371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0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0.78539816339744839</v>
      </c>
      <c r="C64" t="s">
        <v>19</v>
      </c>
      <c r="D64" t="s">
        <v>34</v>
      </c>
      <c r="H64" s="17">
        <f>DEGREES(B64)</f>
        <v>45.000000000000007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7.8313900043703493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2.4605728406750562</v>
      </c>
      <c r="C66" t="s">
        <v>11</v>
      </c>
      <c r="D66">
        <f>B66/B53</f>
        <v>6.039281603482233E-4</v>
      </c>
      <c r="I66" s="20"/>
    </row>
    <row r="67" spans="1:18" x14ac:dyDescent="0.25">
      <c r="A67" s="1" t="s">
        <v>37</v>
      </c>
      <c r="B67" s="17">
        <f>'Rigid Bearing Plate Analysis'!B67</f>
        <v>0.15140697609079823</v>
      </c>
      <c r="C67" t="s">
        <v>36</v>
      </c>
      <c r="D67" t="s">
        <v>122</v>
      </c>
      <c r="G67" s="20">
        <f ca="1">($B$56*$B$66*$B$55*$E$122)/$B$65</f>
        <v>0.15140701519798475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-8.7781745930520216</v>
      </c>
      <c r="R76">
        <f>Q76</f>
        <v>-8.7781745930520216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8.7781745930520216</v>
      </c>
      <c r="R77">
        <f>Q77</f>
        <v>8.7781745930520216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-7.7781745930520225</v>
      </c>
      <c r="C84" s="1">
        <f t="shared" ref="C84:C92" si="23">(-1*B73*SIN($B$64))+(C73*COS($B$64))</f>
        <v>-3.8890872965260104</v>
      </c>
      <c r="H84" s="1">
        <f t="shared" ref="H84:H92" si="24">H73</f>
        <v>1</v>
      </c>
      <c r="I84" s="4">
        <f>(I73*COS($B$64))+(J73*SIN($B$64))</f>
        <v>-7.7781745930520225</v>
      </c>
      <c r="J84" s="1">
        <f>(-1*I73*SIN($B$64))+(J73*COS($B$64))</f>
        <v>-3.8890872965260104</v>
      </c>
    </row>
    <row r="85" spans="1:10" x14ac:dyDescent="0.25">
      <c r="A85" s="1">
        <f t="shared" si="21"/>
        <v>2</v>
      </c>
      <c r="B85" s="4">
        <f t="shared" si="22"/>
        <v>-3.8890872965260117</v>
      </c>
      <c r="C85" s="1">
        <f t="shared" si="23"/>
        <v>-7.7781745930520216</v>
      </c>
      <c r="H85" s="1">
        <f t="shared" si="24"/>
        <v>2</v>
      </c>
      <c r="I85" s="4">
        <f t="shared" ref="I85:I92" si="25">(I74*COS($B$64))+(J74*SIN($B$64))</f>
        <v>-7.7781745930520225</v>
      </c>
      <c r="J85" s="1">
        <f t="shared" ref="J85:J92" si="26">(-1*I74*SIN($B$64))+(J74*COS($B$64))</f>
        <v>-3.8890872965260104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-3.8890872965260113</v>
      </c>
      <c r="H86" s="1">
        <f t="shared" si="24"/>
        <v>3</v>
      </c>
      <c r="I86" s="4">
        <f t="shared" si="25"/>
        <v>-7.7781745930520225</v>
      </c>
      <c r="J86" s="1">
        <f t="shared" si="26"/>
        <v>-3.8890872965260104</v>
      </c>
    </row>
    <row r="87" spans="1:10" x14ac:dyDescent="0.25">
      <c r="A87" s="1">
        <f t="shared" si="21"/>
        <v>4</v>
      </c>
      <c r="B87" s="4">
        <f t="shared" si="22"/>
        <v>3.8890872965260104</v>
      </c>
      <c r="C87" s="1">
        <f t="shared" si="23"/>
        <v>-7.7781745930520225</v>
      </c>
      <c r="H87" s="1">
        <f t="shared" si="24"/>
        <v>4</v>
      </c>
      <c r="I87" s="4">
        <f t="shared" si="25"/>
        <v>-7.7781745930520225</v>
      </c>
      <c r="J87" s="1">
        <f t="shared" si="26"/>
        <v>-3.8890872965260104</v>
      </c>
    </row>
    <row r="88" spans="1:10" x14ac:dyDescent="0.25">
      <c r="A88" s="1">
        <f t="shared" si="21"/>
        <v>5</v>
      </c>
      <c r="B88" s="4">
        <f t="shared" si="22"/>
        <v>7.7781745930520216</v>
      </c>
      <c r="C88" s="1">
        <f t="shared" si="23"/>
        <v>-3.8890872965260117</v>
      </c>
      <c r="H88" s="1">
        <f t="shared" si="24"/>
        <v>5</v>
      </c>
      <c r="I88" s="4">
        <f t="shared" si="25"/>
        <v>-7.7781745930520225</v>
      </c>
      <c r="J88" s="1">
        <f t="shared" si="26"/>
        <v>-3.8890872965260104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3.8890872965260113</v>
      </c>
      <c r="H89" s="1">
        <f t="shared" si="24"/>
        <v>6</v>
      </c>
      <c r="I89" s="4">
        <f t="shared" si="25"/>
        <v>-7.7781745930520225</v>
      </c>
      <c r="J89" s="1">
        <f t="shared" si="26"/>
        <v>-3.8890872965260104</v>
      </c>
    </row>
    <row r="90" spans="1:10" x14ac:dyDescent="0.25">
      <c r="A90" s="1">
        <f t="shared" si="21"/>
        <v>7</v>
      </c>
      <c r="B90" s="4">
        <f t="shared" si="22"/>
        <v>-7.7781745930520225</v>
      </c>
      <c r="C90" s="1">
        <f t="shared" si="23"/>
        <v>-3.8890872965260104</v>
      </c>
      <c r="H90" s="1">
        <f t="shared" si="24"/>
        <v>7</v>
      </c>
      <c r="I90" s="4">
        <f t="shared" si="25"/>
        <v>-7.7781745930520225</v>
      </c>
      <c r="J90" s="1">
        <f t="shared" si="26"/>
        <v>-3.8890872965260104</v>
      </c>
    </row>
    <row r="91" spans="1:10" x14ac:dyDescent="0.25">
      <c r="A91" s="1">
        <f t="shared" si="21"/>
        <v>8</v>
      </c>
      <c r="B91" s="4">
        <f t="shared" si="22"/>
        <v>-7.7781745930520225</v>
      </c>
      <c r="C91" s="1">
        <f t="shared" si="23"/>
        <v>-3.8890872965260104</v>
      </c>
      <c r="H91" s="1">
        <f t="shared" si="24"/>
        <v>8</v>
      </c>
      <c r="I91" s="4">
        <f t="shared" si="25"/>
        <v>-7.7781745930520225</v>
      </c>
      <c r="J91" s="1">
        <f t="shared" si="26"/>
        <v>-3.8890872965260104</v>
      </c>
    </row>
    <row r="92" spans="1:10" x14ac:dyDescent="0.25">
      <c r="A92" s="1">
        <f t="shared" si="21"/>
        <v>9</v>
      </c>
      <c r="B92" s="4">
        <f t="shared" si="22"/>
        <v>-7.7781745930520225</v>
      </c>
      <c r="C92" s="1">
        <f t="shared" si="23"/>
        <v>-3.8890872965260104</v>
      </c>
      <c r="H92" s="1">
        <f t="shared" si="24"/>
        <v>9</v>
      </c>
      <c r="I92" s="4">
        <f t="shared" si="25"/>
        <v>-7.7781745930520225</v>
      </c>
      <c r="J92" s="1">
        <f t="shared" si="26"/>
        <v>-3.8890872965260104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-4.4194173824159222</v>
      </c>
      <c r="C110" s="1">
        <f>(-1*B95*SIN($B$64))+(C95*COS($B$64))</f>
        <v>-4.4194173824159213</v>
      </c>
      <c r="D110" t="str">
        <f t="shared" ref="D110" si="31">D95</f>
        <v>y</v>
      </c>
      <c r="E110" s="4">
        <f t="shared" ref="E110:E121" si="32">IF($D110="y",$B$125-C110,0)</f>
        <v>0.4771146745715833</v>
      </c>
      <c r="F110" s="1">
        <f>IF($D110="y",B110,NA())</f>
        <v>-4.4194173824159222</v>
      </c>
      <c r="G110" s="1">
        <f>IF($D110="y",C110,NA())</f>
        <v>-4.4194173824159213</v>
      </c>
      <c r="H110">
        <f t="shared" ref="H110:H121" si="33">IF($E$122=0,0,-1*MAX(($B$67/$E$122)*(E110),0))</f>
        <v>-0.15140697609079795</v>
      </c>
      <c r="I110">
        <f>H110*C110</f>
        <v>0.6691306219547043</v>
      </c>
      <c r="J110">
        <f>H110*B110*-1</f>
        <v>-0.66913062195470441</v>
      </c>
      <c r="K110">
        <f ca="1">H110/$B$55</f>
        <v>-1.0670065569456302</v>
      </c>
      <c r="L110">
        <f ca="1">K110/$B$54</f>
        <v>-3.6793329549849315E-5</v>
      </c>
      <c r="M110">
        <f t="shared" ref="M110:M121" si="34">IFERROR(($D$66/$B$65)*(G110-$B$125),0)</f>
        <v>-3.6793339053266127E-5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4.4194173824159213</v>
      </c>
      <c r="C111" s="1">
        <f t="shared" ref="C111:C121" si="37">(-1*B96*SIN($B$64))+(C96*COS($B$64))</f>
        <v>-4.4194173824159222</v>
      </c>
      <c r="D111" t="str">
        <f t="shared" si="35"/>
        <v>y</v>
      </c>
      <c r="E111" s="4">
        <f t="shared" si="32"/>
        <v>0.47711467457158419</v>
      </c>
      <c r="F111" s="1">
        <f t="shared" ref="F111:G121" si="38">IF($D111="y",B111,NA())</f>
        <v>4.4194173824159213</v>
      </c>
      <c r="G111" s="1">
        <f t="shared" si="38"/>
        <v>-4.4194173824159222</v>
      </c>
      <c r="H111">
        <f t="shared" si="33"/>
        <v>-0.15140697609079823</v>
      </c>
      <c r="I111">
        <f t="shared" ref="I111:I121" si="39">H111*C111</f>
        <v>0.66913062195470563</v>
      </c>
      <c r="J111">
        <f t="shared" ref="J111:J121" si="40">H111*B111*-1</f>
        <v>0.66913062195470552</v>
      </c>
      <c r="K111">
        <f ca="1">H111/$B$55</f>
        <v>-1.0670065569456322</v>
      </c>
      <c r="L111">
        <f t="shared" ref="L111:L121" ca="1" si="41">K111/$B$54</f>
        <v>-3.6793329549849383E-5</v>
      </c>
      <c r="M111">
        <f t="shared" si="34"/>
        <v>-3.6793339053266194E-5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-7.7781745930520225</v>
      </c>
      <c r="C112" s="1">
        <f t="shared" si="37"/>
        <v>-3.8890872965260104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-7.7781745930520225</v>
      </c>
      <c r="C113" s="1">
        <f t="shared" si="37"/>
        <v>-3.8890872965260104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-7.7781745930520225</v>
      </c>
      <c r="C114" s="1">
        <f t="shared" si="37"/>
        <v>-3.8890872965260104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-7.7781745930520225</v>
      </c>
      <c r="C115" s="1">
        <f t="shared" si="37"/>
        <v>-3.8890872965260104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-7.7781745930520225</v>
      </c>
      <c r="C116" s="1">
        <f t="shared" si="37"/>
        <v>-3.8890872965260104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-7.7781745930520225</v>
      </c>
      <c r="C117" s="1">
        <f t="shared" si="37"/>
        <v>-3.8890872965260104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-7.7781745930520225</v>
      </c>
      <c r="C118" s="1">
        <f t="shared" si="37"/>
        <v>-3.8890872965260104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-7.7781745930520225</v>
      </c>
      <c r="C119" s="1">
        <f t="shared" si="37"/>
        <v>-3.8890872965260104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-7.7781745930520225</v>
      </c>
      <c r="C120" s="1">
        <f t="shared" si="37"/>
        <v>-3.8890872965260104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-7.7781745930520225</v>
      </c>
      <c r="C121" s="1">
        <f t="shared" si="37"/>
        <v>-3.8890872965260104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0.47711467457158419</v>
      </c>
      <c r="H122">
        <f>SUM(H110:H121)</f>
        <v>-0.30281395218159618</v>
      </c>
      <c r="I122">
        <f t="shared" ref="I122:J122" si="46">SUM(I110:I121)</f>
        <v>1.3382612439094099</v>
      </c>
      <c r="J122">
        <f t="shared" si="46"/>
        <v>1.1102230246251565E-15</v>
      </c>
      <c r="L122">
        <f ca="1">MIN(L110:L121)</f>
        <v>-3.6793329549849383E-5</v>
      </c>
      <c r="M122">
        <f>MIN(M110:M121)</f>
        <v>-3.6793339053266194E-5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-3.942302707844338</v>
      </c>
      <c r="F125" s="1" t="s">
        <v>27</v>
      </c>
      <c r="G125" s="1" t="s">
        <v>28</v>
      </c>
    </row>
    <row r="126" spans="1:16" x14ac:dyDescent="0.25">
      <c r="F126" s="4">
        <f>MIN(B84:B90)-1</f>
        <v>-8.7781745930520216</v>
      </c>
      <c r="G126" s="4">
        <f>B125</f>
        <v>-3.942302707844338</v>
      </c>
    </row>
    <row r="127" spans="1:16" x14ac:dyDescent="0.25">
      <c r="F127" s="4">
        <f>MAX(B84:B90)+1</f>
        <v>8.7781745930520216</v>
      </c>
      <c r="G127" s="4">
        <f>G126</f>
        <v>-3.942302707844338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-7.7781745930520225</v>
      </c>
      <c r="C132" s="4">
        <f>C84</f>
        <v>-3.8890872965260104</v>
      </c>
      <c r="D132" s="4">
        <f t="shared" ref="D132:E139" si="47">B85</f>
        <v>-3.8890872965260117</v>
      </c>
      <c r="E132" s="4">
        <f t="shared" si="47"/>
        <v>-7.7781745930520216</v>
      </c>
      <c r="F132" s="4">
        <f t="shared" ref="F132:F139" si="48">($B$66/$B$65)*(C132-$B$125)</f>
        <v>1.6719943167452643E-2</v>
      </c>
      <c r="G132" s="4">
        <f t="shared" ref="G132:G139" si="49">($B$66/$B$65)*(E132-$B$125)</f>
        <v>-1.2052065055863492</v>
      </c>
      <c r="H132" s="4">
        <f>IF(B132=D132,"V",(C132-E132)/(B132-D132))</f>
        <v>-1.0000000000000002</v>
      </c>
      <c r="I132" s="4">
        <f>IF(H132="V",0,(-1*B132*H132)+C132)</f>
        <v>-11.667261889578034</v>
      </c>
      <c r="J132" s="4">
        <f>IF($F132&gt;=0,B132,IF(AND($F132&lt;0,$G132&gt;=0),IF(H132="V",B132,($B$125-I132)/H132),0))</f>
        <v>-7.7781745930520225</v>
      </c>
      <c r="K132" s="4">
        <f>IF($F132&gt;=0,C132,IF(AND($F132&lt;0,$G132&gt;=0),$B$125,0))</f>
        <v>-3.8890872965260104</v>
      </c>
      <c r="L132" s="4">
        <f>IF($G132&gt;=0,D132,IF(AND($G132&lt;0,$F132&gt;=0),IF(H132="V",D132,($B$125-I132)/H132),0))</f>
        <v>-7.7249591817336949</v>
      </c>
      <c r="M132" s="4">
        <f>IF($G132&gt;=0,E132,IF(AND($G132&lt;0,$F132&gt;=0),$B$125,0))</f>
        <v>-3.942302707844338</v>
      </c>
      <c r="N132" s="4">
        <f>IF(F132&lt;0,0,F132)</f>
        <v>1.6719943167452643E-2</v>
      </c>
      <c r="O132" s="4">
        <f>IF(G132&lt;0,0,G132)</f>
        <v>0</v>
      </c>
      <c r="P132" s="4">
        <f>(1/6)*(M132-K132)*((N132*((2*J132)+L132))+(O132*(J132+(2*L132))))</f>
        <v>3.4524575950893384E-3</v>
      </c>
      <c r="Q132" s="4">
        <f>((1/12)*(M132-K132)*(N132*J132*((3*K132)+M132)+N132*L132*(K132+M132)+O132*J132*(K132+M132)+O132*L132*(K132+(3*M132))))</f>
        <v>-1.3488080300469069E-2</v>
      </c>
      <c r="R132" s="4">
        <f>((-1/24)*(M132-K132)*(J132*J132*((3*N132)+O132)+2*J132*L132*(N132+O132)+L132*L132*(N132+(3*O132))))</f>
        <v>1.33963233120505E-2</v>
      </c>
    </row>
    <row r="133" spans="1:18" x14ac:dyDescent="0.25">
      <c r="A133" t="s">
        <v>70</v>
      </c>
      <c r="B133" s="4">
        <f t="shared" ref="B133:C138" si="50">D132</f>
        <v>-3.8890872965260117</v>
      </c>
      <c r="C133" s="4">
        <f t="shared" si="50"/>
        <v>-7.7781745930520216</v>
      </c>
      <c r="D133" s="4">
        <f t="shared" si="47"/>
        <v>0</v>
      </c>
      <c r="E133" s="4">
        <f t="shared" si="47"/>
        <v>-3.8890872965260113</v>
      </c>
      <c r="F133" s="4">
        <f t="shared" si="48"/>
        <v>-1.2052065055863492</v>
      </c>
      <c r="G133" s="4">
        <f t="shared" si="49"/>
        <v>1.6719943167452365E-2</v>
      </c>
      <c r="H133" s="4">
        <f t="shared" ref="H133:H139" si="51">IF(B133=D133,"V",(C133-E133)/(B133-D133))</f>
        <v>0.99999999999999967</v>
      </c>
      <c r="I133" s="4">
        <f t="shared" ref="I133:I139" si="52">IF(H133="V",0,(-1*B133*H133)+C133)</f>
        <v>-3.8890872965260113</v>
      </c>
      <c r="J133" s="4">
        <f t="shared" ref="J133:J139" si="53">IF($F133&gt;=0,B133,IF(AND($F133&lt;0,$G133&gt;=0),IF(H133="V",B133,($B$125-I133)/H133),0))</f>
        <v>-5.3215411318326765E-2</v>
      </c>
      <c r="K133" s="4">
        <f t="shared" ref="K133:K139" si="54">IF($F133&gt;=0,C133,IF(AND($F133&lt;0,$G133&gt;=0),$B$125,0))</f>
        <v>-3.942302707844338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-3.8890872965260113</v>
      </c>
      <c r="N133" s="4">
        <f t="shared" ref="N133:O139" si="57">IF(F133&lt;0,0,F133)</f>
        <v>0</v>
      </c>
      <c r="O133" s="4">
        <f t="shared" si="57"/>
        <v>1.6719943167452365E-2</v>
      </c>
      <c r="P133" s="4">
        <f t="shared" ref="P133:P139" si="58">(1/6)*(M133-K133)*((N133*((2*J133)+L133))+(O133*(J133+(2*L133))))</f>
        <v>-7.8914787811307926E-6</v>
      </c>
      <c r="Q133" s="4">
        <f t="shared" ref="Q133:Q139" si="59">((1/12)*(M133-K133)*(N133*J133*((3*K133)+M133)+N133*L133*(K133+M133)+O133*J133*(K133+M133)+O133*L133*(K133+(3*M133))))</f>
        <v>3.0900624023124195E-5</v>
      </c>
      <c r="R133" s="4">
        <f t="shared" ref="R133:R139" si="60">((-1/24)*(M133-K133)*(J133*J133*((3*N133)+O133)+2*J133*L133*(N133+O133)+L133*L133*(N133+(3*O133))))</f>
        <v>-1.0498707231193074E-7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-3.8890872965260113</v>
      </c>
      <c r="D134" s="4">
        <f t="shared" si="47"/>
        <v>3.8890872965260104</v>
      </c>
      <c r="E134" s="4">
        <f t="shared" si="47"/>
        <v>-7.7781745930520225</v>
      </c>
      <c r="F134" s="4">
        <f t="shared" si="48"/>
        <v>1.6719943167452365E-2</v>
      </c>
      <c r="G134" s="4">
        <f t="shared" si="49"/>
        <v>-1.2052065055863495</v>
      </c>
      <c r="H134" s="4">
        <f t="shared" si="51"/>
        <v>-1.0000000000000002</v>
      </c>
      <c r="I134" s="4">
        <f t="shared" si="52"/>
        <v>-3.8890872965260113</v>
      </c>
      <c r="J134" s="4">
        <f t="shared" si="53"/>
        <v>0</v>
      </c>
      <c r="K134" s="4">
        <f t="shared" si="54"/>
        <v>-3.8890872965260113</v>
      </c>
      <c r="L134" s="4">
        <f t="shared" si="55"/>
        <v>5.321541131832673E-2</v>
      </c>
      <c r="M134" s="4">
        <f t="shared" si="56"/>
        <v>-3.942302707844338</v>
      </c>
      <c r="N134" s="4">
        <f t="shared" si="57"/>
        <v>1.6719943167452365E-2</v>
      </c>
      <c r="O134" s="4">
        <f t="shared" si="57"/>
        <v>0</v>
      </c>
      <c r="P134" s="4">
        <f t="shared" si="58"/>
        <v>-7.8914787811307859E-6</v>
      </c>
      <c r="Q134" s="4">
        <f t="shared" si="59"/>
        <v>3.0900624023124168E-5</v>
      </c>
      <c r="R134" s="4">
        <f t="shared" si="60"/>
        <v>1.0498707231193063E-7</v>
      </c>
    </row>
    <row r="135" spans="1:18" x14ac:dyDescent="0.25">
      <c r="A135" t="s">
        <v>72</v>
      </c>
      <c r="B135" s="4">
        <f t="shared" si="50"/>
        <v>3.8890872965260104</v>
      </c>
      <c r="C135" s="4">
        <f t="shared" si="50"/>
        <v>-7.7781745930520225</v>
      </c>
      <c r="D135" s="4">
        <f t="shared" si="47"/>
        <v>7.7781745930520216</v>
      </c>
      <c r="E135" s="4">
        <f t="shared" si="47"/>
        <v>-3.8890872965260117</v>
      </c>
      <c r="F135" s="4">
        <f t="shared" si="48"/>
        <v>-1.2052065055863495</v>
      </c>
      <c r="G135" s="4">
        <f t="shared" si="49"/>
        <v>1.6719943167452227E-2</v>
      </c>
      <c r="H135" s="4">
        <f t="shared" si="51"/>
        <v>0.99999999999999989</v>
      </c>
      <c r="I135" s="4">
        <f t="shared" si="52"/>
        <v>-11.667261889578032</v>
      </c>
      <c r="J135" s="4">
        <f t="shared" si="53"/>
        <v>7.7249591817336958</v>
      </c>
      <c r="K135" s="4">
        <f t="shared" si="54"/>
        <v>-3.942302707844338</v>
      </c>
      <c r="L135" s="4">
        <f t="shared" si="55"/>
        <v>7.7781745930520216</v>
      </c>
      <c r="M135" s="4">
        <f t="shared" si="56"/>
        <v>-3.8890872965260117</v>
      </c>
      <c r="N135" s="4">
        <f t="shared" si="57"/>
        <v>0</v>
      </c>
      <c r="O135" s="4">
        <f t="shared" si="57"/>
        <v>1.6719943167452227E-2</v>
      </c>
      <c r="P135" s="4">
        <f t="shared" si="58"/>
        <v>3.4524575950891658E-3</v>
      </c>
      <c r="Q135" s="4">
        <f t="shared" si="59"/>
        <v>-1.3488080300468398E-2</v>
      </c>
      <c r="R135" s="4">
        <f t="shared" si="60"/>
        <v>-1.3396323312049832E-2</v>
      </c>
    </row>
    <row r="136" spans="1:18" x14ac:dyDescent="0.25">
      <c r="A136" t="s">
        <v>73</v>
      </c>
      <c r="B136" s="4">
        <f t="shared" si="50"/>
        <v>7.7781745930520216</v>
      </c>
      <c r="C136" s="4">
        <f t="shared" si="50"/>
        <v>-3.8890872965260117</v>
      </c>
      <c r="D136" s="4">
        <f t="shared" si="47"/>
        <v>0</v>
      </c>
      <c r="E136" s="4">
        <f t="shared" si="47"/>
        <v>3.8890872965260113</v>
      </c>
      <c r="F136" s="4">
        <f t="shared" si="48"/>
        <v>1.6719943167452227E-2</v>
      </c>
      <c r="G136" s="4">
        <f t="shared" si="49"/>
        <v>2.4605728406750562</v>
      </c>
      <c r="H136" s="4">
        <f t="shared" si="51"/>
        <v>-1.0000000000000002</v>
      </c>
      <c r="I136" s="4">
        <f t="shared" si="52"/>
        <v>3.8890872965260117</v>
      </c>
      <c r="J136" s="4">
        <f t="shared" si="53"/>
        <v>7.7781745930520216</v>
      </c>
      <c r="K136" s="4">
        <f t="shared" si="54"/>
        <v>-3.8890872965260117</v>
      </c>
      <c r="L136" s="4">
        <f t="shared" si="55"/>
        <v>0</v>
      </c>
      <c r="M136" s="4">
        <f t="shared" si="56"/>
        <v>3.8890872965260113</v>
      </c>
      <c r="N136" s="4">
        <f t="shared" si="57"/>
        <v>1.6719943167452227E-2</v>
      </c>
      <c r="O136" s="4">
        <f t="shared" si="57"/>
        <v>2.4605728406750562</v>
      </c>
      <c r="P136" s="4">
        <f t="shared" si="58"/>
        <v>25.1479616640171</v>
      </c>
      <c r="Q136" s="4">
        <f t="shared" si="59"/>
        <v>-0.65567196225935687</v>
      </c>
      <c r="R136" s="4">
        <f t="shared" si="60"/>
        <v>-49.229145101655696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3.8890872965260113</v>
      </c>
      <c r="D137" s="4">
        <f t="shared" si="47"/>
        <v>-7.7781745930520225</v>
      </c>
      <c r="E137" s="4">
        <f t="shared" si="47"/>
        <v>-3.8890872965260104</v>
      </c>
      <c r="F137" s="4">
        <f t="shared" si="48"/>
        <v>2.4605728406750562</v>
      </c>
      <c r="G137" s="4">
        <f t="shared" si="49"/>
        <v>1.6719943167452643E-2</v>
      </c>
      <c r="H137" s="4">
        <f t="shared" si="51"/>
        <v>0.99999999999999989</v>
      </c>
      <c r="I137" s="4">
        <f t="shared" si="52"/>
        <v>3.8890872965260113</v>
      </c>
      <c r="J137" s="4">
        <f t="shared" si="53"/>
        <v>0</v>
      </c>
      <c r="K137" s="4">
        <f t="shared" si="54"/>
        <v>3.8890872965260113</v>
      </c>
      <c r="L137" s="4">
        <f t="shared" si="55"/>
        <v>-7.7781745930520225</v>
      </c>
      <c r="M137" s="4">
        <f t="shared" si="56"/>
        <v>-3.8890872965260104</v>
      </c>
      <c r="N137" s="4">
        <f t="shared" si="57"/>
        <v>2.4605728406750562</v>
      </c>
      <c r="O137" s="4">
        <f t="shared" si="57"/>
        <v>1.6719943167452643E-2</v>
      </c>
      <c r="P137" s="4">
        <f t="shared" si="58"/>
        <v>25.147961664017103</v>
      </c>
      <c r="Q137" s="4">
        <f t="shared" si="59"/>
        <v>-0.65567196225935609</v>
      </c>
      <c r="R137" s="4">
        <f t="shared" si="60"/>
        <v>49.229145101655703</v>
      </c>
    </row>
    <row r="138" spans="1:18" x14ac:dyDescent="0.25">
      <c r="A138" t="s">
        <v>75</v>
      </c>
      <c r="B138" s="4">
        <f t="shared" si="50"/>
        <v>-7.7781745930520225</v>
      </c>
      <c r="C138" s="4">
        <f t="shared" si="50"/>
        <v>-3.8890872965260104</v>
      </c>
      <c r="D138" s="4">
        <f t="shared" si="47"/>
        <v>-7.7781745930520225</v>
      </c>
      <c r="E138" s="4">
        <f t="shared" si="47"/>
        <v>-3.8890872965260104</v>
      </c>
      <c r="F138" s="4">
        <f t="shared" si="48"/>
        <v>1.6719943167452643E-2</v>
      </c>
      <c r="G138" s="4">
        <f t="shared" si="49"/>
        <v>1.6719943167452643E-2</v>
      </c>
      <c r="H138" s="4" t="str">
        <f t="shared" si="51"/>
        <v>V</v>
      </c>
      <c r="I138" s="4">
        <f t="shared" si="52"/>
        <v>0</v>
      </c>
      <c r="J138" s="4">
        <f t="shared" si="53"/>
        <v>-7.7781745930520225</v>
      </c>
      <c r="K138" s="4">
        <f t="shared" si="54"/>
        <v>-3.8890872965260104</v>
      </c>
      <c r="L138" s="4">
        <f t="shared" si="55"/>
        <v>-7.7781745930520225</v>
      </c>
      <c r="M138" s="4">
        <f t="shared" si="56"/>
        <v>-3.8890872965260104</v>
      </c>
      <c r="N138" s="4">
        <f t="shared" si="57"/>
        <v>1.6719943167452643E-2</v>
      </c>
      <c r="O138" s="4">
        <f t="shared" si="57"/>
        <v>1.6719943167452643E-2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-7.7781745930520225</v>
      </c>
      <c r="C139" s="4">
        <f>E138</f>
        <v>-3.8890872965260104</v>
      </c>
      <c r="D139" s="4">
        <f t="shared" si="47"/>
        <v>-7.7781745930520225</v>
      </c>
      <c r="E139" s="4">
        <f t="shared" si="47"/>
        <v>-3.8890872965260104</v>
      </c>
      <c r="F139" s="4">
        <f t="shared" si="48"/>
        <v>1.6719943167452643E-2</v>
      </c>
      <c r="G139" s="4">
        <f t="shared" si="49"/>
        <v>1.6719943167452643E-2</v>
      </c>
      <c r="H139" s="4" t="str">
        <f t="shared" si="51"/>
        <v>V</v>
      </c>
      <c r="I139" s="4">
        <f t="shared" si="52"/>
        <v>0</v>
      </c>
      <c r="J139" s="4">
        <f t="shared" si="53"/>
        <v>-7.7781745930520225</v>
      </c>
      <c r="K139" s="4">
        <f t="shared" si="54"/>
        <v>-3.8890872965260104</v>
      </c>
      <c r="L139" s="4">
        <f t="shared" si="55"/>
        <v>-7.7781745930520225</v>
      </c>
      <c r="M139" s="4">
        <f t="shared" si="56"/>
        <v>-3.8890872965260104</v>
      </c>
      <c r="N139" s="4">
        <f t="shared" si="57"/>
        <v>1.6719943167452643E-2</v>
      </c>
      <c r="O139" s="4">
        <f t="shared" si="57"/>
        <v>1.6719943167452643E-2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50.302812460266821</v>
      </c>
      <c r="Q140" s="4">
        <f>SUM(Q132:Q139)</f>
        <v>-1.3382582838716042</v>
      </c>
      <c r="R140" s="4">
        <f>SUM(R132:R139)</f>
        <v>7.1054273576010019E-15</v>
      </c>
    </row>
    <row r="142" spans="1:18" x14ac:dyDescent="0.25">
      <c r="O142" t="s">
        <v>96</v>
      </c>
      <c r="P142" s="1">
        <f>-1*R140/P140</f>
        <v>-1.4125308327866233E-16</v>
      </c>
    </row>
    <row r="143" spans="1:18" x14ac:dyDescent="0.25">
      <c r="O143" t="s">
        <v>97</v>
      </c>
      <c r="P143" s="1">
        <f>Q140/P140</f>
        <v>-2.6604044951336815E-2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-7.7781745930520225</v>
      </c>
      <c r="C146" s="9">
        <f>J84</f>
        <v>-3.8890872965260104</v>
      </c>
      <c r="D146" s="9">
        <f t="shared" ref="D146:E153" si="61">I85</f>
        <v>-7.7781745930520225</v>
      </c>
      <c r="E146">
        <f t="shared" si="61"/>
        <v>-3.8890872965260104</v>
      </c>
      <c r="F146" s="4">
        <f>($B$66/$B$65)*(C146-$B$125)</f>
        <v>1.6719943167452643E-2</v>
      </c>
      <c r="G146" s="4">
        <f>($B$66/$B$65)*(E146-$B$125)</f>
        <v>1.6719943167452643E-2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-7.7781745930520225</v>
      </c>
      <c r="K146" s="4">
        <f>IF($F146&gt;=0,C146,IF(AND($F146&lt;0,$G146&gt;=0),$B$125,0))</f>
        <v>-3.8890872965260104</v>
      </c>
      <c r="L146" s="4">
        <f>IF($G146&gt;=0,D146,IF(AND($G146&lt;0,$F146&gt;=0),IF(H146="V",D146,($B$125-I146)/H146),0))</f>
        <v>-7.7781745930520225</v>
      </c>
      <c r="M146" s="4">
        <f>IF($G146&gt;=0,E146,IF(AND($G146&lt;0,$F146&gt;=0),$B$125,0))</f>
        <v>-3.8890872965260104</v>
      </c>
      <c r="N146" s="4">
        <f>IF(F146&lt;0,0,F146)</f>
        <v>1.6719943167452643E-2</v>
      </c>
      <c r="O146" s="4">
        <f>IF(G146&lt;0,0,G146)</f>
        <v>1.6719943167452643E-2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-7.7781745930520225</v>
      </c>
      <c r="C147">
        <f t="shared" si="62"/>
        <v>-3.8890872965260104</v>
      </c>
      <c r="D147" s="9">
        <f t="shared" si="61"/>
        <v>-7.7781745930520225</v>
      </c>
      <c r="E147">
        <f t="shared" si="61"/>
        <v>-3.8890872965260104</v>
      </c>
      <c r="F147" s="4">
        <f t="shared" ref="F147:F153" si="63">($B$66/$B$65)*(C147-$B$125)</f>
        <v>1.6719943167452643E-2</v>
      </c>
      <c r="G147" s="4">
        <f t="shared" ref="G147:G153" si="64">($B$66/$B$65)*(E147-$B$125)</f>
        <v>1.6719943167452643E-2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-7.7781745930520225</v>
      </c>
      <c r="K147" s="4">
        <f t="shared" ref="K147:K153" si="68">IF($F147&gt;=0,C147,IF(AND($F147&lt;0,$G147&gt;=0),$B$125,0))</f>
        <v>-3.8890872965260104</v>
      </c>
      <c r="L147" s="4">
        <f t="shared" ref="L147:L153" si="69">IF($G147&gt;=0,D147,IF(AND($G147&lt;0,$F147&gt;=0),IF(H147="V",D147,($B$125-I147)/H147),0))</f>
        <v>-7.7781745930520225</v>
      </c>
      <c r="M147" s="4">
        <f t="shared" ref="M147:M153" si="70">IF($G147&gt;=0,E147,IF(AND($G147&lt;0,$F147&gt;=0),$B$125,0))</f>
        <v>-3.8890872965260104</v>
      </c>
      <c r="N147" s="4">
        <f t="shared" ref="N147:O153" si="71">IF(F147&lt;0,0,F147)</f>
        <v>1.6719943167452643E-2</v>
      </c>
      <c r="O147" s="4">
        <f t="shared" si="71"/>
        <v>1.6719943167452643E-2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-7.7781745930520225</v>
      </c>
      <c r="C148">
        <f t="shared" si="62"/>
        <v>-3.8890872965260104</v>
      </c>
      <c r="D148" s="9">
        <f t="shared" si="61"/>
        <v>-7.7781745930520225</v>
      </c>
      <c r="E148">
        <f t="shared" si="61"/>
        <v>-3.8890872965260104</v>
      </c>
      <c r="F148" s="4">
        <f t="shared" si="63"/>
        <v>1.6719943167452643E-2</v>
      </c>
      <c r="G148" s="4">
        <f t="shared" si="64"/>
        <v>1.6719943167452643E-2</v>
      </c>
      <c r="H148" s="4" t="str">
        <f t="shared" si="65"/>
        <v>V</v>
      </c>
      <c r="I148" s="4">
        <f t="shared" si="66"/>
        <v>0</v>
      </c>
      <c r="J148" s="4">
        <f t="shared" si="67"/>
        <v>-7.7781745930520225</v>
      </c>
      <c r="K148" s="4">
        <f t="shared" si="68"/>
        <v>-3.8890872965260104</v>
      </c>
      <c r="L148" s="4">
        <f t="shared" si="69"/>
        <v>-7.7781745930520225</v>
      </c>
      <c r="M148" s="4">
        <f t="shared" si="70"/>
        <v>-3.8890872965260104</v>
      </c>
      <c r="N148" s="4">
        <f t="shared" si="71"/>
        <v>1.6719943167452643E-2</v>
      </c>
      <c r="O148" s="4">
        <f t="shared" si="71"/>
        <v>1.6719943167452643E-2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-7.7781745930520225</v>
      </c>
      <c r="C149">
        <f t="shared" si="62"/>
        <v>-3.8890872965260104</v>
      </c>
      <c r="D149" s="9">
        <f t="shared" si="61"/>
        <v>-7.7781745930520225</v>
      </c>
      <c r="E149">
        <f t="shared" si="61"/>
        <v>-3.8890872965260104</v>
      </c>
      <c r="F149" s="4">
        <f t="shared" si="63"/>
        <v>1.6719943167452643E-2</v>
      </c>
      <c r="G149" s="4">
        <f t="shared" si="64"/>
        <v>1.6719943167452643E-2</v>
      </c>
      <c r="H149" s="4" t="str">
        <f t="shared" si="65"/>
        <v>V</v>
      </c>
      <c r="I149" s="4">
        <f t="shared" si="66"/>
        <v>0</v>
      </c>
      <c r="J149" s="4">
        <f t="shared" si="67"/>
        <v>-7.7781745930520225</v>
      </c>
      <c r="K149" s="4">
        <f t="shared" si="68"/>
        <v>-3.8890872965260104</v>
      </c>
      <c r="L149" s="4">
        <f t="shared" si="69"/>
        <v>-7.7781745930520225</v>
      </c>
      <c r="M149" s="4">
        <f t="shared" si="70"/>
        <v>-3.8890872965260104</v>
      </c>
      <c r="N149" s="4">
        <f t="shared" si="71"/>
        <v>1.6719943167452643E-2</v>
      </c>
      <c r="O149" s="4">
        <f t="shared" si="71"/>
        <v>1.6719943167452643E-2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-7.7781745930520225</v>
      </c>
      <c r="C150">
        <f t="shared" si="62"/>
        <v>-3.8890872965260104</v>
      </c>
      <c r="D150" s="9">
        <f t="shared" si="61"/>
        <v>-7.7781745930520225</v>
      </c>
      <c r="E150">
        <f t="shared" si="61"/>
        <v>-3.8890872965260104</v>
      </c>
      <c r="F150" s="4">
        <f t="shared" si="63"/>
        <v>1.6719943167452643E-2</v>
      </c>
      <c r="G150" s="4">
        <f t="shared" si="64"/>
        <v>1.6719943167452643E-2</v>
      </c>
      <c r="H150" s="4" t="str">
        <f t="shared" si="65"/>
        <v>V</v>
      </c>
      <c r="I150" s="4">
        <f t="shared" si="66"/>
        <v>0</v>
      </c>
      <c r="J150" s="4">
        <f t="shared" si="67"/>
        <v>-7.7781745930520225</v>
      </c>
      <c r="K150" s="4">
        <f t="shared" si="68"/>
        <v>-3.8890872965260104</v>
      </c>
      <c r="L150" s="4">
        <f t="shared" si="69"/>
        <v>-7.7781745930520225</v>
      </c>
      <c r="M150" s="4">
        <f t="shared" si="70"/>
        <v>-3.8890872965260104</v>
      </c>
      <c r="N150" s="4">
        <f t="shared" si="71"/>
        <v>1.6719943167452643E-2</v>
      </c>
      <c r="O150" s="4">
        <f t="shared" si="71"/>
        <v>1.6719943167452643E-2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-7.7781745930520225</v>
      </c>
      <c r="C151">
        <f t="shared" si="62"/>
        <v>-3.8890872965260104</v>
      </c>
      <c r="D151" s="9">
        <f t="shared" si="61"/>
        <v>-7.7781745930520225</v>
      </c>
      <c r="E151">
        <f t="shared" si="61"/>
        <v>-3.8890872965260104</v>
      </c>
      <c r="F151" s="4">
        <f t="shared" si="63"/>
        <v>1.6719943167452643E-2</v>
      </c>
      <c r="G151" s="4">
        <f t="shared" si="64"/>
        <v>1.6719943167452643E-2</v>
      </c>
      <c r="H151" s="4" t="str">
        <f t="shared" si="65"/>
        <v>V</v>
      </c>
      <c r="I151" s="4">
        <f t="shared" si="66"/>
        <v>0</v>
      </c>
      <c r="J151" s="4">
        <f t="shared" si="67"/>
        <v>-7.7781745930520225</v>
      </c>
      <c r="K151" s="4">
        <f t="shared" si="68"/>
        <v>-3.8890872965260104</v>
      </c>
      <c r="L151" s="4">
        <f t="shared" si="69"/>
        <v>-7.7781745930520225</v>
      </c>
      <c r="M151" s="4">
        <f t="shared" si="70"/>
        <v>-3.8890872965260104</v>
      </c>
      <c r="N151" s="4">
        <f t="shared" si="71"/>
        <v>1.6719943167452643E-2</v>
      </c>
      <c r="O151" s="4">
        <f t="shared" si="71"/>
        <v>1.6719943167452643E-2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-7.7781745930520225</v>
      </c>
      <c r="C152">
        <f t="shared" si="62"/>
        <v>-3.8890872965260104</v>
      </c>
      <c r="D152" s="9">
        <f t="shared" si="61"/>
        <v>-7.7781745930520225</v>
      </c>
      <c r="E152">
        <f t="shared" si="61"/>
        <v>-3.8890872965260104</v>
      </c>
      <c r="F152" s="4">
        <f t="shared" si="63"/>
        <v>1.6719943167452643E-2</v>
      </c>
      <c r="G152" s="4">
        <f t="shared" si="64"/>
        <v>1.6719943167452643E-2</v>
      </c>
      <c r="H152" s="4" t="str">
        <f t="shared" si="65"/>
        <v>V</v>
      </c>
      <c r="I152" s="4">
        <f t="shared" si="66"/>
        <v>0</v>
      </c>
      <c r="J152" s="4">
        <f t="shared" si="67"/>
        <v>-7.7781745930520225</v>
      </c>
      <c r="K152" s="4">
        <f t="shared" si="68"/>
        <v>-3.8890872965260104</v>
      </c>
      <c r="L152" s="4">
        <f t="shared" si="69"/>
        <v>-7.7781745930520225</v>
      </c>
      <c r="M152" s="4">
        <f t="shared" si="70"/>
        <v>-3.8890872965260104</v>
      </c>
      <c r="N152" s="4">
        <f t="shared" si="71"/>
        <v>1.6719943167452643E-2</v>
      </c>
      <c r="O152" s="4">
        <f t="shared" si="71"/>
        <v>1.6719943167452643E-2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-7.7781745930520225</v>
      </c>
      <c r="C153">
        <f t="shared" si="62"/>
        <v>-3.8890872965260104</v>
      </c>
      <c r="D153" s="9">
        <f t="shared" si="61"/>
        <v>-7.7781745930520225</v>
      </c>
      <c r="E153">
        <f t="shared" si="61"/>
        <v>-3.8890872965260104</v>
      </c>
      <c r="F153" s="4">
        <f t="shared" si="63"/>
        <v>1.6719943167452643E-2</v>
      </c>
      <c r="G153" s="4">
        <f t="shared" si="64"/>
        <v>1.6719943167452643E-2</v>
      </c>
      <c r="H153" s="4" t="str">
        <f t="shared" si="65"/>
        <v>V</v>
      </c>
      <c r="I153" s="4">
        <f t="shared" si="66"/>
        <v>0</v>
      </c>
      <c r="J153" s="4">
        <f t="shared" si="67"/>
        <v>-7.7781745930520225</v>
      </c>
      <c r="K153" s="4">
        <f t="shared" si="68"/>
        <v>-3.8890872965260104</v>
      </c>
      <c r="L153" s="4">
        <f t="shared" si="69"/>
        <v>-7.7781745930520225</v>
      </c>
      <c r="M153" s="4">
        <f t="shared" si="70"/>
        <v>-3.8890872965260104</v>
      </c>
      <c r="N153" s="4">
        <f t="shared" si="71"/>
        <v>1.6719943167452643E-2</v>
      </c>
      <c r="O153" s="4">
        <f t="shared" si="71"/>
        <v>1.6719943167452643E-2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49.999998508085227</v>
      </c>
      <c r="C159" t="s">
        <v>36</v>
      </c>
    </row>
    <row r="160" spans="1:18" x14ac:dyDescent="0.25">
      <c r="A160" s="1" t="s">
        <v>106</v>
      </c>
      <c r="B160" s="4">
        <f>Q140+I122+Q154-O122</f>
        <v>2.9600378057548227E-6</v>
      </c>
      <c r="C160" t="s">
        <v>102</v>
      </c>
    </row>
    <row r="161" spans="1:9" x14ac:dyDescent="0.25">
      <c r="A161" s="1" t="s">
        <v>107</v>
      </c>
      <c r="B161" s="4">
        <f>R140+J122+R154-P122</f>
        <v>8.2156503822261584E-15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49.999998508085227</v>
      </c>
      <c r="C164" t="s">
        <v>36</v>
      </c>
      <c r="E164" s="8">
        <f>B2-B164</f>
        <v>1.491914773055214E-6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2.0930627992084414E-6</v>
      </c>
      <c r="C165" t="s">
        <v>102</v>
      </c>
      <c r="E165" s="8">
        <f>B3+B165</f>
        <v>2.0930627992084414E-6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2.0930628108271259E-6</v>
      </c>
      <c r="C166" t="s">
        <v>102</v>
      </c>
      <c r="E166" s="8">
        <f>B4+B166</f>
        <v>2.0930628108271259E-6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2.4605728406750562</v>
      </c>
      <c r="B169" s="1">
        <f ca="1">IF(E122=0,0,(MIN(H110:H121)*B65)/(B55*B56*E122))</f>
        <v>-2.4605722051293322</v>
      </c>
      <c r="C169" s="3">
        <f ca="1">A169+B169</f>
        <v>6.3554572404811438E-7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1.1649337342311738E-8</v>
      </c>
      <c r="C175" s="27">
        <f>B65*SQRT(I175)</f>
        <v>1.1615828540453496E-7</v>
      </c>
      <c r="D175" s="27">
        <f>B66*SQRT(I175)</f>
        <v>3.6496193156806058E-8</v>
      </c>
      <c r="E175" s="27">
        <f>B67*SQRT(I175)</f>
        <v>2.2457283740406142E-9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0.78539817504678577</v>
      </c>
      <c r="C176" s="3">
        <f>B65+C175</f>
        <v>7.8313901205286349</v>
      </c>
      <c r="D176" s="3">
        <f>D175+B66</f>
        <v>2.4605728771712494</v>
      </c>
      <c r="E176" s="3">
        <f>B67+E175</f>
        <v>0.15140697833652661</v>
      </c>
      <c r="F176" s="16" t="s">
        <v>125</v>
      </c>
    </row>
    <row r="177" spans="1:13" x14ac:dyDescent="0.25">
      <c r="B177" s="27">
        <f>B176-B64</f>
        <v>1.1649337383623504E-8</v>
      </c>
      <c r="C177" s="27">
        <f>C176-B65</f>
        <v>1.1615828565680886E-7</v>
      </c>
      <c r="D177" s="27">
        <f>D176-B66</f>
        <v>3.6496193178692238E-8</v>
      </c>
      <c r="E177" s="27">
        <f>E176-B67</f>
        <v>2.2457283810339845E-9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-20.443537786034994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-7.7781745814552306</v>
      </c>
      <c r="B181" s="25">
        <f>(d_alpha_p!E136-d_alpha_m!E136)/(2*B177)</f>
        <v>0</v>
      </c>
      <c r="C181" s="25">
        <f>(d_alpha_p!E137-d_alpha_m!E137)/(2*B177)</f>
        <v>7.7781745623945238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-1.491914773055214E-6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-2.0930627992084414E-6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-2.0930628108271259E-6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-6.3554572404811438E-7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-20.443537786034994</v>
      </c>
      <c r="B190" s="25">
        <f>A181</f>
        <v>-7.7781745814552306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7.7781745623945238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-20.443537786034994</v>
      </c>
      <c r="B201" s="25">
        <f t="shared" ref="B201:C201" si="77">B190</f>
        <v>-7.7781745814552306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7.7781745623945238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0.55096418732782371</v>
      </c>
      <c r="J2" t="s">
        <v>11</v>
      </c>
    </row>
    <row r="3" spans="1:29" x14ac:dyDescent="0.25">
      <c r="A3" s="10" t="s">
        <v>79</v>
      </c>
      <c r="B3" s="17">
        <f>'Rigid Bearing Plate Analysis'!B3</f>
        <v>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 t="e">
        <f>ATAN2(B3,B4)</f>
        <v>#DIV/0!</v>
      </c>
      <c r="C5" t="s">
        <v>19</v>
      </c>
      <c r="I5">
        <f>SUM(I2:I4)</f>
        <v>0.55096418732782371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0</v>
      </c>
      <c r="AB14">
        <f>$B$4/Z14</f>
        <v>0</v>
      </c>
      <c r="AC14">
        <f>$I$2+AA14+AB14</f>
        <v>0.55096418732782371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0</v>
      </c>
      <c r="AB15">
        <f t="shared" ref="AB15:AB21" si="11">$B$4/Z15</f>
        <v>0</v>
      </c>
      <c r="AC15">
        <f t="shared" ref="AC15:AC20" si="12">$I$2+AA15+AB15</f>
        <v>0.55096418732782371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0</v>
      </c>
      <c r="AB16">
        <f t="shared" si="11"/>
        <v>0</v>
      </c>
      <c r="AC16">
        <f t="shared" si="12"/>
        <v>0.55096418732782371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</v>
      </c>
      <c r="AB17">
        <f t="shared" si="11"/>
        <v>0</v>
      </c>
      <c r="AC17">
        <f t="shared" si="12"/>
        <v>0.55096418732782371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</v>
      </c>
      <c r="AB18">
        <f t="shared" si="11"/>
        <v>0</v>
      </c>
      <c r="AC18">
        <f t="shared" si="12"/>
        <v>0.55096418732782371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0</v>
      </c>
      <c r="AB19">
        <f t="shared" si="11"/>
        <v>0</v>
      </c>
      <c r="AC19">
        <f t="shared" si="12"/>
        <v>0.55096418732782371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0</v>
      </c>
      <c r="AB20">
        <f t="shared" si="11"/>
        <v>0</v>
      </c>
      <c r="AC20">
        <f t="shared" si="12"/>
        <v>0.55096418732782371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0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0.78539816339744839</v>
      </c>
      <c r="C64" t="s">
        <v>19</v>
      </c>
      <c r="D64" t="s">
        <v>34</v>
      </c>
      <c r="H64" s="17">
        <f>DEGREES(B64)</f>
        <v>45.000000000000007</v>
      </c>
      <c r="I64" t="s">
        <v>41</v>
      </c>
    </row>
    <row r="65" spans="1:18" x14ac:dyDescent="0.25">
      <c r="A65" s="1" t="s">
        <v>40</v>
      </c>
      <c r="B65" s="17">
        <f>'Rigid Bearing Plate Analysis'!B65</f>
        <v>7.8313901205286367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2.4605728406750562</v>
      </c>
      <c r="C66" t="s">
        <v>11</v>
      </c>
      <c r="D66">
        <f>B66/B53</f>
        <v>6.039281603482233E-4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0.15140697833652661</v>
      </c>
      <c r="C67" t="s">
        <v>36</v>
      </c>
      <c r="D67" t="s">
        <v>122</v>
      </c>
      <c r="G67" s="20">
        <f ca="1">($B$56*$B$66*$B$55*$E$122)/$B$65</f>
        <v>0.15140697609072068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-8.7781745930520216</v>
      </c>
      <c r="R76">
        <f>Q76</f>
        <v>-8.7781745930520216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8.7781745930520216</v>
      </c>
      <c r="R77">
        <f>Q77</f>
        <v>8.7781745930520216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-7.7781745930520225</v>
      </c>
      <c r="C84" s="1">
        <f t="shared" ref="C84:C92" si="23">(-1*B73*SIN($B$64))+(C73*COS($B$64))</f>
        <v>-3.8890872965260104</v>
      </c>
      <c r="H84" s="1">
        <f t="shared" ref="H84:H92" si="24">H73</f>
        <v>1</v>
      </c>
      <c r="I84" s="4">
        <f>(I73*COS($B$64))+(J73*SIN($B$64))</f>
        <v>-7.7781745930520225</v>
      </c>
      <c r="J84" s="1">
        <f>(-1*I73*SIN($B$64))+(J73*COS($B$64))</f>
        <v>-3.8890872965260104</v>
      </c>
    </row>
    <row r="85" spans="1:10" x14ac:dyDescent="0.25">
      <c r="A85" s="1">
        <f t="shared" si="21"/>
        <v>2</v>
      </c>
      <c r="B85" s="4">
        <f t="shared" si="22"/>
        <v>-3.8890872965260117</v>
      </c>
      <c r="C85" s="1">
        <f t="shared" si="23"/>
        <v>-7.7781745930520216</v>
      </c>
      <c r="H85" s="1">
        <f t="shared" si="24"/>
        <v>2</v>
      </c>
      <c r="I85" s="4">
        <f t="shared" ref="I85:I92" si="25">(I74*COS($B$64))+(J74*SIN($B$64))</f>
        <v>-7.7781745930520225</v>
      </c>
      <c r="J85" s="1">
        <f t="shared" ref="J85:J92" si="26">(-1*I74*SIN($B$64))+(J74*COS($B$64))</f>
        <v>-3.8890872965260104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-3.8890872965260113</v>
      </c>
      <c r="H86" s="1">
        <f t="shared" si="24"/>
        <v>3</v>
      </c>
      <c r="I86" s="4">
        <f t="shared" si="25"/>
        <v>-7.7781745930520225</v>
      </c>
      <c r="J86" s="1">
        <f t="shared" si="26"/>
        <v>-3.8890872965260104</v>
      </c>
    </row>
    <row r="87" spans="1:10" x14ac:dyDescent="0.25">
      <c r="A87" s="1">
        <f t="shared" si="21"/>
        <v>4</v>
      </c>
      <c r="B87" s="4">
        <f t="shared" si="22"/>
        <v>3.8890872965260104</v>
      </c>
      <c r="C87" s="1">
        <f t="shared" si="23"/>
        <v>-7.7781745930520225</v>
      </c>
      <c r="H87" s="1">
        <f t="shared" si="24"/>
        <v>4</v>
      </c>
      <c r="I87" s="4">
        <f t="shared" si="25"/>
        <v>-7.7781745930520225</v>
      </c>
      <c r="J87" s="1">
        <f t="shared" si="26"/>
        <v>-3.8890872965260104</v>
      </c>
    </row>
    <row r="88" spans="1:10" x14ac:dyDescent="0.25">
      <c r="A88" s="1">
        <f t="shared" si="21"/>
        <v>5</v>
      </c>
      <c r="B88" s="4">
        <f t="shared" si="22"/>
        <v>7.7781745930520216</v>
      </c>
      <c r="C88" s="1">
        <f t="shared" si="23"/>
        <v>-3.8890872965260117</v>
      </c>
      <c r="H88" s="1">
        <f t="shared" si="24"/>
        <v>5</v>
      </c>
      <c r="I88" s="4">
        <f t="shared" si="25"/>
        <v>-7.7781745930520225</v>
      </c>
      <c r="J88" s="1">
        <f t="shared" si="26"/>
        <v>-3.8890872965260104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3.8890872965260113</v>
      </c>
      <c r="H89" s="1">
        <f t="shared" si="24"/>
        <v>6</v>
      </c>
      <c r="I89" s="4">
        <f t="shared" si="25"/>
        <v>-7.7781745930520225</v>
      </c>
      <c r="J89" s="1">
        <f t="shared" si="26"/>
        <v>-3.8890872965260104</v>
      </c>
    </row>
    <row r="90" spans="1:10" x14ac:dyDescent="0.25">
      <c r="A90" s="1">
        <f t="shared" si="21"/>
        <v>7</v>
      </c>
      <c r="B90" s="4">
        <f t="shared" si="22"/>
        <v>-7.7781745930520225</v>
      </c>
      <c r="C90" s="1">
        <f t="shared" si="23"/>
        <v>-3.8890872965260104</v>
      </c>
      <c r="H90" s="1">
        <f t="shared" si="24"/>
        <v>7</v>
      </c>
      <c r="I90" s="4">
        <f t="shared" si="25"/>
        <v>-7.7781745930520225</v>
      </c>
      <c r="J90" s="1">
        <f t="shared" si="26"/>
        <v>-3.8890872965260104</v>
      </c>
    </row>
    <row r="91" spans="1:10" x14ac:dyDescent="0.25">
      <c r="A91" s="1">
        <f t="shared" si="21"/>
        <v>8</v>
      </c>
      <c r="B91" s="4">
        <f t="shared" si="22"/>
        <v>-7.7781745930520225</v>
      </c>
      <c r="C91" s="1">
        <f t="shared" si="23"/>
        <v>-3.8890872965260104</v>
      </c>
      <c r="H91" s="1">
        <f t="shared" si="24"/>
        <v>8</v>
      </c>
      <c r="I91" s="4">
        <f t="shared" si="25"/>
        <v>-7.7781745930520225</v>
      </c>
      <c r="J91" s="1">
        <f t="shared" si="26"/>
        <v>-3.8890872965260104</v>
      </c>
    </row>
    <row r="92" spans="1:10" x14ac:dyDescent="0.25">
      <c r="A92" s="1">
        <f t="shared" si="21"/>
        <v>9</v>
      </c>
      <c r="B92" s="4">
        <f t="shared" si="22"/>
        <v>-7.7781745930520225</v>
      </c>
      <c r="C92" s="1">
        <f t="shared" si="23"/>
        <v>-3.8890872965260104</v>
      </c>
      <c r="H92" s="1">
        <f t="shared" si="24"/>
        <v>9</v>
      </c>
      <c r="I92" s="4">
        <f t="shared" si="25"/>
        <v>-7.7781745930520225</v>
      </c>
      <c r="J92" s="1">
        <f t="shared" si="26"/>
        <v>-3.8890872965260104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-4.4194173824159222</v>
      </c>
      <c r="C110" s="1">
        <f>(-1*B95*SIN($B$64))+(C95*COS($B$64))</f>
        <v>-4.4194173824159213</v>
      </c>
      <c r="D110" t="str">
        <f t="shared" ref="D110" si="31">D95</f>
        <v>y</v>
      </c>
      <c r="E110" s="4">
        <f t="shared" ref="E110:E121" si="32">IF($D110="y",$B$125-C110,0)</f>
        <v>0.47711455841329586</v>
      </c>
      <c r="F110" s="1">
        <f>IF($D110="y",B110,NA())</f>
        <v>-4.4194173824159222</v>
      </c>
      <c r="G110" s="1">
        <f>IF($D110="y",C110,NA())</f>
        <v>-4.4194173824159213</v>
      </c>
      <c r="H110">
        <f t="shared" ref="H110:H121" si="33">IF($E$122=0,0,-1*MAX(($B$67/$E$122)*(E110),0))</f>
        <v>-0.15140697833652633</v>
      </c>
      <c r="I110">
        <f>H110*C110</f>
        <v>0.66913063187951527</v>
      </c>
      <c r="J110">
        <f>H110*B110*-1</f>
        <v>-0.66913063187951549</v>
      </c>
      <c r="K110">
        <f ca="1">H110/$B$55</f>
        <v>-1.0670065727718949</v>
      </c>
      <c r="L110">
        <f ca="1">K110/$B$54</f>
        <v>-3.6793330095582587E-5</v>
      </c>
      <c r="M110">
        <f t="shared" ref="M110:M121" si="34">IFERROR(($D$66/$B$65)*(G110-$B$125),0)</f>
        <v>-3.679332954983047E-5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4.4194173824159213</v>
      </c>
      <c r="C111" s="1">
        <f t="shared" ref="C111:C121" si="37">(-1*B96*SIN($B$64))+(C96*COS($B$64))</f>
        <v>-4.4194173824159222</v>
      </c>
      <c r="D111" t="str">
        <f t="shared" si="35"/>
        <v>y</v>
      </c>
      <c r="E111" s="4">
        <f t="shared" si="32"/>
        <v>0.47711455841329675</v>
      </c>
      <c r="F111" s="1">
        <f t="shared" ref="F111:G121" si="38">IF($D111="y",B111,NA())</f>
        <v>4.4194173824159213</v>
      </c>
      <c r="G111" s="1">
        <f t="shared" si="38"/>
        <v>-4.4194173824159222</v>
      </c>
      <c r="H111">
        <f t="shared" si="33"/>
        <v>-0.15140697833652661</v>
      </c>
      <c r="I111">
        <f t="shared" ref="I111:I121" si="39">H111*C111</f>
        <v>0.66913063187951671</v>
      </c>
      <c r="J111">
        <f t="shared" ref="J111:J121" si="40">H111*B111*-1</f>
        <v>0.66913063187951649</v>
      </c>
      <c r="K111">
        <f ca="1">H111/$B$55</f>
        <v>-1.0670065727718969</v>
      </c>
      <c r="L111">
        <f t="shared" ref="L111:L121" ca="1" si="41">K111/$B$54</f>
        <v>-3.6793330095582655E-5</v>
      </c>
      <c r="M111">
        <f t="shared" si="34"/>
        <v>-3.6793329549830538E-5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-7.7781745930520225</v>
      </c>
      <c r="C112" s="1">
        <f t="shared" si="37"/>
        <v>-3.8890872965260104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-7.7781745930520225</v>
      </c>
      <c r="C113" s="1">
        <f t="shared" si="37"/>
        <v>-3.8890872965260104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-7.7781745930520225</v>
      </c>
      <c r="C114" s="1">
        <f t="shared" si="37"/>
        <v>-3.8890872965260104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-7.7781745930520225</v>
      </c>
      <c r="C115" s="1">
        <f t="shared" si="37"/>
        <v>-3.8890872965260104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-7.7781745930520225</v>
      </c>
      <c r="C116" s="1">
        <f t="shared" si="37"/>
        <v>-3.8890872965260104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-7.7781745930520225</v>
      </c>
      <c r="C117" s="1">
        <f t="shared" si="37"/>
        <v>-3.8890872965260104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-7.7781745930520225</v>
      </c>
      <c r="C118" s="1">
        <f t="shared" si="37"/>
        <v>-3.8890872965260104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-7.7781745930520225</v>
      </c>
      <c r="C119" s="1">
        <f t="shared" si="37"/>
        <v>-3.8890872965260104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-7.7781745930520225</v>
      </c>
      <c r="C120" s="1">
        <f t="shared" si="37"/>
        <v>-3.8890872965260104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-7.7781745930520225</v>
      </c>
      <c r="C121" s="1">
        <f t="shared" si="37"/>
        <v>-3.8890872965260104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0.47711455841329675</v>
      </c>
      <c r="H122">
        <f>SUM(H110:H121)</f>
        <v>-0.30281395667305294</v>
      </c>
      <c r="I122">
        <f t="shared" ref="I122:J122" si="46">SUM(I110:I121)</f>
        <v>1.3382612637590321</v>
      </c>
      <c r="J122">
        <f t="shared" si="46"/>
        <v>9.9920072216264089E-16</v>
      </c>
      <c r="L122">
        <f ca="1">MIN(L110:L121)</f>
        <v>-3.6793330095582655E-5</v>
      </c>
      <c r="M122">
        <f>MIN(M110:M121)</f>
        <v>-3.6793329549830538E-5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-3.9423028240026254</v>
      </c>
      <c r="F125" s="1" t="s">
        <v>27</v>
      </c>
      <c r="G125" s="1" t="s">
        <v>28</v>
      </c>
    </row>
    <row r="126" spans="1:16" x14ac:dyDescent="0.25">
      <c r="F126" s="4">
        <f>MIN(B84:B90)-1</f>
        <v>-8.7781745930520216</v>
      </c>
      <c r="G126" s="4">
        <f>B125</f>
        <v>-3.9423028240026254</v>
      </c>
    </row>
    <row r="127" spans="1:16" x14ac:dyDescent="0.25">
      <c r="F127" s="4">
        <f>MAX(B84:B90)+1</f>
        <v>8.7781745930520216</v>
      </c>
      <c r="G127" s="4">
        <f>G126</f>
        <v>-3.9423028240026254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-7.7781745930520225</v>
      </c>
      <c r="C132" s="4">
        <f>C84</f>
        <v>-3.8890872965260104</v>
      </c>
      <c r="D132" s="4">
        <f t="shared" ref="D132:E139" si="47">B85</f>
        <v>-3.8890872965260117</v>
      </c>
      <c r="E132" s="4">
        <f t="shared" si="47"/>
        <v>-7.7781745930520216</v>
      </c>
      <c r="F132" s="4">
        <f t="shared" ref="F132:F139" si="48">($B$66/$B$65)*(C132-$B$125)</f>
        <v>1.6719979415649063E-2</v>
      </c>
      <c r="G132" s="4">
        <f t="shared" ref="G132:G139" si="49">($B$66/$B$65)*(E132-$B$125)</f>
        <v>-1.2052064512140546</v>
      </c>
      <c r="H132" s="4">
        <f>IF(B132=D132,"V",(C132-E132)/(B132-D132))</f>
        <v>-1.0000000000000002</v>
      </c>
      <c r="I132" s="4">
        <f>IF(H132="V",0,(-1*B132*H132)+C132)</f>
        <v>-11.667261889578034</v>
      </c>
      <c r="J132" s="4">
        <f>IF($F132&gt;=0,B132,IF(AND($F132&lt;0,$G132&gt;=0),IF(H132="V",B132,($B$125-I132)/H132),0))</f>
        <v>-7.7781745930520225</v>
      </c>
      <c r="K132" s="4">
        <f>IF($F132&gt;=0,C132,IF(AND($F132&lt;0,$G132&gt;=0),$B$125,0))</f>
        <v>-3.8890872965260104</v>
      </c>
      <c r="L132" s="4">
        <f>IF($G132&gt;=0,D132,IF(AND($G132&lt;0,$F132&gt;=0),IF(H132="V",D132,($B$125-I132)/H132),0))</f>
        <v>-7.7249590655754066</v>
      </c>
      <c r="M132" s="4">
        <f>IF($G132&gt;=0,E132,IF(AND($G132&lt;0,$F132&gt;=0),$B$125,0))</f>
        <v>-3.9423028240026254</v>
      </c>
      <c r="N132" s="4">
        <f>IF(F132&lt;0,0,F132)</f>
        <v>1.6719979415649063E-2</v>
      </c>
      <c r="O132" s="4">
        <f>IF(G132&lt;0,0,G132)</f>
        <v>0</v>
      </c>
      <c r="P132" s="4">
        <f>(1/6)*(M132-K132)*((N132*((2*J132)+L132))+(O132*(J132+(2*L132))))</f>
        <v>3.4524725986801374E-3</v>
      </c>
      <c r="Q132" s="4">
        <f>((1/12)*(M132-K132)*(N132*J132*((3*K132)+M132)+N132*L132*(K132+M132)+O132*J132*(K132+M132)+O132*L132*(K132+(3*M132))))</f>
        <v>-1.3488139049951895E-2</v>
      </c>
      <c r="R132" s="4">
        <f>((-1/24)*(M132-K132)*(J132*J132*((3*N132)+O132)+2*J132*L132*(N132+O132)+L132*L132*(N132+(3*O132))))</f>
        <v>1.3396381462720652E-2</v>
      </c>
    </row>
    <row r="133" spans="1:18" x14ac:dyDescent="0.25">
      <c r="A133" t="s">
        <v>70</v>
      </c>
      <c r="B133" s="4">
        <f t="shared" ref="B133:C138" si="50">D132</f>
        <v>-3.8890872965260117</v>
      </c>
      <c r="C133" s="4">
        <f t="shared" si="50"/>
        <v>-7.7781745930520216</v>
      </c>
      <c r="D133" s="4">
        <f t="shared" si="47"/>
        <v>0</v>
      </c>
      <c r="E133" s="4">
        <f t="shared" si="47"/>
        <v>-3.8890872965260113</v>
      </c>
      <c r="F133" s="4">
        <f t="shared" si="48"/>
        <v>-1.2052064512140546</v>
      </c>
      <c r="G133" s="4">
        <f t="shared" si="49"/>
        <v>1.6719979415648782E-2</v>
      </c>
      <c r="H133" s="4">
        <f t="shared" ref="H133:H139" si="51">IF(B133=D133,"V",(C133-E133)/(B133-D133))</f>
        <v>0.99999999999999967</v>
      </c>
      <c r="I133" s="4">
        <f t="shared" ref="I133:I139" si="52">IF(H133="V",0,(-1*B133*H133)+C133)</f>
        <v>-3.8890872965260113</v>
      </c>
      <c r="J133" s="4">
        <f t="shared" ref="J133:J139" si="53">IF($F133&gt;=0,B133,IF(AND($F133&lt;0,$G133&gt;=0),IF(H133="V",B133,($B$125-I133)/H133),0))</f>
        <v>-5.3215527476614198E-2</v>
      </c>
      <c r="K133" s="4">
        <f t="shared" ref="K133:K139" si="54">IF($F133&gt;=0,C133,IF(AND($F133&lt;0,$G133&gt;=0),$B$125,0))</f>
        <v>-3.9423028240026254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-3.8890872965260113</v>
      </c>
      <c r="N133" s="4">
        <f t="shared" ref="N133:O139" si="57">IF(F133&lt;0,0,F133)</f>
        <v>0</v>
      </c>
      <c r="O133" s="4">
        <f t="shared" si="57"/>
        <v>1.6719979415648782E-2</v>
      </c>
      <c r="P133" s="4">
        <f t="shared" ref="P133:P139" si="58">(1/6)*(M133-K133)*((N133*((2*J133)+L133))+(O133*(J133+(2*L133))))</f>
        <v>-7.8915303406139516E-6</v>
      </c>
      <c r="Q133" s="4">
        <f t="shared" ref="Q133:Q139" si="59">((1/12)*(M133-K133)*(N133*J133*((3*K133)+M133)+N133*L133*(K133+M133)+O133*J133*(K133+M133)+O133*L133*(K133+(3*M133))))</f>
        <v>3.0900826372668041E-5</v>
      </c>
      <c r="R133" s="4">
        <f t="shared" ref="R133:R139" si="60">((-1/24)*(M133-K133)*(J133*J133*((3*N133)+O133)+2*J133*L133*(N133+O133)+L133*L133*(N133+(3*O133))))</f>
        <v>-1.0498798741836907E-7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-3.8890872965260113</v>
      </c>
      <c r="D134" s="4">
        <f t="shared" si="47"/>
        <v>3.8890872965260104</v>
      </c>
      <c r="E134" s="4">
        <f t="shared" si="47"/>
        <v>-7.7781745930520225</v>
      </c>
      <c r="F134" s="4">
        <f t="shared" si="48"/>
        <v>1.6719979415648782E-2</v>
      </c>
      <c r="G134" s="4">
        <f t="shared" si="49"/>
        <v>-1.2052064512140548</v>
      </c>
      <c r="H134" s="4">
        <f t="shared" si="51"/>
        <v>-1.0000000000000002</v>
      </c>
      <c r="I134" s="4">
        <f t="shared" si="52"/>
        <v>-3.8890872965260113</v>
      </c>
      <c r="J134" s="4">
        <f t="shared" si="53"/>
        <v>0</v>
      </c>
      <c r="K134" s="4">
        <f t="shared" si="54"/>
        <v>-3.8890872965260113</v>
      </c>
      <c r="L134" s="4">
        <f t="shared" si="55"/>
        <v>5.3215527476614163E-2</v>
      </c>
      <c r="M134" s="4">
        <f t="shared" si="56"/>
        <v>-3.9423028240026254</v>
      </c>
      <c r="N134" s="4">
        <f t="shared" si="57"/>
        <v>1.6719979415648782E-2</v>
      </c>
      <c r="O134" s="4">
        <f t="shared" si="57"/>
        <v>0</v>
      </c>
      <c r="P134" s="4">
        <f t="shared" si="58"/>
        <v>-7.8915303406139448E-6</v>
      </c>
      <c r="Q134" s="4">
        <f t="shared" si="59"/>
        <v>3.090082637266802E-5</v>
      </c>
      <c r="R134" s="4">
        <f t="shared" si="60"/>
        <v>1.0498798741836894E-7</v>
      </c>
    </row>
    <row r="135" spans="1:18" x14ac:dyDescent="0.25">
      <c r="A135" t="s">
        <v>72</v>
      </c>
      <c r="B135" s="4">
        <f t="shared" si="50"/>
        <v>3.8890872965260104</v>
      </c>
      <c r="C135" s="4">
        <f t="shared" si="50"/>
        <v>-7.7781745930520225</v>
      </c>
      <c r="D135" s="4">
        <f t="shared" si="47"/>
        <v>7.7781745930520216</v>
      </c>
      <c r="E135" s="4">
        <f t="shared" si="47"/>
        <v>-3.8890872965260117</v>
      </c>
      <c r="F135" s="4">
        <f t="shared" si="48"/>
        <v>-1.2052064512140548</v>
      </c>
      <c r="G135" s="4">
        <f t="shared" si="49"/>
        <v>1.6719979415648643E-2</v>
      </c>
      <c r="H135" s="4">
        <f t="shared" si="51"/>
        <v>0.99999999999999989</v>
      </c>
      <c r="I135" s="4">
        <f t="shared" si="52"/>
        <v>-11.667261889578032</v>
      </c>
      <c r="J135" s="4">
        <f t="shared" si="53"/>
        <v>7.7249590655754075</v>
      </c>
      <c r="K135" s="4">
        <f t="shared" si="54"/>
        <v>-3.9423028240026254</v>
      </c>
      <c r="L135" s="4">
        <f t="shared" si="55"/>
        <v>7.7781745930520216</v>
      </c>
      <c r="M135" s="4">
        <f t="shared" si="56"/>
        <v>-3.8890872965260117</v>
      </c>
      <c r="N135" s="4">
        <f t="shared" si="57"/>
        <v>0</v>
      </c>
      <c r="O135" s="4">
        <f t="shared" si="57"/>
        <v>1.6719979415648643E-2</v>
      </c>
      <c r="P135" s="4">
        <f t="shared" si="58"/>
        <v>3.4524725986799644E-3</v>
      </c>
      <c r="Q135" s="4">
        <f t="shared" si="59"/>
        <v>-1.348813904995122E-2</v>
      </c>
      <c r="R135" s="4">
        <f t="shared" si="60"/>
        <v>-1.3396381462719981E-2</v>
      </c>
    </row>
    <row r="136" spans="1:18" x14ac:dyDescent="0.25">
      <c r="A136" t="s">
        <v>73</v>
      </c>
      <c r="B136" s="4">
        <f t="shared" si="50"/>
        <v>7.7781745930520216</v>
      </c>
      <c r="C136" s="4">
        <f t="shared" si="50"/>
        <v>-3.8890872965260117</v>
      </c>
      <c r="D136" s="4">
        <f t="shared" si="47"/>
        <v>0</v>
      </c>
      <c r="E136" s="4">
        <f t="shared" si="47"/>
        <v>3.8890872965260113</v>
      </c>
      <c r="F136" s="4">
        <f t="shared" si="48"/>
        <v>1.6719979415648643E-2</v>
      </c>
      <c r="G136" s="4">
        <f t="shared" si="49"/>
        <v>2.4605728406750562</v>
      </c>
      <c r="H136" s="4">
        <f t="shared" si="51"/>
        <v>-1.0000000000000002</v>
      </c>
      <c r="I136" s="4">
        <f t="shared" si="52"/>
        <v>3.8890872965260117</v>
      </c>
      <c r="J136" s="4">
        <f t="shared" si="53"/>
        <v>7.7781745930520216</v>
      </c>
      <c r="K136" s="4">
        <f t="shared" si="54"/>
        <v>-3.8890872965260117</v>
      </c>
      <c r="L136" s="4">
        <f t="shared" si="55"/>
        <v>0</v>
      </c>
      <c r="M136" s="4">
        <f t="shared" si="56"/>
        <v>3.8890872965260113</v>
      </c>
      <c r="N136" s="4">
        <f t="shared" si="57"/>
        <v>1.6719979415648643E-2</v>
      </c>
      <c r="O136" s="4">
        <f t="shared" si="57"/>
        <v>2.4605728406750562</v>
      </c>
      <c r="P136" s="4">
        <f t="shared" si="58"/>
        <v>25.147962395022397</v>
      </c>
      <c r="Q136" s="4">
        <f t="shared" si="59"/>
        <v>-0.6556733837310591</v>
      </c>
      <c r="R136" s="4">
        <f t="shared" si="60"/>
        <v>-49.229147233863245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3.8890872965260113</v>
      </c>
      <c r="D137" s="4">
        <f t="shared" si="47"/>
        <v>-7.7781745930520225</v>
      </c>
      <c r="E137" s="4">
        <f t="shared" si="47"/>
        <v>-3.8890872965260104</v>
      </c>
      <c r="F137" s="4">
        <f t="shared" si="48"/>
        <v>2.4605728406750562</v>
      </c>
      <c r="G137" s="4">
        <f t="shared" si="49"/>
        <v>1.6719979415649063E-2</v>
      </c>
      <c r="H137" s="4">
        <f t="shared" si="51"/>
        <v>0.99999999999999989</v>
      </c>
      <c r="I137" s="4">
        <f t="shared" si="52"/>
        <v>3.8890872965260113</v>
      </c>
      <c r="J137" s="4">
        <f t="shared" si="53"/>
        <v>0</v>
      </c>
      <c r="K137" s="4">
        <f t="shared" si="54"/>
        <v>3.8890872965260113</v>
      </c>
      <c r="L137" s="4">
        <f t="shared" si="55"/>
        <v>-7.7781745930520225</v>
      </c>
      <c r="M137" s="4">
        <f t="shared" si="56"/>
        <v>-3.8890872965260104</v>
      </c>
      <c r="N137" s="4">
        <f t="shared" si="57"/>
        <v>2.4605728406750562</v>
      </c>
      <c r="O137" s="4">
        <f t="shared" si="57"/>
        <v>1.6719979415649063E-2</v>
      </c>
      <c r="P137" s="4">
        <f t="shared" si="58"/>
        <v>25.147962395022397</v>
      </c>
      <c r="Q137" s="4">
        <f t="shared" si="59"/>
        <v>-0.65567338373105832</v>
      </c>
      <c r="R137" s="4">
        <f t="shared" si="60"/>
        <v>49.229147233863259</v>
      </c>
    </row>
    <row r="138" spans="1:18" x14ac:dyDescent="0.25">
      <c r="A138" t="s">
        <v>75</v>
      </c>
      <c r="B138" s="4">
        <f t="shared" si="50"/>
        <v>-7.7781745930520225</v>
      </c>
      <c r="C138" s="4">
        <f t="shared" si="50"/>
        <v>-3.8890872965260104</v>
      </c>
      <c r="D138" s="4">
        <f t="shared" si="47"/>
        <v>-7.7781745930520225</v>
      </c>
      <c r="E138" s="4">
        <f t="shared" si="47"/>
        <v>-3.8890872965260104</v>
      </c>
      <c r="F138" s="4">
        <f t="shared" si="48"/>
        <v>1.6719979415649063E-2</v>
      </c>
      <c r="G138" s="4">
        <f t="shared" si="49"/>
        <v>1.6719979415649063E-2</v>
      </c>
      <c r="H138" s="4" t="str">
        <f t="shared" si="51"/>
        <v>V</v>
      </c>
      <c r="I138" s="4">
        <f t="shared" si="52"/>
        <v>0</v>
      </c>
      <c r="J138" s="4">
        <f t="shared" si="53"/>
        <v>-7.7781745930520225</v>
      </c>
      <c r="K138" s="4">
        <f t="shared" si="54"/>
        <v>-3.8890872965260104</v>
      </c>
      <c r="L138" s="4">
        <f t="shared" si="55"/>
        <v>-7.7781745930520225</v>
      </c>
      <c r="M138" s="4">
        <f t="shared" si="56"/>
        <v>-3.8890872965260104</v>
      </c>
      <c r="N138" s="4">
        <f t="shared" si="57"/>
        <v>1.6719979415649063E-2</v>
      </c>
      <c r="O138" s="4">
        <f t="shared" si="57"/>
        <v>1.6719979415649063E-2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-7.7781745930520225</v>
      </c>
      <c r="C139" s="4">
        <f>E138</f>
        <v>-3.8890872965260104</v>
      </c>
      <c r="D139" s="4">
        <f t="shared" si="47"/>
        <v>-7.7781745930520225</v>
      </c>
      <c r="E139" s="4">
        <f t="shared" si="47"/>
        <v>-3.8890872965260104</v>
      </c>
      <c r="F139" s="4">
        <f t="shared" si="48"/>
        <v>1.6719979415649063E-2</v>
      </c>
      <c r="G139" s="4">
        <f t="shared" si="49"/>
        <v>1.6719979415649063E-2</v>
      </c>
      <c r="H139" s="4" t="str">
        <f t="shared" si="51"/>
        <v>V</v>
      </c>
      <c r="I139" s="4">
        <f t="shared" si="52"/>
        <v>0</v>
      </c>
      <c r="J139" s="4">
        <f t="shared" si="53"/>
        <v>-7.7781745930520225</v>
      </c>
      <c r="K139" s="4">
        <f t="shared" si="54"/>
        <v>-3.8890872965260104</v>
      </c>
      <c r="L139" s="4">
        <f t="shared" si="55"/>
        <v>-7.7781745930520225</v>
      </c>
      <c r="M139" s="4">
        <f t="shared" si="56"/>
        <v>-3.8890872965260104</v>
      </c>
      <c r="N139" s="4">
        <f t="shared" si="57"/>
        <v>1.6719979415649063E-2</v>
      </c>
      <c r="O139" s="4">
        <f t="shared" si="57"/>
        <v>1.6719979415649063E-2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50.302813952181474</v>
      </c>
      <c r="Q140" s="4">
        <f>SUM(Q132:Q139)</f>
        <v>-1.3382612439092751</v>
      </c>
      <c r="R140" s="4">
        <f>SUM(R132:R139)</f>
        <v>1.4210854715202004E-14</v>
      </c>
    </row>
    <row r="142" spans="1:18" x14ac:dyDescent="0.25">
      <c r="O142" t="s">
        <v>96</v>
      </c>
      <c r="P142" s="1">
        <f>-1*R140/P140</f>
        <v>-2.8250615817856694E-16</v>
      </c>
    </row>
    <row r="143" spans="1:18" x14ac:dyDescent="0.25">
      <c r="O143" t="s">
        <v>97</v>
      </c>
      <c r="P143" s="1">
        <f>Q140/P140</f>
        <v>-2.6604103006671636E-2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-7.7781745930520225</v>
      </c>
      <c r="C146" s="9">
        <f>J84</f>
        <v>-3.8890872965260104</v>
      </c>
      <c r="D146" s="9">
        <f t="shared" ref="D146:E153" si="61">I85</f>
        <v>-7.7781745930520225</v>
      </c>
      <c r="E146">
        <f t="shared" si="61"/>
        <v>-3.8890872965260104</v>
      </c>
      <c r="F146" s="4">
        <f>($B$66/$B$65)*(C146-$B$125)</f>
        <v>1.6719979415649063E-2</v>
      </c>
      <c r="G146" s="4">
        <f>($B$66/$B$65)*(E146-$B$125)</f>
        <v>1.6719979415649063E-2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-7.7781745930520225</v>
      </c>
      <c r="K146" s="4">
        <f>IF($F146&gt;=0,C146,IF(AND($F146&lt;0,$G146&gt;=0),$B$125,0))</f>
        <v>-3.8890872965260104</v>
      </c>
      <c r="L146" s="4">
        <f>IF($G146&gt;=0,D146,IF(AND($G146&lt;0,$F146&gt;=0),IF(H146="V",D146,($B$125-I146)/H146),0))</f>
        <v>-7.7781745930520225</v>
      </c>
      <c r="M146" s="4">
        <f>IF($G146&gt;=0,E146,IF(AND($G146&lt;0,$F146&gt;=0),$B$125,0))</f>
        <v>-3.8890872965260104</v>
      </c>
      <c r="N146" s="4">
        <f>IF(F146&lt;0,0,F146)</f>
        <v>1.6719979415649063E-2</v>
      </c>
      <c r="O146" s="4">
        <f>IF(G146&lt;0,0,G146)</f>
        <v>1.6719979415649063E-2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-7.7781745930520225</v>
      </c>
      <c r="C147">
        <f t="shared" si="62"/>
        <v>-3.8890872965260104</v>
      </c>
      <c r="D147" s="9">
        <f t="shared" si="61"/>
        <v>-7.7781745930520225</v>
      </c>
      <c r="E147">
        <f t="shared" si="61"/>
        <v>-3.8890872965260104</v>
      </c>
      <c r="F147" s="4">
        <f t="shared" ref="F147:F153" si="63">($B$66/$B$65)*(C147-$B$125)</f>
        <v>1.6719979415649063E-2</v>
      </c>
      <c r="G147" s="4">
        <f t="shared" ref="G147:G153" si="64">($B$66/$B$65)*(E147-$B$125)</f>
        <v>1.6719979415649063E-2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-7.7781745930520225</v>
      </c>
      <c r="K147" s="4">
        <f t="shared" ref="K147:K153" si="68">IF($F147&gt;=0,C147,IF(AND($F147&lt;0,$G147&gt;=0),$B$125,0))</f>
        <v>-3.8890872965260104</v>
      </c>
      <c r="L147" s="4">
        <f t="shared" ref="L147:L153" si="69">IF($G147&gt;=0,D147,IF(AND($G147&lt;0,$F147&gt;=0),IF(H147="V",D147,($B$125-I147)/H147),0))</f>
        <v>-7.7781745930520225</v>
      </c>
      <c r="M147" s="4">
        <f t="shared" ref="M147:M153" si="70">IF($G147&gt;=0,E147,IF(AND($G147&lt;0,$F147&gt;=0),$B$125,0))</f>
        <v>-3.8890872965260104</v>
      </c>
      <c r="N147" s="4">
        <f t="shared" ref="N147:O153" si="71">IF(F147&lt;0,0,F147)</f>
        <v>1.6719979415649063E-2</v>
      </c>
      <c r="O147" s="4">
        <f t="shared" si="71"/>
        <v>1.6719979415649063E-2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-7.7781745930520225</v>
      </c>
      <c r="C148">
        <f t="shared" si="62"/>
        <v>-3.8890872965260104</v>
      </c>
      <c r="D148" s="9">
        <f t="shared" si="61"/>
        <v>-7.7781745930520225</v>
      </c>
      <c r="E148">
        <f t="shared" si="61"/>
        <v>-3.8890872965260104</v>
      </c>
      <c r="F148" s="4">
        <f t="shared" si="63"/>
        <v>1.6719979415649063E-2</v>
      </c>
      <c r="G148" s="4">
        <f t="shared" si="64"/>
        <v>1.6719979415649063E-2</v>
      </c>
      <c r="H148" s="4" t="str">
        <f t="shared" si="65"/>
        <v>V</v>
      </c>
      <c r="I148" s="4">
        <f t="shared" si="66"/>
        <v>0</v>
      </c>
      <c r="J148" s="4">
        <f t="shared" si="67"/>
        <v>-7.7781745930520225</v>
      </c>
      <c r="K148" s="4">
        <f t="shared" si="68"/>
        <v>-3.8890872965260104</v>
      </c>
      <c r="L148" s="4">
        <f t="shared" si="69"/>
        <v>-7.7781745930520225</v>
      </c>
      <c r="M148" s="4">
        <f t="shared" si="70"/>
        <v>-3.8890872965260104</v>
      </c>
      <c r="N148" s="4">
        <f t="shared" si="71"/>
        <v>1.6719979415649063E-2</v>
      </c>
      <c r="O148" s="4">
        <f t="shared" si="71"/>
        <v>1.6719979415649063E-2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-7.7781745930520225</v>
      </c>
      <c r="C149">
        <f t="shared" si="62"/>
        <v>-3.8890872965260104</v>
      </c>
      <c r="D149" s="9">
        <f t="shared" si="61"/>
        <v>-7.7781745930520225</v>
      </c>
      <c r="E149">
        <f t="shared" si="61"/>
        <v>-3.8890872965260104</v>
      </c>
      <c r="F149" s="4">
        <f t="shared" si="63"/>
        <v>1.6719979415649063E-2</v>
      </c>
      <c r="G149" s="4">
        <f t="shared" si="64"/>
        <v>1.6719979415649063E-2</v>
      </c>
      <c r="H149" s="4" t="str">
        <f t="shared" si="65"/>
        <v>V</v>
      </c>
      <c r="I149" s="4">
        <f t="shared" si="66"/>
        <v>0</v>
      </c>
      <c r="J149" s="4">
        <f t="shared" si="67"/>
        <v>-7.7781745930520225</v>
      </c>
      <c r="K149" s="4">
        <f t="shared" si="68"/>
        <v>-3.8890872965260104</v>
      </c>
      <c r="L149" s="4">
        <f t="shared" si="69"/>
        <v>-7.7781745930520225</v>
      </c>
      <c r="M149" s="4">
        <f t="shared" si="70"/>
        <v>-3.8890872965260104</v>
      </c>
      <c r="N149" s="4">
        <f t="shared" si="71"/>
        <v>1.6719979415649063E-2</v>
      </c>
      <c r="O149" s="4">
        <f t="shared" si="71"/>
        <v>1.6719979415649063E-2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-7.7781745930520225</v>
      </c>
      <c r="C150">
        <f t="shared" si="62"/>
        <v>-3.8890872965260104</v>
      </c>
      <c r="D150" s="9">
        <f t="shared" si="61"/>
        <v>-7.7781745930520225</v>
      </c>
      <c r="E150">
        <f t="shared" si="61"/>
        <v>-3.8890872965260104</v>
      </c>
      <c r="F150" s="4">
        <f t="shared" si="63"/>
        <v>1.6719979415649063E-2</v>
      </c>
      <c r="G150" s="4">
        <f t="shared" si="64"/>
        <v>1.6719979415649063E-2</v>
      </c>
      <c r="H150" s="4" t="str">
        <f t="shared" si="65"/>
        <v>V</v>
      </c>
      <c r="I150" s="4">
        <f t="shared" si="66"/>
        <v>0</v>
      </c>
      <c r="J150" s="4">
        <f t="shared" si="67"/>
        <v>-7.7781745930520225</v>
      </c>
      <c r="K150" s="4">
        <f t="shared" si="68"/>
        <v>-3.8890872965260104</v>
      </c>
      <c r="L150" s="4">
        <f t="shared" si="69"/>
        <v>-7.7781745930520225</v>
      </c>
      <c r="M150" s="4">
        <f t="shared" si="70"/>
        <v>-3.8890872965260104</v>
      </c>
      <c r="N150" s="4">
        <f t="shared" si="71"/>
        <v>1.6719979415649063E-2</v>
      </c>
      <c r="O150" s="4">
        <f t="shared" si="71"/>
        <v>1.6719979415649063E-2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-7.7781745930520225</v>
      </c>
      <c r="C151">
        <f t="shared" si="62"/>
        <v>-3.8890872965260104</v>
      </c>
      <c r="D151" s="9">
        <f t="shared" si="61"/>
        <v>-7.7781745930520225</v>
      </c>
      <c r="E151">
        <f t="shared" si="61"/>
        <v>-3.8890872965260104</v>
      </c>
      <c r="F151" s="4">
        <f t="shared" si="63"/>
        <v>1.6719979415649063E-2</v>
      </c>
      <c r="G151" s="4">
        <f t="shared" si="64"/>
        <v>1.6719979415649063E-2</v>
      </c>
      <c r="H151" s="4" t="str">
        <f t="shared" si="65"/>
        <v>V</v>
      </c>
      <c r="I151" s="4">
        <f t="shared" si="66"/>
        <v>0</v>
      </c>
      <c r="J151" s="4">
        <f t="shared" si="67"/>
        <v>-7.7781745930520225</v>
      </c>
      <c r="K151" s="4">
        <f t="shared" si="68"/>
        <v>-3.8890872965260104</v>
      </c>
      <c r="L151" s="4">
        <f t="shared" si="69"/>
        <v>-7.7781745930520225</v>
      </c>
      <c r="M151" s="4">
        <f t="shared" si="70"/>
        <v>-3.8890872965260104</v>
      </c>
      <c r="N151" s="4">
        <f t="shared" si="71"/>
        <v>1.6719979415649063E-2</v>
      </c>
      <c r="O151" s="4">
        <f t="shared" si="71"/>
        <v>1.6719979415649063E-2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-7.7781745930520225</v>
      </c>
      <c r="C152">
        <f t="shared" si="62"/>
        <v>-3.8890872965260104</v>
      </c>
      <c r="D152" s="9">
        <f t="shared" si="61"/>
        <v>-7.7781745930520225</v>
      </c>
      <c r="E152">
        <f t="shared" si="61"/>
        <v>-3.8890872965260104</v>
      </c>
      <c r="F152" s="4">
        <f t="shared" si="63"/>
        <v>1.6719979415649063E-2</v>
      </c>
      <c r="G152" s="4">
        <f t="shared" si="64"/>
        <v>1.6719979415649063E-2</v>
      </c>
      <c r="H152" s="4" t="str">
        <f t="shared" si="65"/>
        <v>V</v>
      </c>
      <c r="I152" s="4">
        <f t="shared" si="66"/>
        <v>0</v>
      </c>
      <c r="J152" s="4">
        <f t="shared" si="67"/>
        <v>-7.7781745930520225</v>
      </c>
      <c r="K152" s="4">
        <f t="shared" si="68"/>
        <v>-3.8890872965260104</v>
      </c>
      <c r="L152" s="4">
        <f t="shared" si="69"/>
        <v>-7.7781745930520225</v>
      </c>
      <c r="M152" s="4">
        <f t="shared" si="70"/>
        <v>-3.8890872965260104</v>
      </c>
      <c r="N152" s="4">
        <f t="shared" si="71"/>
        <v>1.6719979415649063E-2</v>
      </c>
      <c r="O152" s="4">
        <f t="shared" si="71"/>
        <v>1.6719979415649063E-2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-7.7781745930520225</v>
      </c>
      <c r="C153">
        <f t="shared" si="62"/>
        <v>-3.8890872965260104</v>
      </c>
      <c r="D153" s="9">
        <f t="shared" si="61"/>
        <v>-7.7781745930520225</v>
      </c>
      <c r="E153">
        <f t="shared" si="61"/>
        <v>-3.8890872965260104</v>
      </c>
      <c r="F153" s="4">
        <f t="shared" si="63"/>
        <v>1.6719979415649063E-2</v>
      </c>
      <c r="G153" s="4">
        <f t="shared" si="64"/>
        <v>1.6719979415649063E-2</v>
      </c>
      <c r="H153" s="4" t="str">
        <f t="shared" si="65"/>
        <v>V</v>
      </c>
      <c r="I153" s="4">
        <f t="shared" si="66"/>
        <v>0</v>
      </c>
      <c r="J153" s="4">
        <f t="shared" si="67"/>
        <v>-7.7781745930520225</v>
      </c>
      <c r="K153" s="4">
        <f t="shared" si="68"/>
        <v>-3.8890872965260104</v>
      </c>
      <c r="L153" s="4">
        <f t="shared" si="69"/>
        <v>-7.7781745930520225</v>
      </c>
      <c r="M153" s="4">
        <f t="shared" si="70"/>
        <v>-3.8890872965260104</v>
      </c>
      <c r="N153" s="4">
        <f t="shared" si="71"/>
        <v>1.6719979415649063E-2</v>
      </c>
      <c r="O153" s="4">
        <f t="shared" si="71"/>
        <v>1.6719979415649063E-2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49.999999995508418</v>
      </c>
      <c r="C159" t="s">
        <v>36</v>
      </c>
    </row>
    <row r="160" spans="1:18" x14ac:dyDescent="0.25">
      <c r="A160" s="1" t="s">
        <v>106</v>
      </c>
      <c r="B160" s="4">
        <f>Q140+I122+Q154-O122</f>
        <v>1.9849756949241737E-8</v>
      </c>
      <c r="C160" t="s">
        <v>102</v>
      </c>
    </row>
    <row r="161" spans="1:9" x14ac:dyDescent="0.25">
      <c r="A161" s="1" t="s">
        <v>107</v>
      </c>
      <c r="B161" s="4">
        <f>R140+J122+R154-P122</f>
        <v>1.5210055437364645E-14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49.999999995508418</v>
      </c>
      <c r="C164" t="s">
        <v>36</v>
      </c>
      <c r="E164" s="8">
        <f>B2-B164</f>
        <v>4.4915822172697517E-9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1.4035886988580285E-8</v>
      </c>
      <c r="C165" t="s">
        <v>102</v>
      </c>
      <c r="E165" s="8">
        <f>B3+B165</f>
        <v>1.4035886988580285E-8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1.4035908498846971E-8</v>
      </c>
      <c r="C166" t="s">
        <v>102</v>
      </c>
      <c r="E166" s="8">
        <f>B4+B166</f>
        <v>1.4035908498846971E-8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2.4605728406750562</v>
      </c>
      <c r="B169" s="1">
        <f ca="1">IF(E122=0,0,(MIN(H110:H121)*B65)/(B55*B56*E122))</f>
        <v>-2.4605728771725097</v>
      </c>
      <c r="C169" s="3">
        <f ca="1">A169+B169</f>
        <v>-3.6497453503869792E-8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1.1649337342311738E-8</v>
      </c>
      <c r="C175" s="27">
        <f>B65*SQRT(I175)</f>
        <v>1.1615828712744079E-7</v>
      </c>
      <c r="D175" s="27">
        <f>B66*SQRT(I175)</f>
        <v>3.6496193156806058E-8</v>
      </c>
      <c r="E175" s="27">
        <f>B67*SQRT(I175)</f>
        <v>2.2457284073501488E-9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0.78539817504678577</v>
      </c>
      <c r="C176" s="3">
        <f>B65+C175</f>
        <v>7.8313902366869241</v>
      </c>
      <c r="D176" s="3">
        <f>D175+B66</f>
        <v>2.4605728771712494</v>
      </c>
      <c r="E176" s="3">
        <f>B67+E175</f>
        <v>0.15140698058225502</v>
      </c>
      <c r="F176" s="16" t="s">
        <v>125</v>
      </c>
    </row>
    <row r="177" spans="1:13" x14ac:dyDescent="0.25">
      <c r="B177" s="27">
        <f>B176-B64</f>
        <v>1.1649337383623504E-8</v>
      </c>
      <c r="C177" s="27">
        <f>C176-B65</f>
        <v>1.161582874331657E-7</v>
      </c>
      <c r="D177" s="27">
        <f>D176-B66</f>
        <v>3.6496193178692238E-8</v>
      </c>
      <c r="E177" s="27">
        <f>E176-B67</f>
        <v>2.2457284087895601E-9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-20.443537786034994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-7.7781745814552306</v>
      </c>
      <c r="B181" s="25">
        <f>(d_alpha_p!E136-d_alpha_m!E136)/(2*B177)</f>
        <v>0</v>
      </c>
      <c r="C181" s="25">
        <f>(d_alpha_p!E137-d_alpha_m!E137)/(2*B177)</f>
        <v>7.7781745623945238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-4.4915822172697517E-9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-1.4035886988580285E-8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-1.4035908498846971E-8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3.6497453503869792E-8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-20.443537786034994</v>
      </c>
      <c r="B190" s="25">
        <f>A181</f>
        <v>-7.7781745814552306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7.7781745623945238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-20.443537786034994</v>
      </c>
      <c r="B201" s="25">
        <f t="shared" ref="B201:C201" si="77">B190</f>
        <v>-7.7781745814552306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7.7781745623945238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50</v>
      </c>
      <c r="C2" t="s">
        <v>36</v>
      </c>
      <c r="D2" t="s">
        <v>103</v>
      </c>
      <c r="H2" t="s">
        <v>110</v>
      </c>
      <c r="I2">
        <f>B2/D22</f>
        <v>0.55096418732782371</v>
      </c>
      <c r="J2" t="s">
        <v>11</v>
      </c>
    </row>
    <row r="3" spans="1:29" x14ac:dyDescent="0.25">
      <c r="A3" s="10" t="s">
        <v>79</v>
      </c>
      <c r="B3" s="17">
        <f>'Rigid Bearing Plate Analysis'!B3</f>
        <v>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 t="e">
        <f>ATAN2(B3,B4)</f>
        <v>#DIV/0!</v>
      </c>
      <c r="C5" t="s">
        <v>19</v>
      </c>
      <c r="I5">
        <f>SUM(I2:I4)</f>
        <v>0.55096418732782371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0</v>
      </c>
      <c r="AB14">
        <f>$B$4/Z14</f>
        <v>0</v>
      </c>
      <c r="AC14">
        <f>$I$2+AA14+AB14</f>
        <v>0.55096418732782371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0</v>
      </c>
      <c r="AB15">
        <f t="shared" ref="AB15:AB21" si="11">$B$4/Z15</f>
        <v>0</v>
      </c>
      <c r="AC15">
        <f t="shared" ref="AC15:AC20" si="12">$I$2+AA15+AB15</f>
        <v>0.55096418732782371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0</v>
      </c>
      <c r="AB16">
        <f t="shared" si="11"/>
        <v>0</v>
      </c>
      <c r="AC16">
        <f t="shared" si="12"/>
        <v>0.55096418732782371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</v>
      </c>
      <c r="AB17">
        <f t="shared" si="11"/>
        <v>0</v>
      </c>
      <c r="AC17">
        <f t="shared" si="12"/>
        <v>0.55096418732782371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</v>
      </c>
      <c r="AB18">
        <f t="shared" si="11"/>
        <v>0</v>
      </c>
      <c r="AC18">
        <f t="shared" si="12"/>
        <v>0.55096418732782371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0</v>
      </c>
      <c r="AB19">
        <f t="shared" si="11"/>
        <v>0</v>
      </c>
      <c r="AC19">
        <f t="shared" si="12"/>
        <v>0.55096418732782371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0</v>
      </c>
      <c r="AB20">
        <f t="shared" si="11"/>
        <v>0</v>
      </c>
      <c r="AC20">
        <f t="shared" si="12"/>
        <v>0.55096418732782371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0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2.75</v>
      </c>
      <c r="C37" s="17">
        <f>'Rigid Bearing Plate Analysis'!C37</f>
        <v>2</v>
      </c>
      <c r="D37" s="17" t="str">
        <f>'Rigid Bearing Plate Analysis'!D37</f>
        <v>y</v>
      </c>
      <c r="Q37" s="12">
        <f>IF($D37="y",B37,NA())</f>
        <v>2.75</v>
      </c>
      <c r="R37" s="12">
        <f>IF($D37="y",C37,NA())</f>
        <v>2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9</v>
      </c>
      <c r="C38" s="17">
        <f>'Rigid Bearing Plate Analysis'!C38</f>
        <v>8.25</v>
      </c>
      <c r="D38" s="17" t="str">
        <f>'Rigid Bearing Plate Analysis'!D38</f>
        <v>y</v>
      </c>
      <c r="Q38" s="12">
        <f t="shared" ref="Q38:R48" si="14">IF($D38="y",B38,NA())</f>
        <v>9</v>
      </c>
      <c r="R38" s="12">
        <f t="shared" si="14"/>
        <v>8.25</v>
      </c>
    </row>
    <row r="39" spans="1:21" x14ac:dyDescent="0.25">
      <c r="A39">
        <v>3</v>
      </c>
      <c r="B39" s="17">
        <f>'Rigid Bearing Plate Analysis'!B39</f>
        <v>0</v>
      </c>
      <c r="C39" s="17">
        <f>'Rigid Bearing Plate Analysis'!C39</f>
        <v>0</v>
      </c>
      <c r="D39" s="17" t="str">
        <f>'Rigid Bearing Plate Analysis'!D39</f>
        <v>n</v>
      </c>
      <c r="Q39" s="12" t="e">
        <f t="shared" si="14"/>
        <v>#N/A</v>
      </c>
      <c r="R39" s="12" t="e">
        <f t="shared" si="14"/>
        <v>#N/A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0.78539816339744839</v>
      </c>
      <c r="C64" t="s">
        <v>19</v>
      </c>
      <c r="D64" t="s">
        <v>34</v>
      </c>
      <c r="H64" s="17">
        <f>DEGREES(B64)</f>
        <v>45.000000000000007</v>
      </c>
      <c r="I64" t="s">
        <v>41</v>
      </c>
    </row>
    <row r="65" spans="1:18" x14ac:dyDescent="0.25">
      <c r="A65" s="1" t="s">
        <v>40</v>
      </c>
      <c r="B65" s="17">
        <f>'Rigid Bearing Plate Analysis'!B65</f>
        <v>7.8313901205286367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2.4605728406750562</v>
      </c>
      <c r="C66" t="s">
        <v>11</v>
      </c>
      <c r="D66">
        <f>B66/B53</f>
        <v>6.039281603482233E-4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0.15140697384506985</v>
      </c>
      <c r="C67" t="s">
        <v>36</v>
      </c>
      <c r="D67" t="s">
        <v>122</v>
      </c>
      <c r="G67" s="20">
        <f ca="1">($B$56*$B$66*$B$55*$E$122)/$B$65</f>
        <v>0.15140697609072068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-8.7781745930520216</v>
      </c>
      <c r="R76">
        <f>Q76</f>
        <v>-8.7781745930520216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8.7781745930520216</v>
      </c>
      <c r="R77">
        <f>Q77</f>
        <v>8.7781745930520216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-7.7781745930520225</v>
      </c>
      <c r="C84" s="1">
        <f t="shared" ref="C84:C92" si="23">(-1*B73*SIN($B$64))+(C73*COS($B$64))</f>
        <v>-3.8890872965260104</v>
      </c>
      <c r="H84" s="1">
        <f t="shared" ref="H84:H92" si="24">H73</f>
        <v>1</v>
      </c>
      <c r="I84" s="4">
        <f>(I73*COS($B$64))+(J73*SIN($B$64))</f>
        <v>-7.7781745930520225</v>
      </c>
      <c r="J84" s="1">
        <f>(-1*I73*SIN($B$64))+(J73*COS($B$64))</f>
        <v>-3.8890872965260104</v>
      </c>
    </row>
    <row r="85" spans="1:10" x14ac:dyDescent="0.25">
      <c r="A85" s="1">
        <f t="shared" si="21"/>
        <v>2</v>
      </c>
      <c r="B85" s="4">
        <f t="shared" si="22"/>
        <v>-3.8890872965260117</v>
      </c>
      <c r="C85" s="1">
        <f t="shared" si="23"/>
        <v>-7.7781745930520216</v>
      </c>
      <c r="H85" s="1">
        <f t="shared" si="24"/>
        <v>2</v>
      </c>
      <c r="I85" s="4">
        <f t="shared" ref="I85:I92" si="25">(I74*COS($B$64))+(J74*SIN($B$64))</f>
        <v>-7.7781745930520225</v>
      </c>
      <c r="J85" s="1">
        <f t="shared" ref="J85:J92" si="26">(-1*I74*SIN($B$64))+(J74*COS($B$64))</f>
        <v>-3.8890872965260104</v>
      </c>
    </row>
    <row r="86" spans="1:10" x14ac:dyDescent="0.25">
      <c r="A86" s="1">
        <f t="shared" si="21"/>
        <v>3</v>
      </c>
      <c r="B86" s="4">
        <f t="shared" si="22"/>
        <v>0</v>
      </c>
      <c r="C86" s="1">
        <f t="shared" si="23"/>
        <v>-3.8890872965260113</v>
      </c>
      <c r="H86" s="1">
        <f t="shared" si="24"/>
        <v>3</v>
      </c>
      <c r="I86" s="4">
        <f t="shared" si="25"/>
        <v>-7.7781745930520225</v>
      </c>
      <c r="J86" s="1">
        <f t="shared" si="26"/>
        <v>-3.8890872965260104</v>
      </c>
    </row>
    <row r="87" spans="1:10" x14ac:dyDescent="0.25">
      <c r="A87" s="1">
        <f t="shared" si="21"/>
        <v>4</v>
      </c>
      <c r="B87" s="4">
        <f t="shared" si="22"/>
        <v>3.8890872965260104</v>
      </c>
      <c r="C87" s="1">
        <f t="shared" si="23"/>
        <v>-7.7781745930520225</v>
      </c>
      <c r="H87" s="1">
        <f t="shared" si="24"/>
        <v>4</v>
      </c>
      <c r="I87" s="4">
        <f t="shared" si="25"/>
        <v>-7.7781745930520225</v>
      </c>
      <c r="J87" s="1">
        <f t="shared" si="26"/>
        <v>-3.8890872965260104</v>
      </c>
    </row>
    <row r="88" spans="1:10" x14ac:dyDescent="0.25">
      <c r="A88" s="1">
        <f t="shared" si="21"/>
        <v>5</v>
      </c>
      <c r="B88" s="4">
        <f t="shared" si="22"/>
        <v>7.7781745930520216</v>
      </c>
      <c r="C88" s="1">
        <f t="shared" si="23"/>
        <v>-3.8890872965260117</v>
      </c>
      <c r="H88" s="1">
        <f t="shared" si="24"/>
        <v>5</v>
      </c>
      <c r="I88" s="4">
        <f t="shared" si="25"/>
        <v>-7.7781745930520225</v>
      </c>
      <c r="J88" s="1">
        <f t="shared" si="26"/>
        <v>-3.8890872965260104</v>
      </c>
    </row>
    <row r="89" spans="1:10" x14ac:dyDescent="0.25">
      <c r="A89" s="1">
        <f t="shared" si="21"/>
        <v>6</v>
      </c>
      <c r="B89" s="4">
        <f t="shared" si="22"/>
        <v>0</v>
      </c>
      <c r="C89" s="1">
        <f t="shared" si="23"/>
        <v>3.8890872965260113</v>
      </c>
      <c r="H89" s="1">
        <f t="shared" si="24"/>
        <v>6</v>
      </c>
      <c r="I89" s="4">
        <f t="shared" si="25"/>
        <v>-7.7781745930520225</v>
      </c>
      <c r="J89" s="1">
        <f t="shared" si="26"/>
        <v>-3.8890872965260104</v>
      </c>
    </row>
    <row r="90" spans="1:10" x14ac:dyDescent="0.25">
      <c r="A90" s="1">
        <f t="shared" si="21"/>
        <v>7</v>
      </c>
      <c r="B90" s="4">
        <f t="shared" si="22"/>
        <v>-7.7781745930520225</v>
      </c>
      <c r="C90" s="1">
        <f t="shared" si="23"/>
        <v>-3.8890872965260104</v>
      </c>
      <c r="H90" s="1">
        <f t="shared" si="24"/>
        <v>7</v>
      </c>
      <c r="I90" s="4">
        <f t="shared" si="25"/>
        <v>-7.7781745930520225</v>
      </c>
      <c r="J90" s="1">
        <f t="shared" si="26"/>
        <v>-3.8890872965260104</v>
      </c>
    </row>
    <row r="91" spans="1:10" x14ac:dyDescent="0.25">
      <c r="A91" s="1">
        <f t="shared" si="21"/>
        <v>8</v>
      </c>
      <c r="B91" s="4">
        <f t="shared" si="22"/>
        <v>-7.7781745930520225</v>
      </c>
      <c r="C91" s="1">
        <f t="shared" si="23"/>
        <v>-3.8890872965260104</v>
      </c>
      <c r="H91" s="1">
        <f t="shared" si="24"/>
        <v>8</v>
      </c>
      <c r="I91" s="4">
        <f t="shared" si="25"/>
        <v>-7.7781745930520225</v>
      </c>
      <c r="J91" s="1">
        <f t="shared" si="26"/>
        <v>-3.8890872965260104</v>
      </c>
    </row>
    <row r="92" spans="1:10" x14ac:dyDescent="0.25">
      <c r="A92" s="1">
        <f t="shared" si="21"/>
        <v>9</v>
      </c>
      <c r="B92" s="4">
        <f t="shared" si="22"/>
        <v>-7.7781745930520225</v>
      </c>
      <c r="C92" s="1">
        <f t="shared" si="23"/>
        <v>-3.8890872965260104</v>
      </c>
      <c r="H92" s="1">
        <f t="shared" si="24"/>
        <v>9</v>
      </c>
      <c r="I92" s="4">
        <f t="shared" si="25"/>
        <v>-7.7781745930520225</v>
      </c>
      <c r="J92" s="1">
        <f t="shared" si="26"/>
        <v>-3.8890872965260104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0</v>
      </c>
      <c r="C95" s="4">
        <f t="shared" ref="C95:C106" si="29">C37-$C$9</f>
        <v>-6.25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6.25</v>
      </c>
      <c r="C96" s="4">
        <f t="shared" si="29"/>
        <v>0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-2.75</v>
      </c>
      <c r="C97" s="4">
        <f t="shared" si="29"/>
        <v>-8.25</v>
      </c>
      <c r="D97" t="str">
        <f t="shared" si="30"/>
        <v>n</v>
      </c>
    </row>
    <row r="98" spans="1:16" x14ac:dyDescent="0.25">
      <c r="A98">
        <f t="shared" si="27"/>
        <v>4</v>
      </c>
      <c r="B98" s="4">
        <f t="shared" si="28"/>
        <v>-2.75</v>
      </c>
      <c r="C98" s="4">
        <f t="shared" si="29"/>
        <v>-8.25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-4.4194173824159222</v>
      </c>
      <c r="C110" s="1">
        <f>(-1*B95*SIN($B$64))+(C95*COS($B$64))</f>
        <v>-4.4194173824159213</v>
      </c>
      <c r="D110" t="str">
        <f t="shared" ref="D110" si="31">D95</f>
        <v>y</v>
      </c>
      <c r="E110" s="4">
        <f t="shared" ref="E110:E121" si="32">IF($D110="y",$B$125-C110,0)</f>
        <v>0.47711455841329586</v>
      </c>
      <c r="F110" s="1">
        <f>IF($D110="y",B110,NA())</f>
        <v>-4.4194173824159222</v>
      </c>
      <c r="G110" s="1">
        <f>IF($D110="y",C110,NA())</f>
        <v>-4.4194173824159213</v>
      </c>
      <c r="H110">
        <f t="shared" ref="H110:H121" si="33">IF($E$122=0,0,-1*MAX(($B$67/$E$122)*(E110),0))</f>
        <v>-0.15140697384506957</v>
      </c>
      <c r="I110">
        <f>H110*C110</f>
        <v>0.66913061202989321</v>
      </c>
      <c r="J110">
        <f>H110*B110*-1</f>
        <v>-0.66913061202989332</v>
      </c>
      <c r="K110">
        <f ca="1">H110/$B$55</f>
        <v>-1.0670065411193652</v>
      </c>
      <c r="L110">
        <f ca="1">K110/$B$54</f>
        <v>-3.6793329004116043E-5</v>
      </c>
      <c r="M110">
        <f t="shared" ref="M110:M121" si="34">IFERROR(($D$66/$B$65)*(G110-$B$125),0)</f>
        <v>-3.679332954983047E-5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4.4194173824159213</v>
      </c>
      <c r="C111" s="1">
        <f t="shared" ref="C111:C121" si="37">(-1*B96*SIN($B$64))+(C96*COS($B$64))</f>
        <v>-4.4194173824159222</v>
      </c>
      <c r="D111" t="str">
        <f t="shared" si="35"/>
        <v>y</v>
      </c>
      <c r="E111" s="4">
        <f t="shared" si="32"/>
        <v>0.47711455841329675</v>
      </c>
      <c r="F111" s="1">
        <f t="shared" ref="F111:G121" si="38">IF($D111="y",B111,NA())</f>
        <v>4.4194173824159213</v>
      </c>
      <c r="G111" s="1">
        <f t="shared" si="38"/>
        <v>-4.4194173824159222</v>
      </c>
      <c r="H111">
        <f t="shared" si="33"/>
        <v>-0.15140697384506985</v>
      </c>
      <c r="I111">
        <f t="shared" ref="I111:I121" si="39">H111*C111</f>
        <v>0.66913061202989454</v>
      </c>
      <c r="J111">
        <f t="shared" ref="J111:J121" si="40">H111*B111*-1</f>
        <v>0.66913061202989443</v>
      </c>
      <c r="K111">
        <f ca="1">H111/$B$55</f>
        <v>-1.0670065411193672</v>
      </c>
      <c r="L111">
        <f t="shared" ref="L111:L121" ca="1" si="41">K111/$B$54</f>
        <v>-3.6793329004116111E-5</v>
      </c>
      <c r="M111">
        <f t="shared" si="34"/>
        <v>-3.6793329549830538E-5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-7.7781745930520225</v>
      </c>
      <c r="C112" s="1">
        <f t="shared" si="37"/>
        <v>-3.8890872965260104</v>
      </c>
      <c r="D112" t="str">
        <f t="shared" si="35"/>
        <v>n</v>
      </c>
      <c r="E112" s="4">
        <f t="shared" si="32"/>
        <v>0</v>
      </c>
      <c r="F112" s="1" t="e">
        <f t="shared" si="38"/>
        <v>#N/A</v>
      </c>
      <c r="G112" s="1" t="e">
        <f t="shared" si="38"/>
        <v>#N/A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0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-7.7781745930520225</v>
      </c>
      <c r="C113" s="1">
        <f t="shared" si="37"/>
        <v>-3.8890872965260104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-7.7781745930520225</v>
      </c>
      <c r="C114" s="1">
        <f t="shared" si="37"/>
        <v>-3.8890872965260104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-7.7781745930520225</v>
      </c>
      <c r="C115" s="1">
        <f t="shared" si="37"/>
        <v>-3.8890872965260104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-7.7781745930520225</v>
      </c>
      <c r="C116" s="1">
        <f t="shared" si="37"/>
        <v>-3.8890872965260104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-7.7781745930520225</v>
      </c>
      <c r="C117" s="1">
        <f t="shared" si="37"/>
        <v>-3.8890872965260104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-7.7781745930520225</v>
      </c>
      <c r="C118" s="1">
        <f t="shared" si="37"/>
        <v>-3.8890872965260104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-7.7781745930520225</v>
      </c>
      <c r="C119" s="1">
        <f t="shared" si="37"/>
        <v>-3.8890872965260104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-7.7781745930520225</v>
      </c>
      <c r="C120" s="1">
        <f t="shared" si="37"/>
        <v>-3.8890872965260104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-7.7781745930520225</v>
      </c>
      <c r="C121" s="1">
        <f t="shared" si="37"/>
        <v>-3.8890872965260104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0.47711455841329675</v>
      </c>
      <c r="H122">
        <f>SUM(H110:H121)</f>
        <v>-0.30281394769013942</v>
      </c>
      <c r="I122">
        <f t="shared" ref="I122:J122" si="46">SUM(I110:I121)</f>
        <v>1.3382612240597878</v>
      </c>
      <c r="J122">
        <f t="shared" si="46"/>
        <v>1.1102230246251565E-15</v>
      </c>
      <c r="L122">
        <f ca="1">MIN(L110:L121)</f>
        <v>-3.6793329004116111E-5</v>
      </c>
      <c r="M122">
        <f>MIN(M110:M121)</f>
        <v>-3.6793329549830538E-5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-3.9423028240026254</v>
      </c>
      <c r="F125" s="1" t="s">
        <v>27</v>
      </c>
      <c r="G125" s="1" t="s">
        <v>28</v>
      </c>
    </row>
    <row r="126" spans="1:16" x14ac:dyDescent="0.25">
      <c r="F126" s="4">
        <f>MIN(B84:B90)-1</f>
        <v>-8.7781745930520216</v>
      </c>
      <c r="G126" s="4">
        <f>B125</f>
        <v>-3.9423028240026254</v>
      </c>
    </row>
    <row r="127" spans="1:16" x14ac:dyDescent="0.25">
      <c r="F127" s="4">
        <f>MAX(B84:B90)+1</f>
        <v>8.7781745930520216</v>
      </c>
      <c r="G127" s="4">
        <f>G126</f>
        <v>-3.9423028240026254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-7.7781745930520225</v>
      </c>
      <c r="C132" s="4">
        <f>C84</f>
        <v>-3.8890872965260104</v>
      </c>
      <c r="D132" s="4">
        <f t="shared" ref="D132:E139" si="47">B85</f>
        <v>-3.8890872965260117</v>
      </c>
      <c r="E132" s="4">
        <f t="shared" si="47"/>
        <v>-7.7781745930520216</v>
      </c>
      <c r="F132" s="4">
        <f t="shared" ref="F132:F139" si="48">($B$66/$B$65)*(C132-$B$125)</f>
        <v>1.6719979415649063E-2</v>
      </c>
      <c r="G132" s="4">
        <f t="shared" ref="G132:G139" si="49">($B$66/$B$65)*(E132-$B$125)</f>
        <v>-1.2052064512140546</v>
      </c>
      <c r="H132" s="4">
        <f>IF(B132=D132,"V",(C132-E132)/(B132-D132))</f>
        <v>-1.0000000000000002</v>
      </c>
      <c r="I132" s="4">
        <f>IF(H132="V",0,(-1*B132*H132)+C132)</f>
        <v>-11.667261889578034</v>
      </c>
      <c r="J132" s="4">
        <f>IF($F132&gt;=0,B132,IF(AND($F132&lt;0,$G132&gt;=0),IF(H132="V",B132,($B$125-I132)/H132),0))</f>
        <v>-7.7781745930520225</v>
      </c>
      <c r="K132" s="4">
        <f>IF($F132&gt;=0,C132,IF(AND($F132&lt;0,$G132&gt;=0),$B$125,0))</f>
        <v>-3.8890872965260104</v>
      </c>
      <c r="L132" s="4">
        <f>IF($G132&gt;=0,D132,IF(AND($G132&lt;0,$F132&gt;=0),IF(H132="V",D132,($B$125-I132)/H132),0))</f>
        <v>-7.7249590655754066</v>
      </c>
      <c r="M132" s="4">
        <f>IF($G132&gt;=0,E132,IF(AND($G132&lt;0,$F132&gt;=0),$B$125,0))</f>
        <v>-3.9423028240026254</v>
      </c>
      <c r="N132" s="4">
        <f>IF(F132&lt;0,0,F132)</f>
        <v>1.6719979415649063E-2</v>
      </c>
      <c r="O132" s="4">
        <f>IF(G132&lt;0,0,G132)</f>
        <v>0</v>
      </c>
      <c r="P132" s="4">
        <f>(1/6)*(M132-K132)*((N132*((2*J132)+L132))+(O132*(J132+(2*L132))))</f>
        <v>3.4524725986801374E-3</v>
      </c>
      <c r="Q132" s="4">
        <f>((1/12)*(M132-K132)*(N132*J132*((3*K132)+M132)+N132*L132*(K132+M132)+O132*J132*(K132+M132)+O132*L132*(K132+(3*M132))))</f>
        <v>-1.3488139049951895E-2</v>
      </c>
      <c r="R132" s="4">
        <f>((-1/24)*(M132-K132)*(J132*J132*((3*N132)+O132)+2*J132*L132*(N132+O132)+L132*L132*(N132+(3*O132))))</f>
        <v>1.3396381462720652E-2</v>
      </c>
    </row>
    <row r="133" spans="1:18" x14ac:dyDescent="0.25">
      <c r="A133" t="s">
        <v>70</v>
      </c>
      <c r="B133" s="4">
        <f t="shared" ref="B133:C138" si="50">D132</f>
        <v>-3.8890872965260117</v>
      </c>
      <c r="C133" s="4">
        <f t="shared" si="50"/>
        <v>-7.7781745930520216</v>
      </c>
      <c r="D133" s="4">
        <f t="shared" si="47"/>
        <v>0</v>
      </c>
      <c r="E133" s="4">
        <f t="shared" si="47"/>
        <v>-3.8890872965260113</v>
      </c>
      <c r="F133" s="4">
        <f t="shared" si="48"/>
        <v>-1.2052064512140546</v>
      </c>
      <c r="G133" s="4">
        <f t="shared" si="49"/>
        <v>1.6719979415648782E-2</v>
      </c>
      <c r="H133" s="4">
        <f t="shared" ref="H133:H139" si="51">IF(B133=D133,"V",(C133-E133)/(B133-D133))</f>
        <v>0.99999999999999967</v>
      </c>
      <c r="I133" s="4">
        <f t="shared" ref="I133:I139" si="52">IF(H133="V",0,(-1*B133*H133)+C133)</f>
        <v>-3.8890872965260113</v>
      </c>
      <c r="J133" s="4">
        <f t="shared" ref="J133:J139" si="53">IF($F133&gt;=0,B133,IF(AND($F133&lt;0,$G133&gt;=0),IF(H133="V",B133,($B$125-I133)/H133),0))</f>
        <v>-5.3215527476614198E-2</v>
      </c>
      <c r="K133" s="4">
        <f t="shared" ref="K133:K139" si="54">IF($F133&gt;=0,C133,IF(AND($F133&lt;0,$G133&gt;=0),$B$125,0))</f>
        <v>-3.9423028240026254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-3.8890872965260113</v>
      </c>
      <c r="N133" s="4">
        <f t="shared" ref="N133:O139" si="57">IF(F133&lt;0,0,F133)</f>
        <v>0</v>
      </c>
      <c r="O133" s="4">
        <f t="shared" si="57"/>
        <v>1.6719979415648782E-2</v>
      </c>
      <c r="P133" s="4">
        <f t="shared" ref="P133:P139" si="58">(1/6)*(M133-K133)*((N133*((2*J133)+L133))+(O133*(J133+(2*L133))))</f>
        <v>-7.8915303406139516E-6</v>
      </c>
      <c r="Q133" s="4">
        <f t="shared" ref="Q133:Q139" si="59">((1/12)*(M133-K133)*(N133*J133*((3*K133)+M133)+N133*L133*(K133+M133)+O133*J133*(K133+M133)+O133*L133*(K133+(3*M133))))</f>
        <v>3.0900826372668041E-5</v>
      </c>
      <c r="R133" s="4">
        <f t="shared" ref="R133:R139" si="60">((-1/24)*(M133-K133)*(J133*J133*((3*N133)+O133)+2*J133*L133*(N133+O133)+L133*L133*(N133+(3*O133))))</f>
        <v>-1.0498798741836907E-7</v>
      </c>
    </row>
    <row r="134" spans="1:18" x14ac:dyDescent="0.25">
      <c r="A134" t="s">
        <v>71</v>
      </c>
      <c r="B134" s="4">
        <f t="shared" si="50"/>
        <v>0</v>
      </c>
      <c r="C134" s="4">
        <f t="shared" si="50"/>
        <v>-3.8890872965260113</v>
      </c>
      <c r="D134" s="4">
        <f t="shared" si="47"/>
        <v>3.8890872965260104</v>
      </c>
      <c r="E134" s="4">
        <f t="shared" si="47"/>
        <v>-7.7781745930520225</v>
      </c>
      <c r="F134" s="4">
        <f t="shared" si="48"/>
        <v>1.6719979415648782E-2</v>
      </c>
      <c r="G134" s="4">
        <f t="shared" si="49"/>
        <v>-1.2052064512140548</v>
      </c>
      <c r="H134" s="4">
        <f t="shared" si="51"/>
        <v>-1.0000000000000002</v>
      </c>
      <c r="I134" s="4">
        <f t="shared" si="52"/>
        <v>-3.8890872965260113</v>
      </c>
      <c r="J134" s="4">
        <f t="shared" si="53"/>
        <v>0</v>
      </c>
      <c r="K134" s="4">
        <f t="shared" si="54"/>
        <v>-3.8890872965260113</v>
      </c>
      <c r="L134" s="4">
        <f t="shared" si="55"/>
        <v>5.3215527476614163E-2</v>
      </c>
      <c r="M134" s="4">
        <f t="shared" si="56"/>
        <v>-3.9423028240026254</v>
      </c>
      <c r="N134" s="4">
        <f t="shared" si="57"/>
        <v>1.6719979415648782E-2</v>
      </c>
      <c r="O134" s="4">
        <f t="shared" si="57"/>
        <v>0</v>
      </c>
      <c r="P134" s="4">
        <f t="shared" si="58"/>
        <v>-7.8915303406139448E-6</v>
      </c>
      <c r="Q134" s="4">
        <f t="shared" si="59"/>
        <v>3.090082637266802E-5</v>
      </c>
      <c r="R134" s="4">
        <f t="shared" si="60"/>
        <v>1.0498798741836894E-7</v>
      </c>
    </row>
    <row r="135" spans="1:18" x14ac:dyDescent="0.25">
      <c r="A135" t="s">
        <v>72</v>
      </c>
      <c r="B135" s="4">
        <f t="shared" si="50"/>
        <v>3.8890872965260104</v>
      </c>
      <c r="C135" s="4">
        <f t="shared" si="50"/>
        <v>-7.7781745930520225</v>
      </c>
      <c r="D135" s="4">
        <f t="shared" si="47"/>
        <v>7.7781745930520216</v>
      </c>
      <c r="E135" s="4">
        <f t="shared" si="47"/>
        <v>-3.8890872965260117</v>
      </c>
      <c r="F135" s="4">
        <f t="shared" si="48"/>
        <v>-1.2052064512140548</v>
      </c>
      <c r="G135" s="4">
        <f t="shared" si="49"/>
        <v>1.6719979415648643E-2</v>
      </c>
      <c r="H135" s="4">
        <f t="shared" si="51"/>
        <v>0.99999999999999989</v>
      </c>
      <c r="I135" s="4">
        <f t="shared" si="52"/>
        <v>-11.667261889578032</v>
      </c>
      <c r="J135" s="4">
        <f t="shared" si="53"/>
        <v>7.7249590655754075</v>
      </c>
      <c r="K135" s="4">
        <f t="shared" si="54"/>
        <v>-3.9423028240026254</v>
      </c>
      <c r="L135" s="4">
        <f t="shared" si="55"/>
        <v>7.7781745930520216</v>
      </c>
      <c r="M135" s="4">
        <f t="shared" si="56"/>
        <v>-3.8890872965260117</v>
      </c>
      <c r="N135" s="4">
        <f t="shared" si="57"/>
        <v>0</v>
      </c>
      <c r="O135" s="4">
        <f t="shared" si="57"/>
        <v>1.6719979415648643E-2</v>
      </c>
      <c r="P135" s="4">
        <f t="shared" si="58"/>
        <v>3.4524725986799644E-3</v>
      </c>
      <c r="Q135" s="4">
        <f t="shared" si="59"/>
        <v>-1.348813904995122E-2</v>
      </c>
      <c r="R135" s="4">
        <f t="shared" si="60"/>
        <v>-1.3396381462719981E-2</v>
      </c>
    </row>
    <row r="136" spans="1:18" x14ac:dyDescent="0.25">
      <c r="A136" t="s">
        <v>73</v>
      </c>
      <c r="B136" s="4">
        <f t="shared" si="50"/>
        <v>7.7781745930520216</v>
      </c>
      <c r="C136" s="4">
        <f t="shared" si="50"/>
        <v>-3.8890872965260117</v>
      </c>
      <c r="D136" s="4">
        <f t="shared" si="47"/>
        <v>0</v>
      </c>
      <c r="E136" s="4">
        <f t="shared" si="47"/>
        <v>3.8890872965260113</v>
      </c>
      <c r="F136" s="4">
        <f t="shared" si="48"/>
        <v>1.6719979415648643E-2</v>
      </c>
      <c r="G136" s="4">
        <f t="shared" si="49"/>
        <v>2.4605728406750562</v>
      </c>
      <c r="H136" s="4">
        <f t="shared" si="51"/>
        <v>-1.0000000000000002</v>
      </c>
      <c r="I136" s="4">
        <f t="shared" si="52"/>
        <v>3.8890872965260117</v>
      </c>
      <c r="J136" s="4">
        <f t="shared" si="53"/>
        <v>7.7781745930520216</v>
      </c>
      <c r="K136" s="4">
        <f t="shared" si="54"/>
        <v>-3.8890872965260117</v>
      </c>
      <c r="L136" s="4">
        <f t="shared" si="55"/>
        <v>0</v>
      </c>
      <c r="M136" s="4">
        <f t="shared" si="56"/>
        <v>3.8890872965260113</v>
      </c>
      <c r="N136" s="4">
        <f t="shared" si="57"/>
        <v>1.6719979415648643E-2</v>
      </c>
      <c r="O136" s="4">
        <f t="shared" si="57"/>
        <v>2.4605728406750562</v>
      </c>
      <c r="P136" s="4">
        <f t="shared" si="58"/>
        <v>25.147962395022397</v>
      </c>
      <c r="Q136" s="4">
        <f t="shared" si="59"/>
        <v>-0.6556733837310591</v>
      </c>
      <c r="R136" s="4">
        <f t="shared" si="60"/>
        <v>-49.229147233863245</v>
      </c>
    </row>
    <row r="137" spans="1:18" x14ac:dyDescent="0.25">
      <c r="A137" t="s">
        <v>74</v>
      </c>
      <c r="B137" s="4">
        <f t="shared" si="50"/>
        <v>0</v>
      </c>
      <c r="C137" s="4">
        <f t="shared" si="50"/>
        <v>3.8890872965260113</v>
      </c>
      <c r="D137" s="4">
        <f t="shared" si="47"/>
        <v>-7.7781745930520225</v>
      </c>
      <c r="E137" s="4">
        <f t="shared" si="47"/>
        <v>-3.8890872965260104</v>
      </c>
      <c r="F137" s="4">
        <f t="shared" si="48"/>
        <v>2.4605728406750562</v>
      </c>
      <c r="G137" s="4">
        <f t="shared" si="49"/>
        <v>1.6719979415649063E-2</v>
      </c>
      <c r="H137" s="4">
        <f t="shared" si="51"/>
        <v>0.99999999999999989</v>
      </c>
      <c r="I137" s="4">
        <f t="shared" si="52"/>
        <v>3.8890872965260113</v>
      </c>
      <c r="J137" s="4">
        <f t="shared" si="53"/>
        <v>0</v>
      </c>
      <c r="K137" s="4">
        <f t="shared" si="54"/>
        <v>3.8890872965260113</v>
      </c>
      <c r="L137" s="4">
        <f t="shared" si="55"/>
        <v>-7.7781745930520225</v>
      </c>
      <c r="M137" s="4">
        <f t="shared" si="56"/>
        <v>-3.8890872965260104</v>
      </c>
      <c r="N137" s="4">
        <f t="shared" si="57"/>
        <v>2.4605728406750562</v>
      </c>
      <c r="O137" s="4">
        <f t="shared" si="57"/>
        <v>1.6719979415649063E-2</v>
      </c>
      <c r="P137" s="4">
        <f t="shared" si="58"/>
        <v>25.147962395022397</v>
      </c>
      <c r="Q137" s="4">
        <f t="shared" si="59"/>
        <v>-0.65567338373105832</v>
      </c>
      <c r="R137" s="4">
        <f t="shared" si="60"/>
        <v>49.229147233863259</v>
      </c>
    </row>
    <row r="138" spans="1:18" x14ac:dyDescent="0.25">
      <c r="A138" t="s">
        <v>75</v>
      </c>
      <c r="B138" s="4">
        <f t="shared" si="50"/>
        <v>-7.7781745930520225</v>
      </c>
      <c r="C138" s="4">
        <f t="shared" si="50"/>
        <v>-3.8890872965260104</v>
      </c>
      <c r="D138" s="4">
        <f t="shared" si="47"/>
        <v>-7.7781745930520225</v>
      </c>
      <c r="E138" s="4">
        <f t="shared" si="47"/>
        <v>-3.8890872965260104</v>
      </c>
      <c r="F138" s="4">
        <f t="shared" si="48"/>
        <v>1.6719979415649063E-2</v>
      </c>
      <c r="G138" s="4">
        <f t="shared" si="49"/>
        <v>1.6719979415649063E-2</v>
      </c>
      <c r="H138" s="4" t="str">
        <f t="shared" si="51"/>
        <v>V</v>
      </c>
      <c r="I138" s="4">
        <f t="shared" si="52"/>
        <v>0</v>
      </c>
      <c r="J138" s="4">
        <f t="shared" si="53"/>
        <v>-7.7781745930520225</v>
      </c>
      <c r="K138" s="4">
        <f t="shared" si="54"/>
        <v>-3.8890872965260104</v>
      </c>
      <c r="L138" s="4">
        <f t="shared" si="55"/>
        <v>-7.7781745930520225</v>
      </c>
      <c r="M138" s="4">
        <f t="shared" si="56"/>
        <v>-3.8890872965260104</v>
      </c>
      <c r="N138" s="4">
        <f t="shared" si="57"/>
        <v>1.6719979415649063E-2</v>
      </c>
      <c r="O138" s="4">
        <f t="shared" si="57"/>
        <v>1.6719979415649063E-2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-7.7781745930520225</v>
      </c>
      <c r="C139" s="4">
        <f>E138</f>
        <v>-3.8890872965260104</v>
      </c>
      <c r="D139" s="4">
        <f t="shared" si="47"/>
        <v>-7.7781745930520225</v>
      </c>
      <c r="E139" s="4">
        <f t="shared" si="47"/>
        <v>-3.8890872965260104</v>
      </c>
      <c r="F139" s="4">
        <f t="shared" si="48"/>
        <v>1.6719979415649063E-2</v>
      </c>
      <c r="G139" s="4">
        <f t="shared" si="49"/>
        <v>1.6719979415649063E-2</v>
      </c>
      <c r="H139" s="4" t="str">
        <f t="shared" si="51"/>
        <v>V</v>
      </c>
      <c r="I139" s="4">
        <f t="shared" si="52"/>
        <v>0</v>
      </c>
      <c r="J139" s="4">
        <f t="shared" si="53"/>
        <v>-7.7781745930520225</v>
      </c>
      <c r="K139" s="4">
        <f t="shared" si="54"/>
        <v>-3.8890872965260104</v>
      </c>
      <c r="L139" s="4">
        <f t="shared" si="55"/>
        <v>-7.7781745930520225</v>
      </c>
      <c r="M139" s="4">
        <f t="shared" si="56"/>
        <v>-3.8890872965260104</v>
      </c>
      <c r="N139" s="4">
        <f t="shared" si="57"/>
        <v>1.6719979415649063E-2</v>
      </c>
      <c r="O139" s="4">
        <f t="shared" si="57"/>
        <v>1.6719979415649063E-2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50.302813952181474</v>
      </c>
      <c r="Q140" s="4">
        <f>SUM(Q132:Q139)</f>
        <v>-1.3382612439092751</v>
      </c>
      <c r="R140" s="4">
        <f>SUM(R132:R139)</f>
        <v>1.4210854715202004E-14</v>
      </c>
    </row>
    <row r="142" spans="1:18" x14ac:dyDescent="0.25">
      <c r="O142" t="s">
        <v>96</v>
      </c>
      <c r="P142" s="1">
        <f>-1*R140/P140</f>
        <v>-2.8250615817856694E-16</v>
      </c>
    </row>
    <row r="143" spans="1:18" x14ac:dyDescent="0.25">
      <c r="O143" t="s">
        <v>97</v>
      </c>
      <c r="P143" s="1">
        <f>Q140/P140</f>
        <v>-2.6604103006671636E-2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-7.7781745930520225</v>
      </c>
      <c r="C146" s="9">
        <f>J84</f>
        <v>-3.8890872965260104</v>
      </c>
      <c r="D146" s="9">
        <f t="shared" ref="D146:E153" si="61">I85</f>
        <v>-7.7781745930520225</v>
      </c>
      <c r="E146">
        <f t="shared" si="61"/>
        <v>-3.8890872965260104</v>
      </c>
      <c r="F146" s="4">
        <f>($B$66/$B$65)*(C146-$B$125)</f>
        <v>1.6719979415649063E-2</v>
      </c>
      <c r="G146" s="4">
        <f>($B$66/$B$65)*(E146-$B$125)</f>
        <v>1.6719979415649063E-2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-7.7781745930520225</v>
      </c>
      <c r="K146" s="4">
        <f>IF($F146&gt;=0,C146,IF(AND($F146&lt;0,$G146&gt;=0),$B$125,0))</f>
        <v>-3.8890872965260104</v>
      </c>
      <c r="L146" s="4">
        <f>IF($G146&gt;=0,D146,IF(AND($G146&lt;0,$F146&gt;=0),IF(H146="V",D146,($B$125-I146)/H146),0))</f>
        <v>-7.7781745930520225</v>
      </c>
      <c r="M146" s="4">
        <f>IF($G146&gt;=0,E146,IF(AND($G146&lt;0,$F146&gt;=0),$B$125,0))</f>
        <v>-3.8890872965260104</v>
      </c>
      <c r="N146" s="4">
        <f>IF(F146&lt;0,0,F146)</f>
        <v>1.6719979415649063E-2</v>
      </c>
      <c r="O146" s="4">
        <f>IF(G146&lt;0,0,G146)</f>
        <v>1.6719979415649063E-2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-7.7781745930520225</v>
      </c>
      <c r="C147">
        <f t="shared" si="62"/>
        <v>-3.8890872965260104</v>
      </c>
      <c r="D147" s="9">
        <f t="shared" si="61"/>
        <v>-7.7781745930520225</v>
      </c>
      <c r="E147">
        <f t="shared" si="61"/>
        <v>-3.8890872965260104</v>
      </c>
      <c r="F147" s="4">
        <f t="shared" ref="F147:F153" si="63">($B$66/$B$65)*(C147-$B$125)</f>
        <v>1.6719979415649063E-2</v>
      </c>
      <c r="G147" s="4">
        <f t="shared" ref="G147:G153" si="64">($B$66/$B$65)*(E147-$B$125)</f>
        <v>1.6719979415649063E-2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-7.7781745930520225</v>
      </c>
      <c r="K147" s="4">
        <f t="shared" ref="K147:K153" si="68">IF($F147&gt;=0,C147,IF(AND($F147&lt;0,$G147&gt;=0),$B$125,0))</f>
        <v>-3.8890872965260104</v>
      </c>
      <c r="L147" s="4">
        <f t="shared" ref="L147:L153" si="69">IF($G147&gt;=0,D147,IF(AND($G147&lt;0,$F147&gt;=0),IF(H147="V",D147,($B$125-I147)/H147),0))</f>
        <v>-7.7781745930520225</v>
      </c>
      <c r="M147" s="4">
        <f t="shared" ref="M147:M153" si="70">IF($G147&gt;=0,E147,IF(AND($G147&lt;0,$F147&gt;=0),$B$125,0))</f>
        <v>-3.8890872965260104</v>
      </c>
      <c r="N147" s="4">
        <f t="shared" ref="N147:O153" si="71">IF(F147&lt;0,0,F147)</f>
        <v>1.6719979415649063E-2</v>
      </c>
      <c r="O147" s="4">
        <f t="shared" si="71"/>
        <v>1.6719979415649063E-2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-7.7781745930520225</v>
      </c>
      <c r="C148">
        <f t="shared" si="62"/>
        <v>-3.8890872965260104</v>
      </c>
      <c r="D148" s="9">
        <f t="shared" si="61"/>
        <v>-7.7781745930520225</v>
      </c>
      <c r="E148">
        <f t="shared" si="61"/>
        <v>-3.8890872965260104</v>
      </c>
      <c r="F148" s="4">
        <f t="shared" si="63"/>
        <v>1.6719979415649063E-2</v>
      </c>
      <c r="G148" s="4">
        <f t="shared" si="64"/>
        <v>1.6719979415649063E-2</v>
      </c>
      <c r="H148" s="4" t="str">
        <f t="shared" si="65"/>
        <v>V</v>
      </c>
      <c r="I148" s="4">
        <f t="shared" si="66"/>
        <v>0</v>
      </c>
      <c r="J148" s="4">
        <f t="shared" si="67"/>
        <v>-7.7781745930520225</v>
      </c>
      <c r="K148" s="4">
        <f t="shared" si="68"/>
        <v>-3.8890872965260104</v>
      </c>
      <c r="L148" s="4">
        <f t="shared" si="69"/>
        <v>-7.7781745930520225</v>
      </c>
      <c r="M148" s="4">
        <f t="shared" si="70"/>
        <v>-3.8890872965260104</v>
      </c>
      <c r="N148" s="4">
        <f t="shared" si="71"/>
        <v>1.6719979415649063E-2</v>
      </c>
      <c r="O148" s="4">
        <f t="shared" si="71"/>
        <v>1.6719979415649063E-2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-7.7781745930520225</v>
      </c>
      <c r="C149">
        <f t="shared" si="62"/>
        <v>-3.8890872965260104</v>
      </c>
      <c r="D149" s="9">
        <f t="shared" si="61"/>
        <v>-7.7781745930520225</v>
      </c>
      <c r="E149">
        <f t="shared" si="61"/>
        <v>-3.8890872965260104</v>
      </c>
      <c r="F149" s="4">
        <f t="shared" si="63"/>
        <v>1.6719979415649063E-2</v>
      </c>
      <c r="G149" s="4">
        <f t="shared" si="64"/>
        <v>1.6719979415649063E-2</v>
      </c>
      <c r="H149" s="4" t="str">
        <f t="shared" si="65"/>
        <v>V</v>
      </c>
      <c r="I149" s="4">
        <f t="shared" si="66"/>
        <v>0</v>
      </c>
      <c r="J149" s="4">
        <f t="shared" si="67"/>
        <v>-7.7781745930520225</v>
      </c>
      <c r="K149" s="4">
        <f t="shared" si="68"/>
        <v>-3.8890872965260104</v>
      </c>
      <c r="L149" s="4">
        <f t="shared" si="69"/>
        <v>-7.7781745930520225</v>
      </c>
      <c r="M149" s="4">
        <f t="shared" si="70"/>
        <v>-3.8890872965260104</v>
      </c>
      <c r="N149" s="4">
        <f t="shared" si="71"/>
        <v>1.6719979415649063E-2</v>
      </c>
      <c r="O149" s="4">
        <f t="shared" si="71"/>
        <v>1.6719979415649063E-2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-7.7781745930520225</v>
      </c>
      <c r="C150">
        <f t="shared" si="62"/>
        <v>-3.8890872965260104</v>
      </c>
      <c r="D150" s="9">
        <f t="shared" si="61"/>
        <v>-7.7781745930520225</v>
      </c>
      <c r="E150">
        <f t="shared" si="61"/>
        <v>-3.8890872965260104</v>
      </c>
      <c r="F150" s="4">
        <f t="shared" si="63"/>
        <v>1.6719979415649063E-2</v>
      </c>
      <c r="G150" s="4">
        <f t="shared" si="64"/>
        <v>1.6719979415649063E-2</v>
      </c>
      <c r="H150" s="4" t="str">
        <f t="shared" si="65"/>
        <v>V</v>
      </c>
      <c r="I150" s="4">
        <f t="shared" si="66"/>
        <v>0</v>
      </c>
      <c r="J150" s="4">
        <f t="shared" si="67"/>
        <v>-7.7781745930520225</v>
      </c>
      <c r="K150" s="4">
        <f t="shared" si="68"/>
        <v>-3.8890872965260104</v>
      </c>
      <c r="L150" s="4">
        <f t="shared" si="69"/>
        <v>-7.7781745930520225</v>
      </c>
      <c r="M150" s="4">
        <f t="shared" si="70"/>
        <v>-3.8890872965260104</v>
      </c>
      <c r="N150" s="4">
        <f t="shared" si="71"/>
        <v>1.6719979415649063E-2</v>
      </c>
      <c r="O150" s="4">
        <f t="shared" si="71"/>
        <v>1.6719979415649063E-2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-7.7781745930520225</v>
      </c>
      <c r="C151">
        <f t="shared" si="62"/>
        <v>-3.8890872965260104</v>
      </c>
      <c r="D151" s="9">
        <f t="shared" si="61"/>
        <v>-7.7781745930520225</v>
      </c>
      <c r="E151">
        <f t="shared" si="61"/>
        <v>-3.8890872965260104</v>
      </c>
      <c r="F151" s="4">
        <f t="shared" si="63"/>
        <v>1.6719979415649063E-2</v>
      </c>
      <c r="G151" s="4">
        <f t="shared" si="64"/>
        <v>1.6719979415649063E-2</v>
      </c>
      <c r="H151" s="4" t="str">
        <f t="shared" si="65"/>
        <v>V</v>
      </c>
      <c r="I151" s="4">
        <f t="shared" si="66"/>
        <v>0</v>
      </c>
      <c r="J151" s="4">
        <f t="shared" si="67"/>
        <v>-7.7781745930520225</v>
      </c>
      <c r="K151" s="4">
        <f t="shared" si="68"/>
        <v>-3.8890872965260104</v>
      </c>
      <c r="L151" s="4">
        <f t="shared" si="69"/>
        <v>-7.7781745930520225</v>
      </c>
      <c r="M151" s="4">
        <f t="shared" si="70"/>
        <v>-3.8890872965260104</v>
      </c>
      <c r="N151" s="4">
        <f t="shared" si="71"/>
        <v>1.6719979415649063E-2</v>
      </c>
      <c r="O151" s="4">
        <f t="shared" si="71"/>
        <v>1.6719979415649063E-2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-7.7781745930520225</v>
      </c>
      <c r="C152">
        <f t="shared" si="62"/>
        <v>-3.8890872965260104</v>
      </c>
      <c r="D152" s="9">
        <f t="shared" si="61"/>
        <v>-7.7781745930520225</v>
      </c>
      <c r="E152">
        <f t="shared" si="61"/>
        <v>-3.8890872965260104</v>
      </c>
      <c r="F152" s="4">
        <f t="shared" si="63"/>
        <v>1.6719979415649063E-2</v>
      </c>
      <c r="G152" s="4">
        <f t="shared" si="64"/>
        <v>1.6719979415649063E-2</v>
      </c>
      <c r="H152" s="4" t="str">
        <f t="shared" si="65"/>
        <v>V</v>
      </c>
      <c r="I152" s="4">
        <f t="shared" si="66"/>
        <v>0</v>
      </c>
      <c r="J152" s="4">
        <f t="shared" si="67"/>
        <v>-7.7781745930520225</v>
      </c>
      <c r="K152" s="4">
        <f t="shared" si="68"/>
        <v>-3.8890872965260104</v>
      </c>
      <c r="L152" s="4">
        <f t="shared" si="69"/>
        <v>-7.7781745930520225</v>
      </c>
      <c r="M152" s="4">
        <f t="shared" si="70"/>
        <v>-3.8890872965260104</v>
      </c>
      <c r="N152" s="4">
        <f t="shared" si="71"/>
        <v>1.6719979415649063E-2</v>
      </c>
      <c r="O152" s="4">
        <f t="shared" si="71"/>
        <v>1.6719979415649063E-2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-7.7781745930520225</v>
      </c>
      <c r="C153">
        <f t="shared" si="62"/>
        <v>-3.8890872965260104</v>
      </c>
      <c r="D153" s="9">
        <f t="shared" si="61"/>
        <v>-7.7781745930520225</v>
      </c>
      <c r="E153">
        <f t="shared" si="61"/>
        <v>-3.8890872965260104</v>
      </c>
      <c r="F153" s="4">
        <f t="shared" si="63"/>
        <v>1.6719979415649063E-2</v>
      </c>
      <c r="G153" s="4">
        <f t="shared" si="64"/>
        <v>1.6719979415649063E-2</v>
      </c>
      <c r="H153" s="4" t="str">
        <f t="shared" si="65"/>
        <v>V</v>
      </c>
      <c r="I153" s="4">
        <f t="shared" si="66"/>
        <v>0</v>
      </c>
      <c r="J153" s="4">
        <f t="shared" si="67"/>
        <v>-7.7781745930520225</v>
      </c>
      <c r="K153" s="4">
        <f t="shared" si="68"/>
        <v>-3.8890872965260104</v>
      </c>
      <c r="L153" s="4">
        <f t="shared" si="69"/>
        <v>-7.7781745930520225</v>
      </c>
      <c r="M153" s="4">
        <f t="shared" si="70"/>
        <v>-3.8890872965260104</v>
      </c>
      <c r="N153" s="4">
        <f t="shared" si="71"/>
        <v>1.6719979415649063E-2</v>
      </c>
      <c r="O153" s="4">
        <f t="shared" si="71"/>
        <v>1.6719979415649063E-2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50.000000004491334</v>
      </c>
      <c r="C159" t="s">
        <v>36</v>
      </c>
    </row>
    <row r="160" spans="1:18" x14ac:dyDescent="0.25">
      <c r="A160" s="1" t="s">
        <v>106</v>
      </c>
      <c r="B160" s="4">
        <f>Q140+I122+Q154-O122</f>
        <v>-1.9849487387091358E-8</v>
      </c>
      <c r="C160" t="s">
        <v>102</v>
      </c>
    </row>
    <row r="161" spans="1:9" x14ac:dyDescent="0.25">
      <c r="A161" s="1" t="s">
        <v>107</v>
      </c>
      <c r="B161" s="4">
        <f>R140+J122+R154-P122</f>
        <v>1.532107773982716E-14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50.000000004491334</v>
      </c>
      <c r="C164" t="s">
        <v>36</v>
      </c>
      <c r="E164" s="8">
        <f>B2-B164</f>
        <v>-4.4913335273122357E-9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-1.4035717968127107E-8</v>
      </c>
      <c r="C165" t="s">
        <v>102</v>
      </c>
      <c r="E165" s="8">
        <f>B3+B165</f>
        <v>-1.4035717968127107E-8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-1.403569630085118E-8</v>
      </c>
      <c r="C166" t="s">
        <v>102</v>
      </c>
      <c r="E166" s="8">
        <f>B4+B166</f>
        <v>-1.403569630085118E-8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2.4605728406750562</v>
      </c>
      <c r="B169" s="1">
        <f ca="1">IF(E122=0,0,(MIN(H110:H121)*B65)/(B55*B56*E122))</f>
        <v>-2.4605728041801229</v>
      </c>
      <c r="C169" s="3">
        <f ca="1">A169+B169</f>
        <v>3.6494933297603893E-8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1.1649337342311738E-8</v>
      </c>
      <c r="C175" s="27">
        <f>B65*SQRT(I175)</f>
        <v>1.1615828712744079E-7</v>
      </c>
      <c r="D175" s="27">
        <f>B66*SQRT(I175)</f>
        <v>3.6496193156806058E-8</v>
      </c>
      <c r="E175" s="27">
        <f>B67*SQRT(I175)</f>
        <v>2.2457283407310791E-9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0.78539817504678577</v>
      </c>
      <c r="C176" s="3">
        <f>B65+C175</f>
        <v>7.8313902366869241</v>
      </c>
      <c r="D176" s="3">
        <f>D175+B66</f>
        <v>2.4605728771712494</v>
      </c>
      <c r="E176" s="3">
        <f>B67+E175</f>
        <v>0.1514069760907982</v>
      </c>
      <c r="F176" s="16" t="s">
        <v>125</v>
      </c>
    </row>
    <row r="177" spans="1:13" x14ac:dyDescent="0.25">
      <c r="B177" s="27">
        <f>B176-B64</f>
        <v>1.1649337383623504E-8</v>
      </c>
      <c r="C177" s="27">
        <f>C176-B65</f>
        <v>1.161582874331657E-7</v>
      </c>
      <c r="D177" s="27">
        <f>D176-B66</f>
        <v>3.6496193178692238E-8</v>
      </c>
      <c r="E177" s="27">
        <f>E176-B67</f>
        <v>2.2457283532784089E-9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-20.443537786034994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-7.7781745814552306</v>
      </c>
      <c r="B181" s="25">
        <f>(d_alpha_p!E136-d_alpha_m!E136)/(2*B177)</f>
        <v>0</v>
      </c>
      <c r="C181" s="25">
        <f>(d_alpha_p!E137-d_alpha_m!E137)/(2*B177)</f>
        <v>7.7781745623945238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4.4913335273122357E-9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1.4035717968127107E-8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1.403569630085118E-8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-3.6494933297603893E-8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-20.443537786034994</v>
      </c>
      <c r="B190" s="25">
        <f>A181</f>
        <v>-7.7781745814552306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7.7781745623945238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-20.443537786034994</v>
      </c>
      <c r="B201" s="25">
        <f t="shared" ref="B201:C201" si="77">B190</f>
        <v>-7.7781745814552306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7.7781745623945238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User_Inputs</vt:lpstr>
      <vt:lpstr>shapes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 Bockoven</cp:lastModifiedBy>
  <dcterms:created xsi:type="dcterms:W3CDTF">2020-10-27T13:55:59Z</dcterms:created>
  <dcterms:modified xsi:type="dcterms:W3CDTF">2020-11-05T14:50:01Z</dcterms:modified>
</cp:coreProperties>
</file>