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674992B3-1EB7-4766-855B-A73E515E7201}" xr6:coauthVersionLast="45" xr6:coauthVersionMax="45" xr10:uidLastSave="{00000000-0000-0000-0000-000000000000}"/>
  <bookViews>
    <workbookView xWindow="-120" yWindow="-120" windowWidth="27930" windowHeight="1824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3" i="1" l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B9" i="1" l="1"/>
  <c r="G4" i="1" l="1"/>
  <c r="G3" i="1"/>
  <c r="G6" i="1"/>
  <c r="Q25" i="1" l="1"/>
  <c r="Q27" i="1"/>
  <c r="X43" i="1" l="1"/>
  <c r="X42" i="1"/>
  <c r="X41" i="1"/>
  <c r="X40" i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Q42" i="7" s="1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D105" i="7"/>
  <c r="D120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Q39" i="5" l="1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C80" i="4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J21" i="9" s="1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0" i="3" l="1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H22" i="3" l="1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M13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22" i="3" s="1"/>
  <c r="J18" i="2"/>
  <c r="J22" i="2" s="1"/>
  <c r="H22" i="9"/>
  <c r="L13" i="9" s="1"/>
  <c r="F22" i="9"/>
  <c r="R19" i="9" s="1"/>
  <c r="I2" i="9"/>
  <c r="F22" i="8"/>
  <c r="E22" i="8"/>
  <c r="I22" i="7"/>
  <c r="J18" i="6"/>
  <c r="J22" i="6" s="1"/>
  <c r="G22" i="6"/>
  <c r="J19" i="9"/>
  <c r="I22" i="6"/>
  <c r="H22" i="5"/>
  <c r="J18" i="5"/>
  <c r="J18" i="7"/>
  <c r="G22" i="7"/>
  <c r="N13" i="9"/>
  <c r="K13" i="9"/>
  <c r="J22" i="5" l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K15" i="8"/>
  <c r="L13" i="4"/>
  <c r="R19" i="8"/>
  <c r="J22" i="9"/>
  <c r="M13" i="9" s="1"/>
  <c r="M13" i="6"/>
  <c r="K21" i="9"/>
  <c r="K18" i="9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N13" i="6"/>
  <c r="K13" i="6"/>
  <c r="O13" i="5"/>
  <c r="L13" i="5"/>
  <c r="K13" i="7"/>
  <c r="N13" i="7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Y15" i="8" l="1"/>
  <c r="AA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AC14" i="9" s="1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AC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AC15" i="8"/>
  <c r="K17" i="5"/>
  <c r="K19" i="5"/>
  <c r="K14" i="5"/>
  <c r="O17" i="5" s="1"/>
  <c r="O19" i="5" s="1"/>
  <c r="AC15" i="9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AC16" i="9" s="1"/>
  <c r="W13" i="9"/>
  <c r="Z20" i="9"/>
  <c r="AB20" i="9" s="1"/>
  <c r="AC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6" i="3" l="1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E11" i="1"/>
  <c r="I5" i="3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F22" i="1"/>
  <c r="N13" i="1" s="1"/>
  <c r="J22" i="1"/>
  <c r="M13" i="1" s="1"/>
  <c r="I2" i="1"/>
  <c r="L13" i="1"/>
  <c r="K13" i="1"/>
  <c r="Y14" i="1" l="1"/>
  <c r="Y16" i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AI14" i="1" s="1"/>
  <c r="Z14" i="1"/>
  <c r="AB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K20" i="1"/>
  <c r="R19" i="1"/>
  <c r="K16" i="1"/>
  <c r="K19" i="1"/>
  <c r="K15" i="1"/>
  <c r="K14" i="1"/>
  <c r="O17" i="1" s="1"/>
  <c r="N19" i="1" s="1"/>
  <c r="K17" i="1"/>
  <c r="K18" i="1"/>
  <c r="S13" i="1"/>
  <c r="AA14" i="1"/>
  <c r="AA16" i="1"/>
  <c r="AA15" i="1"/>
  <c r="Q13" i="1"/>
  <c r="T13" i="1" s="1"/>
  <c r="R13" i="1"/>
  <c r="AM14" i="1" l="1"/>
  <c r="AI21" i="1"/>
  <c r="AI20" i="1"/>
  <c r="AM20" i="1"/>
  <c r="AM21" i="1"/>
  <c r="AM16" i="1"/>
  <c r="AM18" i="1"/>
  <c r="AM19" i="1"/>
  <c r="AM17" i="1"/>
  <c r="AM15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K21" i="1" l="1"/>
  <c r="AK20" i="1"/>
  <c r="AG21" i="1"/>
  <c r="AK18" i="1"/>
  <c r="AK15" i="1"/>
  <c r="AK19" i="1"/>
  <c r="AK17" i="1"/>
  <c r="AG20" i="1"/>
  <c r="AK16" i="1"/>
  <c r="AG15" i="1"/>
  <c r="AG14" i="1"/>
  <c r="AC14" i="1" s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X44" i="1" s="1"/>
  <c r="U37" i="1"/>
  <c r="AC21" i="1" l="1"/>
  <c r="AN21" i="1" s="1"/>
  <c r="AC20" i="1"/>
  <c r="AN20" i="1" s="1"/>
  <c r="AC18" i="1"/>
  <c r="AN18" i="1" s="1"/>
  <c r="AN14" i="1"/>
  <c r="AC19" i="1"/>
  <c r="AN19" i="1" s="1"/>
  <c r="AC15" i="1"/>
  <c r="AN15" i="1" s="1"/>
  <c r="AC17" i="1"/>
  <c r="AN17" i="1" s="1"/>
  <c r="AC16" i="1"/>
  <c r="AN16" i="1" s="1"/>
  <c r="B56" i="1"/>
  <c r="J66" i="1" l="1"/>
  <c r="N66" i="1" s="1"/>
  <c r="AC27" i="1"/>
  <c r="AD27" i="1" s="1"/>
  <c r="AC26" i="1"/>
  <c r="AD26" i="1" s="1"/>
  <c r="AC23" i="1"/>
  <c r="AC24" i="1"/>
  <c r="AC22" i="1"/>
  <c r="Q66" i="1"/>
  <c r="P66" i="1" l="1"/>
  <c r="E119" i="1"/>
  <c r="E118" i="1"/>
  <c r="E120" i="1"/>
  <c r="E121" i="1"/>
  <c r="AE26" i="1"/>
  <c r="AE27" i="1"/>
  <c r="L218" i="1" l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E120" i="3"/>
  <c r="E118" i="3"/>
  <c r="E121" i="3"/>
  <c r="E119" i="3"/>
  <c r="E119" i="7"/>
  <c r="E118" i="7"/>
  <c r="E120" i="7"/>
  <c r="E121" i="7"/>
  <c r="E119" i="9"/>
  <c r="E121" i="9"/>
  <c r="E120" i="9"/>
  <c r="E118" i="9"/>
  <c r="E120" i="6"/>
  <c r="E121" i="6"/>
  <c r="E118" i="6"/>
  <c r="E119" i="6"/>
  <c r="E120" i="2"/>
  <c r="E121" i="2"/>
  <c r="E118" i="2"/>
  <c r="E119" i="2"/>
  <c r="E118" i="5"/>
  <c r="E120" i="5"/>
  <c r="E121" i="5"/>
  <c r="E119" i="5"/>
  <c r="E120" i="8"/>
  <c r="E119" i="8"/>
  <c r="E121" i="8"/>
  <c r="E118" i="8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E120" i="4"/>
  <c r="E121" i="4"/>
  <c r="E119" i="4"/>
  <c r="E118" i="4"/>
  <c r="AE32" i="1"/>
  <c r="AK29" i="1"/>
  <c r="AJ29" i="1"/>
  <c r="D180" i="2" l="1"/>
  <c r="A193" i="2" s="1"/>
  <c r="D178" i="6"/>
  <c r="D180" i="6"/>
  <c r="A193" i="6" s="1"/>
  <c r="J65" i="1"/>
  <c r="N65" i="1" s="1"/>
  <c r="Q65" i="1"/>
  <c r="AE34" i="1"/>
  <c r="AE36" i="1" s="1"/>
  <c r="AJ31" i="1"/>
  <c r="P65" i="1" l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G119" i="1" s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G118" i="1" s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7" i="1" l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G118" i="2" s="1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G119" i="2" s="1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5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G118" i="9" s="1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G119" i="9" s="1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G119" i="5" s="1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G118" i="5" s="1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G118" i="7" s="1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G119" i="7" s="1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G119" i="4" s="1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G118" i="4" s="1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G119" i="6" s="1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G118" i="6" s="1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G119" i="8" s="1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G118" i="8" s="1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H152" i="1"/>
  <c r="I152" i="1" s="1"/>
  <c r="E116" i="1" l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H132" i="1"/>
  <c r="I132" i="1" s="1"/>
  <c r="G138" i="1"/>
  <c r="F147" i="1"/>
  <c r="N147" i="1" s="1"/>
  <c r="M115" i="1"/>
  <c r="N115" i="1" s="1"/>
  <c r="M119" i="1"/>
  <c r="N119" i="1" s="1"/>
  <c r="G147" i="1"/>
  <c r="O147" i="1" s="1"/>
  <c r="G148" i="1"/>
  <c r="M113" i="1"/>
  <c r="Y113" i="1" s="1"/>
  <c r="M116" i="1"/>
  <c r="Y116" i="1" s="1"/>
  <c r="F151" i="1"/>
  <c r="F139" i="1"/>
  <c r="N139" i="1" s="1"/>
  <c r="F153" i="1"/>
  <c r="N153" i="1" s="1"/>
  <c r="M112" i="1"/>
  <c r="N112" i="1" s="1"/>
  <c r="G153" i="1"/>
  <c r="F148" i="1"/>
  <c r="F149" i="1"/>
  <c r="N149" i="1" s="1"/>
  <c r="G135" i="1"/>
  <c r="O135" i="1" s="1"/>
  <c r="M120" i="1"/>
  <c r="N120" i="1" s="1"/>
  <c r="G149" i="1"/>
  <c r="G146" i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M110" i="6" s="1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G118" i="3" s="1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G119" i="3" s="1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E113" i="4" s="1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E114" i="5" s="1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5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5" i="7" s="1"/>
  <c r="C134" i="5"/>
  <c r="H134" i="5" s="1"/>
  <c r="I134" i="5" s="1"/>
  <c r="C147" i="5"/>
  <c r="H147" i="5" s="1"/>
  <c r="I147" i="5" s="1"/>
  <c r="H135" i="1"/>
  <c r="I135" i="1" s="1"/>
  <c r="F135" i="1"/>
  <c r="C138" i="9"/>
  <c r="H138" i="9" s="1"/>
  <c r="I138" i="9" s="1"/>
  <c r="C132" i="2"/>
  <c r="B125" i="2"/>
  <c r="E113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E114" i="9" s="1"/>
  <c r="H153" i="9"/>
  <c r="I153" i="9" s="1"/>
  <c r="C136" i="9"/>
  <c r="H146" i="9"/>
  <c r="I146" i="9" s="1"/>
  <c r="E111" i="1"/>
  <c r="G126" i="1"/>
  <c r="E110" i="1"/>
  <c r="M111" i="1"/>
  <c r="E116" i="5" l="1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O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F149" i="5"/>
  <c r="G147" i="8"/>
  <c r="G147" i="5"/>
  <c r="G138" i="8"/>
  <c r="O138" i="8" s="1"/>
  <c r="G149" i="5"/>
  <c r="F139" i="8"/>
  <c r="M121" i="8"/>
  <c r="N121" i="8" s="1"/>
  <c r="O121" i="8" s="1"/>
  <c r="F139" i="5"/>
  <c r="O151" i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O146" i="1"/>
  <c r="O138" i="1"/>
  <c r="J152" i="1"/>
  <c r="N151" i="1"/>
  <c r="F149" i="2"/>
  <c r="M113" i="7"/>
  <c r="N113" i="7" s="1"/>
  <c r="P113" i="7" s="1"/>
  <c r="K151" i="1"/>
  <c r="K148" i="1"/>
  <c r="K152" i="1"/>
  <c r="M114" i="8"/>
  <c r="N114" i="8" s="1"/>
  <c r="P114" i="8" s="1"/>
  <c r="N148" i="1"/>
  <c r="G151" i="2"/>
  <c r="O151" i="2" s="1"/>
  <c r="G135" i="5"/>
  <c r="O135" i="5" s="1"/>
  <c r="F147" i="5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M117" i="5"/>
  <c r="N117" i="5" s="1"/>
  <c r="O117" i="5" s="1"/>
  <c r="O148" i="1"/>
  <c r="M121" i="5"/>
  <c r="N121" i="5" s="1"/>
  <c r="P121" i="5" s="1"/>
  <c r="G150" i="8"/>
  <c r="O150" i="8" s="1"/>
  <c r="M112" i="8"/>
  <c r="N112" i="8" s="1"/>
  <c r="P112" i="8" s="1"/>
  <c r="G132" i="8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F150" i="5"/>
  <c r="N150" i="5" s="1"/>
  <c r="G149" i="8"/>
  <c r="O149" i="8" s="1"/>
  <c r="G148" i="2"/>
  <c r="O148" i="2" s="1"/>
  <c r="G134" i="8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F148" i="5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G134" i="9"/>
  <c r="O134" i="9" s="1"/>
  <c r="G150" i="9"/>
  <c r="O150" i="9" s="1"/>
  <c r="M153" i="1"/>
  <c r="F134" i="8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O153" i="1"/>
  <c r="F147" i="9"/>
  <c r="N147" i="9" s="1"/>
  <c r="G134" i="4"/>
  <c r="O134" i="4" s="1"/>
  <c r="N116" i="1"/>
  <c r="P116" i="1" s="1"/>
  <c r="G147" i="2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G146" i="8"/>
  <c r="O146" i="8" s="1"/>
  <c r="G134" i="2"/>
  <c r="O134" i="2" s="1"/>
  <c r="M114" i="7"/>
  <c r="N114" i="7" s="1"/>
  <c r="O114" i="7" s="1"/>
  <c r="G146" i="2"/>
  <c r="O146" i="2" s="1"/>
  <c r="O149" i="1"/>
  <c r="M115" i="7"/>
  <c r="N115" i="7" s="1"/>
  <c r="P115" i="7" s="1"/>
  <c r="F151" i="2"/>
  <c r="G133" i="9"/>
  <c r="O133" i="9" s="1"/>
  <c r="F149" i="9"/>
  <c r="N149" i="9" s="1"/>
  <c r="F139" i="9"/>
  <c r="M118" i="2"/>
  <c r="N118" i="2" s="1"/>
  <c r="P118" i="2" s="1"/>
  <c r="M117" i="2"/>
  <c r="N117" i="2" s="1"/>
  <c r="O117" i="2" s="1"/>
  <c r="F146" i="9"/>
  <c r="N113" i="1"/>
  <c r="O113" i="1" s="1"/>
  <c r="F148" i="2"/>
  <c r="G149" i="7"/>
  <c r="O149" i="7" s="1"/>
  <c r="F150" i="2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F136" i="9"/>
  <c r="N136" i="9" s="1"/>
  <c r="M116" i="2"/>
  <c r="N116" i="2" s="1"/>
  <c r="O116" i="2" s="1"/>
  <c r="F137" i="7"/>
  <c r="G133" i="2"/>
  <c r="O133" i="2" s="1"/>
  <c r="F147" i="7"/>
  <c r="N147" i="7" s="1"/>
  <c r="G153" i="2"/>
  <c r="O153" i="2" s="1"/>
  <c r="F132" i="8"/>
  <c r="N132" i="8" s="1"/>
  <c r="F146" i="5"/>
  <c r="F153" i="5"/>
  <c r="G148" i="6"/>
  <c r="O148" i="6" s="1"/>
  <c r="F151" i="6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F148" i="9"/>
  <c r="H132" i="7"/>
  <c r="I132" i="7" s="1"/>
  <c r="E110" i="7"/>
  <c r="E111" i="7"/>
  <c r="G126" i="7"/>
  <c r="G127" i="7" s="1"/>
  <c r="G153" i="4"/>
  <c r="M113" i="8"/>
  <c r="N113" i="8" s="1"/>
  <c r="F152" i="8"/>
  <c r="H136" i="9"/>
  <c r="I136" i="9" s="1"/>
  <c r="G135" i="2"/>
  <c r="G146" i="9"/>
  <c r="F146" i="7"/>
  <c r="F152" i="4"/>
  <c r="M121" i="6"/>
  <c r="N121" i="6" s="1"/>
  <c r="M116" i="8"/>
  <c r="N116" i="8" s="1"/>
  <c r="F136" i="5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F152" i="7"/>
  <c r="F148" i="4"/>
  <c r="F137" i="6"/>
  <c r="F152" i="9"/>
  <c r="F135" i="5"/>
  <c r="M117" i="7"/>
  <c r="N117" i="7" s="1"/>
  <c r="H136" i="4"/>
  <c r="I136" i="4" s="1"/>
  <c r="M120" i="6"/>
  <c r="N120" i="6" s="1"/>
  <c r="F146" i="4"/>
  <c r="P115" i="1"/>
  <c r="O115" i="1"/>
  <c r="K137" i="1"/>
  <c r="J137" i="1"/>
  <c r="N137" i="1"/>
  <c r="K136" i="1"/>
  <c r="J136" i="1"/>
  <c r="N136" i="1"/>
  <c r="N111" i="1"/>
  <c r="Y111" i="1"/>
  <c r="M119" i="6"/>
  <c r="N119" i="6" s="1"/>
  <c r="F151" i="4"/>
  <c r="F147" i="6"/>
  <c r="F150" i="4"/>
  <c r="G147" i="6"/>
  <c r="F149" i="6"/>
  <c r="F132" i="6"/>
  <c r="E110" i="9"/>
  <c r="E111" i="9"/>
  <c r="G126" i="9"/>
  <c r="G127" i="9" s="1"/>
  <c r="K134" i="1"/>
  <c r="J134" i="1"/>
  <c r="N134" i="1"/>
  <c r="M119" i="7"/>
  <c r="N119" i="7" s="1"/>
  <c r="M120" i="7"/>
  <c r="N120" i="7" s="1"/>
  <c r="M111" i="4"/>
  <c r="N111" i="4" s="1"/>
  <c r="F135" i="6"/>
  <c r="G136" i="7"/>
  <c r="G149" i="9"/>
  <c r="G146" i="7"/>
  <c r="M120" i="4"/>
  <c r="N120" i="4" s="1"/>
  <c r="E110" i="2"/>
  <c r="E111" i="2"/>
  <c r="G126" i="2"/>
  <c r="G127" i="2" s="1"/>
  <c r="G153" i="9"/>
  <c r="F136" i="7"/>
  <c r="F138" i="4"/>
  <c r="F133" i="6"/>
  <c r="E111" i="8"/>
  <c r="E110" i="8"/>
  <c r="G126" i="8"/>
  <c r="G127" i="8" s="1"/>
  <c r="F135" i="2"/>
  <c r="E110" i="5"/>
  <c r="E111" i="5"/>
  <c r="G126" i="5"/>
  <c r="G127" i="5" s="1"/>
  <c r="H134" i="2"/>
  <c r="I134" i="2" s="1"/>
  <c r="F151" i="9"/>
  <c r="G151" i="5"/>
  <c r="F133" i="7"/>
  <c r="G148" i="4"/>
  <c r="G153" i="6"/>
  <c r="F146" i="8"/>
  <c r="G132" i="2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F152" i="2"/>
  <c r="G153" i="5"/>
  <c r="F134" i="7"/>
  <c r="M117" i="4"/>
  <c r="N117" i="4" s="1"/>
  <c r="F148" i="6"/>
  <c r="M115" i="8"/>
  <c r="N115" i="8" s="1"/>
  <c r="M112" i="2"/>
  <c r="N112" i="2" s="1"/>
  <c r="F134" i="9"/>
  <c r="G150" i="5"/>
  <c r="M113" i="5"/>
  <c r="N113" i="5" s="1"/>
  <c r="G136" i="4"/>
  <c r="M115" i="6"/>
  <c r="N115" i="6" s="1"/>
  <c r="Q77" i="8"/>
  <c r="R77" i="8" s="1"/>
  <c r="R76" i="8"/>
  <c r="O112" i="1"/>
  <c r="P112" i="1"/>
  <c r="G139" i="6"/>
  <c r="D181" i="3"/>
  <c r="B193" i="3" s="1"/>
  <c r="B178" i="3"/>
  <c r="F135" i="4"/>
  <c r="G137" i="4"/>
  <c r="M115" i="4"/>
  <c r="N115" i="4" s="1"/>
  <c r="M118" i="4"/>
  <c r="N118" i="4" s="1"/>
  <c r="G133" i="4"/>
  <c r="K138" i="1"/>
  <c r="J138" i="1"/>
  <c r="N138" i="1"/>
  <c r="F150" i="9"/>
  <c r="M112" i="4"/>
  <c r="N112" i="4" s="1"/>
  <c r="R76" i="6"/>
  <c r="Q77" i="6"/>
  <c r="R77" i="6" s="1"/>
  <c r="G137" i="9"/>
  <c r="G148" i="7"/>
  <c r="M116" i="6"/>
  <c r="N116" i="6" s="1"/>
  <c r="Q77" i="9"/>
  <c r="R77" i="9" s="1"/>
  <c r="R76" i="9"/>
  <c r="M113" i="2"/>
  <c r="N113" i="2" s="1"/>
  <c r="M111" i="2"/>
  <c r="N111" i="2" s="1"/>
  <c r="G132" i="9"/>
  <c r="F152" i="5"/>
  <c r="H136" i="7"/>
  <c r="I136" i="7" s="1"/>
  <c r="F149" i="4"/>
  <c r="G133" i="6"/>
  <c r="H136" i="8"/>
  <c r="I136" i="8" s="1"/>
  <c r="F133" i="2"/>
  <c r="C132" i="3"/>
  <c r="B125" i="3"/>
  <c r="E113" i="3" s="1"/>
  <c r="C153" i="3"/>
  <c r="H153" i="3" s="1"/>
  <c r="I153" i="3" s="1"/>
  <c r="F149" i="8"/>
  <c r="G137" i="2"/>
  <c r="H135" i="9"/>
  <c r="I135" i="9" s="1"/>
  <c r="M110" i="5"/>
  <c r="G150" i="7"/>
  <c r="H132" i="4"/>
  <c r="I132" i="4" s="1"/>
  <c r="G146" i="4"/>
  <c r="H133" i="6"/>
  <c r="I133" i="6" s="1"/>
  <c r="Q77" i="2"/>
  <c r="R77" i="2" s="1"/>
  <c r="R76" i="2"/>
  <c r="K132" i="1"/>
  <c r="J132" i="1"/>
  <c r="N132" i="1"/>
  <c r="M113" i="9"/>
  <c r="N113" i="9" s="1"/>
  <c r="F151" i="5"/>
  <c r="F137" i="4"/>
  <c r="M113" i="6"/>
  <c r="N113" i="6" s="1"/>
  <c r="G149" i="6"/>
  <c r="H134" i="8"/>
  <c r="I134" i="8" s="1"/>
  <c r="G149" i="4"/>
  <c r="F132" i="4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B181" i="6"/>
  <c r="B191" i="6" s="1"/>
  <c r="B202" i="6" s="1"/>
  <c r="M111" i="9"/>
  <c r="N111" i="9" s="1"/>
  <c r="H135" i="4"/>
  <c r="I135" i="4" s="1"/>
  <c r="F138" i="9"/>
  <c r="F149" i="7"/>
  <c r="M111" i="6"/>
  <c r="N111" i="6" s="1"/>
  <c r="G152" i="7"/>
  <c r="J150" i="1"/>
  <c r="K150" i="1"/>
  <c r="N150" i="1"/>
  <c r="F133" i="9"/>
  <c r="G137" i="7"/>
  <c r="G132" i="4"/>
  <c r="F134" i="6"/>
  <c r="G136" i="2"/>
  <c r="C133" i="3"/>
  <c r="C149" i="3"/>
  <c r="H149" i="3" s="1"/>
  <c r="I149" i="3" s="1"/>
  <c r="C151" i="3"/>
  <c r="H151" i="3" s="1"/>
  <c r="I151" i="3" s="1"/>
  <c r="M120" i="8"/>
  <c r="N120" i="8" s="1"/>
  <c r="F138" i="2"/>
  <c r="M116" i="9"/>
  <c r="N116" i="9" s="1"/>
  <c r="F151" i="7"/>
  <c r="G135" i="4"/>
  <c r="F147" i="4"/>
  <c r="G136" i="8"/>
  <c r="G136" i="5"/>
  <c r="F137" i="5"/>
  <c r="G147" i="7"/>
  <c r="H132" i="8"/>
  <c r="I132" i="8" s="1"/>
  <c r="F150" i="6"/>
  <c r="O119" i="1"/>
  <c r="P119" i="1"/>
  <c r="J133" i="1"/>
  <c r="K133" i="1"/>
  <c r="N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R76" i="4"/>
  <c r="Q77" i="4"/>
  <c r="R77" i="4" s="1"/>
  <c r="G138" i="6"/>
  <c r="M110" i="7"/>
  <c r="G135" i="6"/>
  <c r="M116" i="4"/>
  <c r="N116" i="4" s="1"/>
  <c r="G136" i="9"/>
  <c r="M114" i="4"/>
  <c r="N114" i="4" s="1"/>
  <c r="H132" i="6"/>
  <c r="I132" i="6" s="1"/>
  <c r="M110" i="9"/>
  <c r="F138" i="8"/>
  <c r="F153" i="7"/>
  <c r="H136" i="2"/>
  <c r="I136" i="2" s="1"/>
  <c r="Y110" i="1"/>
  <c r="M122" i="1"/>
  <c r="N110" i="1"/>
  <c r="M121" i="9"/>
  <c r="N121" i="9" s="1"/>
  <c r="G132" i="5"/>
  <c r="F138" i="7"/>
  <c r="F133" i="4"/>
  <c r="M117" i="6"/>
  <c r="N117" i="6" s="1"/>
  <c r="M119" i="8"/>
  <c r="N119" i="8" s="1"/>
  <c r="F137" i="2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G138" i="2"/>
  <c r="M120" i="9"/>
  <c r="N120" i="9" s="1"/>
  <c r="G138" i="7"/>
  <c r="F136" i="4"/>
  <c r="F152" i="6"/>
  <c r="F137" i="8"/>
  <c r="M116" i="5"/>
  <c r="N116" i="5" s="1"/>
  <c r="F148" i="7"/>
  <c r="M112" i="6"/>
  <c r="N112" i="6" s="1"/>
  <c r="G152" i="8"/>
  <c r="H135" i="8"/>
  <c r="I135" i="8" s="1"/>
  <c r="E110" i="4"/>
  <c r="G126" i="4"/>
  <c r="G127" i="4" s="1"/>
  <c r="E111" i="4"/>
  <c r="N110" i="6"/>
  <c r="M110" i="4"/>
  <c r="G132" i="6"/>
  <c r="F153" i="6"/>
  <c r="P120" i="1"/>
  <c r="O120" i="1"/>
  <c r="M113" i="4"/>
  <c r="N113" i="4" s="1"/>
  <c r="F134" i="4"/>
  <c r="G138" i="4"/>
  <c r="E122" i="1"/>
  <c r="G135" i="9"/>
  <c r="F139" i="4"/>
  <c r="F139" i="6"/>
  <c r="H135" i="7"/>
  <c r="I135" i="7" s="1"/>
  <c r="G139" i="4"/>
  <c r="F136" i="6"/>
  <c r="H133" i="8"/>
  <c r="I133" i="8" s="1"/>
  <c r="G137" i="6"/>
  <c r="G147" i="9"/>
  <c r="F137" i="9"/>
  <c r="Q77" i="7"/>
  <c r="R77" i="7" s="1"/>
  <c r="R76" i="7"/>
  <c r="N135" i="1"/>
  <c r="J135" i="1"/>
  <c r="K135" i="1"/>
  <c r="F134" i="5"/>
  <c r="F153" i="4"/>
  <c r="G151" i="8"/>
  <c r="H132" i="9"/>
  <c r="I132" i="9" s="1"/>
  <c r="H135" i="2"/>
  <c r="I135" i="2" s="1"/>
  <c r="H133" i="9"/>
  <c r="I133" i="9" s="1"/>
  <c r="M134" i="1"/>
  <c r="F133" i="5"/>
  <c r="F138" i="5"/>
  <c r="H133" i="7"/>
  <c r="I133" i="7" s="1"/>
  <c r="G151" i="4"/>
  <c r="M118" i="6"/>
  <c r="N118" i="6" s="1"/>
  <c r="M118" i="8"/>
  <c r="N118" i="8" s="1"/>
  <c r="M117" i="9"/>
  <c r="N117" i="9" s="1"/>
  <c r="C148" i="3"/>
  <c r="H148" i="3" s="1"/>
  <c r="I148" i="3" s="1"/>
  <c r="F153" i="2"/>
  <c r="F139" i="2"/>
  <c r="G152" i="9"/>
  <c r="G151" i="7"/>
  <c r="F139" i="7"/>
  <c r="G147" i="4"/>
  <c r="G136" i="6"/>
  <c r="M120" i="2"/>
  <c r="N120" i="2" s="1"/>
  <c r="H132" i="2"/>
  <c r="I132" i="2" s="1"/>
  <c r="G151" i="9"/>
  <c r="G134" i="5"/>
  <c r="M112" i="7"/>
  <c r="N112" i="7" s="1"/>
  <c r="F153" i="8"/>
  <c r="G139" i="7"/>
  <c r="E117" i="3" l="1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N146" i="9"/>
  <c r="N134" i="8"/>
  <c r="M148" i="9"/>
  <c r="U152" i="1"/>
  <c r="AD152" i="1"/>
  <c r="K132" i="9"/>
  <c r="P118" i="5"/>
  <c r="O134" i="8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N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O147" i="8"/>
  <c r="K147" i="8"/>
  <c r="P118" i="7"/>
  <c r="N147" i="5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O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O149" i="5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N137" i="7"/>
  <c r="J150" i="7"/>
  <c r="N139" i="8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O139" i="8"/>
  <c r="K132" i="5"/>
  <c r="O119" i="9"/>
  <c r="O115" i="5"/>
  <c r="M133" i="2"/>
  <c r="L146" i="6"/>
  <c r="L146" i="8"/>
  <c r="K139" i="5"/>
  <c r="L139" i="5"/>
  <c r="O112" i="8"/>
  <c r="N139" i="5"/>
  <c r="M150" i="9"/>
  <c r="K148" i="8"/>
  <c r="L139" i="2"/>
  <c r="P113" i="1"/>
  <c r="L135" i="8"/>
  <c r="K147" i="9"/>
  <c r="M133" i="7"/>
  <c r="M135" i="8"/>
  <c r="K147" i="7"/>
  <c r="O135" i="8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5" i="1"/>
  <c r="R133" i="1"/>
  <c r="L132" i="7"/>
  <c r="M132" i="8"/>
  <c r="M134" i="4"/>
  <c r="P153" i="1"/>
  <c r="N151" i="2"/>
  <c r="N132" i="7"/>
  <c r="AD153" i="1"/>
  <c r="O132" i="8"/>
  <c r="O121" i="7"/>
  <c r="R153" i="1"/>
  <c r="M132" i="7"/>
  <c r="M153" i="2"/>
  <c r="K149" i="2"/>
  <c r="U153" i="1"/>
  <c r="L135" i="5"/>
  <c r="O120" i="5"/>
  <c r="N149" i="2"/>
  <c r="AE153" i="1"/>
  <c r="M135" i="5"/>
  <c r="K148" i="5"/>
  <c r="L153" i="2"/>
  <c r="P121" i="2"/>
  <c r="P117" i="8"/>
  <c r="N148" i="2"/>
  <c r="N148" i="5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N134" i="2"/>
  <c r="N133" i="8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N139" i="9"/>
  <c r="L149" i="7"/>
  <c r="L134" i="9"/>
  <c r="N153" i="5"/>
  <c r="P137" i="1"/>
  <c r="M138" i="5"/>
  <c r="O147" i="2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G153" i="3"/>
  <c r="O153" i="3" s="1"/>
  <c r="K150" i="2"/>
  <c r="M153" i="7"/>
  <c r="M117" i="3"/>
  <c r="N117" i="3" s="1"/>
  <c r="O117" i="3" s="1"/>
  <c r="L134" i="8"/>
  <c r="O115" i="2"/>
  <c r="G133" i="3"/>
  <c r="J133" i="8"/>
  <c r="G149" i="3"/>
  <c r="O149" i="3" s="1"/>
  <c r="N146" i="5"/>
  <c r="F152" i="3"/>
  <c r="N152" i="3" s="1"/>
  <c r="G150" i="3"/>
  <c r="O150" i="3" s="1"/>
  <c r="N150" i="2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L146" i="5"/>
  <c r="H133" i="3"/>
  <c r="I133" i="3" s="1"/>
  <c r="G134" i="3"/>
  <c r="O134" i="3" s="1"/>
  <c r="F150" i="3"/>
  <c r="N150" i="3" s="1"/>
  <c r="L134" i="2"/>
  <c r="O152" i="5"/>
  <c r="M152" i="6"/>
  <c r="AD149" i="1"/>
  <c r="F151" i="3"/>
  <c r="J150" i="2"/>
  <c r="M139" i="9"/>
  <c r="G152" i="3"/>
  <c r="O152" i="3" s="1"/>
  <c r="M114" i="3"/>
  <c r="N114" i="3" s="1"/>
  <c r="P114" i="3" s="1"/>
  <c r="N132" i="2"/>
  <c r="J147" i="7"/>
  <c r="Q138" i="1"/>
  <c r="G135" i="3"/>
  <c r="O135" i="3" s="1"/>
  <c r="R136" i="1"/>
  <c r="K135" i="7"/>
  <c r="L137" i="5"/>
  <c r="G147" i="3"/>
  <c r="O147" i="3" s="1"/>
  <c r="M153" i="8"/>
  <c r="F135" i="3"/>
  <c r="M134" i="2"/>
  <c r="M152" i="5"/>
  <c r="AF149" i="1"/>
  <c r="G148" i="3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O152" i="8"/>
  <c r="M152" i="8"/>
  <c r="L152" i="8"/>
  <c r="L135" i="6"/>
  <c r="M135" i="6"/>
  <c r="O135" i="6"/>
  <c r="O116" i="9"/>
  <c r="P116" i="9"/>
  <c r="AF138" i="1"/>
  <c r="V138" i="1"/>
  <c r="U138" i="1"/>
  <c r="AD138" i="1"/>
  <c r="W138" i="1"/>
  <c r="AE138" i="1"/>
  <c r="N152" i="2"/>
  <c r="K152" i="2"/>
  <c r="J152" i="2"/>
  <c r="O147" i="6"/>
  <c r="M147" i="6"/>
  <c r="L147" i="6"/>
  <c r="P110" i="6"/>
  <c r="O110" i="6"/>
  <c r="N122" i="6"/>
  <c r="J136" i="4"/>
  <c r="N136" i="4"/>
  <c r="K136" i="4"/>
  <c r="N137" i="4"/>
  <c r="K137" i="4"/>
  <c r="J137" i="4"/>
  <c r="N139" i="2"/>
  <c r="J139" i="2"/>
  <c r="K139" i="2"/>
  <c r="P117" i="9"/>
  <c r="O117" i="9"/>
  <c r="L139" i="4"/>
  <c r="M139" i="4"/>
  <c r="O139" i="4"/>
  <c r="Q136" i="1"/>
  <c r="K137" i="2"/>
  <c r="J137" i="2"/>
  <c r="N137" i="2"/>
  <c r="O136" i="9"/>
  <c r="M136" i="9"/>
  <c r="L136" i="9"/>
  <c r="E122" i="6"/>
  <c r="N151" i="7"/>
  <c r="J151" i="7"/>
  <c r="K151" i="7"/>
  <c r="P110" i="8"/>
  <c r="N122" i="8"/>
  <c r="O110" i="8"/>
  <c r="H136" i="3"/>
  <c r="I136" i="3" s="1"/>
  <c r="M149" i="6"/>
  <c r="L149" i="6"/>
  <c r="O149" i="6"/>
  <c r="M137" i="2"/>
  <c r="O137" i="2"/>
  <c r="L137" i="2"/>
  <c r="K152" i="5"/>
  <c r="J152" i="5"/>
  <c r="N152" i="5"/>
  <c r="L137" i="9"/>
  <c r="M137" i="9"/>
  <c r="O137" i="9"/>
  <c r="O113" i="5"/>
  <c r="P113" i="5"/>
  <c r="M153" i="5"/>
  <c r="L153" i="5"/>
  <c r="O153" i="5"/>
  <c r="F139" i="3"/>
  <c r="O151" i="5"/>
  <c r="M151" i="5"/>
  <c r="L151" i="5"/>
  <c r="E122" i="8"/>
  <c r="M153" i="9"/>
  <c r="L153" i="9"/>
  <c r="O153" i="9"/>
  <c r="O149" i="9"/>
  <c r="M149" i="9"/>
  <c r="L149" i="9"/>
  <c r="P111" i="1"/>
  <c r="O111" i="1"/>
  <c r="J135" i="5"/>
  <c r="N135" i="5"/>
  <c r="K135" i="5"/>
  <c r="G137" i="3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O137" i="4"/>
  <c r="M137" i="4"/>
  <c r="L137" i="4"/>
  <c r="N149" i="6"/>
  <c r="J149" i="6"/>
  <c r="K149" i="6"/>
  <c r="N137" i="6"/>
  <c r="K137" i="6"/>
  <c r="J137" i="6"/>
  <c r="N152" i="4"/>
  <c r="J152" i="4"/>
  <c r="K152" i="4"/>
  <c r="O151" i="9"/>
  <c r="M151" i="9"/>
  <c r="L151" i="9"/>
  <c r="M136" i="6"/>
  <c r="L136" i="6"/>
  <c r="O136" i="6"/>
  <c r="M151" i="4"/>
  <c r="O151" i="4"/>
  <c r="L151" i="4"/>
  <c r="O151" i="8"/>
  <c r="M151" i="8"/>
  <c r="L151" i="8"/>
  <c r="P138" i="1"/>
  <c r="N139" i="4"/>
  <c r="K139" i="4"/>
  <c r="J139" i="4"/>
  <c r="M132" i="6"/>
  <c r="L132" i="6"/>
  <c r="O132" i="6"/>
  <c r="J148" i="7"/>
  <c r="K148" i="7"/>
  <c r="N148" i="7"/>
  <c r="O138" i="7"/>
  <c r="M138" i="7"/>
  <c r="L138" i="7"/>
  <c r="N133" i="4"/>
  <c r="J133" i="4"/>
  <c r="K133" i="4"/>
  <c r="J153" i="7"/>
  <c r="K153" i="7"/>
  <c r="N153" i="7"/>
  <c r="N110" i="9"/>
  <c r="M122" i="9"/>
  <c r="L134" i="6"/>
  <c r="O134" i="6"/>
  <c r="M134" i="6"/>
  <c r="J137" i="5"/>
  <c r="N137" i="5"/>
  <c r="K137" i="5"/>
  <c r="O120" i="8"/>
  <c r="P120" i="8"/>
  <c r="J149" i="7"/>
  <c r="K149" i="7"/>
  <c r="N149" i="7"/>
  <c r="N132" i="4"/>
  <c r="K132" i="4"/>
  <c r="J132" i="4"/>
  <c r="K151" i="5"/>
  <c r="J151" i="5"/>
  <c r="N151" i="5"/>
  <c r="O146" i="4"/>
  <c r="M146" i="4"/>
  <c r="L146" i="4"/>
  <c r="F153" i="3"/>
  <c r="K133" i="2"/>
  <c r="J133" i="2"/>
  <c r="N133" i="2"/>
  <c r="P113" i="2"/>
  <c r="O113" i="2"/>
  <c r="M122" i="2"/>
  <c r="N135" i="4"/>
  <c r="J135" i="4"/>
  <c r="K135" i="4"/>
  <c r="O115" i="6"/>
  <c r="P115" i="6"/>
  <c r="P112" i="2"/>
  <c r="O112" i="2"/>
  <c r="O132" i="2"/>
  <c r="L132" i="2"/>
  <c r="M132" i="2"/>
  <c r="N138" i="4"/>
  <c r="K138" i="4"/>
  <c r="J138" i="4"/>
  <c r="E122" i="2"/>
  <c r="N147" i="6"/>
  <c r="K147" i="6"/>
  <c r="J147" i="6"/>
  <c r="K148" i="4"/>
  <c r="J148" i="4"/>
  <c r="N148" i="4"/>
  <c r="F134" i="3"/>
  <c r="N146" i="7"/>
  <c r="J146" i="7"/>
  <c r="K146" i="7"/>
  <c r="N138" i="6"/>
  <c r="J138" i="6"/>
  <c r="K138" i="6"/>
  <c r="R80" i="1"/>
  <c r="R83" i="1" s="1"/>
  <c r="Q80" i="1"/>
  <c r="Q83" i="1" s="1"/>
  <c r="O118" i="8"/>
  <c r="P118" i="8"/>
  <c r="N149" i="8"/>
  <c r="J149" i="8"/>
  <c r="K149" i="8"/>
  <c r="M150" i="5"/>
  <c r="O150" i="5"/>
  <c r="L150" i="5"/>
  <c r="P120" i="2"/>
  <c r="O120" i="2"/>
  <c r="R138" i="1"/>
  <c r="J138" i="2"/>
  <c r="N138" i="2"/>
  <c r="K138" i="2"/>
  <c r="N153" i="4"/>
  <c r="K153" i="4"/>
  <c r="J153" i="4"/>
  <c r="O135" i="9"/>
  <c r="M135" i="9"/>
  <c r="L135" i="9"/>
  <c r="N153" i="6"/>
  <c r="K153" i="6"/>
  <c r="J153" i="6"/>
  <c r="P116" i="5"/>
  <c r="O116" i="5"/>
  <c r="P120" i="9"/>
  <c r="O120" i="9"/>
  <c r="K138" i="7"/>
  <c r="J138" i="7"/>
  <c r="N138" i="7"/>
  <c r="N138" i="8"/>
  <c r="K138" i="8"/>
  <c r="J138" i="8"/>
  <c r="P116" i="4"/>
  <c r="O116" i="4"/>
  <c r="O136" i="5"/>
  <c r="L136" i="5"/>
  <c r="M136" i="5"/>
  <c r="O136" i="2"/>
  <c r="M136" i="2"/>
  <c r="L136" i="2"/>
  <c r="J135" i="9"/>
  <c r="P113" i="9"/>
  <c r="O113" i="9"/>
  <c r="P116" i="6"/>
  <c r="O116" i="6"/>
  <c r="O110" i="2"/>
  <c r="P110" i="2"/>
  <c r="N122" i="2"/>
  <c r="O136" i="4"/>
  <c r="L136" i="4"/>
  <c r="M136" i="4"/>
  <c r="P115" i="8"/>
  <c r="O115" i="8"/>
  <c r="F146" i="3"/>
  <c r="N146" i="8"/>
  <c r="K146" i="8"/>
  <c r="J146" i="8"/>
  <c r="J136" i="7"/>
  <c r="N136" i="7"/>
  <c r="K136" i="7"/>
  <c r="P120" i="4"/>
  <c r="O120" i="4"/>
  <c r="AE134" i="1"/>
  <c r="W134" i="1"/>
  <c r="AF134" i="1"/>
  <c r="U134" i="1"/>
  <c r="AD134" i="1"/>
  <c r="V134" i="1"/>
  <c r="V137" i="1"/>
  <c r="U137" i="1"/>
  <c r="AD137" i="1"/>
  <c r="AE137" i="1"/>
  <c r="AF137" i="1"/>
  <c r="W137" i="1"/>
  <c r="N146" i="4"/>
  <c r="J146" i="4"/>
  <c r="K146" i="4"/>
  <c r="M120" i="3"/>
  <c r="N120" i="3" s="1"/>
  <c r="O146" i="9"/>
  <c r="M146" i="9"/>
  <c r="L146" i="9"/>
  <c r="E122" i="7"/>
  <c r="O121" i="4"/>
  <c r="P121" i="4"/>
  <c r="L134" i="4"/>
  <c r="P113" i="6"/>
  <c r="O113" i="6"/>
  <c r="M137" i="6"/>
  <c r="O137" i="6"/>
  <c r="L137" i="6"/>
  <c r="P112" i="6"/>
  <c r="O112" i="6"/>
  <c r="J133" i="9"/>
  <c r="K133" i="9"/>
  <c r="N133" i="9"/>
  <c r="O148" i="8"/>
  <c r="M148" i="8"/>
  <c r="L148" i="8"/>
  <c r="J133" i="6"/>
  <c r="K133" i="6"/>
  <c r="N133" i="6"/>
  <c r="J150" i="4"/>
  <c r="K150" i="4"/>
  <c r="N150" i="4"/>
  <c r="G67" i="1"/>
  <c r="K137" i="8"/>
  <c r="J137" i="8"/>
  <c r="N137" i="8"/>
  <c r="L138" i="2"/>
  <c r="O138" i="2"/>
  <c r="M138" i="2"/>
  <c r="M132" i="5"/>
  <c r="O132" i="5"/>
  <c r="L132" i="5"/>
  <c r="O114" i="4"/>
  <c r="P114" i="4"/>
  <c r="O136" i="8"/>
  <c r="M136" i="8"/>
  <c r="L136" i="8"/>
  <c r="J134" i="6"/>
  <c r="N134" i="6"/>
  <c r="K134" i="6"/>
  <c r="AF150" i="1"/>
  <c r="V150" i="1"/>
  <c r="U150" i="1"/>
  <c r="AD150" i="1"/>
  <c r="AE150" i="1"/>
  <c r="K135" i="9"/>
  <c r="O149" i="4"/>
  <c r="M149" i="4"/>
  <c r="L149" i="4"/>
  <c r="O150" i="7"/>
  <c r="M150" i="7"/>
  <c r="L150" i="7"/>
  <c r="M133" i="6"/>
  <c r="L133" i="6"/>
  <c r="O133" i="6"/>
  <c r="O148" i="7"/>
  <c r="L148" i="7"/>
  <c r="M148" i="7"/>
  <c r="P118" i="4"/>
  <c r="O118" i="4"/>
  <c r="Q135" i="1"/>
  <c r="N148" i="6"/>
  <c r="J148" i="6"/>
  <c r="K148" i="6"/>
  <c r="L153" i="6"/>
  <c r="O153" i="6"/>
  <c r="M153" i="6"/>
  <c r="E122" i="5"/>
  <c r="M146" i="7"/>
  <c r="L146" i="7"/>
  <c r="O146" i="7"/>
  <c r="N135" i="6"/>
  <c r="K135" i="6"/>
  <c r="J135" i="6"/>
  <c r="P120" i="6"/>
  <c r="O120" i="6"/>
  <c r="O135" i="2"/>
  <c r="M135" i="2"/>
  <c r="L135" i="2"/>
  <c r="R137" i="1"/>
  <c r="U133" i="1"/>
  <c r="AD133" i="1"/>
  <c r="AF133" i="1"/>
  <c r="AE133" i="1"/>
  <c r="W133" i="1"/>
  <c r="V133" i="1"/>
  <c r="O133" i="4"/>
  <c r="M133" i="4"/>
  <c r="L133" i="4"/>
  <c r="N151" i="9"/>
  <c r="K151" i="9"/>
  <c r="J151" i="9"/>
  <c r="AF136" i="1"/>
  <c r="W136" i="1"/>
  <c r="AE136" i="1"/>
  <c r="AD136" i="1"/>
  <c r="V136" i="1"/>
  <c r="U136" i="1"/>
  <c r="K152" i="9"/>
  <c r="J152" i="9"/>
  <c r="N152" i="9"/>
  <c r="M153" i="4"/>
  <c r="L153" i="4"/>
  <c r="O153" i="4"/>
  <c r="N139" i="6"/>
  <c r="K139" i="6"/>
  <c r="J139" i="6"/>
  <c r="P117" i="6"/>
  <c r="O117" i="6"/>
  <c r="O138" i="6"/>
  <c r="M138" i="6"/>
  <c r="L138" i="6"/>
  <c r="O147" i="7"/>
  <c r="M147" i="7"/>
  <c r="L147" i="7"/>
  <c r="P111" i="2"/>
  <c r="O111" i="2"/>
  <c r="O119" i="7"/>
  <c r="P119" i="7"/>
  <c r="O147" i="4"/>
  <c r="M147" i="4"/>
  <c r="L147" i="4"/>
  <c r="N138" i="5"/>
  <c r="J138" i="5"/>
  <c r="K138" i="5"/>
  <c r="N137" i="9"/>
  <c r="J137" i="9"/>
  <c r="K137" i="9"/>
  <c r="O151" i="7"/>
  <c r="M151" i="7"/>
  <c r="L151" i="7"/>
  <c r="N133" i="5"/>
  <c r="K133" i="5"/>
  <c r="J133" i="5"/>
  <c r="P121" i="9"/>
  <c r="O121" i="9"/>
  <c r="K150" i="6"/>
  <c r="J150" i="6"/>
  <c r="N150" i="6"/>
  <c r="N147" i="4"/>
  <c r="K147" i="4"/>
  <c r="J147" i="4"/>
  <c r="M132" i="4"/>
  <c r="O132" i="4"/>
  <c r="L132" i="4"/>
  <c r="O152" i="7"/>
  <c r="M152" i="7"/>
  <c r="L152" i="7"/>
  <c r="J138" i="9"/>
  <c r="N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N149" i="4"/>
  <c r="K149" i="4"/>
  <c r="J149" i="4"/>
  <c r="O112" i="4"/>
  <c r="P112" i="4"/>
  <c r="O115" i="4"/>
  <c r="P115" i="4"/>
  <c r="M112" i="3"/>
  <c r="N112" i="3" s="1"/>
  <c r="M139" i="6"/>
  <c r="O139" i="6"/>
  <c r="L139" i="6"/>
  <c r="P135" i="1"/>
  <c r="O117" i="4"/>
  <c r="P117" i="4"/>
  <c r="O148" i="4"/>
  <c r="M148" i="4"/>
  <c r="L148" i="4"/>
  <c r="N135" i="2"/>
  <c r="K135" i="2"/>
  <c r="J135" i="2"/>
  <c r="P111" i="4"/>
  <c r="O111" i="4"/>
  <c r="P119" i="6"/>
  <c r="O119" i="6"/>
  <c r="N152" i="7"/>
  <c r="K152" i="7"/>
  <c r="J152" i="7"/>
  <c r="M116" i="3"/>
  <c r="N116" i="3" s="1"/>
  <c r="Q137" i="1"/>
  <c r="N153" i="2"/>
  <c r="K153" i="2"/>
  <c r="J153" i="2"/>
  <c r="O132" i="9"/>
  <c r="M132" i="9"/>
  <c r="L132" i="9"/>
  <c r="L136" i="7"/>
  <c r="M136" i="7"/>
  <c r="O136" i="7"/>
  <c r="K151" i="6"/>
  <c r="J151" i="6"/>
  <c r="N151" i="6"/>
  <c r="L134" i="5"/>
  <c r="M134" i="5"/>
  <c r="O134" i="5"/>
  <c r="R76" i="3"/>
  <c r="Q77" i="3"/>
  <c r="R77" i="3" s="1"/>
  <c r="O111" i="6"/>
  <c r="P111" i="6"/>
  <c r="J134" i="9"/>
  <c r="N134" i="9"/>
  <c r="K134" i="9"/>
  <c r="N151" i="4"/>
  <c r="K151" i="4"/>
  <c r="J151" i="4"/>
  <c r="J135" i="7"/>
  <c r="R79" i="1"/>
  <c r="R82" i="1" s="1"/>
  <c r="Q79" i="1"/>
  <c r="Q82" i="1" s="1"/>
  <c r="M139" i="7"/>
  <c r="L139" i="7"/>
  <c r="O139" i="7"/>
  <c r="N153" i="8"/>
  <c r="J153" i="8"/>
  <c r="K153" i="8"/>
  <c r="N139" i="7"/>
  <c r="K139" i="7"/>
  <c r="J139" i="7"/>
  <c r="K134" i="5"/>
  <c r="N134" i="5"/>
  <c r="J134" i="5"/>
  <c r="O147" i="9"/>
  <c r="M147" i="9"/>
  <c r="L147" i="9"/>
  <c r="O138" i="4"/>
  <c r="M138" i="4"/>
  <c r="L138" i="4"/>
  <c r="N134" i="4"/>
  <c r="K134" i="4"/>
  <c r="J134" i="4"/>
  <c r="K152" i="6"/>
  <c r="J152" i="6"/>
  <c r="N152" i="6"/>
  <c r="O152" i="2"/>
  <c r="M152" i="2"/>
  <c r="L152" i="2"/>
  <c r="P133" i="1"/>
  <c r="O152" i="9"/>
  <c r="L152" i="9"/>
  <c r="M152" i="9"/>
  <c r="P134" i="1"/>
  <c r="R134" i="1"/>
  <c r="Q134" i="1"/>
  <c r="AE135" i="1"/>
  <c r="W135" i="1"/>
  <c r="AD135" i="1"/>
  <c r="AF135" i="1"/>
  <c r="V135" i="1"/>
  <c r="U135" i="1"/>
  <c r="J136" i="6"/>
  <c r="K136" i="6"/>
  <c r="N136" i="6"/>
  <c r="O113" i="4"/>
  <c r="P113" i="4"/>
  <c r="N110" i="4"/>
  <c r="M122" i="4"/>
  <c r="O110" i="1"/>
  <c r="P110" i="1"/>
  <c r="N122" i="1"/>
  <c r="N110" i="7"/>
  <c r="M122" i="7"/>
  <c r="G146" i="3"/>
  <c r="A201" i="2"/>
  <c r="A205" i="2" s="1" a="1"/>
  <c r="M135" i="4"/>
  <c r="L135" i="4"/>
  <c r="O135" i="4"/>
  <c r="F149" i="3"/>
  <c r="O137" i="7"/>
  <c r="L137" i="7"/>
  <c r="M137" i="7"/>
  <c r="M122" i="8"/>
  <c r="N146" i="6"/>
  <c r="K146" i="6"/>
  <c r="J146" i="6"/>
  <c r="F132" i="3"/>
  <c r="N150" i="9"/>
  <c r="J150" i="9"/>
  <c r="K150" i="9"/>
  <c r="K134" i="7"/>
  <c r="N134" i="7"/>
  <c r="J134" i="7"/>
  <c r="G138" i="3"/>
  <c r="N133" i="7"/>
  <c r="K133" i="7"/>
  <c r="J133" i="7"/>
  <c r="P120" i="7"/>
  <c r="O120" i="7"/>
  <c r="J132" i="6"/>
  <c r="K132" i="6"/>
  <c r="N132" i="6"/>
  <c r="M118" i="3"/>
  <c r="N118" i="3" s="1"/>
  <c r="O117" i="7"/>
  <c r="P117" i="7"/>
  <c r="N153" i="9"/>
  <c r="J153" i="9"/>
  <c r="K153" i="9"/>
  <c r="N136" i="5"/>
  <c r="K136" i="5"/>
  <c r="J136" i="5"/>
  <c r="N152" i="8"/>
  <c r="J152" i="8"/>
  <c r="K152" i="8"/>
  <c r="J148" i="9"/>
  <c r="K148" i="9"/>
  <c r="N148" i="9"/>
  <c r="H120" i="1" l="1"/>
  <c r="AB120" i="1" s="1"/>
  <c r="H112" i="1"/>
  <c r="R112" i="1" s="1"/>
  <c r="H118" i="1"/>
  <c r="Q118" i="1" s="1"/>
  <c r="H115" i="1"/>
  <c r="AB115" i="1" s="1"/>
  <c r="H113" i="1"/>
  <c r="H114" i="1"/>
  <c r="K114" i="1" s="1"/>
  <c r="L114" i="1" s="1"/>
  <c r="H119" i="1"/>
  <c r="J119" i="1" s="1"/>
  <c r="H110" i="1"/>
  <c r="AB110" i="1" s="1"/>
  <c r="H111" i="1"/>
  <c r="H121" i="1"/>
  <c r="AB121" i="1" s="1"/>
  <c r="J151" i="3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O133" i="3"/>
  <c r="O136" i="3"/>
  <c r="P132" i="8"/>
  <c r="Q148" i="2"/>
  <c r="K136" i="3"/>
  <c r="P134" i="8"/>
  <c r="P121" i="3"/>
  <c r="J136" i="3"/>
  <c r="N147" i="3"/>
  <c r="M147" i="3"/>
  <c r="K147" i="3"/>
  <c r="M133" i="3"/>
  <c r="M136" i="3"/>
  <c r="Y149" i="1"/>
  <c r="AB149" i="1" s="1"/>
  <c r="P135" i="5"/>
  <c r="P132" i="7"/>
  <c r="M135" i="3"/>
  <c r="K152" i="3"/>
  <c r="K148" i="3"/>
  <c r="O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N151" i="3"/>
  <c r="K137" i="3"/>
  <c r="X151" i="1"/>
  <c r="AA151" i="1" s="1"/>
  <c r="AH147" i="1"/>
  <c r="Q149" i="2"/>
  <c r="Q133" i="8"/>
  <c r="R149" i="2"/>
  <c r="R148" i="5"/>
  <c r="Q148" i="5"/>
  <c r="Q140" i="1"/>
  <c r="O151" i="3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P140" i="1"/>
  <c r="T140" i="1" s="1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N135" i="3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R140" i="1"/>
  <c r="AG147" i="1"/>
  <c r="R152" i="6"/>
  <c r="AI147" i="1"/>
  <c r="J138" i="3"/>
  <c r="E122" i="3"/>
  <c r="G67" i="3" s="1"/>
  <c r="Q137" i="8"/>
  <c r="AB111" i="1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E175" i="1"/>
  <c r="B67" i="9" s="1"/>
  <c r="I67" i="1"/>
  <c r="B67" i="7"/>
  <c r="E175" i="7" s="1"/>
  <c r="E176" i="7" s="1"/>
  <c r="E177" i="7" s="1"/>
  <c r="B67" i="8"/>
  <c r="E175" i="8" s="1"/>
  <c r="E176" i="8" s="1"/>
  <c r="E177" i="8" s="1"/>
  <c r="B67" i="2"/>
  <c r="E175" i="2" s="1"/>
  <c r="E176" i="2" s="1"/>
  <c r="E177" i="2" s="1"/>
  <c r="B67" i="3"/>
  <c r="E175" i="3" s="1"/>
  <c r="E176" i="3" s="1"/>
  <c r="E177" i="3" s="1"/>
  <c r="B67" i="4"/>
  <c r="B67" i="6"/>
  <c r="E175" i="6" s="1"/>
  <c r="E176" i="6" s="1"/>
  <c r="E177" i="6" s="1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N134" i="3"/>
  <c r="K134" i="3"/>
  <c r="J134" i="3"/>
  <c r="P136" i="9"/>
  <c r="Q136" i="9"/>
  <c r="R136" i="9"/>
  <c r="Q150" i="9"/>
  <c r="K149" i="3"/>
  <c r="N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N139" i="3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N153" i="3"/>
  <c r="J153" i="3"/>
  <c r="P118" i="3"/>
  <c r="O118" i="3"/>
  <c r="J132" i="3"/>
  <c r="N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O137" i="3"/>
  <c r="L137" i="3"/>
  <c r="M137" i="3"/>
  <c r="Q149" i="9"/>
  <c r="P149" i="9"/>
  <c r="R149" i="9"/>
  <c r="O138" i="3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N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O146" i="3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H117" i="1" l="1"/>
  <c r="AB117" i="1" s="1"/>
  <c r="H116" i="1"/>
  <c r="AB116" i="1" s="1"/>
  <c r="P156" i="1"/>
  <c r="P157" i="1"/>
  <c r="AB119" i="1"/>
  <c r="K119" i="1"/>
  <c r="L119" i="1" s="1"/>
  <c r="R119" i="1"/>
  <c r="Q119" i="1"/>
  <c r="I119" i="1"/>
  <c r="H122" i="1"/>
  <c r="B159" i="1" s="1"/>
  <c r="B164" i="1" s="1"/>
  <c r="E164" i="1" s="1"/>
  <c r="F185" i="1" s="1"/>
  <c r="H119" i="8"/>
  <c r="K119" i="8" s="1"/>
  <c r="L119" i="8" s="1"/>
  <c r="H119" i="7"/>
  <c r="I119" i="7" s="1"/>
  <c r="H115" i="7"/>
  <c r="K115" i="7" s="1"/>
  <c r="L115" i="7" s="1"/>
  <c r="H117" i="7"/>
  <c r="K117" i="7" s="1"/>
  <c r="L117" i="7" s="1"/>
  <c r="Q114" i="1"/>
  <c r="Q111" i="1"/>
  <c r="I111" i="1"/>
  <c r="J121" i="1"/>
  <c r="H120" i="7"/>
  <c r="K120" i="7" s="1"/>
  <c r="L120" i="7" s="1"/>
  <c r="H110" i="7"/>
  <c r="J110" i="7" s="1"/>
  <c r="H118" i="7"/>
  <c r="I118" i="7" s="1"/>
  <c r="I110" i="1"/>
  <c r="H112" i="7"/>
  <c r="K112" i="7" s="1"/>
  <c r="L112" i="7" s="1"/>
  <c r="H111" i="7"/>
  <c r="J111" i="7" s="1"/>
  <c r="Q150" i="3"/>
  <c r="Q115" i="1"/>
  <c r="I121" i="1"/>
  <c r="K115" i="1"/>
  <c r="L115" i="1" s="1"/>
  <c r="R121" i="1"/>
  <c r="R115" i="1"/>
  <c r="K121" i="1"/>
  <c r="L121" i="1" s="1"/>
  <c r="J115" i="1"/>
  <c r="I115" i="1"/>
  <c r="AJ148" i="1"/>
  <c r="AM148" i="1" s="1"/>
  <c r="H113" i="7"/>
  <c r="K113" i="7" s="1"/>
  <c r="L113" i="7" s="1"/>
  <c r="Q136" i="3"/>
  <c r="R136" i="3"/>
  <c r="H114" i="3"/>
  <c r="I114" i="3" s="1"/>
  <c r="P136" i="3"/>
  <c r="AK149" i="1"/>
  <c r="AN149" i="1" s="1"/>
  <c r="R117" i="1"/>
  <c r="J118" i="1"/>
  <c r="H111" i="8"/>
  <c r="I111" i="8" s="1"/>
  <c r="I117" i="1"/>
  <c r="R118" i="1"/>
  <c r="T118" i="1" s="1"/>
  <c r="W118" i="1" s="1"/>
  <c r="H116" i="8"/>
  <c r="I116" i="8" s="1"/>
  <c r="Q117" i="1"/>
  <c r="H114" i="7"/>
  <c r="K114" i="7" s="1"/>
  <c r="L114" i="7" s="1"/>
  <c r="J117" i="1"/>
  <c r="H112" i="8"/>
  <c r="K112" i="8" s="1"/>
  <c r="L112" i="8" s="1"/>
  <c r="Q121" i="1"/>
  <c r="AK147" i="1"/>
  <c r="AN147" i="1" s="1"/>
  <c r="P148" i="3"/>
  <c r="P147" i="3"/>
  <c r="R152" i="3"/>
  <c r="Q151" i="3"/>
  <c r="R114" i="1"/>
  <c r="Q147" i="3"/>
  <c r="AB114" i="1"/>
  <c r="R147" i="3"/>
  <c r="R151" i="3"/>
  <c r="J114" i="1"/>
  <c r="Q152" i="3"/>
  <c r="R148" i="3"/>
  <c r="I114" i="1"/>
  <c r="P152" i="3"/>
  <c r="Q148" i="3"/>
  <c r="Q135" i="3"/>
  <c r="P151" i="3"/>
  <c r="Q154" i="5"/>
  <c r="I118" i="1"/>
  <c r="P150" i="3"/>
  <c r="K111" i="1"/>
  <c r="L111" i="1" s="1"/>
  <c r="R135" i="3"/>
  <c r="AB118" i="1"/>
  <c r="R150" i="3"/>
  <c r="J111" i="1"/>
  <c r="P135" i="3"/>
  <c r="K117" i="1"/>
  <c r="L117" i="1" s="1"/>
  <c r="R111" i="1"/>
  <c r="AJ147" i="1"/>
  <c r="AM147" i="1" s="1"/>
  <c r="K118" i="1"/>
  <c r="L118" i="1" s="1"/>
  <c r="AK139" i="1"/>
  <c r="AN139" i="1" s="1"/>
  <c r="P133" i="3"/>
  <c r="I116" i="1"/>
  <c r="H121" i="6"/>
  <c r="J121" i="6" s="1"/>
  <c r="H114" i="6"/>
  <c r="J114" i="6" s="1"/>
  <c r="E176" i="1"/>
  <c r="E177" i="1" s="1"/>
  <c r="E178" i="1" s="1"/>
  <c r="Q116" i="1"/>
  <c r="P154" i="2"/>
  <c r="K116" i="1"/>
  <c r="L116" i="1" s="1"/>
  <c r="J116" i="1"/>
  <c r="R116" i="1"/>
  <c r="R133" i="3"/>
  <c r="AJ139" i="1"/>
  <c r="AM139" i="1" s="1"/>
  <c r="AJ149" i="1"/>
  <c r="AM149" i="1" s="1"/>
  <c r="Q133" i="3"/>
  <c r="K110" i="1"/>
  <c r="L110" i="1" s="1"/>
  <c r="H113" i="6"/>
  <c r="J113" i="6" s="1"/>
  <c r="H119" i="6"/>
  <c r="I119" i="6" s="1"/>
  <c r="Q140" i="7"/>
  <c r="R110" i="1"/>
  <c r="H117" i="6"/>
  <c r="K117" i="6" s="1"/>
  <c r="L117" i="6" s="1"/>
  <c r="H110" i="6"/>
  <c r="J110" i="6" s="1"/>
  <c r="Q110" i="1"/>
  <c r="H118" i="6"/>
  <c r="K118" i="6" s="1"/>
  <c r="L118" i="6" s="1"/>
  <c r="H111" i="6"/>
  <c r="K111" i="6" s="1"/>
  <c r="L111" i="6" s="1"/>
  <c r="J110" i="1"/>
  <c r="H120" i="6"/>
  <c r="J120" i="6" s="1"/>
  <c r="H116" i="6"/>
  <c r="K116" i="6" s="1"/>
  <c r="L116" i="6" s="1"/>
  <c r="H112" i="6"/>
  <c r="J112" i="6" s="1"/>
  <c r="H115" i="6"/>
  <c r="K115" i="6" s="1"/>
  <c r="L115" i="6" s="1"/>
  <c r="Q132" i="3"/>
  <c r="P154" i="5"/>
  <c r="P153" i="3"/>
  <c r="AB112" i="1"/>
  <c r="Q154" i="2"/>
  <c r="J112" i="1"/>
  <c r="Q149" i="3"/>
  <c r="Q112" i="1"/>
  <c r="T112" i="1" s="1"/>
  <c r="W112" i="1" s="1"/>
  <c r="P143" i="1"/>
  <c r="P142" i="1"/>
  <c r="I112" i="1"/>
  <c r="K112" i="1"/>
  <c r="L112" i="1" s="1"/>
  <c r="H118" i="8"/>
  <c r="J118" i="8" s="1"/>
  <c r="H113" i="8"/>
  <c r="K113" i="8" s="1"/>
  <c r="L113" i="8" s="1"/>
  <c r="H115" i="8"/>
  <c r="J115" i="8" s="1"/>
  <c r="B67" i="5"/>
  <c r="H111" i="5" s="1"/>
  <c r="H121" i="8"/>
  <c r="J121" i="8" s="1"/>
  <c r="H117" i="8"/>
  <c r="J117" i="8" s="1"/>
  <c r="H118" i="2"/>
  <c r="K118" i="2" s="1"/>
  <c r="L118" i="2" s="1"/>
  <c r="H110" i="8"/>
  <c r="I110" i="8" s="1"/>
  <c r="H114" i="8"/>
  <c r="J114" i="8" s="1"/>
  <c r="H120" i="8"/>
  <c r="I120" i="8" s="1"/>
  <c r="H116" i="7"/>
  <c r="I116" i="7" s="1"/>
  <c r="H121" i="7"/>
  <c r="K121" i="7" s="1"/>
  <c r="L121" i="7" s="1"/>
  <c r="E175" i="9"/>
  <c r="E176" i="9" s="1"/>
  <c r="E177" i="9" s="1"/>
  <c r="A183" i="9" s="1"/>
  <c r="D190" i="9" s="1"/>
  <c r="H110" i="9"/>
  <c r="H114" i="9"/>
  <c r="H116" i="9"/>
  <c r="H111" i="9"/>
  <c r="H119" i="9"/>
  <c r="H117" i="9"/>
  <c r="H120" i="9"/>
  <c r="H118" i="9"/>
  <c r="H113" i="9"/>
  <c r="H115" i="9"/>
  <c r="H121" i="9"/>
  <c r="H112" i="9"/>
  <c r="R153" i="3"/>
  <c r="R140" i="8"/>
  <c r="H112" i="3"/>
  <c r="K112" i="3" s="1"/>
  <c r="L112" i="3" s="1"/>
  <c r="H120" i="3"/>
  <c r="K120" i="3" s="1"/>
  <c r="L120" i="3" s="1"/>
  <c r="P154" i="8"/>
  <c r="K120" i="1"/>
  <c r="L120" i="1" s="1"/>
  <c r="P132" i="3"/>
  <c r="Q154" i="4"/>
  <c r="H115" i="2"/>
  <c r="K115" i="2" s="1"/>
  <c r="L115" i="2" s="1"/>
  <c r="H112" i="2"/>
  <c r="J112" i="2" s="1"/>
  <c r="R154" i="8"/>
  <c r="Q140" i="4"/>
  <c r="H111" i="3"/>
  <c r="I111" i="3" s="1"/>
  <c r="H111" i="2"/>
  <c r="K111" i="2" s="1"/>
  <c r="L111" i="2" s="1"/>
  <c r="R154" i="5"/>
  <c r="Q153" i="3"/>
  <c r="P140" i="8"/>
  <c r="H118" i="3"/>
  <c r="J118" i="3" s="1"/>
  <c r="H116" i="3"/>
  <c r="J116" i="3" s="1"/>
  <c r="Q120" i="1"/>
  <c r="R140" i="7"/>
  <c r="H117" i="2"/>
  <c r="J117" i="2" s="1"/>
  <c r="H114" i="2"/>
  <c r="K114" i="2" s="1"/>
  <c r="L114" i="2" s="1"/>
  <c r="R154" i="2"/>
  <c r="Q140" i="8"/>
  <c r="H110" i="3"/>
  <c r="K110" i="3" s="1"/>
  <c r="L110" i="3" s="1"/>
  <c r="H113" i="3"/>
  <c r="J113" i="3" s="1"/>
  <c r="P154" i="6"/>
  <c r="J120" i="1"/>
  <c r="Q154" i="8"/>
  <c r="H110" i="2"/>
  <c r="J110" i="2" s="1"/>
  <c r="H119" i="2"/>
  <c r="I119" i="2" s="1"/>
  <c r="H115" i="3"/>
  <c r="K115" i="3" s="1"/>
  <c r="L115" i="3" s="1"/>
  <c r="R120" i="1"/>
  <c r="H121" i="2"/>
  <c r="I121" i="2" s="1"/>
  <c r="H113" i="2"/>
  <c r="K113" i="2" s="1"/>
  <c r="L113" i="2" s="1"/>
  <c r="R149" i="3"/>
  <c r="H121" i="3"/>
  <c r="J121" i="3" s="1"/>
  <c r="I120" i="1"/>
  <c r="Q139" i="3"/>
  <c r="H116" i="2"/>
  <c r="J116" i="2" s="1"/>
  <c r="H117" i="3"/>
  <c r="J117" i="3" s="1"/>
  <c r="H119" i="3"/>
  <c r="I119" i="3" s="1"/>
  <c r="H120" i="2"/>
  <c r="J120" i="2" s="1"/>
  <c r="E175" i="4"/>
  <c r="E176" i="4" s="1"/>
  <c r="E177" i="4" s="1"/>
  <c r="C183" i="4" s="1"/>
  <c r="D192" i="4" s="1"/>
  <c r="H112" i="4"/>
  <c r="H116" i="4"/>
  <c r="H110" i="4"/>
  <c r="H117" i="4"/>
  <c r="H118" i="4"/>
  <c r="H119" i="4"/>
  <c r="H113" i="4"/>
  <c r="H115" i="4"/>
  <c r="H111" i="4"/>
  <c r="H114" i="4"/>
  <c r="H120" i="4"/>
  <c r="H121" i="4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B183" i="3"/>
  <c r="D191" i="3" s="1"/>
  <c r="E178" i="3"/>
  <c r="D183" i="3"/>
  <c r="D193" i="3" s="1"/>
  <c r="A183" i="3"/>
  <c r="D190" i="3" s="1"/>
  <c r="C183" i="3"/>
  <c r="D192" i="3" s="1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D183" i="2"/>
  <c r="D193" i="2" s="1"/>
  <c r="E178" i="2"/>
  <c r="B183" i="2"/>
  <c r="D191" i="2" s="1"/>
  <c r="C183" i="2"/>
  <c r="D192" i="2" s="1"/>
  <c r="A183" i="2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A183" i="8"/>
  <c r="D190" i="8" s="1"/>
  <c r="D183" i="8"/>
  <c r="D193" i="8" s="1"/>
  <c r="E178" i="8"/>
  <c r="C183" i="8"/>
  <c r="D192" i="8" s="1"/>
  <c r="B183" i="8"/>
  <c r="D191" i="8" s="1"/>
  <c r="R139" i="3"/>
  <c r="Q154" i="7"/>
  <c r="R140" i="5"/>
  <c r="Q140" i="6"/>
  <c r="E178" i="7"/>
  <c r="D183" i="7"/>
  <c r="D193" i="7" s="1"/>
  <c r="B183" i="7"/>
  <c r="D191" i="7" s="1"/>
  <c r="A183" i="7"/>
  <c r="D190" i="7" s="1"/>
  <c r="C183" i="7"/>
  <c r="D192" i="7" s="1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E178" i="6"/>
  <c r="D183" i="6"/>
  <c r="D193" i="6" s="1"/>
  <c r="A183" i="6"/>
  <c r="D190" i="6" s="1"/>
  <c r="C183" i="6"/>
  <c r="D192" i="6" s="1"/>
  <c r="B183" i="6"/>
  <c r="D191" i="6" s="1"/>
  <c r="R94" i="1" l="1"/>
  <c r="R97" i="1" s="1"/>
  <c r="Q94" i="1"/>
  <c r="Q97" i="1" s="1"/>
  <c r="T119" i="1"/>
  <c r="W119" i="1" s="1"/>
  <c r="U119" i="1"/>
  <c r="X119" i="1" s="1"/>
  <c r="B169" i="1"/>
  <c r="C169" i="1" s="1"/>
  <c r="F188" i="1" s="1"/>
  <c r="I115" i="7"/>
  <c r="J115" i="7"/>
  <c r="J117" i="7"/>
  <c r="P143" i="8"/>
  <c r="J119" i="8"/>
  <c r="I119" i="8"/>
  <c r="I117" i="7"/>
  <c r="R113" i="1"/>
  <c r="AB113" i="1"/>
  <c r="Q113" i="1"/>
  <c r="K113" i="1"/>
  <c r="L113" i="1" s="1"/>
  <c r="L122" i="1" s="1"/>
  <c r="J113" i="1"/>
  <c r="J122" i="1" s="1"/>
  <c r="B161" i="1" s="1"/>
  <c r="I113" i="1"/>
  <c r="I122" i="1" s="1"/>
  <c r="B160" i="1" s="1"/>
  <c r="K119" i="7"/>
  <c r="L119" i="7" s="1"/>
  <c r="J119" i="7"/>
  <c r="I112" i="7"/>
  <c r="U111" i="1"/>
  <c r="X111" i="1" s="1"/>
  <c r="T114" i="1"/>
  <c r="W114" i="1" s="1"/>
  <c r="J112" i="7"/>
  <c r="I114" i="6"/>
  <c r="I113" i="7"/>
  <c r="B183" i="9"/>
  <c r="D191" i="9" s="1"/>
  <c r="I112" i="8"/>
  <c r="K110" i="7"/>
  <c r="L110" i="7" s="1"/>
  <c r="T115" i="1"/>
  <c r="W115" i="1" s="1"/>
  <c r="T121" i="1"/>
  <c r="W121" i="1" s="1"/>
  <c r="J113" i="7"/>
  <c r="J120" i="7"/>
  <c r="I120" i="7"/>
  <c r="I118" i="8"/>
  <c r="J118" i="7"/>
  <c r="I120" i="6"/>
  <c r="K116" i="8"/>
  <c r="L116" i="8" s="1"/>
  <c r="K118" i="7"/>
  <c r="L118" i="7" s="1"/>
  <c r="I110" i="7"/>
  <c r="U118" i="1"/>
  <c r="X118" i="1" s="1"/>
  <c r="K120" i="6"/>
  <c r="L120" i="6" s="1"/>
  <c r="K118" i="8"/>
  <c r="L118" i="8" s="1"/>
  <c r="K114" i="8"/>
  <c r="L114" i="8" s="1"/>
  <c r="I114" i="8"/>
  <c r="J119" i="2"/>
  <c r="U121" i="1"/>
  <c r="X121" i="1" s="1"/>
  <c r="P143" i="7"/>
  <c r="J114" i="3"/>
  <c r="J116" i="8"/>
  <c r="U115" i="1"/>
  <c r="X115" i="1" s="1"/>
  <c r="K114" i="3"/>
  <c r="L114" i="3" s="1"/>
  <c r="T110" i="1"/>
  <c r="W110" i="1" s="1"/>
  <c r="J113" i="8"/>
  <c r="J116" i="6"/>
  <c r="I113" i="8"/>
  <c r="I116" i="6"/>
  <c r="I121" i="6"/>
  <c r="K121" i="6"/>
  <c r="L121" i="6" s="1"/>
  <c r="K120" i="8"/>
  <c r="L120" i="8" s="1"/>
  <c r="P157" i="5"/>
  <c r="K115" i="8"/>
  <c r="L115" i="8" s="1"/>
  <c r="I111" i="7"/>
  <c r="K111" i="7"/>
  <c r="L111" i="7" s="1"/>
  <c r="U117" i="1"/>
  <c r="X117" i="1" s="1"/>
  <c r="P157" i="2"/>
  <c r="T117" i="1"/>
  <c r="W117" i="1" s="1"/>
  <c r="J112" i="8"/>
  <c r="P157" i="8"/>
  <c r="I115" i="6"/>
  <c r="P156" i="8"/>
  <c r="P156" i="5"/>
  <c r="J111" i="8"/>
  <c r="J119" i="6"/>
  <c r="K111" i="8"/>
  <c r="L111" i="8" s="1"/>
  <c r="J114" i="2"/>
  <c r="K117" i="2"/>
  <c r="L117" i="2" s="1"/>
  <c r="I113" i="6"/>
  <c r="K121" i="3"/>
  <c r="L121" i="3" s="1"/>
  <c r="I112" i="3"/>
  <c r="J121" i="2"/>
  <c r="K121" i="2"/>
  <c r="L121" i="2" s="1"/>
  <c r="J114" i="7"/>
  <c r="I110" i="6"/>
  <c r="J115" i="6"/>
  <c r="I114" i="7"/>
  <c r="K110" i="6"/>
  <c r="L110" i="6" s="1"/>
  <c r="U116" i="1"/>
  <c r="X116" i="1" s="1"/>
  <c r="P142" i="2"/>
  <c r="P157" i="6"/>
  <c r="P156" i="2"/>
  <c r="P143" i="4"/>
  <c r="T116" i="1"/>
  <c r="W116" i="1" s="1"/>
  <c r="P156" i="6"/>
  <c r="U114" i="1"/>
  <c r="X114" i="1" s="1"/>
  <c r="I121" i="8"/>
  <c r="I116" i="3"/>
  <c r="T111" i="1"/>
  <c r="W111" i="1" s="1"/>
  <c r="K118" i="3"/>
  <c r="L118" i="3" s="1"/>
  <c r="K114" i="6"/>
  <c r="L114" i="6" s="1"/>
  <c r="J110" i="3"/>
  <c r="I117" i="6"/>
  <c r="J111" i="2"/>
  <c r="I121" i="3"/>
  <c r="B183" i="4"/>
  <c r="D191" i="4" s="1"/>
  <c r="I117" i="2"/>
  <c r="A183" i="4"/>
  <c r="D190" i="4" s="1"/>
  <c r="I111" i="2"/>
  <c r="I117" i="8"/>
  <c r="D183" i="4"/>
  <c r="D193" i="4" s="1"/>
  <c r="K117" i="8"/>
  <c r="L117" i="8" s="1"/>
  <c r="J119" i="3"/>
  <c r="K119" i="3"/>
  <c r="L119" i="3" s="1"/>
  <c r="E178" i="4"/>
  <c r="P143" i="5"/>
  <c r="I114" i="2"/>
  <c r="K110" i="8"/>
  <c r="L110" i="8" s="1"/>
  <c r="K119" i="6"/>
  <c r="L119" i="6" s="1"/>
  <c r="J110" i="8"/>
  <c r="R87" i="1"/>
  <c r="R90" i="1" s="1"/>
  <c r="J113" i="2"/>
  <c r="I113" i="2"/>
  <c r="K111" i="3"/>
  <c r="L111" i="3" s="1"/>
  <c r="K113" i="6"/>
  <c r="L113" i="6" s="1"/>
  <c r="I118" i="6"/>
  <c r="J120" i="3"/>
  <c r="I111" i="6"/>
  <c r="I118" i="2"/>
  <c r="I120" i="2"/>
  <c r="I120" i="3"/>
  <c r="I55" i="1"/>
  <c r="J111" i="6"/>
  <c r="J118" i="2"/>
  <c r="U120" i="1"/>
  <c r="X120" i="1" s="1"/>
  <c r="K120" i="2"/>
  <c r="L120" i="2" s="1"/>
  <c r="H122" i="6"/>
  <c r="B159" i="6" s="1"/>
  <c r="B164" i="6" s="1"/>
  <c r="E164" i="6" s="1"/>
  <c r="F185" i="6" s="1"/>
  <c r="J111" i="3"/>
  <c r="J118" i="6"/>
  <c r="I112" i="6"/>
  <c r="I115" i="8"/>
  <c r="J116" i="7"/>
  <c r="B169" i="6"/>
  <c r="C169" i="6" s="1"/>
  <c r="F188" i="6" s="1"/>
  <c r="K112" i="6"/>
  <c r="L112" i="6" s="1"/>
  <c r="J117" i="6"/>
  <c r="K116" i="7"/>
  <c r="L116" i="7" s="1"/>
  <c r="U110" i="1"/>
  <c r="X110" i="1" s="1"/>
  <c r="I112" i="2"/>
  <c r="P142" i="8"/>
  <c r="B169" i="7"/>
  <c r="C169" i="7" s="1"/>
  <c r="F188" i="7" s="1"/>
  <c r="H122" i="7"/>
  <c r="B159" i="7" s="1"/>
  <c r="B164" i="7" s="1"/>
  <c r="E164" i="7" s="1"/>
  <c r="F185" i="7" s="1"/>
  <c r="K121" i="8"/>
  <c r="L121" i="8" s="1"/>
  <c r="P143" i="2"/>
  <c r="I110" i="3"/>
  <c r="Q87" i="1"/>
  <c r="Q90" i="1" s="1"/>
  <c r="P157" i="4"/>
  <c r="B169" i="8"/>
  <c r="C169" i="8" s="1"/>
  <c r="F188" i="8" s="1"/>
  <c r="J115" i="3"/>
  <c r="U112" i="1"/>
  <c r="X112" i="1" s="1"/>
  <c r="J120" i="8"/>
  <c r="H122" i="8"/>
  <c r="B159" i="8" s="1"/>
  <c r="B164" i="8" s="1"/>
  <c r="E164" i="8" s="1"/>
  <c r="F185" i="8" s="1"/>
  <c r="Q140" i="3"/>
  <c r="Q154" i="3"/>
  <c r="E175" i="5"/>
  <c r="E176" i="5" s="1"/>
  <c r="E177" i="5" s="1"/>
  <c r="B183" i="5" s="1"/>
  <c r="D191" i="5" s="1"/>
  <c r="D183" i="9"/>
  <c r="D193" i="9" s="1"/>
  <c r="H122" i="3"/>
  <c r="I118" i="3"/>
  <c r="K112" i="2"/>
  <c r="L112" i="2" s="1"/>
  <c r="T120" i="1"/>
  <c r="W120" i="1" s="1"/>
  <c r="E178" i="9"/>
  <c r="I115" i="3"/>
  <c r="I117" i="3"/>
  <c r="K116" i="2"/>
  <c r="L116" i="2" s="1"/>
  <c r="H110" i="5"/>
  <c r="H120" i="5"/>
  <c r="H118" i="5"/>
  <c r="H119" i="5"/>
  <c r="H121" i="5"/>
  <c r="H115" i="5"/>
  <c r="H117" i="5"/>
  <c r="H116" i="5"/>
  <c r="H114" i="5"/>
  <c r="H112" i="5"/>
  <c r="H113" i="5"/>
  <c r="I121" i="7"/>
  <c r="K117" i="3"/>
  <c r="L117" i="3" s="1"/>
  <c r="I116" i="2"/>
  <c r="J121" i="7"/>
  <c r="J112" i="3"/>
  <c r="I113" i="3"/>
  <c r="K116" i="3"/>
  <c r="L116" i="3" s="1"/>
  <c r="C183" i="9"/>
  <c r="D192" i="9" s="1"/>
  <c r="K113" i="3"/>
  <c r="L113" i="3" s="1"/>
  <c r="I111" i="4"/>
  <c r="J111" i="4"/>
  <c r="K111" i="4"/>
  <c r="L111" i="4" s="1"/>
  <c r="I117" i="9"/>
  <c r="K117" i="9"/>
  <c r="L117" i="9" s="1"/>
  <c r="J117" i="9"/>
  <c r="H122" i="2"/>
  <c r="B159" i="2" s="1"/>
  <c r="B164" i="2" s="1"/>
  <c r="E164" i="2" s="1"/>
  <c r="F185" i="2" s="1"/>
  <c r="I115" i="2"/>
  <c r="P143" i="9"/>
  <c r="J115" i="4"/>
  <c r="I115" i="4"/>
  <c r="K115" i="4"/>
  <c r="L115" i="4" s="1"/>
  <c r="K119" i="9"/>
  <c r="L119" i="9" s="1"/>
  <c r="I119" i="9"/>
  <c r="J119" i="9"/>
  <c r="K112" i="4"/>
  <c r="L112" i="4" s="1"/>
  <c r="I112" i="4"/>
  <c r="J112" i="4"/>
  <c r="P156" i="4"/>
  <c r="R154" i="3"/>
  <c r="J115" i="2"/>
  <c r="I113" i="4"/>
  <c r="J113" i="4"/>
  <c r="K113" i="4"/>
  <c r="L113" i="4" s="1"/>
  <c r="I112" i="9"/>
  <c r="J112" i="9"/>
  <c r="K112" i="9"/>
  <c r="L112" i="9" s="1"/>
  <c r="J111" i="9"/>
  <c r="K111" i="9"/>
  <c r="L111" i="9" s="1"/>
  <c r="I111" i="9"/>
  <c r="B169" i="2"/>
  <c r="C169" i="2" s="1"/>
  <c r="I110" i="2"/>
  <c r="I119" i="4"/>
  <c r="K119" i="4"/>
  <c r="L119" i="4" s="1"/>
  <c r="J119" i="4"/>
  <c r="P142" i="7"/>
  <c r="J121" i="9"/>
  <c r="I121" i="9"/>
  <c r="K121" i="9"/>
  <c r="L121" i="9" s="1"/>
  <c r="K116" i="9"/>
  <c r="L116" i="9" s="1"/>
  <c r="J116" i="9"/>
  <c r="I116" i="9"/>
  <c r="K110" i="2"/>
  <c r="L110" i="2" s="1"/>
  <c r="I118" i="4"/>
  <c r="J118" i="4"/>
  <c r="K118" i="4"/>
  <c r="L118" i="4" s="1"/>
  <c r="I115" i="9"/>
  <c r="K115" i="9"/>
  <c r="L115" i="9" s="1"/>
  <c r="J115" i="9"/>
  <c r="I114" i="9"/>
  <c r="J114" i="9"/>
  <c r="K114" i="9"/>
  <c r="L114" i="9" s="1"/>
  <c r="J116" i="4"/>
  <c r="K116" i="4"/>
  <c r="L116" i="4" s="1"/>
  <c r="I116" i="4"/>
  <c r="I120" i="9"/>
  <c r="K120" i="9"/>
  <c r="L120" i="9" s="1"/>
  <c r="J120" i="9"/>
  <c r="K119" i="2"/>
  <c r="L119" i="2" s="1"/>
  <c r="P142" i="6"/>
  <c r="P140" i="3"/>
  <c r="J121" i="4"/>
  <c r="I121" i="4"/>
  <c r="K121" i="4"/>
  <c r="L121" i="4" s="1"/>
  <c r="K117" i="4"/>
  <c r="L117" i="4" s="1"/>
  <c r="I117" i="4"/>
  <c r="J117" i="4"/>
  <c r="K113" i="9"/>
  <c r="L113" i="9" s="1"/>
  <c r="J113" i="9"/>
  <c r="I113" i="9"/>
  <c r="B169" i="9"/>
  <c r="C169" i="9" s="1"/>
  <c r="F188" i="9" s="1"/>
  <c r="H122" i="9"/>
  <c r="B159" i="9" s="1"/>
  <c r="B164" i="9" s="1"/>
  <c r="E164" i="9" s="1"/>
  <c r="F185" i="9" s="1"/>
  <c r="I110" i="9"/>
  <c r="K110" i="9"/>
  <c r="L110" i="9" s="1"/>
  <c r="J110" i="9"/>
  <c r="I114" i="4"/>
  <c r="K114" i="4"/>
  <c r="L114" i="4" s="1"/>
  <c r="J114" i="4"/>
  <c r="P156" i="7"/>
  <c r="P157" i="7"/>
  <c r="I120" i="4"/>
  <c r="K120" i="4"/>
  <c r="L120" i="4" s="1"/>
  <c r="J120" i="4"/>
  <c r="B169" i="4"/>
  <c r="C169" i="4" s="1"/>
  <c r="J110" i="4"/>
  <c r="I110" i="4"/>
  <c r="H122" i="4"/>
  <c r="B159" i="4" s="1"/>
  <c r="B164" i="4" s="1"/>
  <c r="E164" i="4" s="1"/>
  <c r="K110" i="4"/>
  <c r="L110" i="4" s="1"/>
  <c r="B169" i="3"/>
  <c r="C169" i="3" s="1"/>
  <c r="I118" i="9"/>
  <c r="J118" i="9"/>
  <c r="K118" i="9"/>
  <c r="L118" i="9" s="1"/>
  <c r="D190" i="2"/>
  <c r="A195" i="2" s="1" a="1"/>
  <c r="A185" i="2" a="1"/>
  <c r="P142" i="4"/>
  <c r="P157" i="9"/>
  <c r="P142" i="5"/>
  <c r="P142" i="9"/>
  <c r="P154" i="3"/>
  <c r="P143" i="6"/>
  <c r="I111" i="5"/>
  <c r="J111" i="5"/>
  <c r="K111" i="5"/>
  <c r="L111" i="5" s="1"/>
  <c r="R140" i="3"/>
  <c r="P156" i="9"/>
  <c r="E178" i="5" l="1"/>
  <c r="T113" i="1"/>
  <c r="W113" i="1" s="1"/>
  <c r="U113" i="1"/>
  <c r="X113" i="1" s="1"/>
  <c r="L122" i="7"/>
  <c r="P157" i="3"/>
  <c r="I122" i="8"/>
  <c r="B160" i="8" s="1"/>
  <c r="J122" i="7"/>
  <c r="B161" i="7" s="1"/>
  <c r="J122" i="8"/>
  <c r="B161" i="8" s="1"/>
  <c r="I122" i="7"/>
  <c r="B160" i="7" s="1"/>
  <c r="B165" i="1"/>
  <c r="E165" i="1" s="1"/>
  <c r="I56" i="1" s="1"/>
  <c r="B166" i="1"/>
  <c r="E166" i="1" s="1"/>
  <c r="I57" i="1" s="1"/>
  <c r="C183" i="5"/>
  <c r="D192" i="5" s="1"/>
  <c r="I122" i="2"/>
  <c r="B160" i="2" s="1"/>
  <c r="L122" i="8"/>
  <c r="L122" i="6"/>
  <c r="D183" i="5"/>
  <c r="D193" i="5" s="1"/>
  <c r="A183" i="5"/>
  <c r="D190" i="5" s="1"/>
  <c r="J122" i="2"/>
  <c r="B161" i="2" s="1"/>
  <c r="J122" i="3"/>
  <c r="B161" i="3" s="1"/>
  <c r="J122" i="6"/>
  <c r="B161" i="6" s="1"/>
  <c r="I122" i="6"/>
  <c r="B160" i="6" s="1"/>
  <c r="L122" i="3"/>
  <c r="P143" i="3"/>
  <c r="P156" i="3"/>
  <c r="L122" i="2"/>
  <c r="B159" i="3"/>
  <c r="B164" i="3" s="1"/>
  <c r="E164" i="3" s="1"/>
  <c r="A181" i="1" s="1"/>
  <c r="I122" i="3"/>
  <c r="B160" i="3" s="1"/>
  <c r="I121" i="5"/>
  <c r="K121" i="5"/>
  <c r="L121" i="5" s="1"/>
  <c r="J121" i="5"/>
  <c r="I119" i="5"/>
  <c r="J119" i="5"/>
  <c r="K119" i="5"/>
  <c r="L119" i="5" s="1"/>
  <c r="I113" i="5"/>
  <c r="J113" i="5"/>
  <c r="K113" i="5"/>
  <c r="L113" i="5" s="1"/>
  <c r="J118" i="5"/>
  <c r="I118" i="5"/>
  <c r="K118" i="5"/>
  <c r="L118" i="5" s="1"/>
  <c r="I117" i="5"/>
  <c r="J117" i="5"/>
  <c r="K117" i="5"/>
  <c r="L117" i="5" s="1"/>
  <c r="I115" i="5"/>
  <c r="J115" i="5"/>
  <c r="K115" i="5"/>
  <c r="L115" i="5" s="1"/>
  <c r="J112" i="5"/>
  <c r="I112" i="5"/>
  <c r="K112" i="5"/>
  <c r="L112" i="5" s="1"/>
  <c r="J120" i="5"/>
  <c r="K120" i="5"/>
  <c r="L120" i="5" s="1"/>
  <c r="I120" i="5"/>
  <c r="K114" i="5"/>
  <c r="L114" i="5" s="1"/>
  <c r="I114" i="5"/>
  <c r="J114" i="5"/>
  <c r="K110" i="5"/>
  <c r="L110" i="5" s="1"/>
  <c r="J110" i="5"/>
  <c r="I110" i="5"/>
  <c r="H122" i="5"/>
  <c r="B159" i="5" s="1"/>
  <c r="B164" i="5" s="1"/>
  <c r="E164" i="5" s="1"/>
  <c r="A183" i="1" s="1"/>
  <c r="C212" i="1" s="1"/>
  <c r="B169" i="5"/>
  <c r="C169" i="5" s="1"/>
  <c r="F188" i="5" s="1"/>
  <c r="J116" i="5"/>
  <c r="K116" i="5"/>
  <c r="L116" i="5" s="1"/>
  <c r="I116" i="5"/>
  <c r="J122" i="9"/>
  <c r="B161" i="9" s="1"/>
  <c r="AC193" i="1"/>
  <c r="D181" i="1"/>
  <c r="B193" i="1" s="1"/>
  <c r="X193" i="1" s="1"/>
  <c r="F188" i="3"/>
  <c r="L122" i="9"/>
  <c r="P142" i="3"/>
  <c r="L122" i="4"/>
  <c r="I122" i="9"/>
  <c r="B160" i="9" s="1"/>
  <c r="I122" i="4"/>
  <c r="B160" i="4" s="1"/>
  <c r="F188" i="2"/>
  <c r="AB193" i="1"/>
  <c r="D180" i="1"/>
  <c r="A193" i="1" s="1"/>
  <c r="W193" i="1" s="1"/>
  <c r="F188" i="4"/>
  <c r="D182" i="1"/>
  <c r="C193" i="1" s="1"/>
  <c r="Y193" i="1" s="1"/>
  <c r="AD193" i="1"/>
  <c r="J122" i="4"/>
  <c r="B161" i="4" s="1"/>
  <c r="AB190" i="1"/>
  <c r="A182" i="1"/>
  <c r="AD190" i="1"/>
  <c r="F185" i="4"/>
  <c r="A188" i="2"/>
  <c r="C187" i="2"/>
  <c r="A186" i="2"/>
  <c r="C186" i="2"/>
  <c r="A185" i="2"/>
  <c r="H185" i="2" s="1" a="1"/>
  <c r="A187" i="2"/>
  <c r="D186" i="2"/>
  <c r="C188" i="2"/>
  <c r="D185" i="2"/>
  <c r="D187" i="2"/>
  <c r="C185" i="2"/>
  <c r="B187" i="2"/>
  <c r="B185" i="2"/>
  <c r="B186" i="2"/>
  <c r="D188" i="2"/>
  <c r="B188" i="2"/>
  <c r="A195" i="2"/>
  <c r="H195" i="2" s="1" a="1"/>
  <c r="C198" i="2"/>
  <c r="A197" i="2"/>
  <c r="A198" i="2"/>
  <c r="C195" i="2"/>
  <c r="B196" i="2"/>
  <c r="B198" i="2"/>
  <c r="D195" i="2"/>
  <c r="B197" i="2"/>
  <c r="D197" i="2"/>
  <c r="A196" i="2"/>
  <c r="C197" i="2"/>
  <c r="D198" i="2"/>
  <c r="B195" i="2"/>
  <c r="C196" i="2"/>
  <c r="D196" i="2"/>
  <c r="A180" i="9"/>
  <c r="A180" i="4"/>
  <c r="A180" i="7"/>
  <c r="A180" i="1"/>
  <c r="A180" i="3"/>
  <c r="A180" i="6"/>
  <c r="A180" i="8"/>
  <c r="A180" i="5"/>
  <c r="B166" i="7" l="1"/>
  <c r="E166" i="7" s="1"/>
  <c r="F187" i="7" s="1"/>
  <c r="B165" i="7"/>
  <c r="E165" i="7" s="1"/>
  <c r="F186" i="7" s="1"/>
  <c r="B165" i="8"/>
  <c r="E165" i="8" s="1"/>
  <c r="F186" i="8" s="1"/>
  <c r="B166" i="8"/>
  <c r="E166" i="8" s="1"/>
  <c r="F187" i="8" s="1"/>
  <c r="F186" i="1"/>
  <c r="F187" i="1"/>
  <c r="B165" i="6"/>
  <c r="E165" i="6" s="1"/>
  <c r="F186" i="6" s="1"/>
  <c r="B166" i="6"/>
  <c r="E166" i="6" s="1"/>
  <c r="F187" i="6" s="1"/>
  <c r="B166" i="2"/>
  <c r="E166" i="2" s="1"/>
  <c r="F185" i="3"/>
  <c r="AC190" i="1"/>
  <c r="B165" i="2"/>
  <c r="E165" i="2" s="1"/>
  <c r="B166" i="3"/>
  <c r="E166" i="3" s="1"/>
  <c r="B165" i="3"/>
  <c r="E165" i="3" s="1"/>
  <c r="D183" i="1"/>
  <c r="D193" i="1" s="1"/>
  <c r="Z193" i="1" s="1"/>
  <c r="L122" i="5"/>
  <c r="J122" i="5"/>
  <c r="B161" i="5" s="1"/>
  <c r="I122" i="5"/>
  <c r="B160" i="5" s="1"/>
  <c r="AE193" i="1"/>
  <c r="F185" i="5"/>
  <c r="AE190" i="1"/>
  <c r="L57" i="1"/>
  <c r="M59" i="1" s="1"/>
  <c r="M57" i="1" s="1"/>
  <c r="Q30" i="1" s="1"/>
  <c r="D190" i="1"/>
  <c r="Z190" i="1" s="1"/>
  <c r="B166" i="4"/>
  <c r="E166" i="4" s="1"/>
  <c r="F187" i="4" s="1"/>
  <c r="B165" i="4"/>
  <c r="E165" i="4" s="1"/>
  <c r="F186" i="4" s="1"/>
  <c r="B165" i="9"/>
  <c r="E165" i="9" s="1"/>
  <c r="F186" i="9" s="1"/>
  <c r="B166" i="9"/>
  <c r="E166" i="9" s="1"/>
  <c r="F187" i="9" s="1"/>
  <c r="A190" i="1"/>
  <c r="A185" i="6" a="1"/>
  <c r="A190" i="6"/>
  <c r="A190" i="5"/>
  <c r="A185" i="5" a="1"/>
  <c r="A190" i="8"/>
  <c r="A185" i="8" a="1"/>
  <c r="A185" i="7" a="1"/>
  <c r="A190" i="7"/>
  <c r="A212" i="1"/>
  <c r="B190" i="1"/>
  <c r="H195" i="2"/>
  <c r="J195" i="2" s="1"/>
  <c r="L197" i="2" s="1"/>
  <c r="H197" i="2"/>
  <c r="J197" i="2" s="1"/>
  <c r="L196" i="2" s="1"/>
  <c r="H196" i="2"/>
  <c r="J196" i="2" s="1"/>
  <c r="L195" i="2" s="1"/>
  <c r="H198" i="2"/>
  <c r="J198" i="2" s="1"/>
  <c r="L198" i="2" s="1"/>
  <c r="A190" i="4"/>
  <c r="A185" i="4" a="1"/>
  <c r="A190" i="3"/>
  <c r="A185" i="3" a="1"/>
  <c r="B212" i="1"/>
  <c r="C190" i="1"/>
  <c r="A190" i="9"/>
  <c r="A185" i="9" a="1"/>
  <c r="H187" i="2"/>
  <c r="J187" i="2" s="1"/>
  <c r="L186" i="2" s="1"/>
  <c r="H188" i="2"/>
  <c r="J188" i="2" s="1"/>
  <c r="L188" i="2" s="1"/>
  <c r="H185" i="2"/>
  <c r="J185" i="2" s="1"/>
  <c r="L187" i="2" s="1"/>
  <c r="H186" i="2"/>
  <c r="J186" i="2" s="1"/>
  <c r="L185" i="2" s="1"/>
  <c r="C181" i="1" l="1"/>
  <c r="A214" i="1" s="1"/>
  <c r="B181" i="1"/>
  <c r="A213" i="1" s="1"/>
  <c r="AB192" i="1"/>
  <c r="C180" i="1"/>
  <c r="A192" i="1" s="1"/>
  <c r="W192" i="1" s="1"/>
  <c r="F187" i="2"/>
  <c r="B180" i="1"/>
  <c r="A191" i="1" s="1"/>
  <c r="A202" i="1" s="1"/>
  <c r="AB191" i="1"/>
  <c r="F186" i="2"/>
  <c r="H205" i="2" s="1" a="1"/>
  <c r="H205" i="2" s="1"/>
  <c r="J205" i="2" s="1"/>
  <c r="L207" i="2" s="1"/>
  <c r="AC192" i="1"/>
  <c r="F187" i="3"/>
  <c r="AC191" i="1"/>
  <c r="F186" i="3"/>
  <c r="B182" i="1"/>
  <c r="B213" i="1" s="1"/>
  <c r="B166" i="5"/>
  <c r="E166" i="5" s="1"/>
  <c r="C183" i="1" s="1"/>
  <c r="C214" i="1" s="1"/>
  <c r="AD192" i="1"/>
  <c r="AD191" i="1"/>
  <c r="B165" i="5"/>
  <c r="E165" i="5" s="1"/>
  <c r="C182" i="1"/>
  <c r="C192" i="1" s="1"/>
  <c r="C187" i="3"/>
  <c r="D185" i="3"/>
  <c r="B188" i="3"/>
  <c r="B185" i="3"/>
  <c r="A188" i="3"/>
  <c r="C186" i="3"/>
  <c r="B186" i="3"/>
  <c r="C185" i="3"/>
  <c r="D186" i="3"/>
  <c r="A185" i="3"/>
  <c r="H185" i="3" s="1" a="1"/>
  <c r="C188" i="3"/>
  <c r="A186" i="3"/>
  <c r="D187" i="3"/>
  <c r="A187" i="3"/>
  <c r="D188" i="3"/>
  <c r="B187" i="3"/>
  <c r="A201" i="3"/>
  <c r="A205" i="3" s="1" a="1"/>
  <c r="A195" i="3" a="1"/>
  <c r="A201" i="5"/>
  <c r="A205" i="5" s="1" a="1"/>
  <c r="A195" i="5" a="1"/>
  <c r="A188" i="9"/>
  <c r="B187" i="9"/>
  <c r="C185" i="9"/>
  <c r="C188" i="9"/>
  <c r="A186" i="9"/>
  <c r="A187" i="9"/>
  <c r="D186" i="9"/>
  <c r="C187" i="9"/>
  <c r="D185" i="9"/>
  <c r="D187" i="9"/>
  <c r="B185" i="9"/>
  <c r="B188" i="9"/>
  <c r="B186" i="9"/>
  <c r="A185" i="9"/>
  <c r="H185" i="9" s="1" a="1"/>
  <c r="D188" i="9"/>
  <c r="C186" i="9"/>
  <c r="D185" i="6"/>
  <c r="C185" i="6"/>
  <c r="A187" i="6"/>
  <c r="D187" i="6"/>
  <c r="C188" i="6"/>
  <c r="C187" i="6"/>
  <c r="A186" i="6"/>
  <c r="B186" i="6"/>
  <c r="D188" i="6"/>
  <c r="A185" i="6"/>
  <c r="H185" i="6" s="1" a="1"/>
  <c r="B185" i="6"/>
  <c r="D186" i="6"/>
  <c r="B188" i="6"/>
  <c r="A188" i="6"/>
  <c r="B187" i="6"/>
  <c r="C186" i="6"/>
  <c r="D185" i="4"/>
  <c r="B188" i="4"/>
  <c r="D188" i="4"/>
  <c r="C185" i="4"/>
  <c r="A187" i="4"/>
  <c r="C188" i="4"/>
  <c r="D186" i="4"/>
  <c r="B186" i="4"/>
  <c r="A188" i="4"/>
  <c r="B187" i="4"/>
  <c r="C186" i="4"/>
  <c r="D187" i="4"/>
  <c r="B185" i="4"/>
  <c r="C187" i="4"/>
  <c r="A186" i="4"/>
  <c r="A185" i="4"/>
  <c r="H185" i="4" s="1" a="1"/>
  <c r="A201" i="4"/>
  <c r="A205" i="4" s="1" a="1"/>
  <c r="A195" i="4" a="1"/>
  <c r="A201" i="9"/>
  <c r="A205" i="9" s="1" a="1"/>
  <c r="A195" i="9" a="1"/>
  <c r="A195" i="7" a="1"/>
  <c r="A201" i="7"/>
  <c r="A205" i="7" s="1" a="1"/>
  <c r="C201" i="1"/>
  <c r="Y190" i="1"/>
  <c r="D185" i="7"/>
  <c r="C188" i="7"/>
  <c r="C186" i="7"/>
  <c r="B188" i="7"/>
  <c r="A188" i="7"/>
  <c r="D187" i="7"/>
  <c r="A187" i="7"/>
  <c r="A186" i="7"/>
  <c r="B187" i="7"/>
  <c r="C185" i="7"/>
  <c r="B185" i="7"/>
  <c r="C187" i="7"/>
  <c r="A185" i="7"/>
  <c r="H185" i="7" s="1" a="1"/>
  <c r="B186" i="7"/>
  <c r="D186" i="7"/>
  <c r="D188" i="7"/>
  <c r="X190" i="1"/>
  <c r="B201" i="1"/>
  <c r="A188" i="8"/>
  <c r="B187" i="8"/>
  <c r="D188" i="8"/>
  <c r="A185" i="8"/>
  <c r="H185" i="8" s="1" a="1"/>
  <c r="C187" i="8"/>
  <c r="C186" i="8"/>
  <c r="C188" i="8"/>
  <c r="D185" i="8"/>
  <c r="D186" i="8"/>
  <c r="A186" i="8"/>
  <c r="B185" i="8"/>
  <c r="B186" i="8"/>
  <c r="B188" i="8"/>
  <c r="C185" i="8"/>
  <c r="A187" i="8"/>
  <c r="D187" i="8"/>
  <c r="A201" i="6"/>
  <c r="A205" i="6" s="1" a="1"/>
  <c r="A195" i="6" a="1"/>
  <c r="A201" i="8"/>
  <c r="A205" i="8" s="1" a="1"/>
  <c r="A195" i="8" a="1"/>
  <c r="D187" i="5"/>
  <c r="A186" i="5"/>
  <c r="D185" i="5"/>
  <c r="A187" i="5"/>
  <c r="C188" i="5"/>
  <c r="B185" i="5"/>
  <c r="C187" i="5"/>
  <c r="C186" i="5"/>
  <c r="B187" i="5"/>
  <c r="A188" i="5"/>
  <c r="B186" i="5"/>
  <c r="A185" i="5"/>
  <c r="H185" i="5" s="1" a="1"/>
  <c r="D188" i="5"/>
  <c r="D186" i="5"/>
  <c r="B188" i="5"/>
  <c r="C185" i="5"/>
  <c r="W190" i="1"/>
  <c r="A201" i="1"/>
  <c r="A203" i="1" l="1"/>
  <c r="B192" i="1"/>
  <c r="B203" i="1" s="1"/>
  <c r="B191" i="1"/>
  <c r="X191" i="1" s="1"/>
  <c r="W191" i="1"/>
  <c r="H206" i="2"/>
  <c r="J206" i="2" s="1"/>
  <c r="L205" i="2" s="1"/>
  <c r="H207" i="2"/>
  <c r="J207" i="2" s="1"/>
  <c r="L206" i="2" s="1"/>
  <c r="C191" i="1"/>
  <c r="C202" i="1" s="1"/>
  <c r="AE192" i="1"/>
  <c r="F187" i="5"/>
  <c r="D192" i="1"/>
  <c r="Z192" i="1" s="1"/>
  <c r="B214" i="1"/>
  <c r="F186" i="5"/>
  <c r="B183" i="1"/>
  <c r="AE191" i="1"/>
  <c r="C196" i="8"/>
  <c r="D195" i="8"/>
  <c r="D197" i="8"/>
  <c r="B197" i="8"/>
  <c r="A198" i="8"/>
  <c r="D198" i="8"/>
  <c r="B198" i="8"/>
  <c r="B195" i="8"/>
  <c r="A196" i="8"/>
  <c r="C197" i="8"/>
  <c r="C195" i="8"/>
  <c r="A197" i="8"/>
  <c r="D196" i="8"/>
  <c r="A195" i="8"/>
  <c r="H195" i="8" s="1" a="1"/>
  <c r="C198" i="8"/>
  <c r="B196" i="8"/>
  <c r="B206" i="6"/>
  <c r="A205" i="6"/>
  <c r="H205" i="6" s="1" a="1"/>
  <c r="B205" i="6"/>
  <c r="A206" i="6"/>
  <c r="B207" i="6"/>
  <c r="A207" i="6"/>
  <c r="C207" i="6"/>
  <c r="C206" i="6"/>
  <c r="C205" i="6"/>
  <c r="A198" i="5"/>
  <c r="B197" i="5"/>
  <c r="C195" i="5"/>
  <c r="A197" i="5"/>
  <c r="A196" i="5"/>
  <c r="C196" i="5"/>
  <c r="A195" i="5"/>
  <c r="H195" i="5" s="1" a="1"/>
  <c r="C197" i="5"/>
  <c r="B196" i="5"/>
  <c r="D198" i="5"/>
  <c r="B195" i="5"/>
  <c r="C198" i="5"/>
  <c r="D197" i="5"/>
  <c r="D195" i="5"/>
  <c r="B198" i="5"/>
  <c r="D196" i="5"/>
  <c r="H186" i="4"/>
  <c r="J186" i="4" s="1"/>
  <c r="L185" i="4" s="1"/>
  <c r="H188" i="4"/>
  <c r="J188" i="4" s="1"/>
  <c r="L188" i="4" s="1"/>
  <c r="H185" i="4"/>
  <c r="J185" i="4" s="1"/>
  <c r="L187" i="4" s="1"/>
  <c r="H187" i="4"/>
  <c r="J187" i="4" s="1"/>
  <c r="L186" i="4" s="1"/>
  <c r="H187" i="8"/>
  <c r="J187" i="8" s="1"/>
  <c r="L186" i="8" s="1"/>
  <c r="H186" i="8"/>
  <c r="J186" i="8" s="1"/>
  <c r="L185" i="8" s="1"/>
  <c r="H188" i="8"/>
  <c r="J188" i="8" s="1"/>
  <c r="L188" i="8" s="1"/>
  <c r="H185" i="8"/>
  <c r="J185" i="8" s="1"/>
  <c r="L187" i="8" s="1"/>
  <c r="B195" i="9"/>
  <c r="D195" i="9"/>
  <c r="B197" i="9"/>
  <c r="A196" i="9"/>
  <c r="D196" i="9"/>
  <c r="B196" i="9"/>
  <c r="D197" i="9"/>
  <c r="D198" i="9"/>
  <c r="A197" i="9"/>
  <c r="C195" i="9"/>
  <c r="A198" i="9"/>
  <c r="C198" i="9"/>
  <c r="B198" i="9"/>
  <c r="C197" i="9"/>
  <c r="C196" i="9"/>
  <c r="A195" i="9"/>
  <c r="H195" i="9" s="1" a="1"/>
  <c r="C207" i="5"/>
  <c r="A205" i="5"/>
  <c r="H205" i="5" s="1" a="1"/>
  <c r="B205" i="5"/>
  <c r="B207" i="5"/>
  <c r="A207" i="5"/>
  <c r="C206" i="5"/>
  <c r="C205" i="5"/>
  <c r="A206" i="5"/>
  <c r="B206" i="5"/>
  <c r="B206" i="9"/>
  <c r="C207" i="9"/>
  <c r="B205" i="9"/>
  <c r="A206" i="9"/>
  <c r="C206" i="9"/>
  <c r="A205" i="9"/>
  <c r="H205" i="9" s="1" a="1"/>
  <c r="C205" i="9"/>
  <c r="A207" i="9"/>
  <c r="B207" i="9"/>
  <c r="H187" i="9"/>
  <c r="J187" i="9" s="1"/>
  <c r="L186" i="9" s="1"/>
  <c r="H186" i="9"/>
  <c r="J186" i="9" s="1"/>
  <c r="L185" i="9" s="1"/>
  <c r="H185" i="9"/>
  <c r="J185" i="9" s="1"/>
  <c r="L187" i="9" s="1"/>
  <c r="H188" i="9"/>
  <c r="J188" i="9" s="1"/>
  <c r="L188" i="9" s="1"/>
  <c r="C203" i="1"/>
  <c r="Y192" i="1"/>
  <c r="D198" i="6"/>
  <c r="B197" i="6"/>
  <c r="B195" i="6"/>
  <c r="A195" i="6"/>
  <c r="H195" i="6" s="1" a="1"/>
  <c r="C198" i="6"/>
  <c r="D196" i="6"/>
  <c r="A197" i="6"/>
  <c r="B196" i="6"/>
  <c r="C197" i="6"/>
  <c r="C196" i="6"/>
  <c r="A198" i="6"/>
  <c r="A196" i="6"/>
  <c r="B198" i="6"/>
  <c r="C195" i="6"/>
  <c r="D197" i="6"/>
  <c r="D195" i="6"/>
  <c r="B206" i="7"/>
  <c r="B207" i="7"/>
  <c r="A205" i="7"/>
  <c r="H205" i="7" s="1" a="1"/>
  <c r="A207" i="7"/>
  <c r="C207" i="7"/>
  <c r="A206" i="7"/>
  <c r="C206" i="7"/>
  <c r="B205" i="7"/>
  <c r="C205" i="7"/>
  <c r="A195" i="4"/>
  <c r="H195" i="4" s="1" a="1"/>
  <c r="A197" i="4"/>
  <c r="C197" i="4"/>
  <c r="B197" i="4"/>
  <c r="D197" i="4"/>
  <c r="B196" i="4"/>
  <c r="B195" i="4"/>
  <c r="D198" i="4"/>
  <c r="C196" i="4"/>
  <c r="D196" i="4"/>
  <c r="A196" i="4"/>
  <c r="C198" i="4"/>
  <c r="B198" i="4"/>
  <c r="C195" i="4"/>
  <c r="A198" i="4"/>
  <c r="D195" i="4"/>
  <c r="H188" i="5"/>
  <c r="J188" i="5" s="1"/>
  <c r="L188" i="5" s="1"/>
  <c r="H187" i="5"/>
  <c r="J187" i="5" s="1"/>
  <c r="L186" i="5" s="1"/>
  <c r="H185" i="5"/>
  <c r="J185" i="5" s="1"/>
  <c r="L187" i="5" s="1"/>
  <c r="H186" i="5"/>
  <c r="J186" i="5" s="1"/>
  <c r="L185" i="5" s="1"/>
  <c r="H186" i="7"/>
  <c r="J186" i="7" s="1"/>
  <c r="L185" i="7" s="1"/>
  <c r="H187" i="7"/>
  <c r="J187" i="7" s="1"/>
  <c r="L186" i="7" s="1"/>
  <c r="H185" i="7"/>
  <c r="J185" i="7" s="1"/>
  <c r="L187" i="7" s="1"/>
  <c r="H188" i="7"/>
  <c r="J188" i="7" s="1"/>
  <c r="L188" i="7" s="1"/>
  <c r="A206" i="4"/>
  <c r="B206" i="4"/>
  <c r="B207" i="4"/>
  <c r="C205" i="4"/>
  <c r="C206" i="4"/>
  <c r="B205" i="4"/>
  <c r="C207" i="4"/>
  <c r="A205" i="4"/>
  <c r="H205" i="4" s="1" a="1"/>
  <c r="A207" i="4"/>
  <c r="C195" i="3"/>
  <c r="A195" i="3"/>
  <c r="H195" i="3" s="1" a="1"/>
  <c r="C196" i="3"/>
  <c r="B196" i="3"/>
  <c r="B197" i="3"/>
  <c r="A198" i="3"/>
  <c r="B198" i="3"/>
  <c r="C198" i="3"/>
  <c r="D197" i="3"/>
  <c r="D195" i="3"/>
  <c r="D196" i="3"/>
  <c r="A196" i="3"/>
  <c r="C197" i="3"/>
  <c r="B195" i="3"/>
  <c r="A197" i="3"/>
  <c r="D198" i="3"/>
  <c r="H186" i="3"/>
  <c r="J186" i="3" s="1"/>
  <c r="L185" i="3" s="1"/>
  <c r="H187" i="3"/>
  <c r="J187" i="3" s="1"/>
  <c r="L186" i="3" s="1"/>
  <c r="H185" i="3"/>
  <c r="J185" i="3" s="1"/>
  <c r="L187" i="3" s="1"/>
  <c r="H188" i="3"/>
  <c r="J188" i="3" s="1"/>
  <c r="L188" i="3" s="1"/>
  <c r="B205" i="8"/>
  <c r="A205" i="8"/>
  <c r="H205" i="8" s="1" a="1"/>
  <c r="C207" i="8"/>
  <c r="A207" i="8"/>
  <c r="B207" i="8"/>
  <c r="C205" i="8"/>
  <c r="C206" i="8"/>
  <c r="B206" i="8"/>
  <c r="A206" i="8"/>
  <c r="A197" i="7"/>
  <c r="B198" i="7"/>
  <c r="C197" i="7"/>
  <c r="C196" i="7"/>
  <c r="D197" i="7"/>
  <c r="B196" i="7"/>
  <c r="D198" i="7"/>
  <c r="B195" i="7"/>
  <c r="A198" i="7"/>
  <c r="A195" i="7"/>
  <c r="H195" i="7" s="1" a="1"/>
  <c r="B197" i="7"/>
  <c r="D195" i="7"/>
  <c r="C198" i="7"/>
  <c r="C195" i="7"/>
  <c r="A196" i="7"/>
  <c r="D196" i="7"/>
  <c r="H185" i="6"/>
  <c r="J185" i="6" s="1"/>
  <c r="L187" i="6" s="1"/>
  <c r="H186" i="6"/>
  <c r="J186" i="6" s="1"/>
  <c r="L185" i="6" s="1"/>
  <c r="H187" i="6"/>
  <c r="J187" i="6" s="1"/>
  <c r="L186" i="6" s="1"/>
  <c r="H188" i="6"/>
  <c r="J188" i="6" s="1"/>
  <c r="L188" i="6" s="1"/>
  <c r="C205" i="3"/>
  <c r="B206" i="3"/>
  <c r="A206" i="3"/>
  <c r="B205" i="3"/>
  <c r="C207" i="3"/>
  <c r="B207" i="3"/>
  <c r="C206" i="3"/>
  <c r="A205" i="3"/>
  <c r="H205" i="3" s="1" a="1"/>
  <c r="A207" i="3"/>
  <c r="X192" i="1" l="1"/>
  <c r="B202" i="1"/>
  <c r="A205" i="1" s="1" a="1"/>
  <c r="C206" i="1" s="1"/>
  <c r="Y191" i="1"/>
  <c r="AB195" i="1" a="1"/>
  <c r="AC198" i="1" s="1"/>
  <c r="C213" i="1"/>
  <c r="A216" i="1" s="1" a="1"/>
  <c r="B217" i="1" s="1"/>
  <c r="D191" i="1"/>
  <c r="A185" i="1" a="1"/>
  <c r="H205" i="8"/>
  <c r="J205" i="8" s="1"/>
  <c r="L207" i="8" s="1"/>
  <c r="H207" i="8"/>
  <c r="J207" i="8" s="1"/>
  <c r="L206" i="8" s="1"/>
  <c r="H206" i="8"/>
  <c r="J206" i="8" s="1"/>
  <c r="L205" i="8" s="1"/>
  <c r="H207" i="9"/>
  <c r="J207" i="9" s="1"/>
  <c r="L206" i="9" s="1"/>
  <c r="H205" i="9"/>
  <c r="J205" i="9" s="1"/>
  <c r="L207" i="9" s="1"/>
  <c r="H206" i="9"/>
  <c r="J206" i="9" s="1"/>
  <c r="L205" i="9" s="1"/>
  <c r="H197" i="9"/>
  <c r="J197" i="9" s="1"/>
  <c r="L196" i="9" s="1"/>
  <c r="H198" i="9"/>
  <c r="J198" i="9" s="1"/>
  <c r="L198" i="9" s="1"/>
  <c r="H196" i="9"/>
  <c r="J196" i="9" s="1"/>
  <c r="L195" i="9" s="1"/>
  <c r="H195" i="9"/>
  <c r="J195" i="9" s="1"/>
  <c r="L197" i="9" s="1"/>
  <c r="H205" i="5"/>
  <c r="J205" i="5" s="1"/>
  <c r="L207" i="5" s="1"/>
  <c r="H207" i="5"/>
  <c r="J207" i="5" s="1"/>
  <c r="L206" i="5" s="1"/>
  <c r="H206" i="5"/>
  <c r="J206" i="5" s="1"/>
  <c r="L205" i="5" s="1"/>
  <c r="H195" i="3"/>
  <c r="J195" i="3" s="1"/>
  <c r="L197" i="3" s="1"/>
  <c r="H197" i="3"/>
  <c r="J197" i="3" s="1"/>
  <c r="L196" i="3" s="1"/>
  <c r="H196" i="3"/>
  <c r="J196" i="3" s="1"/>
  <c r="L195" i="3" s="1"/>
  <c r="H198" i="3"/>
  <c r="J198" i="3" s="1"/>
  <c r="L198" i="3" s="1"/>
  <c r="H196" i="5"/>
  <c r="J196" i="5" s="1"/>
  <c r="L195" i="5" s="1"/>
  <c r="H197" i="5"/>
  <c r="J197" i="5" s="1"/>
  <c r="L196" i="5" s="1"/>
  <c r="H198" i="5"/>
  <c r="J198" i="5" s="1"/>
  <c r="L198" i="5" s="1"/>
  <c r="H195" i="5"/>
  <c r="J195" i="5" s="1"/>
  <c r="L197" i="5" s="1"/>
  <c r="H205" i="3"/>
  <c r="J205" i="3" s="1"/>
  <c r="L207" i="3" s="1"/>
  <c r="H207" i="3"/>
  <c r="J207" i="3" s="1"/>
  <c r="L206" i="3" s="1"/>
  <c r="H206" i="3"/>
  <c r="J206" i="3" s="1"/>
  <c r="L205" i="3" s="1"/>
  <c r="H195" i="6"/>
  <c r="J195" i="6" s="1"/>
  <c r="L197" i="6" s="1"/>
  <c r="H197" i="6"/>
  <c r="J197" i="6" s="1"/>
  <c r="L196" i="6" s="1"/>
  <c r="H198" i="6"/>
  <c r="J198" i="6" s="1"/>
  <c r="L198" i="6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H206" i="6"/>
  <c r="J206" i="6" s="1"/>
  <c r="L205" i="6" s="1"/>
  <c r="H207" i="6"/>
  <c r="J207" i="6" s="1"/>
  <c r="L206" i="6" s="1"/>
  <c r="H205" i="6"/>
  <c r="J205" i="6" s="1"/>
  <c r="L207" i="6" s="1"/>
  <c r="H195" i="8"/>
  <c r="J195" i="8" s="1"/>
  <c r="L197" i="8" s="1"/>
  <c r="H196" i="8"/>
  <c r="J196" i="8" s="1"/>
  <c r="L195" i="8" s="1"/>
  <c r="H198" i="8"/>
  <c r="J198" i="8" s="1"/>
  <c r="L198" i="8" s="1"/>
  <c r="H197" i="8"/>
  <c r="J197" i="8" s="1"/>
  <c r="L196" i="8" s="1"/>
  <c r="H198" i="7"/>
  <c r="J198" i="7" s="1"/>
  <c r="L198" i="7" s="1"/>
  <c r="H196" i="7"/>
  <c r="J196" i="7" s="1"/>
  <c r="L195" i="7" s="1"/>
  <c r="H197" i="7"/>
  <c r="J197" i="7" s="1"/>
  <c r="L196" i="7" s="1"/>
  <c r="H195" i="7"/>
  <c r="J195" i="7" s="1"/>
  <c r="L197" i="7" s="1"/>
  <c r="H206" i="4"/>
  <c r="J206" i="4" s="1"/>
  <c r="L205" i="4" s="1"/>
  <c r="H205" i="4"/>
  <c r="J205" i="4" s="1"/>
  <c r="L207" i="4" s="1"/>
  <c r="H207" i="4"/>
  <c r="J207" i="4" s="1"/>
  <c r="L206" i="4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AB195" i="1" l="1"/>
  <c r="AE195" i="1"/>
  <c r="AE196" i="1"/>
  <c r="AE197" i="1"/>
  <c r="AD197" i="1"/>
  <c r="AB196" i="1"/>
  <c r="AD198" i="1"/>
  <c r="AC197" i="1"/>
  <c r="AB198" i="1"/>
  <c r="AC196" i="1"/>
  <c r="AC195" i="1"/>
  <c r="AE198" i="1"/>
  <c r="AD196" i="1"/>
  <c r="AD195" i="1"/>
  <c r="AB197" i="1"/>
  <c r="B218" i="1"/>
  <c r="B216" i="1"/>
  <c r="A217" i="1"/>
  <c r="A216" i="1"/>
  <c r="A218" i="1"/>
  <c r="C216" i="1"/>
  <c r="C217" i="1"/>
  <c r="B185" i="1"/>
  <c r="A187" i="1"/>
  <c r="B186" i="1"/>
  <c r="C186" i="1"/>
  <c r="A185" i="1"/>
  <c r="D185" i="1"/>
  <c r="C187" i="1"/>
  <c r="A186" i="1"/>
  <c r="B188" i="1"/>
  <c r="D187" i="1"/>
  <c r="B187" i="1"/>
  <c r="C185" i="1"/>
  <c r="A188" i="1"/>
  <c r="C188" i="1"/>
  <c r="D188" i="1"/>
  <c r="D186" i="1"/>
  <c r="C218" i="1"/>
  <c r="Z191" i="1"/>
  <c r="A195" i="1" a="1"/>
  <c r="A206" i="1"/>
  <c r="B206" i="1"/>
  <c r="A207" i="1"/>
  <c r="B205" i="1"/>
  <c r="C207" i="1"/>
  <c r="C205" i="1"/>
  <c r="B207" i="1"/>
  <c r="A205" i="1"/>
  <c r="AG195" i="1" l="1" a="1"/>
  <c r="AI197" i="1" s="1"/>
  <c r="H205" i="1" a="1"/>
  <c r="H205" i="1" s="1"/>
  <c r="J205" i="1" s="1"/>
  <c r="L207" i="1" s="1"/>
  <c r="H216" i="1" a="1"/>
  <c r="H185" i="1" a="1"/>
  <c r="C198" i="1"/>
  <c r="B198" i="1"/>
  <c r="D195" i="1"/>
  <c r="C197" i="1"/>
  <c r="B196" i="1"/>
  <c r="D196" i="1"/>
  <c r="C196" i="1"/>
  <c r="D198" i="1"/>
  <c r="A196" i="1"/>
  <c r="C195" i="1"/>
  <c r="A197" i="1"/>
  <c r="A198" i="1"/>
  <c r="B195" i="1"/>
  <c r="D197" i="1"/>
  <c r="A195" i="1"/>
  <c r="B197" i="1"/>
  <c r="AG195" i="1" l="1"/>
  <c r="AJ195" i="1"/>
  <c r="AJ198" i="1"/>
  <c r="AG196" i="1"/>
  <c r="AI196" i="1"/>
  <c r="AI195" i="1"/>
  <c r="AH198" i="1"/>
  <c r="AJ197" i="1"/>
  <c r="AH195" i="1"/>
  <c r="AJ196" i="1"/>
  <c r="AI198" i="1"/>
  <c r="AG197" i="1"/>
  <c r="AG198" i="1"/>
  <c r="AH196" i="1"/>
  <c r="AH197" i="1"/>
  <c r="H206" i="1"/>
  <c r="J206" i="1" s="1"/>
  <c r="L205" i="1" s="1"/>
  <c r="H207" i="1"/>
  <c r="J207" i="1" s="1"/>
  <c r="L206" i="1" s="1"/>
  <c r="H188" i="1"/>
  <c r="J188" i="1" s="1"/>
  <c r="L188" i="1" s="1"/>
  <c r="H186" i="1"/>
  <c r="J186" i="1" s="1"/>
  <c r="L185" i="1" s="1"/>
  <c r="H187" i="1"/>
  <c r="J187" i="1" s="1"/>
  <c r="L186" i="1" s="1"/>
  <c r="H185" i="1"/>
  <c r="J185" i="1" s="1"/>
  <c r="L187" i="1" s="1"/>
  <c r="H195" i="1" a="1"/>
  <c r="J217" i="1"/>
  <c r="L217" i="1" s="1"/>
  <c r="H216" i="1"/>
  <c r="J216" i="1" s="1"/>
  <c r="L216" i="1" s="1"/>
  <c r="J218" i="1"/>
  <c r="L219" i="1" s="1"/>
  <c r="H195" i="1" l="1"/>
  <c r="H198" i="1"/>
  <c r="J198" i="1" s="1"/>
  <c r="L198" i="1" s="1"/>
  <c r="H196" i="1"/>
  <c r="J196" i="1" s="1"/>
  <c r="L195" i="1" s="1"/>
  <c r="H197" i="1"/>
  <c r="J197" i="1" s="1"/>
  <c r="L196" i="1" s="1"/>
  <c r="J195" i="1" l="1"/>
  <c r="L197" i="1" s="1"/>
  <c r="AL195" i="1" a="1"/>
  <c r="AL198" i="1" l="1"/>
  <c r="AL195" i="1"/>
  <c r="AL196" i="1"/>
  <c r="AL19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<sst xmlns="http://schemas.openxmlformats.org/spreadsheetml/2006/main" count="2408" uniqueCount="218">
  <si>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</si>
  <si>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</si>
  <si>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</si>
  <si>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</si>
  <si>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</si>
  <si>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</si>
  <si>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</si>
  <si>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</si>
  <si>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</si>
  <si>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</si>
  <si>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</si>
  <si>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</si>
  <si>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</si>
  <si>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</si>
  <si>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</si>
  <si>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</si>
  <si>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</si>
  <si>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</si>
  <si>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</si>
  <si>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</si>
  <si>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</si>
  <si>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</si>
  <si>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</si>
  <si>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</si>
  <si>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</si>
  <si>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</si>
  <si>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</si>
  <si>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</si>
  <si>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</si>
  <si>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</si>
  <si>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</si>
  <si>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</si>
  <si>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</si>
  <si>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</si>
  <si>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</si>
  <si>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</si>
  <si>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</si>
  <si>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</si>
  <si>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</si>
  <si>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</si>
  <si>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</si>
  <si>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</si>
  <si>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</si>
  <si>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</si>
  <si>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</si>
  <si>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</si>
  <si>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</si>
  <si>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</si>
  <si>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</si>
  <si>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</si>
  <si>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</si>
  <si>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</si>
  <si>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</si>
  <si>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</si>
  <si>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</si>
  <si>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</si>
  <si>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</si>
  <si>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</si>
  <si>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</si>
  <si>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</si>
  <si>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</si>
  <si>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</si>
  <si>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</si>
  <si>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</si>
  <si>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</si>
  <si>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</si>
  <si>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</si>
  <si>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</si>
  <si>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</si>
  <si>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</si>
  <si>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</si>
  <si>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</si>
  <si>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</si>
  <si>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</si>
  <si>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</si>
  <si>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</si>
  <si>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</si>
  <si>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</si>
  <si>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</si>
  <si>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</si>
  <si>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</si>
  <si>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</si>
  <si>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</si>
  <si>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</si>
  <si>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</si>
  <si>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</si>
  <si>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</si>
  <si>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</si>
  <si>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</si>
  <si>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</si>
  <si>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</si>
  <si>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</si>
  <si>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</si>
  <si>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</si>
  <si>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</si>
  <si>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</si>
  <si>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</si>
  <si>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</si>
  <si>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</si>
  <si>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</si>
  <si>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</si>
  <si>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</si>
  <si>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</si>
  <si>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</si>
  <si>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</si>
  <si>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</si>
  <si>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</si>
  <si>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</si>
  <si>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</si>
  <si>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</si>
  <si>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</si>
  <si>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</si>
  <si>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</si>
  <si>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</si>
  <si>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</si>
  <si>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</si>
  <si>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</si>
  <si>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</si>
  <si>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</si>
  <si>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</si>
  <si>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</si>
  <si>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</si>
  <si>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</si>
  <si>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</si>
  <si>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</si>
  <si>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</si>
  <si>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</si>
  <si>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</si>
  <si>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</si>
  <si>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</si>
  <si>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</si>
  <si>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</si>
  <si>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</si>
  <si>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</si>
  <si>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</si>
  <si>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</si>
  <si>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</si>
  <si>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</si>
  <si>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</si>
  <si>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</si>
  <si>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</si>
  <si>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</si>
  <si>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</si>
  <si>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</si>
  <si>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</si>
  <si>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</si>
  <si>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</si>
  <si>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</si>
  <si>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</si>
  <si>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</si>
  <si>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</si>
  <si>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</si>
  <si>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</si>
  <si>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</si>
  <si>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</si>
  <si>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</si>
  <si>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</si>
  <si>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</si>
  <si>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</si>
  <si>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</si>
  <si>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</si>
  <si>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</si>
  <si>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</si>
  <si>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</si>
  <si>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</si>
  <si>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</si>
  <si>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</si>
  <si>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</si>
  <si>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</si>
  <si>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</si>
  <si>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</si>
  <si>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</si>
  <si>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</si>
  <si>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</si>
  <si>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</si>
  <si>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</si>
  <si>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</si>
  <si>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</si>
  <si>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</si>
  <si>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</si>
  <si>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</si>
  <si>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</si>
  <si>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</si>
  <si>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</si>
  <si>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</si>
  <si>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</si>
  <si>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</si>
  <si>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</si>
  <si>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</si>
  <si>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</si>
  <si>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</si>
  <si>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</si>
  <si>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</si>
  <si>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</si>
  <si>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</si>
  <si>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</si>
  <si>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</si>
  <si>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</si>
  <si>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</si>
  <si>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</si>
  <si>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</si>
  <si>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</si>
  <si>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required square dim for all compression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</si>
  <si>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</si>
  <si>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</si>
  <si>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</si>
  <si>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</si>
  <si>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</si>
  <si>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</si>
  <si>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goal seek X44 to 0 by changing X39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</si>
  <si>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</si>
  <si>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</si>
  <si>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</si>
  <si>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</si>
  <si>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</si>
  <si>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</si>
  <si>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(Sheet not yet functional)</t>
  </si>
  <si>
    <t>(sheet under development)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</si>
</sst>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4.9725 ksi &lt; 110.4159 ksi
Design Status: NG
Solver Status: 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24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5DD866-E843-4479-9AB0-336CF243A0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668539-F0AA-4E8C-9F7C-225F1F71DE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FC57DD-55FE-4B26-A114-BB1B4A57CC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32C691-4860-4BE7-9EEA-A9711B4927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B14662-8DE7-4DD6-BBF0-A88D8405E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C335D9-4649-40DD-B9CB-925ACB295D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EF2769-F169-428C-917E-A930EAF68B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A4071A-1604-46A6-8622-FBDEA80D52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9</c:v>
                </c:pt>
                <c:pt idx="4">
                  <c:v>21</c:v>
                </c:pt>
                <c:pt idx="5">
                  <c:v>21</c:v>
                </c:pt>
                <c:pt idx="6">
                  <c:v>15</c:v>
                </c:pt>
                <c:pt idx="7">
                  <c:v>15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233.2036 kips</c:v>
                  </c:pt>
                  <c:pt idx="2">
                    <c:v>
270.4515 kips</c:v>
                  </c:pt>
                  <c:pt idx="3">
                    <c:v>
28.9 kips</c:v>
                  </c:pt>
                  <c:pt idx="4">
                    <c:v>
344.9475 kips</c:v>
                  </c:pt>
                  <c:pt idx="5">
                    <c:v>
103.396 kips</c:v>
                  </c:pt>
                  <c:pt idx="6">
                    <c:v>
307.6995 kips</c:v>
                  </c:pt>
                  <c:pt idx="7">
                    <c:v>
66.148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B01E1606-BBED-4BEC-ACF8-55C1C3ACC065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335900211236509"/>
                      <c:h val="6.822619899785253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Analysis'!$Q$25</c15:f>
                <c15:dlblRangeCache>
                  <c:ptCount val="1"/>
                  <c:pt idx="0">
                    <c:v>P: 0 kips
Mx: 12000 kip-in
My: 12000 kip-in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15.200368516125156</c:v>
                </c:pt>
                <c:pt idx="1">
                  <c:v>9.4954076060830577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24.774117187254884</c:v>
                </c:pt>
                <c:pt idx="1">
                  <c:v>-2.9732112318460295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4CDAA67-89F1-4BDC-A9FE-B6FBC044B1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13.026677910558298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4.7339654204756192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1356.6947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aseline="0">
                        <a:solidFill>
                          <a:srgbClr val="C00000"/>
                        </a:solidFill>
                        <a:latin typeface="Calibri" panose="020F0502020204030204" pitchFamily="34" charset="0"/>
                      </a:defRPr>
                    </a:pPr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352665940461806E-2"/>
                      <c:h val="3.3868766404199474E-2"/>
                    </c:manualLayout>
                  </c15:layout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3</c:v>
                </c:pt>
                <c:pt idx="1">
                  <c:v>#N/A</c:v>
                </c:pt>
                <c:pt idx="2">
                  <c:v>3.0000000000000004</c:v>
                </c:pt>
                <c:pt idx="3">
                  <c:v>11</c:v>
                </c:pt>
                <c:pt idx="4">
                  <c:v>3.0000000000000009</c:v>
                </c:pt>
                <c:pt idx="5">
                  <c:v>11</c:v>
                </c:pt>
                <c:pt idx="6">
                  <c:v>3.0000000000000009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2.9999999999999982</c:v>
                </c:pt>
                <c:pt idx="1">
                  <c:v>#N/A</c:v>
                </c:pt>
                <c:pt idx="2">
                  <c:v>9</c:v>
                </c:pt>
                <c:pt idx="3">
                  <c:v>9</c:v>
                </c:pt>
                <c:pt idx="4">
                  <c:v>21</c:v>
                </c:pt>
                <c:pt idx="5">
                  <c:v>21</c:v>
                </c:pt>
                <c:pt idx="6">
                  <c:v>15</c:v>
                </c:pt>
                <c:pt idx="7">
                  <c:v>15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FC35FE8-D01F-4B99-8E81-282086E8CD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59A1CE-4F8F-4DFC-A878-CDB6351591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10.106711642233192</c:v>
                </c:pt>
                <c:pt idx="1">
                  <c:v>13.999999999999998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 ksi</c:v>
                  </c:pt>
                  <c:pt idx="1">
                    <c:v>110.4159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14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18.935861681902477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1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24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9</c:v>
                </c:pt>
                <c:pt idx="4">
                  <c:v>21</c:v>
                </c:pt>
                <c:pt idx="5">
                  <c:v>21</c:v>
                </c:pt>
                <c:pt idx="6">
                  <c:v>15</c:v>
                </c:pt>
                <c:pt idx="7">
                  <c:v>15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4172674043921225"/>
                  <c:y val="-0.27268685380594748"/>
                </c:manualLayout>
              </c:layout>
              <c:tx>
                <c:rich>
                  <a:bodyPr/>
                  <a:lstStyle/>
                  <a:p>
                    <a:fld id="{2AEF7BD9-F9BD-4CC6-86FE-5371B048E8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4.9725 ksi &lt; 110.4159 ksi
Design Status: NG
Solver Status: 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15.200368516125156</c:v>
                </c:pt>
                <c:pt idx="1">
                  <c:v>9.4954076060830577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24.774117187254884</c:v>
                </c:pt>
                <c:pt idx="1">
                  <c:v>-2.9732112318460295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13.026677910558298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4.7339654204756192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3</c:v>
                </c:pt>
                <c:pt idx="1">
                  <c:v>#N/A</c:v>
                </c:pt>
                <c:pt idx="2">
                  <c:v>3.0000000000000004</c:v>
                </c:pt>
                <c:pt idx="3">
                  <c:v>11</c:v>
                </c:pt>
                <c:pt idx="4">
                  <c:v>3.0000000000000009</c:v>
                </c:pt>
                <c:pt idx="5">
                  <c:v>11</c:v>
                </c:pt>
                <c:pt idx="6">
                  <c:v>3.0000000000000009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2.9999999999999982</c:v>
                </c:pt>
                <c:pt idx="1">
                  <c:v>#N/A</c:v>
                </c:pt>
                <c:pt idx="2">
                  <c:v>9</c:v>
                </c:pt>
                <c:pt idx="3">
                  <c:v>9</c:v>
                </c:pt>
                <c:pt idx="4">
                  <c:v>21</c:v>
                </c:pt>
                <c:pt idx="5">
                  <c:v>21</c:v>
                </c:pt>
                <c:pt idx="6">
                  <c:v>15</c:v>
                </c:pt>
                <c:pt idx="7">
                  <c:v>15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13.163869645885562</c:v>
                </c:pt>
                <c:pt idx="1">
                  <c:v>10.344391115744241</c:v>
                </c:pt>
                <c:pt idx="2">
                  <c:v>-13.163869645885562</c:v>
                </c:pt>
                <c:pt idx="3">
                  <c:v>-10.344391115744241</c:v>
                </c:pt>
                <c:pt idx="4">
                  <c:v>13.163869645885562</c:v>
                </c:pt>
                <c:pt idx="5">
                  <c:v>13.163869645885562</c:v>
                </c:pt>
                <c:pt idx="6">
                  <c:v>13.163869645885562</c:v>
                </c:pt>
                <c:pt idx="7">
                  <c:v>13.163869645885562</c:v>
                </c:pt>
                <c:pt idx="8">
                  <c:v>13.163869645885562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-4.4398801724970847</c:v>
                </c:pt>
                <c:pt idx="1">
                  <c:v>9.2732719384536324</c:v>
                </c:pt>
                <c:pt idx="2">
                  <c:v>4.4398801724970847</c:v>
                </c:pt>
                <c:pt idx="3">
                  <c:v>-9.2732719384536324</c:v>
                </c:pt>
                <c:pt idx="4">
                  <c:v>-4.4398801724970847</c:v>
                </c:pt>
                <c:pt idx="5">
                  <c:v>-4.4398801724970847</c:v>
                </c:pt>
                <c:pt idx="6">
                  <c:v>-4.4398801724970847</c:v>
                </c:pt>
                <c:pt idx="7">
                  <c:v>-4.4398801724970847</c:v>
                </c:pt>
                <c:pt idx="8">
                  <c:v>-4.4398801724970847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9.6211630799372685</c:v>
                </c:pt>
                <c:pt idx="1">
                  <c:v>8.0100324912850844</c:v>
                </c:pt>
                <c:pt idx="2">
                  <c:v>3.7440978895298169</c:v>
                </c:pt>
                <c:pt idx="3">
                  <c:v>2.1329673008776338</c:v>
                </c:pt>
                <c:pt idx="4">
                  <c:v>-8.0100324912850844</c:v>
                </c:pt>
                <c:pt idx="5">
                  <c:v>-9.6211630799372685</c:v>
                </c:pt>
                <c:pt idx="6">
                  <c:v>-2.1329673008776338</c:v>
                </c:pt>
                <c:pt idx="7">
                  <c:v>-3.7440978895298169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-2.1055215480379279</c:v>
                </c:pt>
                <c:pt idx="1">
                  <c:v>5.7305653725053389</c:v>
                </c:pt>
                <c:pt idx="2">
                  <c:v>-3.3138694895270651</c:v>
                </c:pt>
                <c:pt idx="3">
                  <c:v>4.5222174310162018</c:v>
                </c:pt>
                <c:pt idx="4">
                  <c:v>-5.7305653725053389</c:v>
                </c:pt>
                <c:pt idx="5">
                  <c:v>2.1055215480379279</c:v>
                </c:pt>
                <c:pt idx="6">
                  <c:v>-4.5222174310162018</c:v>
                </c:pt>
                <c:pt idx="7">
                  <c:v>3.3138694895270651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-14.163869645885562</c:v>
                </c:pt>
                <c:pt idx="1">
                  <c:v>14.163869645885562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5.4597536911786513</c:v>
                </c:pt>
                <c:pt idx="1">
                  <c:v>5.4597536911786513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11.128465611199433</c:v>
                </c:pt>
                <c:pt idx="1">
                  <c:v>10.344391115744241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5.4597536911786513</c:v>
                </c:pt>
                <c:pt idx="1">
                  <c:v>9.2732719384536324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10.344391115744241</c:v>
                </c:pt>
                <c:pt idx="1">
                  <c:v>-8.2034911411023153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9.2732719384536324</c:v>
                </c:pt>
                <c:pt idx="1">
                  <c:v>5.4597536911786513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5.9034391753964002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7.3665128148161445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-14.163869645885562</c:v>
                </c:pt>
                <c:pt idx="1">
                  <c:v>14.163869645885562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-14.163869645885562</c:v>
                </c:pt>
                <c:pt idx="1">
                  <c:v>14.163869645885562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13.163869645885562</c:v>
                </c:pt>
                <c:pt idx="1">
                  <c:v>13.163869645885562</c:v>
                </c:pt>
                <c:pt idx="2">
                  <c:v>13.163869645885562</c:v>
                </c:pt>
                <c:pt idx="3">
                  <c:v>13.163869645885562</c:v>
                </c:pt>
                <c:pt idx="4">
                  <c:v>13.163869645885562</c:v>
                </c:pt>
                <c:pt idx="5">
                  <c:v>13.163869645885562</c:v>
                </c:pt>
                <c:pt idx="6">
                  <c:v>13.163869645885562</c:v>
                </c:pt>
                <c:pt idx="7">
                  <c:v>13.163869645885562</c:v>
                </c:pt>
                <c:pt idx="8">
                  <c:v>13.163869645885562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-4.4398801724970847</c:v>
                </c:pt>
                <c:pt idx="1">
                  <c:v>-4.4398801724970847</c:v>
                </c:pt>
                <c:pt idx="2">
                  <c:v>-4.4398801724970847</c:v>
                </c:pt>
                <c:pt idx="3">
                  <c:v>-4.4398801724970847</c:v>
                </c:pt>
                <c:pt idx="4">
                  <c:v>-4.4398801724970847</c:v>
                </c:pt>
                <c:pt idx="5">
                  <c:v>-4.4398801724970847</c:v>
                </c:pt>
                <c:pt idx="6">
                  <c:v>-4.4398801724970847</c:v>
                </c:pt>
                <c:pt idx="7">
                  <c:v>-4.4398801724970847</c:v>
                </c:pt>
                <c:pt idx="8">
                  <c:v>-4.4398801724970847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9.6211630799372685</c:v>
                </c:pt>
                <c:pt idx="1">
                  <c:v>#N/A</c:v>
                </c:pt>
                <c:pt idx="2">
                  <c:v>3.7440978895298169</c:v>
                </c:pt>
                <c:pt idx="3">
                  <c:v>2.1329673008776338</c:v>
                </c:pt>
                <c:pt idx="4">
                  <c:v>-8.0100324912850844</c:v>
                </c:pt>
                <c:pt idx="5">
                  <c:v>-9.6211630799372685</c:v>
                </c:pt>
                <c:pt idx="6">
                  <c:v>-2.1329673008776338</c:v>
                </c:pt>
                <c:pt idx="7">
                  <c:v>-3.7440978895298169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-2.1055215480379279</c:v>
                </c:pt>
                <c:pt idx="1">
                  <c:v>#N/A</c:v>
                </c:pt>
                <c:pt idx="2">
                  <c:v>-3.3138694895270651</c:v>
                </c:pt>
                <c:pt idx="3">
                  <c:v>4.5222174310162018</c:v>
                </c:pt>
                <c:pt idx="4">
                  <c:v>-5.7305653725053389</c:v>
                </c:pt>
                <c:pt idx="5">
                  <c:v>2.1055215480379279</c:v>
                </c:pt>
                <c:pt idx="6">
                  <c:v>-4.5222174310162018</c:v>
                </c:pt>
                <c:pt idx="7">
                  <c:v>3.3138694895270651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0</c:v>
                </c:pt>
                <c:pt idx="1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27.730693621562402</c:v>
                </c:pt>
                <c:pt idx="1">
                  <c:v>-13.730693621562402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24.092904612578067</c:v>
                </c:pt>
                <c:pt idx="1">
                  <c:v>-9.2904612578067258E-2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27.730693621562402</c:v>
                </c:pt>
                <c:pt idx="1">
                  <c:v>-27.730693621562402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27.730693621562402</c:v>
                </c:pt>
                <c:pt idx="1">
                  <c:v>-27.730693621562402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263338</xdr:colOff>
      <xdr:row>37</xdr:row>
      <xdr:rowOff>186015</xdr:rowOff>
    </xdr:from>
    <xdr:to>
      <xdr:col>36</xdr:col>
      <xdr:colOff>599515</xdr:colOff>
      <xdr:row>61</xdr:row>
      <xdr:rowOff>129986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E4"/>
  <sheetViews>
    <sheetView workbookViewId="0">
      <selection activeCell="E10" sqref="E10"/>
    </sheetView>
  </sheetViews>
  <sheetFormatPr defaultRowHeight="15" x14ac:dyDescent="0.25"/>
  <cols>
    <col min="1" max="1" width="12.7109375" customWidth="1"/>
  </cols>
  <sheetData>
    <row r="1" spans="1:5" x14ac:dyDescent="0.25">
      <c r="A1" s="44" t="s">
        <v>212</v>
      </c>
      <c r="E1" s="44" t="s">
        <v>216</v>
      </c>
    </row>
    <row r="4" spans="1:5" x14ac:dyDescent="0.25">
      <c r="A4" t="s">
        <v>213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7:J22"/>
  <sheetViews>
    <sheetView topLeftCell="A7" workbookViewId="0">
      <selection activeCell="E15" sqref="E15"/>
    </sheetView>
  </sheetViews>
  <sheetFormatPr defaultRowHeight="15" x14ac:dyDescent="0.25"/>
  <sheetData>
    <row r="7" spans="1:10" x14ac:dyDescent="0.25">
      <c r="E7" s="44" t="s">
        <v>217</v>
      </c>
    </row>
    <row r="8" spans="1:10" x14ac:dyDescent="0.25">
      <c r="A8" s="44" t="s">
        <v>214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215</v>
      </c>
      <c r="B10" s="2">
        <v>24</v>
      </c>
      <c r="C10" t="s">
        <v>22</v>
      </c>
    </row>
    <row r="12" spans="1:10" x14ac:dyDescent="0.25">
      <c r="A12" t="s">
        <v>0</v>
      </c>
      <c r="B12" t="s">
        <v>204</v>
      </c>
      <c r="H12" t="s">
        <v>133</v>
      </c>
      <c r="I12" t="s">
        <v>203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zoomScale="85" zoomScaleNormal="85" workbookViewId="0">
      <selection activeCell="R53" sqref="R5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3.5703125" bestFit="1" customWidth="1"/>
    <col min="25" max="25" width="11.28515625" customWidth="1"/>
    <col min="38" max="38" width="12.85546875" bestFit="1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0</v>
      </c>
      <c r="C2" t="s">
        <v>36</v>
      </c>
      <c r="D2" t="s">
        <v>103</v>
      </c>
      <c r="G2" s="1" t="s">
        <v>206</v>
      </c>
      <c r="H2" s="10" t="s">
        <v>186</v>
      </c>
      <c r="I2">
        <f>B2/D22</f>
        <v>0</v>
      </c>
      <c r="J2" t="s">
        <v>11</v>
      </c>
      <c r="N2" t="s">
        <v>188</v>
      </c>
    </row>
    <row r="3" spans="1:40" x14ac:dyDescent="0.25">
      <c r="A3" s="10" t="s">
        <v>79</v>
      </c>
      <c r="B3" s="2">
        <v>12000</v>
      </c>
      <c r="C3" t="s">
        <v>102</v>
      </c>
      <c r="D3" t="str">
        <f>"- Mx puts compression on +y"</f>
        <v>- Mx puts compression on +y</v>
      </c>
      <c r="G3" s="4">
        <f>B3/12</f>
        <v>1000</v>
      </c>
      <c r="H3" s="10" t="s">
        <v>177</v>
      </c>
      <c r="I3" s="3">
        <f>B9-E22</f>
        <v>0</v>
      </c>
      <c r="J3" t="s">
        <v>22</v>
      </c>
      <c r="K3" t="s">
        <v>179</v>
      </c>
      <c r="L3" s="4">
        <f>B2*I3</f>
        <v>0</v>
      </c>
      <c r="M3" t="str">
        <f>"+My"</f>
        <v>+My</v>
      </c>
      <c r="N3" s="4">
        <f>L3+B4</f>
        <v>12000</v>
      </c>
      <c r="O3" t="s">
        <v>102</v>
      </c>
    </row>
    <row r="4" spans="1:40" x14ac:dyDescent="0.25">
      <c r="A4" s="10" t="s">
        <v>80</v>
      </c>
      <c r="B4" s="2">
        <v>12000</v>
      </c>
      <c r="C4" t="s">
        <v>102</v>
      </c>
      <c r="D4" t="str">
        <f>"- My puts compression on -x"</f>
        <v>- My puts compression on -x</v>
      </c>
      <c r="G4" s="4">
        <f>B4/12</f>
        <v>1000</v>
      </c>
      <c r="H4" s="10" t="s">
        <v>178</v>
      </c>
      <c r="I4" s="3">
        <f>C9-F22</f>
        <v>0</v>
      </c>
      <c r="J4" t="s">
        <v>22</v>
      </c>
      <c r="K4" t="s">
        <v>180</v>
      </c>
      <c r="L4" s="4">
        <f>B2*I4*-1</f>
        <v>0</v>
      </c>
      <c r="M4" t="str">
        <f>"+Mx"</f>
        <v>+Mx</v>
      </c>
      <c r="N4" s="4">
        <f>B3+L4</f>
        <v>12000</v>
      </c>
      <c r="O4" t="s">
        <v>102</v>
      </c>
    </row>
    <row r="5" spans="1:40" x14ac:dyDescent="0.25">
      <c r="A5" s="10" t="s">
        <v>104</v>
      </c>
      <c r="B5" s="20">
        <f>IF(AND(B3=0,B4=0),0,ATAN2(B3,B4))</f>
        <v>0.78539816339744828</v>
      </c>
      <c r="C5" t="s">
        <v>19</v>
      </c>
      <c r="M5" s="10" t="s">
        <v>104</v>
      </c>
      <c r="N5" s="20">
        <f>IF(AND(N4=0,N3=0),0,ATAN2(N4,N3))</f>
        <v>0.78539816339744828</v>
      </c>
      <c r="O5" t="s">
        <v>19</v>
      </c>
      <c r="P5" t="s">
        <v>187</v>
      </c>
    </row>
    <row r="6" spans="1:40" x14ac:dyDescent="0.25">
      <c r="A6" s="10"/>
      <c r="B6" s="15"/>
      <c r="F6" t="s">
        <v>205</v>
      </c>
      <c r="G6" s="1">
        <f>(300/1000)*18</f>
        <v>5.3999999999999995</v>
      </c>
      <c r="H6" s="16" t="s">
        <v>102</v>
      </c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f>B14/2</f>
        <v>7</v>
      </c>
      <c r="C9" s="2">
        <v>12</v>
      </c>
      <c r="D9" t="s">
        <v>21</v>
      </c>
    </row>
    <row r="11" spans="1:40" x14ac:dyDescent="0.25">
      <c r="A11" t="s">
        <v>0</v>
      </c>
      <c r="B11" t="s">
        <v>204</v>
      </c>
      <c r="E11" s="60" t="str">
        <f>IF(D22&lt;0,"Plate Coordinates entered in the wrong order","")</f>
        <v/>
      </c>
      <c r="N11" t="s">
        <v>176</v>
      </c>
      <c r="AD11" t="s">
        <v>181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182</v>
      </c>
      <c r="AE12" s="18"/>
      <c r="AG12" s="18" t="s">
        <v>183</v>
      </c>
      <c r="AH12" s="18" t="s">
        <v>184</v>
      </c>
      <c r="AK12" s="18" t="s">
        <v>185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G22-(D22*F22*F22)</f>
        <v>16128</v>
      </c>
      <c r="O13" s="19">
        <f>H22-(D22*E22*E22)</f>
        <v>5488</v>
      </c>
      <c r="P13" s="19">
        <f>I22-(D22*E22*F22)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N13/(MAX(C13:C20)-F22)</f>
        <v>1344</v>
      </c>
      <c r="V13" s="19">
        <f>N13/(MIN(C13:C20)-F22)</f>
        <v>-1344</v>
      </c>
      <c r="W13" s="19">
        <f>O13/(MIN(B13:B20)-E22)</f>
        <v>-784</v>
      </c>
      <c r="X13" s="19">
        <f>O13/(MAX(B13:B20)-E22)</f>
        <v>784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L14">
        <f>IF(AND(B14=B15,C14=C15),0,1)</f>
        <v>1</v>
      </c>
      <c r="Y14" s="1">
        <f>$N$13/(C14-$F$22)</f>
        <v>-1344</v>
      </c>
      <c r="Z14">
        <f>$O$13/(B14-$E$22)</f>
        <v>784</v>
      </c>
      <c r="AA14">
        <f>-1*$B$3/Y14</f>
        <v>8.9285714285714288</v>
      </c>
      <c r="AB14">
        <f>$B$4/Z14</f>
        <v>15.306122448979592</v>
      </c>
      <c r="AC14">
        <f>$I$2+AG14+AK14</f>
        <v>24.23469387755102</v>
      </c>
      <c r="AD14" s="9">
        <f>C14-$F$22</f>
        <v>-12</v>
      </c>
      <c r="AE14">
        <f>(AD14*$N$4*$O$13)/(($N$13*$O$13)-($P$13*$P$13))</f>
        <v>-8.9285714285714288</v>
      </c>
      <c r="AF14">
        <f>(AD14*$N$3*$P$13)/(($N$13*$O$13)-($P$13*$P$13))</f>
        <v>0</v>
      </c>
      <c r="AG14">
        <f>(AE14+AF14)*-1</f>
        <v>8.9285714285714288</v>
      </c>
      <c r="AH14" s="9">
        <f>B14-$E$22</f>
        <v>7</v>
      </c>
      <c r="AI14">
        <f>(-1*AH14*$N$3*$N$13)/(($N$13*$O$13)-($P$13*$P$13))</f>
        <v>-15.306122448979592</v>
      </c>
      <c r="AJ14">
        <f>(-1*AH14*$N$4*$P$13)/(($N$13*$O$13)-($P$13*$P$13))</f>
        <v>0</v>
      </c>
      <c r="AK14">
        <f>(AI14+AJ14)*-1</f>
        <v>15.306122448979592</v>
      </c>
      <c r="AM14">
        <f>AA14+AB14+$I$2</f>
        <v>24.23469387755102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24</v>
      </c>
      <c r="D15" s="5">
        <f t="shared" ref="D15:D18" si="0">((B14*C15)-(B15*C14))*0.5</f>
        <v>168</v>
      </c>
      <c r="E15" s="5">
        <f t="shared" ref="E15:E18" si="1">(B15+B14)*((B14*C15)-(B15*C14))*(1/6)</f>
        <v>1568</v>
      </c>
      <c r="F15" s="5">
        <f t="shared" ref="F15:F18" si="2">(C15+C14)*((B14*C15)-(B15*C14))*(1/6)</f>
        <v>1344</v>
      </c>
      <c r="G15" s="5">
        <f t="shared" ref="G15:G18" si="3">(((C14*C14)+(C14*C15)+(C15*C15))*((B14*C15)-(B15*C14)))/12</f>
        <v>16128</v>
      </c>
      <c r="H15" s="5">
        <f t="shared" ref="H15:H18" si="4">(((B14*B14)+(B14*B15)+(B15*B15))*((B14*C15)-(B15*C14)))/12</f>
        <v>16464</v>
      </c>
      <c r="I15" s="5">
        <f t="shared" ref="I15:I18" si="5">(((B14*C15)+(2*B14*C14)+(2*B15*C15)+(B15*C14))*((B14*C15)-(B15*C14)))/24</f>
        <v>14112</v>
      </c>
      <c r="J15" s="5">
        <f t="shared" ref="J15:J18" si="6">G15+H15</f>
        <v>32592</v>
      </c>
      <c r="K15">
        <f t="shared" ref="K15:K21" si="7">ATAN2((B15-$E$22),(C15-$F$22))</f>
        <v>1.042721878368537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1344</v>
      </c>
      <c r="Z15">
        <f t="shared" ref="Z15:Z21" si="10">$O$13/(B15-$E$22)</f>
        <v>784</v>
      </c>
      <c r="AA15">
        <f t="shared" ref="AA15:AA21" si="11">-1*$B$3/Y15</f>
        <v>-8.9285714285714288</v>
      </c>
      <c r="AB15">
        <f t="shared" ref="AB15:AB21" si="12">$B$4/Z15</f>
        <v>15.306122448979592</v>
      </c>
      <c r="AC15">
        <f t="shared" ref="AC15:AC21" si="13">$I$2+AG15+AK15</f>
        <v>6.3775510204081627</v>
      </c>
      <c r="AD15" s="9">
        <f t="shared" ref="AD15:AD21" si="14">C15-$F$22</f>
        <v>12</v>
      </c>
      <c r="AE15">
        <f t="shared" ref="AE15:AE21" si="15">(AD15*$N$4*$O$13)/(($N$13*$O$13)-($P$13*$P$13))</f>
        <v>8.9285714285714288</v>
      </c>
      <c r="AF15">
        <f t="shared" ref="AF15:AF21" si="16">(AD15*$N$3*$P$13)/(($N$13*$O$13)-($P$13*$P$13))</f>
        <v>0</v>
      </c>
      <c r="AG15">
        <f t="shared" ref="AG15:AG21" si="17">(AE15+AF15)*-1</f>
        <v>-8.9285714285714288</v>
      </c>
      <c r="AH15" s="9">
        <f t="shared" ref="AH15:AH21" si="18">B15-$E$22</f>
        <v>7</v>
      </c>
      <c r="AI15">
        <f t="shared" ref="AI15:AI21" si="19">(-1*AH15*$N$3*$N$13)/(($N$13*$O$13)-($P$13*$P$13))</f>
        <v>-15.306122448979592</v>
      </c>
      <c r="AJ15">
        <f t="shared" ref="AJ15:AJ21" si="20">(-1*AH15*$N$4*$P$13)/(($N$13*$O$13)-($P$13*$P$13))</f>
        <v>0</v>
      </c>
      <c r="AK15">
        <f t="shared" ref="AK15:AK21" si="21">(AI15+AJ15)*-1</f>
        <v>15.306122448979592</v>
      </c>
      <c r="AM15">
        <f t="shared" ref="AM15:AM21" si="22">AA15+AB15+$I$2</f>
        <v>6.3775510204081627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1344</v>
      </c>
      <c r="Z16">
        <f t="shared" si="10"/>
        <v>-784</v>
      </c>
      <c r="AA16">
        <f t="shared" si="11"/>
        <v>-8.9285714285714288</v>
      </c>
      <c r="AB16">
        <f t="shared" si="12"/>
        <v>-15.306122448979592</v>
      </c>
      <c r="AC16">
        <f t="shared" si="13"/>
        <v>-24.23469387755102</v>
      </c>
      <c r="AD16" s="9">
        <f t="shared" si="14"/>
        <v>12</v>
      </c>
      <c r="AE16">
        <f t="shared" si="15"/>
        <v>8.9285714285714288</v>
      </c>
      <c r="AF16">
        <f t="shared" si="16"/>
        <v>0</v>
      </c>
      <c r="AG16">
        <f t="shared" si="17"/>
        <v>-8.9285714285714288</v>
      </c>
      <c r="AH16" s="9">
        <f t="shared" si="18"/>
        <v>-7</v>
      </c>
      <c r="AI16">
        <f t="shared" si="19"/>
        <v>15.306122448979592</v>
      </c>
      <c r="AJ16">
        <f t="shared" si="20"/>
        <v>0</v>
      </c>
      <c r="AK16">
        <f t="shared" si="21"/>
        <v>-15.306122448979592</v>
      </c>
      <c r="AM16">
        <f t="shared" si="22"/>
        <v>-24.23469387755102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L17">
        <f t="shared" si="8"/>
        <v>0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9"/>
        <v>-1344</v>
      </c>
      <c r="Z17">
        <f t="shared" si="10"/>
        <v>-784</v>
      </c>
      <c r="AA17">
        <f t="shared" si="11"/>
        <v>8.9285714285714288</v>
      </c>
      <c r="AB17">
        <f t="shared" si="12"/>
        <v>-15.306122448979592</v>
      </c>
      <c r="AC17">
        <f t="shared" si="13"/>
        <v>-6.3775510204081627</v>
      </c>
      <c r="AD17" s="9">
        <f t="shared" si="14"/>
        <v>-12</v>
      </c>
      <c r="AE17">
        <f t="shared" si="15"/>
        <v>-8.9285714285714288</v>
      </c>
      <c r="AF17">
        <f t="shared" si="16"/>
        <v>0</v>
      </c>
      <c r="AG17">
        <f t="shared" si="17"/>
        <v>8.9285714285714288</v>
      </c>
      <c r="AH17" s="9">
        <f t="shared" si="18"/>
        <v>-7</v>
      </c>
      <c r="AI17">
        <f t="shared" si="19"/>
        <v>15.306122448979592</v>
      </c>
      <c r="AJ17">
        <f t="shared" si="20"/>
        <v>0</v>
      </c>
      <c r="AK17">
        <f t="shared" si="21"/>
        <v>-15.306122448979592</v>
      </c>
      <c r="AM17">
        <f t="shared" si="22"/>
        <v>-6.3775510204081627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-1344</v>
      </c>
      <c r="Z18">
        <f t="shared" si="10"/>
        <v>-784</v>
      </c>
      <c r="AA18">
        <f t="shared" si="11"/>
        <v>8.9285714285714288</v>
      </c>
      <c r="AB18">
        <f t="shared" si="12"/>
        <v>-15.306122448979592</v>
      </c>
      <c r="AC18">
        <f t="shared" si="13"/>
        <v>-6.3775510204081627</v>
      </c>
      <c r="AD18" s="9">
        <f t="shared" si="14"/>
        <v>-12</v>
      </c>
      <c r="AE18">
        <f t="shared" si="15"/>
        <v>-8.9285714285714288</v>
      </c>
      <c r="AF18">
        <f t="shared" si="16"/>
        <v>0</v>
      </c>
      <c r="AG18">
        <f t="shared" si="17"/>
        <v>8.9285714285714288</v>
      </c>
      <c r="AH18" s="9">
        <f t="shared" si="18"/>
        <v>-7</v>
      </c>
      <c r="AI18">
        <f t="shared" si="19"/>
        <v>15.306122448979592</v>
      </c>
      <c r="AJ18">
        <f t="shared" si="20"/>
        <v>0</v>
      </c>
      <c r="AK18">
        <f t="shared" si="21"/>
        <v>-15.306122448979592</v>
      </c>
      <c r="AM18">
        <f t="shared" si="22"/>
        <v>-6.3775510204081627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-2.0988707752212559</v>
      </c>
      <c r="L19">
        <f t="shared" si="8"/>
        <v>0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9"/>
        <v>-1344</v>
      </c>
      <c r="Z19">
        <f t="shared" si="10"/>
        <v>-784</v>
      </c>
      <c r="AA19">
        <f t="shared" si="11"/>
        <v>8.9285714285714288</v>
      </c>
      <c r="AB19">
        <f t="shared" si="12"/>
        <v>-15.306122448979592</v>
      </c>
      <c r="AC19">
        <f t="shared" si="13"/>
        <v>-6.3775510204081627</v>
      </c>
      <c r="AD19" s="9">
        <f t="shared" si="14"/>
        <v>-12</v>
      </c>
      <c r="AE19">
        <f t="shared" si="15"/>
        <v>-8.9285714285714288</v>
      </c>
      <c r="AF19">
        <f t="shared" si="16"/>
        <v>0</v>
      </c>
      <c r="AG19">
        <f t="shared" si="17"/>
        <v>8.9285714285714288</v>
      </c>
      <c r="AH19" s="9">
        <f t="shared" si="18"/>
        <v>-7</v>
      </c>
      <c r="AI19">
        <f t="shared" si="19"/>
        <v>15.306122448979592</v>
      </c>
      <c r="AJ19">
        <f t="shared" si="20"/>
        <v>0</v>
      </c>
      <c r="AK19">
        <f t="shared" si="21"/>
        <v>-15.306122448979592</v>
      </c>
      <c r="AM19">
        <f t="shared" si="22"/>
        <v>-6.3775510204081627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-2.0988707752212559</v>
      </c>
      <c r="L20">
        <f t="shared" si="8"/>
        <v>0</v>
      </c>
      <c r="Y20" s="1">
        <f t="shared" si="9"/>
        <v>-1344</v>
      </c>
      <c r="Z20">
        <f t="shared" si="10"/>
        <v>-784</v>
      </c>
      <c r="AA20">
        <f t="shared" si="11"/>
        <v>8.9285714285714288</v>
      </c>
      <c r="AB20">
        <f t="shared" si="12"/>
        <v>-15.306122448979592</v>
      </c>
      <c r="AC20">
        <f t="shared" si="13"/>
        <v>-6.3775510204081627</v>
      </c>
      <c r="AD20" s="9">
        <f t="shared" si="14"/>
        <v>-12</v>
      </c>
      <c r="AE20">
        <f t="shared" si="15"/>
        <v>-8.9285714285714288</v>
      </c>
      <c r="AF20">
        <f t="shared" si="16"/>
        <v>0</v>
      </c>
      <c r="AG20">
        <f t="shared" si="17"/>
        <v>8.9285714285714288</v>
      </c>
      <c r="AH20" s="9">
        <f t="shared" si="18"/>
        <v>-7</v>
      </c>
      <c r="AI20">
        <f t="shared" si="19"/>
        <v>15.306122448979592</v>
      </c>
      <c r="AJ20">
        <f t="shared" si="20"/>
        <v>0</v>
      </c>
      <c r="AK20">
        <f t="shared" si="21"/>
        <v>-15.306122448979592</v>
      </c>
      <c r="AM20">
        <f t="shared" si="22"/>
        <v>-6.3775510204081627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-2.0988707752212559</v>
      </c>
      <c r="L21">
        <v>1</v>
      </c>
      <c r="Y21" s="1">
        <f t="shared" si="9"/>
        <v>-1344</v>
      </c>
      <c r="Z21">
        <f t="shared" si="10"/>
        <v>-784</v>
      </c>
      <c r="AA21">
        <f t="shared" si="11"/>
        <v>8.9285714285714288</v>
      </c>
      <c r="AB21">
        <f t="shared" si="12"/>
        <v>-15.306122448979592</v>
      </c>
      <c r="AC21">
        <f t="shared" si="13"/>
        <v>-6.3775510204081627</v>
      </c>
      <c r="AD21" s="9">
        <f t="shared" si="14"/>
        <v>-12</v>
      </c>
      <c r="AE21">
        <f t="shared" si="15"/>
        <v>-8.9285714285714288</v>
      </c>
      <c r="AF21">
        <f t="shared" si="16"/>
        <v>0</v>
      </c>
      <c r="AG21">
        <f t="shared" si="17"/>
        <v>8.9285714285714288</v>
      </c>
      <c r="AH21" s="9">
        <f t="shared" si="18"/>
        <v>-7</v>
      </c>
      <c r="AI21">
        <f t="shared" si="19"/>
        <v>15.306122448979592</v>
      </c>
      <c r="AJ21">
        <f t="shared" si="20"/>
        <v>0</v>
      </c>
      <c r="AK21">
        <f t="shared" si="21"/>
        <v>-15.306122448979592</v>
      </c>
      <c r="AM21">
        <f t="shared" si="22"/>
        <v>-6.3775510204081627</v>
      </c>
      <c r="AN21" t="b">
        <f t="shared" si="23"/>
        <v>1</v>
      </c>
    </row>
    <row r="22" spans="1:40" x14ac:dyDescent="0.25">
      <c r="D22" s="5">
        <f>SUM(D13:D21)</f>
        <v>336</v>
      </c>
      <c r="E22" s="3">
        <f>SUM(E14:E21)/D22</f>
        <v>7</v>
      </c>
      <c r="F22" s="3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  <c r="AC22">
        <f>COUNTIF(AC14:AC21,"&gt;0")</f>
        <v>2</v>
      </c>
    </row>
    <row r="23" spans="1:40" x14ac:dyDescent="0.25">
      <c r="A23" t="s">
        <v>133</v>
      </c>
      <c r="B23" t="s">
        <v>203</v>
      </c>
      <c r="D23" s="5"/>
      <c r="E23" s="61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0 kips
Mx: 12000 kip-in
My: 12000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24.23469387755102</v>
      </c>
      <c r="AD26">
        <f>COUNTIFS(AC14:AC21,AC26,L14:L21,1)</f>
        <v>1</v>
      </c>
      <c r="AE26">
        <f>SUMIF(AC14:AC21,AC26,B14:B21)/AD26</f>
        <v>14</v>
      </c>
      <c r="AF26">
        <f>SUMIF(AC14:AC21,AC26,C14:C21)/AD26</f>
        <v>0</v>
      </c>
      <c r="AG26" t="s">
        <v>200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-24.23469387755102</v>
      </c>
      <c r="AD27">
        <f>COUNTIFS(AC14:AC21,AC27,L14:L21,1)</f>
        <v>1</v>
      </c>
      <c r="AE27">
        <f>SUMIF(AC14:AC21,AC27,B14:B21)/AD27</f>
        <v>0</v>
      </c>
      <c r="AF27">
        <f>SUMIF(AC14:AC21,AC27,C14:C21)/AD27</f>
        <v>24</v>
      </c>
      <c r="AG27" t="s">
        <v>199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192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196</v>
      </c>
      <c r="AE29">
        <f>SQRT(POWER(AE27-AE26,2)+POWER(AF27-AF26,2))</f>
        <v>27.784887978899608</v>
      </c>
      <c r="AG29">
        <f>(AE27-AE26)</f>
        <v>-14</v>
      </c>
      <c r="AH29">
        <f>AF27-AF26</f>
        <v>24</v>
      </c>
      <c r="AJ29">
        <f>AG29/AE29</f>
        <v>-0.50387102552408625</v>
      </c>
      <c r="AK29">
        <f>AH29/AE29</f>
        <v>0.86377890089843345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2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4.9725 ksi &lt; 110.4159 ksi
Design Status: NG
Solver Status: SOLUTION FOUND</v>
      </c>
      <c r="AD30" t="s">
        <v>197</v>
      </c>
      <c r="AE30">
        <f>(AC27-AC26)/AE29</f>
        <v>-1.7444514367634179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2.0988707752212563</v>
      </c>
      <c r="AK31" t="s">
        <v>193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189</v>
      </c>
      <c r="AE32">
        <f>IF(AND(AG29=0,AH29=0),0,(-1*AC26/AE30))</f>
        <v>13.892443989449804</v>
      </c>
      <c r="AF32" t="s">
        <v>195</v>
      </c>
      <c r="AJ32">
        <f>AJ31+(PI()/2)</f>
        <v>3.6696671020161529</v>
      </c>
      <c r="AK32" t="s">
        <v>194</v>
      </c>
    </row>
    <row r="33" spans="1:40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AJ33">
        <f>AJ31-(PI()/2)</f>
        <v>0.52807444842635975</v>
      </c>
    </row>
    <row r="34" spans="1:40" x14ac:dyDescent="0.25">
      <c r="D34" s="5">
        <f>SUM(D25:D33)</f>
        <v>0</v>
      </c>
      <c r="E34" s="5"/>
      <c r="F34" s="5"/>
      <c r="G34" s="5"/>
      <c r="H34" s="5"/>
      <c r="I34" s="5"/>
      <c r="J34" s="5"/>
      <c r="AD34" t="s">
        <v>198</v>
      </c>
      <c r="AE34">
        <f>AE32/AE29</f>
        <v>0.5</v>
      </c>
    </row>
    <row r="35" spans="1:40" x14ac:dyDescent="0.25">
      <c r="A35" t="s">
        <v>4</v>
      </c>
      <c r="Q35" t="s">
        <v>25</v>
      </c>
      <c r="T35" t="s">
        <v>14</v>
      </c>
      <c r="AE35" t="s">
        <v>190</v>
      </c>
      <c r="AF35" t="s">
        <v>191</v>
      </c>
    </row>
    <row r="36" spans="1:40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  <c r="AE36">
        <f>AE26+(AE34*(AE27-AE26))</f>
        <v>7</v>
      </c>
      <c r="AF36">
        <f>AF26+(AE34*(AF27-AF26))</f>
        <v>12</v>
      </c>
      <c r="AI36">
        <f>MAX(B13:C21)*-1</f>
        <v>-24</v>
      </c>
      <c r="AJ36">
        <f>AE36+(AI36*COS(AJ32))</f>
        <v>27.730693621562402</v>
      </c>
      <c r="AK36">
        <f>AF36+(AI36*SIN(AJ32))</f>
        <v>24.092904612578067</v>
      </c>
    </row>
    <row r="37" spans="1:40" x14ac:dyDescent="0.25">
      <c r="A37">
        <v>1</v>
      </c>
      <c r="B37" s="7">
        <v>3</v>
      </c>
      <c r="C37" s="7">
        <v>3</v>
      </c>
      <c r="D37" s="13" t="s">
        <v>2</v>
      </c>
      <c r="Q37" s="12">
        <f>IF($D37="y",B37,NA())</f>
        <v>3</v>
      </c>
      <c r="R37" s="12">
        <f>IF($D37="y",C37,NA())</f>
        <v>3</v>
      </c>
      <c r="T37" s="4">
        <f>MAX(MAX(B13:B20),MAX(C13:C20))</f>
        <v>24</v>
      </c>
      <c r="U37" s="1">
        <f>T37</f>
        <v>24</v>
      </c>
      <c r="X37" t="s">
        <v>209</v>
      </c>
      <c r="AI37">
        <f>-1*AI36</f>
        <v>24</v>
      </c>
      <c r="AJ37">
        <f>AE36+(AI37*COS(AJ32))</f>
        <v>-13.730693621562402</v>
      </c>
      <c r="AK37">
        <f>AF36+(AI37*SIN(AJ32))</f>
        <v>-9.2904612578067258E-2</v>
      </c>
    </row>
    <row r="38" spans="1:40" x14ac:dyDescent="0.25">
      <c r="A38">
        <v>2</v>
      </c>
      <c r="B38" s="7">
        <v>11</v>
      </c>
      <c r="C38" s="7">
        <v>3</v>
      </c>
      <c r="D38" s="13" t="s">
        <v>2</v>
      </c>
      <c r="Q38" s="12">
        <f t="shared" ref="Q38:Q48" si="46">IF($D38="y",B38,NA())</f>
        <v>11</v>
      </c>
      <c r="R38" s="12">
        <f t="shared" ref="R38:R48" si="47">IF($D38="y",C38,NA())</f>
        <v>3</v>
      </c>
      <c r="X38" t="s">
        <v>202</v>
      </c>
      <c r="AM38" s="9" cm="1">
        <f t="array" ref="AM38">MAX(ABS(AJ36:AJ37),ABS(AE36),ABS(AE26:AE27),ABS(B13:B21),ABS(C13:C21),ABS(AK36:AK37),ABS(AF36),ABS(AF26:AF27))</f>
        <v>27.730693621562402</v>
      </c>
      <c r="AN38" s="9">
        <f>AM38</f>
        <v>27.730693621562402</v>
      </c>
    </row>
    <row r="39" spans="1:40" x14ac:dyDescent="0.25">
      <c r="A39">
        <v>3</v>
      </c>
      <c r="B39" s="7">
        <v>3</v>
      </c>
      <c r="C39" s="7">
        <v>9</v>
      </c>
      <c r="D39" s="13" t="s">
        <v>2</v>
      </c>
      <c r="Q39" s="12">
        <f t="shared" si="46"/>
        <v>3</v>
      </c>
      <c r="R39" s="12">
        <f t="shared" si="47"/>
        <v>9</v>
      </c>
      <c r="W39" t="s">
        <v>201</v>
      </c>
      <c r="X39" s="1">
        <v>6.12</v>
      </c>
      <c r="Y39" t="s">
        <v>22</v>
      </c>
      <c r="AM39">
        <f>AM38*-1</f>
        <v>-27.730693621562402</v>
      </c>
      <c r="AN39">
        <f>AM39</f>
        <v>-27.730693621562402</v>
      </c>
    </row>
    <row r="40" spans="1:40" x14ac:dyDescent="0.25">
      <c r="A40">
        <v>4</v>
      </c>
      <c r="B40" s="7">
        <v>11</v>
      </c>
      <c r="C40" s="7">
        <v>9</v>
      </c>
      <c r="D40" s="13" t="s">
        <v>2</v>
      </c>
      <c r="Q40" s="12">
        <f t="shared" si="46"/>
        <v>11</v>
      </c>
      <c r="R40" s="12">
        <f t="shared" si="47"/>
        <v>9</v>
      </c>
      <c r="X40" s="3">
        <f>(B2/POWER(X39,2))+(6*B3/POWER(X39,3))+(6*B4/POWER(X39,3))</f>
        <v>628.21488969802965</v>
      </c>
    </row>
    <row r="41" spans="1:40" x14ac:dyDescent="0.25">
      <c r="A41">
        <v>5</v>
      </c>
      <c r="B41" s="7">
        <v>3</v>
      </c>
      <c r="C41" s="7">
        <v>21</v>
      </c>
      <c r="D41" s="13" t="s">
        <v>2</v>
      </c>
      <c r="Q41" s="12">
        <f t="shared" si="46"/>
        <v>3</v>
      </c>
      <c r="R41" s="12">
        <f t="shared" si="47"/>
        <v>21</v>
      </c>
      <c r="X41" s="3">
        <f>(B2/POWER(X39,2))-(6*B3/POWER(X39,3))-(6*B4/POWER(X39,3))</f>
        <v>-628.21488969802965</v>
      </c>
    </row>
    <row r="42" spans="1:40" x14ac:dyDescent="0.25">
      <c r="A42">
        <v>6</v>
      </c>
      <c r="B42" s="7">
        <v>11</v>
      </c>
      <c r="C42" s="7">
        <v>21</v>
      </c>
      <c r="D42" s="13" t="s">
        <v>2</v>
      </c>
      <c r="Q42" s="12">
        <f t="shared" si="46"/>
        <v>11</v>
      </c>
      <c r="R42" s="12">
        <f t="shared" si="47"/>
        <v>21</v>
      </c>
      <c r="X42" s="3">
        <f>(B2/POWER(X39,2))+(6*B3/POWER(X39,3))-(6*B4/POWER(X39,3))</f>
        <v>0</v>
      </c>
    </row>
    <row r="43" spans="1:40" x14ac:dyDescent="0.25">
      <c r="A43">
        <v>7</v>
      </c>
      <c r="B43" s="7">
        <v>3</v>
      </c>
      <c r="C43" s="7">
        <v>15</v>
      </c>
      <c r="D43" s="13" t="s">
        <v>2</v>
      </c>
      <c r="Q43" s="12">
        <f t="shared" si="46"/>
        <v>3</v>
      </c>
      <c r="R43" s="12">
        <f t="shared" si="47"/>
        <v>15</v>
      </c>
      <c r="X43" s="3">
        <f>(B2/POWER(X39,2))-(6*B3/POWER(X39,3))+(6*B4/POWER(X39,3))</f>
        <v>0</v>
      </c>
    </row>
    <row r="44" spans="1:40" x14ac:dyDescent="0.25">
      <c r="A44">
        <v>8</v>
      </c>
      <c r="B44" s="7">
        <v>11</v>
      </c>
      <c r="C44" s="7">
        <v>15</v>
      </c>
      <c r="D44" s="13" t="s">
        <v>2</v>
      </c>
      <c r="Q44" s="12">
        <f t="shared" si="46"/>
        <v>11</v>
      </c>
      <c r="R44" s="12">
        <f t="shared" si="47"/>
        <v>15</v>
      </c>
      <c r="X44" s="3">
        <f>COUNTIF(X40:X43,"&lt;0")+COUNTIF(X40:X43,"&gt;"&amp;B61)</f>
        <v>2</v>
      </c>
    </row>
    <row r="45" spans="1:40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</row>
    <row r="46" spans="1:40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</row>
    <row r="47" spans="1:40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</row>
    <row r="48" spans="1:40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</row>
    <row r="50" spans="1:25" x14ac:dyDescent="0.25">
      <c r="A50" t="s">
        <v>175</v>
      </c>
      <c r="B50" s="13" t="s">
        <v>211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4.5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165</v>
      </c>
      <c r="Y52" s="54" t="s">
        <v>164</v>
      </c>
    </row>
    <row r="53" spans="1:25" x14ac:dyDescent="0.25">
      <c r="A53" s="10" t="s">
        <v>9</v>
      </c>
      <c r="B53" s="5">
        <f>IF(B50="Density",(POWER(B52,1.5)*33*SQRT(1000*B51))/1000,(57000*SQRT(B51*1000))/1000)</f>
        <v>3865.2020403207894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165</v>
      </c>
      <c r="E54" s="47">
        <v>0.5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0.1418988244310414</v>
      </c>
      <c r="C55" t="s">
        <v>67</v>
      </c>
      <c r="D55" s="54" t="s">
        <v>164</v>
      </c>
      <c r="E55" s="1">
        <f ca="1">OFFSET(X52,MATCH(E54,X53:X73,0),1)</f>
        <v>13</v>
      </c>
      <c r="F55" s="7">
        <v>0</v>
      </c>
      <c r="G55" t="s">
        <v>174</v>
      </c>
      <c r="H55" s="48" t="s">
        <v>159</v>
      </c>
      <c r="I55" s="55">
        <f>E164</f>
        <v>3.3328895199247199E-13</v>
      </c>
      <c r="J55" s="49" t="str">
        <f>F164</f>
        <v>kips</v>
      </c>
      <c r="K55" t="s">
        <v>167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7.5028419465475515</v>
      </c>
      <c r="D56" s="54" t="s">
        <v>153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160</v>
      </c>
      <c r="I56" s="56">
        <f t="shared" ref="I56:J57" si="48">E165</f>
        <v>0</v>
      </c>
      <c r="J56" s="51" t="str">
        <f t="shared" si="48"/>
        <v>kip-in</v>
      </c>
      <c r="X56">
        <v>0.625</v>
      </c>
      <c r="Y56">
        <v>11</v>
      </c>
    </row>
    <row r="57" spans="1:25" ht="15.75" thickBot="1" x14ac:dyDescent="0.3">
      <c r="D57" s="54" t="s">
        <v>154</v>
      </c>
      <c r="E57" s="13" t="s">
        <v>172</v>
      </c>
      <c r="H57" s="52" t="s">
        <v>161</v>
      </c>
      <c r="I57" s="57">
        <f t="shared" si="48"/>
        <v>0</v>
      </c>
      <c r="J57" s="53" t="str">
        <f t="shared" si="48"/>
        <v>kip-in</v>
      </c>
      <c r="L57" s="1">
        <f>SQRT(POWER(I57,2)+POWER(I56,2)+POWER(I55,2))</f>
        <v>3.3328895199247199E-13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166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163</v>
      </c>
      <c r="E59" s="46">
        <f>PI()*(1/4)*E58*E58</f>
        <v>0.24850488763747386</v>
      </c>
      <c r="F59" t="s">
        <v>67</v>
      </c>
      <c r="H59" s="10" t="s">
        <v>168</v>
      </c>
      <c r="I59" s="2">
        <v>300</v>
      </c>
      <c r="K59" t="s">
        <v>170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155</v>
      </c>
      <c r="E60" s="13" t="s">
        <v>2</v>
      </c>
      <c r="H60" s="10" t="s">
        <v>169</v>
      </c>
      <c r="I60" s="1">
        <v>14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4.9725000000000001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>required stress greater than allowed, upsize plate</v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C63">
        <f>2*PI()</f>
        <v>6.2831853071795862</v>
      </c>
      <c r="J63" t="s">
        <v>141</v>
      </c>
      <c r="Q63" t="s">
        <v>171</v>
      </c>
      <c r="X63">
        <v>1.5</v>
      </c>
      <c r="Y63">
        <v>6</v>
      </c>
    </row>
    <row r="64" spans="1:25" x14ac:dyDescent="0.25">
      <c r="A64" s="11" t="s">
        <v>39</v>
      </c>
      <c r="B64" s="24">
        <v>4.509610839571117</v>
      </c>
      <c r="C64" t="s">
        <v>19</v>
      </c>
      <c r="D64" t="s">
        <v>34</v>
      </c>
      <c r="H64" s="17">
        <f>DEGREES(B64)</f>
        <v>258.38166835387278</v>
      </c>
      <c r="I64" t="s">
        <v>41</v>
      </c>
      <c r="J64" s="3">
        <f>AJ32</f>
        <v>3.6696671020161529</v>
      </c>
      <c r="N64" s="8">
        <f>J64</f>
        <v>3.6696671020161529</v>
      </c>
      <c r="P64" s="8">
        <f>Q64</f>
        <v>3.6696671020161529</v>
      </c>
      <c r="Q64" s="8">
        <f>J64</f>
        <v>3.6696671020161529</v>
      </c>
      <c r="X64">
        <v>1.75</v>
      </c>
      <c r="Y64">
        <v>5</v>
      </c>
    </row>
    <row r="65" spans="1:25" x14ac:dyDescent="0.25">
      <c r="A65" s="1" t="s">
        <v>40</v>
      </c>
      <c r="B65" s="24">
        <v>3.8135182472749816</v>
      </c>
      <c r="C65" t="s">
        <v>22</v>
      </c>
      <c r="D65" t="s">
        <v>29</v>
      </c>
      <c r="J65" s="1">
        <f>AE32</f>
        <v>13.892443989449804</v>
      </c>
      <c r="N65">
        <f>0.5*J65</f>
        <v>6.946221994724902</v>
      </c>
      <c r="P65">
        <f>0.5*Q65</f>
        <v>6.946221994724902</v>
      </c>
      <c r="Q65">
        <f>AE32</f>
        <v>13.892443989449804</v>
      </c>
      <c r="X65">
        <v>2</v>
      </c>
      <c r="Y65">
        <v>4.5</v>
      </c>
    </row>
    <row r="66" spans="1:25" x14ac:dyDescent="0.25">
      <c r="A66" s="11" t="s">
        <v>42</v>
      </c>
      <c r="B66" s="24">
        <v>110.41592773474508</v>
      </c>
      <c r="C66" t="s">
        <v>11</v>
      </c>
      <c r="D66">
        <f>B66/B53</f>
        <v>2.8566663937076159E-2</v>
      </c>
      <c r="I66" s="20"/>
      <c r="J66" s="4">
        <f>MAX(AC14:AC21)*2</f>
        <v>48.469387755102041</v>
      </c>
      <c r="N66">
        <f>2*J66</f>
        <v>96.938775510204081</v>
      </c>
      <c r="P66">
        <f>0.5*Q66</f>
        <v>12.11734693877551</v>
      </c>
      <c r="Q66">
        <f>MAX(AC14:AC21)</f>
        <v>24.23469387755102</v>
      </c>
      <c r="X66">
        <v>2.25</v>
      </c>
      <c r="Y66">
        <v>4.5</v>
      </c>
    </row>
    <row r="67" spans="1:25" x14ac:dyDescent="0.25">
      <c r="A67" s="1" t="s">
        <v>37</v>
      </c>
      <c r="B67" s="24">
        <v>344.94746832381384</v>
      </c>
      <c r="C67" t="s">
        <v>36</v>
      </c>
      <c r="D67" t="s">
        <v>122</v>
      </c>
      <c r="G67" s="20">
        <f ca="1">($B$56*$B$66*$B$55*$E$122)/$B$65</f>
        <v>344.94746832381384</v>
      </c>
      <c r="H67" t="s">
        <v>36</v>
      </c>
      <c r="I67">
        <f ca="1">IF(B67=0,0,1-G67/B67)</f>
        <v>0</v>
      </c>
      <c r="Q67">
        <v>0</v>
      </c>
      <c r="X67">
        <v>2.5</v>
      </c>
      <c r="Y67">
        <v>4</v>
      </c>
    </row>
    <row r="68" spans="1:25" x14ac:dyDescent="0.25">
      <c r="N68" t="s">
        <v>207</v>
      </c>
      <c r="P68" t="s">
        <v>208</v>
      </c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9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9"/>
        <v>1</v>
      </c>
      <c r="B73" s="4">
        <f t="shared" ref="B73:B81" si="50">B13-$B$9</f>
        <v>-7</v>
      </c>
      <c r="C73" s="4">
        <f t="shared" ref="C73:C81" si="51">C13-$C$9</f>
        <v>-12</v>
      </c>
      <c r="E73" s="1">
        <v>0</v>
      </c>
      <c r="F73" s="1">
        <v>0</v>
      </c>
      <c r="H73" s="1">
        <f t="shared" ref="H73:H81" si="52">A25</f>
        <v>1</v>
      </c>
      <c r="I73" s="4">
        <f>B25-$B$9</f>
        <v>-7</v>
      </c>
      <c r="J73" s="4">
        <f>C25-$C$9</f>
        <v>-12</v>
      </c>
      <c r="Q73" cm="1">
        <f t="array" ref="Q73">(-1*MAX(ABS(B84:C91)))-1</f>
        <v>-14.163869645885562</v>
      </c>
      <c r="R73">
        <f>Q73</f>
        <v>-14.163869645885562</v>
      </c>
      <c r="X73">
        <v>4</v>
      </c>
      <c r="Y73">
        <v>4</v>
      </c>
    </row>
    <row r="74" spans="1:25" x14ac:dyDescent="0.25">
      <c r="A74" s="1">
        <f t="shared" si="49"/>
        <v>2</v>
      </c>
      <c r="B74" s="4">
        <f t="shared" si="50"/>
        <v>7</v>
      </c>
      <c r="C74" s="4">
        <f t="shared" si="51"/>
        <v>-12</v>
      </c>
      <c r="H74" s="1">
        <f t="shared" si="52"/>
        <v>2</v>
      </c>
      <c r="I74" s="4">
        <f t="shared" ref="I74:I81" si="53">B26-$B$9</f>
        <v>-7</v>
      </c>
      <c r="J74" s="4">
        <f t="shared" ref="J74:J81" si="54">C26-$C$9</f>
        <v>-12</v>
      </c>
      <c r="Q74">
        <f>-1*Q73</f>
        <v>14.163869645885562</v>
      </c>
      <c r="R74">
        <f>Q74</f>
        <v>14.163869645885562</v>
      </c>
    </row>
    <row r="75" spans="1:25" x14ac:dyDescent="0.25">
      <c r="A75" s="1">
        <f t="shared" si="49"/>
        <v>3</v>
      </c>
      <c r="B75" s="4">
        <f t="shared" si="50"/>
        <v>7</v>
      </c>
      <c r="C75" s="4">
        <f t="shared" si="51"/>
        <v>12</v>
      </c>
      <c r="H75" s="1">
        <f t="shared" si="52"/>
        <v>3</v>
      </c>
      <c r="I75" s="4">
        <f t="shared" si="53"/>
        <v>-7</v>
      </c>
      <c r="J75" s="4">
        <f t="shared" si="54"/>
        <v>-12</v>
      </c>
    </row>
    <row r="76" spans="1:25" x14ac:dyDescent="0.25">
      <c r="A76" s="1">
        <f t="shared" si="49"/>
        <v>4</v>
      </c>
      <c r="B76" s="4">
        <f t="shared" si="50"/>
        <v>-7</v>
      </c>
      <c r="C76" s="4">
        <f t="shared" si="51"/>
        <v>12</v>
      </c>
      <c r="H76" s="1">
        <f t="shared" si="52"/>
        <v>4</v>
      </c>
      <c r="I76" s="4">
        <f t="shared" si="53"/>
        <v>-7</v>
      </c>
      <c r="J76" s="4">
        <f t="shared" si="54"/>
        <v>-12</v>
      </c>
    </row>
    <row r="77" spans="1:25" x14ac:dyDescent="0.25">
      <c r="A77" s="1">
        <f t="shared" si="49"/>
        <v>5</v>
      </c>
      <c r="B77" s="4">
        <f t="shared" si="50"/>
        <v>-7</v>
      </c>
      <c r="C77" s="4">
        <f t="shared" si="51"/>
        <v>-12</v>
      </c>
      <c r="H77" s="1">
        <f t="shared" si="52"/>
        <v>5</v>
      </c>
      <c r="I77" s="4">
        <f t="shared" si="53"/>
        <v>-7</v>
      </c>
      <c r="J77" s="4">
        <f t="shared" si="54"/>
        <v>-12</v>
      </c>
      <c r="Q77" t="s">
        <v>148</v>
      </c>
    </row>
    <row r="78" spans="1:25" x14ac:dyDescent="0.25">
      <c r="A78" s="1">
        <f t="shared" si="49"/>
        <v>6</v>
      </c>
      <c r="B78" s="4">
        <f t="shared" si="50"/>
        <v>-7</v>
      </c>
      <c r="C78" s="4">
        <f t="shared" si="51"/>
        <v>-12</v>
      </c>
      <c r="H78" s="1">
        <f t="shared" si="52"/>
        <v>6</v>
      </c>
      <c r="I78" s="4">
        <f t="shared" si="53"/>
        <v>-7</v>
      </c>
      <c r="J78" s="4">
        <f t="shared" si="54"/>
        <v>-12</v>
      </c>
      <c r="Q78" t="s">
        <v>27</v>
      </c>
      <c r="R78" t="s">
        <v>28</v>
      </c>
    </row>
    <row r="79" spans="1:25" x14ac:dyDescent="0.25">
      <c r="A79" s="1">
        <f t="shared" si="49"/>
        <v>7</v>
      </c>
      <c r="B79" s="4">
        <f t="shared" si="50"/>
        <v>-7</v>
      </c>
      <c r="C79" s="4">
        <f t="shared" si="51"/>
        <v>-12</v>
      </c>
      <c r="H79" s="1">
        <f t="shared" si="52"/>
        <v>7</v>
      </c>
      <c r="I79" s="4">
        <f t="shared" si="53"/>
        <v>-7</v>
      </c>
      <c r="J79" s="4">
        <f t="shared" si="54"/>
        <v>-12</v>
      </c>
      <c r="Q79">
        <f>(I126*COS(-1*$B$64))+(J126*SIN(-1*$B$64))</f>
        <v>8.200368516125156</v>
      </c>
      <c r="R79">
        <f>(-1*I126*SIN(-1*$B$64))+(J126*COS(-1*$B$64))</f>
        <v>12.774117187254884</v>
      </c>
    </row>
    <row r="80" spans="1:25" x14ac:dyDescent="0.25">
      <c r="A80" s="1">
        <f t="shared" si="49"/>
        <v>8</v>
      </c>
      <c r="B80" s="4">
        <f t="shared" si="50"/>
        <v>-7</v>
      </c>
      <c r="C80" s="4">
        <f t="shared" si="51"/>
        <v>-12</v>
      </c>
      <c r="H80" s="1">
        <f t="shared" si="52"/>
        <v>8</v>
      </c>
      <c r="I80" s="4">
        <f t="shared" si="53"/>
        <v>-7</v>
      </c>
      <c r="J80" s="4">
        <f t="shared" si="54"/>
        <v>-12</v>
      </c>
      <c r="Q80">
        <f>(I127*COS(-1*$B$64))+(J127*SIN(-1*$B$64))</f>
        <v>2.4954076060830581</v>
      </c>
      <c r="R80">
        <f>(-1*I127*SIN(-1*$B$64))+(J127*COS(-1*$B$64))</f>
        <v>-14.97321123184603</v>
      </c>
    </row>
    <row r="81" spans="1:18" x14ac:dyDescent="0.25">
      <c r="A81" s="1">
        <f t="shared" si="49"/>
        <v>9</v>
      </c>
      <c r="B81" s="4">
        <f t="shared" si="50"/>
        <v>-7</v>
      </c>
      <c r="C81" s="4">
        <f t="shared" si="51"/>
        <v>-12</v>
      </c>
      <c r="H81" s="1">
        <f t="shared" si="52"/>
        <v>9</v>
      </c>
      <c r="I81" s="4">
        <f t="shared" si="53"/>
        <v>-7</v>
      </c>
      <c r="J81" s="4">
        <f t="shared" si="54"/>
        <v>-12</v>
      </c>
    </row>
    <row r="82" spans="1:18" x14ac:dyDescent="0.25">
      <c r="A82" t="s">
        <v>30</v>
      </c>
      <c r="B82" s="9"/>
      <c r="H82" t="s">
        <v>139</v>
      </c>
      <c r="Q82" s="4">
        <f>Q79+$B$9</f>
        <v>15.200368516125156</v>
      </c>
      <c r="R82" s="4">
        <f>R79+$C$9</f>
        <v>24.774117187254884</v>
      </c>
    </row>
    <row r="83" spans="1:18" x14ac:dyDescent="0.25">
      <c r="A83" s="1" t="str">
        <f t="shared" ref="A83:A92" si="55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9.4954076060830577</v>
      </c>
      <c r="R83" s="4">
        <f>R80+$C$9</f>
        <v>-2.9732112318460295</v>
      </c>
    </row>
    <row r="84" spans="1:18" x14ac:dyDescent="0.25">
      <c r="A84" s="1">
        <f t="shared" si="55"/>
        <v>1</v>
      </c>
      <c r="B84" s="4">
        <f t="shared" ref="B84:B92" si="56">(B73*COS($B$64))+(C73*SIN($B$64))</f>
        <v>13.163869645885562</v>
      </c>
      <c r="C84" s="1">
        <f t="shared" ref="C84:C92" si="57">(-1*B73*SIN($B$64))+(C73*COS($B$64))</f>
        <v>-4.4398801724970847</v>
      </c>
      <c r="H84" s="1">
        <f t="shared" ref="H84:H92" si="58">H73</f>
        <v>1</v>
      </c>
      <c r="I84" s="4">
        <f>(I73*COS($B$64))+(J73*SIN($B$64))</f>
        <v>13.163869645885562</v>
      </c>
      <c r="J84" s="1">
        <f>(-1*I73*SIN($B$64))+(J73*COS($B$64))</f>
        <v>-4.4398801724970847</v>
      </c>
    </row>
    <row r="85" spans="1:18" x14ac:dyDescent="0.25">
      <c r="A85" s="1">
        <f t="shared" si="55"/>
        <v>2</v>
      </c>
      <c r="B85" s="4">
        <f t="shared" si="56"/>
        <v>10.344391115744241</v>
      </c>
      <c r="C85" s="1">
        <f t="shared" si="57"/>
        <v>9.2732719384536324</v>
      </c>
      <c r="H85" s="1">
        <f t="shared" si="58"/>
        <v>2</v>
      </c>
      <c r="I85" s="4">
        <f t="shared" ref="I85:I92" si="59">(I74*COS($B$64))+(J74*SIN($B$64))</f>
        <v>13.163869645885562</v>
      </c>
      <c r="J85" s="1">
        <f t="shared" ref="J85:J92" si="60">(-1*I74*SIN($B$64))+(J74*COS($B$64))</f>
        <v>-4.4398801724970847</v>
      </c>
      <c r="Q85" t="s">
        <v>149</v>
      </c>
    </row>
    <row r="86" spans="1:18" x14ac:dyDescent="0.25">
      <c r="A86" s="1">
        <f t="shared" si="55"/>
        <v>3</v>
      </c>
      <c r="B86" s="4">
        <f t="shared" si="56"/>
        <v>-13.163869645885562</v>
      </c>
      <c r="C86" s="1">
        <f t="shared" si="57"/>
        <v>4.4398801724970847</v>
      </c>
      <c r="H86" s="1">
        <f t="shared" si="58"/>
        <v>3</v>
      </c>
      <c r="I86" s="4">
        <f t="shared" si="59"/>
        <v>13.163869645885562</v>
      </c>
      <c r="J86" s="1">
        <f t="shared" si="60"/>
        <v>-4.4398801724970847</v>
      </c>
      <c r="Q86" t="s">
        <v>27</v>
      </c>
      <c r="R86" t="s">
        <v>28</v>
      </c>
    </row>
    <row r="87" spans="1:18" x14ac:dyDescent="0.25">
      <c r="A87" s="1">
        <f t="shared" si="55"/>
        <v>4</v>
      </c>
      <c r="B87" s="4">
        <f t="shared" si="56"/>
        <v>-10.344391115744241</v>
      </c>
      <c r="C87" s="1">
        <f t="shared" si="57"/>
        <v>-9.2732719384536324</v>
      </c>
      <c r="H87" s="1">
        <f t="shared" si="58"/>
        <v>4</v>
      </c>
      <c r="I87" s="4">
        <f t="shared" si="59"/>
        <v>13.163869645885562</v>
      </c>
      <c r="J87" s="1">
        <f t="shared" si="60"/>
        <v>-4.4398801724970847</v>
      </c>
      <c r="Q87">
        <f>(P142*COS(-1*$B$64))+(P143*SIN(-1*$B$64))</f>
        <v>6.0266779105582993</v>
      </c>
      <c r="R87">
        <f>(-1*P142*SIN(-1*$B$64))+(P143*COS(-1*$B$64))</f>
        <v>-7.2660345795243808</v>
      </c>
    </row>
    <row r="88" spans="1:18" x14ac:dyDescent="0.25">
      <c r="A88" s="1">
        <f t="shared" si="55"/>
        <v>5</v>
      </c>
      <c r="B88" s="4">
        <f t="shared" si="56"/>
        <v>13.163869645885562</v>
      </c>
      <c r="C88" s="1">
        <f t="shared" si="57"/>
        <v>-4.4398801724970847</v>
      </c>
      <c r="H88" s="1">
        <f t="shared" si="58"/>
        <v>5</v>
      </c>
      <c r="I88" s="4">
        <f t="shared" si="59"/>
        <v>13.163869645885562</v>
      </c>
      <c r="J88" s="1">
        <f t="shared" si="60"/>
        <v>-4.4398801724970847</v>
      </c>
    </row>
    <row r="89" spans="1:18" x14ac:dyDescent="0.25">
      <c r="A89" s="1">
        <f t="shared" si="55"/>
        <v>6</v>
      </c>
      <c r="B89" s="4">
        <f t="shared" si="56"/>
        <v>13.163869645885562</v>
      </c>
      <c r="C89" s="1">
        <f t="shared" si="57"/>
        <v>-4.4398801724970847</v>
      </c>
      <c r="H89" s="1">
        <f t="shared" si="58"/>
        <v>6</v>
      </c>
      <c r="I89" s="4">
        <f t="shared" si="59"/>
        <v>13.163869645885562</v>
      </c>
      <c r="J89" s="1">
        <f t="shared" si="60"/>
        <v>-4.4398801724970847</v>
      </c>
    </row>
    <row r="90" spans="1:18" x14ac:dyDescent="0.25">
      <c r="A90" s="1">
        <f t="shared" si="55"/>
        <v>7</v>
      </c>
      <c r="B90" s="4">
        <f t="shared" si="56"/>
        <v>13.163869645885562</v>
      </c>
      <c r="C90" s="1">
        <f t="shared" si="57"/>
        <v>-4.4398801724970847</v>
      </c>
      <c r="H90" s="1">
        <f t="shared" si="58"/>
        <v>7</v>
      </c>
      <c r="I90" s="4">
        <f t="shared" si="59"/>
        <v>13.163869645885562</v>
      </c>
      <c r="J90" s="1">
        <f t="shared" si="60"/>
        <v>-4.4398801724970847</v>
      </c>
      <c r="Q90" s="4">
        <f>Q87+$B$9</f>
        <v>13.026677910558298</v>
      </c>
      <c r="R90" s="4">
        <f>R87+$C$9</f>
        <v>4.7339654204756192</v>
      </c>
    </row>
    <row r="91" spans="1:18" x14ac:dyDescent="0.25">
      <c r="A91" s="1">
        <f t="shared" si="55"/>
        <v>8</v>
      </c>
      <c r="B91" s="4">
        <f t="shared" si="56"/>
        <v>13.163869645885562</v>
      </c>
      <c r="C91" s="1">
        <f t="shared" si="57"/>
        <v>-4.4398801724970847</v>
      </c>
      <c r="H91" s="1">
        <f t="shared" si="58"/>
        <v>8</v>
      </c>
      <c r="I91" s="4">
        <f t="shared" si="59"/>
        <v>13.163869645885562</v>
      </c>
      <c r="J91" s="1">
        <f t="shared" si="60"/>
        <v>-4.4398801724970847</v>
      </c>
    </row>
    <row r="92" spans="1:18" x14ac:dyDescent="0.25">
      <c r="A92" s="1">
        <f t="shared" si="55"/>
        <v>9</v>
      </c>
      <c r="B92" s="4">
        <f t="shared" si="56"/>
        <v>13.163869645885562</v>
      </c>
      <c r="C92" s="1">
        <f t="shared" si="57"/>
        <v>-4.4398801724970847</v>
      </c>
      <c r="H92" s="1">
        <f t="shared" si="58"/>
        <v>9</v>
      </c>
      <c r="I92" s="4">
        <f t="shared" si="59"/>
        <v>13.163869645885562</v>
      </c>
      <c r="J92" s="1">
        <f t="shared" si="60"/>
        <v>-4.4398801724970847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1">A37</f>
        <v>1</v>
      </c>
      <c r="B95" s="4">
        <f t="shared" ref="B95:B106" si="62">B37-$B$9</f>
        <v>-4</v>
      </c>
      <c r="C95" s="4">
        <f t="shared" ref="C95:C106" si="63">C37-$C$9</f>
        <v>-9</v>
      </c>
      <c r="D95" t="str">
        <f t="shared" ref="D95:D106" si="64">D37</f>
        <v>y</v>
      </c>
    </row>
    <row r="96" spans="1:18" x14ac:dyDescent="0.25">
      <c r="A96">
        <f t="shared" si="61"/>
        <v>2</v>
      </c>
      <c r="B96" s="4">
        <f t="shared" si="62"/>
        <v>4</v>
      </c>
      <c r="C96" s="4">
        <f t="shared" si="63"/>
        <v>-9</v>
      </c>
      <c r="D96" t="str">
        <f t="shared" si="64"/>
        <v>y</v>
      </c>
    </row>
    <row r="97" spans="1:28" x14ac:dyDescent="0.25">
      <c r="A97">
        <f t="shared" si="61"/>
        <v>3</v>
      </c>
      <c r="B97" s="4">
        <f t="shared" si="62"/>
        <v>-4</v>
      </c>
      <c r="C97" s="4">
        <f t="shared" si="63"/>
        <v>-3</v>
      </c>
      <c r="D97" t="str">
        <f t="shared" si="64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1"/>
        <v>4</v>
      </c>
      <c r="B98" s="4">
        <f t="shared" si="62"/>
        <v>4</v>
      </c>
      <c r="C98" s="4">
        <f t="shared" si="63"/>
        <v>-3</v>
      </c>
      <c r="D98" t="str">
        <f t="shared" si="64"/>
        <v>y</v>
      </c>
    </row>
    <row r="99" spans="1:28" x14ac:dyDescent="0.25">
      <c r="A99">
        <f t="shared" si="61"/>
        <v>5</v>
      </c>
      <c r="B99" s="4">
        <f t="shared" si="62"/>
        <v>-4</v>
      </c>
      <c r="C99" s="4">
        <f t="shared" si="63"/>
        <v>9</v>
      </c>
      <c r="D99" t="str">
        <f t="shared" si="64"/>
        <v>y</v>
      </c>
    </row>
    <row r="100" spans="1:28" x14ac:dyDescent="0.25">
      <c r="A100">
        <f t="shared" si="61"/>
        <v>6</v>
      </c>
      <c r="B100" s="4">
        <f t="shared" si="62"/>
        <v>4</v>
      </c>
      <c r="C100" s="4">
        <f t="shared" si="63"/>
        <v>9</v>
      </c>
      <c r="D100" t="str">
        <f t="shared" si="64"/>
        <v>y</v>
      </c>
    </row>
    <row r="101" spans="1:28" x14ac:dyDescent="0.25">
      <c r="A101">
        <f t="shared" si="61"/>
        <v>7</v>
      </c>
      <c r="B101" s="4">
        <f t="shared" si="62"/>
        <v>-4</v>
      </c>
      <c r="C101" s="4">
        <f t="shared" si="63"/>
        <v>3</v>
      </c>
      <c r="D101" t="str">
        <f t="shared" si="64"/>
        <v>y</v>
      </c>
    </row>
    <row r="102" spans="1:28" x14ac:dyDescent="0.25">
      <c r="A102">
        <f t="shared" si="61"/>
        <v>8</v>
      </c>
      <c r="B102" s="4">
        <f t="shared" si="62"/>
        <v>4</v>
      </c>
      <c r="C102" s="4">
        <f t="shared" si="63"/>
        <v>3</v>
      </c>
      <c r="D102" t="str">
        <f t="shared" si="64"/>
        <v>y</v>
      </c>
    </row>
    <row r="103" spans="1:28" x14ac:dyDescent="0.25">
      <c r="A103">
        <f t="shared" si="61"/>
        <v>9</v>
      </c>
      <c r="B103" s="4">
        <f t="shared" si="62"/>
        <v>-7</v>
      </c>
      <c r="C103" s="4">
        <f t="shared" si="63"/>
        <v>-12</v>
      </c>
      <c r="D103" t="str">
        <f t="shared" si="64"/>
        <v>n</v>
      </c>
    </row>
    <row r="104" spans="1:28" x14ac:dyDescent="0.25">
      <c r="A104">
        <f t="shared" si="61"/>
        <v>10</v>
      </c>
      <c r="B104" s="4">
        <f t="shared" si="62"/>
        <v>-7</v>
      </c>
      <c r="C104" s="4">
        <f t="shared" si="63"/>
        <v>-12</v>
      </c>
      <c r="D104" t="str">
        <f t="shared" si="64"/>
        <v>n</v>
      </c>
    </row>
    <row r="105" spans="1:28" x14ac:dyDescent="0.25">
      <c r="A105">
        <f t="shared" si="61"/>
        <v>11</v>
      </c>
      <c r="B105" s="4">
        <f t="shared" si="62"/>
        <v>-7</v>
      </c>
      <c r="C105" s="4">
        <f t="shared" si="63"/>
        <v>-12</v>
      </c>
      <c r="D105" t="str">
        <f t="shared" si="64"/>
        <v>n</v>
      </c>
    </row>
    <row r="106" spans="1:28" x14ac:dyDescent="0.25">
      <c r="A106">
        <f t="shared" si="61"/>
        <v>12</v>
      </c>
      <c r="B106" s="4">
        <f t="shared" si="62"/>
        <v>-7</v>
      </c>
      <c r="C106" s="4">
        <f t="shared" si="63"/>
        <v>-12</v>
      </c>
      <c r="D106" t="str">
        <f t="shared" si="64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  <c r="Q109" s="1" t="s">
        <v>27</v>
      </c>
      <c r="R109" s="1" t="s">
        <v>28</v>
      </c>
      <c r="Y109" t="s">
        <v>162</v>
      </c>
      <c r="AB109" t="s">
        <v>173</v>
      </c>
    </row>
    <row r="110" spans="1:28" x14ac:dyDescent="0.25">
      <c r="A110">
        <f>A95</f>
        <v>1</v>
      </c>
      <c r="B110" s="1">
        <f>(B95*COS($B$64))+(C95*SIN($B$64))</f>
        <v>9.6211630799372685</v>
      </c>
      <c r="C110" s="1">
        <f>(-1*B95*SIN($B$64))+(C95*COS($B$64))</f>
        <v>-2.1055215480379279</v>
      </c>
      <c r="D110" t="str">
        <f t="shared" ref="D110" si="65">D95</f>
        <v>y</v>
      </c>
      <c r="E110" s="4">
        <f t="shared" ref="E110:E121" si="66">IF($D110="y",$B$125-C110,0)</f>
        <v>7.5652752392165787</v>
      </c>
      <c r="F110" s="1">
        <f>IF($D110="y",B110,NA())</f>
        <v>9.6211630799372685</v>
      </c>
      <c r="G110" s="1">
        <f>IF($D110="y",C110,NA())</f>
        <v>-2.1055215480379279</v>
      </c>
      <c r="H110">
        <f>IF(OR($E$122=0,$B$67&lt;0),0,-1*MAX(($B$67/$E$122)*(E110),0))</f>
        <v>-233.20358660814398</v>
      </c>
      <c r="I110">
        <f>H110*C110</f>
        <v>491.01517668317632</v>
      </c>
      <c r="J110">
        <f>H110*B110*-1</f>
        <v>2243.6897375832282</v>
      </c>
      <c r="K110">
        <f ca="1">H110/$B$55</f>
        <v>-1643.4497434576983</v>
      </c>
      <c r="L110">
        <f ca="1">K110/$B$54</f>
        <v>-5.6670680808886147E-2</v>
      </c>
      <c r="M110">
        <f t="shared" ref="M110:M121" si="67">IFERROR(($D$66/$B$65)*(G110-$B$125),0)</f>
        <v>-5.6670680808886154E-2</v>
      </c>
      <c r="N110">
        <f t="shared" ref="N110:N121" si="68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9.6211630799372685</v>
      </c>
      <c r="R110">
        <f>IF($H110&lt;0,G110,NA())</f>
        <v>-2.1055215480379279</v>
      </c>
      <c r="T110">
        <f>(Q110*COS(-1*$B$64))+(R110*SIN(-1*$B$64))</f>
        <v>-4</v>
      </c>
      <c r="U110">
        <f>(-1*Q110*SIN(-1*$B$64))+(R110*COS(-1*$B$64))</f>
        <v>-9.0000000000000018</v>
      </c>
      <c r="W110" s="4">
        <f>T110+$B$9</f>
        <v>3</v>
      </c>
      <c r="X110" s="4">
        <f>U110+$C$9</f>
        <v>2.9999999999999982</v>
      </c>
      <c r="Y110">
        <f t="shared" ref="Y110:Y121" si="69">IF(AND($E$60="n",M110&gt;0,D110="y"),M110*$B$53*$E$59,0)</f>
        <v>0</v>
      </c>
      <c r="AB110" t="str">
        <f t="shared" ref="AB110:AB121" si="70">IF(H110&lt;&gt;0,CHAR(10)&amp;CHAR(10)&amp;ROUND(ABS(H110),4)&amp;" kips",IF(AND($E$60="n",D110="y"),CHAR(10)&amp;CHAR(10)&amp;ROUND(ABS(Y110),4)&amp;" kips",""))</f>
        <v xml:space="preserve">
233.2036 kips</v>
      </c>
    </row>
    <row r="111" spans="1:28" x14ac:dyDescent="0.25">
      <c r="A111">
        <f t="shared" ref="A111:D111" si="71">A96</f>
        <v>2</v>
      </c>
      <c r="B111" s="1">
        <f t="shared" ref="B111:B121" si="72">(B96*COS($B$64))+(C96*SIN($B$64))</f>
        <v>8.0100324912850844</v>
      </c>
      <c r="C111" s="1">
        <f t="shared" ref="C111:C121" si="73">(-1*B96*SIN($B$64))+(C96*COS($B$64))</f>
        <v>5.7305653725053389</v>
      </c>
      <c r="D111" t="str">
        <f t="shared" si="71"/>
        <v>y</v>
      </c>
      <c r="E111" s="4">
        <f t="shared" si="66"/>
        <v>-0.27081168132668765</v>
      </c>
      <c r="F111" s="1">
        <f t="shared" ref="F111:F121" si="74">IF($D111="y",B111,NA())</f>
        <v>8.0100324912850844</v>
      </c>
      <c r="G111" s="1">
        <f t="shared" ref="G111:G121" si="75">IF($D111="y",C111,NA())</f>
        <v>5.7305653725053389</v>
      </c>
      <c r="H111">
        <f t="shared" ref="H111:H121" si="76">IF(OR($E$122=0,$B$67&lt;0),0,-1*MAX(($B$67/$E$122)*(E111),0))</f>
        <v>0</v>
      </c>
      <c r="I111">
        <f t="shared" ref="I111:I121" si="77">H111*C111</f>
        <v>0</v>
      </c>
      <c r="J111">
        <f t="shared" ref="J111:J121" si="78">H111*B111*-1</f>
        <v>0</v>
      </c>
      <c r="K111">
        <f ca="1">H111/$B$55</f>
        <v>0</v>
      </c>
      <c r="L111">
        <f t="shared" ref="L111:L121" ca="1" si="79">K111/$B$54</f>
        <v>0</v>
      </c>
      <c r="M111">
        <f t="shared" si="67"/>
        <v>2.0286218103773546E-3</v>
      </c>
      <c r="N111">
        <f t="shared" si="68"/>
        <v>1.9485350645141957</v>
      </c>
      <c r="O111">
        <f t="shared" ref="O111:O121" si="80">N111*C111</f>
        <v>11.166207567817507</v>
      </c>
      <c r="P111">
        <f t="shared" ref="P111:P121" si="81">N111*B111*-1</f>
        <v>-15.607829177166986</v>
      </c>
      <c r="Q111" t="e">
        <f t="shared" ref="Q111:Q121" si="82">IF($H111&lt;0,F111,NA())</f>
        <v>#N/A</v>
      </c>
      <c r="R111" t="e">
        <f t="shared" ref="R111:R121" si="83">IF($H111&lt;0,G111,NA())</f>
        <v>#N/A</v>
      </c>
      <c r="T111" t="e">
        <f t="shared" ref="T111:T121" si="84">(Q111*COS(-1*$B$64))+(R111*SIN(-1*$B$64))</f>
        <v>#N/A</v>
      </c>
      <c r="U111" t="e">
        <f t="shared" ref="U111:U121" si="85">(-1*Q111*SIN(-1*$B$64))+(R111*COS(-1*$B$64))</f>
        <v>#N/A</v>
      </c>
      <c r="W111" s="4" t="e">
        <f t="shared" ref="W111:W121" si="86">T111+$B$9</f>
        <v>#N/A</v>
      </c>
      <c r="X111" s="4" t="e">
        <f t="shared" ref="X111:X121" si="87">U111+$C$9</f>
        <v>#N/A</v>
      </c>
      <c r="Y111">
        <f t="shared" si="69"/>
        <v>0</v>
      </c>
      <c r="AB111" t="str">
        <f t="shared" si="70"/>
        <v/>
      </c>
    </row>
    <row r="112" spans="1:28" x14ac:dyDescent="0.25">
      <c r="A112">
        <f t="shared" ref="A112:D112" si="88">A97</f>
        <v>3</v>
      </c>
      <c r="B112" s="1">
        <f t="shared" si="72"/>
        <v>3.7440978895298169</v>
      </c>
      <c r="C112" s="1">
        <f t="shared" si="73"/>
        <v>-3.3138694895270651</v>
      </c>
      <c r="D112" t="str">
        <f t="shared" si="88"/>
        <v>y</v>
      </c>
      <c r="E112" s="4">
        <f t="shared" si="66"/>
        <v>8.7736231807057159</v>
      </c>
      <c r="F112" s="1">
        <f t="shared" si="74"/>
        <v>3.7440978895298169</v>
      </c>
      <c r="G112" s="1">
        <f t="shared" si="75"/>
        <v>-3.3138694895270651</v>
      </c>
      <c r="H112">
        <f t="shared" si="76"/>
        <v>-270.45154718003391</v>
      </c>
      <c r="I112">
        <f t="shared" si="77"/>
        <v>896.24113059530396</v>
      </c>
      <c r="J112">
        <f t="shared" si="78"/>
        <v>1012.5970670168387</v>
      </c>
      <c r="K112">
        <f t="shared" ref="K112:K121" ca="1" si="89">H112/$B$55</f>
        <v>-1905.9463548372473</v>
      </c>
      <c r="L112">
        <f t="shared" ca="1" si="79"/>
        <v>-6.5722288097836118E-2</v>
      </c>
      <c r="M112">
        <f t="shared" si="67"/>
        <v>-6.5722288097836118E-2</v>
      </c>
      <c r="N112">
        <f t="shared" si="68"/>
        <v>0</v>
      </c>
      <c r="O112">
        <f t="shared" si="80"/>
        <v>0</v>
      </c>
      <c r="P112">
        <f t="shared" si="81"/>
        <v>0</v>
      </c>
      <c r="Q112">
        <f t="shared" si="82"/>
        <v>3.7440978895298169</v>
      </c>
      <c r="R112">
        <f t="shared" si="83"/>
        <v>-3.3138694895270651</v>
      </c>
      <c r="T112">
        <f t="shared" si="84"/>
        <v>-3.9999999999999996</v>
      </c>
      <c r="U112">
        <f t="shared" si="85"/>
        <v>-3</v>
      </c>
      <c r="W112" s="4">
        <f t="shared" si="86"/>
        <v>3.0000000000000004</v>
      </c>
      <c r="X112" s="4">
        <f t="shared" si="87"/>
        <v>9</v>
      </c>
      <c r="Y112">
        <f t="shared" si="69"/>
        <v>0</v>
      </c>
      <c r="AB112" t="str">
        <f t="shared" si="70"/>
        <v xml:space="preserve">
270.4515 kips</v>
      </c>
    </row>
    <row r="113" spans="1:28" x14ac:dyDescent="0.25">
      <c r="A113">
        <f t="shared" ref="A113:D113" si="90">A98</f>
        <v>4</v>
      </c>
      <c r="B113" s="1">
        <f t="shared" si="72"/>
        <v>2.1329673008776338</v>
      </c>
      <c r="C113" s="1">
        <f t="shared" si="73"/>
        <v>4.5222174310162018</v>
      </c>
      <c r="D113" t="str">
        <f t="shared" si="90"/>
        <v>y</v>
      </c>
      <c r="E113" s="4">
        <f t="shared" si="66"/>
        <v>0.93753626016244951</v>
      </c>
      <c r="F113" s="1">
        <f t="shared" si="74"/>
        <v>2.1329673008776338</v>
      </c>
      <c r="G113" s="1">
        <f t="shared" si="75"/>
        <v>4.5222174310162018</v>
      </c>
      <c r="H113">
        <f t="shared" si="76"/>
        <v>-28.900048118766147</v>
      </c>
      <c r="I113">
        <f t="shared" si="77"/>
        <v>-130.69230135989127</v>
      </c>
      <c r="J113">
        <f t="shared" si="78"/>
        <v>61.642857631118368</v>
      </c>
      <c r="K113">
        <f t="shared" ca="1" si="89"/>
        <v>-203.66657887860592</v>
      </c>
      <c r="L113">
        <f t="shared" ca="1" si="79"/>
        <v>-7.022985478572618E-3</v>
      </c>
      <c r="M113">
        <f t="shared" si="67"/>
        <v>-7.022985478572618E-3</v>
      </c>
      <c r="N113">
        <f t="shared" si="68"/>
        <v>0</v>
      </c>
      <c r="O113">
        <f t="shared" si="80"/>
        <v>0</v>
      </c>
      <c r="P113">
        <f t="shared" si="81"/>
        <v>0</v>
      </c>
      <c r="Q113">
        <f t="shared" si="82"/>
        <v>2.1329673008776338</v>
      </c>
      <c r="R113">
        <f t="shared" si="83"/>
        <v>4.5222174310162018</v>
      </c>
      <c r="T113">
        <f t="shared" si="84"/>
        <v>3.9999999999999991</v>
      </c>
      <c r="U113">
        <f t="shared" si="85"/>
        <v>-3</v>
      </c>
      <c r="W113" s="4">
        <f t="shared" si="86"/>
        <v>11</v>
      </c>
      <c r="X113" s="4">
        <f t="shared" si="87"/>
        <v>9</v>
      </c>
      <c r="Y113">
        <f t="shared" si="69"/>
        <v>0</v>
      </c>
      <c r="AB113" t="str">
        <f t="shared" si="70"/>
        <v xml:space="preserve">
28.9 kips</v>
      </c>
    </row>
    <row r="114" spans="1:28" x14ac:dyDescent="0.25">
      <c r="A114">
        <f t="shared" ref="A114:D114" si="91">A99</f>
        <v>5</v>
      </c>
      <c r="B114" s="1">
        <f t="shared" si="72"/>
        <v>-8.0100324912850844</v>
      </c>
      <c r="C114" s="1">
        <f t="shared" si="73"/>
        <v>-5.7305653725053389</v>
      </c>
      <c r="D114" t="str">
        <f t="shared" si="91"/>
        <v>y</v>
      </c>
      <c r="E114" s="4">
        <f t="shared" si="66"/>
        <v>11.19031906368399</v>
      </c>
      <c r="F114" s="1">
        <f t="shared" si="74"/>
        <v>-8.0100324912850844</v>
      </c>
      <c r="G114" s="1">
        <f t="shared" si="75"/>
        <v>-5.7305653725053389</v>
      </c>
      <c r="H114">
        <f t="shared" si="76"/>
        <v>-344.94746832381384</v>
      </c>
      <c r="I114">
        <f t="shared" si="77"/>
        <v>1976.7440173098298</v>
      </c>
      <c r="J114">
        <f t="shared" si="78"/>
        <v>-2763.0404290602814</v>
      </c>
      <c r="K114">
        <f t="shared" ca="1" si="89"/>
        <v>-2430.9395775963458</v>
      </c>
      <c r="L114">
        <f t="shared" ca="1" si="79"/>
        <v>-8.3825502675736061E-2</v>
      </c>
      <c r="M114">
        <f t="shared" si="67"/>
        <v>-8.3825502675736074E-2</v>
      </c>
      <c r="N114">
        <f t="shared" si="68"/>
        <v>0</v>
      </c>
      <c r="O114">
        <f t="shared" si="80"/>
        <v>0</v>
      </c>
      <c r="P114">
        <f t="shared" si="81"/>
        <v>0</v>
      </c>
      <c r="Q114">
        <f t="shared" si="82"/>
        <v>-8.0100324912850844</v>
      </c>
      <c r="R114">
        <f t="shared" si="83"/>
        <v>-5.7305653725053389</v>
      </c>
      <c r="T114">
        <f t="shared" si="84"/>
        <v>-3.9999999999999991</v>
      </c>
      <c r="U114">
        <f t="shared" si="85"/>
        <v>9</v>
      </c>
      <c r="W114" s="4">
        <f t="shared" si="86"/>
        <v>3.0000000000000009</v>
      </c>
      <c r="X114" s="4">
        <f t="shared" si="87"/>
        <v>21</v>
      </c>
      <c r="Y114">
        <f t="shared" si="69"/>
        <v>0</v>
      </c>
      <c r="AB114" t="str">
        <f t="shared" si="70"/>
        <v xml:space="preserve">
344.9475 kips</v>
      </c>
    </row>
    <row r="115" spans="1:28" x14ac:dyDescent="0.25">
      <c r="A115">
        <f t="shared" ref="A115:D115" si="92">A100</f>
        <v>6</v>
      </c>
      <c r="B115" s="1">
        <f t="shared" si="72"/>
        <v>-9.6211630799372685</v>
      </c>
      <c r="C115" s="1">
        <f t="shared" si="73"/>
        <v>2.1055215480379279</v>
      </c>
      <c r="D115" t="str">
        <f t="shared" si="92"/>
        <v>y</v>
      </c>
      <c r="E115" s="4">
        <f t="shared" si="66"/>
        <v>3.3542321431407234</v>
      </c>
      <c r="F115" s="1">
        <f t="shared" si="74"/>
        <v>-9.6211630799372685</v>
      </c>
      <c r="G115" s="1">
        <f t="shared" si="75"/>
        <v>2.1055215480379279</v>
      </c>
      <c r="H115">
        <f t="shared" si="76"/>
        <v>-103.39596926254605</v>
      </c>
      <c r="I115">
        <f t="shared" si="77"/>
        <v>-217.70244126255795</v>
      </c>
      <c r="J115">
        <f t="shared" si="78"/>
        <v>-994.7894820831367</v>
      </c>
      <c r="K115">
        <f t="shared" ca="1" si="89"/>
        <v>-728.65980163770416</v>
      </c>
      <c r="L115">
        <f t="shared" ca="1" si="79"/>
        <v>-2.5126200056472557E-2</v>
      </c>
      <c r="M115">
        <f t="shared" si="67"/>
        <v>-2.5126200056472561E-2</v>
      </c>
      <c r="N115">
        <f t="shared" si="68"/>
        <v>0</v>
      </c>
      <c r="O115">
        <f t="shared" si="80"/>
        <v>0</v>
      </c>
      <c r="P115">
        <f t="shared" si="81"/>
        <v>0</v>
      </c>
      <c r="Q115">
        <f t="shared" si="82"/>
        <v>-9.6211630799372685</v>
      </c>
      <c r="R115">
        <f t="shared" si="83"/>
        <v>2.1055215480379279</v>
      </c>
      <c r="T115">
        <f t="shared" si="84"/>
        <v>4</v>
      </c>
      <c r="U115">
        <f t="shared" si="85"/>
        <v>9.0000000000000018</v>
      </c>
      <c r="W115" s="4">
        <f t="shared" si="86"/>
        <v>11</v>
      </c>
      <c r="X115" s="4">
        <f t="shared" si="87"/>
        <v>21</v>
      </c>
      <c r="Y115">
        <f t="shared" si="69"/>
        <v>0</v>
      </c>
      <c r="AB115" t="str">
        <f t="shared" si="70"/>
        <v xml:space="preserve">
103.396 kips</v>
      </c>
    </row>
    <row r="116" spans="1:28" x14ac:dyDescent="0.25">
      <c r="A116">
        <f t="shared" ref="A116:D116" si="93">A101</f>
        <v>7</v>
      </c>
      <c r="B116" s="1">
        <f t="shared" si="72"/>
        <v>-2.1329673008776338</v>
      </c>
      <c r="C116" s="1">
        <f t="shared" si="73"/>
        <v>-4.5222174310162018</v>
      </c>
      <c r="D116" t="str">
        <f t="shared" si="93"/>
        <v>y</v>
      </c>
      <c r="E116" s="4">
        <f t="shared" si="66"/>
        <v>9.9819711221948531</v>
      </c>
      <c r="F116" s="1">
        <f t="shared" si="74"/>
        <v>-2.1329673008776338</v>
      </c>
      <c r="G116" s="1">
        <f t="shared" si="75"/>
        <v>-4.5222174310162018</v>
      </c>
      <c r="H116">
        <f t="shared" si="76"/>
        <v>-307.69950775192387</v>
      </c>
      <c r="I116">
        <f t="shared" si="77"/>
        <v>1391.484077470855</v>
      </c>
      <c r="J116">
        <f t="shared" si="78"/>
        <v>-656.31298853099759</v>
      </c>
      <c r="K116">
        <f t="shared" ca="1" si="89"/>
        <v>-2168.4429662167968</v>
      </c>
      <c r="L116">
        <f t="shared" ca="1" si="79"/>
        <v>-7.4773895386786096E-2</v>
      </c>
      <c r="M116">
        <f t="shared" si="67"/>
        <v>-7.4773895386786096E-2</v>
      </c>
      <c r="N116">
        <f t="shared" si="68"/>
        <v>0</v>
      </c>
      <c r="O116">
        <f t="shared" si="80"/>
        <v>0</v>
      </c>
      <c r="P116">
        <f t="shared" si="81"/>
        <v>0</v>
      </c>
      <c r="Q116">
        <f t="shared" si="82"/>
        <v>-2.1329673008776338</v>
      </c>
      <c r="R116">
        <f t="shared" si="83"/>
        <v>-4.5222174310162018</v>
      </c>
      <c r="T116">
        <f t="shared" si="84"/>
        <v>-3.9999999999999991</v>
      </c>
      <c r="U116">
        <f t="shared" si="85"/>
        <v>3</v>
      </c>
      <c r="W116" s="4">
        <f t="shared" si="86"/>
        <v>3.0000000000000009</v>
      </c>
      <c r="X116" s="4">
        <f t="shared" si="87"/>
        <v>15</v>
      </c>
      <c r="Y116">
        <f t="shared" si="69"/>
        <v>0</v>
      </c>
      <c r="AB116" t="str">
        <f t="shared" si="70"/>
        <v xml:space="preserve">
307.6995 kips</v>
      </c>
    </row>
    <row r="117" spans="1:28" x14ac:dyDescent="0.25">
      <c r="A117">
        <f t="shared" ref="A117:D117" si="94">A102</f>
        <v>8</v>
      </c>
      <c r="B117" s="1">
        <f t="shared" si="72"/>
        <v>-3.7440978895298169</v>
      </c>
      <c r="C117" s="1">
        <f t="shared" si="73"/>
        <v>3.3138694895270651</v>
      </c>
      <c r="D117" t="str">
        <f t="shared" si="94"/>
        <v>y</v>
      </c>
      <c r="E117" s="4">
        <f t="shared" si="66"/>
        <v>2.1458842016515862</v>
      </c>
      <c r="F117" s="1">
        <f t="shared" si="74"/>
        <v>-3.7440978895298169</v>
      </c>
      <c r="G117" s="1">
        <f t="shared" si="75"/>
        <v>3.3138694895270651</v>
      </c>
      <c r="H117">
        <f t="shared" si="76"/>
        <v>-66.148008690656084</v>
      </c>
      <c r="I117">
        <f t="shared" si="77"/>
        <v>-219.20586779293635</v>
      </c>
      <c r="J117">
        <f t="shared" si="78"/>
        <v>-247.66461973528544</v>
      </c>
      <c r="K117">
        <f t="shared" ca="1" si="89"/>
        <v>-466.163190258155</v>
      </c>
      <c r="L117">
        <f t="shared" ca="1" si="79"/>
        <v>-1.6074592767522586E-2</v>
      </c>
      <c r="M117">
        <f t="shared" si="67"/>
        <v>-1.6074592767522586E-2</v>
      </c>
      <c r="N117">
        <f t="shared" si="68"/>
        <v>0</v>
      </c>
      <c r="O117">
        <f t="shared" si="80"/>
        <v>0</v>
      </c>
      <c r="P117">
        <f t="shared" si="81"/>
        <v>0</v>
      </c>
      <c r="Q117">
        <f t="shared" si="82"/>
        <v>-3.7440978895298169</v>
      </c>
      <c r="R117">
        <f t="shared" si="83"/>
        <v>3.3138694895270651</v>
      </c>
      <c r="T117">
        <f t="shared" si="84"/>
        <v>3.9999999999999996</v>
      </c>
      <c r="U117">
        <f t="shared" si="85"/>
        <v>3</v>
      </c>
      <c r="W117" s="4">
        <f t="shared" si="86"/>
        <v>11</v>
      </c>
      <c r="X117" s="4">
        <f t="shared" si="87"/>
        <v>15</v>
      </c>
      <c r="Y117">
        <f t="shared" si="69"/>
        <v>0</v>
      </c>
      <c r="AB117" t="str">
        <f t="shared" si="70"/>
        <v xml:space="preserve">
66.148 kips</v>
      </c>
    </row>
    <row r="118" spans="1:28" x14ac:dyDescent="0.25">
      <c r="A118">
        <f t="shared" ref="A118:D118" si="95">A103</f>
        <v>9</v>
      </c>
      <c r="B118" s="1">
        <f t="shared" si="72"/>
        <v>13.163869645885562</v>
      </c>
      <c r="C118" s="1">
        <f t="shared" si="73"/>
        <v>-4.4398801724970847</v>
      </c>
      <c r="D118" t="str">
        <f t="shared" si="95"/>
        <v>n</v>
      </c>
      <c r="E118" s="4">
        <f t="shared" si="66"/>
        <v>0</v>
      </c>
      <c r="F118" s="1" t="e">
        <f t="shared" si="74"/>
        <v>#N/A</v>
      </c>
      <c r="G118" s="1" t="e">
        <f t="shared" si="75"/>
        <v>#N/A</v>
      </c>
      <c r="H118">
        <f t="shared" si="76"/>
        <v>0</v>
      </c>
      <c r="I118">
        <f t="shared" si="77"/>
        <v>0</v>
      </c>
      <c r="J118">
        <f t="shared" si="78"/>
        <v>0</v>
      </c>
      <c r="K118">
        <f t="shared" ca="1" si="89"/>
        <v>0</v>
      </c>
      <c r="L118">
        <f t="shared" ca="1" si="79"/>
        <v>0</v>
      </c>
      <c r="M118">
        <f t="shared" si="67"/>
        <v>0</v>
      </c>
      <c r="N118">
        <f t="shared" si="68"/>
        <v>0</v>
      </c>
      <c r="O118">
        <f t="shared" si="80"/>
        <v>0</v>
      </c>
      <c r="P118">
        <f t="shared" si="81"/>
        <v>0</v>
      </c>
      <c r="Q118" t="e">
        <f t="shared" si="82"/>
        <v>#N/A</v>
      </c>
      <c r="R118" t="e">
        <f t="shared" si="83"/>
        <v>#N/A</v>
      </c>
      <c r="T118" t="e">
        <f t="shared" si="84"/>
        <v>#N/A</v>
      </c>
      <c r="U118" t="e">
        <f t="shared" si="85"/>
        <v>#N/A</v>
      </c>
      <c r="W118" s="4" t="e">
        <f t="shared" si="86"/>
        <v>#N/A</v>
      </c>
      <c r="X118" s="4" t="e">
        <f t="shared" si="87"/>
        <v>#N/A</v>
      </c>
      <c r="Y118">
        <f t="shared" si="69"/>
        <v>0</v>
      </c>
      <c r="AB118" t="str">
        <f t="shared" si="70"/>
        <v/>
      </c>
    </row>
    <row r="119" spans="1:28" x14ac:dyDescent="0.25">
      <c r="A119">
        <f t="shared" ref="A119:D119" si="96">A104</f>
        <v>10</v>
      </c>
      <c r="B119" s="1">
        <f t="shared" si="72"/>
        <v>13.163869645885562</v>
      </c>
      <c r="C119" s="1">
        <f t="shared" si="73"/>
        <v>-4.4398801724970847</v>
      </c>
      <c r="D119" t="str">
        <f t="shared" si="96"/>
        <v>n</v>
      </c>
      <c r="E119" s="4">
        <f t="shared" si="66"/>
        <v>0</v>
      </c>
      <c r="F119" s="1" t="e">
        <f t="shared" si="74"/>
        <v>#N/A</v>
      </c>
      <c r="G119" s="1" t="e">
        <f t="shared" si="75"/>
        <v>#N/A</v>
      </c>
      <c r="H119">
        <f t="shared" si="76"/>
        <v>0</v>
      </c>
      <c r="I119">
        <f t="shared" si="77"/>
        <v>0</v>
      </c>
      <c r="J119">
        <f t="shared" si="78"/>
        <v>0</v>
      </c>
      <c r="K119">
        <f t="shared" ca="1" si="89"/>
        <v>0</v>
      </c>
      <c r="L119">
        <f t="shared" ca="1" si="79"/>
        <v>0</v>
      </c>
      <c r="M119">
        <f t="shared" si="67"/>
        <v>0</v>
      </c>
      <c r="N119">
        <f t="shared" si="68"/>
        <v>0</v>
      </c>
      <c r="O119">
        <f t="shared" si="80"/>
        <v>0</v>
      </c>
      <c r="P119">
        <f t="shared" si="81"/>
        <v>0</v>
      </c>
      <c r="Q119" t="e">
        <f t="shared" si="82"/>
        <v>#N/A</v>
      </c>
      <c r="R119" t="e">
        <f t="shared" si="83"/>
        <v>#N/A</v>
      </c>
      <c r="T119" t="e">
        <f t="shared" si="84"/>
        <v>#N/A</v>
      </c>
      <c r="U119" t="e">
        <f t="shared" si="85"/>
        <v>#N/A</v>
      </c>
      <c r="W119" s="4" t="e">
        <f t="shared" si="86"/>
        <v>#N/A</v>
      </c>
      <c r="X119" s="4" t="e">
        <f t="shared" si="87"/>
        <v>#N/A</v>
      </c>
      <c r="Y119">
        <f t="shared" si="69"/>
        <v>0</v>
      </c>
      <c r="AB119" t="str">
        <f t="shared" si="70"/>
        <v/>
      </c>
    </row>
    <row r="120" spans="1:28" x14ac:dyDescent="0.25">
      <c r="A120">
        <f t="shared" ref="A120:D120" si="97">A105</f>
        <v>11</v>
      </c>
      <c r="B120" s="1">
        <f t="shared" si="72"/>
        <v>13.163869645885562</v>
      </c>
      <c r="C120" s="1">
        <f t="shared" si="73"/>
        <v>-4.4398801724970847</v>
      </c>
      <c r="D120" t="str">
        <f t="shared" si="97"/>
        <v>n</v>
      </c>
      <c r="E120" s="4">
        <f t="shared" si="66"/>
        <v>0</v>
      </c>
      <c r="F120" s="1" t="e">
        <f t="shared" si="74"/>
        <v>#N/A</v>
      </c>
      <c r="G120" s="1" t="e">
        <f t="shared" si="75"/>
        <v>#N/A</v>
      </c>
      <c r="H120">
        <f t="shared" si="76"/>
        <v>0</v>
      </c>
      <c r="I120">
        <f t="shared" si="77"/>
        <v>0</v>
      </c>
      <c r="J120">
        <f t="shared" si="78"/>
        <v>0</v>
      </c>
      <c r="K120">
        <f t="shared" ca="1" si="89"/>
        <v>0</v>
      </c>
      <c r="L120">
        <f t="shared" ca="1" si="79"/>
        <v>0</v>
      </c>
      <c r="M120">
        <f t="shared" si="67"/>
        <v>0</v>
      </c>
      <c r="N120">
        <f t="shared" si="68"/>
        <v>0</v>
      </c>
      <c r="O120">
        <f t="shared" si="80"/>
        <v>0</v>
      </c>
      <c r="P120">
        <f t="shared" si="81"/>
        <v>0</v>
      </c>
      <c r="Q120" t="e">
        <f t="shared" si="82"/>
        <v>#N/A</v>
      </c>
      <c r="R120" t="e">
        <f t="shared" si="83"/>
        <v>#N/A</v>
      </c>
      <c r="T120" t="e">
        <f t="shared" si="84"/>
        <v>#N/A</v>
      </c>
      <c r="U120" t="e">
        <f t="shared" si="85"/>
        <v>#N/A</v>
      </c>
      <c r="W120" s="4" t="e">
        <f t="shared" si="86"/>
        <v>#N/A</v>
      </c>
      <c r="X120" s="4" t="e">
        <f t="shared" si="87"/>
        <v>#N/A</v>
      </c>
      <c r="Y120">
        <f t="shared" si="69"/>
        <v>0</v>
      </c>
      <c r="AB120" t="str">
        <f t="shared" si="70"/>
        <v/>
      </c>
    </row>
    <row r="121" spans="1:28" ht="15.75" thickBot="1" x14ac:dyDescent="0.3">
      <c r="A121">
        <f t="shared" ref="A121:D121" si="98">A106</f>
        <v>12</v>
      </c>
      <c r="B121" s="1">
        <f t="shared" si="72"/>
        <v>13.163869645885562</v>
      </c>
      <c r="C121" s="1">
        <f t="shared" si="73"/>
        <v>-4.4398801724970847</v>
      </c>
      <c r="D121" t="str">
        <f t="shared" si="98"/>
        <v>n</v>
      </c>
      <c r="E121" s="4">
        <f t="shared" si="66"/>
        <v>0</v>
      </c>
      <c r="F121" s="1" t="e">
        <f t="shared" si="74"/>
        <v>#N/A</v>
      </c>
      <c r="G121" s="1" t="e">
        <f t="shared" si="75"/>
        <v>#N/A</v>
      </c>
      <c r="H121" s="23">
        <f t="shared" si="76"/>
        <v>0</v>
      </c>
      <c r="I121" s="23">
        <f t="shared" si="77"/>
        <v>0</v>
      </c>
      <c r="J121" s="23">
        <f t="shared" si="78"/>
        <v>0</v>
      </c>
      <c r="K121">
        <f t="shared" ca="1" si="89"/>
        <v>0</v>
      </c>
      <c r="L121">
        <f t="shared" ca="1" si="79"/>
        <v>0</v>
      </c>
      <c r="M121">
        <f t="shared" si="67"/>
        <v>0</v>
      </c>
      <c r="N121" s="23">
        <f t="shared" si="68"/>
        <v>0</v>
      </c>
      <c r="O121" s="23">
        <f t="shared" si="80"/>
        <v>0</v>
      </c>
      <c r="P121" s="23">
        <f t="shared" si="81"/>
        <v>0</v>
      </c>
      <c r="Q121" t="e">
        <f t="shared" si="82"/>
        <v>#N/A</v>
      </c>
      <c r="R121" t="e">
        <f t="shared" si="83"/>
        <v>#N/A</v>
      </c>
      <c r="T121" t="e">
        <f t="shared" si="84"/>
        <v>#N/A</v>
      </c>
      <c r="U121" t="e">
        <f t="shared" si="85"/>
        <v>#N/A</v>
      </c>
      <c r="W121" s="4" t="e">
        <f t="shared" si="86"/>
        <v>#N/A</v>
      </c>
      <c r="X121" s="4" t="e">
        <f t="shared" si="87"/>
        <v>#N/A</v>
      </c>
      <c r="Y121">
        <f t="shared" si="69"/>
        <v>0</v>
      </c>
      <c r="AB121" t="str">
        <f t="shared" si="70"/>
        <v/>
      </c>
    </row>
    <row r="122" spans="1:28" ht="15.75" thickTop="1" x14ac:dyDescent="0.25">
      <c r="D122" s="10" t="s">
        <v>44</v>
      </c>
      <c r="E122" s="4">
        <f>MAX(E110:E121)</f>
        <v>11.19031906368399</v>
      </c>
      <c r="H122">
        <f>SUM(H110:H121)</f>
        <v>-1354.7461359358838</v>
      </c>
      <c r="I122">
        <f t="shared" ref="I122:J122" si="99">SUM(I110:I121)</f>
        <v>4187.8837916437806</v>
      </c>
      <c r="J122">
        <f t="shared" si="99"/>
        <v>-1343.8778571785163</v>
      </c>
      <c r="L122">
        <f ca="1">MIN(L110:L121)</f>
        <v>-8.3825502675736061E-2</v>
      </c>
      <c r="M122">
        <f>MIN(M110:M121)</f>
        <v>-8.3825502675736074E-2</v>
      </c>
      <c r="N122">
        <f>SUM(N110:N121)</f>
        <v>1.9485350645141957</v>
      </c>
      <c r="O122">
        <f>SUM(O110:O121)</f>
        <v>11.166207567817507</v>
      </c>
      <c r="P122">
        <f>SUM(P110:P121)</f>
        <v>-15.607829177166986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5.4597536911786513</v>
      </c>
      <c r="F125" s="1" t="s">
        <v>27</v>
      </c>
      <c r="G125" s="1" t="s">
        <v>28</v>
      </c>
    </row>
    <row r="126" spans="1:28" x14ac:dyDescent="0.25">
      <c r="F126" s="4">
        <f>MIN(B84:B92)-1</f>
        <v>-14.163869645885562</v>
      </c>
      <c r="G126" s="4">
        <f>B125</f>
        <v>5.4597536911786513</v>
      </c>
      <c r="I126">
        <f>IF(OR($G$126&gt;MAX($C$84:$C$92)+5,$G$126&lt;MIN($C$84:$C$92)-5),NA(),F126)</f>
        <v>-14.163869645885562</v>
      </c>
      <c r="J126">
        <f>IF(OR($G$126&gt;MAX($C$84:$C$92)+5,$G$126&lt;MIN($C$84:$C$92)-5),NA(),G126)</f>
        <v>5.4597536911786513</v>
      </c>
    </row>
    <row r="127" spans="1:28" x14ac:dyDescent="0.25">
      <c r="F127" s="4">
        <f>MAX(B84:B92)+1</f>
        <v>14.163869645885562</v>
      </c>
      <c r="G127" s="4">
        <f>G126</f>
        <v>5.4597536911786513</v>
      </c>
      <c r="I127">
        <f>IF(OR($G$126&gt;MAX($C$84:$C$92)+5,$G$126&lt;MIN($C$84:$C$92)-5),NA(),F127)</f>
        <v>14.163869645885562</v>
      </c>
      <c r="J127">
        <f>IF(OR($G$126&gt;MAX($C$84:$C$92)+5,$G$126&lt;MIN($C$84:$C$92)-5),NA(),G127)</f>
        <v>5.4597536911786513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13.163869645885562</v>
      </c>
      <c r="C132" s="4">
        <f>C84</f>
        <v>-4.4398801724970847</v>
      </c>
      <c r="D132" s="4">
        <f t="shared" ref="D132:E139" si="100">B85</f>
        <v>10.344391115744241</v>
      </c>
      <c r="E132" s="4">
        <f t="shared" si="100"/>
        <v>9.2732719384536324</v>
      </c>
      <c r="F132" s="4">
        <f t="shared" ref="F132:F139" si="101">($B$66/$B$65)*(C132-$B$125)</f>
        <v>-286.63223470167827</v>
      </c>
      <c r="G132" s="4">
        <f t="shared" ref="G132:G139" si="102">($B$66/$B$65)*(E132-$B$125)</f>
        <v>110.41592773474507</v>
      </c>
      <c r="H132" s="4">
        <f>IF(B132=D132,"V",(C132-E132)/(B132-D132))</f>
        <v>-4.8637192886385874</v>
      </c>
      <c r="I132" s="4">
        <f>IF(H132="V",0,(-1*B132*H132)+C132)</f>
        <v>59.585486537320534</v>
      </c>
      <c r="J132" s="4">
        <f>IF($F132&gt;=0,B132,IF(AND($F132&lt;0,$G132&gt;=0),IF(H132="V",B132,($B$125-I132)/H132),0))</f>
        <v>11.128465611199433</v>
      </c>
      <c r="K132" s="4">
        <f>IF($F132&gt;=0,C132,IF(AND($F132&lt;0,$G132&gt;=0),$B$125,0))</f>
        <v>5.4597536911786513</v>
      </c>
      <c r="L132" s="4">
        <f>IF($G132&gt;=0,D132,IF(AND($G132&lt;0,$F132&gt;=0),IF(H132="V",D132,($B$125-I132)/H132),0))</f>
        <v>10.344391115744241</v>
      </c>
      <c r="M132" s="4">
        <f>IF($G132&gt;=0,E132,IF(AND($G132&lt;0,$F132&gt;=0),$B$125,0))</f>
        <v>9.2732719384536324</v>
      </c>
      <c r="N132" s="4">
        <f>IF(F132&lt;0,0,F132)</f>
        <v>0</v>
      </c>
      <c r="O132" s="4">
        <f>IF(G132&lt;0,0,G132)</f>
        <v>110.41592773474507</v>
      </c>
      <c r="P132" s="4">
        <f>(1/6)*(M132-K132)*((N132*((2*J132)+L132))+(O132*(J132+(2*L132))))</f>
        <v>2232.89815651662</v>
      </c>
      <c r="Q132" s="4">
        <f>((1/12)*(M132-K132)*(N132*J132*((3*K132)+M132)+N132*L132*(K132+M132)+O132*J132*(K132+M132)+O132*L132*(K132+(3*M132))))</f>
        <v>17832.899099615617</v>
      </c>
      <c r="R132" s="4">
        <f>((-1/24)*(M132-K132)*(J132*J132*((3*N132)+O132)+2*J132*L132*(N132+O132)+L132*L132*(N132+(3*O132))))</f>
        <v>-11844.374346793711</v>
      </c>
      <c r="U132">
        <f>IF(AND(J132=0,K132=0,L132=0,M132=0),NA(),J132)</f>
        <v>11.128465611199433</v>
      </c>
      <c r="V132">
        <f>IF(AND(J132=0,K132=0,L132=0,M132=0),NA(),K132)</f>
        <v>5.4597536911786513</v>
      </c>
      <c r="W132" s="9" t="str">
        <f>IF(AND(J132=0,K132=0,L132=0,M132=0),"",ROUND(N132,4)&amp;" ksi")</f>
        <v>0 ksi</v>
      </c>
      <c r="X132">
        <f>(U132*COS(-1*$B$64))+(V132*SIN(-1*$B$64))</f>
        <v>3.1067116422331922</v>
      </c>
      <c r="Y132">
        <f>(-1*U132*SIN(-1*$B$64))+(V132*COS(-1*$B$64))</f>
        <v>-12</v>
      </c>
      <c r="AA132" s="4">
        <f>X132+$B$9</f>
        <v>10.106711642233192</v>
      </c>
      <c r="AB132" s="4">
        <f>Y132+$C$9</f>
        <v>0</v>
      </c>
      <c r="AD132">
        <f>IF(AND(J132=0,K132=0,L132=0,M132=0),NA(),L132)</f>
        <v>10.344391115744241</v>
      </c>
      <c r="AE132">
        <f>IF(AND(J132=0,K132=0,L132=0,M132=0),NA(),M132)</f>
        <v>9.2732719384536324</v>
      </c>
      <c r="AF132" s="9" t="str">
        <f>IF(AND(J132=0,K132=0,L132=0,M132=0),"",ROUND(O132,4)&amp;" ksi")</f>
        <v>110.4159 ksi</v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3">D132</f>
        <v>10.344391115744241</v>
      </c>
      <c r="C133" s="4">
        <f t="shared" si="103"/>
        <v>9.2732719384536324</v>
      </c>
      <c r="D133" s="4">
        <f t="shared" si="100"/>
        <v>-13.163869645885562</v>
      </c>
      <c r="E133" s="4">
        <f t="shared" si="100"/>
        <v>4.4398801724970847</v>
      </c>
      <c r="F133" s="4">
        <f t="shared" si="101"/>
        <v>110.41592773474507</v>
      </c>
      <c r="G133" s="4">
        <f t="shared" si="102"/>
        <v>-29.529236110982755</v>
      </c>
      <c r="H133" s="4">
        <f t="shared" ref="H133:H139" si="104">IF(B133=D133,"V",(C133-E133)/(B133-D133))</f>
        <v>0.20560397108771283</v>
      </c>
      <c r="I133" s="4">
        <f t="shared" ref="I133:I139" si="105">IF(H133="V",0,(-1*B133*H133)+C133)</f>
        <v>7.14642404657216</v>
      </c>
      <c r="J133" s="4">
        <f t="shared" ref="J133:J139" si="106">IF($F133&gt;=0,B133,IF(AND($F133&lt;0,$G133&gt;=0),IF(H133="V",B133,($B$125-I133)/H133),0))</f>
        <v>10.344391115744241</v>
      </c>
      <c r="K133" s="4">
        <f t="shared" ref="K133:K139" si="107">IF($F133&gt;=0,C133,IF(AND($F133&lt;0,$G133&gt;=0),$B$125,0))</f>
        <v>9.2732719384536324</v>
      </c>
      <c r="L133" s="4">
        <f t="shared" ref="L133:L139" si="108">IF($G133&gt;=0,D133,IF(AND($G133&lt;0,$F133&gt;=0),IF(H133="V",D133,($B$125-I133)/H133),0))</f>
        <v>-8.2034911411023153</v>
      </c>
      <c r="M133" s="4">
        <f t="shared" ref="M133:M139" si="109">IF($G133&gt;=0,E133,IF(AND($G133&lt;0,$F133&gt;=0),$B$125,0))</f>
        <v>5.4597536911786513</v>
      </c>
      <c r="N133" s="4">
        <f t="shared" ref="N133:N139" si="110">IF(F133&lt;0,0,F133)</f>
        <v>110.41592773474507</v>
      </c>
      <c r="O133" s="4">
        <f t="shared" ref="O133:O139" si="111">IF(G133&lt;0,0,G133)</f>
        <v>0</v>
      </c>
      <c r="P133" s="4">
        <f t="shared" ref="P133:P139" si="112">(1/6)*(M133-K133)*((N133*((2*J133)+L133))+(O133*(J133+(2*L133))))</f>
        <v>-876.20348551622226</v>
      </c>
      <c r="Q133" s="4">
        <f t="shared" ref="Q133:Q139" si="113">((1/12)*(M133-K133)*(N133*J133*((3*K133)+M133)+N133*L133*(K133+M133)+O133*J133*(K133+M133)+O133*L133*(K133+(3*M133))))</f>
        <v>-7838.7904198984143</v>
      </c>
      <c r="R133" s="4">
        <f t="shared" ref="R133:R139" si="114">((-1/24)*(M133-K133)*(J133*J133*((3*N133)+O133)+2*J133*L133*(N133+O133)+L133*L133*(N133+(3*O133))))</f>
        <v>3835.2098769584327</v>
      </c>
      <c r="U133">
        <f t="shared" ref="U133:U153" si="115">IF(AND(J133=0,K133=0,L133=0,M133=0),NA(),J133)</f>
        <v>10.344391115744241</v>
      </c>
      <c r="V133">
        <f t="shared" ref="V133:V153" si="116">IF(AND(J133=0,K133=0,L133=0,M133=0),NA(),K133)</f>
        <v>9.2732719384536324</v>
      </c>
      <c r="W133" s="9" t="str">
        <f t="shared" ref="W133:W144" si="117">IF(AND(J133=0,K133=0,L133=0,M133=0),"",ROUND(N133,4)&amp;" ksi")</f>
        <v>110.4159 ksi</v>
      </c>
      <c r="X133">
        <f t="shared" ref="X133:X139" si="118">(U133*COS(-1*$B$64))+(V133*SIN(-1*$B$64))</f>
        <v>6.9999999999999982</v>
      </c>
      <c r="Y133">
        <f t="shared" ref="Y133:Y139" si="119">(-1*U133*SIN(-1*$B$64))+(V133*COS(-1*$B$64))</f>
        <v>-12</v>
      </c>
      <c r="AA133" s="4">
        <f t="shared" ref="AA133:AA139" si="120">X133+$B$9</f>
        <v>13.999999999999998</v>
      </c>
      <c r="AB133" s="4">
        <f t="shared" ref="AB133:AB139" si="121">Y133+$C$9</f>
        <v>0</v>
      </c>
      <c r="AD133">
        <f t="shared" ref="AD133:AD139" si="122">IF(AND(J133=0,K133=0,L133=0,M133=0),NA(),L133)</f>
        <v>-8.2034911411023153</v>
      </c>
      <c r="AE133">
        <f t="shared" ref="AE133:AE139" si="123">IF(AND(J133=0,K133=0,L133=0,M133=0),NA(),M133)</f>
        <v>5.4597536911786513</v>
      </c>
      <c r="AF133" s="9" t="str">
        <f t="shared" ref="AF133:AF139" si="124">IF(AND(J133=0,K133=0,L133=0,M133=0),"",ROUND(O133,4)&amp;" ksi")</f>
        <v>0 ksi</v>
      </c>
      <c r="AG133">
        <f t="shared" ref="AG133:AG139" si="125">IF(COUNTIF($U$132:$U$139,AD133)&gt;0,NA(),AD133)</f>
        <v>-8.2034911411023153</v>
      </c>
      <c r="AH133">
        <f t="shared" ref="AH133:AH139" si="126">IF(AND(COUNTIF($V$132:$V$139,AE133)&gt;0,AF133&lt;&gt;"0 ksi"),NA(),AE133)</f>
        <v>5.4597536911786513</v>
      </c>
      <c r="AI133" t="str">
        <f t="shared" ref="AI133:AI139" si="127">IF(COUNTIF($U$132:$U$139,AD133)&gt;0,"",AF133)</f>
        <v>0 ksi</v>
      </c>
      <c r="AJ133">
        <f t="shared" ref="AJ133:AJ139" si="128">(AG133*COS(-1*$B$64))+(AH133*SIN(-1*$B$64))</f>
        <v>7</v>
      </c>
      <c r="AK133">
        <f t="shared" ref="AK133:AK139" si="129">(-1*AG133*SIN(-1*$B$64))+(AH133*COS(-1*$B$64))</f>
        <v>6.9358616819024776</v>
      </c>
      <c r="AM133" s="4">
        <f t="shared" ref="AM133:AM139" si="130">AJ133+$B$9</f>
        <v>14</v>
      </c>
      <c r="AN133" s="4">
        <f t="shared" ref="AN133:AN139" si="131">AK133+$C$9</f>
        <v>18.935861681902477</v>
      </c>
    </row>
    <row r="134" spans="1:40" x14ac:dyDescent="0.25">
      <c r="A134" t="s">
        <v>71</v>
      </c>
      <c r="B134" s="4">
        <f t="shared" si="103"/>
        <v>-13.163869645885562</v>
      </c>
      <c r="C134" s="4">
        <f t="shared" si="103"/>
        <v>4.4398801724970847</v>
      </c>
      <c r="D134" s="4">
        <f t="shared" si="100"/>
        <v>-10.344391115744241</v>
      </c>
      <c r="E134" s="4">
        <f t="shared" si="100"/>
        <v>-9.2732719384536324</v>
      </c>
      <c r="F134" s="4">
        <f t="shared" si="101"/>
        <v>-29.529236110982755</v>
      </c>
      <c r="G134" s="4">
        <f t="shared" si="102"/>
        <v>-426.57739854740606</v>
      </c>
      <c r="H134" s="4">
        <f t="shared" si="104"/>
        <v>-4.8637192886385874</v>
      </c>
      <c r="I134" s="4">
        <f t="shared" si="105"/>
        <v>-59.585486537320534</v>
      </c>
      <c r="J134" s="4">
        <f t="shared" si="106"/>
        <v>0</v>
      </c>
      <c r="K134" s="4">
        <f t="shared" si="107"/>
        <v>0</v>
      </c>
      <c r="L134" s="4">
        <f t="shared" si="108"/>
        <v>0</v>
      </c>
      <c r="M134" s="4">
        <f t="shared" si="109"/>
        <v>0</v>
      </c>
      <c r="N134" s="4">
        <f t="shared" si="110"/>
        <v>0</v>
      </c>
      <c r="O134" s="4">
        <f t="shared" si="111"/>
        <v>0</v>
      </c>
      <c r="P134" s="4">
        <f t="shared" si="112"/>
        <v>0</v>
      </c>
      <c r="Q134" s="4">
        <f t="shared" si="113"/>
        <v>0</v>
      </c>
      <c r="R134" s="4">
        <f t="shared" si="114"/>
        <v>0</v>
      </c>
      <c r="U134" t="e">
        <f t="shared" si="115"/>
        <v>#N/A</v>
      </c>
      <c r="V134" t="e">
        <f t="shared" si="116"/>
        <v>#N/A</v>
      </c>
      <c r="W134" s="9" t="str">
        <f t="shared" si="117"/>
        <v/>
      </c>
      <c r="X134" t="e">
        <f t="shared" si="118"/>
        <v>#N/A</v>
      </c>
      <c r="Y134" t="e">
        <f t="shared" si="119"/>
        <v>#N/A</v>
      </c>
      <c r="AA134" s="4" t="e">
        <f t="shared" si="120"/>
        <v>#N/A</v>
      </c>
      <c r="AB134" s="4" t="e">
        <f t="shared" si="121"/>
        <v>#N/A</v>
      </c>
      <c r="AD134" t="e">
        <f t="shared" si="122"/>
        <v>#N/A</v>
      </c>
      <c r="AE134" t="e">
        <f t="shared" si="123"/>
        <v>#N/A</v>
      </c>
      <c r="AF134" s="9" t="str">
        <f t="shared" si="124"/>
        <v/>
      </c>
      <c r="AG134" t="e">
        <f t="shared" si="125"/>
        <v>#N/A</v>
      </c>
      <c r="AH134" t="e">
        <f t="shared" si="126"/>
        <v>#N/A</v>
      </c>
      <c r="AI134" t="str">
        <f t="shared" si="127"/>
        <v/>
      </c>
      <c r="AJ134" t="e">
        <f t="shared" si="128"/>
        <v>#N/A</v>
      </c>
      <c r="AK134" t="e">
        <f t="shared" si="129"/>
        <v>#N/A</v>
      </c>
      <c r="AM134" s="4" t="e">
        <f t="shared" si="130"/>
        <v>#N/A</v>
      </c>
      <c r="AN134" s="4" t="e">
        <f t="shared" si="131"/>
        <v>#N/A</v>
      </c>
    </row>
    <row r="135" spans="1:40" x14ac:dyDescent="0.25">
      <c r="A135" t="s">
        <v>72</v>
      </c>
      <c r="B135" s="4">
        <f t="shared" si="103"/>
        <v>-10.344391115744241</v>
      </c>
      <c r="C135" s="4">
        <f t="shared" si="103"/>
        <v>-9.2732719384536324</v>
      </c>
      <c r="D135" s="4">
        <f t="shared" si="100"/>
        <v>13.163869645885562</v>
      </c>
      <c r="E135" s="4">
        <f t="shared" si="100"/>
        <v>-4.4398801724970847</v>
      </c>
      <c r="F135" s="4">
        <f t="shared" si="101"/>
        <v>-426.57739854740606</v>
      </c>
      <c r="G135" s="4">
        <f t="shared" si="102"/>
        <v>-286.63223470167827</v>
      </c>
      <c r="H135" s="4">
        <f t="shared" si="104"/>
        <v>0.20560397108771283</v>
      </c>
      <c r="I135" s="4">
        <f t="shared" si="105"/>
        <v>-7.14642404657216</v>
      </c>
      <c r="J135" s="4">
        <f t="shared" si="106"/>
        <v>0</v>
      </c>
      <c r="K135" s="4">
        <f t="shared" si="107"/>
        <v>0</v>
      </c>
      <c r="L135" s="4">
        <f t="shared" si="108"/>
        <v>0</v>
      </c>
      <c r="M135" s="4">
        <f t="shared" si="109"/>
        <v>0</v>
      </c>
      <c r="N135" s="4">
        <f t="shared" si="110"/>
        <v>0</v>
      </c>
      <c r="O135" s="4">
        <f t="shared" si="111"/>
        <v>0</v>
      </c>
      <c r="P135" s="4">
        <f t="shared" si="112"/>
        <v>0</v>
      </c>
      <c r="Q135" s="4">
        <f t="shared" si="113"/>
        <v>0</v>
      </c>
      <c r="R135" s="4">
        <f t="shared" si="114"/>
        <v>0</v>
      </c>
      <c r="U135" t="e">
        <f t="shared" si="115"/>
        <v>#N/A</v>
      </c>
      <c r="V135" t="e">
        <f t="shared" si="116"/>
        <v>#N/A</v>
      </c>
      <c r="W135" s="9" t="str">
        <f t="shared" si="117"/>
        <v/>
      </c>
      <c r="X135" t="e">
        <f t="shared" si="118"/>
        <v>#N/A</v>
      </c>
      <c r="Y135" t="e">
        <f t="shared" si="119"/>
        <v>#N/A</v>
      </c>
      <c r="AA135" s="4" t="e">
        <f t="shared" si="120"/>
        <v>#N/A</v>
      </c>
      <c r="AB135" s="4" t="e">
        <f t="shared" si="121"/>
        <v>#N/A</v>
      </c>
      <c r="AD135" t="e">
        <f t="shared" si="122"/>
        <v>#N/A</v>
      </c>
      <c r="AE135" t="e">
        <f t="shared" si="123"/>
        <v>#N/A</v>
      </c>
      <c r="AF135" s="9" t="str">
        <f t="shared" si="124"/>
        <v/>
      </c>
      <c r="AG135" t="e">
        <f t="shared" si="125"/>
        <v>#N/A</v>
      </c>
      <c r="AH135" t="e">
        <f t="shared" si="126"/>
        <v>#N/A</v>
      </c>
      <c r="AI135" t="str">
        <f t="shared" si="127"/>
        <v/>
      </c>
      <c r="AJ135" t="e">
        <f t="shared" si="128"/>
        <v>#N/A</v>
      </c>
      <c r="AK135" t="e">
        <f t="shared" si="129"/>
        <v>#N/A</v>
      </c>
      <c r="AM135" s="4" t="e">
        <f t="shared" si="130"/>
        <v>#N/A</v>
      </c>
      <c r="AN135" s="4" t="e">
        <f t="shared" si="131"/>
        <v>#N/A</v>
      </c>
    </row>
    <row r="136" spans="1:40" x14ac:dyDescent="0.25">
      <c r="A136" t="s">
        <v>73</v>
      </c>
      <c r="B136" s="4">
        <f t="shared" si="103"/>
        <v>13.163869645885562</v>
      </c>
      <c r="C136" s="4">
        <f t="shared" si="103"/>
        <v>-4.4398801724970847</v>
      </c>
      <c r="D136" s="4">
        <f t="shared" si="100"/>
        <v>13.163869645885562</v>
      </c>
      <c r="E136" s="4">
        <f t="shared" si="100"/>
        <v>-4.4398801724970847</v>
      </c>
      <c r="F136" s="4">
        <f t="shared" si="101"/>
        <v>-286.63223470167827</v>
      </c>
      <c r="G136" s="4">
        <f t="shared" si="102"/>
        <v>-286.63223470167827</v>
      </c>
      <c r="H136" s="4" t="str">
        <f t="shared" si="104"/>
        <v>V</v>
      </c>
      <c r="I136" s="4">
        <f t="shared" si="105"/>
        <v>0</v>
      </c>
      <c r="J136" s="4">
        <f t="shared" si="106"/>
        <v>0</v>
      </c>
      <c r="K136" s="4">
        <f t="shared" si="107"/>
        <v>0</v>
      </c>
      <c r="L136" s="4">
        <f t="shared" si="108"/>
        <v>0</v>
      </c>
      <c r="M136" s="4">
        <f t="shared" si="109"/>
        <v>0</v>
      </c>
      <c r="N136" s="4">
        <f t="shared" si="110"/>
        <v>0</v>
      </c>
      <c r="O136" s="4">
        <f t="shared" si="111"/>
        <v>0</v>
      </c>
      <c r="P136" s="4">
        <f t="shared" si="112"/>
        <v>0</v>
      </c>
      <c r="Q136" s="4">
        <f t="shared" si="113"/>
        <v>0</v>
      </c>
      <c r="R136" s="4">
        <f t="shared" si="114"/>
        <v>0</v>
      </c>
      <c r="U136" t="e">
        <f t="shared" si="115"/>
        <v>#N/A</v>
      </c>
      <c r="V136" t="e">
        <f t="shared" si="116"/>
        <v>#N/A</v>
      </c>
      <c r="W136" s="9" t="str">
        <f t="shared" si="117"/>
        <v/>
      </c>
      <c r="X136" t="e">
        <f t="shared" si="118"/>
        <v>#N/A</v>
      </c>
      <c r="Y136" t="e">
        <f t="shared" si="119"/>
        <v>#N/A</v>
      </c>
      <c r="AA136" s="4" t="e">
        <f t="shared" si="120"/>
        <v>#N/A</v>
      </c>
      <c r="AB136" s="4" t="e">
        <f t="shared" si="121"/>
        <v>#N/A</v>
      </c>
      <c r="AD136" t="e">
        <f t="shared" si="122"/>
        <v>#N/A</v>
      </c>
      <c r="AE136" t="e">
        <f t="shared" si="123"/>
        <v>#N/A</v>
      </c>
      <c r="AF136" s="9" t="str">
        <f t="shared" si="124"/>
        <v/>
      </c>
      <c r="AG136" t="e">
        <f t="shared" si="125"/>
        <v>#N/A</v>
      </c>
      <c r="AH136" t="e">
        <f t="shared" si="126"/>
        <v>#N/A</v>
      </c>
      <c r="AI136" t="str">
        <f t="shared" si="127"/>
        <v/>
      </c>
      <c r="AJ136" t="e">
        <f t="shared" si="128"/>
        <v>#N/A</v>
      </c>
      <c r="AK136" t="e">
        <f t="shared" si="129"/>
        <v>#N/A</v>
      </c>
      <c r="AM136" s="4" t="e">
        <f t="shared" si="130"/>
        <v>#N/A</v>
      </c>
      <c r="AN136" s="4" t="e">
        <f t="shared" si="131"/>
        <v>#N/A</v>
      </c>
    </row>
    <row r="137" spans="1:40" x14ac:dyDescent="0.25">
      <c r="A137" t="s">
        <v>74</v>
      </c>
      <c r="B137" s="4">
        <f t="shared" si="103"/>
        <v>13.163869645885562</v>
      </c>
      <c r="C137" s="4">
        <f t="shared" si="103"/>
        <v>-4.4398801724970847</v>
      </c>
      <c r="D137" s="4">
        <f t="shared" si="100"/>
        <v>13.163869645885562</v>
      </c>
      <c r="E137" s="4">
        <f t="shared" si="100"/>
        <v>-4.4398801724970847</v>
      </c>
      <c r="F137" s="4">
        <f t="shared" si="101"/>
        <v>-286.63223470167827</v>
      </c>
      <c r="G137" s="4">
        <f t="shared" si="102"/>
        <v>-286.63223470167827</v>
      </c>
      <c r="H137" s="4" t="str">
        <f t="shared" si="104"/>
        <v>V</v>
      </c>
      <c r="I137" s="4">
        <f t="shared" si="105"/>
        <v>0</v>
      </c>
      <c r="J137" s="4">
        <f t="shared" si="106"/>
        <v>0</v>
      </c>
      <c r="K137" s="4">
        <f t="shared" si="107"/>
        <v>0</v>
      </c>
      <c r="L137" s="4">
        <f t="shared" si="108"/>
        <v>0</v>
      </c>
      <c r="M137" s="4">
        <f t="shared" si="109"/>
        <v>0</v>
      </c>
      <c r="N137" s="4">
        <f t="shared" si="110"/>
        <v>0</v>
      </c>
      <c r="O137" s="4">
        <f t="shared" si="111"/>
        <v>0</v>
      </c>
      <c r="P137" s="4">
        <f t="shared" si="112"/>
        <v>0</v>
      </c>
      <c r="Q137" s="4">
        <f t="shared" si="113"/>
        <v>0</v>
      </c>
      <c r="R137" s="4">
        <f t="shared" si="114"/>
        <v>0</v>
      </c>
      <c r="U137" t="e">
        <f t="shared" si="115"/>
        <v>#N/A</v>
      </c>
      <c r="V137" t="e">
        <f t="shared" si="116"/>
        <v>#N/A</v>
      </c>
      <c r="W137" s="9" t="str">
        <f t="shared" si="117"/>
        <v/>
      </c>
      <c r="X137" t="e">
        <f t="shared" si="118"/>
        <v>#N/A</v>
      </c>
      <c r="Y137" t="e">
        <f t="shared" si="119"/>
        <v>#N/A</v>
      </c>
      <c r="AA137" s="4" t="e">
        <f t="shared" si="120"/>
        <v>#N/A</v>
      </c>
      <c r="AB137" s="4" t="e">
        <f t="shared" si="121"/>
        <v>#N/A</v>
      </c>
      <c r="AD137" t="e">
        <f t="shared" si="122"/>
        <v>#N/A</v>
      </c>
      <c r="AE137" t="e">
        <f t="shared" si="123"/>
        <v>#N/A</v>
      </c>
      <c r="AF137" s="9" t="str">
        <f t="shared" si="124"/>
        <v/>
      </c>
      <c r="AG137" t="e">
        <f t="shared" si="125"/>
        <v>#N/A</v>
      </c>
      <c r="AH137" t="e">
        <f t="shared" si="126"/>
        <v>#N/A</v>
      </c>
      <c r="AI137" t="str">
        <f t="shared" si="127"/>
        <v/>
      </c>
      <c r="AJ137" t="e">
        <f t="shared" si="128"/>
        <v>#N/A</v>
      </c>
      <c r="AK137" t="e">
        <f t="shared" si="129"/>
        <v>#N/A</v>
      </c>
      <c r="AM137" s="4" t="e">
        <f t="shared" si="130"/>
        <v>#N/A</v>
      </c>
      <c r="AN137" s="4" t="e">
        <f t="shared" si="131"/>
        <v>#N/A</v>
      </c>
    </row>
    <row r="138" spans="1:40" x14ac:dyDescent="0.25">
      <c r="A138" t="s">
        <v>75</v>
      </c>
      <c r="B138" s="4">
        <f t="shared" si="103"/>
        <v>13.163869645885562</v>
      </c>
      <c r="C138" s="4">
        <f t="shared" si="103"/>
        <v>-4.4398801724970847</v>
      </c>
      <c r="D138" s="4">
        <f t="shared" si="100"/>
        <v>13.163869645885562</v>
      </c>
      <c r="E138" s="4">
        <f t="shared" si="100"/>
        <v>-4.4398801724970847</v>
      </c>
      <c r="F138" s="4">
        <f t="shared" si="101"/>
        <v>-286.63223470167827</v>
      </c>
      <c r="G138" s="4">
        <f t="shared" si="102"/>
        <v>-286.63223470167827</v>
      </c>
      <c r="H138" s="4" t="str">
        <f t="shared" si="104"/>
        <v>V</v>
      </c>
      <c r="I138" s="4">
        <f t="shared" si="105"/>
        <v>0</v>
      </c>
      <c r="J138" s="4">
        <f t="shared" si="106"/>
        <v>0</v>
      </c>
      <c r="K138" s="4">
        <f t="shared" si="107"/>
        <v>0</v>
      </c>
      <c r="L138" s="4">
        <f t="shared" si="108"/>
        <v>0</v>
      </c>
      <c r="M138" s="4">
        <f t="shared" si="109"/>
        <v>0</v>
      </c>
      <c r="N138" s="4">
        <f t="shared" si="110"/>
        <v>0</v>
      </c>
      <c r="O138" s="4">
        <f t="shared" si="111"/>
        <v>0</v>
      </c>
      <c r="P138" s="30">
        <f t="shared" si="112"/>
        <v>0</v>
      </c>
      <c r="Q138" s="30">
        <f t="shared" si="113"/>
        <v>0</v>
      </c>
      <c r="R138" s="30">
        <f t="shared" si="114"/>
        <v>0</v>
      </c>
      <c r="U138" t="e">
        <f t="shared" si="115"/>
        <v>#N/A</v>
      </c>
      <c r="V138" t="e">
        <f t="shared" si="116"/>
        <v>#N/A</v>
      </c>
      <c r="W138" s="9" t="str">
        <f t="shared" si="117"/>
        <v/>
      </c>
      <c r="X138" t="e">
        <f t="shared" si="118"/>
        <v>#N/A</v>
      </c>
      <c r="Y138" t="e">
        <f t="shared" si="119"/>
        <v>#N/A</v>
      </c>
      <c r="AA138" s="4" t="e">
        <f t="shared" si="120"/>
        <v>#N/A</v>
      </c>
      <c r="AB138" s="4" t="e">
        <f t="shared" si="121"/>
        <v>#N/A</v>
      </c>
      <c r="AD138" t="e">
        <f t="shared" si="122"/>
        <v>#N/A</v>
      </c>
      <c r="AE138" t="e">
        <f t="shared" si="123"/>
        <v>#N/A</v>
      </c>
      <c r="AF138" s="9" t="str">
        <f t="shared" si="124"/>
        <v/>
      </c>
      <c r="AG138" t="e">
        <f t="shared" si="125"/>
        <v>#N/A</v>
      </c>
      <c r="AH138" t="e">
        <f t="shared" si="126"/>
        <v>#N/A</v>
      </c>
      <c r="AI138" t="str">
        <f t="shared" si="127"/>
        <v/>
      </c>
      <c r="AJ138" t="e">
        <f t="shared" si="128"/>
        <v>#N/A</v>
      </c>
      <c r="AK138" t="e">
        <f t="shared" si="129"/>
        <v>#N/A</v>
      </c>
      <c r="AM138" s="4" t="e">
        <f t="shared" si="130"/>
        <v>#N/A</v>
      </c>
      <c r="AN138" s="4" t="e">
        <f t="shared" si="131"/>
        <v>#N/A</v>
      </c>
    </row>
    <row r="139" spans="1:40" ht="15.75" thickBot="1" x14ac:dyDescent="0.3">
      <c r="A139" t="s">
        <v>134</v>
      </c>
      <c r="B139" s="4">
        <f>D138</f>
        <v>13.163869645885562</v>
      </c>
      <c r="C139" s="4">
        <f>E138</f>
        <v>-4.4398801724970847</v>
      </c>
      <c r="D139" s="4">
        <f t="shared" si="100"/>
        <v>13.163869645885562</v>
      </c>
      <c r="E139" s="4">
        <f t="shared" si="100"/>
        <v>-4.4398801724970847</v>
      </c>
      <c r="F139" s="4">
        <f t="shared" si="101"/>
        <v>-286.63223470167827</v>
      </c>
      <c r="G139" s="4">
        <f t="shared" si="102"/>
        <v>-286.63223470167827</v>
      </c>
      <c r="H139" s="4" t="str">
        <f t="shared" si="104"/>
        <v>V</v>
      </c>
      <c r="I139" s="4">
        <f t="shared" si="105"/>
        <v>0</v>
      </c>
      <c r="J139" s="4">
        <f t="shared" si="106"/>
        <v>0</v>
      </c>
      <c r="K139" s="4">
        <f t="shared" si="107"/>
        <v>0</v>
      </c>
      <c r="L139" s="4">
        <f t="shared" si="108"/>
        <v>0</v>
      </c>
      <c r="M139" s="4">
        <f t="shared" si="109"/>
        <v>0</v>
      </c>
      <c r="N139" s="4">
        <f t="shared" si="110"/>
        <v>0</v>
      </c>
      <c r="O139" s="4">
        <f t="shared" si="111"/>
        <v>0</v>
      </c>
      <c r="P139" s="31">
        <f t="shared" si="112"/>
        <v>0</v>
      </c>
      <c r="Q139" s="31">
        <f t="shared" si="113"/>
        <v>0</v>
      </c>
      <c r="R139" s="31">
        <f t="shared" si="114"/>
        <v>0</v>
      </c>
      <c r="U139" t="e">
        <f t="shared" si="115"/>
        <v>#N/A</v>
      </c>
      <c r="V139" t="e">
        <f t="shared" si="116"/>
        <v>#N/A</v>
      </c>
      <c r="W139" s="9" t="str">
        <f t="shared" si="117"/>
        <v/>
      </c>
      <c r="X139" t="e">
        <f t="shared" si="118"/>
        <v>#N/A</v>
      </c>
      <c r="Y139" t="e">
        <f t="shared" si="119"/>
        <v>#N/A</v>
      </c>
      <c r="AA139" s="4" t="e">
        <f t="shared" si="120"/>
        <v>#N/A</v>
      </c>
      <c r="AB139" s="4" t="e">
        <f t="shared" si="121"/>
        <v>#N/A</v>
      </c>
      <c r="AD139" t="e">
        <f t="shared" si="122"/>
        <v>#N/A</v>
      </c>
      <c r="AE139" t="e">
        <f t="shared" si="123"/>
        <v>#N/A</v>
      </c>
      <c r="AF139" s="9" t="str">
        <f t="shared" si="124"/>
        <v/>
      </c>
      <c r="AG139" t="e">
        <f t="shared" si="125"/>
        <v>#N/A</v>
      </c>
      <c r="AH139" t="e">
        <f t="shared" si="126"/>
        <v>#N/A</v>
      </c>
      <c r="AI139" t="str">
        <f t="shared" si="127"/>
        <v/>
      </c>
      <c r="AJ139" t="e">
        <f t="shared" si="128"/>
        <v>#N/A</v>
      </c>
      <c r="AK139" t="e">
        <f t="shared" si="129"/>
        <v>#N/A</v>
      </c>
      <c r="AM139" s="4" t="e">
        <f t="shared" si="130"/>
        <v>#N/A</v>
      </c>
      <c r="AN139" s="4" t="e">
        <f t="shared" si="131"/>
        <v>#N/A</v>
      </c>
    </row>
    <row r="140" spans="1:40" ht="15.75" thickTop="1" x14ac:dyDescent="0.25">
      <c r="P140" s="4">
        <f>SUM(P132:P139)</f>
        <v>1356.6946710003976</v>
      </c>
      <c r="Q140" s="4">
        <f>SUM(Q132:Q139)</f>
        <v>9994.1086797172029</v>
      </c>
      <c r="R140" s="4">
        <f>SUM(R132:R139)</f>
        <v>-8009.1644698352784</v>
      </c>
      <c r="T140" t="str">
        <f>ROUND(P140,4)&amp;" kips"</f>
        <v>1356.6947 kips</v>
      </c>
      <c r="W140" s="9" t="str">
        <f t="shared" si="117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7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5.9034391753964002</v>
      </c>
      <c r="W142" s="9" t="str">
        <f t="shared" si="117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7.3665128148161445</v>
      </c>
      <c r="W143" s="9" t="str">
        <f t="shared" si="117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7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5"/>
        <v>xi' (in)</v>
      </c>
      <c r="V145" t="str">
        <f t="shared" si="116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13.163869645885562</v>
      </c>
      <c r="C146" s="9">
        <f>J84</f>
        <v>-4.4398801724970847</v>
      </c>
      <c r="D146" s="9">
        <f t="shared" ref="D146:E153" si="132">I85</f>
        <v>13.163869645885562</v>
      </c>
      <c r="E146">
        <f t="shared" si="132"/>
        <v>-4.4398801724970847</v>
      </c>
      <c r="F146" s="4">
        <f>($B$66/$B$65)*(C146-$B$125)</f>
        <v>-286.63223470167827</v>
      </c>
      <c r="G146" s="4">
        <f>($B$66/$B$65)*(E146-$B$125)</f>
        <v>-286.63223470167827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15"/>
        <v>#N/A</v>
      </c>
      <c r="V146" t="e">
        <f t="shared" si="116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3">(U146*COS(-1*$B$64))+(V146*SIN(-1*$B$64))</f>
        <v>#N/A</v>
      </c>
      <c r="Y146" t="e">
        <f t="shared" ref="Y146:Y153" si="134">(-1*U146*SIN(-1*$B$64))+(V146*COS(-1*$B$64))</f>
        <v>#N/A</v>
      </c>
      <c r="AA146" s="4" t="e">
        <f t="shared" ref="AA146:AA153" si="135">X146+$B$9</f>
        <v>#N/A</v>
      </c>
      <c r="AB146" s="4" t="e">
        <f t="shared" ref="AB146:AB153" si="136">Y146+$C$9</f>
        <v>#N/A</v>
      </c>
      <c r="AD146" t="e">
        <f t="shared" ref="AD146:AD153" si="137">IF(AND(J146=0,K146=0,L146=0,M146=0),NA(),L146)</f>
        <v>#N/A</v>
      </c>
      <c r="AE146" t="e">
        <f t="shared" ref="AE146:AE153" si="138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9">(AG146*COS(-1*$B$64))+(AH146*SIN(-1*$B$64))</f>
        <v>#N/A</v>
      </c>
      <c r="AK146" t="e">
        <f t="shared" ref="AK146:AK153" si="140">(-1*AG146*SIN(-1*$B$64))+(AH146*COS(-1*$B$64))</f>
        <v>#N/A</v>
      </c>
      <c r="AM146" s="4" t="e">
        <f t="shared" ref="AM146:AM153" si="141">AJ146+$B$9</f>
        <v>#N/A</v>
      </c>
      <c r="AN146" s="4" t="e">
        <f t="shared" ref="AN146:AN153" si="142">AK146+$C$9</f>
        <v>#N/A</v>
      </c>
    </row>
    <row r="147" spans="1:40" x14ac:dyDescent="0.25">
      <c r="A147" t="s">
        <v>70</v>
      </c>
      <c r="B147" s="9">
        <f t="shared" ref="B147:C153" si="143">D146</f>
        <v>13.163869645885562</v>
      </c>
      <c r="C147">
        <f t="shared" si="143"/>
        <v>-4.4398801724970847</v>
      </c>
      <c r="D147" s="9">
        <f t="shared" si="132"/>
        <v>13.163869645885562</v>
      </c>
      <c r="E147">
        <f t="shared" si="132"/>
        <v>-4.4398801724970847</v>
      </c>
      <c r="F147" s="4">
        <f t="shared" ref="F147:F153" si="144">($B$66/$B$65)*(C147-$B$125)</f>
        <v>-286.63223470167827</v>
      </c>
      <c r="G147" s="4">
        <f t="shared" ref="G147:G153" si="145">($B$66/$B$65)*(E147-$B$125)</f>
        <v>-286.63223470167827</v>
      </c>
      <c r="H147" s="4" t="str">
        <f t="shared" ref="H147:H153" si="146">IF(B147=D147,"V",(C147-E147)/(B147-D147))</f>
        <v>V</v>
      </c>
      <c r="I147" s="4">
        <f t="shared" ref="I147:I153" si="147">IF(H147="V",0,(-1*B147*H147)+C147)</f>
        <v>0</v>
      </c>
      <c r="J147" s="4">
        <f t="shared" ref="J147:J153" si="148">IF($F147&gt;=0,B147,IF(AND($F147&lt;0,$G147&gt;=0),IF(H147="V",B147,($B$125-I147)/H147),0))</f>
        <v>0</v>
      </c>
      <c r="K147" s="4">
        <f t="shared" ref="K147:K153" si="149">IF($F147&gt;=0,C147,IF(AND($F147&lt;0,$G147&gt;=0),$B$125,0))</f>
        <v>0</v>
      </c>
      <c r="L147" s="4">
        <f t="shared" ref="L147:L153" si="150">IF($G147&gt;=0,D147,IF(AND($G147&lt;0,$F147&gt;=0),IF(H147="V",D147,($B$125-I147)/H147),0))</f>
        <v>0</v>
      </c>
      <c r="M147" s="4">
        <f t="shared" ref="M147:M153" si="151">IF($G147&gt;=0,E147,IF(AND($G147&lt;0,$F147&gt;=0),$B$125,0))</f>
        <v>0</v>
      </c>
      <c r="N147" s="4">
        <f t="shared" ref="N147:N153" si="152">IF(F147&lt;0,0,F147)</f>
        <v>0</v>
      </c>
      <c r="O147" s="4">
        <f t="shared" ref="O147:O153" si="153">IF(G147&lt;0,0,G147)</f>
        <v>0</v>
      </c>
      <c r="P147" s="4">
        <f t="shared" ref="P147:P153" si="154">(1/6)*(M147-K147)*((N147*((2*J147)+L147))+(O147*(J147+(2*L147))))</f>
        <v>0</v>
      </c>
      <c r="Q147" s="4">
        <f t="shared" ref="Q147:Q153" si="155">((1/12)*(M147-K147)*(N147*J147*((3*K147)+M147)+N147*L147*(K147+M147)+O147*J147*(K147+M147)+O147*L147*(K147+(3*M147))))</f>
        <v>0</v>
      </c>
      <c r="R147" s="4">
        <f t="shared" ref="R147:R153" si="156">((-1/24)*(M147-K147)*(J147*J147*((3*N147)+O147)+2*J147*L147*(N147+O147)+L147*L147*(N147+(3*O147))))</f>
        <v>0</v>
      </c>
      <c r="U147" t="e">
        <f t="shared" si="115"/>
        <v>#N/A</v>
      </c>
      <c r="V147" t="e">
        <f t="shared" si="116"/>
        <v>#N/A</v>
      </c>
      <c r="W147" s="9" t="str">
        <f t="shared" ref="W147:W153" si="157">IF($D$34=0,"",IF(AND(J147=0,K147=0,L147=0,M147=0),"",CHAR(10)&amp;CHAR(10)&amp;-1*ROUND(N147,4)&amp;" ksi"))</f>
        <v/>
      </c>
      <c r="X147" t="e">
        <f t="shared" si="133"/>
        <v>#N/A</v>
      </c>
      <c r="Y147" t="e">
        <f t="shared" si="134"/>
        <v>#N/A</v>
      </c>
      <c r="AA147" s="4" t="e">
        <f t="shared" si="135"/>
        <v>#N/A</v>
      </c>
      <c r="AB147" s="4" t="e">
        <f t="shared" si="136"/>
        <v>#N/A</v>
      </c>
      <c r="AD147" t="e">
        <f t="shared" si="137"/>
        <v>#N/A</v>
      </c>
      <c r="AE147" t="e">
        <f t="shared" si="138"/>
        <v>#N/A</v>
      </c>
      <c r="AF147" s="9" t="str">
        <f t="shared" ref="AF147:AF153" si="158">IF(AND(J147=0,K147=0,L147=0,M147=0),"",CHAR(10)&amp;CHAR(10)&amp;-1*ROUND(O147,4)&amp;" ksi")</f>
        <v/>
      </c>
      <c r="AG147" t="e">
        <f t="shared" ref="AG147:AG153" si="159">IF(COUNTIF($U$146:$U$153,AD147)&gt;0,NA(),AD147)</f>
        <v>#N/A</v>
      </c>
      <c r="AH147" t="e">
        <f t="shared" ref="AH147:AH153" si="160">IF(AND(COUNTIF($V$146:$V$153,AE147)&gt;0,AF147&lt;&gt;CHAR(10)&amp;CHAR(10)&amp;"0 ksi"),NA(),AE147)</f>
        <v>#N/A</v>
      </c>
      <c r="AI147" t="str">
        <f t="shared" ref="AI147:AI153" si="161">IF(COUNTIF($U$146:$U$153,AD147)&gt;0,"",AF147)</f>
        <v/>
      </c>
      <c r="AJ147" t="e">
        <f t="shared" si="139"/>
        <v>#N/A</v>
      </c>
      <c r="AK147" t="e">
        <f t="shared" si="140"/>
        <v>#N/A</v>
      </c>
      <c r="AM147" s="4" t="e">
        <f t="shared" si="141"/>
        <v>#N/A</v>
      </c>
      <c r="AN147" s="4" t="e">
        <f t="shared" si="142"/>
        <v>#N/A</v>
      </c>
    </row>
    <row r="148" spans="1:40" x14ac:dyDescent="0.25">
      <c r="A148" t="s">
        <v>71</v>
      </c>
      <c r="B148" s="9">
        <f t="shared" si="143"/>
        <v>13.163869645885562</v>
      </c>
      <c r="C148">
        <f t="shared" si="143"/>
        <v>-4.4398801724970847</v>
      </c>
      <c r="D148" s="9">
        <f t="shared" si="132"/>
        <v>13.163869645885562</v>
      </c>
      <c r="E148">
        <f t="shared" si="132"/>
        <v>-4.4398801724970847</v>
      </c>
      <c r="F148" s="4">
        <f t="shared" si="144"/>
        <v>-286.63223470167827</v>
      </c>
      <c r="G148" s="4">
        <f t="shared" si="145"/>
        <v>-286.63223470167827</v>
      </c>
      <c r="H148" s="4" t="str">
        <f t="shared" si="146"/>
        <v>V</v>
      </c>
      <c r="I148" s="4">
        <f t="shared" si="147"/>
        <v>0</v>
      </c>
      <c r="J148" s="4">
        <f t="shared" si="148"/>
        <v>0</v>
      </c>
      <c r="K148" s="4">
        <f t="shared" si="149"/>
        <v>0</v>
      </c>
      <c r="L148" s="4">
        <f t="shared" si="150"/>
        <v>0</v>
      </c>
      <c r="M148" s="4">
        <f t="shared" si="151"/>
        <v>0</v>
      </c>
      <c r="N148" s="4">
        <f t="shared" si="152"/>
        <v>0</v>
      </c>
      <c r="O148" s="4">
        <f t="shared" si="153"/>
        <v>0</v>
      </c>
      <c r="P148" s="4">
        <f t="shared" si="154"/>
        <v>0</v>
      </c>
      <c r="Q148" s="4">
        <f t="shared" si="155"/>
        <v>0</v>
      </c>
      <c r="R148" s="4">
        <f t="shared" si="156"/>
        <v>0</v>
      </c>
      <c r="U148" t="e">
        <f t="shared" si="115"/>
        <v>#N/A</v>
      </c>
      <c r="V148" t="e">
        <f t="shared" si="116"/>
        <v>#N/A</v>
      </c>
      <c r="W148" s="9" t="str">
        <f t="shared" si="157"/>
        <v/>
      </c>
      <c r="X148" t="e">
        <f t="shared" si="133"/>
        <v>#N/A</v>
      </c>
      <c r="Y148" t="e">
        <f t="shared" si="134"/>
        <v>#N/A</v>
      </c>
      <c r="AA148" s="4" t="e">
        <f t="shared" si="135"/>
        <v>#N/A</v>
      </c>
      <c r="AB148" s="4" t="e">
        <f t="shared" si="136"/>
        <v>#N/A</v>
      </c>
      <c r="AD148" t="e">
        <f t="shared" si="137"/>
        <v>#N/A</v>
      </c>
      <c r="AE148" t="e">
        <f t="shared" si="138"/>
        <v>#N/A</v>
      </c>
      <c r="AF148" s="9" t="str">
        <f t="shared" si="158"/>
        <v/>
      </c>
      <c r="AG148" t="e">
        <f t="shared" si="159"/>
        <v>#N/A</v>
      </c>
      <c r="AH148" t="e">
        <f t="shared" si="160"/>
        <v>#N/A</v>
      </c>
      <c r="AI148" t="str">
        <f t="shared" si="161"/>
        <v/>
      </c>
      <c r="AJ148" t="e">
        <f t="shared" si="139"/>
        <v>#N/A</v>
      </c>
      <c r="AK148" t="e">
        <f t="shared" si="140"/>
        <v>#N/A</v>
      </c>
      <c r="AM148" s="4" t="e">
        <f t="shared" si="141"/>
        <v>#N/A</v>
      </c>
      <c r="AN148" s="4" t="e">
        <f t="shared" si="142"/>
        <v>#N/A</v>
      </c>
    </row>
    <row r="149" spans="1:40" x14ac:dyDescent="0.25">
      <c r="A149" t="s">
        <v>72</v>
      </c>
      <c r="B149" s="9">
        <f t="shared" si="143"/>
        <v>13.163869645885562</v>
      </c>
      <c r="C149">
        <f t="shared" si="143"/>
        <v>-4.4398801724970847</v>
      </c>
      <c r="D149" s="9">
        <f t="shared" si="132"/>
        <v>13.163869645885562</v>
      </c>
      <c r="E149">
        <f t="shared" si="132"/>
        <v>-4.4398801724970847</v>
      </c>
      <c r="F149" s="4">
        <f t="shared" si="144"/>
        <v>-286.63223470167827</v>
      </c>
      <c r="G149" s="4">
        <f t="shared" si="145"/>
        <v>-286.63223470167827</v>
      </c>
      <c r="H149" s="4" t="str">
        <f t="shared" si="146"/>
        <v>V</v>
      </c>
      <c r="I149" s="4">
        <f t="shared" si="147"/>
        <v>0</v>
      </c>
      <c r="J149" s="4">
        <f t="shared" si="148"/>
        <v>0</v>
      </c>
      <c r="K149" s="4">
        <f t="shared" si="149"/>
        <v>0</v>
      </c>
      <c r="L149" s="4">
        <f t="shared" si="150"/>
        <v>0</v>
      </c>
      <c r="M149" s="4">
        <f t="shared" si="151"/>
        <v>0</v>
      </c>
      <c r="N149" s="4">
        <f t="shared" si="152"/>
        <v>0</v>
      </c>
      <c r="O149" s="4">
        <f t="shared" si="153"/>
        <v>0</v>
      </c>
      <c r="P149" s="4">
        <f t="shared" si="154"/>
        <v>0</v>
      </c>
      <c r="Q149" s="4">
        <f t="shared" si="155"/>
        <v>0</v>
      </c>
      <c r="R149" s="4">
        <f t="shared" si="156"/>
        <v>0</v>
      </c>
      <c r="U149" t="e">
        <f t="shared" si="115"/>
        <v>#N/A</v>
      </c>
      <c r="V149" t="e">
        <f t="shared" si="116"/>
        <v>#N/A</v>
      </c>
      <c r="W149" s="9" t="str">
        <f t="shared" si="157"/>
        <v/>
      </c>
      <c r="X149" t="e">
        <f t="shared" si="133"/>
        <v>#N/A</v>
      </c>
      <c r="Y149" t="e">
        <f t="shared" si="134"/>
        <v>#N/A</v>
      </c>
      <c r="AA149" s="4" t="e">
        <f t="shared" si="135"/>
        <v>#N/A</v>
      </c>
      <c r="AB149" s="4" t="e">
        <f t="shared" si="136"/>
        <v>#N/A</v>
      </c>
      <c r="AD149" t="e">
        <f t="shared" si="137"/>
        <v>#N/A</v>
      </c>
      <c r="AE149" t="e">
        <f t="shared" si="138"/>
        <v>#N/A</v>
      </c>
      <c r="AF149" s="9" t="str">
        <f t="shared" si="158"/>
        <v/>
      </c>
      <c r="AG149" t="e">
        <f t="shared" si="159"/>
        <v>#N/A</v>
      </c>
      <c r="AH149" t="e">
        <f t="shared" si="160"/>
        <v>#N/A</v>
      </c>
      <c r="AI149" t="str">
        <f t="shared" si="161"/>
        <v/>
      </c>
      <c r="AJ149" t="e">
        <f t="shared" si="139"/>
        <v>#N/A</v>
      </c>
      <c r="AK149" t="e">
        <f t="shared" si="140"/>
        <v>#N/A</v>
      </c>
      <c r="AM149" s="4" t="e">
        <f t="shared" si="141"/>
        <v>#N/A</v>
      </c>
      <c r="AN149" s="4" t="e">
        <f t="shared" si="142"/>
        <v>#N/A</v>
      </c>
    </row>
    <row r="150" spans="1:40" x14ac:dyDescent="0.25">
      <c r="A150" t="s">
        <v>73</v>
      </c>
      <c r="B150" s="9">
        <f t="shared" si="143"/>
        <v>13.163869645885562</v>
      </c>
      <c r="C150">
        <f t="shared" si="143"/>
        <v>-4.4398801724970847</v>
      </c>
      <c r="D150" s="9">
        <f t="shared" si="132"/>
        <v>13.163869645885562</v>
      </c>
      <c r="E150">
        <f t="shared" si="132"/>
        <v>-4.4398801724970847</v>
      </c>
      <c r="F150" s="4">
        <f t="shared" si="144"/>
        <v>-286.63223470167827</v>
      </c>
      <c r="G150" s="4">
        <f t="shared" si="145"/>
        <v>-286.63223470167827</v>
      </c>
      <c r="H150" s="4" t="str">
        <f t="shared" si="146"/>
        <v>V</v>
      </c>
      <c r="I150" s="4">
        <f t="shared" si="147"/>
        <v>0</v>
      </c>
      <c r="J150" s="4">
        <f t="shared" si="148"/>
        <v>0</v>
      </c>
      <c r="K150" s="4">
        <f t="shared" si="149"/>
        <v>0</v>
      </c>
      <c r="L150" s="4">
        <f t="shared" si="150"/>
        <v>0</v>
      </c>
      <c r="M150" s="4">
        <f t="shared" si="151"/>
        <v>0</v>
      </c>
      <c r="N150" s="4">
        <f t="shared" si="152"/>
        <v>0</v>
      </c>
      <c r="O150" s="4">
        <f t="shared" si="153"/>
        <v>0</v>
      </c>
      <c r="P150" s="4">
        <f t="shared" si="154"/>
        <v>0</v>
      </c>
      <c r="Q150" s="4">
        <f t="shared" si="155"/>
        <v>0</v>
      </c>
      <c r="R150" s="4">
        <f t="shared" si="156"/>
        <v>0</v>
      </c>
      <c r="U150" t="e">
        <f t="shared" si="115"/>
        <v>#N/A</v>
      </c>
      <c r="V150" t="e">
        <f t="shared" si="116"/>
        <v>#N/A</v>
      </c>
      <c r="W150" s="9" t="str">
        <f t="shared" si="157"/>
        <v/>
      </c>
      <c r="X150" t="e">
        <f t="shared" si="133"/>
        <v>#N/A</v>
      </c>
      <c r="Y150" t="e">
        <f t="shared" si="134"/>
        <v>#N/A</v>
      </c>
      <c r="AA150" s="4" t="e">
        <f t="shared" si="135"/>
        <v>#N/A</v>
      </c>
      <c r="AB150" s="4" t="e">
        <f t="shared" si="136"/>
        <v>#N/A</v>
      </c>
      <c r="AD150" t="e">
        <f t="shared" si="137"/>
        <v>#N/A</v>
      </c>
      <c r="AE150" t="e">
        <f t="shared" si="138"/>
        <v>#N/A</v>
      </c>
      <c r="AF150" s="9" t="str">
        <f t="shared" si="158"/>
        <v/>
      </c>
      <c r="AG150" t="e">
        <f t="shared" si="159"/>
        <v>#N/A</v>
      </c>
      <c r="AH150" t="e">
        <f t="shared" si="160"/>
        <v>#N/A</v>
      </c>
      <c r="AI150" t="str">
        <f t="shared" si="161"/>
        <v/>
      </c>
      <c r="AJ150" t="e">
        <f t="shared" si="139"/>
        <v>#N/A</v>
      </c>
      <c r="AK150" t="e">
        <f t="shared" si="140"/>
        <v>#N/A</v>
      </c>
      <c r="AM150" s="4" t="e">
        <f t="shared" si="141"/>
        <v>#N/A</v>
      </c>
      <c r="AN150" s="4" t="e">
        <f t="shared" si="142"/>
        <v>#N/A</v>
      </c>
    </row>
    <row r="151" spans="1:40" x14ac:dyDescent="0.25">
      <c r="A151" t="s">
        <v>74</v>
      </c>
      <c r="B151" s="9">
        <f t="shared" si="143"/>
        <v>13.163869645885562</v>
      </c>
      <c r="C151">
        <f t="shared" si="143"/>
        <v>-4.4398801724970847</v>
      </c>
      <c r="D151" s="9">
        <f t="shared" si="132"/>
        <v>13.163869645885562</v>
      </c>
      <c r="E151">
        <f t="shared" si="132"/>
        <v>-4.4398801724970847</v>
      </c>
      <c r="F151" s="4">
        <f t="shared" si="144"/>
        <v>-286.63223470167827</v>
      </c>
      <c r="G151" s="4">
        <f t="shared" si="145"/>
        <v>-286.63223470167827</v>
      </c>
      <c r="H151" s="4" t="str">
        <f t="shared" si="146"/>
        <v>V</v>
      </c>
      <c r="I151" s="4">
        <f t="shared" si="147"/>
        <v>0</v>
      </c>
      <c r="J151" s="4">
        <f t="shared" si="148"/>
        <v>0</v>
      </c>
      <c r="K151" s="4">
        <f t="shared" si="149"/>
        <v>0</v>
      </c>
      <c r="L151" s="4">
        <f t="shared" si="150"/>
        <v>0</v>
      </c>
      <c r="M151" s="4">
        <f t="shared" si="151"/>
        <v>0</v>
      </c>
      <c r="N151" s="4">
        <f t="shared" si="152"/>
        <v>0</v>
      </c>
      <c r="O151" s="4">
        <f t="shared" si="153"/>
        <v>0</v>
      </c>
      <c r="P151" s="4">
        <f t="shared" si="154"/>
        <v>0</v>
      </c>
      <c r="Q151" s="4">
        <f t="shared" si="155"/>
        <v>0</v>
      </c>
      <c r="R151" s="4">
        <f t="shared" si="156"/>
        <v>0</v>
      </c>
      <c r="U151" t="e">
        <f t="shared" si="115"/>
        <v>#N/A</v>
      </c>
      <c r="V151" t="e">
        <f t="shared" si="116"/>
        <v>#N/A</v>
      </c>
      <c r="W151" s="9" t="str">
        <f t="shared" si="157"/>
        <v/>
      </c>
      <c r="X151" t="e">
        <f t="shared" si="133"/>
        <v>#N/A</v>
      </c>
      <c r="Y151" t="e">
        <f t="shared" si="134"/>
        <v>#N/A</v>
      </c>
      <c r="AA151" s="4" t="e">
        <f t="shared" si="135"/>
        <v>#N/A</v>
      </c>
      <c r="AB151" s="4" t="e">
        <f t="shared" si="136"/>
        <v>#N/A</v>
      </c>
      <c r="AD151" t="e">
        <f t="shared" si="137"/>
        <v>#N/A</v>
      </c>
      <c r="AE151" t="e">
        <f t="shared" si="138"/>
        <v>#N/A</v>
      </c>
      <c r="AF151" s="9" t="str">
        <f t="shared" si="158"/>
        <v/>
      </c>
      <c r="AG151" t="e">
        <f t="shared" si="159"/>
        <v>#N/A</v>
      </c>
      <c r="AH151" t="e">
        <f t="shared" si="160"/>
        <v>#N/A</v>
      </c>
      <c r="AI151" t="str">
        <f t="shared" si="161"/>
        <v/>
      </c>
      <c r="AJ151" t="e">
        <f t="shared" si="139"/>
        <v>#N/A</v>
      </c>
      <c r="AK151" t="e">
        <f t="shared" si="140"/>
        <v>#N/A</v>
      </c>
      <c r="AM151" s="4" t="e">
        <f t="shared" si="141"/>
        <v>#N/A</v>
      </c>
      <c r="AN151" s="4" t="e">
        <f t="shared" si="142"/>
        <v>#N/A</v>
      </c>
    </row>
    <row r="152" spans="1:40" x14ac:dyDescent="0.25">
      <c r="A152" t="s">
        <v>75</v>
      </c>
      <c r="B152" s="9">
        <f t="shared" si="143"/>
        <v>13.163869645885562</v>
      </c>
      <c r="C152">
        <f t="shared" si="143"/>
        <v>-4.4398801724970847</v>
      </c>
      <c r="D152" s="9">
        <f t="shared" si="132"/>
        <v>13.163869645885562</v>
      </c>
      <c r="E152">
        <f t="shared" si="132"/>
        <v>-4.4398801724970847</v>
      </c>
      <c r="F152" s="4">
        <f t="shared" si="144"/>
        <v>-286.63223470167827</v>
      </c>
      <c r="G152" s="4">
        <f t="shared" si="145"/>
        <v>-286.63223470167827</v>
      </c>
      <c r="H152" s="4" t="str">
        <f t="shared" si="146"/>
        <v>V</v>
      </c>
      <c r="I152" s="4">
        <f t="shared" si="147"/>
        <v>0</v>
      </c>
      <c r="J152" s="4">
        <f t="shared" si="148"/>
        <v>0</v>
      </c>
      <c r="K152" s="4">
        <f t="shared" si="149"/>
        <v>0</v>
      </c>
      <c r="L152" s="4">
        <f t="shared" si="150"/>
        <v>0</v>
      </c>
      <c r="M152" s="4">
        <f t="shared" si="151"/>
        <v>0</v>
      </c>
      <c r="N152" s="4">
        <f t="shared" si="152"/>
        <v>0</v>
      </c>
      <c r="O152" s="4">
        <f t="shared" si="153"/>
        <v>0</v>
      </c>
      <c r="P152" s="4">
        <f t="shared" si="154"/>
        <v>0</v>
      </c>
      <c r="Q152" s="4">
        <f t="shared" si="155"/>
        <v>0</v>
      </c>
      <c r="R152" s="4">
        <f t="shared" si="156"/>
        <v>0</v>
      </c>
      <c r="U152" t="e">
        <f t="shared" si="115"/>
        <v>#N/A</v>
      </c>
      <c r="V152" t="e">
        <f t="shared" si="116"/>
        <v>#N/A</v>
      </c>
      <c r="W152" s="9" t="str">
        <f t="shared" si="157"/>
        <v/>
      </c>
      <c r="X152" t="e">
        <f t="shared" si="133"/>
        <v>#N/A</v>
      </c>
      <c r="Y152" t="e">
        <f t="shared" si="134"/>
        <v>#N/A</v>
      </c>
      <c r="AA152" s="4" t="e">
        <f t="shared" si="135"/>
        <v>#N/A</v>
      </c>
      <c r="AB152" s="4" t="e">
        <f t="shared" si="136"/>
        <v>#N/A</v>
      </c>
      <c r="AD152" t="e">
        <f t="shared" si="137"/>
        <v>#N/A</v>
      </c>
      <c r="AE152" t="e">
        <f t="shared" si="138"/>
        <v>#N/A</v>
      </c>
      <c r="AF152" s="9" t="str">
        <f t="shared" si="158"/>
        <v/>
      </c>
      <c r="AG152" t="e">
        <f t="shared" si="159"/>
        <v>#N/A</v>
      </c>
      <c r="AH152" t="e">
        <f t="shared" si="160"/>
        <v>#N/A</v>
      </c>
      <c r="AI152" t="str">
        <f t="shared" si="161"/>
        <v/>
      </c>
      <c r="AJ152" t="e">
        <f t="shared" si="139"/>
        <v>#N/A</v>
      </c>
      <c r="AK152" t="e">
        <f t="shared" si="140"/>
        <v>#N/A</v>
      </c>
      <c r="AM152" s="4" t="e">
        <f t="shared" si="141"/>
        <v>#N/A</v>
      </c>
      <c r="AN152" s="4" t="e">
        <f t="shared" si="142"/>
        <v>#N/A</v>
      </c>
    </row>
    <row r="153" spans="1:40" ht="15.75" thickBot="1" x14ac:dyDescent="0.3">
      <c r="A153" t="s">
        <v>134</v>
      </c>
      <c r="B153" s="9">
        <f t="shared" si="143"/>
        <v>13.163869645885562</v>
      </c>
      <c r="C153">
        <f t="shared" si="143"/>
        <v>-4.4398801724970847</v>
      </c>
      <c r="D153" s="9">
        <f t="shared" si="132"/>
        <v>13.163869645885562</v>
      </c>
      <c r="E153">
        <f t="shared" si="132"/>
        <v>-4.4398801724970847</v>
      </c>
      <c r="F153" s="4">
        <f t="shared" si="144"/>
        <v>-286.63223470167827</v>
      </c>
      <c r="G153" s="4">
        <f t="shared" si="145"/>
        <v>-286.63223470167827</v>
      </c>
      <c r="H153" s="4" t="str">
        <f t="shared" si="146"/>
        <v>V</v>
      </c>
      <c r="I153" s="4">
        <f t="shared" si="147"/>
        <v>0</v>
      </c>
      <c r="J153" s="4">
        <f t="shared" si="148"/>
        <v>0</v>
      </c>
      <c r="K153" s="4">
        <f t="shared" si="149"/>
        <v>0</v>
      </c>
      <c r="L153" s="4">
        <f t="shared" si="150"/>
        <v>0</v>
      </c>
      <c r="M153" s="4">
        <f t="shared" si="151"/>
        <v>0</v>
      </c>
      <c r="N153" s="4">
        <f t="shared" si="152"/>
        <v>0</v>
      </c>
      <c r="O153" s="4">
        <f t="shared" si="153"/>
        <v>0</v>
      </c>
      <c r="P153" s="22">
        <f t="shared" si="154"/>
        <v>0</v>
      </c>
      <c r="Q153" s="22">
        <f t="shared" si="155"/>
        <v>0</v>
      </c>
      <c r="R153" s="22">
        <f t="shared" si="156"/>
        <v>0</v>
      </c>
      <c r="U153" t="e">
        <f t="shared" si="115"/>
        <v>#N/A</v>
      </c>
      <c r="V153" t="e">
        <f t="shared" si="116"/>
        <v>#N/A</v>
      </c>
      <c r="W153" s="9" t="str">
        <f t="shared" si="157"/>
        <v/>
      </c>
      <c r="X153" t="e">
        <f t="shared" si="133"/>
        <v>#N/A</v>
      </c>
      <c r="Y153" t="e">
        <f t="shared" si="134"/>
        <v>#N/A</v>
      </c>
      <c r="AA153" s="4" t="e">
        <f t="shared" si="135"/>
        <v>#N/A</v>
      </c>
      <c r="AB153" s="4" t="e">
        <f t="shared" si="136"/>
        <v>#N/A</v>
      </c>
      <c r="AD153" t="e">
        <f t="shared" si="137"/>
        <v>#N/A</v>
      </c>
      <c r="AE153" t="e">
        <f t="shared" si="138"/>
        <v>#N/A</v>
      </c>
      <c r="AF153" s="9" t="str">
        <f t="shared" si="158"/>
        <v/>
      </c>
      <c r="AG153" t="e">
        <f t="shared" si="159"/>
        <v>#N/A</v>
      </c>
      <c r="AH153" t="e">
        <f t="shared" si="160"/>
        <v>#N/A</v>
      </c>
      <c r="AI153" t="str">
        <f t="shared" si="161"/>
        <v/>
      </c>
      <c r="AJ153" t="e">
        <f t="shared" si="139"/>
        <v>#N/A</v>
      </c>
      <c r="AK153" t="e">
        <f t="shared" si="140"/>
        <v>#N/A</v>
      </c>
      <c r="AM153" s="4" t="e">
        <f t="shared" si="141"/>
        <v>#N/A</v>
      </c>
      <c r="AN153" s="4" t="e">
        <f t="shared" si="142"/>
        <v>#N/A</v>
      </c>
    </row>
    <row r="154" spans="1:40" ht="15.75" thickTop="1" x14ac:dyDescent="0.25">
      <c r="P154" s="4">
        <f>SUM(P146:P153)</f>
        <v>0</v>
      </c>
      <c r="Q154" s="4">
        <f t="shared" ref="Q154:R154" si="162">SUM(Q146:Q153)</f>
        <v>0</v>
      </c>
      <c r="R154" s="4">
        <f t="shared" si="162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-3.3328895199247199E-13</v>
      </c>
      <c r="C159" t="s">
        <v>36</v>
      </c>
    </row>
    <row r="160" spans="1:40" x14ac:dyDescent="0.25">
      <c r="A160" s="1" t="s">
        <v>106</v>
      </c>
      <c r="B160" s="4">
        <f>Q140+I122+Q154-O122</f>
        <v>14170.826263793166</v>
      </c>
      <c r="C160" t="s">
        <v>102</v>
      </c>
    </row>
    <row r="161" spans="1:9" x14ac:dyDescent="0.25">
      <c r="A161" s="1" t="s">
        <v>107</v>
      </c>
      <c r="B161" s="4">
        <f>R140+J122+R154-P122</f>
        <v>-9337.434497836628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-3.3328895199247199E-13</v>
      </c>
      <c r="C164" t="s">
        <v>36</v>
      </c>
      <c r="E164" s="8">
        <f>B2-B164</f>
        <v>3.3328895199247199E-13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-12000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-11999.999999999989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110.41592773474508</v>
      </c>
      <c r="B169" s="1">
        <f ca="1">IF(E122=0,0,(MIN(H110:H121)*B65)/(B55*B56*E122))</f>
        <v>-110.41592773474508</v>
      </c>
      <c r="C169" s="3">
        <f ca="1">A169+B169</f>
        <v>0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6.6888338171635032E-8</v>
      </c>
      <c r="C175" s="27">
        <f>B65*SQRT(I175)</f>
        <v>5.6563616511904844E-8</v>
      </c>
      <c r="D175" s="27">
        <f>B66*SQRT(I175)</f>
        <v>1.637732872435361E-6</v>
      </c>
      <c r="E175" s="27">
        <f>IF(B67=0,SQRT(I175),B67*SQRT(I175))</f>
        <v>5.1163977854210945E-6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4.5096109064594554</v>
      </c>
      <c r="C176" s="3">
        <f>B65+C175</f>
        <v>3.813518303838598</v>
      </c>
      <c r="D176" s="3">
        <f>D175+B66</f>
        <v>110.41592937247796</v>
      </c>
      <c r="E176" s="3">
        <f>B67+E175</f>
        <v>344.94747344021164</v>
      </c>
      <c r="F176" s="16" t="s">
        <v>125</v>
      </c>
    </row>
    <row r="177" spans="1:31" x14ac:dyDescent="0.25">
      <c r="B177" s="27">
        <f>B176-B64</f>
        <v>6.6888338423609639E-8</v>
      </c>
      <c r="C177" s="27">
        <f>C176-B65</f>
        <v>5.6563616457339094E-8</v>
      </c>
      <c r="D177" s="27">
        <f>D176-B66</f>
        <v>1.6377328790895263E-6</v>
      </c>
      <c r="E177" s="27">
        <f>E176-B67</f>
        <v>5.1163978014301392E-6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3">C177=C175</f>
        <v>0</v>
      </c>
      <c r="D178" t="b">
        <f t="shared" si="163"/>
        <v>0</v>
      </c>
      <c r="E178" t="b">
        <f>E177=E175</f>
        <v>0</v>
      </c>
      <c r="F178" s="16" t="s">
        <v>124</v>
      </c>
      <c r="G178" t="s">
        <v>210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-12.269481071258726</v>
      </c>
      <c r="B180" s="25">
        <f>(d_sigma_p!E165-d_sigma_m!E165)/(2*'Rigid Bearing Plate Analysis'!D177)</f>
        <v>-89.119873185874653</v>
      </c>
      <c r="C180" s="25">
        <f>(d_sigma_p!E166-d_sigma_m!E166)/(2*'Rigid Bearing Plate Analysis'!D177)</f>
        <v>-73.979975392642359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-6559.7945061938608</v>
      </c>
      <c r="B181" s="25">
        <f>(d_alpha_p!E165-d_alpha_m!E165)/(2*B177)</f>
        <v>-6555.0905314641668</v>
      </c>
      <c r="C181" s="25">
        <f>(d_alpha_p!E166-d_alpha_m!E166)/(2*B177)</f>
        <v>-45081.880532852301</v>
      </c>
      <c r="D181" s="25">
        <f ca="1">(d_alpha_p!C169-d_alpha_m!C169)/(2*B177)</f>
        <v>-181.10481910307976</v>
      </c>
    </row>
    <row r="182" spans="1:31" x14ac:dyDescent="0.25">
      <c r="A182" s="25">
        <f>(d_Y_p!E164-d_Y_m!E164)/(2*C177)</f>
        <v>-799.54898912334431</v>
      </c>
      <c r="B182" s="25">
        <f>(d_Y_p!E165-d_Y_m!E165)/(2*C177)</f>
        <v>-3341.1804767343028</v>
      </c>
      <c r="C182" s="25">
        <f>(d_Y_p!E166-d_Y_m!E166)/(2*C177)</f>
        <v>-4134.1744514743868</v>
      </c>
      <c r="D182" s="25">
        <f ca="1">(d_Y_p!C169-d_Y_m!C169)/(2*C177)</f>
        <v>-38.820915713543435</v>
      </c>
    </row>
    <row r="183" spans="1:31" x14ac:dyDescent="0.25">
      <c r="A183" s="25">
        <f>(d_T_p!E164-d_T_m!E164)/(2*E177)</f>
        <v>3.9273983996777555</v>
      </c>
      <c r="B183" s="25">
        <f>(d_T_p!E165-d_T_m!E165)/(2*E177)</f>
        <v>-6.2610878322301167</v>
      </c>
      <c r="C183" s="25">
        <f>(d_T_p!E166-d_T_m!E166)/(2*E177)</f>
        <v>-11.107292010314302</v>
      </c>
      <c r="D183" s="25">
        <f ca="1">(d_T_p!C169-d_T_m!C169)/(2*E177)</f>
        <v>-0.32009490713011918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1.9255416027540932E-2</v>
      </c>
      <c r="B185" s="25">
        <f ca="1"/>
        <v>4.6802776055041649E-6</v>
      </c>
      <c r="C185" s="25">
        <f ca="1"/>
        <v>-8.1599887161638211E-4</v>
      </c>
      <c r="D185" s="25">
        <f ca="1"/>
        <v>0.15647115121219382</v>
      </c>
      <c r="F185" s="8">
        <f>-1*E164</f>
        <v>-3.3328895199247199E-13</v>
      </c>
      <c r="H185">
        <f t="array" aca="1" ref="H185:H188" ca="1">MMULT(A185:D188,F185:F188)</f>
        <v>-6.4176174279981653E-15</v>
      </c>
      <c r="J185" s="8">
        <f ca="1">$B$66+H185</f>
        <v>110.41592773474508</v>
      </c>
      <c r="K185" s="11" t="s">
        <v>115</v>
      </c>
      <c r="L185" s="8">
        <f ca="1">J186</f>
        <v>4.5096108395711187</v>
      </c>
      <c r="M185" s="11" t="s">
        <v>116</v>
      </c>
      <c r="N185" t="s">
        <v>143</v>
      </c>
    </row>
    <row r="186" spans="1:31" x14ac:dyDescent="0.25">
      <c r="A186" s="25">
        <f ca="1"/>
        <v>-5.2505581648568875E-3</v>
      </c>
      <c r="B186" s="25">
        <f ca="1"/>
        <v>2.9093334444725858E-5</v>
      </c>
      <c r="C186" s="25">
        <f ca="1"/>
        <v>-2.0025174894073281E-4</v>
      </c>
      <c r="D186" s="25">
        <f ca="1"/>
        <v>-8.5772841376087327E-3</v>
      </c>
      <c r="F186" s="8">
        <f>-1*E165</f>
        <v>0</v>
      </c>
      <c r="H186">
        <f ca="1"/>
        <v>1.7499530281406691E-15</v>
      </c>
      <c r="J186" s="8">
        <f ca="1">$B$64+H186</f>
        <v>4.5096108395711187</v>
      </c>
      <c r="K186" s="11" t="s">
        <v>116</v>
      </c>
      <c r="L186" s="8">
        <f ca="1">J187</f>
        <v>3.8135182472749829</v>
      </c>
      <c r="M186" s="1" t="s">
        <v>117</v>
      </c>
    </row>
    <row r="187" spans="1:31" x14ac:dyDescent="0.25">
      <c r="A187" s="25">
        <f ca="1"/>
        <v>-3.9507692468686182E-3</v>
      </c>
      <c r="B187" s="25">
        <f ca="1"/>
        <v>-2.9093334445312652E-5</v>
      </c>
      <c r="C187" s="25">
        <f ca="1"/>
        <v>2.0025174904303943E-4</v>
      </c>
      <c r="D187" s="25">
        <f ca="1"/>
        <v>-2.0168338521893658E-2</v>
      </c>
      <c r="F187" s="8">
        <f>-1*E166</f>
        <v>0</v>
      </c>
      <c r="H187">
        <f ca="1"/>
        <v>1.3167477418529297E-15</v>
      </c>
      <c r="J187" s="8">
        <f ca="1">$B$65+H187</f>
        <v>3.8135182472749829</v>
      </c>
      <c r="K187" s="1" t="s">
        <v>117</v>
      </c>
      <c r="L187" s="8">
        <f ca="1">J185</f>
        <v>110.41592773474508</v>
      </c>
      <c r="M187" s="11" t="s">
        <v>115</v>
      </c>
    </row>
    <row r="188" spans="1:31" x14ac:dyDescent="0.25">
      <c r="A188" s="25">
        <f ca="1"/>
        <v>0.47604707299667226</v>
      </c>
      <c r="B188" s="25">
        <f ca="1"/>
        <v>4.9789468740303263E-4</v>
      </c>
      <c r="C188" s="25">
        <f ca="1"/>
        <v>-1.3043673713775752E-2</v>
      </c>
      <c r="D188" s="25">
        <f ca="1"/>
        <v>-0.33663983418700449</v>
      </c>
      <c r="F188">
        <f ca="1">-1*C169</f>
        <v>0</v>
      </c>
      <c r="H188">
        <f ca="1"/>
        <v>-1.5866123005814472E-13</v>
      </c>
      <c r="J188" s="8">
        <f ca="1">$B$67+H188</f>
        <v>344.94746832381367</v>
      </c>
      <c r="K188" s="1" t="s">
        <v>118</v>
      </c>
      <c r="L188" s="8">
        <f ca="1">J188</f>
        <v>344.94746832381367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-12.269481071258726</v>
      </c>
      <c r="B190" s="25">
        <f>A181</f>
        <v>-6559.7945061938608</v>
      </c>
      <c r="C190" s="25">
        <f>A182</f>
        <v>-799.54898912334431</v>
      </c>
      <c r="D190" s="25">
        <f>A183</f>
        <v>3.9273983996777555</v>
      </c>
      <c r="F190" t="s">
        <v>119</v>
      </c>
      <c r="W190" s="25">
        <f>A190</f>
        <v>-12.269481071258726</v>
      </c>
      <c r="X190" s="25">
        <f t="shared" ref="X190:Z190" si="164">B190</f>
        <v>-6559.7945061938608</v>
      </c>
      <c r="Y190" s="25">
        <f t="shared" si="164"/>
        <v>-799.54898912334431</v>
      </c>
      <c r="Z190" s="25">
        <f t="shared" si="164"/>
        <v>3.9273983996777555</v>
      </c>
      <c r="AB190" s="25">
        <f>(d_sigma_p!E164-(2*'Rigid Bearing Plate Analysis'!E164)+d_sigma_m!E164)/POWER('Rigid Bearing Plate Analysis'!D177,2)</f>
        <v>-0.25456530308426462</v>
      </c>
      <c r="AC190" s="25">
        <f>(d_alpha_p!E164-(2*'Rigid Bearing Plate Analysis'!E164)+d_alpha_m!E164)/POWER('Rigid Bearing Plate Analysis'!B177,2)</f>
        <v>-65432.749357386463</v>
      </c>
      <c r="AD190" s="25">
        <f>(d_Y_p!E164-(2*'Rigid Bearing Plate Analysis'!E164)+d_Y_m!E164)/POWER('Rigid Bearing Plate Analysis'!C177,2)</f>
        <v>-641.1960747367707</v>
      </c>
      <c r="AE190" s="25">
        <f>(d_T_p!E164-(2*'Rigid Bearing Plate Analysis'!E164)+d_T_m!E164)/POWER('Rigid Bearing Plate Analysis'!E177,2)</f>
        <v>8.6858349954924835E-3</v>
      </c>
    </row>
    <row r="191" spans="1:31" x14ac:dyDescent="0.25">
      <c r="A191" s="25">
        <f>B180</f>
        <v>-89.119873185874653</v>
      </c>
      <c r="B191" s="25">
        <f>B181</f>
        <v>-6555.0905314641668</v>
      </c>
      <c r="C191" s="25">
        <f>B182</f>
        <v>-3341.1804767343028</v>
      </c>
      <c r="D191" s="25">
        <f>B183</f>
        <v>-6.2610878322301167</v>
      </c>
      <c r="F191" t="s">
        <v>120</v>
      </c>
      <c r="W191" s="25">
        <f t="shared" ref="W191:W193" si="165">A191</f>
        <v>-89.119873185874653</v>
      </c>
      <c r="X191" s="25">
        <f t="shared" ref="X191:X193" si="166">B191</f>
        <v>-6555.0905314641668</v>
      </c>
      <c r="Y191" s="25">
        <f t="shared" ref="Y191:Y193" si="167">C191</f>
        <v>-3341.1804767343028</v>
      </c>
      <c r="Z191" s="25">
        <f t="shared" ref="Z191:Z193" si="168">D191</f>
        <v>-6.2610878322301167</v>
      </c>
      <c r="AB191" s="25">
        <f>(d_sigma_p!E165-(2*'Rigid Bearing Plate Analysis'!E165)+d_sigma_m!E165)/POWER('Rigid Bearing Plate Analysis'!D177,2)</f>
        <v>0.67817852450936444</v>
      </c>
      <c r="AC191" s="25">
        <f>(d_alpha_p!E165-(2*'Rigid Bearing Plate Analysis'!E165)+d_alpha_m!E165)/POWER('Rigid Bearing Plate Analysis'!B177,2)</f>
        <v>161812.63334370873</v>
      </c>
      <c r="AD191" s="25">
        <f>(d_Y_p!E165-(2*'Rigid Bearing Plate Analysis'!E165)+d_Y_m!E165)/POWER('Rigid Bearing Plate Analysis'!C177,2)</f>
        <v>568.53320102214809</v>
      </c>
      <c r="AE191" s="25">
        <f>(d_T_p!E165-(2*'Rigid Bearing Plate Analysis'!E165)+d_T_m!E165)/POWER('Rigid Bearing Plate Analysis'!E177,2)</f>
        <v>6.9486679963939868E-2</v>
      </c>
    </row>
    <row r="192" spans="1:31" x14ac:dyDescent="0.25">
      <c r="A192" s="25">
        <f>C180</f>
        <v>-73.979975392642359</v>
      </c>
      <c r="B192" s="25">
        <f>C181</f>
        <v>-45081.880532852301</v>
      </c>
      <c r="C192" s="25">
        <f>C182</f>
        <v>-4134.1744514743868</v>
      </c>
      <c r="D192" s="25">
        <f>C183</f>
        <v>-11.107292010314302</v>
      </c>
      <c r="F192" t="s">
        <v>121</v>
      </c>
      <c r="W192" s="25">
        <f t="shared" si="165"/>
        <v>-73.979975392642359</v>
      </c>
      <c r="X192" s="25">
        <f t="shared" si="166"/>
        <v>-45081.880532852301</v>
      </c>
      <c r="Y192" s="25">
        <f t="shared" si="167"/>
        <v>-4134.1744514743868</v>
      </c>
      <c r="Z192" s="25">
        <f t="shared" si="168"/>
        <v>-11.107292010314302</v>
      </c>
      <c r="AB192" s="25">
        <f>(d_sigma_p!E166-(2*'Rigid Bearing Plate Analysis'!E166)+d_sigma_m!E166)/POWER('Rigid Bearing Plate Analysis'!D177,2)</f>
        <v>7.459963769603009</v>
      </c>
      <c r="AC192" s="25">
        <f>(d_alpha_p!E166-(2*'Rigid Bearing Plate Analysis'!E166)+d_alpha_m!E166)/POWER('Rigid Bearing Plate Analysis'!B177,2)</f>
        <v>-406970.96979158907</v>
      </c>
      <c r="AD192" s="25">
        <f>(d_Y_p!E166-(2*'Rigid Bearing Plate Analysis'!E166)+d_Y_m!E166)/POWER('Rigid Bearing Plate Analysis'!C177,2)</f>
        <v>3979.7324071550365</v>
      </c>
      <c r="AE192" s="25">
        <f>(d_T_p!E166-(2*'Rigid Bearing Plate Analysis'!E166)+d_T_m!E166)/POWER('Rigid Bearing Plate Analysis'!E177,2)</f>
        <v>0.90332683953121828</v>
      </c>
    </row>
    <row r="193" spans="1:38" x14ac:dyDescent="0.25">
      <c r="A193" s="25">
        <f ca="1">D180</f>
        <v>1</v>
      </c>
      <c r="B193" s="25">
        <f ca="1">D181</f>
        <v>-181.10481910307976</v>
      </c>
      <c r="C193" s="25">
        <f ca="1">D182</f>
        <v>-38.820915713543435</v>
      </c>
      <c r="D193" s="25">
        <f ca="1">D183</f>
        <v>-0.32009490713011918</v>
      </c>
      <c r="W193" s="25">
        <f t="shared" ca="1" si="165"/>
        <v>1</v>
      </c>
      <c r="X193" s="25">
        <f t="shared" ca="1" si="166"/>
        <v>-181.10481910307976</v>
      </c>
      <c r="Y193" s="25">
        <f t="shared" ca="1" si="167"/>
        <v>-38.820915713543435</v>
      </c>
      <c r="Z193" s="25">
        <f t="shared" ca="1" si="168"/>
        <v>-0.32009490713011918</v>
      </c>
      <c r="AB193" s="25">
        <f ca="1">(d_sigma_p!C169-(2*'Rigid Bearing Plate Analysis'!C169)+d_sigma_m!C169)/POWER('Rigid Bearing Plate Analysis'!D177,2)</f>
        <v>0</v>
      </c>
      <c r="AC193" s="25">
        <f ca="1">(d_alpha_p!C169-(2*'Rigid Bearing Plate Analysis'!C169)+d_alpha_m!C169)/POWER('Rigid Bearing Plate Analysis'!B177,2)</f>
        <v>-733.72170034541296</v>
      </c>
      <c r="AD193" s="25">
        <f ca="1">(d_Y_p!C169-(2*'Rigid Bearing Plate Analysis'!C169)+d_Y_m!C169)/POWER('Rigid Bearing Plate Analysis'!C177,2)</f>
        <v>-4.441665632985532</v>
      </c>
      <c r="AE193" s="25">
        <f ca="1">(d_T_p!C169-(2*'Rigid Bearing Plate Analysis'!C169)+d_T_m!C169)/POWER('Rigid Bearing Plate Analysis'!E177,2)</f>
        <v>1.0857293744365604E-3</v>
      </c>
    </row>
    <row r="194" spans="1:38" ht="15.75" thickBot="1" x14ac:dyDescent="0.3">
      <c r="A194" s="25"/>
      <c r="B194" s="25"/>
      <c r="C194" s="25"/>
      <c r="D194" s="25"/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1.9255416027540915E-2</v>
      </c>
      <c r="B195" s="25">
        <f ca="1"/>
        <v>-5.2505581648568875E-3</v>
      </c>
      <c r="C195" s="25">
        <f ca="1"/>
        <v>-3.95076924686862E-3</v>
      </c>
      <c r="D195" s="25">
        <f ca="1"/>
        <v>0.47604707299667232</v>
      </c>
      <c r="H195">
        <f t="array" aca="1" ref="H195:H198" ca="1">MMULT(A195:D198,F185:F188)</f>
        <v>-6.4176174279981598E-15</v>
      </c>
      <c r="J195" s="8">
        <f ca="1">$B$66+H195</f>
        <v>110.41592773474508</v>
      </c>
      <c r="K195" s="11" t="s">
        <v>115</v>
      </c>
      <c r="L195" s="36">
        <f ca="1">J196</f>
        <v>4.509610839571117</v>
      </c>
      <c r="M195" s="37" t="s">
        <v>116</v>
      </c>
      <c r="N195" t="s">
        <v>146</v>
      </c>
      <c r="AB195">
        <f t="array" aca="1" ref="AB195:AE198" ca="1">MINVERSE(AB190:AE193)</f>
        <v>3.3456776294423132</v>
      </c>
      <c r="AC195">
        <f ca="1"/>
        <v>0.78187935990071256</v>
      </c>
      <c r="AD195">
        <f ca="1"/>
        <v>0.17713754247760333</v>
      </c>
      <c r="AE195">
        <f ca="1"/>
        <v>-224.18413541055006</v>
      </c>
      <c r="AG195">
        <f t="array" aca="1" ref="AG195:AJ198" ca="1">MMULT(W190:Z193,AB195:AE198)</f>
        <v>-84.622127722365505</v>
      </c>
      <c r="AH195">
        <f ca="1"/>
        <v>-7.7286615049362606</v>
      </c>
      <c r="AI195">
        <f ca="1"/>
        <v>-3.8297674478127446</v>
      </c>
      <c r="AJ195">
        <f ca="1"/>
        <v>7975.2682346377969</v>
      </c>
      <c r="AL195">
        <f t="array" aca="1" ref="AL195:AL198" ca="1">MMULT(AG195:AJ198,H195:H198)</f>
        <v>-4.153690409103453E-10</v>
      </c>
    </row>
    <row r="196" spans="1:38" x14ac:dyDescent="0.25">
      <c r="A196" s="25">
        <f ca="1"/>
        <v>4.6802776055041454E-6</v>
      </c>
      <c r="B196" s="25">
        <f ca="1"/>
        <v>2.9093334444725854E-5</v>
      </c>
      <c r="C196" s="25">
        <f ca="1"/>
        <v>-2.9093334445312659E-5</v>
      </c>
      <c r="D196" s="25">
        <f ca="1"/>
        <v>4.9789468740303253E-4</v>
      </c>
      <c r="H196">
        <f ca="1"/>
        <v>-1.5598848181723129E-18</v>
      </c>
      <c r="J196" s="8">
        <f ca="1">$B$64+H196</f>
        <v>4.509610839571117</v>
      </c>
      <c r="K196" s="11" t="s">
        <v>116</v>
      </c>
      <c r="L196" s="38">
        <f ca="1">J197</f>
        <v>3.813518247274982</v>
      </c>
      <c r="M196" s="39" t="s">
        <v>117</v>
      </c>
      <c r="AB196">
        <f ca="1"/>
        <v>2.7084832437767168E-6</v>
      </c>
      <c r="AC196">
        <f ca="1"/>
        <v>6.0046531288880409E-6</v>
      </c>
      <c r="AD196">
        <f ca="1"/>
        <v>-4.5345273057126049E-7</v>
      </c>
      <c r="AE196">
        <f ca="1"/>
        <v>-2.8692994363759609E-5</v>
      </c>
      <c r="AG196">
        <f ca="1"/>
        <v>-213.40754660773322</v>
      </c>
      <c r="AH196">
        <f ca="1"/>
        <v>-68.51305883484622</v>
      </c>
      <c r="AI196">
        <f ca="1"/>
        <v>-13.000323837157634</v>
      </c>
      <c r="AJ196">
        <f ca="1"/>
        <v>11141.654289297163</v>
      </c>
      <c r="AL196">
        <f ca="1"/>
        <v>-5.7967231300262248E-10</v>
      </c>
    </row>
    <row r="197" spans="1:38" x14ac:dyDescent="0.25">
      <c r="A197" s="25">
        <f ca="1"/>
        <v>-8.1599887161638125E-4</v>
      </c>
      <c r="B197" s="25">
        <f ca="1"/>
        <v>-2.0025174894073287E-4</v>
      </c>
      <c r="C197" s="25">
        <f ca="1"/>
        <v>2.0025174904303943E-4</v>
      </c>
      <c r="D197" s="25">
        <f ca="1"/>
        <v>-1.3043673713775752E-2</v>
      </c>
      <c r="H197">
        <f ca="1"/>
        <v>2.7196340874806341E-16</v>
      </c>
      <c r="J197" s="8">
        <f ca="1">$B$65+H197</f>
        <v>3.813518247274982</v>
      </c>
      <c r="K197" s="1" t="s">
        <v>117</v>
      </c>
      <c r="L197" s="38">
        <f ca="1">J195</f>
        <v>110.41592773474508</v>
      </c>
      <c r="M197" s="43" t="s">
        <v>115</v>
      </c>
      <c r="AB197">
        <f ca="1"/>
        <v>-3.3236628183412587E-3</v>
      </c>
      <c r="AC197">
        <f ca="1"/>
        <v>-9.1914908958822753E-4</v>
      </c>
      <c r="AD197">
        <f ca="1"/>
        <v>-2.9858329906034838E-5</v>
      </c>
      <c r="AE197">
        <f ca="1"/>
        <v>0.1102569747621976</v>
      </c>
      <c r="AG197">
        <f ca="1"/>
        <v>-103.19976483919797</v>
      </c>
      <c r="AH197">
        <f ca="1"/>
        <v>-57.620525503743551</v>
      </c>
      <c r="AI197">
        <f ca="1"/>
        <v>-8.200314871345558</v>
      </c>
      <c r="AJ197">
        <f ca="1"/>
        <v>1105.7153631877136</v>
      </c>
      <c r="AL197">
        <f ca="1"/>
        <v>-5.700301709592325E-11</v>
      </c>
    </row>
    <row r="198" spans="1:38" ht="15.75" thickBot="1" x14ac:dyDescent="0.3">
      <c r="A198" s="25">
        <f ca="1"/>
        <v>0.15647115121219382</v>
      </c>
      <c r="B198" s="25">
        <f ca="1"/>
        <v>-8.5772841376087362E-3</v>
      </c>
      <c r="C198" s="25">
        <f ca="1"/>
        <v>-2.0168338521893654E-2</v>
      </c>
      <c r="D198" s="25">
        <f ca="1"/>
        <v>-0.33663983418700449</v>
      </c>
      <c r="H198">
        <f ca="1"/>
        <v>-5.2150106004567691E-14</v>
      </c>
      <c r="J198" s="8">
        <f ca="1">$B$67+H198</f>
        <v>344.94746832381378</v>
      </c>
      <c r="K198" s="1" t="s">
        <v>118</v>
      </c>
      <c r="L198" s="41">
        <f ca="1">J198</f>
        <v>344.94746832381378</v>
      </c>
      <c r="M198" s="42" t="s">
        <v>118</v>
      </c>
      <c r="AB198">
        <f ca="1"/>
        <v>-11.766584091461144</v>
      </c>
      <c r="AC198">
        <f ca="1"/>
        <v>0.29767213497920475</v>
      </c>
      <c r="AD198">
        <f ca="1"/>
        <v>-0.42858638373349467</v>
      </c>
      <c r="AE198">
        <f ca="1"/>
        <v>1352.7053587804005</v>
      </c>
      <c r="AG198">
        <f ca="1"/>
        <v>7.2406383862004624</v>
      </c>
      <c r="AH198">
        <f ca="1"/>
        <v>0.72119076321572051</v>
      </c>
      <c r="AI198">
        <f ca="1"/>
        <v>0.3155671113593812</v>
      </c>
      <c r="AJ198">
        <f ca="1"/>
        <v>-661.45331188829664</v>
      </c>
      <c r="AL198">
        <f ca="1"/>
        <v>3.4448477382682704E-11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-12.269481071258726</v>
      </c>
      <c r="B201" s="25">
        <f t="shared" ref="B201:C201" si="169">B190</f>
        <v>-6559.7945061938608</v>
      </c>
      <c r="C201" s="25">
        <f t="shared" si="169"/>
        <v>-799.54898912334431</v>
      </c>
      <c r="D201" s="25"/>
    </row>
    <row r="202" spans="1:38" x14ac:dyDescent="0.25">
      <c r="A202" s="25">
        <f t="shared" ref="A202:C202" si="170">A191</f>
        <v>-89.119873185874653</v>
      </c>
      <c r="B202" s="25">
        <f t="shared" si="170"/>
        <v>-6555.0905314641668</v>
      </c>
      <c r="C202" s="25">
        <f t="shared" si="170"/>
        <v>-3341.1804767343028</v>
      </c>
      <c r="D202" s="25"/>
    </row>
    <row r="203" spans="1:38" x14ac:dyDescent="0.25">
      <c r="A203" s="25">
        <f t="shared" ref="A203:C203" si="171">A192</f>
        <v>-73.979975392642359</v>
      </c>
      <c r="B203" s="25">
        <f t="shared" si="171"/>
        <v>-45081.880532852301</v>
      </c>
      <c r="C203" s="25">
        <f t="shared" si="171"/>
        <v>-4134.1744514743868</v>
      </c>
      <c r="D203" s="25"/>
    </row>
    <row r="204" spans="1:38" x14ac:dyDescent="0.25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0.24052344784817942</v>
      </c>
      <c r="B205" s="25">
        <v>-1.7379814994579537E-2</v>
      </c>
      <c r="C205" s="25">
        <v>-3.2471097340958856E-2</v>
      </c>
      <c r="D205" s="25"/>
      <c r="H205">
        <f t="array" ref="H205:H207">MMULT(A205:C207,F185:F187)</f>
        <v>-8.0163807862935713E-14</v>
      </c>
      <c r="J205" s="8">
        <f>$B$66+H205</f>
        <v>110.415927734745</v>
      </c>
      <c r="K205" s="11" t="s">
        <v>115</v>
      </c>
      <c r="L205" s="8">
        <f>J206</f>
        <v>4.509610839571117</v>
      </c>
      <c r="M205" s="11" t="s">
        <v>116</v>
      </c>
      <c r="N205" t="s">
        <v>145</v>
      </c>
    </row>
    <row r="206" spans="1:38" x14ac:dyDescent="0.25">
      <c r="A206" s="25">
        <v>2.3610314266404248E-4</v>
      </c>
      <c r="B206" s="25">
        <v>1.6407419794205424E-5</v>
      </c>
      <c r="C206" s="25">
        <v>-5.8922569087278931E-5</v>
      </c>
      <c r="D206" s="25"/>
      <c r="H206">
        <v>-7.8690568980627823E-17</v>
      </c>
      <c r="J206" s="8">
        <f>$B$64+H206</f>
        <v>4.509610839571117</v>
      </c>
      <c r="K206" s="11" t="s">
        <v>116</v>
      </c>
      <c r="L206" s="8">
        <f>J207</f>
        <v>3.8135182472749838</v>
      </c>
      <c r="M206" s="1" t="s">
        <v>117</v>
      </c>
      <c r="N206" t="s">
        <v>147</v>
      </c>
    </row>
    <row r="207" spans="1:38" x14ac:dyDescent="0.25">
      <c r="A207" s="25">
        <v>-6.8787354665285697E-3</v>
      </c>
      <c r="B207" s="25">
        <v>1.3208947832818113E-4</v>
      </c>
      <c r="C207" s="25">
        <v>9.8170777507714012E-4</v>
      </c>
      <c r="D207" s="25"/>
      <c r="H207">
        <v>2.2926065346727551E-15</v>
      </c>
      <c r="J207" s="8">
        <f>$B$65+H207</f>
        <v>3.8135182472749838</v>
      </c>
      <c r="K207" s="1" t="s">
        <v>117</v>
      </c>
      <c r="L207" s="8">
        <f>J205</f>
        <v>110.415927734745</v>
      </c>
      <c r="M207" s="11" t="s">
        <v>115</v>
      </c>
    </row>
    <row r="208" spans="1:38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-6559.7945061938608</v>
      </c>
      <c r="B212" s="25">
        <f>A182</f>
        <v>-799.54898912334431</v>
      </c>
      <c r="C212" s="25">
        <f>A183</f>
        <v>3.9273983996777555</v>
      </c>
    </row>
    <row r="213" spans="1:14" x14ac:dyDescent="0.25">
      <c r="A213" s="25">
        <f>B181</f>
        <v>-6555.0905314641668</v>
      </c>
      <c r="B213" s="25">
        <f>B182</f>
        <v>-3341.1804767343028</v>
      </c>
      <c r="C213" s="25">
        <f>B183</f>
        <v>-6.2610878322301167</v>
      </c>
    </row>
    <row r="214" spans="1:14" x14ac:dyDescent="0.25">
      <c r="A214" s="25">
        <f>C181</f>
        <v>-45081.880532852301</v>
      </c>
      <c r="B214" s="25">
        <f>C182</f>
        <v>-4134.1744514743868</v>
      </c>
      <c r="C214" s="25">
        <f>C183</f>
        <v>-11.107292010314302</v>
      </c>
    </row>
    <row r="215" spans="1:14" ht="15.75" thickBot="1" x14ac:dyDescent="0.3"/>
    <row r="216" spans="1:14" x14ac:dyDescent="0.25">
      <c r="A216">
        <f t="array" ref="A216:C218">MINVERSE(A212:C214)</f>
        <v>-1.5458842846382013E-5</v>
      </c>
      <c r="B216">
        <v>3.4584860733768148E-5</v>
      </c>
      <c r="C216">
        <v>-2.4961249341231121E-5</v>
      </c>
      <c r="H216" cm="1">
        <f t="array" ref="H216:H218">MMULT(A216:C218,F185:F187)</f>
        <v>5.1522615312869833E-18</v>
      </c>
      <c r="J216" s="8">
        <f>$B$64+H216</f>
        <v>4.509610839571117</v>
      </c>
      <c r="K216" s="11" t="s">
        <v>116</v>
      </c>
      <c r="L216" s="36">
        <f>J216</f>
        <v>4.509610839571117</v>
      </c>
      <c r="M216" s="37" t="s">
        <v>116</v>
      </c>
      <c r="N216" t="s">
        <v>144</v>
      </c>
    </row>
    <row r="217" spans="1:14" x14ac:dyDescent="0.25">
      <c r="A217">
        <v>-2.8840112313068179E-4</v>
      </c>
      <c r="B217">
        <v>-3.4411686523370326E-4</v>
      </c>
      <c r="C217">
        <v>9.2000805181162006E-5</v>
      </c>
      <c r="H217">
        <v>9.6120908081676813E-17</v>
      </c>
      <c r="J217" s="8">
        <f>$B$65+H217</f>
        <v>3.8135182472749816</v>
      </c>
      <c r="K217" s="1" t="s">
        <v>117</v>
      </c>
      <c r="L217" s="38">
        <f>J217</f>
        <v>3.8135182472749816</v>
      </c>
      <c r="M217" s="39" t="s">
        <v>117</v>
      </c>
    </row>
    <row r="218" spans="1:14" x14ac:dyDescent="0.25">
      <c r="A218">
        <v>0.17008774592815057</v>
      </c>
      <c r="B218">
        <v>-1.2290251048381029E-2</v>
      </c>
      <c r="C218">
        <v>-2.2962151108125575E-2</v>
      </c>
      <c r="H218">
        <v>-5.6688366587155148E-14</v>
      </c>
      <c r="J218" s="8">
        <f>$B$67+H218</f>
        <v>344.94746832381378</v>
      </c>
      <c r="K218" s="1" t="s">
        <v>118</v>
      </c>
      <c r="L218" s="38">
        <f>B66</f>
        <v>110.41592773474508</v>
      </c>
      <c r="M218" s="40"/>
    </row>
    <row r="219" spans="1:14" ht="15.75" thickBot="1" x14ac:dyDescent="0.3">
      <c r="L219" s="41">
        <f>J218</f>
        <v>344.94746832381378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45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8.9285714285714288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24.23469387755102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-8.9285714285714288</v>
      </c>
      <c r="AB14">
        <f>$B$4/Z14</f>
        <v>15.306122448979592</v>
      </c>
      <c r="AC14">
        <f>$I$2+AA14+AB14</f>
        <v>6.3775510204081627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8.9285714285714288</v>
      </c>
      <c r="AB15">
        <f t="shared" ref="AB15:AB21" si="11">$B$4/Z15</f>
        <v>15.306122448979592</v>
      </c>
      <c r="AC15">
        <f t="shared" ref="AC15:AC20" si="12">$I$2+AA15+AB15</f>
        <v>24.23469387755102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8.9285714285714288</v>
      </c>
      <c r="AB16">
        <f t="shared" si="11"/>
        <v>-15.306122448979592</v>
      </c>
      <c r="AC16">
        <f t="shared" si="12"/>
        <v>-6.3775510204081627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-8.9285714285714288</v>
      </c>
      <c r="AB17">
        <f t="shared" si="11"/>
        <v>-15.306122448979592</v>
      </c>
      <c r="AC17">
        <f t="shared" si="12"/>
        <v>-24.23469387755102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-8.9285714285714288</v>
      </c>
      <c r="AB18">
        <f t="shared" si="11"/>
        <v>-15.306122448979592</v>
      </c>
      <c r="AC18">
        <f t="shared" si="12"/>
        <v>-24.23469387755102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-8.9285714285714288</v>
      </c>
      <c r="AB19">
        <f t="shared" si="11"/>
        <v>-15.306122448979592</v>
      </c>
      <c r="AC19">
        <f t="shared" si="12"/>
        <v>-24.23469387755102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-8.9285714285714288</v>
      </c>
      <c r="AB20">
        <f t="shared" si="11"/>
        <v>-15.306122448979592</v>
      </c>
      <c r="AC20">
        <f t="shared" si="12"/>
        <v>-24.23469387755102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21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21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15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15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4.509610839571117</v>
      </c>
      <c r="C64" t="s">
        <v>19</v>
      </c>
      <c r="D64" t="s">
        <v>34</v>
      </c>
      <c r="H64" s="17">
        <f>DEGREES(B64)</f>
        <v>258.38166835387278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3.8135182472749816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110.41592937247796</v>
      </c>
      <c r="C66" t="s">
        <v>11</v>
      </c>
      <c r="D66">
        <f>B66/B53</f>
        <v>2.8566664360788259E-2</v>
      </c>
      <c r="I66" s="20"/>
    </row>
    <row r="67" spans="1:18" x14ac:dyDescent="0.25">
      <c r="A67" s="1" t="s">
        <v>37</v>
      </c>
      <c r="B67" s="17">
        <f>'Rigid Bearing Plate Analysis'!B67</f>
        <v>344.94746832381384</v>
      </c>
      <c r="C67" t="s">
        <v>36</v>
      </c>
      <c r="D67" t="s">
        <v>122</v>
      </c>
      <c r="G67" s="20">
        <f ca="1">($B$56*$B$66*$B$55*$E$122)/$B$65</f>
        <v>344.94747344021164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-14.163869645885562</v>
      </c>
      <c r="R76">
        <f>Q76</f>
        <v>-14.163869645885562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14.163869645885562</v>
      </c>
      <c r="R77">
        <f>Q77</f>
        <v>14.163869645885562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13.163869645885562</v>
      </c>
      <c r="C84" s="1">
        <f t="shared" ref="C84:C92" si="23">(-1*B73*SIN($B$64))+(C73*COS($B$64))</f>
        <v>-4.4398801724970847</v>
      </c>
      <c r="H84" s="1">
        <f t="shared" ref="H84:H92" si="24">H73</f>
        <v>1</v>
      </c>
      <c r="I84" s="4">
        <f>(I73*COS($B$64))+(J73*SIN($B$64))</f>
        <v>13.163869645885562</v>
      </c>
      <c r="J84" s="1">
        <f>(-1*I73*SIN($B$64))+(J73*COS($B$64))</f>
        <v>-4.4398801724970847</v>
      </c>
    </row>
    <row r="85" spans="1:10" x14ac:dyDescent="0.25">
      <c r="A85" s="1">
        <f t="shared" si="21"/>
        <v>2</v>
      </c>
      <c r="B85" s="4">
        <f t="shared" si="22"/>
        <v>10.344391115744241</v>
      </c>
      <c r="C85" s="1">
        <f t="shared" si="23"/>
        <v>9.2732719384536324</v>
      </c>
      <c r="H85" s="1">
        <f t="shared" si="24"/>
        <v>2</v>
      </c>
      <c r="I85" s="4">
        <f t="shared" ref="I85:I92" si="25">(I74*COS($B$64))+(J74*SIN($B$64))</f>
        <v>13.163869645885562</v>
      </c>
      <c r="J85" s="1">
        <f t="shared" ref="J85:J92" si="26">(-1*I74*SIN($B$64))+(J74*COS($B$64))</f>
        <v>-4.4398801724970847</v>
      </c>
    </row>
    <row r="86" spans="1:10" x14ac:dyDescent="0.25">
      <c r="A86" s="1">
        <f t="shared" si="21"/>
        <v>3</v>
      </c>
      <c r="B86" s="4">
        <f t="shared" si="22"/>
        <v>-13.163869645885562</v>
      </c>
      <c r="C86" s="1">
        <f t="shared" si="23"/>
        <v>4.4398801724970847</v>
      </c>
      <c r="H86" s="1">
        <f t="shared" si="24"/>
        <v>3</v>
      </c>
      <c r="I86" s="4">
        <f t="shared" si="25"/>
        <v>13.163869645885562</v>
      </c>
      <c r="J86" s="1">
        <f t="shared" si="26"/>
        <v>-4.4398801724970847</v>
      </c>
    </row>
    <row r="87" spans="1:10" x14ac:dyDescent="0.25">
      <c r="A87" s="1">
        <f t="shared" si="21"/>
        <v>4</v>
      </c>
      <c r="B87" s="4">
        <f t="shared" si="22"/>
        <v>-10.344391115744241</v>
      </c>
      <c r="C87" s="1">
        <f t="shared" si="23"/>
        <v>-9.2732719384536324</v>
      </c>
      <c r="H87" s="1">
        <f t="shared" si="24"/>
        <v>4</v>
      </c>
      <c r="I87" s="4">
        <f t="shared" si="25"/>
        <v>13.163869645885562</v>
      </c>
      <c r="J87" s="1">
        <f t="shared" si="26"/>
        <v>-4.4398801724970847</v>
      </c>
    </row>
    <row r="88" spans="1:10" x14ac:dyDescent="0.25">
      <c r="A88" s="1">
        <f t="shared" si="21"/>
        <v>5</v>
      </c>
      <c r="B88" s="4">
        <f t="shared" si="22"/>
        <v>13.163869645885562</v>
      </c>
      <c r="C88" s="1">
        <f t="shared" si="23"/>
        <v>-4.4398801724970847</v>
      </c>
      <c r="H88" s="1">
        <f t="shared" si="24"/>
        <v>5</v>
      </c>
      <c r="I88" s="4">
        <f t="shared" si="25"/>
        <v>13.163869645885562</v>
      </c>
      <c r="J88" s="1">
        <f t="shared" si="26"/>
        <v>-4.4398801724970847</v>
      </c>
    </row>
    <row r="89" spans="1:10" x14ac:dyDescent="0.25">
      <c r="A89" s="1">
        <f t="shared" si="21"/>
        <v>6</v>
      </c>
      <c r="B89" s="4">
        <f t="shared" si="22"/>
        <v>13.163869645885562</v>
      </c>
      <c r="C89" s="1">
        <f t="shared" si="23"/>
        <v>-4.4398801724970847</v>
      </c>
      <c r="H89" s="1">
        <f t="shared" si="24"/>
        <v>6</v>
      </c>
      <c r="I89" s="4">
        <f t="shared" si="25"/>
        <v>13.163869645885562</v>
      </c>
      <c r="J89" s="1">
        <f t="shared" si="26"/>
        <v>-4.4398801724970847</v>
      </c>
    </row>
    <row r="90" spans="1:10" x14ac:dyDescent="0.25">
      <c r="A90" s="1">
        <f t="shared" si="21"/>
        <v>7</v>
      </c>
      <c r="B90" s="4">
        <f t="shared" si="22"/>
        <v>13.163869645885562</v>
      </c>
      <c r="C90" s="1">
        <f t="shared" si="23"/>
        <v>-4.4398801724970847</v>
      </c>
      <c r="H90" s="1">
        <f t="shared" si="24"/>
        <v>7</v>
      </c>
      <c r="I90" s="4">
        <f t="shared" si="25"/>
        <v>13.163869645885562</v>
      </c>
      <c r="J90" s="1">
        <f t="shared" si="26"/>
        <v>-4.4398801724970847</v>
      </c>
    </row>
    <row r="91" spans="1:10" x14ac:dyDescent="0.25">
      <c r="A91" s="1">
        <f t="shared" si="21"/>
        <v>8</v>
      </c>
      <c r="B91" s="4">
        <f t="shared" si="22"/>
        <v>13.163869645885562</v>
      </c>
      <c r="C91" s="1">
        <f t="shared" si="23"/>
        <v>-4.4398801724970847</v>
      </c>
      <c r="H91" s="1">
        <f t="shared" si="24"/>
        <v>8</v>
      </c>
      <c r="I91" s="4">
        <f t="shared" si="25"/>
        <v>13.163869645885562</v>
      </c>
      <c r="J91" s="1">
        <f t="shared" si="26"/>
        <v>-4.4398801724970847</v>
      </c>
    </row>
    <row r="92" spans="1:10" x14ac:dyDescent="0.25">
      <c r="A92" s="1">
        <f t="shared" si="21"/>
        <v>9</v>
      </c>
      <c r="B92" s="4">
        <f t="shared" si="22"/>
        <v>13.163869645885562</v>
      </c>
      <c r="C92" s="1">
        <f t="shared" si="23"/>
        <v>-4.4398801724970847</v>
      </c>
      <c r="H92" s="1">
        <f t="shared" si="24"/>
        <v>9</v>
      </c>
      <c r="I92" s="4">
        <f t="shared" si="25"/>
        <v>13.163869645885562</v>
      </c>
      <c r="J92" s="1">
        <f t="shared" si="26"/>
        <v>-4.4398801724970847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9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9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9.6211630799372685</v>
      </c>
      <c r="C110" s="1">
        <f>(-1*B95*SIN($B$64))+(C95*COS($B$64))</f>
        <v>-2.1055215480379279</v>
      </c>
      <c r="D110" t="str">
        <f t="shared" ref="D110" si="31">D95</f>
        <v>y</v>
      </c>
      <c r="E110" s="4">
        <f t="shared" ref="E110:E121" si="32">IF($D110="y",$B$125-C110,0)</f>
        <v>7.5652752392165787</v>
      </c>
      <c r="F110" s="1">
        <f>IF($D110="y",B110,NA())</f>
        <v>9.6211630799372685</v>
      </c>
      <c r="G110" s="1">
        <f>IF($D110="y",C110,NA())</f>
        <v>-2.1055215480379279</v>
      </c>
      <c r="H110">
        <f t="shared" ref="H110:H121" si="33">IF($E$122=0,0,-1*MAX(($B$67/$E$122)*(E110),0))</f>
        <v>-233.20358660814398</v>
      </c>
      <c r="I110">
        <f>H110*C110</f>
        <v>491.01517668317632</v>
      </c>
      <c r="J110">
        <f>H110*B110*-1</f>
        <v>2243.6897375832282</v>
      </c>
      <c r="K110">
        <f ca="1">H110/$B$55</f>
        <v>-1643.4497434576983</v>
      </c>
      <c r="L110">
        <f ca="1">K110/$B$54</f>
        <v>-5.6670680808886147E-2</v>
      </c>
      <c r="M110">
        <f t="shared" ref="M110:M121" si="34">IFERROR(($D$66/$B$65)*(G110-$B$125),0)</f>
        <v>-5.6670681649448183E-2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8.0100324912850844</v>
      </c>
      <c r="C111" s="1">
        <f t="shared" ref="C111:C121" si="37">(-1*B96*SIN($B$64))+(C96*COS($B$64))</f>
        <v>5.7305653725053389</v>
      </c>
      <c r="D111" t="str">
        <f t="shared" si="35"/>
        <v>y</v>
      </c>
      <c r="E111" s="4">
        <f t="shared" si="32"/>
        <v>-0.27081168132668765</v>
      </c>
      <c r="F111" s="1">
        <f t="shared" ref="F111:G121" si="38">IF($D111="y",B111,NA())</f>
        <v>8.0100324912850844</v>
      </c>
      <c r="G111" s="1">
        <f t="shared" si="38"/>
        <v>5.7305653725053389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2.0286218404666784E-3</v>
      </c>
      <c r="N111">
        <f t="shared" ref="N111:N121" si="42">IF(AND(M111&gt;0,D111="y",$E$60="y"),$B$53*M111*$E$59,0)</f>
        <v>1.9485350934156409</v>
      </c>
      <c r="O111">
        <f t="shared" ref="O111:O121" si="43">N111*C111</f>
        <v>11.166207733439128</v>
      </c>
      <c r="P111">
        <f t="shared" ref="P111:P121" si="44">N111*B111*-1</f>
        <v>-15.607829408668501</v>
      </c>
    </row>
    <row r="112" spans="1:16" x14ac:dyDescent="0.25">
      <c r="A112">
        <f t="shared" si="35"/>
        <v>3</v>
      </c>
      <c r="B112" s="1">
        <f t="shared" si="36"/>
        <v>3.7440978895298169</v>
      </c>
      <c r="C112" s="1">
        <f t="shared" si="37"/>
        <v>-3.3138694895270651</v>
      </c>
      <c r="D112" t="str">
        <f t="shared" si="35"/>
        <v>y</v>
      </c>
      <c r="E112" s="4">
        <f t="shared" si="32"/>
        <v>8.7736231807057159</v>
      </c>
      <c r="F112" s="1">
        <f t="shared" si="38"/>
        <v>3.7440978895298169</v>
      </c>
      <c r="G112" s="1">
        <f t="shared" si="38"/>
        <v>-3.3138694895270651</v>
      </c>
      <c r="H112">
        <f t="shared" si="33"/>
        <v>-270.45154718003391</v>
      </c>
      <c r="I112">
        <f t="shared" si="39"/>
        <v>896.24113059530396</v>
      </c>
      <c r="J112">
        <f t="shared" si="40"/>
        <v>1012.5970670168387</v>
      </c>
      <c r="K112">
        <f t="shared" ref="K112:K121" ca="1" si="45">H112/$B$55</f>
        <v>-1905.9463548372473</v>
      </c>
      <c r="L112">
        <f t="shared" ca="1" si="41"/>
        <v>-6.5722288097836118E-2</v>
      </c>
      <c r="M112">
        <f t="shared" si="34"/>
        <v>-6.5722289072655191E-2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2.1329673008776338</v>
      </c>
      <c r="C113" s="1">
        <f t="shared" si="37"/>
        <v>4.5222174310162018</v>
      </c>
      <c r="D113" t="str">
        <f t="shared" si="35"/>
        <v>y</v>
      </c>
      <c r="E113" s="4">
        <f t="shared" si="32"/>
        <v>0.93753626016244951</v>
      </c>
      <c r="F113" s="1">
        <f t="shared" si="38"/>
        <v>2.1329673008776338</v>
      </c>
      <c r="G113" s="1">
        <f t="shared" si="38"/>
        <v>4.5222174310162018</v>
      </c>
      <c r="H113">
        <f t="shared" si="33"/>
        <v>-28.900048118766147</v>
      </c>
      <c r="I113">
        <f t="shared" si="39"/>
        <v>-130.69230135989127</v>
      </c>
      <c r="J113">
        <f t="shared" si="40"/>
        <v>61.642857631118368</v>
      </c>
      <c r="K113">
        <f t="shared" ca="1" si="45"/>
        <v>-203.66657887860592</v>
      </c>
      <c r="L113">
        <f t="shared" ca="1" si="41"/>
        <v>-7.022985478572618E-3</v>
      </c>
      <c r="M113">
        <f t="shared" si="34"/>
        <v>-7.0229855827403263E-3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-8.0100324912850844</v>
      </c>
      <c r="C114" s="1">
        <f t="shared" si="37"/>
        <v>-5.7305653725053389</v>
      </c>
      <c r="D114" t="str">
        <f t="shared" si="35"/>
        <v>y</v>
      </c>
      <c r="E114" s="4">
        <f t="shared" si="32"/>
        <v>11.19031906368399</v>
      </c>
      <c r="F114" s="1">
        <f t="shared" si="38"/>
        <v>-8.0100324912850844</v>
      </c>
      <c r="G114" s="1">
        <f t="shared" si="38"/>
        <v>-5.7305653725053389</v>
      </c>
      <c r="H114">
        <f t="shared" si="33"/>
        <v>-344.94746832381384</v>
      </c>
      <c r="I114">
        <f t="shared" si="39"/>
        <v>1976.7440173098298</v>
      </c>
      <c r="J114">
        <f t="shared" si="40"/>
        <v>-2763.0404290602814</v>
      </c>
      <c r="K114">
        <f t="shared" ca="1" si="45"/>
        <v>-2430.9395775963458</v>
      </c>
      <c r="L114">
        <f t="shared" ca="1" si="41"/>
        <v>-8.3825502675736061E-2</v>
      </c>
      <c r="M114">
        <f t="shared" si="34"/>
        <v>-8.3825503919069205E-2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-9.6211630799372685</v>
      </c>
      <c r="C115" s="1">
        <f t="shared" si="37"/>
        <v>2.1055215480379279</v>
      </c>
      <c r="D115" t="str">
        <f t="shared" si="35"/>
        <v>y</v>
      </c>
      <c r="E115" s="4">
        <f t="shared" si="32"/>
        <v>3.3542321431407234</v>
      </c>
      <c r="F115" s="1">
        <f t="shared" si="38"/>
        <v>-9.6211630799372685</v>
      </c>
      <c r="G115" s="1">
        <f t="shared" si="38"/>
        <v>2.1055215480379279</v>
      </c>
      <c r="H115">
        <f t="shared" si="33"/>
        <v>-103.39596926254605</v>
      </c>
      <c r="I115">
        <f t="shared" si="39"/>
        <v>-217.70244126255795</v>
      </c>
      <c r="J115">
        <f t="shared" si="40"/>
        <v>-994.7894820831367</v>
      </c>
      <c r="K115">
        <f t="shared" ca="1" si="45"/>
        <v>-728.65980163770416</v>
      </c>
      <c r="L115">
        <f t="shared" ca="1" si="41"/>
        <v>-2.5126200056472557E-2</v>
      </c>
      <c r="M115">
        <f t="shared" si="34"/>
        <v>-2.5126200429154331E-2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-2.1329673008776338</v>
      </c>
      <c r="C116" s="1">
        <f t="shared" si="37"/>
        <v>-4.5222174310162018</v>
      </c>
      <c r="D116" t="str">
        <f t="shared" si="35"/>
        <v>y</v>
      </c>
      <c r="E116" s="4">
        <f t="shared" si="32"/>
        <v>9.9819711221948531</v>
      </c>
      <c r="F116" s="1">
        <f t="shared" si="38"/>
        <v>-2.1329673008776338</v>
      </c>
      <c r="G116" s="1">
        <f t="shared" si="38"/>
        <v>-4.5222174310162018</v>
      </c>
      <c r="H116">
        <f t="shared" si="33"/>
        <v>-307.69950775192387</v>
      </c>
      <c r="I116">
        <f t="shared" si="39"/>
        <v>1391.484077470855</v>
      </c>
      <c r="J116">
        <f t="shared" si="40"/>
        <v>-656.31298853099759</v>
      </c>
      <c r="K116">
        <f t="shared" ca="1" si="45"/>
        <v>-2168.4429662167968</v>
      </c>
      <c r="L116">
        <f t="shared" ca="1" si="41"/>
        <v>-7.4773895386786096E-2</v>
      </c>
      <c r="M116">
        <f t="shared" si="34"/>
        <v>-7.4773896495862191E-2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-3.7440978895298169</v>
      </c>
      <c r="C117" s="1">
        <f t="shared" si="37"/>
        <v>3.3138694895270651</v>
      </c>
      <c r="D117" t="str">
        <f t="shared" si="35"/>
        <v>y</v>
      </c>
      <c r="E117" s="4">
        <f t="shared" si="32"/>
        <v>2.1458842016515862</v>
      </c>
      <c r="F117" s="1">
        <f t="shared" si="38"/>
        <v>-3.7440978895298169</v>
      </c>
      <c r="G117" s="1">
        <f t="shared" si="38"/>
        <v>3.3138694895270651</v>
      </c>
      <c r="H117">
        <f t="shared" si="33"/>
        <v>-66.148008690656084</v>
      </c>
      <c r="I117">
        <f t="shared" si="39"/>
        <v>-219.20586779293635</v>
      </c>
      <c r="J117">
        <f t="shared" si="40"/>
        <v>-247.66461973528544</v>
      </c>
      <c r="K117">
        <f t="shared" ca="1" si="45"/>
        <v>-466.163190258155</v>
      </c>
      <c r="L117">
        <f t="shared" ca="1" si="41"/>
        <v>-1.6074592767522586E-2</v>
      </c>
      <c r="M117">
        <f t="shared" si="34"/>
        <v>-1.6074593005947328E-2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13.163869645885562</v>
      </c>
      <c r="C118" s="1">
        <f t="shared" si="37"/>
        <v>-4.4398801724970847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13.163869645885562</v>
      </c>
      <c r="C119" s="1">
        <f t="shared" si="37"/>
        <v>-4.4398801724970847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13.163869645885562</v>
      </c>
      <c r="C120" s="1">
        <f t="shared" si="37"/>
        <v>-4.4398801724970847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13.163869645885562</v>
      </c>
      <c r="C121" s="1">
        <f t="shared" si="37"/>
        <v>-4.4398801724970847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11.19031906368399</v>
      </c>
      <c r="H122">
        <f>SUM(H110:H121)</f>
        <v>-1354.7461359358838</v>
      </c>
      <c r="I122">
        <f t="shared" ref="I122:J122" si="46">SUM(I110:I121)</f>
        <v>4187.8837916437806</v>
      </c>
      <c r="J122">
        <f t="shared" si="46"/>
        <v>-1343.8778571785163</v>
      </c>
      <c r="L122">
        <f ca="1">MIN(L110:L121)</f>
        <v>-8.3825502675736061E-2</v>
      </c>
      <c r="M122">
        <f>MIN(M110:M121)</f>
        <v>-8.3825503919069205E-2</v>
      </c>
      <c r="N122">
        <f>SUM(N110:N121)</f>
        <v>1.9485350934156409</v>
      </c>
      <c r="O122">
        <f>SUM(O110:O121)</f>
        <v>11.166207733439128</v>
      </c>
      <c r="P122">
        <f>SUM(P110:P121)</f>
        <v>-15.607829408668501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5.4597536911786513</v>
      </c>
      <c r="F125" s="1" t="s">
        <v>27</v>
      </c>
      <c r="G125" s="1" t="s">
        <v>28</v>
      </c>
    </row>
    <row r="126" spans="1:16" x14ac:dyDescent="0.25">
      <c r="F126" s="4">
        <f>MIN(B84:B90)-1</f>
        <v>-14.163869645885562</v>
      </c>
      <c r="G126" s="4">
        <f>B125</f>
        <v>5.4597536911786513</v>
      </c>
    </row>
    <row r="127" spans="1:16" x14ac:dyDescent="0.25">
      <c r="F127" s="4">
        <f>MAX(B84:B90)+1</f>
        <v>14.163869645885562</v>
      </c>
      <c r="G127" s="4">
        <f>G126</f>
        <v>5.4597536911786513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13.163869645885562</v>
      </c>
      <c r="C132" s="4">
        <f>C84</f>
        <v>-4.4398801724970847</v>
      </c>
      <c r="D132" s="4">
        <f t="shared" ref="D132:E139" si="47">B85</f>
        <v>10.344391115744241</v>
      </c>
      <c r="E132" s="4">
        <f t="shared" si="47"/>
        <v>9.2732719384536324</v>
      </c>
      <c r="F132" s="4">
        <f t="shared" ref="F132:F139" si="48">($B$66/$B$65)*(C132-$B$125)</f>
        <v>-286.63223895312137</v>
      </c>
      <c r="G132" s="4">
        <f t="shared" ref="G132:G139" si="49">($B$66/$B$65)*(E132-$B$125)</f>
        <v>110.41592937247795</v>
      </c>
      <c r="H132" s="4">
        <f>IF(B132=D132,"V",(C132-E132)/(B132-D132))</f>
        <v>-4.8637192886385874</v>
      </c>
      <c r="I132" s="4">
        <f>IF(H132="V",0,(-1*B132*H132)+C132)</f>
        <v>59.585486537320534</v>
      </c>
      <c r="J132" s="4">
        <f>IF($F132&gt;=0,B132,IF(AND($F132&lt;0,$G132&gt;=0),IF(H132="V",B132,($B$125-I132)/H132),0))</f>
        <v>11.128465611199433</v>
      </c>
      <c r="K132" s="4">
        <f>IF($F132&gt;=0,C132,IF(AND($F132&lt;0,$G132&gt;=0),$B$125,0))</f>
        <v>5.4597536911786513</v>
      </c>
      <c r="L132" s="4">
        <f>IF($G132&gt;=0,D132,IF(AND($G132&lt;0,$F132&gt;=0),IF(H132="V",D132,($B$125-I132)/H132),0))</f>
        <v>10.344391115744241</v>
      </c>
      <c r="M132" s="4">
        <f>IF($G132&gt;=0,E132,IF(AND($G132&lt;0,$F132&gt;=0),$B$125,0))</f>
        <v>9.2732719384536324</v>
      </c>
      <c r="N132" s="4">
        <f>IF(F132&lt;0,0,F132)</f>
        <v>0</v>
      </c>
      <c r="O132" s="4">
        <f>IF(G132&lt;0,0,G132)</f>
        <v>110.41592937247795</v>
      </c>
      <c r="P132" s="4">
        <f>(1/6)*(M132-K132)*((N132*((2*J132)+L132))+(O132*(J132+(2*L132))))</f>
        <v>2232.8981896358523</v>
      </c>
      <c r="Q132" s="4">
        <f>((1/12)*(M132-K132)*(N132*J132*((3*K132)+M132)+N132*L132*(K132+M132)+O132*J132*(K132+M132)+O132*L132*(K132+(3*M132))))</f>
        <v>17832.899364120258</v>
      </c>
      <c r="R132" s="4">
        <f>((-1/24)*(M132-K132)*(J132*J132*((3*N132)+O132)+2*J132*L132*(N132+O132)+L132*L132*(N132+(3*O132))))</f>
        <v>-11844.374522474174</v>
      </c>
    </row>
    <row r="133" spans="1:18" x14ac:dyDescent="0.25">
      <c r="A133" t="s">
        <v>70</v>
      </c>
      <c r="B133" s="4">
        <f t="shared" ref="B133:C138" si="50">D132</f>
        <v>10.344391115744241</v>
      </c>
      <c r="C133" s="4">
        <f t="shared" si="50"/>
        <v>9.2732719384536324</v>
      </c>
      <c r="D133" s="4">
        <f t="shared" si="47"/>
        <v>-13.163869645885562</v>
      </c>
      <c r="E133" s="4">
        <f t="shared" si="47"/>
        <v>4.4398801724970847</v>
      </c>
      <c r="F133" s="4">
        <f t="shared" si="48"/>
        <v>110.41592937247795</v>
      </c>
      <c r="G133" s="4">
        <f t="shared" si="49"/>
        <v>-29.529236548972108</v>
      </c>
      <c r="H133" s="4">
        <f t="shared" ref="H133:H139" si="51">IF(B133=D133,"V",(C133-E133)/(B133-D133))</f>
        <v>0.20560397108771283</v>
      </c>
      <c r="I133" s="4">
        <f t="shared" ref="I133:I139" si="52">IF(H133="V",0,(-1*B133*H133)+C133)</f>
        <v>7.14642404657216</v>
      </c>
      <c r="J133" s="4">
        <f t="shared" ref="J133:J139" si="53">IF($F133&gt;=0,B133,IF(AND($F133&lt;0,$G133&gt;=0),IF(H133="V",B133,($B$125-I133)/H133),0))</f>
        <v>10.344391115744241</v>
      </c>
      <c r="K133" s="4">
        <f t="shared" ref="K133:K139" si="54">IF($F133&gt;=0,C133,IF(AND($F133&lt;0,$G133&gt;=0),$B$125,0))</f>
        <v>9.2732719384536324</v>
      </c>
      <c r="L133" s="4">
        <f t="shared" ref="L133:L139" si="55">IF($G133&gt;=0,D133,IF(AND($G133&lt;0,$F133&gt;=0),IF(H133="V",D133,($B$125-I133)/H133),0))</f>
        <v>-8.2034911411023153</v>
      </c>
      <c r="M133" s="4">
        <f t="shared" ref="M133:M139" si="56">IF($G133&gt;=0,E133,IF(AND($G133&lt;0,$F133&gt;=0),$B$125,0))</f>
        <v>5.4597536911786513</v>
      </c>
      <c r="N133" s="4">
        <f t="shared" ref="N133:O139" si="57">IF(F133&lt;0,0,F133)</f>
        <v>110.41592937247795</v>
      </c>
      <c r="O133" s="4">
        <f t="shared" si="57"/>
        <v>0</v>
      </c>
      <c r="P133" s="4">
        <f t="shared" ref="P133:P139" si="58">(1/6)*(M133-K133)*((N133*((2*J133)+L133))+(O133*(J133+(2*L133))))</f>
        <v>-876.20349851242031</v>
      </c>
      <c r="Q133" s="4">
        <f t="shared" ref="Q133:Q139" si="59">((1/12)*(M133-K133)*(N133*J133*((3*K133)+M133)+N133*L133*(K133+M133)+O133*J133*(K133+M133)+O133*L133*(K133+(3*M133))))</f>
        <v>-7838.7905361664671</v>
      </c>
      <c r="R133" s="4">
        <f t="shared" ref="R133:R139" si="60">((-1/24)*(M133-K133)*(J133*J133*((3*N133)+O133)+2*J133*L133*(N133+O133)+L133*L133*(N133+(3*O133))))</f>
        <v>3835.2099338437897</v>
      </c>
    </row>
    <row r="134" spans="1:18" x14ac:dyDescent="0.25">
      <c r="A134" t="s">
        <v>71</v>
      </c>
      <c r="B134" s="4">
        <f t="shared" si="50"/>
        <v>-13.163869645885562</v>
      </c>
      <c r="C134" s="4">
        <f t="shared" si="50"/>
        <v>4.4398801724970847</v>
      </c>
      <c r="D134" s="4">
        <f t="shared" si="47"/>
        <v>-10.344391115744241</v>
      </c>
      <c r="E134" s="4">
        <f t="shared" si="47"/>
        <v>-9.2732719384536324</v>
      </c>
      <c r="F134" s="4">
        <f t="shared" si="48"/>
        <v>-29.529236548972108</v>
      </c>
      <c r="G134" s="4">
        <f t="shared" si="49"/>
        <v>-426.57740487457141</v>
      </c>
      <c r="H134" s="4">
        <f t="shared" si="51"/>
        <v>-4.8637192886385874</v>
      </c>
      <c r="I134" s="4">
        <f t="shared" si="52"/>
        <v>-59.585486537320534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-10.344391115744241</v>
      </c>
      <c r="C135" s="4">
        <f t="shared" si="50"/>
        <v>-9.2732719384536324</v>
      </c>
      <c r="D135" s="4">
        <f t="shared" si="47"/>
        <v>13.163869645885562</v>
      </c>
      <c r="E135" s="4">
        <f t="shared" si="47"/>
        <v>-4.4398801724970847</v>
      </c>
      <c r="F135" s="4">
        <f t="shared" si="48"/>
        <v>-426.57740487457141</v>
      </c>
      <c r="G135" s="4">
        <f t="shared" si="49"/>
        <v>-286.63223895312137</v>
      </c>
      <c r="H135" s="4">
        <f t="shared" si="51"/>
        <v>0.20560397108771283</v>
      </c>
      <c r="I135" s="4">
        <f t="shared" si="52"/>
        <v>-7.14642404657216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13.163869645885562</v>
      </c>
      <c r="C136" s="4">
        <f t="shared" si="50"/>
        <v>-4.4398801724970847</v>
      </c>
      <c r="D136" s="4">
        <f t="shared" si="47"/>
        <v>13.163869645885562</v>
      </c>
      <c r="E136" s="4">
        <f t="shared" si="47"/>
        <v>-4.4398801724970847</v>
      </c>
      <c r="F136" s="4">
        <f t="shared" si="48"/>
        <v>-286.63223895312137</v>
      </c>
      <c r="G136" s="4">
        <f t="shared" si="49"/>
        <v>-286.63223895312137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13.163869645885562</v>
      </c>
      <c r="C137" s="4">
        <f t="shared" si="50"/>
        <v>-4.4398801724970847</v>
      </c>
      <c r="D137" s="4">
        <f t="shared" si="47"/>
        <v>13.163869645885562</v>
      </c>
      <c r="E137" s="4">
        <f t="shared" si="47"/>
        <v>-4.4398801724970847</v>
      </c>
      <c r="F137" s="4">
        <f t="shared" si="48"/>
        <v>-286.63223895312137</v>
      </c>
      <c r="G137" s="4">
        <f t="shared" si="49"/>
        <v>-286.63223895312137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13.163869645885562</v>
      </c>
      <c r="C138" s="4">
        <f t="shared" si="50"/>
        <v>-4.4398801724970847</v>
      </c>
      <c r="D138" s="4">
        <f t="shared" si="47"/>
        <v>13.163869645885562</v>
      </c>
      <c r="E138" s="4">
        <f t="shared" si="47"/>
        <v>-4.4398801724970847</v>
      </c>
      <c r="F138" s="4">
        <f t="shared" si="48"/>
        <v>-286.63223895312137</v>
      </c>
      <c r="G138" s="4">
        <f t="shared" si="49"/>
        <v>-286.63223895312137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13.163869645885562</v>
      </c>
      <c r="C139" s="4">
        <f>E138</f>
        <v>-4.4398801724970847</v>
      </c>
      <c r="D139" s="4">
        <f t="shared" si="47"/>
        <v>13.163869645885562</v>
      </c>
      <c r="E139" s="4">
        <f t="shared" si="47"/>
        <v>-4.4398801724970847</v>
      </c>
      <c r="F139" s="4">
        <f t="shared" si="48"/>
        <v>-286.63223895312137</v>
      </c>
      <c r="G139" s="4">
        <f t="shared" si="49"/>
        <v>-286.63223895312137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1356.694691123432</v>
      </c>
      <c r="Q140" s="4">
        <f>SUM(Q132:Q139)</f>
        <v>9994.1088279537908</v>
      </c>
      <c r="R140" s="4">
        <f>SUM(R132:R139)</f>
        <v>-8009.164588630385</v>
      </c>
    </row>
    <row r="142" spans="1:18" x14ac:dyDescent="0.25">
      <c r="O142" t="s">
        <v>96</v>
      </c>
      <c r="P142" s="1">
        <f>-1*R140/P140</f>
        <v>5.9034391753963984</v>
      </c>
    </row>
    <row r="143" spans="1:18" x14ac:dyDescent="0.25">
      <c r="O143" t="s">
        <v>97</v>
      </c>
      <c r="P143" s="1">
        <f>Q140/P140</f>
        <v>7.3665128148161427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13.163869645885562</v>
      </c>
      <c r="C146" s="9">
        <f>J84</f>
        <v>-4.4398801724970847</v>
      </c>
      <c r="D146" s="9">
        <f t="shared" ref="D146:E153" si="61">I85</f>
        <v>13.163869645885562</v>
      </c>
      <c r="E146">
        <f t="shared" si="61"/>
        <v>-4.4398801724970847</v>
      </c>
      <c r="F146" s="4">
        <f>($B$66/$B$65)*(C146-$B$125)</f>
        <v>-286.63223895312137</v>
      </c>
      <c r="G146" s="4">
        <f>($B$66/$B$65)*(E146-$B$125)</f>
        <v>-286.63223895312137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13.163869645885562</v>
      </c>
      <c r="C147">
        <f t="shared" si="62"/>
        <v>-4.4398801724970847</v>
      </c>
      <c r="D147" s="9">
        <f t="shared" si="61"/>
        <v>13.163869645885562</v>
      </c>
      <c r="E147">
        <f t="shared" si="61"/>
        <v>-4.4398801724970847</v>
      </c>
      <c r="F147" s="4">
        <f t="shared" ref="F147:F153" si="63">($B$66/$B$65)*(C147-$B$125)</f>
        <v>-286.63223895312137</v>
      </c>
      <c r="G147" s="4">
        <f t="shared" ref="G147:G153" si="64">($B$66/$B$65)*(E147-$B$125)</f>
        <v>-286.63223895312137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13.163869645885562</v>
      </c>
      <c r="C148">
        <f t="shared" si="62"/>
        <v>-4.4398801724970847</v>
      </c>
      <c r="D148" s="9">
        <f t="shared" si="61"/>
        <v>13.163869645885562</v>
      </c>
      <c r="E148">
        <f t="shared" si="61"/>
        <v>-4.4398801724970847</v>
      </c>
      <c r="F148" s="4">
        <f t="shared" si="63"/>
        <v>-286.63223895312137</v>
      </c>
      <c r="G148" s="4">
        <f t="shared" si="64"/>
        <v>-286.63223895312137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13.163869645885562</v>
      </c>
      <c r="C149">
        <f t="shared" si="62"/>
        <v>-4.4398801724970847</v>
      </c>
      <c r="D149" s="9">
        <f t="shared" si="61"/>
        <v>13.163869645885562</v>
      </c>
      <c r="E149">
        <f t="shared" si="61"/>
        <v>-4.4398801724970847</v>
      </c>
      <c r="F149" s="4">
        <f t="shared" si="63"/>
        <v>-286.63223895312137</v>
      </c>
      <c r="G149" s="4">
        <f t="shared" si="64"/>
        <v>-286.63223895312137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13.163869645885562</v>
      </c>
      <c r="C150">
        <f t="shared" si="62"/>
        <v>-4.4398801724970847</v>
      </c>
      <c r="D150" s="9">
        <f t="shared" si="61"/>
        <v>13.163869645885562</v>
      </c>
      <c r="E150">
        <f t="shared" si="61"/>
        <v>-4.4398801724970847</v>
      </c>
      <c r="F150" s="4">
        <f t="shared" si="63"/>
        <v>-286.63223895312137</v>
      </c>
      <c r="G150" s="4">
        <f t="shared" si="64"/>
        <v>-286.63223895312137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13.163869645885562</v>
      </c>
      <c r="C151">
        <f t="shared" si="62"/>
        <v>-4.4398801724970847</v>
      </c>
      <c r="D151" s="9">
        <f t="shared" si="61"/>
        <v>13.163869645885562</v>
      </c>
      <c r="E151">
        <f t="shared" si="61"/>
        <v>-4.4398801724970847</v>
      </c>
      <c r="F151" s="4">
        <f t="shared" si="63"/>
        <v>-286.63223895312137</v>
      </c>
      <c r="G151" s="4">
        <f t="shared" si="64"/>
        <v>-286.63223895312137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13.163869645885562</v>
      </c>
      <c r="C152">
        <f t="shared" si="62"/>
        <v>-4.4398801724970847</v>
      </c>
      <c r="D152" s="9">
        <f t="shared" si="61"/>
        <v>13.163869645885562</v>
      </c>
      <c r="E152">
        <f t="shared" si="61"/>
        <v>-4.4398801724970847</v>
      </c>
      <c r="F152" s="4">
        <f t="shared" si="63"/>
        <v>-286.63223895312137</v>
      </c>
      <c r="G152" s="4">
        <f t="shared" si="64"/>
        <v>-286.63223895312137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13.163869645885562</v>
      </c>
      <c r="C153">
        <f t="shared" si="62"/>
        <v>-4.4398801724970847</v>
      </c>
      <c r="D153" s="9">
        <f t="shared" si="61"/>
        <v>13.163869645885562</v>
      </c>
      <c r="E153">
        <f t="shared" si="61"/>
        <v>-4.4398801724970847</v>
      </c>
      <c r="F153" s="4">
        <f t="shared" si="63"/>
        <v>-286.63223895312137</v>
      </c>
      <c r="G153" s="4">
        <f t="shared" si="64"/>
        <v>-286.63223895312137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2.0094132567871625E-5</v>
      </c>
      <c r="C159" t="s">
        <v>36</v>
      </c>
    </row>
    <row r="160" spans="1:18" x14ac:dyDescent="0.25">
      <c r="A160" s="1" t="s">
        <v>106</v>
      </c>
      <c r="B160" s="4">
        <f>Q140+I122+Q154-O122</f>
        <v>14170.826411864133</v>
      </c>
      <c r="C160" t="s">
        <v>102</v>
      </c>
    </row>
    <row r="161" spans="1:9" x14ac:dyDescent="0.25">
      <c r="A161" s="1" t="s">
        <v>107</v>
      </c>
      <c r="B161" s="4">
        <f>R140+J122+R154-P122</f>
        <v>-9337.4346164002327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2.0094132567871625E-5</v>
      </c>
      <c r="C164" t="s">
        <v>36</v>
      </c>
      <c r="E164" s="8">
        <f>B2-B164</f>
        <v>-2.0094132567871625E-5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-12000.000145954546</v>
      </c>
      <c r="C165" t="s">
        <v>102</v>
      </c>
      <c r="E165" s="8">
        <f>B3+B165</f>
        <v>-1.4595454558730125E-4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-12000.000121159428</v>
      </c>
      <c r="C166" t="s">
        <v>102</v>
      </c>
      <c r="E166" s="8">
        <f>B4+B166</f>
        <v>-1.2115942809032276E-4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110.41592937247796</v>
      </c>
      <c r="B169" s="1">
        <f ca="1">IF(E122=0,0,(MIN(H110:H121)*B65)/(B55*B56*E122))</f>
        <v>-110.41592773474508</v>
      </c>
      <c r="C169" s="3">
        <f ca="1">A169+B169</f>
        <v>1.6377328790895263E-6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6.6888338171635032E-8</v>
      </c>
      <c r="C175" s="27">
        <f>B65*SQRT(I175)</f>
        <v>5.6563616511904844E-8</v>
      </c>
      <c r="D175" s="27">
        <f>B66*SQRT(I175)</f>
        <v>1.6377328967268651E-6</v>
      </c>
      <c r="E175" s="27">
        <f>B67*SQRT(I175)</f>
        <v>5.1163977854210945E-6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4.5096109064594554</v>
      </c>
      <c r="C176" s="3">
        <f>B65+C175</f>
        <v>3.813518303838598</v>
      </c>
      <c r="D176" s="3">
        <f>D175+B66</f>
        <v>110.41593101021085</v>
      </c>
      <c r="E176" s="3">
        <f>B67+E175</f>
        <v>344.94747344021164</v>
      </c>
      <c r="F176" s="16" t="s">
        <v>125</v>
      </c>
    </row>
    <row r="177" spans="1:13" x14ac:dyDescent="0.25">
      <c r="B177" s="27">
        <f>B176-B64</f>
        <v>6.6888338423609639E-8</v>
      </c>
      <c r="C177" s="27">
        <f>C176-B65</f>
        <v>5.6563616457339094E-8</v>
      </c>
      <c r="D177" s="27">
        <f>D176-B66</f>
        <v>1.637732893300381E-6</v>
      </c>
      <c r="E177" s="27">
        <f>E176-B67</f>
        <v>5.1163978014301392E-6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-13.163869656200685</v>
      </c>
      <c r="B181" s="25">
        <f>(d_alpha_p!E136-d_alpha_m!E136)/(2*B177)</f>
        <v>-13.163869656200685</v>
      </c>
      <c r="C181" s="25">
        <f>(d_alpha_p!E137-d_alpha_m!E137)/(2*B177)</f>
        <v>-13.163869656200685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2.0094132567871625E-5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1.4595454558730125E-4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1.2115942809032276E-4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-1.6377328790895263E-6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-13.163869656200685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-13.163869656200685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-13.163869656200685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-13.163869656200685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-13.163869656200685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-13.163869656200685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8.9285714285714288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24.23469387755102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-8.9285714285714288</v>
      </c>
      <c r="AB14">
        <f>$B$4/Z14</f>
        <v>15.306122448979592</v>
      </c>
      <c r="AC14">
        <f>$I$2+AA14+AB14</f>
        <v>6.3775510204081627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8.9285714285714288</v>
      </c>
      <c r="AB15">
        <f t="shared" ref="AB15:AB21" si="11">$B$4/Z15</f>
        <v>15.306122448979592</v>
      </c>
      <c r="AC15">
        <f t="shared" ref="AC15:AC20" si="12">$I$2+AA15+AB15</f>
        <v>24.23469387755102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8.9285714285714288</v>
      </c>
      <c r="AB16">
        <f t="shared" si="11"/>
        <v>-15.306122448979592</v>
      </c>
      <c r="AC16">
        <f t="shared" si="12"/>
        <v>-6.3775510204081627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-8.9285714285714288</v>
      </c>
      <c r="AB17">
        <f t="shared" si="11"/>
        <v>-15.306122448979592</v>
      </c>
      <c r="AC17">
        <f t="shared" si="12"/>
        <v>-24.23469387755102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-8.9285714285714288</v>
      </c>
      <c r="AB18">
        <f t="shared" si="11"/>
        <v>-15.306122448979592</v>
      </c>
      <c r="AC18">
        <f t="shared" si="12"/>
        <v>-24.23469387755102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-8.9285714285714288</v>
      </c>
      <c r="AB19">
        <f t="shared" si="11"/>
        <v>-15.306122448979592</v>
      </c>
      <c r="AC19">
        <f t="shared" si="12"/>
        <v>-24.23469387755102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-8.9285714285714288</v>
      </c>
      <c r="AB20">
        <f t="shared" si="11"/>
        <v>-15.306122448979592</v>
      </c>
      <c r="AC20">
        <f t="shared" si="12"/>
        <v>-24.23469387755102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21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21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15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15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4.509610839571117</v>
      </c>
      <c r="C64" t="s">
        <v>19</v>
      </c>
      <c r="D64" t="s">
        <v>34</v>
      </c>
      <c r="H64" s="17">
        <f>DEGREES(B64)</f>
        <v>258.38166835387278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3.8135182472749816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110.4159260970122</v>
      </c>
      <c r="C66" t="s">
        <v>11</v>
      </c>
      <c r="D66">
        <f>B66/B53</f>
        <v>2.8566663513364059E-2</v>
      </c>
      <c r="I66" s="20"/>
    </row>
    <row r="67" spans="1:18" x14ac:dyDescent="0.25">
      <c r="A67" s="1" t="s">
        <v>37</v>
      </c>
      <c r="B67" s="17">
        <f>'Rigid Bearing Plate Analysis'!B67</f>
        <v>344.94746832381384</v>
      </c>
      <c r="C67" t="s">
        <v>36</v>
      </c>
      <c r="D67" t="s">
        <v>122</v>
      </c>
      <c r="G67" s="20">
        <f ca="1">($B$56*$B$66*$B$55*$E$122)/$B$65</f>
        <v>344.94746320741604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-14.163869645885562</v>
      </c>
      <c r="R76">
        <f>Q76</f>
        <v>-14.163869645885562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14.163869645885562</v>
      </c>
      <c r="R77">
        <f>Q77</f>
        <v>14.163869645885562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13.163869645885562</v>
      </c>
      <c r="C84" s="1">
        <f t="shared" ref="C84:C92" si="23">(-1*B73*SIN($B$64))+(C73*COS($B$64))</f>
        <v>-4.4398801724970847</v>
      </c>
      <c r="H84" s="1">
        <f t="shared" ref="H84:H92" si="24">H73</f>
        <v>1</v>
      </c>
      <c r="I84" s="4">
        <f>(I73*COS($B$64))+(J73*SIN($B$64))</f>
        <v>13.163869645885562</v>
      </c>
      <c r="J84" s="1">
        <f>(-1*I73*SIN($B$64))+(J73*COS($B$64))</f>
        <v>-4.4398801724970847</v>
      </c>
    </row>
    <row r="85" spans="1:10" x14ac:dyDescent="0.25">
      <c r="A85" s="1">
        <f t="shared" si="21"/>
        <v>2</v>
      </c>
      <c r="B85" s="4">
        <f t="shared" si="22"/>
        <v>10.344391115744241</v>
      </c>
      <c r="C85" s="1">
        <f t="shared" si="23"/>
        <v>9.2732719384536324</v>
      </c>
      <c r="H85" s="1">
        <f t="shared" si="24"/>
        <v>2</v>
      </c>
      <c r="I85" s="4">
        <f t="shared" ref="I85:I92" si="25">(I74*COS($B$64))+(J74*SIN($B$64))</f>
        <v>13.163869645885562</v>
      </c>
      <c r="J85" s="1">
        <f t="shared" ref="J85:J92" si="26">(-1*I74*SIN($B$64))+(J74*COS($B$64))</f>
        <v>-4.4398801724970847</v>
      </c>
    </row>
    <row r="86" spans="1:10" x14ac:dyDescent="0.25">
      <c r="A86" s="1">
        <f t="shared" si="21"/>
        <v>3</v>
      </c>
      <c r="B86" s="4">
        <f t="shared" si="22"/>
        <v>-13.163869645885562</v>
      </c>
      <c r="C86" s="1">
        <f t="shared" si="23"/>
        <v>4.4398801724970847</v>
      </c>
      <c r="H86" s="1">
        <f t="shared" si="24"/>
        <v>3</v>
      </c>
      <c r="I86" s="4">
        <f t="shared" si="25"/>
        <v>13.163869645885562</v>
      </c>
      <c r="J86" s="1">
        <f t="shared" si="26"/>
        <v>-4.4398801724970847</v>
      </c>
    </row>
    <row r="87" spans="1:10" x14ac:dyDescent="0.25">
      <c r="A87" s="1">
        <f t="shared" si="21"/>
        <v>4</v>
      </c>
      <c r="B87" s="4">
        <f t="shared" si="22"/>
        <v>-10.344391115744241</v>
      </c>
      <c r="C87" s="1">
        <f t="shared" si="23"/>
        <v>-9.2732719384536324</v>
      </c>
      <c r="H87" s="1">
        <f t="shared" si="24"/>
        <v>4</v>
      </c>
      <c r="I87" s="4">
        <f t="shared" si="25"/>
        <v>13.163869645885562</v>
      </c>
      <c r="J87" s="1">
        <f t="shared" si="26"/>
        <v>-4.4398801724970847</v>
      </c>
    </row>
    <row r="88" spans="1:10" x14ac:dyDescent="0.25">
      <c r="A88" s="1">
        <f t="shared" si="21"/>
        <v>5</v>
      </c>
      <c r="B88" s="4">
        <f t="shared" si="22"/>
        <v>13.163869645885562</v>
      </c>
      <c r="C88" s="1">
        <f t="shared" si="23"/>
        <v>-4.4398801724970847</v>
      </c>
      <c r="H88" s="1">
        <f t="shared" si="24"/>
        <v>5</v>
      </c>
      <c r="I88" s="4">
        <f t="shared" si="25"/>
        <v>13.163869645885562</v>
      </c>
      <c r="J88" s="1">
        <f t="shared" si="26"/>
        <v>-4.4398801724970847</v>
      </c>
    </row>
    <row r="89" spans="1:10" x14ac:dyDescent="0.25">
      <c r="A89" s="1">
        <f t="shared" si="21"/>
        <v>6</v>
      </c>
      <c r="B89" s="4">
        <f t="shared" si="22"/>
        <v>13.163869645885562</v>
      </c>
      <c r="C89" s="1">
        <f t="shared" si="23"/>
        <v>-4.4398801724970847</v>
      </c>
      <c r="H89" s="1">
        <f t="shared" si="24"/>
        <v>6</v>
      </c>
      <c r="I89" s="4">
        <f t="shared" si="25"/>
        <v>13.163869645885562</v>
      </c>
      <c r="J89" s="1">
        <f t="shared" si="26"/>
        <v>-4.4398801724970847</v>
      </c>
    </row>
    <row r="90" spans="1:10" x14ac:dyDescent="0.25">
      <c r="A90" s="1">
        <f t="shared" si="21"/>
        <v>7</v>
      </c>
      <c r="B90" s="4">
        <f t="shared" si="22"/>
        <v>13.163869645885562</v>
      </c>
      <c r="C90" s="1">
        <f t="shared" si="23"/>
        <v>-4.4398801724970847</v>
      </c>
      <c r="H90" s="1">
        <f t="shared" si="24"/>
        <v>7</v>
      </c>
      <c r="I90" s="4">
        <f t="shared" si="25"/>
        <v>13.163869645885562</v>
      </c>
      <c r="J90" s="1">
        <f t="shared" si="26"/>
        <v>-4.4398801724970847</v>
      </c>
    </row>
    <row r="91" spans="1:10" x14ac:dyDescent="0.25">
      <c r="A91" s="1">
        <f t="shared" si="21"/>
        <v>8</v>
      </c>
      <c r="B91" s="4">
        <f t="shared" si="22"/>
        <v>13.163869645885562</v>
      </c>
      <c r="C91" s="1">
        <f t="shared" si="23"/>
        <v>-4.4398801724970847</v>
      </c>
      <c r="H91" s="1">
        <f t="shared" si="24"/>
        <v>8</v>
      </c>
      <c r="I91" s="4">
        <f t="shared" si="25"/>
        <v>13.163869645885562</v>
      </c>
      <c r="J91" s="1">
        <f t="shared" si="26"/>
        <v>-4.4398801724970847</v>
      </c>
    </row>
    <row r="92" spans="1:10" x14ac:dyDescent="0.25">
      <c r="A92" s="1">
        <f t="shared" si="21"/>
        <v>9</v>
      </c>
      <c r="B92" s="4">
        <f t="shared" si="22"/>
        <v>13.163869645885562</v>
      </c>
      <c r="C92" s="1">
        <f t="shared" si="23"/>
        <v>-4.4398801724970847</v>
      </c>
      <c r="H92" s="1">
        <f t="shared" si="24"/>
        <v>9</v>
      </c>
      <c r="I92" s="4">
        <f t="shared" si="25"/>
        <v>13.163869645885562</v>
      </c>
      <c r="J92" s="1">
        <f t="shared" si="26"/>
        <v>-4.4398801724970847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9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9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9.6211630799372685</v>
      </c>
      <c r="C110" s="1">
        <f>(-1*B95*SIN($B$64))+(C95*COS($B$64))</f>
        <v>-2.1055215480379279</v>
      </c>
      <c r="D110" t="str">
        <f t="shared" ref="D110" si="31">D95</f>
        <v>y</v>
      </c>
      <c r="E110" s="4">
        <f t="shared" ref="E110:E121" si="32">IF($D110="y",$B$125-C110,0)</f>
        <v>7.5652752392165787</v>
      </c>
      <c r="F110" s="1">
        <f>IF($D110="y",B110,NA())</f>
        <v>9.6211630799372685</v>
      </c>
      <c r="G110" s="1">
        <f>IF($D110="y",C110,NA())</f>
        <v>-2.1055215480379279</v>
      </c>
      <c r="H110">
        <f t="shared" ref="H110:H121" si="33">IF($E$122=0,0,-1*MAX(($B$67/$E$122)*(E110),0))</f>
        <v>-233.20358660814398</v>
      </c>
      <c r="I110">
        <f>H110*C110</f>
        <v>491.01517668317632</v>
      </c>
      <c r="J110">
        <f>H110*B110*-1</f>
        <v>2243.6897375832282</v>
      </c>
      <c r="K110">
        <f ca="1">H110/$B$55</f>
        <v>-1643.4497434576983</v>
      </c>
      <c r="L110">
        <f ca="1">K110/$B$54</f>
        <v>-5.6670680808886147E-2</v>
      </c>
      <c r="M110">
        <f t="shared" ref="M110:M121" si="34">IFERROR(($D$66/$B$65)*(G110-$B$125),0)</f>
        <v>-5.6670679968324117E-2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8.0100324912850844</v>
      </c>
      <c r="C111" s="1">
        <f t="shared" ref="C111:C121" si="37">(-1*B96*SIN($B$64))+(C96*COS($B$64))</f>
        <v>5.7305653725053389</v>
      </c>
      <c r="D111" t="str">
        <f t="shared" si="35"/>
        <v>y</v>
      </c>
      <c r="E111" s="4">
        <f t="shared" si="32"/>
        <v>-0.27081168132668765</v>
      </c>
      <c r="F111" s="1">
        <f t="shared" ref="F111:G121" si="38">IF($D111="y",B111,NA())</f>
        <v>8.0100324912850844</v>
      </c>
      <c r="G111" s="1">
        <f t="shared" si="38"/>
        <v>5.7305653725053389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2.0286217802880304E-3</v>
      </c>
      <c r="N111">
        <f t="shared" ref="N111:N121" si="42">IF(AND(M111&gt;0,D111="y",$E$60="y"),$B$53*M111*$E$59,0)</f>
        <v>1.9485350356127498</v>
      </c>
      <c r="O111">
        <f t="shared" ref="O111:O121" si="43">N111*C111</f>
        <v>11.166207402195882</v>
      </c>
      <c r="P111">
        <f t="shared" ref="P111:P121" si="44">N111*B111*-1</f>
        <v>-15.607828945665466</v>
      </c>
    </row>
    <row r="112" spans="1:16" x14ac:dyDescent="0.25">
      <c r="A112">
        <f t="shared" si="35"/>
        <v>3</v>
      </c>
      <c r="B112" s="1">
        <f t="shared" si="36"/>
        <v>3.7440978895298169</v>
      </c>
      <c r="C112" s="1">
        <f t="shared" si="37"/>
        <v>-3.3138694895270651</v>
      </c>
      <c r="D112" t="str">
        <f t="shared" si="35"/>
        <v>y</v>
      </c>
      <c r="E112" s="4">
        <f t="shared" si="32"/>
        <v>8.7736231807057159</v>
      </c>
      <c r="F112" s="1">
        <f t="shared" si="38"/>
        <v>3.7440978895298169</v>
      </c>
      <c r="G112" s="1">
        <f t="shared" si="38"/>
        <v>-3.3138694895270651</v>
      </c>
      <c r="H112">
        <f t="shared" si="33"/>
        <v>-270.45154718003391</v>
      </c>
      <c r="I112">
        <f t="shared" si="39"/>
        <v>896.24113059530396</v>
      </c>
      <c r="J112">
        <f t="shared" si="40"/>
        <v>1012.5970670168387</v>
      </c>
      <c r="K112">
        <f t="shared" ref="K112:K121" ca="1" si="45">H112/$B$55</f>
        <v>-1905.9463548372473</v>
      </c>
      <c r="L112">
        <f t="shared" ca="1" si="41"/>
        <v>-6.5722288097836118E-2</v>
      </c>
      <c r="M112">
        <f t="shared" si="34"/>
        <v>-6.5722287123017059E-2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2.1329673008776338</v>
      </c>
      <c r="C113" s="1">
        <f t="shared" si="37"/>
        <v>4.5222174310162018</v>
      </c>
      <c r="D113" t="str">
        <f t="shared" si="35"/>
        <v>y</v>
      </c>
      <c r="E113" s="4">
        <f t="shared" si="32"/>
        <v>0.93753626016244951</v>
      </c>
      <c r="F113" s="1">
        <f t="shared" si="38"/>
        <v>2.1329673008776338</v>
      </c>
      <c r="G113" s="1">
        <f t="shared" si="38"/>
        <v>4.5222174310162018</v>
      </c>
      <c r="H113">
        <f t="shared" si="33"/>
        <v>-28.900048118766147</v>
      </c>
      <c r="I113">
        <f t="shared" si="39"/>
        <v>-130.69230135989127</v>
      </c>
      <c r="J113">
        <f t="shared" si="40"/>
        <v>61.642857631118368</v>
      </c>
      <c r="K113">
        <f t="shared" ca="1" si="45"/>
        <v>-203.66657887860592</v>
      </c>
      <c r="L113">
        <f t="shared" ca="1" si="41"/>
        <v>-7.022985478572618E-3</v>
      </c>
      <c r="M113">
        <f t="shared" si="34"/>
        <v>-7.0229853744049097E-3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-8.0100324912850844</v>
      </c>
      <c r="C114" s="1">
        <f t="shared" si="37"/>
        <v>-5.7305653725053389</v>
      </c>
      <c r="D114" t="str">
        <f t="shared" si="35"/>
        <v>y</v>
      </c>
      <c r="E114" s="4">
        <f t="shared" si="32"/>
        <v>11.19031906368399</v>
      </c>
      <c r="F114" s="1">
        <f t="shared" si="38"/>
        <v>-8.0100324912850844</v>
      </c>
      <c r="G114" s="1">
        <f t="shared" si="38"/>
        <v>-5.7305653725053389</v>
      </c>
      <c r="H114">
        <f t="shared" si="33"/>
        <v>-344.94746832381384</v>
      </c>
      <c r="I114">
        <f t="shared" si="39"/>
        <v>1976.7440173098298</v>
      </c>
      <c r="J114">
        <f t="shared" si="40"/>
        <v>-2763.0404290602814</v>
      </c>
      <c r="K114">
        <f t="shared" ca="1" si="45"/>
        <v>-2430.9395775963458</v>
      </c>
      <c r="L114">
        <f t="shared" ca="1" si="41"/>
        <v>-8.3825502675736061E-2</v>
      </c>
      <c r="M114">
        <f t="shared" si="34"/>
        <v>-8.3825501432402943E-2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-9.6211630799372685</v>
      </c>
      <c r="C115" s="1">
        <f t="shared" si="37"/>
        <v>2.1055215480379279</v>
      </c>
      <c r="D115" t="str">
        <f t="shared" si="35"/>
        <v>y</v>
      </c>
      <c r="E115" s="4">
        <f t="shared" si="32"/>
        <v>3.3542321431407234</v>
      </c>
      <c r="F115" s="1">
        <f t="shared" si="38"/>
        <v>-9.6211630799372685</v>
      </c>
      <c r="G115" s="1">
        <f t="shared" si="38"/>
        <v>2.1055215480379279</v>
      </c>
      <c r="H115">
        <f t="shared" si="33"/>
        <v>-103.39596926254605</v>
      </c>
      <c r="I115">
        <f t="shared" si="39"/>
        <v>-217.70244126255795</v>
      </c>
      <c r="J115">
        <f t="shared" si="40"/>
        <v>-994.7894820831367</v>
      </c>
      <c r="K115">
        <f t="shared" ca="1" si="45"/>
        <v>-728.65980163770416</v>
      </c>
      <c r="L115">
        <f t="shared" ca="1" si="41"/>
        <v>-2.5126200056472557E-2</v>
      </c>
      <c r="M115">
        <f t="shared" si="34"/>
        <v>-2.5126199683790786E-2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-2.1329673008776338</v>
      </c>
      <c r="C116" s="1">
        <f t="shared" si="37"/>
        <v>-4.5222174310162018</v>
      </c>
      <c r="D116" t="str">
        <f t="shared" si="35"/>
        <v>y</v>
      </c>
      <c r="E116" s="4">
        <f t="shared" si="32"/>
        <v>9.9819711221948531</v>
      </c>
      <c r="F116" s="1">
        <f t="shared" si="38"/>
        <v>-2.1329673008776338</v>
      </c>
      <c r="G116" s="1">
        <f t="shared" si="38"/>
        <v>-4.5222174310162018</v>
      </c>
      <c r="H116">
        <f t="shared" si="33"/>
        <v>-307.69950775192387</v>
      </c>
      <c r="I116">
        <f t="shared" si="39"/>
        <v>1391.484077470855</v>
      </c>
      <c r="J116">
        <f t="shared" si="40"/>
        <v>-656.31298853099759</v>
      </c>
      <c r="K116">
        <f t="shared" ca="1" si="45"/>
        <v>-2168.4429662167968</v>
      </c>
      <c r="L116">
        <f t="shared" ca="1" si="41"/>
        <v>-7.4773895386786096E-2</v>
      </c>
      <c r="M116">
        <f t="shared" si="34"/>
        <v>-7.4773894277710001E-2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-3.7440978895298169</v>
      </c>
      <c r="C117" s="1">
        <f t="shared" si="37"/>
        <v>3.3138694895270651</v>
      </c>
      <c r="D117" t="str">
        <f t="shared" si="35"/>
        <v>y</v>
      </c>
      <c r="E117" s="4">
        <f t="shared" si="32"/>
        <v>2.1458842016515862</v>
      </c>
      <c r="F117" s="1">
        <f t="shared" si="38"/>
        <v>-3.7440978895298169</v>
      </c>
      <c r="G117" s="1">
        <f t="shared" si="38"/>
        <v>3.3138694895270651</v>
      </c>
      <c r="H117">
        <f t="shared" si="33"/>
        <v>-66.148008690656084</v>
      </c>
      <c r="I117">
        <f t="shared" si="39"/>
        <v>-219.20586779293635</v>
      </c>
      <c r="J117">
        <f t="shared" si="40"/>
        <v>-247.66461973528544</v>
      </c>
      <c r="K117">
        <f t="shared" ca="1" si="45"/>
        <v>-466.163190258155</v>
      </c>
      <c r="L117">
        <f t="shared" ca="1" si="41"/>
        <v>-1.6074592767522586E-2</v>
      </c>
      <c r="M117">
        <f t="shared" si="34"/>
        <v>-1.6074592529097848E-2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13.163869645885562</v>
      </c>
      <c r="C118" s="1">
        <f t="shared" si="37"/>
        <v>-4.4398801724970847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13.163869645885562</v>
      </c>
      <c r="C119" s="1">
        <f t="shared" si="37"/>
        <v>-4.4398801724970847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13.163869645885562</v>
      </c>
      <c r="C120" s="1">
        <f t="shared" si="37"/>
        <v>-4.4398801724970847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13.163869645885562</v>
      </c>
      <c r="C121" s="1">
        <f t="shared" si="37"/>
        <v>-4.4398801724970847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11.19031906368399</v>
      </c>
      <c r="H122">
        <f>SUM(H110:H121)</f>
        <v>-1354.7461359358838</v>
      </c>
      <c r="I122">
        <f t="shared" ref="I122:J122" si="46">SUM(I110:I121)</f>
        <v>4187.8837916437806</v>
      </c>
      <c r="J122">
        <f t="shared" si="46"/>
        <v>-1343.8778571785163</v>
      </c>
      <c r="L122">
        <f ca="1">MIN(L110:L121)</f>
        <v>-8.3825502675736061E-2</v>
      </c>
      <c r="M122">
        <f>MIN(M110:M121)</f>
        <v>-8.3825501432402943E-2</v>
      </c>
      <c r="N122">
        <f>SUM(N110:N121)</f>
        <v>1.9485350356127498</v>
      </c>
      <c r="O122">
        <f>SUM(O110:O121)</f>
        <v>11.166207402195882</v>
      </c>
      <c r="P122">
        <f>SUM(P110:P121)</f>
        <v>-15.607828945665466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5.4597536911786513</v>
      </c>
      <c r="F125" s="1" t="s">
        <v>27</v>
      </c>
      <c r="G125" s="1" t="s">
        <v>28</v>
      </c>
    </row>
    <row r="126" spans="1:16" x14ac:dyDescent="0.25">
      <c r="F126" s="4">
        <f>MIN(B84:B90)-1</f>
        <v>-14.163869645885562</v>
      </c>
      <c r="G126" s="4">
        <f>B125</f>
        <v>5.4597536911786513</v>
      </c>
    </row>
    <row r="127" spans="1:16" x14ac:dyDescent="0.25">
      <c r="F127" s="4">
        <f>MAX(B84:B90)+1</f>
        <v>14.163869645885562</v>
      </c>
      <c r="G127" s="4">
        <f>G126</f>
        <v>5.4597536911786513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13.163869645885562</v>
      </c>
      <c r="C132" s="4">
        <f>C84</f>
        <v>-4.4398801724970847</v>
      </c>
      <c r="D132" s="4">
        <f t="shared" ref="D132:E139" si="47">B85</f>
        <v>10.344391115744241</v>
      </c>
      <c r="E132" s="4">
        <f t="shared" si="47"/>
        <v>9.2732719384536324</v>
      </c>
      <c r="F132" s="4">
        <f t="shared" ref="F132:F139" si="48">($B$66/$B$65)*(C132-$B$125)</f>
        <v>-286.63223045023511</v>
      </c>
      <c r="G132" s="4">
        <f t="shared" ref="G132:G139" si="49">($B$66/$B$65)*(E132-$B$125)</f>
        <v>110.41592609701219</v>
      </c>
      <c r="H132" s="4">
        <f>IF(B132=D132,"V",(C132-E132)/(B132-D132))</f>
        <v>-4.8637192886385874</v>
      </c>
      <c r="I132" s="4">
        <f>IF(H132="V",0,(-1*B132*H132)+C132)</f>
        <v>59.585486537320534</v>
      </c>
      <c r="J132" s="4">
        <f>IF($F132&gt;=0,B132,IF(AND($F132&lt;0,$G132&gt;=0),IF(H132="V",B132,($B$125-I132)/H132),0))</f>
        <v>11.128465611199433</v>
      </c>
      <c r="K132" s="4">
        <f>IF($F132&gt;=0,C132,IF(AND($F132&lt;0,$G132&gt;=0),$B$125,0))</f>
        <v>5.4597536911786513</v>
      </c>
      <c r="L132" s="4">
        <f>IF($G132&gt;=0,D132,IF(AND($G132&lt;0,$F132&gt;=0),IF(H132="V",D132,($B$125-I132)/H132),0))</f>
        <v>10.344391115744241</v>
      </c>
      <c r="M132" s="4">
        <f>IF($G132&gt;=0,E132,IF(AND($G132&lt;0,$F132&gt;=0),$B$125,0))</f>
        <v>9.2732719384536324</v>
      </c>
      <c r="N132" s="4">
        <f>IF(F132&lt;0,0,F132)</f>
        <v>0</v>
      </c>
      <c r="O132" s="4">
        <f>IF(G132&lt;0,0,G132)</f>
        <v>110.41592609701219</v>
      </c>
      <c r="P132" s="4">
        <f>(1/6)*(M132-K132)*((N132*((2*J132)+L132))+(O132*(J132+(2*L132))))</f>
        <v>2232.8981233973882</v>
      </c>
      <c r="Q132" s="4">
        <f>((1/12)*(M132-K132)*(N132*J132*((3*K132)+M132)+N132*L132*(K132+M132)+O132*J132*(K132+M132)+O132*L132*(K132+(3*M132))))</f>
        <v>17832.89883511098</v>
      </c>
      <c r="R132" s="4">
        <f>((-1/24)*(M132-K132)*(J132*J132*((3*N132)+O132)+2*J132*L132*(N132+O132)+L132*L132*(N132+(3*O132))))</f>
        <v>-11844.37417111325</v>
      </c>
    </row>
    <row r="133" spans="1:18" x14ac:dyDescent="0.25">
      <c r="A133" t="s">
        <v>70</v>
      </c>
      <c r="B133" s="4">
        <f t="shared" ref="B133:C138" si="50">D132</f>
        <v>10.344391115744241</v>
      </c>
      <c r="C133" s="4">
        <f t="shared" si="50"/>
        <v>9.2732719384536324</v>
      </c>
      <c r="D133" s="4">
        <f t="shared" si="47"/>
        <v>-13.163869645885562</v>
      </c>
      <c r="E133" s="4">
        <f t="shared" si="47"/>
        <v>4.4398801724970847</v>
      </c>
      <c r="F133" s="4">
        <f t="shared" si="48"/>
        <v>110.41592609701219</v>
      </c>
      <c r="G133" s="4">
        <f t="shared" si="49"/>
        <v>-29.529235672993401</v>
      </c>
      <c r="H133" s="4">
        <f t="shared" ref="H133:H139" si="51">IF(B133=D133,"V",(C133-E133)/(B133-D133))</f>
        <v>0.20560397108771283</v>
      </c>
      <c r="I133" s="4">
        <f t="shared" ref="I133:I139" si="52">IF(H133="V",0,(-1*B133*H133)+C133)</f>
        <v>7.14642404657216</v>
      </c>
      <c r="J133" s="4">
        <f t="shared" ref="J133:J139" si="53">IF($F133&gt;=0,B133,IF(AND($F133&lt;0,$G133&gt;=0),IF(H133="V",B133,($B$125-I133)/H133),0))</f>
        <v>10.344391115744241</v>
      </c>
      <c r="K133" s="4">
        <f t="shared" ref="K133:K139" si="54">IF($F133&gt;=0,C133,IF(AND($F133&lt;0,$G133&gt;=0),$B$125,0))</f>
        <v>9.2732719384536324</v>
      </c>
      <c r="L133" s="4">
        <f t="shared" ref="L133:L139" si="55">IF($G133&gt;=0,D133,IF(AND($G133&lt;0,$F133&gt;=0),IF(H133="V",D133,($B$125-I133)/H133),0))</f>
        <v>-8.2034911411023153</v>
      </c>
      <c r="M133" s="4">
        <f t="shared" ref="M133:M139" si="56">IF($G133&gt;=0,E133,IF(AND($G133&lt;0,$F133&gt;=0),$B$125,0))</f>
        <v>5.4597536911786513</v>
      </c>
      <c r="N133" s="4">
        <f t="shared" ref="N133:O139" si="57">IF(F133&lt;0,0,F133)</f>
        <v>110.41592609701219</v>
      </c>
      <c r="O133" s="4">
        <f t="shared" si="57"/>
        <v>0</v>
      </c>
      <c r="P133" s="4">
        <f t="shared" ref="P133:P139" si="58">(1/6)*(M133-K133)*((N133*((2*J133)+L133))+(O133*(J133+(2*L133))))</f>
        <v>-876.20347252002432</v>
      </c>
      <c r="Q133" s="4">
        <f t="shared" ref="Q133:Q139" si="59">((1/12)*(M133-K133)*(N133*J133*((3*K133)+M133)+N133*L133*(K133+M133)+O133*J133*(K133+M133)+O133*L133*(K133+(3*M133))))</f>
        <v>-7838.7903036303642</v>
      </c>
      <c r="R133" s="4">
        <f t="shared" ref="R133:R139" si="60">((-1/24)*(M133-K133)*(J133*J133*((3*N133)+O133)+2*J133*L133*(N133+O133)+L133*L133*(N133+(3*O133))))</f>
        <v>3835.2098200730779</v>
      </c>
    </row>
    <row r="134" spans="1:18" x14ac:dyDescent="0.25">
      <c r="A134" t="s">
        <v>71</v>
      </c>
      <c r="B134" s="4">
        <f t="shared" si="50"/>
        <v>-13.163869645885562</v>
      </c>
      <c r="C134" s="4">
        <f t="shared" si="50"/>
        <v>4.4398801724970847</v>
      </c>
      <c r="D134" s="4">
        <f t="shared" si="47"/>
        <v>-10.344391115744241</v>
      </c>
      <c r="E134" s="4">
        <f t="shared" si="47"/>
        <v>-9.2732719384536324</v>
      </c>
      <c r="F134" s="4">
        <f t="shared" si="48"/>
        <v>-29.529235672993401</v>
      </c>
      <c r="G134" s="4">
        <f t="shared" si="49"/>
        <v>-426.57739222024077</v>
      </c>
      <c r="H134" s="4">
        <f t="shared" si="51"/>
        <v>-4.8637192886385874</v>
      </c>
      <c r="I134" s="4">
        <f t="shared" si="52"/>
        <v>-59.585486537320534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-10.344391115744241</v>
      </c>
      <c r="C135" s="4">
        <f t="shared" si="50"/>
        <v>-9.2732719384536324</v>
      </c>
      <c r="D135" s="4">
        <f t="shared" si="47"/>
        <v>13.163869645885562</v>
      </c>
      <c r="E135" s="4">
        <f t="shared" si="47"/>
        <v>-4.4398801724970847</v>
      </c>
      <c r="F135" s="4">
        <f t="shared" si="48"/>
        <v>-426.57739222024077</v>
      </c>
      <c r="G135" s="4">
        <f t="shared" si="49"/>
        <v>-286.63223045023511</v>
      </c>
      <c r="H135" s="4">
        <f t="shared" si="51"/>
        <v>0.20560397108771283</v>
      </c>
      <c r="I135" s="4">
        <f t="shared" si="52"/>
        <v>-7.14642404657216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13.163869645885562</v>
      </c>
      <c r="C136" s="4">
        <f t="shared" si="50"/>
        <v>-4.4398801724970847</v>
      </c>
      <c r="D136" s="4">
        <f t="shared" si="47"/>
        <v>13.163869645885562</v>
      </c>
      <c r="E136" s="4">
        <f t="shared" si="47"/>
        <v>-4.4398801724970847</v>
      </c>
      <c r="F136" s="4">
        <f t="shared" si="48"/>
        <v>-286.63223045023511</v>
      </c>
      <c r="G136" s="4">
        <f t="shared" si="49"/>
        <v>-286.63223045023511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13.163869645885562</v>
      </c>
      <c r="C137" s="4">
        <f t="shared" si="50"/>
        <v>-4.4398801724970847</v>
      </c>
      <c r="D137" s="4">
        <f t="shared" si="47"/>
        <v>13.163869645885562</v>
      </c>
      <c r="E137" s="4">
        <f t="shared" si="47"/>
        <v>-4.4398801724970847</v>
      </c>
      <c r="F137" s="4">
        <f t="shared" si="48"/>
        <v>-286.63223045023511</v>
      </c>
      <c r="G137" s="4">
        <f t="shared" si="49"/>
        <v>-286.63223045023511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13.163869645885562</v>
      </c>
      <c r="C138" s="4">
        <f t="shared" si="50"/>
        <v>-4.4398801724970847</v>
      </c>
      <c r="D138" s="4">
        <f t="shared" si="47"/>
        <v>13.163869645885562</v>
      </c>
      <c r="E138" s="4">
        <f t="shared" si="47"/>
        <v>-4.4398801724970847</v>
      </c>
      <c r="F138" s="4">
        <f t="shared" si="48"/>
        <v>-286.63223045023511</v>
      </c>
      <c r="G138" s="4">
        <f t="shared" si="49"/>
        <v>-286.63223045023511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13.163869645885562</v>
      </c>
      <c r="C139" s="4">
        <f>E138</f>
        <v>-4.4398801724970847</v>
      </c>
      <c r="D139" s="4">
        <f t="shared" si="47"/>
        <v>13.163869645885562</v>
      </c>
      <c r="E139" s="4">
        <f t="shared" si="47"/>
        <v>-4.4398801724970847</v>
      </c>
      <c r="F139" s="4">
        <f t="shared" si="48"/>
        <v>-286.63223045023511</v>
      </c>
      <c r="G139" s="4">
        <f t="shared" si="49"/>
        <v>-286.63223045023511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1356.694650877364</v>
      </c>
      <c r="Q140" s="4">
        <f>SUM(Q132:Q139)</f>
        <v>9994.1085314806151</v>
      </c>
      <c r="R140" s="4">
        <f>SUM(R132:R139)</f>
        <v>-8009.1643510401718</v>
      </c>
    </row>
    <row r="142" spans="1:18" x14ac:dyDescent="0.25">
      <c r="O142" t="s">
        <v>96</v>
      </c>
      <c r="P142" s="1">
        <f>-1*R140/P140</f>
        <v>5.9034391753963993</v>
      </c>
    </row>
    <row r="143" spans="1:18" x14ac:dyDescent="0.25">
      <c r="O143" t="s">
        <v>97</v>
      </c>
      <c r="P143" s="1">
        <f>Q140/P140</f>
        <v>7.3665128148161427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13.163869645885562</v>
      </c>
      <c r="C146" s="9">
        <f>J84</f>
        <v>-4.4398801724970847</v>
      </c>
      <c r="D146" s="9">
        <f t="shared" ref="D146:E153" si="61">I85</f>
        <v>13.163869645885562</v>
      </c>
      <c r="E146">
        <f t="shared" si="61"/>
        <v>-4.4398801724970847</v>
      </c>
      <c r="F146" s="4">
        <f>($B$66/$B$65)*(C146-$B$125)</f>
        <v>-286.63223045023511</v>
      </c>
      <c r="G146" s="4">
        <f>($B$66/$B$65)*(E146-$B$125)</f>
        <v>-286.63223045023511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13.163869645885562</v>
      </c>
      <c r="C147">
        <f t="shared" si="62"/>
        <v>-4.4398801724970847</v>
      </c>
      <c r="D147" s="9">
        <f t="shared" si="61"/>
        <v>13.163869645885562</v>
      </c>
      <c r="E147">
        <f t="shared" si="61"/>
        <v>-4.4398801724970847</v>
      </c>
      <c r="F147" s="4">
        <f t="shared" ref="F147:F153" si="63">($B$66/$B$65)*(C147-$B$125)</f>
        <v>-286.63223045023511</v>
      </c>
      <c r="G147" s="4">
        <f t="shared" ref="G147:G153" si="64">($B$66/$B$65)*(E147-$B$125)</f>
        <v>-286.63223045023511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13.163869645885562</v>
      </c>
      <c r="C148">
        <f t="shared" si="62"/>
        <v>-4.4398801724970847</v>
      </c>
      <c r="D148" s="9">
        <f t="shared" si="61"/>
        <v>13.163869645885562</v>
      </c>
      <c r="E148">
        <f t="shared" si="61"/>
        <v>-4.4398801724970847</v>
      </c>
      <c r="F148" s="4">
        <f t="shared" si="63"/>
        <v>-286.63223045023511</v>
      </c>
      <c r="G148" s="4">
        <f t="shared" si="64"/>
        <v>-286.63223045023511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13.163869645885562</v>
      </c>
      <c r="C149">
        <f t="shared" si="62"/>
        <v>-4.4398801724970847</v>
      </c>
      <c r="D149" s="9">
        <f t="shared" si="61"/>
        <v>13.163869645885562</v>
      </c>
      <c r="E149">
        <f t="shared" si="61"/>
        <v>-4.4398801724970847</v>
      </c>
      <c r="F149" s="4">
        <f t="shared" si="63"/>
        <v>-286.63223045023511</v>
      </c>
      <c r="G149" s="4">
        <f t="shared" si="64"/>
        <v>-286.63223045023511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13.163869645885562</v>
      </c>
      <c r="C150">
        <f t="shared" si="62"/>
        <v>-4.4398801724970847</v>
      </c>
      <c r="D150" s="9">
        <f t="shared" si="61"/>
        <v>13.163869645885562</v>
      </c>
      <c r="E150">
        <f t="shared" si="61"/>
        <v>-4.4398801724970847</v>
      </c>
      <c r="F150" s="4">
        <f t="shared" si="63"/>
        <v>-286.63223045023511</v>
      </c>
      <c r="G150" s="4">
        <f t="shared" si="64"/>
        <v>-286.63223045023511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13.163869645885562</v>
      </c>
      <c r="C151">
        <f t="shared" si="62"/>
        <v>-4.4398801724970847</v>
      </c>
      <c r="D151" s="9">
        <f t="shared" si="61"/>
        <v>13.163869645885562</v>
      </c>
      <c r="E151">
        <f t="shared" si="61"/>
        <v>-4.4398801724970847</v>
      </c>
      <c r="F151" s="4">
        <f t="shared" si="63"/>
        <v>-286.63223045023511</v>
      </c>
      <c r="G151" s="4">
        <f t="shared" si="64"/>
        <v>-286.63223045023511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13.163869645885562</v>
      </c>
      <c r="C152">
        <f t="shared" si="62"/>
        <v>-4.4398801724970847</v>
      </c>
      <c r="D152" s="9">
        <f t="shared" si="61"/>
        <v>13.163869645885562</v>
      </c>
      <c r="E152">
        <f t="shared" si="61"/>
        <v>-4.4398801724970847</v>
      </c>
      <c r="F152" s="4">
        <f t="shared" si="63"/>
        <v>-286.63223045023511</v>
      </c>
      <c r="G152" s="4">
        <f t="shared" si="64"/>
        <v>-286.63223045023511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13.163869645885562</v>
      </c>
      <c r="C153">
        <f t="shared" si="62"/>
        <v>-4.4398801724970847</v>
      </c>
      <c r="D153" s="9">
        <f t="shared" si="61"/>
        <v>13.163869645885562</v>
      </c>
      <c r="E153">
        <f t="shared" si="61"/>
        <v>-4.4398801724970847</v>
      </c>
      <c r="F153" s="4">
        <f t="shared" si="63"/>
        <v>-286.63223045023511</v>
      </c>
      <c r="G153" s="4">
        <f t="shared" si="64"/>
        <v>-286.63223045023511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-2.0094132551662369E-5</v>
      </c>
      <c r="C159" t="s">
        <v>36</v>
      </c>
    </row>
    <row r="160" spans="1:18" x14ac:dyDescent="0.25">
      <c r="A160" s="1" t="s">
        <v>106</v>
      </c>
      <c r="B160" s="4">
        <f>Q140+I122+Q154-O122</f>
        <v>14170.8261157222</v>
      </c>
      <c r="C160" t="s">
        <v>102</v>
      </c>
    </row>
    <row r="161" spans="1:9" x14ac:dyDescent="0.25">
      <c r="A161" s="1" t="s">
        <v>107</v>
      </c>
      <c r="B161" s="4">
        <f>R140+J122+R154-P122</f>
        <v>-9337.4343792730233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-2.0094132551662369E-5</v>
      </c>
      <c r="C164" t="s">
        <v>36</v>
      </c>
      <c r="E164" s="8">
        <f>B2-B164</f>
        <v>2.0094132551662369E-5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-11999.999854045453</v>
      </c>
      <c r="C165" t="s">
        <v>102</v>
      </c>
      <c r="E165" s="8">
        <f>B3+B165</f>
        <v>1.4595454740629066E-4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-11999.999878840552</v>
      </c>
      <c r="C166" t="s">
        <v>102</v>
      </c>
      <c r="E166" s="8">
        <f>B4+B166</f>
        <v>1.211594480992062E-4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110.4159260970122</v>
      </c>
      <c r="B169" s="1">
        <f ca="1">IF(E122=0,0,(MIN(H110:H121)*B65)/(B55*B56*E122))</f>
        <v>-110.41592773474508</v>
      </c>
      <c r="C169" s="3">
        <f ca="1">A169+B169</f>
        <v>-1.6377328790895263E-6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6.6888338171635032E-8</v>
      </c>
      <c r="C175" s="27">
        <f>B65*SQRT(I175)</f>
        <v>5.6563616511904844E-8</v>
      </c>
      <c r="D175" s="27">
        <f>B66*SQRT(I175)</f>
        <v>1.6377328481438568E-6</v>
      </c>
      <c r="E175" s="27">
        <f>B67*SQRT(I175)</f>
        <v>5.1163977854210945E-6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4.5096109064594554</v>
      </c>
      <c r="C176" s="3">
        <f>B65+C175</f>
        <v>3.813518303838598</v>
      </c>
      <c r="D176" s="3">
        <f>D175+B66</f>
        <v>110.41592773474505</v>
      </c>
      <c r="E176" s="3">
        <f>B67+E175</f>
        <v>344.94747344021164</v>
      </c>
      <c r="F176" s="16" t="s">
        <v>125</v>
      </c>
    </row>
    <row r="177" spans="1:13" x14ac:dyDescent="0.25">
      <c r="B177" s="27">
        <f>B176-B64</f>
        <v>6.6888338423609639E-8</v>
      </c>
      <c r="C177" s="27">
        <f>C176-B65</f>
        <v>5.6563616457339094E-8</v>
      </c>
      <c r="D177" s="27">
        <f>D176-B66</f>
        <v>1.6377328506678168E-6</v>
      </c>
      <c r="E177" s="27">
        <f>E176-B67</f>
        <v>5.1163978014301392E-6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-12.269481071258726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-13.163869656200685</v>
      </c>
      <c r="B181" s="25">
        <f>(d_alpha_p!E136-d_alpha_m!E136)/(2*B177)</f>
        <v>-13.163869656200685</v>
      </c>
      <c r="C181" s="25">
        <f>(d_alpha_p!E137-d_alpha_m!E137)/(2*B177)</f>
        <v>-13.163869656200685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-2.0094132551662369E-5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-1.4595454740629066E-4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-1.211594480992062E-4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1.6377328790895263E-6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-12.269481071258726</v>
      </c>
      <c r="B190" s="25">
        <f>A181</f>
        <v>-13.163869656200685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-13.163869656200685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-13.163869656200685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-12.269481071258726</v>
      </c>
      <c r="B201" s="25">
        <f t="shared" ref="B201:C201" si="77">B190</f>
        <v>-13.163869656200685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-13.163869656200685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-13.163869656200685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8.9285714285714288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24.23469387755102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-8.9285714285714288</v>
      </c>
      <c r="AB14">
        <f>$B$4/Z14</f>
        <v>15.306122448979592</v>
      </c>
      <c r="AC14">
        <f>$I$2+AA14+AB14</f>
        <v>6.3775510204081627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8.9285714285714288</v>
      </c>
      <c r="AB15">
        <f t="shared" ref="AB15:AB21" si="11">$B$4/Z15</f>
        <v>15.306122448979592</v>
      </c>
      <c r="AC15">
        <f t="shared" ref="AC15:AC20" si="12">$I$2+AA15+AB15</f>
        <v>24.23469387755102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8.9285714285714288</v>
      </c>
      <c r="AB16">
        <f t="shared" si="11"/>
        <v>-15.306122448979592</v>
      </c>
      <c r="AC16">
        <f t="shared" si="12"/>
        <v>-6.3775510204081627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-8.9285714285714288</v>
      </c>
      <c r="AB17">
        <f t="shared" si="11"/>
        <v>-15.306122448979592</v>
      </c>
      <c r="AC17">
        <f t="shared" si="12"/>
        <v>-24.23469387755102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-8.9285714285714288</v>
      </c>
      <c r="AB18">
        <f t="shared" si="11"/>
        <v>-15.306122448979592</v>
      </c>
      <c r="AC18">
        <f t="shared" si="12"/>
        <v>-24.23469387755102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-8.9285714285714288</v>
      </c>
      <c r="AB19">
        <f t="shared" si="11"/>
        <v>-15.306122448979592</v>
      </c>
      <c r="AC19">
        <f t="shared" si="12"/>
        <v>-24.23469387755102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-8.9285714285714288</v>
      </c>
      <c r="AB20">
        <f t="shared" si="11"/>
        <v>-15.306122448979592</v>
      </c>
      <c r="AC20">
        <f t="shared" si="12"/>
        <v>-24.23469387755102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21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21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15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15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4.5096109064594554</v>
      </c>
      <c r="C64" t="s">
        <v>19</v>
      </c>
      <c r="D64" t="s">
        <v>34</v>
      </c>
      <c r="H64" s="17">
        <f>DEGREES(B64)</f>
        <v>258.38167218629229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3.8135182472749816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110.41592773474508</v>
      </c>
      <c r="C66" t="s">
        <v>11</v>
      </c>
      <c r="D66">
        <f>B66/B53</f>
        <v>2.8566663937076159E-2</v>
      </c>
      <c r="I66" s="20"/>
    </row>
    <row r="67" spans="1:18" x14ac:dyDescent="0.25">
      <c r="A67" s="1" t="s">
        <v>37</v>
      </c>
      <c r="B67" s="17">
        <f>'Rigid Bearing Plate Analysis'!B67</f>
        <v>344.94746832381384</v>
      </c>
      <c r="C67" t="s">
        <v>36</v>
      </c>
      <c r="D67" t="s">
        <v>122</v>
      </c>
      <c r="G67" s="20">
        <f ca="1">($B$56*$B$66*$B$55*$E$122)/$B$65</f>
        <v>344.94743047941057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-14.163869348909325</v>
      </c>
      <c r="R76">
        <f>Q76</f>
        <v>-14.163869348909325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14.163869348909325</v>
      </c>
      <c r="R77">
        <f>Q77</f>
        <v>14.163869348909325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13.163869348909325</v>
      </c>
      <c r="C84" s="1">
        <f t="shared" ref="C84:C92" si="23">(-1*B73*SIN($B$64))+(C73*COS($B$64))</f>
        <v>-4.4398810530064434</v>
      </c>
      <c r="H84" s="1">
        <f t="shared" ref="H84:H92" si="24">H73</f>
        <v>1</v>
      </c>
      <c r="I84" s="4">
        <f>(I73*COS($B$64))+(J73*SIN($B$64))</f>
        <v>13.163869348909325</v>
      </c>
      <c r="J84" s="1">
        <f>(-1*I73*SIN($B$64))+(J73*COS($B$64))</f>
        <v>-4.4398810530064434</v>
      </c>
    </row>
    <row r="85" spans="1:10" x14ac:dyDescent="0.25">
      <c r="A85" s="1">
        <f t="shared" si="21"/>
        <v>2</v>
      </c>
      <c r="B85" s="4">
        <f t="shared" si="22"/>
        <v>10.34439173601797</v>
      </c>
      <c r="C85" s="1">
        <f t="shared" si="23"/>
        <v>9.2732712465344793</v>
      </c>
      <c r="H85" s="1">
        <f t="shared" si="24"/>
        <v>2</v>
      </c>
      <c r="I85" s="4">
        <f t="shared" ref="I85:I92" si="25">(I74*COS($B$64))+(J74*SIN($B$64))</f>
        <v>13.163869348909325</v>
      </c>
      <c r="J85" s="1">
        <f t="shared" ref="J85:J92" si="26">(-1*I74*SIN($B$64))+(J74*COS($B$64))</f>
        <v>-4.4398810530064434</v>
      </c>
    </row>
    <row r="86" spans="1:10" x14ac:dyDescent="0.25">
      <c r="A86" s="1">
        <f t="shared" si="21"/>
        <v>3</v>
      </c>
      <c r="B86" s="4">
        <f t="shared" si="22"/>
        <v>-13.163869348909325</v>
      </c>
      <c r="C86" s="1">
        <f t="shared" si="23"/>
        <v>4.4398810530064434</v>
      </c>
      <c r="H86" s="1">
        <f t="shared" si="24"/>
        <v>3</v>
      </c>
      <c r="I86" s="4">
        <f t="shared" si="25"/>
        <v>13.163869348909325</v>
      </c>
      <c r="J86" s="1">
        <f t="shared" si="26"/>
        <v>-4.4398810530064434</v>
      </c>
    </row>
    <row r="87" spans="1:10" x14ac:dyDescent="0.25">
      <c r="A87" s="1">
        <f t="shared" si="21"/>
        <v>4</v>
      </c>
      <c r="B87" s="4">
        <f t="shared" si="22"/>
        <v>-10.34439173601797</v>
      </c>
      <c r="C87" s="1">
        <f t="shared" si="23"/>
        <v>-9.2732712465344793</v>
      </c>
      <c r="H87" s="1">
        <f t="shared" si="24"/>
        <v>4</v>
      </c>
      <c r="I87" s="4">
        <f t="shared" si="25"/>
        <v>13.163869348909325</v>
      </c>
      <c r="J87" s="1">
        <f t="shared" si="26"/>
        <v>-4.4398810530064434</v>
      </c>
    </row>
    <row r="88" spans="1:10" x14ac:dyDescent="0.25">
      <c r="A88" s="1">
        <f t="shared" si="21"/>
        <v>5</v>
      </c>
      <c r="B88" s="4">
        <f t="shared" si="22"/>
        <v>13.163869348909325</v>
      </c>
      <c r="C88" s="1">
        <f t="shared" si="23"/>
        <v>-4.4398810530064434</v>
      </c>
      <c r="H88" s="1">
        <f t="shared" si="24"/>
        <v>5</v>
      </c>
      <c r="I88" s="4">
        <f t="shared" si="25"/>
        <v>13.163869348909325</v>
      </c>
      <c r="J88" s="1">
        <f t="shared" si="26"/>
        <v>-4.4398810530064434</v>
      </c>
    </row>
    <row r="89" spans="1:10" x14ac:dyDescent="0.25">
      <c r="A89" s="1">
        <f t="shared" si="21"/>
        <v>6</v>
      </c>
      <c r="B89" s="4">
        <f t="shared" si="22"/>
        <v>13.163869348909325</v>
      </c>
      <c r="C89" s="1">
        <f t="shared" si="23"/>
        <v>-4.4398810530064434</v>
      </c>
      <c r="H89" s="1">
        <f t="shared" si="24"/>
        <v>6</v>
      </c>
      <c r="I89" s="4">
        <f t="shared" si="25"/>
        <v>13.163869348909325</v>
      </c>
      <c r="J89" s="1">
        <f t="shared" si="26"/>
        <v>-4.4398810530064434</v>
      </c>
    </row>
    <row r="90" spans="1:10" x14ac:dyDescent="0.25">
      <c r="A90" s="1">
        <f t="shared" si="21"/>
        <v>7</v>
      </c>
      <c r="B90" s="4">
        <f t="shared" si="22"/>
        <v>13.163869348909325</v>
      </c>
      <c r="C90" s="1">
        <f t="shared" si="23"/>
        <v>-4.4398810530064434</v>
      </c>
      <c r="H90" s="1">
        <f t="shared" si="24"/>
        <v>7</v>
      </c>
      <c r="I90" s="4">
        <f t="shared" si="25"/>
        <v>13.163869348909325</v>
      </c>
      <c r="J90" s="1">
        <f t="shared" si="26"/>
        <v>-4.4398810530064434</v>
      </c>
    </row>
    <row r="91" spans="1:10" x14ac:dyDescent="0.25">
      <c r="A91" s="1">
        <f t="shared" si="21"/>
        <v>8</v>
      </c>
      <c r="B91" s="4">
        <f t="shared" si="22"/>
        <v>13.163869348909325</v>
      </c>
      <c r="C91" s="1">
        <f t="shared" si="23"/>
        <v>-4.4398810530064434</v>
      </c>
      <c r="H91" s="1">
        <f t="shared" si="24"/>
        <v>8</v>
      </c>
      <c r="I91" s="4">
        <f t="shared" si="25"/>
        <v>13.163869348909325</v>
      </c>
      <c r="J91" s="1">
        <f t="shared" si="26"/>
        <v>-4.4398810530064434</v>
      </c>
    </row>
    <row r="92" spans="1:10" x14ac:dyDescent="0.25">
      <c r="A92" s="1">
        <f t="shared" si="21"/>
        <v>9</v>
      </c>
      <c r="B92" s="4">
        <f t="shared" si="22"/>
        <v>13.163869348909325</v>
      </c>
      <c r="C92" s="1">
        <f t="shared" si="23"/>
        <v>-4.4398810530064434</v>
      </c>
      <c r="H92" s="1">
        <f t="shared" si="24"/>
        <v>9</v>
      </c>
      <c r="I92" s="4">
        <f t="shared" si="25"/>
        <v>13.163869348909325</v>
      </c>
      <c r="J92" s="1">
        <f t="shared" si="26"/>
        <v>-4.4398810530064434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9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9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9.6211629391024083</v>
      </c>
      <c r="C110" s="1">
        <f>(-1*B95*SIN($B$64))+(C95*COS($B$64))</f>
        <v>-2.1055221915815352</v>
      </c>
      <c r="D110" t="str">
        <f t="shared" ref="D110" si="31">D95</f>
        <v>y</v>
      </c>
      <c r="E110" s="4">
        <f t="shared" ref="E110:E121" si="32">IF($D110="y",$B$125-C110,0)</f>
        <v>7.5652751908410334</v>
      </c>
      <c r="F110" s="1">
        <f>IF($D110="y",B110,NA())</f>
        <v>9.6211629391024083</v>
      </c>
      <c r="G110" s="1">
        <f>IF($D110="y",C110,NA())</f>
        <v>-2.1055221915815352</v>
      </c>
      <c r="H110">
        <f t="shared" ref="H110:H121" si="33">IF($E$122=0,0,-1*MAX(($B$67/$E$122)*(E110),0))</f>
        <v>-233.20361070185686</v>
      </c>
      <c r="I110">
        <f>H110*C110</f>
        <v>491.01537748970082</v>
      </c>
      <c r="J110">
        <f>H110*B110*-1</f>
        <v>2243.689936549571</v>
      </c>
      <c r="K110">
        <f ca="1">H110/$B$55</f>
        <v>-1643.4499132527123</v>
      </c>
      <c r="L110">
        <f ca="1">K110/$B$54</f>
        <v>-5.6670686663886631E-2</v>
      </c>
      <c r="M110">
        <f t="shared" ref="M110:M121" si="34">IFERROR(($D$66/$B$65)*(G110-$B$125),0)</f>
        <v>-5.6670680446510031E-2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8.0100328745930618</v>
      </c>
      <c r="C111" s="1">
        <f t="shared" ref="C111:C121" si="37">(-1*B96*SIN($B$64))+(C96*COS($B$64))</f>
        <v>5.730564836727563</v>
      </c>
      <c r="D111" t="str">
        <f t="shared" si="35"/>
        <v>y</v>
      </c>
      <c r="E111" s="4">
        <f t="shared" si="32"/>
        <v>-0.27081183746806481</v>
      </c>
      <c r="F111" s="1">
        <f t="shared" ref="F111:G121" si="38">IF($D111="y",B111,NA())</f>
        <v>8.0100328745930618</v>
      </c>
      <c r="G111" s="1">
        <f t="shared" si="38"/>
        <v>5.730564836727563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2.0286229800159819E-3</v>
      </c>
      <c r="N111">
        <f t="shared" ref="N111:N121" si="42">IF(AND(M111&gt;0,D111="y",$E$60="y"),$B$53*M111*$E$59,0)</f>
        <v>1.9485361879773597</v>
      </c>
      <c r="O111">
        <f t="shared" ref="O111:O121" si="43">N111*C111</f>
        <v>11.166212961914226</v>
      </c>
      <c r="P111">
        <f t="shared" ref="P111:P121" si="44">N111*B111*-1</f>
        <v>-15.607838923032897</v>
      </c>
    </row>
    <row r="112" spans="1:16" x14ac:dyDescent="0.25">
      <c r="A112">
        <f t="shared" si="35"/>
        <v>3</v>
      </c>
      <c r="B112" s="1">
        <f t="shared" si="36"/>
        <v>3.7440976678705846</v>
      </c>
      <c r="C112" s="1">
        <f t="shared" si="37"/>
        <v>-3.3138697399635446</v>
      </c>
      <c r="D112" t="str">
        <f t="shared" si="35"/>
        <v>y</v>
      </c>
      <c r="E112" s="4">
        <f t="shared" si="32"/>
        <v>8.7736227392230433</v>
      </c>
      <c r="F112" s="1">
        <f t="shared" si="38"/>
        <v>3.7440976678705846</v>
      </c>
      <c r="G112" s="1">
        <f t="shared" si="38"/>
        <v>-3.3138697399635446</v>
      </c>
      <c r="H112">
        <f t="shared" si="33"/>
        <v>-270.45156324250922</v>
      </c>
      <c r="I112">
        <f t="shared" si="39"/>
        <v>896.24125155518823</v>
      </c>
      <c r="J112">
        <f t="shared" si="40"/>
        <v>1012.5970672082327</v>
      </c>
      <c r="K112">
        <f t="shared" ref="K112:K121" ca="1" si="45">H112/$B$55</f>
        <v>-1905.9464680339238</v>
      </c>
      <c r="L112">
        <f t="shared" ca="1" si="41"/>
        <v>-6.5722292001169788E-2</v>
      </c>
      <c r="M112">
        <f t="shared" si="34"/>
        <v>-6.5722284790735871E-2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2.132967603361239</v>
      </c>
      <c r="C113" s="1">
        <f t="shared" si="37"/>
        <v>4.522217288345554</v>
      </c>
      <c r="D113" t="str">
        <f t="shared" si="35"/>
        <v>y</v>
      </c>
      <c r="E113" s="4">
        <f t="shared" si="32"/>
        <v>0.93753571091394416</v>
      </c>
      <c r="F113" s="1">
        <f t="shared" si="38"/>
        <v>2.132967603361239</v>
      </c>
      <c r="G113" s="1">
        <f t="shared" si="38"/>
        <v>4.522217288345554</v>
      </c>
      <c r="H113">
        <f t="shared" si="33"/>
        <v>-28.900034358533119</v>
      </c>
      <c r="I113">
        <f t="shared" si="39"/>
        <v>-130.692235009939</v>
      </c>
      <c r="J113">
        <f t="shared" si="40"/>
        <v>61.642837022777847</v>
      </c>
      <c r="K113">
        <f t="shared" ca="1" si="45"/>
        <v>-203.66648190646339</v>
      </c>
      <c r="L113">
        <f t="shared" ca="1" si="41"/>
        <v>-7.0229821347056343E-3</v>
      </c>
      <c r="M113">
        <f t="shared" si="34"/>
        <v>-7.022981364209856E-3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-8.0100328745930618</v>
      </c>
      <c r="C114" s="1">
        <f t="shared" si="37"/>
        <v>-5.730564836727563</v>
      </c>
      <c r="D114" t="str">
        <f t="shared" si="35"/>
        <v>y</v>
      </c>
      <c r="E114" s="4">
        <f t="shared" si="32"/>
        <v>11.190317835987061</v>
      </c>
      <c r="F114" s="1">
        <f t="shared" si="38"/>
        <v>-8.0100328745930618</v>
      </c>
      <c r="G114" s="1">
        <f t="shared" si="38"/>
        <v>-5.730564836727563</v>
      </c>
      <c r="H114">
        <f t="shared" si="33"/>
        <v>-344.94746832381384</v>
      </c>
      <c r="I114">
        <f t="shared" si="39"/>
        <v>1976.7438324946424</v>
      </c>
      <c r="J114">
        <f t="shared" si="40"/>
        <v>-2763.0405612813975</v>
      </c>
      <c r="K114">
        <f t="shared" ca="1" si="45"/>
        <v>-2430.9395775963458</v>
      </c>
      <c r="L114">
        <f t="shared" ca="1" si="41"/>
        <v>-8.3825502675736061E-2</v>
      </c>
      <c r="M114">
        <f t="shared" si="34"/>
        <v>-8.3825493479187552E-2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-9.6211629391024083</v>
      </c>
      <c r="C115" s="1">
        <f t="shared" si="37"/>
        <v>2.1055221915815352</v>
      </c>
      <c r="D115" t="str">
        <f t="shared" si="35"/>
        <v>y</v>
      </c>
      <c r="E115" s="4">
        <f t="shared" si="32"/>
        <v>3.354230807677963</v>
      </c>
      <c r="F115" s="1">
        <f t="shared" si="38"/>
        <v>-9.6211629391024083</v>
      </c>
      <c r="G115" s="1">
        <f t="shared" si="38"/>
        <v>2.1055221915815352</v>
      </c>
      <c r="H115">
        <f t="shared" si="33"/>
        <v>-103.39593943983778</v>
      </c>
      <c r="I115">
        <f t="shared" si="39"/>
        <v>-217.70244500999891</v>
      </c>
      <c r="J115">
        <f t="shared" si="40"/>
        <v>-994.78918059224418</v>
      </c>
      <c r="K115">
        <f t="shared" ca="1" si="45"/>
        <v>-728.65959146888576</v>
      </c>
      <c r="L115">
        <f t="shared" ca="1" si="41"/>
        <v>-2.5126192809271922E-2</v>
      </c>
      <c r="M115">
        <f t="shared" si="34"/>
        <v>-2.5126190052661538E-2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-2.132967603361239</v>
      </c>
      <c r="C116" s="1">
        <f t="shared" si="37"/>
        <v>-4.522217288345554</v>
      </c>
      <c r="D116" t="str">
        <f t="shared" si="35"/>
        <v>y</v>
      </c>
      <c r="E116" s="4">
        <f t="shared" si="32"/>
        <v>9.9819702876050513</v>
      </c>
      <c r="F116" s="1">
        <f t="shared" si="38"/>
        <v>-2.132967603361239</v>
      </c>
      <c r="G116" s="1">
        <f t="shared" si="38"/>
        <v>-4.522217288345554</v>
      </c>
      <c r="H116">
        <f t="shared" si="33"/>
        <v>-307.69951578316147</v>
      </c>
      <c r="I116">
        <f t="shared" si="39"/>
        <v>1391.4840698901685</v>
      </c>
      <c r="J116">
        <f t="shared" si="40"/>
        <v>-656.31309873542364</v>
      </c>
      <c r="K116">
        <f t="shared" ca="1" si="45"/>
        <v>-2168.4430228151346</v>
      </c>
      <c r="L116">
        <f t="shared" ca="1" si="41"/>
        <v>-7.477389733845291E-2</v>
      </c>
      <c r="M116">
        <f t="shared" si="34"/>
        <v>-7.4773889134961705E-2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-3.7440976678705846</v>
      </c>
      <c r="C117" s="1">
        <f t="shared" si="37"/>
        <v>3.3138697399635446</v>
      </c>
      <c r="D117" t="str">
        <f t="shared" si="35"/>
        <v>y</v>
      </c>
      <c r="E117" s="4">
        <f t="shared" si="32"/>
        <v>2.1458832592959536</v>
      </c>
      <c r="F117" s="1">
        <f t="shared" si="38"/>
        <v>-3.7440976678705846</v>
      </c>
      <c r="G117" s="1">
        <f t="shared" si="38"/>
        <v>3.3138697399635446</v>
      </c>
      <c r="H117">
        <f t="shared" si="33"/>
        <v>-66.14798689918544</v>
      </c>
      <c r="I117">
        <f t="shared" si="39"/>
        <v>-219.20581214471562</v>
      </c>
      <c r="J117">
        <f t="shared" si="40"/>
        <v>-247.66452348357419</v>
      </c>
      <c r="K117">
        <f t="shared" ca="1" si="45"/>
        <v>-466.16303668767455</v>
      </c>
      <c r="L117">
        <f t="shared" ca="1" si="41"/>
        <v>-1.6074587471988779E-2</v>
      </c>
      <c r="M117">
        <f t="shared" si="34"/>
        <v>-1.6074585708435698E-2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13.163869348909325</v>
      </c>
      <c r="C118" s="1">
        <f t="shared" si="37"/>
        <v>-4.4398810530064434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13.163869348909325</v>
      </c>
      <c r="C119" s="1">
        <f t="shared" si="37"/>
        <v>-4.4398810530064434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13.163869348909325</v>
      </c>
      <c r="C120" s="1">
        <f t="shared" si="37"/>
        <v>-4.4398810530064434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13.163869348909325</v>
      </c>
      <c r="C121" s="1">
        <f t="shared" si="37"/>
        <v>-4.4398810530064434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11.190317835987061</v>
      </c>
      <c r="H122">
        <f>SUM(H110:H121)</f>
        <v>-1354.746118748898</v>
      </c>
      <c r="I122">
        <f t="shared" ref="I122:J122" si="46">SUM(I110:I121)</f>
        <v>4187.8840392650472</v>
      </c>
      <c r="J122">
        <f t="shared" si="46"/>
        <v>-1343.8775233120582</v>
      </c>
      <c r="L122">
        <f ca="1">MIN(L110:L121)</f>
        <v>-8.3825502675736061E-2</v>
      </c>
      <c r="M122">
        <f>MIN(M110:M121)</f>
        <v>-8.3825493479187552E-2</v>
      </c>
      <c r="N122">
        <f>SUM(N110:N121)</f>
        <v>1.9485361879773597</v>
      </c>
      <c r="O122">
        <f>SUM(O110:O121)</f>
        <v>11.166212961914226</v>
      </c>
      <c r="P122">
        <f>SUM(P110:P121)</f>
        <v>-15.607838923032897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5.4597529992594982</v>
      </c>
      <c r="F125" s="1" t="s">
        <v>27</v>
      </c>
      <c r="G125" s="1" t="s">
        <v>28</v>
      </c>
    </row>
    <row r="126" spans="1:16" x14ac:dyDescent="0.25">
      <c r="F126" s="4">
        <f>MIN(B84:B90)-1</f>
        <v>-14.163869348909325</v>
      </c>
      <c r="G126" s="4">
        <f>B125</f>
        <v>5.4597529992594982</v>
      </c>
    </row>
    <row r="127" spans="1:16" x14ac:dyDescent="0.25">
      <c r="F127" s="4">
        <f>MAX(B84:B90)+1</f>
        <v>14.163869348909325</v>
      </c>
      <c r="G127" s="4">
        <f>G126</f>
        <v>5.4597529992594982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13.163869348909325</v>
      </c>
      <c r="C132" s="4">
        <f>C84</f>
        <v>-4.4398810530064434</v>
      </c>
      <c r="D132" s="4">
        <f t="shared" ref="D132:E139" si="47">B85</f>
        <v>10.34439173601797</v>
      </c>
      <c r="E132" s="4">
        <f t="shared" si="47"/>
        <v>9.2732712465344793</v>
      </c>
      <c r="F132" s="4">
        <f t="shared" ref="F132:F139" si="48">($B$66/$B$65)*(C132-$B$125)</f>
        <v>-286.63224016208545</v>
      </c>
      <c r="G132" s="4">
        <f t="shared" ref="G132:G139" si="49">($B$66/$B$65)*(E132-$B$125)</f>
        <v>110.41592773474507</v>
      </c>
      <c r="H132" s="4">
        <f>IF(B132=D132,"V",(C132-E132)/(B132-D132))</f>
        <v>-4.8637209378223014</v>
      </c>
      <c r="I132" s="4">
        <f>IF(H132="V",0,(-1*B132*H132)+C132)</f>
        <v>59.585505922041065</v>
      </c>
      <c r="J132" s="4">
        <f>IF($F132&gt;=0,B132,IF(AND($F132&lt;0,$G132&gt;=0),IF(H132="V",B132,($B$125-I132)/H132),0))</f>
        <v>11.128465965610275</v>
      </c>
      <c r="K132" s="4">
        <f>IF($F132&gt;=0,C132,IF(AND($F132&lt;0,$G132&gt;=0),$B$125,0))</f>
        <v>5.4597529992594982</v>
      </c>
      <c r="L132" s="4">
        <f>IF($G132&gt;=0,D132,IF(AND($G132&lt;0,$F132&gt;=0),IF(H132="V",D132,($B$125-I132)/H132),0))</f>
        <v>10.34439173601797</v>
      </c>
      <c r="M132" s="4">
        <f>IF($G132&gt;=0,E132,IF(AND($G132&lt;0,$F132&gt;=0),$B$125,0))</f>
        <v>9.2732712465344793</v>
      </c>
      <c r="N132" s="4">
        <f>IF(F132&lt;0,0,F132)</f>
        <v>0</v>
      </c>
      <c r="O132" s="4">
        <f>IF(G132&lt;0,0,G132)</f>
        <v>110.41592773474507</v>
      </c>
      <c r="P132" s="4">
        <f>(1/6)*(M132-K132)*((N132*((2*J132)+L132))+(O132*(J132+(2*L132))))</f>
        <v>2232.8982684489742</v>
      </c>
      <c r="Q132" s="4">
        <f>((1/12)*(M132-K132)*(N132*J132*((3*K132)+M132)+N132*L132*(K132+M132)+O132*J132*(K132+M132)+O132*L132*(K132+(3*M132))))</f>
        <v>17832.898462183082</v>
      </c>
      <c r="R132" s="4">
        <f>((-1/24)*(M132-K132)*(J132*J132*((3*N132)+O132)+2*J132*L132*(N132+O132)+L132*L132*(N132+(3*O132))))</f>
        <v>-11844.375531482021</v>
      </c>
    </row>
    <row r="133" spans="1:18" x14ac:dyDescent="0.25">
      <c r="A133" t="s">
        <v>70</v>
      </c>
      <c r="B133" s="4">
        <f t="shared" ref="B133:C138" si="50">D132</f>
        <v>10.34439173601797</v>
      </c>
      <c r="C133" s="4">
        <f t="shared" si="50"/>
        <v>9.2732712465344793</v>
      </c>
      <c r="D133" s="4">
        <f t="shared" si="47"/>
        <v>-13.163869348909325</v>
      </c>
      <c r="E133" s="4">
        <f t="shared" si="47"/>
        <v>4.4398810530064434</v>
      </c>
      <c r="F133" s="4">
        <f t="shared" si="48"/>
        <v>110.41592773474507</v>
      </c>
      <c r="G133" s="4">
        <f t="shared" si="49"/>
        <v>-29.529190583167839</v>
      </c>
      <c r="H133" s="4">
        <f t="shared" ref="H133:H139" si="51">IF(B133=D133,"V",(C133-E133)/(B133-D133))</f>
        <v>0.20560390137180512</v>
      </c>
      <c r="I133" s="4">
        <f t="shared" ref="I133:I139" si="52">IF(H133="V",0,(-1*B133*H133)+C133)</f>
        <v>7.1464239482909253</v>
      </c>
      <c r="J133" s="4">
        <f t="shared" ref="J133:J139" si="53">IF($F133&gt;=0,B133,IF(AND($F133&lt;0,$G133&gt;=0),IF(H133="V",B133,($B$125-I133)/H133),0))</f>
        <v>10.34439173601797</v>
      </c>
      <c r="K133" s="4">
        <f t="shared" ref="K133:K139" si="54">IF($F133&gt;=0,C133,IF(AND($F133&lt;0,$G133&gt;=0),$B$125,0))</f>
        <v>9.2732712465344793</v>
      </c>
      <c r="L133" s="4">
        <f t="shared" ref="L133:L139" si="55">IF($G133&gt;=0,D133,IF(AND($G133&lt;0,$F133&gt;=0),IF(H133="V",D133,($B$125-I133)/H133),0))</f>
        <v>-8.2034968100207646</v>
      </c>
      <c r="M133" s="4">
        <f t="shared" ref="M133:M139" si="56">IF($G133&gt;=0,E133,IF(AND($G133&lt;0,$F133&gt;=0),$B$125,0))</f>
        <v>5.4597529992594982</v>
      </c>
      <c r="N133" s="4">
        <f t="shared" ref="N133:O139" si="57">IF(F133&lt;0,0,F133)</f>
        <v>110.41592773474507</v>
      </c>
      <c r="O133" s="4">
        <f t="shared" si="57"/>
        <v>0</v>
      </c>
      <c r="P133" s="4">
        <f t="shared" ref="P133:P139" si="58">(1/6)*(M133-K133)*((N133*((2*J133)+L133))+(O133*(J133+(2*L133))))</f>
        <v>-876.20317473819807</v>
      </c>
      <c r="Q133" s="4">
        <f t="shared" ref="Q133:Q139" si="59">((1/12)*(M133-K133)*(N133*J133*((3*K133)+M133)+N133*L133*(K133+M133)+O133*J133*(K133+M133)+O133*L133*(K133+(3*M133))))</f>
        <v>-7838.7876072877816</v>
      </c>
      <c r="R133" s="4">
        <f t="shared" ref="R133:R139" si="60">((-1/24)*(M133-K133)*(J133*J133*((3*N133)+O133)+2*J133*L133*(N133+O133)+L133*L133*(N133+(3*O133))))</f>
        <v>3835.2099479821713</v>
      </c>
    </row>
    <row r="134" spans="1:18" x14ac:dyDescent="0.25">
      <c r="A134" t="s">
        <v>71</v>
      </c>
      <c r="B134" s="4">
        <f t="shared" si="50"/>
        <v>-13.163869348909325</v>
      </c>
      <c r="C134" s="4">
        <f t="shared" si="50"/>
        <v>4.4398810530064434</v>
      </c>
      <c r="D134" s="4">
        <f t="shared" si="47"/>
        <v>-10.34439173601797</v>
      </c>
      <c r="E134" s="4">
        <f t="shared" si="47"/>
        <v>-9.2732712465344793</v>
      </c>
      <c r="F134" s="4">
        <f t="shared" si="48"/>
        <v>-29.529190583167839</v>
      </c>
      <c r="G134" s="4">
        <f t="shared" si="49"/>
        <v>-426.5773584799984</v>
      </c>
      <c r="H134" s="4">
        <f t="shared" si="51"/>
        <v>-4.8637209378223014</v>
      </c>
      <c r="I134" s="4">
        <f t="shared" si="52"/>
        <v>-59.585505922041065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-10.34439173601797</v>
      </c>
      <c r="C135" s="4">
        <f t="shared" si="50"/>
        <v>-9.2732712465344793</v>
      </c>
      <c r="D135" s="4">
        <f t="shared" si="47"/>
        <v>13.163869348909325</v>
      </c>
      <c r="E135" s="4">
        <f t="shared" si="47"/>
        <v>-4.4398810530064434</v>
      </c>
      <c r="F135" s="4">
        <f t="shared" si="48"/>
        <v>-426.5773584799984</v>
      </c>
      <c r="G135" s="4">
        <f t="shared" si="49"/>
        <v>-286.63224016208545</v>
      </c>
      <c r="H135" s="4">
        <f t="shared" si="51"/>
        <v>0.20560390137180512</v>
      </c>
      <c r="I135" s="4">
        <f t="shared" si="52"/>
        <v>-7.1464239482909253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13.163869348909325</v>
      </c>
      <c r="C136" s="4">
        <f t="shared" si="50"/>
        <v>-4.4398810530064434</v>
      </c>
      <c r="D136" s="4">
        <f t="shared" si="47"/>
        <v>13.163869348909325</v>
      </c>
      <c r="E136" s="4">
        <f t="shared" si="47"/>
        <v>-4.4398810530064434</v>
      </c>
      <c r="F136" s="4">
        <f t="shared" si="48"/>
        <v>-286.63224016208545</v>
      </c>
      <c r="G136" s="4">
        <f t="shared" si="49"/>
        <v>-286.63224016208545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13.163869348909325</v>
      </c>
      <c r="C137" s="4">
        <f t="shared" si="50"/>
        <v>-4.4398810530064434</v>
      </c>
      <c r="D137" s="4">
        <f t="shared" si="47"/>
        <v>13.163869348909325</v>
      </c>
      <c r="E137" s="4">
        <f t="shared" si="47"/>
        <v>-4.4398810530064434</v>
      </c>
      <c r="F137" s="4">
        <f t="shared" si="48"/>
        <v>-286.63224016208545</v>
      </c>
      <c r="G137" s="4">
        <f t="shared" si="49"/>
        <v>-286.63224016208545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13.163869348909325</v>
      </c>
      <c r="C138" s="4">
        <f t="shared" si="50"/>
        <v>-4.4398810530064434</v>
      </c>
      <c r="D138" s="4">
        <f t="shared" si="47"/>
        <v>13.163869348909325</v>
      </c>
      <c r="E138" s="4">
        <f t="shared" si="47"/>
        <v>-4.4398810530064434</v>
      </c>
      <c r="F138" s="4">
        <f t="shared" si="48"/>
        <v>-286.63224016208545</v>
      </c>
      <c r="G138" s="4">
        <f t="shared" si="49"/>
        <v>-286.63224016208545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13.163869348909325</v>
      </c>
      <c r="C139" s="4">
        <f>E138</f>
        <v>-4.4398810530064434</v>
      </c>
      <c r="D139" s="4">
        <f t="shared" si="47"/>
        <v>13.163869348909325</v>
      </c>
      <c r="E139" s="4">
        <f t="shared" si="47"/>
        <v>-4.4398810530064434</v>
      </c>
      <c r="F139" s="4">
        <f t="shared" si="48"/>
        <v>-286.63224016208545</v>
      </c>
      <c r="G139" s="4">
        <f t="shared" si="49"/>
        <v>-286.63224016208545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1356.6950937107763</v>
      </c>
      <c r="Q140" s="4">
        <f>SUM(Q132:Q139)</f>
        <v>9994.1108548953016</v>
      </c>
      <c r="R140" s="4">
        <f>SUM(R132:R139)</f>
        <v>-8009.1655834998492</v>
      </c>
    </row>
    <row r="142" spans="1:18" x14ac:dyDescent="0.25">
      <c r="O142" t="s">
        <v>96</v>
      </c>
      <c r="P142" s="1">
        <f>-1*R140/P140</f>
        <v>5.9034381569063621</v>
      </c>
    </row>
    <row r="143" spans="1:18" x14ac:dyDescent="0.25">
      <c r="O143" t="s">
        <v>97</v>
      </c>
      <c r="P143" s="1">
        <f>Q140/P140</f>
        <v>7.3665121228969905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13.163869348909325</v>
      </c>
      <c r="C146" s="9">
        <f>J84</f>
        <v>-4.4398810530064434</v>
      </c>
      <c r="D146" s="9">
        <f t="shared" ref="D146:E153" si="61">I85</f>
        <v>13.163869348909325</v>
      </c>
      <c r="E146">
        <f t="shared" si="61"/>
        <v>-4.4398810530064434</v>
      </c>
      <c r="F146" s="4">
        <f>($B$66/$B$65)*(C146-$B$125)</f>
        <v>-286.63224016208545</v>
      </c>
      <c r="G146" s="4">
        <f>($B$66/$B$65)*(E146-$B$125)</f>
        <v>-286.63224016208545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13.163869348909325</v>
      </c>
      <c r="C147">
        <f t="shared" si="62"/>
        <v>-4.4398810530064434</v>
      </c>
      <c r="D147" s="9">
        <f t="shared" si="61"/>
        <v>13.163869348909325</v>
      </c>
      <c r="E147">
        <f t="shared" si="61"/>
        <v>-4.4398810530064434</v>
      </c>
      <c r="F147" s="4">
        <f t="shared" ref="F147:F153" si="63">($B$66/$B$65)*(C147-$B$125)</f>
        <v>-286.63224016208545</v>
      </c>
      <c r="G147" s="4">
        <f t="shared" ref="G147:G153" si="64">($B$66/$B$65)*(E147-$B$125)</f>
        <v>-286.63224016208545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13.163869348909325</v>
      </c>
      <c r="C148">
        <f t="shared" si="62"/>
        <v>-4.4398810530064434</v>
      </c>
      <c r="D148" s="9">
        <f t="shared" si="61"/>
        <v>13.163869348909325</v>
      </c>
      <c r="E148">
        <f t="shared" si="61"/>
        <v>-4.4398810530064434</v>
      </c>
      <c r="F148" s="4">
        <f t="shared" si="63"/>
        <v>-286.63224016208545</v>
      </c>
      <c r="G148" s="4">
        <f t="shared" si="64"/>
        <v>-286.63224016208545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13.163869348909325</v>
      </c>
      <c r="C149">
        <f t="shared" si="62"/>
        <v>-4.4398810530064434</v>
      </c>
      <c r="D149" s="9">
        <f t="shared" si="61"/>
        <v>13.163869348909325</v>
      </c>
      <c r="E149">
        <f t="shared" si="61"/>
        <v>-4.4398810530064434</v>
      </c>
      <c r="F149" s="4">
        <f t="shared" si="63"/>
        <v>-286.63224016208545</v>
      </c>
      <c r="G149" s="4">
        <f t="shared" si="64"/>
        <v>-286.63224016208545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13.163869348909325</v>
      </c>
      <c r="C150">
        <f t="shared" si="62"/>
        <v>-4.4398810530064434</v>
      </c>
      <c r="D150" s="9">
        <f t="shared" si="61"/>
        <v>13.163869348909325</v>
      </c>
      <c r="E150">
        <f t="shared" si="61"/>
        <v>-4.4398810530064434</v>
      </c>
      <c r="F150" s="4">
        <f t="shared" si="63"/>
        <v>-286.63224016208545</v>
      </c>
      <c r="G150" s="4">
        <f t="shared" si="64"/>
        <v>-286.63224016208545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13.163869348909325</v>
      </c>
      <c r="C151">
        <f t="shared" si="62"/>
        <v>-4.4398810530064434</v>
      </c>
      <c r="D151" s="9">
        <f t="shared" si="61"/>
        <v>13.163869348909325</v>
      </c>
      <c r="E151">
        <f t="shared" si="61"/>
        <v>-4.4398810530064434</v>
      </c>
      <c r="F151" s="4">
        <f t="shared" si="63"/>
        <v>-286.63224016208545</v>
      </c>
      <c r="G151" s="4">
        <f t="shared" si="64"/>
        <v>-286.63224016208545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13.163869348909325</v>
      </c>
      <c r="C152">
        <f t="shared" si="62"/>
        <v>-4.4398810530064434</v>
      </c>
      <c r="D152" s="9">
        <f t="shared" si="61"/>
        <v>13.163869348909325</v>
      </c>
      <c r="E152">
        <f t="shared" si="61"/>
        <v>-4.4398810530064434</v>
      </c>
      <c r="F152" s="4">
        <f t="shared" si="63"/>
        <v>-286.63224016208545</v>
      </c>
      <c r="G152" s="4">
        <f t="shared" si="64"/>
        <v>-286.63224016208545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13.163869348909325</v>
      </c>
      <c r="C153">
        <f t="shared" si="62"/>
        <v>-4.4398810530064434</v>
      </c>
      <c r="D153" s="9">
        <f t="shared" si="61"/>
        <v>13.163869348909325</v>
      </c>
      <c r="E153">
        <f t="shared" si="61"/>
        <v>-4.4398810530064434</v>
      </c>
      <c r="F153" s="4">
        <f t="shared" si="63"/>
        <v>-286.63224016208545</v>
      </c>
      <c r="G153" s="4">
        <f t="shared" si="64"/>
        <v>-286.63224016208545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4.3877390096103142E-4</v>
      </c>
      <c r="C159" t="s">
        <v>36</v>
      </c>
    </row>
    <row r="160" spans="1:18" x14ac:dyDescent="0.25">
      <c r="A160" s="1" t="s">
        <v>106</v>
      </c>
      <c r="B160" s="4">
        <f>Q140+I122+Q154-O122</f>
        <v>14170.828681198434</v>
      </c>
      <c r="C160" t="s">
        <v>102</v>
      </c>
    </row>
    <row r="161" spans="1:9" x14ac:dyDescent="0.25">
      <c r="A161" s="1" t="s">
        <v>107</v>
      </c>
      <c r="B161" s="4">
        <f>R140+J122+R154-P122</f>
        <v>-9337.4352678888736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4.3877390096103142E-4</v>
      </c>
      <c r="C164" t="s">
        <v>36</v>
      </c>
      <c r="E164" s="8">
        <f>B2-B164</f>
        <v>-4.3877390096103142E-4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-12000.000438458752</v>
      </c>
      <c r="C165" t="s">
        <v>102</v>
      </c>
      <c r="E165" s="8">
        <f>B3+B165</f>
        <v>-4.3845875188708305E-4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-12000.003015452992</v>
      </c>
      <c r="C166" t="s">
        <v>102</v>
      </c>
      <c r="E166" s="8">
        <f>B4+B166</f>
        <v>-3.0154529922583606E-3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110.41592773474508</v>
      </c>
      <c r="B169" s="1">
        <f ca="1">IF(E122=0,0,(MIN(H110:H121)*B65)/(B55*B56*E122))</f>
        <v>-110.41593984854715</v>
      </c>
      <c r="C169" s="3">
        <f ca="1">A169+B169</f>
        <v>-1.2113802071667124E-5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6.6888339163749424E-8</v>
      </c>
      <c r="C175" s="27">
        <f>B65*SQRT(I175)</f>
        <v>5.6563616511904844E-8</v>
      </c>
      <c r="D175" s="27">
        <f>B66*SQRT(I175)</f>
        <v>1.637732872435361E-6</v>
      </c>
      <c r="E175" s="27">
        <f>B67*SQRT(I175)</f>
        <v>5.1163977854210945E-6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4.5096109733477947</v>
      </c>
      <c r="C176" s="3">
        <f>B65+C175</f>
        <v>3.813518303838598</v>
      </c>
      <c r="D176" s="3">
        <f>D175+B66</f>
        <v>110.41592937247796</v>
      </c>
      <c r="E176" s="3">
        <f>B67+E175</f>
        <v>344.94747344021164</v>
      </c>
      <c r="F176" s="16" t="s">
        <v>125</v>
      </c>
    </row>
    <row r="177" spans="1:13" x14ac:dyDescent="0.25">
      <c r="B177" s="27">
        <f>B176-B64</f>
        <v>6.6888339311788059E-8</v>
      </c>
      <c r="C177" s="27">
        <f>C176-B65</f>
        <v>5.6563616457339094E-8</v>
      </c>
      <c r="D177" s="27">
        <f>D176-B66</f>
        <v>1.6377328790895263E-6</v>
      </c>
      <c r="E177" s="27">
        <f>E176-B67</f>
        <v>5.1163978014301392E-6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-12.269481071258726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-13.163869481403925</v>
      </c>
      <c r="B181" s="25">
        <f>(d_alpha_p!E136-d_alpha_m!E136)/(2*B177)</f>
        <v>-13.163869481403925</v>
      </c>
      <c r="C181" s="25">
        <f>(d_alpha_p!E137-d_alpha_m!E137)/(2*B177)</f>
        <v>-13.163869481403925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4.3877390096103142E-4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4.3845875188708305E-4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3.0154529922583606E-3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1.2113802071667124E-5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-12.269481071258726</v>
      </c>
      <c r="B190" s="25">
        <f>A181</f>
        <v>-13.163869481403925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-13.163869481403925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-13.163869481403925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-12.269481071258726</v>
      </c>
      <c r="B201" s="25">
        <f t="shared" ref="B201:C201" si="77">B190</f>
        <v>-13.163869481403925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-13.163869481403925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-13.163869481403925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8.9285714285714288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24.23469387755102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-8.9285714285714288</v>
      </c>
      <c r="AB14">
        <f>$B$4/Z14</f>
        <v>15.306122448979592</v>
      </c>
      <c r="AC14">
        <f>$I$2+AA14+AB14</f>
        <v>6.3775510204081627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8.9285714285714288</v>
      </c>
      <c r="AB15">
        <f t="shared" ref="AB15:AB21" si="11">$B$4/Z15</f>
        <v>15.306122448979592</v>
      </c>
      <c r="AC15">
        <f t="shared" ref="AC15:AC20" si="12">$I$2+AA15+AB15</f>
        <v>24.23469387755102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8.9285714285714288</v>
      </c>
      <c r="AB16">
        <f t="shared" si="11"/>
        <v>-15.306122448979592</v>
      </c>
      <c r="AC16">
        <f t="shared" si="12"/>
        <v>-6.3775510204081627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-8.9285714285714288</v>
      </c>
      <c r="AB17">
        <f t="shared" si="11"/>
        <v>-15.306122448979592</v>
      </c>
      <c r="AC17">
        <f t="shared" si="12"/>
        <v>-24.23469387755102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-8.9285714285714288</v>
      </c>
      <c r="AB18">
        <f t="shared" si="11"/>
        <v>-15.306122448979592</v>
      </c>
      <c r="AC18">
        <f t="shared" si="12"/>
        <v>-24.23469387755102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-8.9285714285714288</v>
      </c>
      <c r="AB19">
        <f t="shared" si="11"/>
        <v>-15.306122448979592</v>
      </c>
      <c r="AC19">
        <f t="shared" si="12"/>
        <v>-24.23469387755102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-8.9285714285714288</v>
      </c>
      <c r="AB20">
        <f t="shared" si="11"/>
        <v>-15.306122448979592</v>
      </c>
      <c r="AC20">
        <f t="shared" si="12"/>
        <v>-24.23469387755102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21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21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15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15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4.5096107726827785</v>
      </c>
      <c r="C64" t="s">
        <v>19</v>
      </c>
      <c r="D64" t="s">
        <v>34</v>
      </c>
      <c r="H64" s="17">
        <f>DEGREES(B64)</f>
        <v>258.38166452145327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3.8135182472749816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110.41592773474508</v>
      </c>
      <c r="C66" t="s">
        <v>11</v>
      </c>
      <c r="D66">
        <f>B66/B53</f>
        <v>2.8566663937076159E-2</v>
      </c>
      <c r="I66" s="20"/>
    </row>
    <row r="67" spans="1:18" x14ac:dyDescent="0.25">
      <c r="A67" s="1" t="s">
        <v>37</v>
      </c>
      <c r="B67" s="17">
        <f>'Rigid Bearing Plate Analysis'!B67</f>
        <v>344.94746832381384</v>
      </c>
      <c r="C67" t="s">
        <v>36</v>
      </c>
      <c r="D67" t="s">
        <v>122</v>
      </c>
      <c r="G67" s="20">
        <f ca="1">($B$56*$B$66*$B$55*$E$122)/$B$65</f>
        <v>344.94750616821517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-14.163869942861739</v>
      </c>
      <c r="R76">
        <f>Q76</f>
        <v>-14.163869942861739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14.163869942861739</v>
      </c>
      <c r="R77">
        <f>Q77</f>
        <v>14.163869942861739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13.163869942861739</v>
      </c>
      <c r="C84" s="1">
        <f t="shared" ref="C84:C92" si="23">(-1*B73*SIN($B$64))+(C73*COS($B$64))</f>
        <v>-4.4398792919877064</v>
      </c>
      <c r="H84" s="1">
        <f t="shared" ref="H84:H92" si="24">H73</f>
        <v>1</v>
      </c>
      <c r="I84" s="4">
        <f>(I73*COS($B$64))+(J73*SIN($B$64))</f>
        <v>13.163869942861739</v>
      </c>
      <c r="J84" s="1">
        <f>(-1*I73*SIN($B$64))+(J73*COS($B$64))</f>
        <v>-4.4398792919877064</v>
      </c>
    </row>
    <row r="85" spans="1:10" x14ac:dyDescent="0.25">
      <c r="A85" s="1">
        <f t="shared" si="21"/>
        <v>2</v>
      </c>
      <c r="B85" s="4">
        <f t="shared" si="22"/>
        <v>10.344390495470465</v>
      </c>
      <c r="C85" s="1">
        <f t="shared" si="23"/>
        <v>9.2732726303727464</v>
      </c>
      <c r="H85" s="1">
        <f t="shared" si="24"/>
        <v>2</v>
      </c>
      <c r="I85" s="4">
        <f t="shared" ref="I85:I92" si="25">(I74*COS($B$64))+(J74*SIN($B$64))</f>
        <v>13.163869942861739</v>
      </c>
      <c r="J85" s="1">
        <f t="shared" ref="J85:J92" si="26">(-1*I74*SIN($B$64))+(J74*COS($B$64))</f>
        <v>-4.4398792919877064</v>
      </c>
    </row>
    <row r="86" spans="1:10" x14ac:dyDescent="0.25">
      <c r="A86" s="1">
        <f t="shared" si="21"/>
        <v>3</v>
      </c>
      <c r="B86" s="4">
        <f t="shared" si="22"/>
        <v>-13.163869942861739</v>
      </c>
      <c r="C86" s="1">
        <f t="shared" si="23"/>
        <v>4.4398792919877064</v>
      </c>
      <c r="H86" s="1">
        <f t="shared" si="24"/>
        <v>3</v>
      </c>
      <c r="I86" s="4">
        <f t="shared" si="25"/>
        <v>13.163869942861739</v>
      </c>
      <c r="J86" s="1">
        <f t="shared" si="26"/>
        <v>-4.4398792919877064</v>
      </c>
    </row>
    <row r="87" spans="1:10" x14ac:dyDescent="0.25">
      <c r="A87" s="1">
        <f t="shared" si="21"/>
        <v>4</v>
      </c>
      <c r="B87" s="4">
        <f t="shared" si="22"/>
        <v>-10.344390495470465</v>
      </c>
      <c r="C87" s="1">
        <f t="shared" si="23"/>
        <v>-9.2732726303727464</v>
      </c>
      <c r="H87" s="1">
        <f t="shared" si="24"/>
        <v>4</v>
      </c>
      <c r="I87" s="4">
        <f t="shared" si="25"/>
        <v>13.163869942861739</v>
      </c>
      <c r="J87" s="1">
        <f t="shared" si="26"/>
        <v>-4.4398792919877064</v>
      </c>
    </row>
    <row r="88" spans="1:10" x14ac:dyDescent="0.25">
      <c r="A88" s="1">
        <f t="shared" si="21"/>
        <v>5</v>
      </c>
      <c r="B88" s="4">
        <f t="shared" si="22"/>
        <v>13.163869942861739</v>
      </c>
      <c r="C88" s="1">
        <f t="shared" si="23"/>
        <v>-4.4398792919877064</v>
      </c>
      <c r="H88" s="1">
        <f t="shared" si="24"/>
        <v>5</v>
      </c>
      <c r="I88" s="4">
        <f t="shared" si="25"/>
        <v>13.163869942861739</v>
      </c>
      <c r="J88" s="1">
        <f t="shared" si="26"/>
        <v>-4.4398792919877064</v>
      </c>
    </row>
    <row r="89" spans="1:10" x14ac:dyDescent="0.25">
      <c r="A89" s="1">
        <f t="shared" si="21"/>
        <v>6</v>
      </c>
      <c r="B89" s="4">
        <f t="shared" si="22"/>
        <v>13.163869942861739</v>
      </c>
      <c r="C89" s="1">
        <f t="shared" si="23"/>
        <v>-4.4398792919877064</v>
      </c>
      <c r="H89" s="1">
        <f t="shared" si="24"/>
        <v>6</v>
      </c>
      <c r="I89" s="4">
        <f t="shared" si="25"/>
        <v>13.163869942861739</v>
      </c>
      <c r="J89" s="1">
        <f t="shared" si="26"/>
        <v>-4.4398792919877064</v>
      </c>
    </row>
    <row r="90" spans="1:10" x14ac:dyDescent="0.25">
      <c r="A90" s="1">
        <f t="shared" si="21"/>
        <v>7</v>
      </c>
      <c r="B90" s="4">
        <f t="shared" si="22"/>
        <v>13.163869942861739</v>
      </c>
      <c r="C90" s="1">
        <f t="shared" si="23"/>
        <v>-4.4398792919877064</v>
      </c>
      <c r="H90" s="1">
        <f t="shared" si="24"/>
        <v>7</v>
      </c>
      <c r="I90" s="4">
        <f t="shared" si="25"/>
        <v>13.163869942861739</v>
      </c>
      <c r="J90" s="1">
        <f t="shared" si="26"/>
        <v>-4.4398792919877064</v>
      </c>
    </row>
    <row r="91" spans="1:10" x14ac:dyDescent="0.25">
      <c r="A91" s="1">
        <f t="shared" si="21"/>
        <v>8</v>
      </c>
      <c r="B91" s="4">
        <f t="shared" si="22"/>
        <v>13.163869942861739</v>
      </c>
      <c r="C91" s="1">
        <f t="shared" si="23"/>
        <v>-4.4398792919877064</v>
      </c>
      <c r="H91" s="1">
        <f t="shared" si="24"/>
        <v>8</v>
      </c>
      <c r="I91" s="4">
        <f t="shared" si="25"/>
        <v>13.163869942861739</v>
      </c>
      <c r="J91" s="1">
        <f t="shared" si="26"/>
        <v>-4.4398792919877064</v>
      </c>
    </row>
    <row r="92" spans="1:10" x14ac:dyDescent="0.25">
      <c r="A92" s="1">
        <f t="shared" si="21"/>
        <v>9</v>
      </c>
      <c r="B92" s="4">
        <f t="shared" si="22"/>
        <v>13.163869942861739</v>
      </c>
      <c r="C92" s="1">
        <f t="shared" si="23"/>
        <v>-4.4398792919877064</v>
      </c>
      <c r="H92" s="1">
        <f t="shared" si="24"/>
        <v>9</v>
      </c>
      <c r="I92" s="4">
        <f t="shared" si="25"/>
        <v>13.163869942861739</v>
      </c>
      <c r="J92" s="1">
        <f t="shared" si="26"/>
        <v>-4.4398792919877064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9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9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9.6211632207720843</v>
      </c>
      <c r="C110" s="1">
        <f>(-1*B95*SIN($B$64))+(C95*COS($B$64))</f>
        <v>-2.1055209044943108</v>
      </c>
      <c r="D110" t="str">
        <f t="shared" ref="D110" si="31">D95</f>
        <v>y</v>
      </c>
      <c r="E110" s="4">
        <f t="shared" ref="E110:E121" si="32">IF($D110="y",$B$125-C110,0)</f>
        <v>7.5652752875920761</v>
      </c>
      <c r="F110" s="1">
        <f>IF($D110="y",B110,NA())</f>
        <v>9.6211632207720843</v>
      </c>
      <c r="G110" s="1">
        <f>IF($D110="y",C110,NA())</f>
        <v>-2.1055209044943108</v>
      </c>
      <c r="H110">
        <f t="shared" ref="H110:H121" si="33">IF($E$122=0,0,-1*MAX(($B$67/$E$122)*(E110),0))</f>
        <v>-233.20356251443619</v>
      </c>
      <c r="I110">
        <f>H110*C110</f>
        <v>491.01497587669127</v>
      </c>
      <c r="J110">
        <f>H110*B110*-1</f>
        <v>2243.6895386169172</v>
      </c>
      <c r="K110">
        <f ca="1">H110/$B$55</f>
        <v>-1643.4495736627202</v>
      </c>
      <c r="L110">
        <f ca="1">K110/$B$54</f>
        <v>-5.6670674953886904E-2</v>
      </c>
      <c r="M110">
        <f t="shared" ref="M110:M121" si="34">IFERROR(($D$66/$B$65)*(G110-$B$125),0)</f>
        <v>-5.6670681171261915E-2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8.0100321079770698</v>
      </c>
      <c r="C111" s="1">
        <f t="shared" ref="C111:C121" si="37">(-1*B96*SIN($B$64))+(C96*COS($B$64))</f>
        <v>5.7305659082830909</v>
      </c>
      <c r="D111" t="str">
        <f t="shared" si="35"/>
        <v>y</v>
      </c>
      <c r="E111" s="4">
        <f t="shared" si="32"/>
        <v>-0.27081152518532559</v>
      </c>
      <c r="F111" s="1">
        <f t="shared" ref="F111:G121" si="38">IF($D111="y",B111,NA())</f>
        <v>8.0100321079770698</v>
      </c>
      <c r="G111" s="1">
        <f t="shared" si="38"/>
        <v>5.7305659082830909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2.0286206407388401E-3</v>
      </c>
      <c r="N111">
        <f t="shared" ref="N111:N121" si="42">IF(AND(M111&gt;0,D111="y",$E$60="y"),$B$53*M111*$E$59,0)</f>
        <v>1.9485339410511395</v>
      </c>
      <c r="O111">
        <f t="shared" ref="O111:O121" si="43">N111*C111</f>
        <v>11.166202173720155</v>
      </c>
      <c r="P111">
        <f t="shared" ref="P111:P121" si="44">N111*B111*-1</f>
        <v>-15.607819431302726</v>
      </c>
    </row>
    <row r="112" spans="1:16" x14ac:dyDescent="0.25">
      <c r="A112">
        <f t="shared" si="35"/>
        <v>3</v>
      </c>
      <c r="B112" s="1">
        <f t="shared" si="36"/>
        <v>3.7440981111890324</v>
      </c>
      <c r="C112" s="1">
        <f t="shared" si="37"/>
        <v>-3.3138692390905709</v>
      </c>
      <c r="D112" t="str">
        <f t="shared" si="35"/>
        <v>y</v>
      </c>
      <c r="E112" s="4">
        <f t="shared" si="32"/>
        <v>8.7736236221883352</v>
      </c>
      <c r="F112" s="1">
        <f t="shared" si="38"/>
        <v>3.7440981111890324</v>
      </c>
      <c r="G112" s="1">
        <f t="shared" si="38"/>
        <v>-3.3138692390905709</v>
      </c>
      <c r="H112">
        <f t="shared" si="33"/>
        <v>-270.45153111756201</v>
      </c>
      <c r="I112">
        <f t="shared" si="39"/>
        <v>896.24100963543503</v>
      </c>
      <c r="J112">
        <f t="shared" si="40"/>
        <v>1012.5970668254457</v>
      </c>
      <c r="K112">
        <f t="shared" ref="K112:K121" ca="1" si="45">H112/$B$55</f>
        <v>-1905.946241640595</v>
      </c>
      <c r="L112">
        <f t="shared" ca="1" si="41"/>
        <v>-6.572228419450328E-2</v>
      </c>
      <c r="M112">
        <f t="shared" si="34"/>
        <v>-6.5722291404935976E-2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2.1329669983940187</v>
      </c>
      <c r="C113" s="1">
        <f t="shared" si="37"/>
        <v>4.5222175736868309</v>
      </c>
      <c r="D113" t="str">
        <f t="shared" si="35"/>
        <v>y</v>
      </c>
      <c r="E113" s="4">
        <f t="shared" si="32"/>
        <v>0.93753680941093442</v>
      </c>
      <c r="F113" s="1">
        <f t="shared" si="38"/>
        <v>2.1329669983940187</v>
      </c>
      <c r="G113" s="1">
        <f t="shared" si="38"/>
        <v>4.5222175736868309</v>
      </c>
      <c r="H113">
        <f t="shared" si="33"/>
        <v>-28.900061878995686</v>
      </c>
      <c r="I113">
        <f t="shared" si="39"/>
        <v>-130.69236770983113</v>
      </c>
      <c r="J113">
        <f t="shared" si="40"/>
        <v>61.64287823944283</v>
      </c>
      <c r="K113">
        <f t="shared" ca="1" si="45"/>
        <v>-203.66667585072386</v>
      </c>
      <c r="L113">
        <f t="shared" ca="1" si="41"/>
        <v>-7.0229888224387542E-3</v>
      </c>
      <c r="M113">
        <f t="shared" si="34"/>
        <v>-7.0229895929352273E-3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-8.0100321079770698</v>
      </c>
      <c r="C114" s="1">
        <f t="shared" si="37"/>
        <v>-5.7305659082830909</v>
      </c>
      <c r="D114" t="str">
        <f t="shared" si="35"/>
        <v>y</v>
      </c>
      <c r="E114" s="4">
        <f t="shared" si="32"/>
        <v>11.190320291380857</v>
      </c>
      <c r="F114" s="1">
        <f t="shared" si="38"/>
        <v>-8.0100321079770698</v>
      </c>
      <c r="G114" s="1">
        <f t="shared" si="38"/>
        <v>-5.7305659082830909</v>
      </c>
      <c r="H114">
        <f t="shared" si="33"/>
        <v>-344.94746832381384</v>
      </c>
      <c r="I114">
        <f t="shared" si="39"/>
        <v>1976.744202125009</v>
      </c>
      <c r="J114">
        <f t="shared" si="40"/>
        <v>-2763.0402968391522</v>
      </c>
      <c r="K114">
        <f t="shared" ca="1" si="45"/>
        <v>-2430.9395775963458</v>
      </c>
      <c r="L114">
        <f t="shared" ca="1" si="41"/>
        <v>-8.3825502675736061E-2</v>
      </c>
      <c r="M114">
        <f t="shared" si="34"/>
        <v>-8.3825511872284125E-2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-9.6211632207720843</v>
      </c>
      <c r="C115" s="1">
        <f t="shared" si="37"/>
        <v>2.1055209044943108</v>
      </c>
      <c r="D115" t="str">
        <f t="shared" si="35"/>
        <v>y</v>
      </c>
      <c r="E115" s="4">
        <f t="shared" si="32"/>
        <v>3.3542334786034544</v>
      </c>
      <c r="F115" s="1">
        <f t="shared" si="38"/>
        <v>-9.6211632207720843</v>
      </c>
      <c r="G115" s="1">
        <f t="shared" si="38"/>
        <v>2.1055209044943108</v>
      </c>
      <c r="H115">
        <f t="shared" si="33"/>
        <v>-103.39599908524745</v>
      </c>
      <c r="I115">
        <f t="shared" si="39"/>
        <v>-217.70243751506317</v>
      </c>
      <c r="J115">
        <f t="shared" si="40"/>
        <v>-994.78978357396682</v>
      </c>
      <c r="K115">
        <f t="shared" ca="1" si="45"/>
        <v>-728.66001180647436</v>
      </c>
      <c r="L115">
        <f t="shared" ca="1" si="41"/>
        <v>-2.512620730367153E-2</v>
      </c>
      <c r="M115">
        <f t="shared" si="34"/>
        <v>-2.5126210060283361E-2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-2.1329669983940187</v>
      </c>
      <c r="C116" s="1">
        <f t="shared" si="37"/>
        <v>-4.5222175736868309</v>
      </c>
      <c r="D116" t="str">
        <f t="shared" si="35"/>
        <v>y</v>
      </c>
      <c r="E116" s="4">
        <f t="shared" si="32"/>
        <v>9.9819719567845961</v>
      </c>
      <c r="F116" s="1">
        <f t="shared" si="38"/>
        <v>-2.1329669983940187</v>
      </c>
      <c r="G116" s="1">
        <f t="shared" si="38"/>
        <v>-4.5222175736868309</v>
      </c>
      <c r="H116">
        <f t="shared" si="33"/>
        <v>-307.69949972068792</v>
      </c>
      <c r="I116">
        <f t="shared" si="39"/>
        <v>1391.4840850515411</v>
      </c>
      <c r="J116">
        <f t="shared" si="40"/>
        <v>-656.31287832657688</v>
      </c>
      <c r="K116">
        <f t="shared" ca="1" si="45"/>
        <v>-2168.4429096184704</v>
      </c>
      <c r="L116">
        <f t="shared" ca="1" si="41"/>
        <v>-7.477389343511967E-2</v>
      </c>
      <c r="M116">
        <f t="shared" si="34"/>
        <v>-7.4773901638610044E-2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-3.7440981111890324</v>
      </c>
      <c r="C117" s="1">
        <f t="shared" si="37"/>
        <v>3.3138692390905709</v>
      </c>
      <c r="D117" t="str">
        <f t="shared" si="35"/>
        <v>y</v>
      </c>
      <c r="E117" s="4">
        <f t="shared" si="32"/>
        <v>2.1458851440071944</v>
      </c>
      <c r="F117" s="1">
        <f t="shared" si="38"/>
        <v>-3.7440981111890324</v>
      </c>
      <c r="G117" s="1">
        <f t="shared" si="38"/>
        <v>3.3138692390905709</v>
      </c>
      <c r="H117">
        <f t="shared" si="33"/>
        <v>-66.14803048212157</v>
      </c>
      <c r="I117">
        <f t="shared" si="39"/>
        <v>-219.20592344112808</v>
      </c>
      <c r="J117">
        <f t="shared" si="40"/>
        <v>-247.6647159869859</v>
      </c>
      <c r="K117">
        <f t="shared" ca="1" si="45"/>
        <v>-466.16334382859907</v>
      </c>
      <c r="L117">
        <f t="shared" ca="1" si="41"/>
        <v>-1.607459806305514E-2</v>
      </c>
      <c r="M117">
        <f t="shared" si="34"/>
        <v>-1.6074599826609293E-2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13.163869942861739</v>
      </c>
      <c r="C118" s="1">
        <f t="shared" si="37"/>
        <v>-4.4398792919877064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13.163869942861739</v>
      </c>
      <c r="C119" s="1">
        <f t="shared" si="37"/>
        <v>-4.4398792919877064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13.163869942861739</v>
      </c>
      <c r="C120" s="1">
        <f t="shared" si="37"/>
        <v>-4.4398792919877064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13.163869942861739</v>
      </c>
      <c r="C121" s="1">
        <f t="shared" si="37"/>
        <v>-4.4398792919877064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11.190320291380857</v>
      </c>
      <c r="H122">
        <f>SUM(H110:H121)</f>
        <v>-1354.7461531228646</v>
      </c>
      <c r="I122">
        <f t="shared" ref="I122:J122" si="46">SUM(I110:I121)</f>
        <v>4187.883544022654</v>
      </c>
      <c r="J122">
        <f t="shared" si="46"/>
        <v>-1343.8781910448761</v>
      </c>
      <c r="L122">
        <f ca="1">MIN(L110:L121)</f>
        <v>-8.3825502675736061E-2</v>
      </c>
      <c r="M122">
        <f>MIN(M110:M121)</f>
        <v>-8.3825511872284125E-2</v>
      </c>
      <c r="N122">
        <f>SUM(N110:N121)</f>
        <v>1.9485339410511395</v>
      </c>
      <c r="O122">
        <f>SUM(O110:O121)</f>
        <v>11.166202173720155</v>
      </c>
      <c r="P122">
        <f>SUM(P110:P121)</f>
        <v>-15.607819431302726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5.4597543830977653</v>
      </c>
      <c r="F125" s="1" t="s">
        <v>27</v>
      </c>
      <c r="G125" s="1" t="s">
        <v>28</v>
      </c>
    </row>
    <row r="126" spans="1:16" x14ac:dyDescent="0.25">
      <c r="F126" s="4">
        <f>MIN(B84:B90)-1</f>
        <v>-14.163869942861739</v>
      </c>
      <c r="G126" s="4">
        <f>B125</f>
        <v>5.4597543830977653</v>
      </c>
    </row>
    <row r="127" spans="1:16" x14ac:dyDescent="0.25">
      <c r="F127" s="4">
        <f>MAX(B84:B90)+1</f>
        <v>14.163869942861739</v>
      </c>
      <c r="G127" s="4">
        <f>G126</f>
        <v>5.4597543830977653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13.163869942861739</v>
      </c>
      <c r="C132" s="4">
        <f>C84</f>
        <v>-4.4398792919877064</v>
      </c>
      <c r="D132" s="4">
        <f t="shared" ref="D132:E139" si="47">B85</f>
        <v>10.344390495470465</v>
      </c>
      <c r="E132" s="4">
        <f t="shared" si="47"/>
        <v>9.2732726303727464</v>
      </c>
      <c r="F132" s="4">
        <f t="shared" ref="F132:F139" si="48">($B$66/$B$65)*(C132-$B$125)</f>
        <v>-286.63222924126939</v>
      </c>
      <c r="G132" s="4">
        <f t="shared" ref="G132:G139" si="49">($B$66/$B$65)*(E132-$B$125)</f>
        <v>110.41592773474507</v>
      </c>
      <c r="H132" s="4">
        <f>IF(B132=D132,"V",(C132-E132)/(B132-D132))</f>
        <v>-4.8637176394559507</v>
      </c>
      <c r="I132" s="4">
        <f>IF(H132="V",0,(-1*B132*H132)+C132)</f>
        <v>59.585467152612935</v>
      </c>
      <c r="J132" s="4">
        <f>IF($F132&gt;=0,B132,IF(AND($F132&lt;0,$G132&gt;=0),IF(H132="V",B132,($B$125-I132)/H132),0))</f>
        <v>11.12846525678855</v>
      </c>
      <c r="K132" s="4">
        <f>IF($F132&gt;=0,C132,IF(AND($F132&lt;0,$G132&gt;=0),$B$125,0))</f>
        <v>5.4597543830977653</v>
      </c>
      <c r="L132" s="4">
        <f>IF($G132&gt;=0,D132,IF(AND($G132&lt;0,$F132&gt;=0),IF(H132="V",D132,($B$125-I132)/H132),0))</f>
        <v>10.344390495470465</v>
      </c>
      <c r="M132" s="4">
        <f>IF($G132&gt;=0,E132,IF(AND($G132&lt;0,$F132&gt;=0),$B$125,0))</f>
        <v>9.2732726303727464</v>
      </c>
      <c r="N132" s="4">
        <f>IF(F132&lt;0,0,F132)</f>
        <v>0</v>
      </c>
      <c r="O132" s="4">
        <f>IF(G132&lt;0,0,G132)</f>
        <v>110.41592773474507</v>
      </c>
      <c r="P132" s="4">
        <f>(1/6)*(M132-K132)*((N132*((2*J132)+L132))+(O132*(J132+(2*L132))))</f>
        <v>2232.8980445842567</v>
      </c>
      <c r="Q132" s="4">
        <f>((1/12)*(M132-K132)*(N132*J132*((3*K132)+M132)+N132*L132*(K132+M132)+O132*J132*(K132+M132)+O132*L132*(K132+(3*M132))))</f>
        <v>17832.899737047839</v>
      </c>
      <c r="R132" s="4">
        <f>((-1/24)*(M132-K132)*(J132*J132*((3*N132)+O132)+2*J132*L132*(N132+O132)+L132*L132*(N132+(3*O132))))</f>
        <v>-11844.373162105365</v>
      </c>
    </row>
    <row r="133" spans="1:18" x14ac:dyDescent="0.25">
      <c r="A133" t="s">
        <v>70</v>
      </c>
      <c r="B133" s="4">
        <f t="shared" ref="B133:C138" si="50">D132</f>
        <v>10.344390495470465</v>
      </c>
      <c r="C133" s="4">
        <f t="shared" si="50"/>
        <v>9.2732726303727464</v>
      </c>
      <c r="D133" s="4">
        <f t="shared" si="47"/>
        <v>-13.163869942861739</v>
      </c>
      <c r="E133" s="4">
        <f t="shared" si="47"/>
        <v>4.4398792919877064</v>
      </c>
      <c r="F133" s="4">
        <f t="shared" si="48"/>
        <v>110.41592773474507</v>
      </c>
      <c r="G133" s="4">
        <f t="shared" si="49"/>
        <v>-29.529281638797102</v>
      </c>
      <c r="H133" s="4">
        <f t="shared" ref="H133:H139" si="51">IF(B133=D133,"V",(C133-E133)/(B133-D133))</f>
        <v>0.20560404080362255</v>
      </c>
      <c r="I133" s="4">
        <f t="shared" ref="I133:I139" si="52">IF(H133="V",0,(-1*B133*H133)+C133)</f>
        <v>7.146424144853432</v>
      </c>
      <c r="J133" s="4">
        <f t="shared" ref="J133:J139" si="53">IF($F133&gt;=0,B133,IF(AND($F133&lt;0,$G133&gt;=0),IF(H133="V",B133,($B$125-I133)/H133),0))</f>
        <v>10.344390495470465</v>
      </c>
      <c r="K133" s="4">
        <f t="shared" ref="K133:K139" si="54">IF($F133&gt;=0,C133,IF(AND($F133&lt;0,$G133&gt;=0),$B$125,0))</f>
        <v>9.2732726303727464</v>
      </c>
      <c r="L133" s="4">
        <f t="shared" ref="L133:L139" si="55">IF($G133&gt;=0,D133,IF(AND($G133&lt;0,$F133&gt;=0),IF(H133="V",D133,($B$125-I133)/H133),0))</f>
        <v>-8.2034854721880013</v>
      </c>
      <c r="M133" s="4">
        <f t="shared" ref="M133:M139" si="56">IF($G133&gt;=0,E133,IF(AND($G133&lt;0,$F133&gt;=0),$B$125,0))</f>
        <v>5.4597543830977653</v>
      </c>
      <c r="N133" s="4">
        <f t="shared" ref="N133:O139" si="57">IF(F133&lt;0,0,F133)</f>
        <v>110.41592773474507</v>
      </c>
      <c r="O133" s="4">
        <f t="shared" si="57"/>
        <v>0</v>
      </c>
      <c r="P133" s="4">
        <f t="shared" ref="P133:P139" si="58">(1/6)*(M133-K133)*((N133*((2*J133)+L133))+(O133*(J133+(2*L133))))</f>
        <v>-876.20379629394984</v>
      </c>
      <c r="Q133" s="4">
        <f t="shared" ref="Q133:Q139" si="59">((1/12)*(M133-K133)*(N133*J133*((3*K133)+M133)+N133*L133*(K133+M133)+O133*J133*(K133+M133)+O133*L133*(K133+(3*M133))))</f>
        <v>-7838.7932325072588</v>
      </c>
      <c r="R133" s="4">
        <f t="shared" ref="R133:R139" si="60">((-1/24)*(M133-K133)*(J133*J133*((3*N133)+O133)+2*J133*L133*(N133+O133)+L133*L133*(N133+(3*O133))))</f>
        <v>3835.2098059352688</v>
      </c>
    </row>
    <row r="134" spans="1:18" x14ac:dyDescent="0.25">
      <c r="A134" t="s">
        <v>71</v>
      </c>
      <c r="B134" s="4">
        <f t="shared" si="50"/>
        <v>-13.163869942861739</v>
      </c>
      <c r="C134" s="4">
        <f t="shared" si="50"/>
        <v>4.4398792919877064</v>
      </c>
      <c r="D134" s="4">
        <f t="shared" si="47"/>
        <v>-10.344390495470465</v>
      </c>
      <c r="E134" s="4">
        <f t="shared" si="47"/>
        <v>-9.2732726303727464</v>
      </c>
      <c r="F134" s="4">
        <f t="shared" si="48"/>
        <v>-29.529281638797102</v>
      </c>
      <c r="G134" s="4">
        <f t="shared" si="49"/>
        <v>-426.57743861481151</v>
      </c>
      <c r="H134" s="4">
        <f t="shared" si="51"/>
        <v>-4.8637176394559507</v>
      </c>
      <c r="I134" s="4">
        <f t="shared" si="52"/>
        <v>-59.585467152612935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-10.344390495470465</v>
      </c>
      <c r="C135" s="4">
        <f t="shared" si="50"/>
        <v>-9.2732726303727464</v>
      </c>
      <c r="D135" s="4">
        <f t="shared" si="47"/>
        <v>13.163869942861739</v>
      </c>
      <c r="E135" s="4">
        <f t="shared" si="47"/>
        <v>-4.4398792919877064</v>
      </c>
      <c r="F135" s="4">
        <f t="shared" si="48"/>
        <v>-426.57743861481151</v>
      </c>
      <c r="G135" s="4">
        <f t="shared" si="49"/>
        <v>-286.63222924126939</v>
      </c>
      <c r="H135" s="4">
        <f t="shared" si="51"/>
        <v>0.20560404080362255</v>
      </c>
      <c r="I135" s="4">
        <f t="shared" si="52"/>
        <v>-7.146424144853432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13.163869942861739</v>
      </c>
      <c r="C136" s="4">
        <f t="shared" si="50"/>
        <v>-4.4398792919877064</v>
      </c>
      <c r="D136" s="4">
        <f t="shared" si="47"/>
        <v>13.163869942861739</v>
      </c>
      <c r="E136" s="4">
        <f t="shared" si="47"/>
        <v>-4.4398792919877064</v>
      </c>
      <c r="F136" s="4">
        <f t="shared" si="48"/>
        <v>-286.63222924126939</v>
      </c>
      <c r="G136" s="4">
        <f t="shared" si="49"/>
        <v>-286.63222924126939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13.163869942861739</v>
      </c>
      <c r="C137" s="4">
        <f t="shared" si="50"/>
        <v>-4.4398792919877064</v>
      </c>
      <c r="D137" s="4">
        <f t="shared" si="47"/>
        <v>13.163869942861739</v>
      </c>
      <c r="E137" s="4">
        <f t="shared" si="47"/>
        <v>-4.4398792919877064</v>
      </c>
      <c r="F137" s="4">
        <f t="shared" si="48"/>
        <v>-286.63222924126939</v>
      </c>
      <c r="G137" s="4">
        <f t="shared" si="49"/>
        <v>-286.63222924126939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13.163869942861739</v>
      </c>
      <c r="C138" s="4">
        <f t="shared" si="50"/>
        <v>-4.4398792919877064</v>
      </c>
      <c r="D138" s="4">
        <f t="shared" si="47"/>
        <v>13.163869942861739</v>
      </c>
      <c r="E138" s="4">
        <f t="shared" si="47"/>
        <v>-4.4398792919877064</v>
      </c>
      <c r="F138" s="4">
        <f t="shared" si="48"/>
        <v>-286.63222924126939</v>
      </c>
      <c r="G138" s="4">
        <f t="shared" si="49"/>
        <v>-286.63222924126939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13.163869942861739</v>
      </c>
      <c r="C139" s="4">
        <f>E138</f>
        <v>-4.4398792919877064</v>
      </c>
      <c r="D139" s="4">
        <f t="shared" si="47"/>
        <v>13.163869942861739</v>
      </c>
      <c r="E139" s="4">
        <f t="shared" si="47"/>
        <v>-4.4398792919877064</v>
      </c>
      <c r="F139" s="4">
        <f t="shared" si="48"/>
        <v>-286.63222924126939</v>
      </c>
      <c r="G139" s="4">
        <f t="shared" si="49"/>
        <v>-286.63222924126939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1356.6942482903069</v>
      </c>
      <c r="Q140" s="4">
        <f>SUM(Q132:Q139)</f>
        <v>9994.1065045405812</v>
      </c>
      <c r="R140" s="4">
        <f>SUM(R132:R139)</f>
        <v>-8009.1633561700964</v>
      </c>
    </row>
    <row r="142" spans="1:18" x14ac:dyDescent="0.25">
      <c r="O142" t="s">
        <v>96</v>
      </c>
      <c r="P142" s="1">
        <f>-1*R140/P140</f>
        <v>5.9034401938853707</v>
      </c>
    </row>
    <row r="143" spans="1:18" x14ac:dyDescent="0.25">
      <c r="O143" t="s">
        <v>97</v>
      </c>
      <c r="P143" s="1">
        <f>Q140/P140</f>
        <v>7.3665135067352567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13.163869942861739</v>
      </c>
      <c r="C146" s="9">
        <f>J84</f>
        <v>-4.4398792919877064</v>
      </c>
      <c r="D146" s="9">
        <f t="shared" ref="D146:E153" si="61">I85</f>
        <v>13.163869942861739</v>
      </c>
      <c r="E146">
        <f t="shared" si="61"/>
        <v>-4.4398792919877064</v>
      </c>
      <c r="F146" s="4">
        <f>($B$66/$B$65)*(C146-$B$125)</f>
        <v>-286.63222924126939</v>
      </c>
      <c r="G146" s="4">
        <f>($B$66/$B$65)*(E146-$B$125)</f>
        <v>-286.63222924126939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13.163869942861739</v>
      </c>
      <c r="C147">
        <f t="shared" si="62"/>
        <v>-4.4398792919877064</v>
      </c>
      <c r="D147" s="9">
        <f t="shared" si="61"/>
        <v>13.163869942861739</v>
      </c>
      <c r="E147">
        <f t="shared" si="61"/>
        <v>-4.4398792919877064</v>
      </c>
      <c r="F147" s="4">
        <f t="shared" ref="F147:F153" si="63">($B$66/$B$65)*(C147-$B$125)</f>
        <v>-286.63222924126939</v>
      </c>
      <c r="G147" s="4">
        <f t="shared" ref="G147:G153" si="64">($B$66/$B$65)*(E147-$B$125)</f>
        <v>-286.63222924126939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13.163869942861739</v>
      </c>
      <c r="C148">
        <f t="shared" si="62"/>
        <v>-4.4398792919877064</v>
      </c>
      <c r="D148" s="9">
        <f t="shared" si="61"/>
        <v>13.163869942861739</v>
      </c>
      <c r="E148">
        <f t="shared" si="61"/>
        <v>-4.4398792919877064</v>
      </c>
      <c r="F148" s="4">
        <f t="shared" si="63"/>
        <v>-286.63222924126939</v>
      </c>
      <c r="G148" s="4">
        <f t="shared" si="64"/>
        <v>-286.63222924126939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13.163869942861739</v>
      </c>
      <c r="C149">
        <f t="shared" si="62"/>
        <v>-4.4398792919877064</v>
      </c>
      <c r="D149" s="9">
        <f t="shared" si="61"/>
        <v>13.163869942861739</v>
      </c>
      <c r="E149">
        <f t="shared" si="61"/>
        <v>-4.4398792919877064</v>
      </c>
      <c r="F149" s="4">
        <f t="shared" si="63"/>
        <v>-286.63222924126939</v>
      </c>
      <c r="G149" s="4">
        <f t="shared" si="64"/>
        <v>-286.63222924126939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13.163869942861739</v>
      </c>
      <c r="C150">
        <f t="shared" si="62"/>
        <v>-4.4398792919877064</v>
      </c>
      <c r="D150" s="9">
        <f t="shared" si="61"/>
        <v>13.163869942861739</v>
      </c>
      <c r="E150">
        <f t="shared" si="61"/>
        <v>-4.4398792919877064</v>
      </c>
      <c r="F150" s="4">
        <f t="shared" si="63"/>
        <v>-286.63222924126939</v>
      </c>
      <c r="G150" s="4">
        <f t="shared" si="64"/>
        <v>-286.63222924126939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13.163869942861739</v>
      </c>
      <c r="C151">
        <f t="shared" si="62"/>
        <v>-4.4398792919877064</v>
      </c>
      <c r="D151" s="9">
        <f t="shared" si="61"/>
        <v>13.163869942861739</v>
      </c>
      <c r="E151">
        <f t="shared" si="61"/>
        <v>-4.4398792919877064</v>
      </c>
      <c r="F151" s="4">
        <f t="shared" si="63"/>
        <v>-286.63222924126939</v>
      </c>
      <c r="G151" s="4">
        <f t="shared" si="64"/>
        <v>-286.63222924126939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13.163869942861739</v>
      </c>
      <c r="C152">
        <f t="shared" si="62"/>
        <v>-4.4398792919877064</v>
      </c>
      <c r="D152" s="9">
        <f t="shared" si="61"/>
        <v>13.163869942861739</v>
      </c>
      <c r="E152">
        <f t="shared" si="61"/>
        <v>-4.4398792919877064</v>
      </c>
      <c r="F152" s="4">
        <f t="shared" si="63"/>
        <v>-286.63222924126939</v>
      </c>
      <c r="G152" s="4">
        <f t="shared" si="64"/>
        <v>-286.63222924126939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13.163869942861739</v>
      </c>
      <c r="C153">
        <f t="shared" si="62"/>
        <v>-4.4398792919877064</v>
      </c>
      <c r="D153" s="9">
        <f t="shared" si="61"/>
        <v>13.163869942861739</v>
      </c>
      <c r="E153">
        <f t="shared" si="61"/>
        <v>-4.4398792919877064</v>
      </c>
      <c r="F153" s="4">
        <f t="shared" si="63"/>
        <v>-286.63222924126939</v>
      </c>
      <c r="G153" s="4">
        <f t="shared" si="64"/>
        <v>-286.63222924126939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-4.3877360887822903E-4</v>
      </c>
      <c r="C159" t="s">
        <v>36</v>
      </c>
    </row>
    <row r="160" spans="1:18" x14ac:dyDescent="0.25">
      <c r="A160" s="1" t="s">
        <v>106</v>
      </c>
      <c r="B160" s="4">
        <f>Q140+I122+Q154-O122</f>
        <v>14170.823846389516</v>
      </c>
      <c r="C160" t="s">
        <v>102</v>
      </c>
    </row>
    <row r="161" spans="1:9" x14ac:dyDescent="0.25">
      <c r="A161" s="1" t="s">
        <v>107</v>
      </c>
      <c r="B161" s="4">
        <f>R140+J122+R154-P122</f>
        <v>-9337.4337277836694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-4.3877360887822903E-4</v>
      </c>
      <c r="C164" t="s">
        <v>36</v>
      </c>
      <c r="E164" s="8">
        <f>B2-B164</f>
        <v>4.3877360887822903E-4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-11999.999561540524</v>
      </c>
      <c r="C165" t="s">
        <v>102</v>
      </c>
      <c r="E165" s="8">
        <f>B3+B165</f>
        <v>4.3845947584486566E-4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-11999.996984548829</v>
      </c>
      <c r="C166" t="s">
        <v>102</v>
      </c>
      <c r="E166" s="8">
        <f>B4+B166</f>
        <v>3.0154511714499677E-3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110.41592773474508</v>
      </c>
      <c r="B169" s="1">
        <f ca="1">IF(E122=0,0,(MIN(H110:H121)*B65)/(B55*B56*E122))</f>
        <v>-110.41591562094629</v>
      </c>
      <c r="C169" s="3">
        <f ca="1">A169+B169</f>
        <v>1.2113798788959684E-5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6.6888337179520654E-8</v>
      </c>
      <c r="C175" s="27">
        <f>B65*SQRT(I175)</f>
        <v>5.6563616511904844E-8</v>
      </c>
      <c r="D175" s="27">
        <f>B66*SQRT(I175)</f>
        <v>1.637732872435361E-6</v>
      </c>
      <c r="E175" s="27">
        <f>B67*SQRT(I175)</f>
        <v>5.1163977854210945E-6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4.5096108395711161</v>
      </c>
      <c r="C176" s="3">
        <f>B65+C175</f>
        <v>3.813518303838598</v>
      </c>
      <c r="D176" s="3">
        <f>D175+B66</f>
        <v>110.41592937247796</v>
      </c>
      <c r="E176" s="3">
        <f>B67+E175</f>
        <v>344.94747344021164</v>
      </c>
      <c r="F176" s="16" t="s">
        <v>125</v>
      </c>
    </row>
    <row r="177" spans="1:13" x14ac:dyDescent="0.25">
      <c r="B177" s="27">
        <f>B176-B64</f>
        <v>6.6888337535431219E-8</v>
      </c>
      <c r="C177" s="27">
        <f>C176-B65</f>
        <v>5.6563616457339094E-8</v>
      </c>
      <c r="D177" s="27">
        <f>D176-B66</f>
        <v>1.6377328790895263E-6</v>
      </c>
      <c r="E177" s="27">
        <f>E176-B67</f>
        <v>5.1163978014301392E-6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-12.269481071258726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-13.163869830997449</v>
      </c>
      <c r="B181" s="25">
        <f>(d_alpha_p!E136-d_alpha_m!E136)/(2*B177)</f>
        <v>-13.163869830997449</v>
      </c>
      <c r="C181" s="25">
        <f>(d_alpha_p!E137-d_alpha_m!E137)/(2*B177)</f>
        <v>-13.163869830997449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-4.3877360887822903E-4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-4.3845947584486566E-4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-3.0154511714499677E-3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-1.2113798788959684E-5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-12.269481071258726</v>
      </c>
      <c r="B190" s="25">
        <f>A181</f>
        <v>-13.163869830997449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-13.163869830997449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-13.163869830997449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-12.269481071258726</v>
      </c>
      <c r="B201" s="25">
        <f t="shared" ref="B201:C201" si="77">B190</f>
        <v>-13.163869830997449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-13.163869830997449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-13.163869830997449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8.9285714285714288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24.23469387755102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-8.9285714285714288</v>
      </c>
      <c r="AB14">
        <f>$B$4/Z14</f>
        <v>15.306122448979592</v>
      </c>
      <c r="AC14">
        <f>$I$2+AA14+AB14</f>
        <v>6.3775510204081627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8.9285714285714288</v>
      </c>
      <c r="AB15">
        <f t="shared" ref="AB15:AB21" si="11">$B$4/Z15</f>
        <v>15.306122448979592</v>
      </c>
      <c r="AC15">
        <f t="shared" ref="AC15:AC20" si="12">$I$2+AA15+AB15</f>
        <v>24.23469387755102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8.9285714285714288</v>
      </c>
      <c r="AB16">
        <f t="shared" si="11"/>
        <v>-15.306122448979592</v>
      </c>
      <c r="AC16">
        <f t="shared" si="12"/>
        <v>-6.3775510204081627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-8.9285714285714288</v>
      </c>
      <c r="AB17">
        <f t="shared" si="11"/>
        <v>-15.306122448979592</v>
      </c>
      <c r="AC17">
        <f t="shared" si="12"/>
        <v>-24.23469387755102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-8.9285714285714288</v>
      </c>
      <c r="AB18">
        <f t="shared" si="11"/>
        <v>-15.306122448979592</v>
      </c>
      <c r="AC18">
        <f t="shared" si="12"/>
        <v>-24.23469387755102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-8.9285714285714288</v>
      </c>
      <c r="AB19">
        <f t="shared" si="11"/>
        <v>-15.306122448979592</v>
      </c>
      <c r="AC19">
        <f t="shared" si="12"/>
        <v>-24.23469387755102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-8.9285714285714288</v>
      </c>
      <c r="AB20">
        <f t="shared" si="11"/>
        <v>-15.306122448979592</v>
      </c>
      <c r="AC20">
        <f t="shared" si="12"/>
        <v>-24.23469387755102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21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21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15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15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4.509610839571117</v>
      </c>
      <c r="C64" t="s">
        <v>19</v>
      </c>
      <c r="D64" t="s">
        <v>34</v>
      </c>
      <c r="H64" s="17">
        <f>DEGREES(B64)</f>
        <v>258.38166835387278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3.813518303838598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110.41592773474508</v>
      </c>
      <c r="C66" t="s">
        <v>11</v>
      </c>
      <c r="D66">
        <f>B66/B53</f>
        <v>2.8566663937076159E-2</v>
      </c>
      <c r="I66" s="20"/>
    </row>
    <row r="67" spans="1:18" x14ac:dyDescent="0.25">
      <c r="A67" s="1" t="s">
        <v>37</v>
      </c>
      <c r="B67" s="17">
        <f>'Rigid Bearing Plate Analysis'!B67</f>
        <v>344.94746832381384</v>
      </c>
      <c r="C67" t="s">
        <v>36</v>
      </c>
      <c r="D67" t="s">
        <v>122</v>
      </c>
      <c r="G67" s="20">
        <f ca="1">($B$56*$B$66*$B$55*$E$122)/$B$65</f>
        <v>344.94746146381289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-14.163869645885562</v>
      </c>
      <c r="R76">
        <f>Q76</f>
        <v>-14.163869645885562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14.163869645885562</v>
      </c>
      <c r="R77">
        <f>Q77</f>
        <v>14.163869645885562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13.163869645885562</v>
      </c>
      <c r="C84" s="1">
        <f t="shared" ref="C84:C92" si="23">(-1*B73*SIN($B$64))+(C73*COS($B$64))</f>
        <v>-4.4398801724970847</v>
      </c>
      <c r="H84" s="1">
        <f t="shared" ref="H84:H92" si="24">H73</f>
        <v>1</v>
      </c>
      <c r="I84" s="4">
        <f>(I73*COS($B$64))+(J73*SIN($B$64))</f>
        <v>13.163869645885562</v>
      </c>
      <c r="J84" s="1">
        <f>(-1*I73*SIN($B$64))+(J73*COS($B$64))</f>
        <v>-4.4398801724970847</v>
      </c>
    </row>
    <row r="85" spans="1:10" x14ac:dyDescent="0.25">
      <c r="A85" s="1">
        <f t="shared" si="21"/>
        <v>2</v>
      </c>
      <c r="B85" s="4">
        <f t="shared" si="22"/>
        <v>10.344391115744241</v>
      </c>
      <c r="C85" s="1">
        <f t="shared" si="23"/>
        <v>9.2732719384536324</v>
      </c>
      <c r="H85" s="1">
        <f t="shared" si="24"/>
        <v>2</v>
      </c>
      <c r="I85" s="4">
        <f t="shared" ref="I85:I92" si="25">(I74*COS($B$64))+(J74*SIN($B$64))</f>
        <v>13.163869645885562</v>
      </c>
      <c r="J85" s="1">
        <f t="shared" ref="J85:J92" si="26">(-1*I74*SIN($B$64))+(J74*COS($B$64))</f>
        <v>-4.4398801724970847</v>
      </c>
    </row>
    <row r="86" spans="1:10" x14ac:dyDescent="0.25">
      <c r="A86" s="1">
        <f t="shared" si="21"/>
        <v>3</v>
      </c>
      <c r="B86" s="4">
        <f t="shared" si="22"/>
        <v>-13.163869645885562</v>
      </c>
      <c r="C86" s="1">
        <f t="shared" si="23"/>
        <v>4.4398801724970847</v>
      </c>
      <c r="H86" s="1">
        <f t="shared" si="24"/>
        <v>3</v>
      </c>
      <c r="I86" s="4">
        <f t="shared" si="25"/>
        <v>13.163869645885562</v>
      </c>
      <c r="J86" s="1">
        <f t="shared" si="26"/>
        <v>-4.4398801724970847</v>
      </c>
    </row>
    <row r="87" spans="1:10" x14ac:dyDescent="0.25">
      <c r="A87" s="1">
        <f t="shared" si="21"/>
        <v>4</v>
      </c>
      <c r="B87" s="4">
        <f t="shared" si="22"/>
        <v>-10.344391115744241</v>
      </c>
      <c r="C87" s="1">
        <f t="shared" si="23"/>
        <v>-9.2732719384536324</v>
      </c>
      <c r="H87" s="1">
        <f t="shared" si="24"/>
        <v>4</v>
      </c>
      <c r="I87" s="4">
        <f t="shared" si="25"/>
        <v>13.163869645885562</v>
      </c>
      <c r="J87" s="1">
        <f t="shared" si="26"/>
        <v>-4.4398801724970847</v>
      </c>
    </row>
    <row r="88" spans="1:10" x14ac:dyDescent="0.25">
      <c r="A88" s="1">
        <f t="shared" si="21"/>
        <v>5</v>
      </c>
      <c r="B88" s="4">
        <f t="shared" si="22"/>
        <v>13.163869645885562</v>
      </c>
      <c r="C88" s="1">
        <f t="shared" si="23"/>
        <v>-4.4398801724970847</v>
      </c>
      <c r="H88" s="1">
        <f t="shared" si="24"/>
        <v>5</v>
      </c>
      <c r="I88" s="4">
        <f t="shared" si="25"/>
        <v>13.163869645885562</v>
      </c>
      <c r="J88" s="1">
        <f t="shared" si="26"/>
        <v>-4.4398801724970847</v>
      </c>
    </row>
    <row r="89" spans="1:10" x14ac:dyDescent="0.25">
      <c r="A89" s="1">
        <f t="shared" si="21"/>
        <v>6</v>
      </c>
      <c r="B89" s="4">
        <f t="shared" si="22"/>
        <v>13.163869645885562</v>
      </c>
      <c r="C89" s="1">
        <f t="shared" si="23"/>
        <v>-4.4398801724970847</v>
      </c>
      <c r="H89" s="1">
        <f t="shared" si="24"/>
        <v>6</v>
      </c>
      <c r="I89" s="4">
        <f t="shared" si="25"/>
        <v>13.163869645885562</v>
      </c>
      <c r="J89" s="1">
        <f t="shared" si="26"/>
        <v>-4.4398801724970847</v>
      </c>
    </row>
    <row r="90" spans="1:10" x14ac:dyDescent="0.25">
      <c r="A90" s="1">
        <f t="shared" si="21"/>
        <v>7</v>
      </c>
      <c r="B90" s="4">
        <f t="shared" si="22"/>
        <v>13.163869645885562</v>
      </c>
      <c r="C90" s="1">
        <f t="shared" si="23"/>
        <v>-4.4398801724970847</v>
      </c>
      <c r="H90" s="1">
        <f t="shared" si="24"/>
        <v>7</v>
      </c>
      <c r="I90" s="4">
        <f t="shared" si="25"/>
        <v>13.163869645885562</v>
      </c>
      <c r="J90" s="1">
        <f t="shared" si="26"/>
        <v>-4.4398801724970847</v>
      </c>
    </row>
    <row r="91" spans="1:10" x14ac:dyDescent="0.25">
      <c r="A91" s="1">
        <f t="shared" si="21"/>
        <v>8</v>
      </c>
      <c r="B91" s="4">
        <f t="shared" si="22"/>
        <v>13.163869645885562</v>
      </c>
      <c r="C91" s="1">
        <f t="shared" si="23"/>
        <v>-4.4398801724970847</v>
      </c>
      <c r="H91" s="1">
        <f t="shared" si="24"/>
        <v>8</v>
      </c>
      <c r="I91" s="4">
        <f t="shared" si="25"/>
        <v>13.163869645885562</v>
      </c>
      <c r="J91" s="1">
        <f t="shared" si="26"/>
        <v>-4.4398801724970847</v>
      </c>
    </row>
    <row r="92" spans="1:10" x14ac:dyDescent="0.25">
      <c r="A92" s="1">
        <f t="shared" si="21"/>
        <v>9</v>
      </c>
      <c r="B92" s="4">
        <f t="shared" si="22"/>
        <v>13.163869645885562</v>
      </c>
      <c r="C92" s="1">
        <f t="shared" si="23"/>
        <v>-4.4398801724970847</v>
      </c>
      <c r="H92" s="1">
        <f t="shared" si="24"/>
        <v>9</v>
      </c>
      <c r="I92" s="4">
        <f t="shared" si="25"/>
        <v>13.163869645885562</v>
      </c>
      <c r="J92" s="1">
        <f t="shared" si="26"/>
        <v>-4.4398801724970847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9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9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9.6211630799372685</v>
      </c>
      <c r="C110" s="1">
        <f>(-1*B95*SIN($B$64))+(C95*COS($B$64))</f>
        <v>-2.1055215480379279</v>
      </c>
      <c r="D110" t="str">
        <f t="shared" ref="D110" si="31">D95</f>
        <v>y</v>
      </c>
      <c r="E110" s="4">
        <f t="shared" ref="E110:E121" si="32">IF($D110="y",$B$125-C110,0)</f>
        <v>7.5652751826529627</v>
      </c>
      <c r="F110" s="1">
        <f>IF($D110="y",B110,NA())</f>
        <v>9.6211630799372685</v>
      </c>
      <c r="G110" s="1">
        <f>IF($D110="y",C110,NA())</f>
        <v>-2.1055215480379279</v>
      </c>
      <c r="H110">
        <f t="shared" ref="H110:H121" si="33">IF($E$122=0,0,-1*MAX(($B$67/$E$122)*(E110),0))</f>
        <v>-233.20358604331309</v>
      </c>
      <c r="I110">
        <f>H110*C110</f>
        <v>491.01517549391269</v>
      </c>
      <c r="J110">
        <f>H110*B110*-1</f>
        <v>2243.6897321488982</v>
      </c>
      <c r="K110">
        <f ca="1">H110/$B$55</f>
        <v>-1643.4497394771799</v>
      </c>
      <c r="L110">
        <f ca="1">K110/$B$54</f>
        <v>-5.6670680671626894E-2</v>
      </c>
      <c r="M110">
        <f t="shared" ref="M110:M121" si="34">IFERROR(($D$66/$B$65)*(G110-$B$125),0)</f>
        <v>-5.6670679544612045E-2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8.0100324912850844</v>
      </c>
      <c r="C111" s="1">
        <f t="shared" ref="C111:C121" si="37">(-1*B96*SIN($B$64))+(C96*COS($B$64))</f>
        <v>5.7305653725053389</v>
      </c>
      <c r="D111" t="str">
        <f t="shared" si="35"/>
        <v>y</v>
      </c>
      <c r="E111" s="4">
        <f t="shared" si="32"/>
        <v>-0.27081173789030455</v>
      </c>
      <c r="F111" s="1">
        <f t="shared" ref="F111:G121" si="38">IF($D111="y",B111,NA())</f>
        <v>8.0100324912850844</v>
      </c>
      <c r="G111" s="1">
        <f t="shared" si="38"/>
        <v>5.7305653725053389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2.0286222040001274E-3</v>
      </c>
      <c r="N111">
        <f t="shared" ref="N111:N121" si="42">IF(AND(M111&gt;0,D111="y",$E$60="y"),$B$53*M111*$E$59,0)</f>
        <v>1.9485354425973707</v>
      </c>
      <c r="O111">
        <f t="shared" ref="O111:O121" si="43">N111*C111</f>
        <v>11.166209734447857</v>
      </c>
      <c r="P111">
        <f t="shared" ref="P111:P121" si="44">N111*B111*-1</f>
        <v>-15.607832205625501</v>
      </c>
    </row>
    <row r="112" spans="1:16" x14ac:dyDescent="0.25">
      <c r="A112">
        <f t="shared" si="35"/>
        <v>3</v>
      </c>
      <c r="B112" s="1">
        <f t="shared" si="36"/>
        <v>3.7440978895298169</v>
      </c>
      <c r="C112" s="1">
        <f t="shared" si="37"/>
        <v>-3.3138694895270651</v>
      </c>
      <c r="D112" t="str">
        <f t="shared" si="35"/>
        <v>y</v>
      </c>
      <c r="E112" s="4">
        <f t="shared" si="32"/>
        <v>8.7736231241420999</v>
      </c>
      <c r="F112" s="1">
        <f t="shared" si="38"/>
        <v>3.7440978895298169</v>
      </c>
      <c r="G112" s="1">
        <f t="shared" si="38"/>
        <v>-3.3138694895270651</v>
      </c>
      <c r="H112">
        <f t="shared" si="33"/>
        <v>-270.45154680348003</v>
      </c>
      <c r="I112">
        <f t="shared" si="39"/>
        <v>896.24112934745347</v>
      </c>
      <c r="J112">
        <f t="shared" si="40"/>
        <v>1012.5970656069841</v>
      </c>
      <c r="K112">
        <f t="shared" ref="K112:K121" ca="1" si="45">H112/$B$55</f>
        <v>-1905.9463521835687</v>
      </c>
      <c r="L112">
        <f t="shared" ca="1" si="41"/>
        <v>-6.5722288006329954E-2</v>
      </c>
      <c r="M112">
        <f t="shared" si="34"/>
        <v>-6.572228669930498E-2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2.1329673008776338</v>
      </c>
      <c r="C113" s="1">
        <f t="shared" si="37"/>
        <v>4.5222174310162018</v>
      </c>
      <c r="D113" t="str">
        <f t="shared" si="35"/>
        <v>y</v>
      </c>
      <c r="E113" s="4">
        <f t="shared" si="32"/>
        <v>0.93753620359883261</v>
      </c>
      <c r="F113" s="1">
        <f t="shared" si="38"/>
        <v>2.1329673008776338</v>
      </c>
      <c r="G113" s="1">
        <f t="shared" si="38"/>
        <v>4.5222174310162018</v>
      </c>
      <c r="H113">
        <f t="shared" si="33"/>
        <v>-28.900046521243755</v>
      </c>
      <c r="I113">
        <f t="shared" si="39"/>
        <v>-130.69229413554766</v>
      </c>
      <c r="J113">
        <f t="shared" si="40"/>
        <v>61.642854223655341</v>
      </c>
      <c r="K113">
        <f t="shared" ca="1" si="45"/>
        <v>-203.66656762042675</v>
      </c>
      <c r="L113">
        <f t="shared" ca="1" si="41"/>
        <v>-7.0229850903595426E-3</v>
      </c>
      <c r="M113">
        <f t="shared" si="34"/>
        <v>-7.0229849506928147E-3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-8.0100324912850844</v>
      </c>
      <c r="C114" s="1">
        <f t="shared" si="37"/>
        <v>-5.7305653725053389</v>
      </c>
      <c r="D114" t="str">
        <f t="shared" si="35"/>
        <v>y</v>
      </c>
      <c r="E114" s="4">
        <f t="shared" si="32"/>
        <v>11.190319007120372</v>
      </c>
      <c r="F114" s="1">
        <f t="shared" si="38"/>
        <v>-8.0100324912850844</v>
      </c>
      <c r="G114" s="1">
        <f t="shared" si="38"/>
        <v>-5.7305653725053389</v>
      </c>
      <c r="H114">
        <f t="shared" si="33"/>
        <v>-344.94746832381384</v>
      </c>
      <c r="I114">
        <f t="shared" si="39"/>
        <v>1976.7440173098298</v>
      </c>
      <c r="J114">
        <f t="shared" si="40"/>
        <v>-2763.0404290602814</v>
      </c>
      <c r="K114">
        <f t="shared" ca="1" si="45"/>
        <v>-2430.9395775963458</v>
      </c>
      <c r="L114">
        <f t="shared" ca="1" si="41"/>
        <v>-8.3825502675736061E-2</v>
      </c>
      <c r="M114">
        <f t="shared" si="34"/>
        <v>-8.382550100869085E-2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-9.6211630799372685</v>
      </c>
      <c r="C115" s="1">
        <f t="shared" si="37"/>
        <v>2.1055215480379279</v>
      </c>
      <c r="D115" t="str">
        <f t="shared" si="35"/>
        <v>y</v>
      </c>
      <c r="E115" s="4">
        <f t="shared" si="32"/>
        <v>3.3542320865771065</v>
      </c>
      <c r="F115" s="1">
        <f t="shared" si="38"/>
        <v>-9.6211630799372685</v>
      </c>
      <c r="G115" s="1">
        <f t="shared" si="38"/>
        <v>2.1055215480379279</v>
      </c>
      <c r="H115">
        <f t="shared" si="33"/>
        <v>-103.3959680415776</v>
      </c>
      <c r="I115">
        <f t="shared" si="39"/>
        <v>-217.70243869178259</v>
      </c>
      <c r="J115">
        <f t="shared" si="40"/>
        <v>-994.78947033600014</v>
      </c>
      <c r="K115">
        <f t="shared" ca="1" si="45"/>
        <v>-728.65979303320421</v>
      </c>
      <c r="L115">
        <f t="shared" ca="1" si="41"/>
        <v>-2.5126199759765662E-2</v>
      </c>
      <c r="M115">
        <f t="shared" si="34"/>
        <v>-2.5126199260078697E-2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-2.1329673008776338</v>
      </c>
      <c r="C116" s="1">
        <f t="shared" si="37"/>
        <v>-4.5222174310162018</v>
      </c>
      <c r="D116" t="str">
        <f t="shared" si="35"/>
        <v>y</v>
      </c>
      <c r="E116" s="4">
        <f t="shared" si="32"/>
        <v>9.9819710656312353</v>
      </c>
      <c r="F116" s="1">
        <f t="shared" si="38"/>
        <v>-2.1329673008776338</v>
      </c>
      <c r="G116" s="1">
        <f t="shared" si="38"/>
        <v>-4.5222174310162018</v>
      </c>
      <c r="H116">
        <f t="shared" si="33"/>
        <v>-307.69950756364688</v>
      </c>
      <c r="I116">
        <f t="shared" si="39"/>
        <v>1391.4840766194254</v>
      </c>
      <c r="J116">
        <f t="shared" si="40"/>
        <v>-656.31298812940895</v>
      </c>
      <c r="K116">
        <f t="shared" ca="1" si="45"/>
        <v>-2168.4429648899568</v>
      </c>
      <c r="L116">
        <f t="shared" ca="1" si="41"/>
        <v>-7.4773895341032987E-2</v>
      </c>
      <c r="M116">
        <f t="shared" si="34"/>
        <v>-7.4773893853997908E-2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-3.7440978895298169</v>
      </c>
      <c r="C117" s="1">
        <f t="shared" si="37"/>
        <v>3.3138694895270651</v>
      </c>
      <c r="D117" t="str">
        <f t="shared" si="35"/>
        <v>y</v>
      </c>
      <c r="E117" s="4">
        <f t="shared" si="32"/>
        <v>2.1458841450879693</v>
      </c>
      <c r="F117" s="1">
        <f t="shared" si="38"/>
        <v>-3.7440978895298169</v>
      </c>
      <c r="G117" s="1">
        <f t="shared" si="38"/>
        <v>3.3138694895270651</v>
      </c>
      <c r="H117">
        <f t="shared" si="33"/>
        <v>-66.148007281410671</v>
      </c>
      <c r="I117">
        <f t="shared" si="39"/>
        <v>-219.20586312288097</v>
      </c>
      <c r="J117">
        <f t="shared" si="40"/>
        <v>-247.66461445893265</v>
      </c>
      <c r="K117">
        <f t="shared" ca="1" si="45"/>
        <v>-466.16318032681539</v>
      </c>
      <c r="L117">
        <f t="shared" ca="1" si="41"/>
        <v>-1.6074592425062598E-2</v>
      </c>
      <c r="M117">
        <f t="shared" si="34"/>
        <v>-1.6074592105385754E-2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13.163869645885562</v>
      </c>
      <c r="C118" s="1">
        <f t="shared" si="37"/>
        <v>-4.4398801724970847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13.163869645885562</v>
      </c>
      <c r="C119" s="1">
        <f t="shared" si="37"/>
        <v>-4.4398801724970847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13.163869645885562</v>
      </c>
      <c r="C120" s="1">
        <f t="shared" si="37"/>
        <v>-4.4398801724970847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13.163869645885562</v>
      </c>
      <c r="C121" s="1">
        <f t="shared" si="37"/>
        <v>-4.4398801724970847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11.190319007120372</v>
      </c>
      <c r="H122">
        <f>SUM(H110:H121)</f>
        <v>-1354.7461305784859</v>
      </c>
      <c r="I122">
        <f t="shared" ref="I122:J122" si="46">SUM(I110:I121)</f>
        <v>4187.88380282041</v>
      </c>
      <c r="J122">
        <f t="shared" si="46"/>
        <v>-1343.8778500050857</v>
      </c>
      <c r="L122">
        <f ca="1">MIN(L110:L121)</f>
        <v>-8.3825502675736061E-2</v>
      </c>
      <c r="M122">
        <f>MIN(M110:M121)</f>
        <v>-8.382550100869085E-2</v>
      </c>
      <c r="N122">
        <f>SUM(N110:N121)</f>
        <v>1.9485354425973707</v>
      </c>
      <c r="O122">
        <f>SUM(O110:O121)</f>
        <v>11.166209734447857</v>
      </c>
      <c r="P122">
        <f>SUM(P110:P121)</f>
        <v>-15.607832205625501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5.4597536346150344</v>
      </c>
      <c r="F125" s="1" t="s">
        <v>27</v>
      </c>
      <c r="G125" s="1" t="s">
        <v>28</v>
      </c>
    </row>
    <row r="126" spans="1:16" x14ac:dyDescent="0.25">
      <c r="F126" s="4">
        <f>MIN(B84:B90)-1</f>
        <v>-14.163869645885562</v>
      </c>
      <c r="G126" s="4">
        <f>B125</f>
        <v>5.4597536346150344</v>
      </c>
    </row>
    <row r="127" spans="1:16" x14ac:dyDescent="0.25">
      <c r="F127" s="4">
        <f>MAX(B84:B90)+1</f>
        <v>14.163869645885562</v>
      </c>
      <c r="G127" s="4">
        <f>G126</f>
        <v>5.4597536346150344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13.163869645885562</v>
      </c>
      <c r="C132" s="4">
        <f>C84</f>
        <v>-4.4398801724970847</v>
      </c>
      <c r="D132" s="4">
        <f t="shared" ref="D132:E139" si="47">B85</f>
        <v>10.344391115744241</v>
      </c>
      <c r="E132" s="4">
        <f t="shared" si="47"/>
        <v>9.2732719384536324</v>
      </c>
      <c r="F132" s="4">
        <f t="shared" ref="F132:F139" si="48">($B$66/$B$65)*(C132-$B$125)</f>
        <v>-286.63222881250243</v>
      </c>
      <c r="G132" s="4">
        <f t="shared" ref="G132:G139" si="49">($B$66/$B$65)*(E132-$B$125)</f>
        <v>110.41592773474508</v>
      </c>
      <c r="H132" s="4">
        <f>IF(B132=D132,"V",(C132-E132)/(B132-D132))</f>
        <v>-4.8637192886385874</v>
      </c>
      <c r="I132" s="4">
        <f>IF(H132="V",0,(-1*B132*H132)+C132)</f>
        <v>59.585486537320534</v>
      </c>
      <c r="J132" s="4">
        <f>IF($F132&gt;=0,B132,IF(AND($F132&lt;0,$G132&gt;=0),IF(H132="V",B132,($B$125-I132)/H132),0))</f>
        <v>11.128465622829136</v>
      </c>
      <c r="K132" s="4">
        <f>IF($F132&gt;=0,C132,IF(AND($F132&lt;0,$G132&gt;=0),$B$125,0))</f>
        <v>5.4597536346150344</v>
      </c>
      <c r="L132" s="4">
        <f>IF($G132&gt;=0,D132,IF(AND($G132&lt;0,$F132&gt;=0),IF(H132="V",D132,($B$125-I132)/H132),0))</f>
        <v>10.344391115744241</v>
      </c>
      <c r="M132" s="4">
        <f>IF($G132&gt;=0,E132,IF(AND($G132&lt;0,$F132&gt;=0),$B$125,0))</f>
        <v>9.2732719384536324</v>
      </c>
      <c r="N132" s="4">
        <f>IF(F132&lt;0,0,F132)</f>
        <v>0</v>
      </c>
      <c r="O132" s="4">
        <f>IF(G132&lt;0,0,G132)</f>
        <v>110.41592773474508</v>
      </c>
      <c r="P132" s="4">
        <f>(1/6)*(M132-K132)*((N132*((2*J132)+L132))+(O132*(J132+(2*L132))))</f>
        <v>2232.8981904520119</v>
      </c>
      <c r="Q132" s="4">
        <f>((1/12)*(M132-K132)*(N132*J132*((3*K132)+M132)+N132*L132*(K132+M132)+O132*J132*(K132+M132)+O132*L132*(K132+(3*M132))))</f>
        <v>17832.899327513504</v>
      </c>
      <c r="R132" s="4">
        <f>((-1/24)*(M132-K132)*(J132*J132*((3*N132)+O132)+2*J132*L132*(N132+O132)+L132*L132*(N132+(3*O132))))</f>
        <v>-11844.374531236816</v>
      </c>
    </row>
    <row r="133" spans="1:18" x14ac:dyDescent="0.25">
      <c r="A133" t="s">
        <v>70</v>
      </c>
      <c r="B133" s="4">
        <f t="shared" ref="B133:C138" si="50">D132</f>
        <v>10.344391115744241</v>
      </c>
      <c r="C133" s="4">
        <f t="shared" si="50"/>
        <v>9.2732719384536324</v>
      </c>
      <c r="D133" s="4">
        <f t="shared" si="47"/>
        <v>-13.163869645885562</v>
      </c>
      <c r="E133" s="4">
        <f t="shared" si="47"/>
        <v>4.4398801724970847</v>
      </c>
      <c r="F133" s="4">
        <f t="shared" si="48"/>
        <v>110.41592773474508</v>
      </c>
      <c r="G133" s="4">
        <f t="shared" si="49"/>
        <v>-29.529234035260551</v>
      </c>
      <c r="H133" s="4">
        <f t="shared" ref="H133:H139" si="51">IF(B133=D133,"V",(C133-E133)/(B133-D133))</f>
        <v>0.20560397108771283</v>
      </c>
      <c r="I133" s="4">
        <f t="shared" ref="I133:I139" si="52">IF(H133="V",0,(-1*B133*H133)+C133)</f>
        <v>7.14642404657216</v>
      </c>
      <c r="J133" s="4">
        <f t="shared" ref="J133:J139" si="53">IF($F133&gt;=0,B133,IF(AND($F133&lt;0,$G133&gt;=0),IF(H133="V",B133,($B$125-I133)/H133),0))</f>
        <v>10.344391115744241</v>
      </c>
      <c r="K133" s="4">
        <f t="shared" ref="K133:K139" si="54">IF($F133&gt;=0,C133,IF(AND($F133&lt;0,$G133&gt;=0),$B$125,0))</f>
        <v>9.2732719384536324</v>
      </c>
      <c r="L133" s="4">
        <f t="shared" ref="L133:L139" si="55">IF($G133&gt;=0,D133,IF(AND($G133&lt;0,$F133&gt;=0),IF(H133="V",D133,($B$125-I133)/H133),0))</f>
        <v>-8.2034914162118699</v>
      </c>
      <c r="M133" s="4">
        <f t="shared" ref="M133:M139" si="56">IF($G133&gt;=0,E133,IF(AND($G133&lt;0,$F133&gt;=0),$B$125,0))</f>
        <v>5.4597536346150344</v>
      </c>
      <c r="N133" s="4">
        <f t="shared" ref="N133:O139" si="57">IF(F133&lt;0,0,F133)</f>
        <v>110.41592773474508</v>
      </c>
      <c r="O133" s="4">
        <f t="shared" si="57"/>
        <v>0</v>
      </c>
      <c r="P133" s="4">
        <f t="shared" ref="P133:P139" si="58">(1/6)*(M133-K133)*((N133*((2*J133)+L133))+(O133*(J133+(2*L133))))</f>
        <v>-876.20347920554559</v>
      </c>
      <c r="Q133" s="4">
        <f t="shared" ref="Q133:Q139" si="59">((1/12)*(M133-K133)*(N133*J133*((3*K133)+M133)+N133*L133*(K133+M133)+O133*J133*(K133+M133)+O133*L133*(K133+(3*M133))))</f>
        <v>-7838.7903896929029</v>
      </c>
      <c r="R133" s="4">
        <f t="shared" ref="R133:R139" si="60">((-1/24)*(M133-K133)*(J133*J133*((3*N133)+O133)+2*J133*L133*(N133+O133)+L133*L133*(N133+(3*O133))))</f>
        <v>3835.2099131767472</v>
      </c>
    </row>
    <row r="134" spans="1:18" x14ac:dyDescent="0.25">
      <c r="A134" t="s">
        <v>71</v>
      </c>
      <c r="B134" s="4">
        <f t="shared" si="50"/>
        <v>-13.163869645885562</v>
      </c>
      <c r="C134" s="4">
        <f t="shared" si="50"/>
        <v>4.4398801724970847</v>
      </c>
      <c r="D134" s="4">
        <f t="shared" si="47"/>
        <v>-10.344391115744241</v>
      </c>
      <c r="E134" s="4">
        <f t="shared" si="47"/>
        <v>-9.2732719384536324</v>
      </c>
      <c r="F134" s="4">
        <f t="shared" si="48"/>
        <v>-29.529234035260551</v>
      </c>
      <c r="G134" s="4">
        <f t="shared" si="49"/>
        <v>-426.57739058250803</v>
      </c>
      <c r="H134" s="4">
        <f t="shared" si="51"/>
        <v>-4.8637192886385874</v>
      </c>
      <c r="I134" s="4">
        <f t="shared" si="52"/>
        <v>-59.585486537320534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-10.344391115744241</v>
      </c>
      <c r="C135" s="4">
        <f t="shared" si="50"/>
        <v>-9.2732719384536324</v>
      </c>
      <c r="D135" s="4">
        <f t="shared" si="47"/>
        <v>13.163869645885562</v>
      </c>
      <c r="E135" s="4">
        <f t="shared" si="47"/>
        <v>-4.4398801724970847</v>
      </c>
      <c r="F135" s="4">
        <f t="shared" si="48"/>
        <v>-426.57739058250803</v>
      </c>
      <c r="G135" s="4">
        <f t="shared" si="49"/>
        <v>-286.63222881250243</v>
      </c>
      <c r="H135" s="4">
        <f t="shared" si="51"/>
        <v>0.20560397108771283</v>
      </c>
      <c r="I135" s="4">
        <f t="shared" si="52"/>
        <v>-7.14642404657216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13.163869645885562</v>
      </c>
      <c r="C136" s="4">
        <f t="shared" si="50"/>
        <v>-4.4398801724970847</v>
      </c>
      <c r="D136" s="4">
        <f t="shared" si="47"/>
        <v>13.163869645885562</v>
      </c>
      <c r="E136" s="4">
        <f t="shared" si="47"/>
        <v>-4.4398801724970847</v>
      </c>
      <c r="F136" s="4">
        <f t="shared" si="48"/>
        <v>-286.63222881250243</v>
      </c>
      <c r="G136" s="4">
        <f t="shared" si="49"/>
        <v>-286.63222881250243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13.163869645885562</v>
      </c>
      <c r="C137" s="4">
        <f t="shared" si="50"/>
        <v>-4.4398801724970847</v>
      </c>
      <c r="D137" s="4">
        <f t="shared" si="47"/>
        <v>13.163869645885562</v>
      </c>
      <c r="E137" s="4">
        <f t="shared" si="47"/>
        <v>-4.4398801724970847</v>
      </c>
      <c r="F137" s="4">
        <f t="shared" si="48"/>
        <v>-286.63222881250243</v>
      </c>
      <c r="G137" s="4">
        <f t="shared" si="49"/>
        <v>-286.63222881250243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13.163869645885562</v>
      </c>
      <c r="C138" s="4">
        <f t="shared" si="50"/>
        <v>-4.4398801724970847</v>
      </c>
      <c r="D138" s="4">
        <f t="shared" si="47"/>
        <v>13.163869645885562</v>
      </c>
      <c r="E138" s="4">
        <f t="shared" si="47"/>
        <v>-4.4398801724970847</v>
      </c>
      <c r="F138" s="4">
        <f t="shared" si="48"/>
        <v>-286.63222881250243</v>
      </c>
      <c r="G138" s="4">
        <f t="shared" si="49"/>
        <v>-286.63222881250243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13.163869645885562</v>
      </c>
      <c r="C139" s="4">
        <f>E138</f>
        <v>-4.4398801724970847</v>
      </c>
      <c r="D139" s="4">
        <f t="shared" si="47"/>
        <v>13.163869645885562</v>
      </c>
      <c r="E139" s="4">
        <f t="shared" si="47"/>
        <v>-4.4398801724970847</v>
      </c>
      <c r="F139" s="4">
        <f t="shared" si="48"/>
        <v>-286.63222881250243</v>
      </c>
      <c r="G139" s="4">
        <f t="shared" si="49"/>
        <v>-286.63222881250243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1356.6947112464663</v>
      </c>
      <c r="Q140" s="4">
        <f>SUM(Q132:Q139)</f>
        <v>9994.1089378206016</v>
      </c>
      <c r="R140" s="4">
        <f>SUM(R132:R139)</f>
        <v>-8009.1646180600683</v>
      </c>
    </row>
    <row r="142" spans="1:18" x14ac:dyDescent="0.25">
      <c r="O142" t="s">
        <v>96</v>
      </c>
      <c r="P142" s="1">
        <f>-1*R140/P140</f>
        <v>5.9034391095264391</v>
      </c>
    </row>
    <row r="143" spans="1:18" x14ac:dyDescent="0.25">
      <c r="O143" t="s">
        <v>97</v>
      </c>
      <c r="P143" s="1">
        <f>Q140/P140</f>
        <v>7.3665127865343347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13.163869645885562</v>
      </c>
      <c r="C146" s="9">
        <f>J84</f>
        <v>-4.4398801724970847</v>
      </c>
      <c r="D146" s="9">
        <f t="shared" ref="D146:E153" si="61">I85</f>
        <v>13.163869645885562</v>
      </c>
      <c r="E146">
        <f t="shared" si="61"/>
        <v>-4.4398801724970847</v>
      </c>
      <c r="F146" s="4">
        <f>($B$66/$B$65)*(C146-$B$125)</f>
        <v>-286.63222881250243</v>
      </c>
      <c r="G146" s="4">
        <f>($B$66/$B$65)*(E146-$B$125)</f>
        <v>-286.63222881250243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13.163869645885562</v>
      </c>
      <c r="C147">
        <f t="shared" si="62"/>
        <v>-4.4398801724970847</v>
      </c>
      <c r="D147" s="9">
        <f t="shared" si="61"/>
        <v>13.163869645885562</v>
      </c>
      <c r="E147">
        <f t="shared" si="61"/>
        <v>-4.4398801724970847</v>
      </c>
      <c r="F147" s="4">
        <f t="shared" ref="F147:F153" si="63">($B$66/$B$65)*(C147-$B$125)</f>
        <v>-286.63222881250243</v>
      </c>
      <c r="G147" s="4">
        <f t="shared" ref="G147:G153" si="64">($B$66/$B$65)*(E147-$B$125)</f>
        <v>-286.63222881250243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13.163869645885562</v>
      </c>
      <c r="C148">
        <f t="shared" si="62"/>
        <v>-4.4398801724970847</v>
      </c>
      <c r="D148" s="9">
        <f t="shared" si="61"/>
        <v>13.163869645885562</v>
      </c>
      <c r="E148">
        <f t="shared" si="61"/>
        <v>-4.4398801724970847</v>
      </c>
      <c r="F148" s="4">
        <f t="shared" si="63"/>
        <v>-286.63222881250243</v>
      </c>
      <c r="G148" s="4">
        <f t="shared" si="64"/>
        <v>-286.63222881250243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13.163869645885562</v>
      </c>
      <c r="C149">
        <f t="shared" si="62"/>
        <v>-4.4398801724970847</v>
      </c>
      <c r="D149" s="9">
        <f t="shared" si="61"/>
        <v>13.163869645885562</v>
      </c>
      <c r="E149">
        <f t="shared" si="61"/>
        <v>-4.4398801724970847</v>
      </c>
      <c r="F149" s="4">
        <f t="shared" si="63"/>
        <v>-286.63222881250243</v>
      </c>
      <c r="G149" s="4">
        <f t="shared" si="64"/>
        <v>-286.63222881250243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13.163869645885562</v>
      </c>
      <c r="C150">
        <f t="shared" si="62"/>
        <v>-4.4398801724970847</v>
      </c>
      <c r="D150" s="9">
        <f t="shared" si="61"/>
        <v>13.163869645885562</v>
      </c>
      <c r="E150">
        <f t="shared" si="61"/>
        <v>-4.4398801724970847</v>
      </c>
      <c r="F150" s="4">
        <f t="shared" si="63"/>
        <v>-286.63222881250243</v>
      </c>
      <c r="G150" s="4">
        <f t="shared" si="64"/>
        <v>-286.63222881250243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13.163869645885562</v>
      </c>
      <c r="C151">
        <f t="shared" si="62"/>
        <v>-4.4398801724970847</v>
      </c>
      <c r="D151" s="9">
        <f t="shared" si="61"/>
        <v>13.163869645885562</v>
      </c>
      <c r="E151">
        <f t="shared" si="61"/>
        <v>-4.4398801724970847</v>
      </c>
      <c r="F151" s="4">
        <f t="shared" si="63"/>
        <v>-286.63222881250243</v>
      </c>
      <c r="G151" s="4">
        <f t="shared" si="64"/>
        <v>-286.63222881250243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13.163869645885562</v>
      </c>
      <c r="C152">
        <f t="shared" si="62"/>
        <v>-4.4398801724970847</v>
      </c>
      <c r="D152" s="9">
        <f t="shared" si="61"/>
        <v>13.163869645885562</v>
      </c>
      <c r="E152">
        <f t="shared" si="61"/>
        <v>-4.4398801724970847</v>
      </c>
      <c r="F152" s="4">
        <f t="shared" si="63"/>
        <v>-286.63222881250243</v>
      </c>
      <c r="G152" s="4">
        <f t="shared" si="64"/>
        <v>-286.63222881250243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13.163869645885562</v>
      </c>
      <c r="C153">
        <f t="shared" si="62"/>
        <v>-4.4398801724970847</v>
      </c>
      <c r="D153" s="9">
        <f t="shared" si="61"/>
        <v>13.163869645885562</v>
      </c>
      <c r="E153">
        <f t="shared" si="61"/>
        <v>-4.4398801724970847</v>
      </c>
      <c r="F153" s="4">
        <f t="shared" si="63"/>
        <v>-286.63222881250243</v>
      </c>
      <c r="G153" s="4">
        <f t="shared" si="64"/>
        <v>-286.63222881250243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4.5225383052072132E-5</v>
      </c>
      <c r="C159" t="s">
        <v>36</v>
      </c>
    </row>
    <row r="160" spans="1:18" x14ac:dyDescent="0.25">
      <c r="A160" s="1" t="s">
        <v>106</v>
      </c>
      <c r="B160" s="4">
        <f>Q140+I122+Q154-O122</f>
        <v>14170.826530906565</v>
      </c>
      <c r="C160" t="s">
        <v>102</v>
      </c>
    </row>
    <row r="161" spans="1:9" x14ac:dyDescent="0.25">
      <c r="A161" s="1" t="s">
        <v>107</v>
      </c>
      <c r="B161" s="4">
        <f>R140+J122+R154-P122</f>
        <v>-9337.4346358595285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4.5225383052072132E-5</v>
      </c>
      <c r="C164" t="s">
        <v>36</v>
      </c>
      <c r="E164" s="8">
        <f>B2-B164</f>
        <v>-4.5225383052072132E-5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-12000.00018898925</v>
      </c>
      <c r="C165" t="s">
        <v>102</v>
      </c>
      <c r="E165" s="8">
        <f>B3+B165</f>
        <v>-1.8898925009125378E-4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-12000.000233843852</v>
      </c>
      <c r="C166" t="s">
        <v>102</v>
      </c>
      <c r="E166" s="8">
        <f>B4+B166</f>
        <v>-2.3384385167446453E-4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110.41592773474508</v>
      </c>
      <c r="B169" s="1">
        <f ca="1">IF(E122=0,0,(MIN(H110:H121)*B65)/(B55*B56*E122))</f>
        <v>-110.41592993059648</v>
      </c>
      <c r="C169" s="3">
        <f ca="1">A169+B169</f>
        <v>-2.1958513940489865E-6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6.6888338171635032E-8</v>
      </c>
      <c r="C175" s="27">
        <f>B65*SQRT(I175)</f>
        <v>5.6563617350878855E-8</v>
      </c>
      <c r="D175" s="27">
        <f>B66*SQRT(I175)</f>
        <v>1.637732872435361E-6</v>
      </c>
      <c r="E175" s="27">
        <f>B67*SQRT(I175)</f>
        <v>5.1163977854210945E-6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4.5096109064594554</v>
      </c>
      <c r="C176" s="3">
        <f>B65+C175</f>
        <v>3.8135183604022154</v>
      </c>
      <c r="D176" s="3">
        <f>D175+B66</f>
        <v>110.41592937247796</v>
      </c>
      <c r="E176" s="3">
        <f>B67+E175</f>
        <v>344.94747344021164</v>
      </c>
      <c r="F176" s="16" t="s">
        <v>125</v>
      </c>
    </row>
    <row r="177" spans="1:13" x14ac:dyDescent="0.25">
      <c r="B177" s="27">
        <f>B176-B64</f>
        <v>6.6888338423609639E-8</v>
      </c>
      <c r="C177" s="27">
        <f>C176-B65</f>
        <v>5.6563617345517514E-8</v>
      </c>
      <c r="D177" s="27">
        <f>D176-B66</f>
        <v>1.6377328790895263E-6</v>
      </c>
      <c r="E177" s="27">
        <f>E176-B67</f>
        <v>5.1163978014301392E-6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-12.269481071258726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-13.163869656200685</v>
      </c>
      <c r="B181" s="25">
        <f>(d_alpha_p!E136-d_alpha_m!E136)/(2*B177)</f>
        <v>-13.163869656200685</v>
      </c>
      <c r="C181" s="25">
        <f>(d_alpha_p!E137-d_alpha_m!E137)/(2*B177)</f>
        <v>-13.163869656200685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4.5225383052072132E-5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1.8898925009125378E-4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2.3384385167446453E-4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2.1958513940489865E-6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-12.269481071258726</v>
      </c>
      <c r="B190" s="25">
        <f>A181</f>
        <v>-13.163869656200685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-13.163869656200685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-13.163869656200685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-12.269481071258726</v>
      </c>
      <c r="B201" s="25">
        <f t="shared" ref="B201:C201" si="77">B190</f>
        <v>-13.163869656200685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-13.163869656200685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-13.163869656200685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8.9285714285714288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24.23469387755102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-8.9285714285714288</v>
      </c>
      <c r="AB14">
        <f>$B$4/Z14</f>
        <v>15.306122448979592</v>
      </c>
      <c r="AC14">
        <f>$I$2+AA14+AB14</f>
        <v>6.3775510204081627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8.9285714285714288</v>
      </c>
      <c r="AB15">
        <f t="shared" ref="AB15:AB21" si="11">$B$4/Z15</f>
        <v>15.306122448979592</v>
      </c>
      <c r="AC15">
        <f t="shared" ref="AC15:AC20" si="12">$I$2+AA15+AB15</f>
        <v>24.23469387755102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8.9285714285714288</v>
      </c>
      <c r="AB16">
        <f t="shared" si="11"/>
        <v>-15.306122448979592</v>
      </c>
      <c r="AC16">
        <f t="shared" si="12"/>
        <v>-6.3775510204081627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-8.9285714285714288</v>
      </c>
      <c r="AB17">
        <f t="shared" si="11"/>
        <v>-15.306122448979592</v>
      </c>
      <c r="AC17">
        <f t="shared" si="12"/>
        <v>-24.23469387755102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-8.9285714285714288</v>
      </c>
      <c r="AB18">
        <f t="shared" si="11"/>
        <v>-15.306122448979592</v>
      </c>
      <c r="AC18">
        <f t="shared" si="12"/>
        <v>-24.23469387755102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-8.9285714285714288</v>
      </c>
      <c r="AB19">
        <f t="shared" si="11"/>
        <v>-15.306122448979592</v>
      </c>
      <c r="AC19">
        <f t="shared" si="12"/>
        <v>-24.23469387755102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-8.9285714285714288</v>
      </c>
      <c r="AB20">
        <f t="shared" si="11"/>
        <v>-15.306122448979592</v>
      </c>
      <c r="AC20">
        <f t="shared" si="12"/>
        <v>-24.23469387755102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21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21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15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15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4.509610839571117</v>
      </c>
      <c r="C64" t="s">
        <v>19</v>
      </c>
      <c r="D64" t="s">
        <v>34</v>
      </c>
      <c r="H64" s="17">
        <f>DEGREES(B64)</f>
        <v>258.38166835387278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3.8135181907113651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110.41592773474508</v>
      </c>
      <c r="C66" t="s">
        <v>11</v>
      </c>
      <c r="D66">
        <f>B66/B53</f>
        <v>2.8566663937076159E-2</v>
      </c>
      <c r="I66" s="20"/>
    </row>
    <row r="67" spans="1:18" x14ac:dyDescent="0.25">
      <c r="A67" s="1" t="s">
        <v>37</v>
      </c>
      <c r="B67" s="17">
        <f>'Rigid Bearing Plate Analysis'!B67</f>
        <v>344.94746832381384</v>
      </c>
      <c r="C67" t="s">
        <v>36</v>
      </c>
      <c r="D67" t="s">
        <v>122</v>
      </c>
      <c r="G67" s="20">
        <f ca="1">($B$56*$B$66*$B$55*$E$122)/$B$65</f>
        <v>344.94747518381496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-14.163869645885562</v>
      </c>
      <c r="R76">
        <f>Q76</f>
        <v>-14.163869645885562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14.163869645885562</v>
      </c>
      <c r="R77">
        <f>Q77</f>
        <v>14.163869645885562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13.163869645885562</v>
      </c>
      <c r="C84" s="1">
        <f t="shared" ref="C84:C92" si="23">(-1*B73*SIN($B$64))+(C73*COS($B$64))</f>
        <v>-4.4398801724970847</v>
      </c>
      <c r="H84" s="1">
        <f t="shared" ref="H84:H92" si="24">H73</f>
        <v>1</v>
      </c>
      <c r="I84" s="4">
        <f>(I73*COS($B$64))+(J73*SIN($B$64))</f>
        <v>13.163869645885562</v>
      </c>
      <c r="J84" s="1">
        <f>(-1*I73*SIN($B$64))+(J73*COS($B$64))</f>
        <v>-4.4398801724970847</v>
      </c>
    </row>
    <row r="85" spans="1:10" x14ac:dyDescent="0.25">
      <c r="A85" s="1">
        <f t="shared" si="21"/>
        <v>2</v>
      </c>
      <c r="B85" s="4">
        <f t="shared" si="22"/>
        <v>10.344391115744241</v>
      </c>
      <c r="C85" s="1">
        <f t="shared" si="23"/>
        <v>9.2732719384536324</v>
      </c>
      <c r="H85" s="1">
        <f t="shared" si="24"/>
        <v>2</v>
      </c>
      <c r="I85" s="4">
        <f t="shared" ref="I85:I92" si="25">(I74*COS($B$64))+(J74*SIN($B$64))</f>
        <v>13.163869645885562</v>
      </c>
      <c r="J85" s="1">
        <f t="shared" ref="J85:J92" si="26">(-1*I74*SIN($B$64))+(J74*COS($B$64))</f>
        <v>-4.4398801724970847</v>
      </c>
    </row>
    <row r="86" spans="1:10" x14ac:dyDescent="0.25">
      <c r="A86" s="1">
        <f t="shared" si="21"/>
        <v>3</v>
      </c>
      <c r="B86" s="4">
        <f t="shared" si="22"/>
        <v>-13.163869645885562</v>
      </c>
      <c r="C86" s="1">
        <f t="shared" si="23"/>
        <v>4.4398801724970847</v>
      </c>
      <c r="H86" s="1">
        <f t="shared" si="24"/>
        <v>3</v>
      </c>
      <c r="I86" s="4">
        <f t="shared" si="25"/>
        <v>13.163869645885562</v>
      </c>
      <c r="J86" s="1">
        <f t="shared" si="26"/>
        <v>-4.4398801724970847</v>
      </c>
    </row>
    <row r="87" spans="1:10" x14ac:dyDescent="0.25">
      <c r="A87" s="1">
        <f t="shared" si="21"/>
        <v>4</v>
      </c>
      <c r="B87" s="4">
        <f t="shared" si="22"/>
        <v>-10.344391115744241</v>
      </c>
      <c r="C87" s="1">
        <f t="shared" si="23"/>
        <v>-9.2732719384536324</v>
      </c>
      <c r="H87" s="1">
        <f t="shared" si="24"/>
        <v>4</v>
      </c>
      <c r="I87" s="4">
        <f t="shared" si="25"/>
        <v>13.163869645885562</v>
      </c>
      <c r="J87" s="1">
        <f t="shared" si="26"/>
        <v>-4.4398801724970847</v>
      </c>
    </row>
    <row r="88" spans="1:10" x14ac:dyDescent="0.25">
      <c r="A88" s="1">
        <f t="shared" si="21"/>
        <v>5</v>
      </c>
      <c r="B88" s="4">
        <f t="shared" si="22"/>
        <v>13.163869645885562</v>
      </c>
      <c r="C88" s="1">
        <f t="shared" si="23"/>
        <v>-4.4398801724970847</v>
      </c>
      <c r="H88" s="1">
        <f t="shared" si="24"/>
        <v>5</v>
      </c>
      <c r="I88" s="4">
        <f t="shared" si="25"/>
        <v>13.163869645885562</v>
      </c>
      <c r="J88" s="1">
        <f t="shared" si="26"/>
        <v>-4.4398801724970847</v>
      </c>
    </row>
    <row r="89" spans="1:10" x14ac:dyDescent="0.25">
      <c r="A89" s="1">
        <f t="shared" si="21"/>
        <v>6</v>
      </c>
      <c r="B89" s="4">
        <f t="shared" si="22"/>
        <v>13.163869645885562</v>
      </c>
      <c r="C89" s="1">
        <f t="shared" si="23"/>
        <v>-4.4398801724970847</v>
      </c>
      <c r="H89" s="1">
        <f t="shared" si="24"/>
        <v>6</v>
      </c>
      <c r="I89" s="4">
        <f t="shared" si="25"/>
        <v>13.163869645885562</v>
      </c>
      <c r="J89" s="1">
        <f t="shared" si="26"/>
        <v>-4.4398801724970847</v>
      </c>
    </row>
    <row r="90" spans="1:10" x14ac:dyDescent="0.25">
      <c r="A90" s="1">
        <f t="shared" si="21"/>
        <v>7</v>
      </c>
      <c r="B90" s="4">
        <f t="shared" si="22"/>
        <v>13.163869645885562</v>
      </c>
      <c r="C90" s="1">
        <f t="shared" si="23"/>
        <v>-4.4398801724970847</v>
      </c>
      <c r="H90" s="1">
        <f t="shared" si="24"/>
        <v>7</v>
      </c>
      <c r="I90" s="4">
        <f t="shared" si="25"/>
        <v>13.163869645885562</v>
      </c>
      <c r="J90" s="1">
        <f t="shared" si="26"/>
        <v>-4.4398801724970847</v>
      </c>
    </row>
    <row r="91" spans="1:10" x14ac:dyDescent="0.25">
      <c r="A91" s="1">
        <f t="shared" si="21"/>
        <v>8</v>
      </c>
      <c r="B91" s="4">
        <f t="shared" si="22"/>
        <v>13.163869645885562</v>
      </c>
      <c r="C91" s="1">
        <f t="shared" si="23"/>
        <v>-4.4398801724970847</v>
      </c>
      <c r="H91" s="1">
        <f t="shared" si="24"/>
        <v>8</v>
      </c>
      <c r="I91" s="4">
        <f t="shared" si="25"/>
        <v>13.163869645885562</v>
      </c>
      <c r="J91" s="1">
        <f t="shared" si="26"/>
        <v>-4.4398801724970847</v>
      </c>
    </row>
    <row r="92" spans="1:10" x14ac:dyDescent="0.25">
      <c r="A92" s="1">
        <f t="shared" si="21"/>
        <v>9</v>
      </c>
      <c r="B92" s="4">
        <f t="shared" si="22"/>
        <v>13.163869645885562</v>
      </c>
      <c r="C92" s="1">
        <f t="shared" si="23"/>
        <v>-4.4398801724970847</v>
      </c>
      <c r="H92" s="1">
        <f t="shared" si="24"/>
        <v>9</v>
      </c>
      <c r="I92" s="4">
        <f t="shared" si="25"/>
        <v>13.163869645885562</v>
      </c>
      <c r="J92" s="1">
        <f t="shared" si="26"/>
        <v>-4.4398801724970847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9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9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9.6211630799372685</v>
      </c>
      <c r="C110" s="1">
        <f>(-1*B95*SIN($B$64))+(C95*COS($B$64))</f>
        <v>-2.1055215480379279</v>
      </c>
      <c r="D110" t="str">
        <f t="shared" ref="D110" si="31">D95</f>
        <v>y</v>
      </c>
      <c r="E110" s="4">
        <f t="shared" ref="E110:E121" si="32">IF($D110="y",$B$125-C110,0)</f>
        <v>7.5652752957801948</v>
      </c>
      <c r="F110" s="1">
        <f>IF($D110="y",B110,NA())</f>
        <v>9.6211630799372685</v>
      </c>
      <c r="G110" s="1">
        <f>IF($D110="y",C110,NA())</f>
        <v>-2.1055215480379279</v>
      </c>
      <c r="H110">
        <f t="shared" ref="H110:H121" si="33">IF($E$122=0,0,-1*MAX(($B$67/$E$122)*(E110),0))</f>
        <v>-233.20358717297486</v>
      </c>
      <c r="I110">
        <f>H110*C110</f>
        <v>491.01517787243989</v>
      </c>
      <c r="J110">
        <f>H110*B110*-1</f>
        <v>2243.6897430175582</v>
      </c>
      <c r="K110">
        <f ca="1">H110/$B$55</f>
        <v>-1643.4497474382167</v>
      </c>
      <c r="L110">
        <f ca="1">K110/$B$54</f>
        <v>-5.6670680946145406E-2</v>
      </c>
      <c r="M110">
        <f t="shared" ref="M110:M121" si="34">IFERROR(($D$66/$B$65)*(G110-$B$125),0)</f>
        <v>-5.6670682073160297E-2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8.0100324912850844</v>
      </c>
      <c r="C111" s="1">
        <f t="shared" ref="C111:C121" si="37">(-1*B96*SIN($B$64))+(C96*COS($B$64))</f>
        <v>5.7305653725053389</v>
      </c>
      <c r="D111" t="str">
        <f t="shared" si="35"/>
        <v>y</v>
      </c>
      <c r="E111" s="4">
        <f t="shared" si="32"/>
        <v>-0.27081162476307163</v>
      </c>
      <c r="F111" s="1">
        <f t="shared" ref="F111:G121" si="38">IF($D111="y",B111,NA())</f>
        <v>8.0100324912850844</v>
      </c>
      <c r="G111" s="1">
        <f t="shared" si="38"/>
        <v>5.7305653725053389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2.0286214167545766E-3</v>
      </c>
      <c r="N111">
        <f t="shared" ref="N111:N121" si="42">IF(AND(M111&gt;0,D111="y",$E$60="y"),$B$53*M111*$E$59,0)</f>
        <v>1.9485346864310156</v>
      </c>
      <c r="O111">
        <f t="shared" ref="O111:O121" si="43">N111*C111</f>
        <v>11.166205401187126</v>
      </c>
      <c r="P111">
        <f t="shared" ref="P111:P121" si="44">N111*B111*-1</f>
        <v>-15.607826148708428</v>
      </c>
    </row>
    <row r="112" spans="1:16" x14ac:dyDescent="0.25">
      <c r="A112">
        <f t="shared" si="35"/>
        <v>3</v>
      </c>
      <c r="B112" s="1">
        <f t="shared" si="36"/>
        <v>3.7440978895298169</v>
      </c>
      <c r="C112" s="1">
        <f t="shared" si="37"/>
        <v>-3.3138694895270651</v>
      </c>
      <c r="D112" t="str">
        <f t="shared" si="35"/>
        <v>y</v>
      </c>
      <c r="E112" s="4">
        <f t="shared" si="32"/>
        <v>8.7736232372693319</v>
      </c>
      <c r="F112" s="1">
        <f t="shared" si="38"/>
        <v>3.7440978895298169</v>
      </c>
      <c r="G112" s="1">
        <f t="shared" si="38"/>
        <v>-3.3138694895270651</v>
      </c>
      <c r="H112">
        <f t="shared" si="33"/>
        <v>-270.45154755658785</v>
      </c>
      <c r="I112">
        <f t="shared" si="39"/>
        <v>896.24113184315456</v>
      </c>
      <c r="J112">
        <f t="shared" si="40"/>
        <v>1012.5970684266935</v>
      </c>
      <c r="K112">
        <f t="shared" ref="K112:K121" ca="1" si="45">H112/$B$55</f>
        <v>-1905.9463574909264</v>
      </c>
      <c r="L112">
        <f t="shared" ca="1" si="41"/>
        <v>-6.5722288189342296E-2</v>
      </c>
      <c r="M112">
        <f t="shared" si="34"/>
        <v>-6.5722289496367312E-2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2.1329673008776338</v>
      </c>
      <c r="C113" s="1">
        <f t="shared" si="37"/>
        <v>4.5222174310162018</v>
      </c>
      <c r="D113" t="str">
        <f t="shared" si="35"/>
        <v>y</v>
      </c>
      <c r="E113" s="4">
        <f t="shared" si="32"/>
        <v>0.93753631672606552</v>
      </c>
      <c r="F113" s="1">
        <f t="shared" si="38"/>
        <v>2.1329673008776338</v>
      </c>
      <c r="G113" s="1">
        <f t="shared" si="38"/>
        <v>4.5222174310162018</v>
      </c>
      <c r="H113">
        <f t="shared" si="33"/>
        <v>-28.900049716288496</v>
      </c>
      <c r="I113">
        <f t="shared" si="39"/>
        <v>-130.69230858423467</v>
      </c>
      <c r="J113">
        <f t="shared" si="40"/>
        <v>61.642861038581302</v>
      </c>
      <c r="K113">
        <f t="shared" ca="1" si="45"/>
        <v>-203.66659013678481</v>
      </c>
      <c r="L113">
        <f t="shared" ca="1" si="41"/>
        <v>-7.022985866785683E-3</v>
      </c>
      <c r="M113">
        <f t="shared" si="34"/>
        <v>-7.0229860064524308E-3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-8.0100324912850844</v>
      </c>
      <c r="C114" s="1">
        <f t="shared" si="37"/>
        <v>-5.7305653725053389</v>
      </c>
      <c r="D114" t="str">
        <f t="shared" si="35"/>
        <v>y</v>
      </c>
      <c r="E114" s="4">
        <f t="shared" si="32"/>
        <v>11.190319120247606</v>
      </c>
      <c r="F114" s="1">
        <f t="shared" si="38"/>
        <v>-8.0100324912850844</v>
      </c>
      <c r="G114" s="1">
        <f t="shared" si="38"/>
        <v>-5.7305653725053389</v>
      </c>
      <c r="H114">
        <f t="shared" si="33"/>
        <v>-344.94746832381384</v>
      </c>
      <c r="I114">
        <f t="shared" si="39"/>
        <v>1976.7440173098298</v>
      </c>
      <c r="J114">
        <f t="shared" si="40"/>
        <v>-2763.0404290602814</v>
      </c>
      <c r="K114">
        <f t="shared" ca="1" si="45"/>
        <v>-2430.9395775963458</v>
      </c>
      <c r="L114">
        <f t="shared" ca="1" si="41"/>
        <v>-8.3825502675736061E-2</v>
      </c>
      <c r="M114">
        <f t="shared" si="34"/>
        <v>-8.3825504342781326E-2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-9.6211630799372685</v>
      </c>
      <c r="C115" s="1">
        <f t="shared" si="37"/>
        <v>2.1055215480379279</v>
      </c>
      <c r="D115" t="str">
        <f t="shared" si="35"/>
        <v>y</v>
      </c>
      <c r="E115" s="4">
        <f t="shared" si="32"/>
        <v>3.3542321997043394</v>
      </c>
      <c r="F115" s="1">
        <f t="shared" si="38"/>
        <v>-9.6211630799372685</v>
      </c>
      <c r="G115" s="1">
        <f t="shared" si="38"/>
        <v>2.1055215480379279</v>
      </c>
      <c r="H115">
        <f t="shared" si="33"/>
        <v>-103.39597048351446</v>
      </c>
      <c r="I115">
        <f t="shared" si="39"/>
        <v>-217.70244383333326</v>
      </c>
      <c r="J115">
        <f t="shared" si="40"/>
        <v>-994.78949383027293</v>
      </c>
      <c r="K115">
        <f t="shared" ca="1" si="45"/>
        <v>-728.65981024220412</v>
      </c>
      <c r="L115">
        <f t="shared" ca="1" si="41"/>
        <v>-2.5126200353179452E-2</v>
      </c>
      <c r="M115">
        <f t="shared" si="34"/>
        <v>-2.5126200852866442E-2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-2.1329673008776338</v>
      </c>
      <c r="C116" s="1">
        <f t="shared" si="37"/>
        <v>-4.5222174310162018</v>
      </c>
      <c r="D116" t="str">
        <f t="shared" si="35"/>
        <v>y</v>
      </c>
      <c r="E116" s="4">
        <f t="shared" si="32"/>
        <v>9.9819711787584691</v>
      </c>
      <c r="F116" s="1">
        <f t="shared" si="38"/>
        <v>-2.1329673008776338</v>
      </c>
      <c r="G116" s="1">
        <f t="shared" si="38"/>
        <v>-4.5222174310162018</v>
      </c>
      <c r="H116">
        <f t="shared" si="33"/>
        <v>-307.69950794020082</v>
      </c>
      <c r="I116">
        <f t="shared" si="39"/>
        <v>1391.4840783222844</v>
      </c>
      <c r="J116">
        <f t="shared" si="40"/>
        <v>-656.31298893258622</v>
      </c>
      <c r="K116">
        <f t="shared" ca="1" si="45"/>
        <v>-2168.4429675436359</v>
      </c>
      <c r="L116">
        <f t="shared" ca="1" si="41"/>
        <v>-7.4773895432539164E-2</v>
      </c>
      <c r="M116">
        <f t="shared" si="34"/>
        <v>-7.4773896919574312E-2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-3.7440978895298169</v>
      </c>
      <c r="C117" s="1">
        <f t="shared" si="37"/>
        <v>3.3138694895270651</v>
      </c>
      <c r="D117" t="str">
        <f t="shared" si="35"/>
        <v>y</v>
      </c>
      <c r="E117" s="4">
        <f t="shared" si="32"/>
        <v>2.1458842582152022</v>
      </c>
      <c r="F117" s="1">
        <f t="shared" si="38"/>
        <v>-3.7440978895298169</v>
      </c>
      <c r="G117" s="1">
        <f t="shared" si="38"/>
        <v>3.3138694895270651</v>
      </c>
      <c r="H117">
        <f t="shared" si="33"/>
        <v>-66.14801009990147</v>
      </c>
      <c r="I117">
        <f t="shared" si="39"/>
        <v>-219.20587246299164</v>
      </c>
      <c r="J117">
        <f t="shared" si="40"/>
        <v>-247.66462501163809</v>
      </c>
      <c r="K117">
        <f t="shared" ca="1" si="45"/>
        <v>-466.16320018949438</v>
      </c>
      <c r="L117">
        <f t="shared" ca="1" si="41"/>
        <v>-1.6074593109982566E-2</v>
      </c>
      <c r="M117">
        <f t="shared" si="34"/>
        <v>-1.6074593429659435E-2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13.163869645885562</v>
      </c>
      <c r="C118" s="1">
        <f t="shared" si="37"/>
        <v>-4.4398801724970847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13.163869645885562</v>
      </c>
      <c r="C119" s="1">
        <f t="shared" si="37"/>
        <v>-4.4398801724970847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13.163869645885562</v>
      </c>
      <c r="C120" s="1">
        <f t="shared" si="37"/>
        <v>-4.4398801724970847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13.163869645885562</v>
      </c>
      <c r="C121" s="1">
        <f t="shared" si="37"/>
        <v>-4.4398801724970847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11.190319120247606</v>
      </c>
      <c r="H122">
        <f>SUM(H110:H121)</f>
        <v>-1354.7461412932819</v>
      </c>
      <c r="I122">
        <f t="shared" ref="I122:J122" si="46">SUM(I110:I121)</f>
        <v>4187.8837804671493</v>
      </c>
      <c r="J122">
        <f t="shared" si="46"/>
        <v>-1343.8778643519454</v>
      </c>
      <c r="L122">
        <f ca="1">MIN(L110:L121)</f>
        <v>-8.3825502675736061E-2</v>
      </c>
      <c r="M122">
        <f>MIN(M110:M121)</f>
        <v>-8.3825504342781326E-2</v>
      </c>
      <c r="N122">
        <f>SUM(N110:N121)</f>
        <v>1.9485346864310156</v>
      </c>
      <c r="O122">
        <f>SUM(O110:O121)</f>
        <v>11.166205401187126</v>
      </c>
      <c r="P122">
        <f>SUM(P110:P121)</f>
        <v>-15.607826148708428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5.4597537477422673</v>
      </c>
      <c r="F125" s="1" t="s">
        <v>27</v>
      </c>
      <c r="G125" s="1" t="s">
        <v>28</v>
      </c>
    </row>
    <row r="126" spans="1:16" x14ac:dyDescent="0.25">
      <c r="F126" s="4">
        <f>MIN(B84:B90)-1</f>
        <v>-14.163869645885562</v>
      </c>
      <c r="G126" s="4">
        <f>B125</f>
        <v>5.4597537477422673</v>
      </c>
    </row>
    <row r="127" spans="1:16" x14ac:dyDescent="0.25">
      <c r="F127" s="4">
        <f>MAX(B84:B90)+1</f>
        <v>14.163869645885562</v>
      </c>
      <c r="G127" s="4">
        <f>G126</f>
        <v>5.4597537477422673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13.163869645885562</v>
      </c>
      <c r="C132" s="4">
        <f>C84</f>
        <v>-4.4398801724970847</v>
      </c>
      <c r="D132" s="4">
        <f t="shared" ref="D132:E139" si="47">B85</f>
        <v>10.344391115744241</v>
      </c>
      <c r="E132" s="4">
        <f t="shared" si="47"/>
        <v>9.2732719384536324</v>
      </c>
      <c r="F132" s="4">
        <f t="shared" ref="F132:F139" si="48">($B$66/$B$65)*(C132-$B$125)</f>
        <v>-286.63224059085434</v>
      </c>
      <c r="G132" s="4">
        <f t="shared" ref="G132:G139" si="49">($B$66/$B$65)*(E132-$B$125)</f>
        <v>110.41592773474508</v>
      </c>
      <c r="H132" s="4">
        <f>IF(B132=D132,"V",(C132-E132)/(B132-D132))</f>
        <v>-4.8637192886385874</v>
      </c>
      <c r="I132" s="4">
        <f>IF(H132="V",0,(-1*B132*H132)+C132)</f>
        <v>59.585486537320534</v>
      </c>
      <c r="J132" s="4">
        <f>IF($F132&gt;=0,B132,IF(AND($F132&lt;0,$G132&gt;=0),IF(H132="V",B132,($B$125-I132)/H132),0))</f>
        <v>11.128465599569727</v>
      </c>
      <c r="K132" s="4">
        <f>IF($F132&gt;=0,C132,IF(AND($F132&lt;0,$G132&gt;=0),$B$125,0))</f>
        <v>5.4597537477422673</v>
      </c>
      <c r="L132" s="4">
        <f>IF($G132&gt;=0,D132,IF(AND($G132&lt;0,$F132&gt;=0),IF(H132="V",D132,($B$125-I132)/H132),0))</f>
        <v>10.344391115744241</v>
      </c>
      <c r="M132" s="4">
        <f>IF($G132&gt;=0,E132,IF(AND($G132&lt;0,$F132&gt;=0),$B$125,0))</f>
        <v>9.2732719384536324</v>
      </c>
      <c r="N132" s="4">
        <f>IF(F132&lt;0,0,F132)</f>
        <v>0</v>
      </c>
      <c r="O132" s="4">
        <f>IF(G132&lt;0,0,G132)</f>
        <v>110.41592773474508</v>
      </c>
      <c r="P132" s="4">
        <f>(1/6)*(M132-K132)*((N132*((2*J132)+L132))+(O132*(J132+(2*L132))))</f>
        <v>2232.8981225812299</v>
      </c>
      <c r="Q132" s="4">
        <f>((1/12)*(M132-K132)*(N132*J132*((3*K132)+M132)+N132*L132*(K132+M132)+O132*J132*(K132+M132)+O132*L132*(K132+(3*M132))))</f>
        <v>17832.898871717742</v>
      </c>
      <c r="R132" s="4">
        <f>((-1/24)*(M132-K132)*(J132*J132*((3*N132)+O132)+2*J132*L132*(N132+O132)+L132*L132*(N132+(3*O132))))</f>
        <v>-11844.374162350616</v>
      </c>
    </row>
    <row r="133" spans="1:18" x14ac:dyDescent="0.25">
      <c r="A133" t="s">
        <v>70</v>
      </c>
      <c r="B133" s="4">
        <f t="shared" ref="B133:C138" si="50">D132</f>
        <v>10.344391115744241</v>
      </c>
      <c r="C133" s="4">
        <f t="shared" si="50"/>
        <v>9.2732719384536324</v>
      </c>
      <c r="D133" s="4">
        <f t="shared" si="47"/>
        <v>-13.163869645885562</v>
      </c>
      <c r="E133" s="4">
        <f t="shared" si="47"/>
        <v>4.4398801724970847</v>
      </c>
      <c r="F133" s="4">
        <f t="shared" si="48"/>
        <v>110.41592773474508</v>
      </c>
      <c r="G133" s="4">
        <f t="shared" si="49"/>
        <v>-29.529238186704998</v>
      </c>
      <c r="H133" s="4">
        <f t="shared" ref="H133:H139" si="51">IF(B133=D133,"V",(C133-E133)/(B133-D133))</f>
        <v>0.20560397108771283</v>
      </c>
      <c r="I133" s="4">
        <f t="shared" ref="I133:I139" si="52">IF(H133="V",0,(-1*B133*H133)+C133)</f>
        <v>7.14642404657216</v>
      </c>
      <c r="J133" s="4">
        <f t="shared" ref="J133:J139" si="53">IF($F133&gt;=0,B133,IF(AND($F133&lt;0,$G133&gt;=0),IF(H133="V",B133,($B$125-I133)/H133),0))</f>
        <v>10.344391115744241</v>
      </c>
      <c r="K133" s="4">
        <f t="shared" ref="K133:K139" si="54">IF($F133&gt;=0,C133,IF(AND($F133&lt;0,$G133&gt;=0),$B$125,0))</f>
        <v>9.2732719384536324</v>
      </c>
      <c r="L133" s="4">
        <f t="shared" ref="L133:L139" si="55">IF($G133&gt;=0,D133,IF(AND($G133&lt;0,$F133&gt;=0),IF(H133="V",D133,($B$125-I133)/H133),0))</f>
        <v>-8.2034908659927641</v>
      </c>
      <c r="M133" s="4">
        <f t="shared" ref="M133:M139" si="56">IF($G133&gt;=0,E133,IF(AND($G133&lt;0,$F133&gt;=0),$B$125,0))</f>
        <v>5.4597537477422673</v>
      </c>
      <c r="N133" s="4">
        <f t="shared" ref="N133:O139" si="57">IF(F133&lt;0,0,F133)</f>
        <v>110.41592773474508</v>
      </c>
      <c r="O133" s="4">
        <f t="shared" si="57"/>
        <v>0</v>
      </c>
      <c r="P133" s="4">
        <f t="shared" ref="P133:P139" si="58">(1/6)*(M133-K133)*((N133*((2*J133)+L133))+(O133*(J133+(2*L133))))</f>
        <v>-876.20349182689881</v>
      </c>
      <c r="Q133" s="4">
        <f t="shared" ref="Q133:Q139" si="59">((1/12)*(M133-K133)*(N133*J133*((3*K133)+M133)+N133*L133*(K133+M133)+O133*J133*(K133+M133)+O133*L133*(K133+(3*M133))))</f>
        <v>-7838.7904501039302</v>
      </c>
      <c r="R133" s="4">
        <f t="shared" ref="R133:R139" si="60">((-1/24)*(M133-K133)*(J133*J133*((3*N133)+O133)+2*J133*L133*(N133+O133)+L133*L133*(N133+(3*O133))))</f>
        <v>3835.2098407401236</v>
      </c>
    </row>
    <row r="134" spans="1:18" x14ac:dyDescent="0.25">
      <c r="A134" t="s">
        <v>71</v>
      </c>
      <c r="B134" s="4">
        <f t="shared" si="50"/>
        <v>-13.163869645885562</v>
      </c>
      <c r="C134" s="4">
        <f t="shared" si="50"/>
        <v>4.4398801724970847</v>
      </c>
      <c r="D134" s="4">
        <f t="shared" si="47"/>
        <v>-10.344391115744241</v>
      </c>
      <c r="E134" s="4">
        <f t="shared" si="47"/>
        <v>-9.2732719384536324</v>
      </c>
      <c r="F134" s="4">
        <f t="shared" si="48"/>
        <v>-29.529238186704998</v>
      </c>
      <c r="G134" s="4">
        <f t="shared" si="49"/>
        <v>-426.57740651230444</v>
      </c>
      <c r="H134" s="4">
        <f t="shared" si="51"/>
        <v>-4.8637192886385874</v>
      </c>
      <c r="I134" s="4">
        <f t="shared" si="52"/>
        <v>-59.585486537320534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-10.344391115744241</v>
      </c>
      <c r="C135" s="4">
        <f t="shared" si="50"/>
        <v>-9.2732719384536324</v>
      </c>
      <c r="D135" s="4">
        <f t="shared" si="47"/>
        <v>13.163869645885562</v>
      </c>
      <c r="E135" s="4">
        <f t="shared" si="47"/>
        <v>-4.4398801724970847</v>
      </c>
      <c r="F135" s="4">
        <f t="shared" si="48"/>
        <v>-426.57740651230444</v>
      </c>
      <c r="G135" s="4">
        <f t="shared" si="49"/>
        <v>-286.63224059085434</v>
      </c>
      <c r="H135" s="4">
        <f t="shared" si="51"/>
        <v>0.20560397108771283</v>
      </c>
      <c r="I135" s="4">
        <f t="shared" si="52"/>
        <v>-7.14642404657216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13.163869645885562</v>
      </c>
      <c r="C136" s="4">
        <f t="shared" si="50"/>
        <v>-4.4398801724970847</v>
      </c>
      <c r="D136" s="4">
        <f t="shared" si="47"/>
        <v>13.163869645885562</v>
      </c>
      <c r="E136" s="4">
        <f t="shared" si="47"/>
        <v>-4.4398801724970847</v>
      </c>
      <c r="F136" s="4">
        <f t="shared" si="48"/>
        <v>-286.63224059085434</v>
      </c>
      <c r="G136" s="4">
        <f t="shared" si="49"/>
        <v>-286.63224059085434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13.163869645885562</v>
      </c>
      <c r="C137" s="4">
        <f t="shared" si="50"/>
        <v>-4.4398801724970847</v>
      </c>
      <c r="D137" s="4">
        <f t="shared" si="47"/>
        <v>13.163869645885562</v>
      </c>
      <c r="E137" s="4">
        <f t="shared" si="47"/>
        <v>-4.4398801724970847</v>
      </c>
      <c r="F137" s="4">
        <f t="shared" si="48"/>
        <v>-286.63224059085434</v>
      </c>
      <c r="G137" s="4">
        <f t="shared" si="49"/>
        <v>-286.63224059085434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13.163869645885562</v>
      </c>
      <c r="C138" s="4">
        <f t="shared" si="50"/>
        <v>-4.4398801724970847</v>
      </c>
      <c r="D138" s="4">
        <f t="shared" si="47"/>
        <v>13.163869645885562</v>
      </c>
      <c r="E138" s="4">
        <f t="shared" si="47"/>
        <v>-4.4398801724970847</v>
      </c>
      <c r="F138" s="4">
        <f t="shared" si="48"/>
        <v>-286.63224059085434</v>
      </c>
      <c r="G138" s="4">
        <f t="shared" si="49"/>
        <v>-286.63224059085434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13.163869645885562</v>
      </c>
      <c r="C139" s="4">
        <f>E138</f>
        <v>-4.4398801724970847</v>
      </c>
      <c r="D139" s="4">
        <f t="shared" si="47"/>
        <v>13.163869645885562</v>
      </c>
      <c r="E139" s="4">
        <f t="shared" si="47"/>
        <v>-4.4398801724970847</v>
      </c>
      <c r="F139" s="4">
        <f t="shared" si="48"/>
        <v>-286.63224059085434</v>
      </c>
      <c r="G139" s="4">
        <f t="shared" si="49"/>
        <v>-286.63224059085434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1356.6946307543312</v>
      </c>
      <c r="Q140" s="4">
        <f>SUM(Q132:Q139)</f>
        <v>9994.1084216138115</v>
      </c>
      <c r="R140" s="4">
        <f>SUM(R132:R139)</f>
        <v>-8009.1643216104922</v>
      </c>
    </row>
    <row r="142" spans="1:18" x14ac:dyDescent="0.25">
      <c r="O142" t="s">
        <v>96</v>
      </c>
      <c r="P142" s="1">
        <f>-1*R140/P140</f>
        <v>5.9034392412663586</v>
      </c>
    </row>
    <row r="143" spans="1:18" x14ac:dyDescent="0.25">
      <c r="O143" t="s">
        <v>97</v>
      </c>
      <c r="P143" s="1">
        <f>Q140/P140</f>
        <v>7.3665128430979498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13.163869645885562</v>
      </c>
      <c r="C146" s="9">
        <f>J84</f>
        <v>-4.4398801724970847</v>
      </c>
      <c r="D146" s="9">
        <f t="shared" ref="D146:E153" si="61">I85</f>
        <v>13.163869645885562</v>
      </c>
      <c r="E146">
        <f t="shared" si="61"/>
        <v>-4.4398801724970847</v>
      </c>
      <c r="F146" s="4">
        <f>($B$66/$B$65)*(C146-$B$125)</f>
        <v>-286.63224059085434</v>
      </c>
      <c r="G146" s="4">
        <f>($B$66/$B$65)*(E146-$B$125)</f>
        <v>-286.63224059085434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13.163869645885562</v>
      </c>
      <c r="C147">
        <f t="shared" si="62"/>
        <v>-4.4398801724970847</v>
      </c>
      <c r="D147" s="9">
        <f t="shared" si="61"/>
        <v>13.163869645885562</v>
      </c>
      <c r="E147">
        <f t="shared" si="61"/>
        <v>-4.4398801724970847</v>
      </c>
      <c r="F147" s="4">
        <f t="shared" ref="F147:F153" si="63">($B$66/$B$65)*(C147-$B$125)</f>
        <v>-286.63224059085434</v>
      </c>
      <c r="G147" s="4">
        <f t="shared" ref="G147:G153" si="64">($B$66/$B$65)*(E147-$B$125)</f>
        <v>-286.63224059085434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13.163869645885562</v>
      </c>
      <c r="C148">
        <f t="shared" si="62"/>
        <v>-4.4398801724970847</v>
      </c>
      <c r="D148" s="9">
        <f t="shared" si="61"/>
        <v>13.163869645885562</v>
      </c>
      <c r="E148">
        <f t="shared" si="61"/>
        <v>-4.4398801724970847</v>
      </c>
      <c r="F148" s="4">
        <f t="shared" si="63"/>
        <v>-286.63224059085434</v>
      </c>
      <c r="G148" s="4">
        <f t="shared" si="64"/>
        <v>-286.63224059085434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13.163869645885562</v>
      </c>
      <c r="C149">
        <f t="shared" si="62"/>
        <v>-4.4398801724970847</v>
      </c>
      <c r="D149" s="9">
        <f t="shared" si="61"/>
        <v>13.163869645885562</v>
      </c>
      <c r="E149">
        <f t="shared" si="61"/>
        <v>-4.4398801724970847</v>
      </c>
      <c r="F149" s="4">
        <f t="shared" si="63"/>
        <v>-286.63224059085434</v>
      </c>
      <c r="G149" s="4">
        <f t="shared" si="64"/>
        <v>-286.63224059085434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13.163869645885562</v>
      </c>
      <c r="C150">
        <f t="shared" si="62"/>
        <v>-4.4398801724970847</v>
      </c>
      <c r="D150" s="9">
        <f t="shared" si="61"/>
        <v>13.163869645885562</v>
      </c>
      <c r="E150">
        <f t="shared" si="61"/>
        <v>-4.4398801724970847</v>
      </c>
      <c r="F150" s="4">
        <f t="shared" si="63"/>
        <v>-286.63224059085434</v>
      </c>
      <c r="G150" s="4">
        <f t="shared" si="64"/>
        <v>-286.63224059085434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13.163869645885562</v>
      </c>
      <c r="C151">
        <f t="shared" si="62"/>
        <v>-4.4398801724970847</v>
      </c>
      <c r="D151" s="9">
        <f t="shared" si="61"/>
        <v>13.163869645885562</v>
      </c>
      <c r="E151">
        <f t="shared" si="61"/>
        <v>-4.4398801724970847</v>
      </c>
      <c r="F151" s="4">
        <f t="shared" si="63"/>
        <v>-286.63224059085434</v>
      </c>
      <c r="G151" s="4">
        <f t="shared" si="64"/>
        <v>-286.63224059085434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13.163869645885562</v>
      </c>
      <c r="C152">
        <f t="shared" si="62"/>
        <v>-4.4398801724970847</v>
      </c>
      <c r="D152" s="9">
        <f t="shared" si="61"/>
        <v>13.163869645885562</v>
      </c>
      <c r="E152">
        <f t="shared" si="61"/>
        <v>-4.4398801724970847</v>
      </c>
      <c r="F152" s="4">
        <f t="shared" si="63"/>
        <v>-286.63224059085434</v>
      </c>
      <c r="G152" s="4">
        <f t="shared" si="64"/>
        <v>-286.63224059085434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13.163869645885562</v>
      </c>
      <c r="C153">
        <f t="shared" si="62"/>
        <v>-4.4398801724970847</v>
      </c>
      <c r="D153" s="9">
        <f t="shared" si="61"/>
        <v>13.163869645885562</v>
      </c>
      <c r="E153">
        <f t="shared" si="61"/>
        <v>-4.4398801724970847</v>
      </c>
      <c r="F153" s="4">
        <f t="shared" si="63"/>
        <v>-286.63224059085434</v>
      </c>
      <c r="G153" s="4">
        <f t="shared" si="64"/>
        <v>-286.63224059085434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-4.5225381667179931E-5</v>
      </c>
      <c r="C159" t="s">
        <v>36</v>
      </c>
    </row>
    <row r="160" spans="1:18" x14ac:dyDescent="0.25">
      <c r="A160" s="1" t="s">
        <v>106</v>
      </c>
      <c r="B160" s="4">
        <f>Q140+I122+Q154-O122</f>
        <v>14170.825996679774</v>
      </c>
      <c r="C160" t="s">
        <v>102</v>
      </c>
    </row>
    <row r="161" spans="1:9" x14ac:dyDescent="0.25">
      <c r="A161" s="1" t="s">
        <v>107</v>
      </c>
      <c r="B161" s="4">
        <f>R140+J122+R154-P122</f>
        <v>-9337.4343598137275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-4.5225381667179931E-5</v>
      </c>
      <c r="C164" t="s">
        <v>36</v>
      </c>
      <c r="E164" s="8">
        <f>B2-B164</f>
        <v>4.5225381667179931E-5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-11999.999811010748</v>
      </c>
      <c r="C165" t="s">
        <v>102</v>
      </c>
      <c r="E165" s="8">
        <f>B3+B165</f>
        <v>1.8898925191024318E-4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-11999.999766156136</v>
      </c>
      <c r="C166" t="s">
        <v>102</v>
      </c>
      <c r="E166" s="8">
        <f>B4+B166</f>
        <v>2.3384386440739036E-4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110.41592773474508</v>
      </c>
      <c r="B169" s="1">
        <f ca="1">IF(E122=0,0,(MIN(H110:H121)*B65)/(B55*B56*E122))</f>
        <v>-110.4159255388937</v>
      </c>
      <c r="C169" s="3">
        <f ca="1">A169+B169</f>
        <v>2.1958513798381318E-6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6.6888338171635032E-8</v>
      </c>
      <c r="C175" s="27">
        <f>B65*SQRT(I175)</f>
        <v>5.6563615672930833E-8</v>
      </c>
      <c r="D175" s="27">
        <f>B66*SQRT(I175)</f>
        <v>1.637732872435361E-6</v>
      </c>
      <c r="E175" s="27">
        <f>B67*SQRT(I175)</f>
        <v>5.1163977854210945E-6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4.5096109064594554</v>
      </c>
      <c r="C176" s="3">
        <f>B65+C175</f>
        <v>3.8135182472749807</v>
      </c>
      <c r="D176" s="3">
        <f>D175+B66</f>
        <v>110.41592937247796</v>
      </c>
      <c r="E176" s="3">
        <f>B67+E175</f>
        <v>344.94747344021164</v>
      </c>
      <c r="F176" s="16" t="s">
        <v>125</v>
      </c>
    </row>
    <row r="177" spans="1:13" x14ac:dyDescent="0.25">
      <c r="B177" s="27">
        <f>B176-B64</f>
        <v>6.6888338423609639E-8</v>
      </c>
      <c r="C177" s="27">
        <f>C176-B65</f>
        <v>5.6563615569160675E-8</v>
      </c>
      <c r="D177" s="27">
        <f>D176-B66</f>
        <v>1.6377328790895263E-6</v>
      </c>
      <c r="E177" s="27">
        <f>E176-B67</f>
        <v>5.1163978014301392E-6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-12.269481071258726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-13.163869656200685</v>
      </c>
      <c r="B181" s="25">
        <f>(d_alpha_p!E136-d_alpha_m!E136)/(2*B177)</f>
        <v>-13.163869656200685</v>
      </c>
      <c r="C181" s="25">
        <f>(d_alpha_p!E137-d_alpha_m!E137)/(2*B177)</f>
        <v>-13.163869656200685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-4.5225381667179931E-5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-1.8898925191024318E-4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-2.3384386440739036E-4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-2.1958513798381318E-6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-12.269481071258726</v>
      </c>
      <c r="B190" s="25">
        <f>A181</f>
        <v>-13.163869656200685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-13.163869656200685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-13.163869656200685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-12.269481071258726</v>
      </c>
      <c r="B201" s="25">
        <f t="shared" ref="B201:C201" si="77">B190</f>
        <v>-13.163869656200685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-13.163869656200685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-13.163869656200685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8.9285714285714288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24.23469387755102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-8.9285714285714288</v>
      </c>
      <c r="AB14">
        <f>$B$4/Z14</f>
        <v>15.306122448979592</v>
      </c>
      <c r="AC14">
        <f>$I$2+AA14+AB14</f>
        <v>6.3775510204081627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8.9285714285714288</v>
      </c>
      <c r="AB15">
        <f t="shared" ref="AB15:AB21" si="11">$B$4/Z15</f>
        <v>15.306122448979592</v>
      </c>
      <c r="AC15">
        <f t="shared" ref="AC15:AC20" si="12">$I$2+AA15+AB15</f>
        <v>24.23469387755102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8.9285714285714288</v>
      </c>
      <c r="AB16">
        <f t="shared" si="11"/>
        <v>-15.306122448979592</v>
      </c>
      <c r="AC16">
        <f t="shared" si="12"/>
        <v>-6.3775510204081627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-8.9285714285714288</v>
      </c>
      <c r="AB17">
        <f t="shared" si="11"/>
        <v>-15.306122448979592</v>
      </c>
      <c r="AC17">
        <f t="shared" si="12"/>
        <v>-24.23469387755102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-8.9285714285714288</v>
      </c>
      <c r="AB18">
        <f t="shared" si="11"/>
        <v>-15.306122448979592</v>
      </c>
      <c r="AC18">
        <f t="shared" si="12"/>
        <v>-24.23469387755102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-8.9285714285714288</v>
      </c>
      <c r="AB19">
        <f t="shared" si="11"/>
        <v>-15.306122448979592</v>
      </c>
      <c r="AC19">
        <f t="shared" si="12"/>
        <v>-24.23469387755102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-8.9285714285714288</v>
      </c>
      <c r="AB20">
        <f t="shared" si="11"/>
        <v>-15.306122448979592</v>
      </c>
      <c r="AC20">
        <f t="shared" si="12"/>
        <v>-24.23469387755102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21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21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15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15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4.509610839571117</v>
      </c>
      <c r="C64" t="s">
        <v>19</v>
      </c>
      <c r="D64" t="s">
        <v>34</v>
      </c>
      <c r="H64" s="17">
        <f>DEGREES(B64)</f>
        <v>258.38166835387278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3.8135182472749816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110.41592773474508</v>
      </c>
      <c r="C66" t="s">
        <v>11</v>
      </c>
      <c r="D66">
        <f>B66/B53</f>
        <v>2.8566663937076159E-2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344.94747344021164</v>
      </c>
      <c r="C67" t="s">
        <v>36</v>
      </c>
      <c r="D67" t="s">
        <v>122</v>
      </c>
      <c r="G67" s="20">
        <f ca="1">($B$56*$B$66*$B$55*$E$122)/$B$65</f>
        <v>344.94746832381384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-14.163869645885562</v>
      </c>
      <c r="R76">
        <f>Q76</f>
        <v>-14.163869645885562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14.163869645885562</v>
      </c>
      <c r="R77">
        <f>Q77</f>
        <v>14.163869645885562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13.163869645885562</v>
      </c>
      <c r="C84" s="1">
        <f t="shared" ref="C84:C92" si="23">(-1*B73*SIN($B$64))+(C73*COS($B$64))</f>
        <v>-4.4398801724970847</v>
      </c>
      <c r="H84" s="1">
        <f t="shared" ref="H84:H92" si="24">H73</f>
        <v>1</v>
      </c>
      <c r="I84" s="4">
        <f>(I73*COS($B$64))+(J73*SIN($B$64))</f>
        <v>13.163869645885562</v>
      </c>
      <c r="J84" s="1">
        <f>(-1*I73*SIN($B$64))+(J73*COS($B$64))</f>
        <v>-4.4398801724970847</v>
      </c>
    </row>
    <row r="85" spans="1:10" x14ac:dyDescent="0.25">
      <c r="A85" s="1">
        <f t="shared" si="21"/>
        <v>2</v>
      </c>
      <c r="B85" s="4">
        <f t="shared" si="22"/>
        <v>10.344391115744241</v>
      </c>
      <c r="C85" s="1">
        <f t="shared" si="23"/>
        <v>9.2732719384536324</v>
      </c>
      <c r="H85" s="1">
        <f t="shared" si="24"/>
        <v>2</v>
      </c>
      <c r="I85" s="4">
        <f t="shared" ref="I85:I92" si="25">(I74*COS($B$64))+(J74*SIN($B$64))</f>
        <v>13.163869645885562</v>
      </c>
      <c r="J85" s="1">
        <f t="shared" ref="J85:J92" si="26">(-1*I74*SIN($B$64))+(J74*COS($B$64))</f>
        <v>-4.4398801724970847</v>
      </c>
    </row>
    <row r="86" spans="1:10" x14ac:dyDescent="0.25">
      <c r="A86" s="1">
        <f t="shared" si="21"/>
        <v>3</v>
      </c>
      <c r="B86" s="4">
        <f t="shared" si="22"/>
        <v>-13.163869645885562</v>
      </c>
      <c r="C86" s="1">
        <f t="shared" si="23"/>
        <v>4.4398801724970847</v>
      </c>
      <c r="H86" s="1">
        <f t="shared" si="24"/>
        <v>3</v>
      </c>
      <c r="I86" s="4">
        <f t="shared" si="25"/>
        <v>13.163869645885562</v>
      </c>
      <c r="J86" s="1">
        <f t="shared" si="26"/>
        <v>-4.4398801724970847</v>
      </c>
    </row>
    <row r="87" spans="1:10" x14ac:dyDescent="0.25">
      <c r="A87" s="1">
        <f t="shared" si="21"/>
        <v>4</v>
      </c>
      <c r="B87" s="4">
        <f t="shared" si="22"/>
        <v>-10.344391115744241</v>
      </c>
      <c r="C87" s="1">
        <f t="shared" si="23"/>
        <v>-9.2732719384536324</v>
      </c>
      <c r="H87" s="1">
        <f t="shared" si="24"/>
        <v>4</v>
      </c>
      <c r="I87" s="4">
        <f t="shared" si="25"/>
        <v>13.163869645885562</v>
      </c>
      <c r="J87" s="1">
        <f t="shared" si="26"/>
        <v>-4.4398801724970847</v>
      </c>
    </row>
    <row r="88" spans="1:10" x14ac:dyDescent="0.25">
      <c r="A88" s="1">
        <f t="shared" si="21"/>
        <v>5</v>
      </c>
      <c r="B88" s="4">
        <f t="shared" si="22"/>
        <v>13.163869645885562</v>
      </c>
      <c r="C88" s="1">
        <f t="shared" si="23"/>
        <v>-4.4398801724970847</v>
      </c>
      <c r="H88" s="1">
        <f t="shared" si="24"/>
        <v>5</v>
      </c>
      <c r="I88" s="4">
        <f t="shared" si="25"/>
        <v>13.163869645885562</v>
      </c>
      <c r="J88" s="1">
        <f t="shared" si="26"/>
        <v>-4.4398801724970847</v>
      </c>
    </row>
    <row r="89" spans="1:10" x14ac:dyDescent="0.25">
      <c r="A89" s="1">
        <f t="shared" si="21"/>
        <v>6</v>
      </c>
      <c r="B89" s="4">
        <f t="shared" si="22"/>
        <v>13.163869645885562</v>
      </c>
      <c r="C89" s="1">
        <f t="shared" si="23"/>
        <v>-4.4398801724970847</v>
      </c>
      <c r="H89" s="1">
        <f t="shared" si="24"/>
        <v>6</v>
      </c>
      <c r="I89" s="4">
        <f t="shared" si="25"/>
        <v>13.163869645885562</v>
      </c>
      <c r="J89" s="1">
        <f t="shared" si="26"/>
        <v>-4.4398801724970847</v>
      </c>
    </row>
    <row r="90" spans="1:10" x14ac:dyDescent="0.25">
      <c r="A90" s="1">
        <f t="shared" si="21"/>
        <v>7</v>
      </c>
      <c r="B90" s="4">
        <f t="shared" si="22"/>
        <v>13.163869645885562</v>
      </c>
      <c r="C90" s="1">
        <f t="shared" si="23"/>
        <v>-4.4398801724970847</v>
      </c>
      <c r="H90" s="1">
        <f t="shared" si="24"/>
        <v>7</v>
      </c>
      <c r="I90" s="4">
        <f t="shared" si="25"/>
        <v>13.163869645885562</v>
      </c>
      <c r="J90" s="1">
        <f t="shared" si="26"/>
        <v>-4.4398801724970847</v>
      </c>
    </row>
    <row r="91" spans="1:10" x14ac:dyDescent="0.25">
      <c r="A91" s="1">
        <f t="shared" si="21"/>
        <v>8</v>
      </c>
      <c r="B91" s="4">
        <f t="shared" si="22"/>
        <v>13.163869645885562</v>
      </c>
      <c r="C91" s="1">
        <f t="shared" si="23"/>
        <v>-4.4398801724970847</v>
      </c>
      <c r="H91" s="1">
        <f t="shared" si="24"/>
        <v>8</v>
      </c>
      <c r="I91" s="4">
        <f t="shared" si="25"/>
        <v>13.163869645885562</v>
      </c>
      <c r="J91" s="1">
        <f t="shared" si="26"/>
        <v>-4.4398801724970847</v>
      </c>
    </row>
    <row r="92" spans="1:10" x14ac:dyDescent="0.25">
      <c r="A92" s="1">
        <f t="shared" si="21"/>
        <v>9</v>
      </c>
      <c r="B92" s="4">
        <f t="shared" si="22"/>
        <v>13.163869645885562</v>
      </c>
      <c r="C92" s="1">
        <f t="shared" si="23"/>
        <v>-4.4398801724970847</v>
      </c>
      <c r="H92" s="1">
        <f t="shared" si="24"/>
        <v>9</v>
      </c>
      <c r="I92" s="4">
        <f t="shared" si="25"/>
        <v>13.163869645885562</v>
      </c>
      <c r="J92" s="1">
        <f t="shared" si="26"/>
        <v>-4.4398801724970847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9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9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9.6211630799372685</v>
      </c>
      <c r="C110" s="1">
        <f>(-1*B95*SIN($B$64))+(C95*COS($B$64))</f>
        <v>-2.1055215480379279</v>
      </c>
      <c r="D110" t="str">
        <f t="shared" ref="D110" si="31">D95</f>
        <v>y</v>
      </c>
      <c r="E110" s="4">
        <f t="shared" ref="E110:E121" si="32">IF($D110="y",$B$125-C110,0)</f>
        <v>7.5652752392165787</v>
      </c>
      <c r="F110" s="1">
        <f>IF($D110="y",B110,NA())</f>
        <v>9.6211630799372685</v>
      </c>
      <c r="G110" s="1">
        <f>IF($D110="y",C110,NA())</f>
        <v>-2.1055215480379279</v>
      </c>
      <c r="H110">
        <f t="shared" ref="H110:H121" si="33">IF($E$122=0,0,-1*MAX(($B$67/$E$122)*(E110),0))</f>
        <v>-233.20359006711215</v>
      </c>
      <c r="I110">
        <f>H110*C110</f>
        <v>491.01518396610834</v>
      </c>
      <c r="J110">
        <f>H110*B110*-1</f>
        <v>2243.6897708625247</v>
      </c>
      <c r="K110">
        <f ca="1">H110/$B$55</f>
        <v>-1643.4497678339974</v>
      </c>
      <c r="L110">
        <f ca="1">K110/$B$54</f>
        <v>-5.6670681649448183E-2</v>
      </c>
      <c r="M110">
        <f t="shared" ref="M110:M121" si="34">IFERROR(($D$66/$B$65)*(G110-$B$125),0)</f>
        <v>-5.6670680808886154E-2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8.0100324912850844</v>
      </c>
      <c r="C111" s="1">
        <f t="shared" ref="C111:C121" si="37">(-1*B96*SIN($B$64))+(C96*COS($B$64))</f>
        <v>5.7305653725053389</v>
      </c>
      <c r="D111" t="str">
        <f t="shared" si="35"/>
        <v>y</v>
      </c>
      <c r="E111" s="4">
        <f t="shared" si="32"/>
        <v>-0.27081168132668765</v>
      </c>
      <c r="F111" s="1">
        <f t="shared" ref="F111:G121" si="38">IF($D111="y",B111,NA())</f>
        <v>8.0100324912850844</v>
      </c>
      <c r="G111" s="1">
        <f t="shared" si="38"/>
        <v>5.7305653725053389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2.0286218103773546E-3</v>
      </c>
      <c r="N111">
        <f t="shared" ref="N111:N121" si="42">IF(AND(M111&gt;0,D111="y",$E$60="y"),$B$53*M111*$E$59,0)</f>
        <v>1.9485350645141957</v>
      </c>
      <c r="O111">
        <f t="shared" ref="O111:O121" si="43">N111*C111</f>
        <v>11.166207567817507</v>
      </c>
      <c r="P111">
        <f t="shared" ref="P111:P121" si="44">N111*B111*-1</f>
        <v>-15.607829177166986</v>
      </c>
    </row>
    <row r="112" spans="1:16" x14ac:dyDescent="0.25">
      <c r="A112">
        <f t="shared" si="35"/>
        <v>3</v>
      </c>
      <c r="B112" s="1">
        <f t="shared" si="36"/>
        <v>3.7440978895298169</v>
      </c>
      <c r="C112" s="1">
        <f t="shared" si="37"/>
        <v>-3.3138694895270651</v>
      </c>
      <c r="D112" t="str">
        <f t="shared" si="35"/>
        <v>y</v>
      </c>
      <c r="E112" s="4">
        <f t="shared" si="32"/>
        <v>8.7736231807057159</v>
      </c>
      <c r="F112" s="1">
        <f t="shared" si="38"/>
        <v>3.7440978895298169</v>
      </c>
      <c r="G112" s="1">
        <f t="shared" si="38"/>
        <v>-3.3138694895270651</v>
      </c>
      <c r="H112">
        <f t="shared" si="33"/>
        <v>-270.45155119147864</v>
      </c>
      <c r="I112">
        <f t="shared" si="39"/>
        <v>896.24114388870828</v>
      </c>
      <c r="J112">
        <f t="shared" si="40"/>
        <v>1012.5970820360805</v>
      </c>
      <c r="K112">
        <f t="shared" ref="K112:K121" ca="1" si="45">H112/$B$55</f>
        <v>-1905.9463831070004</v>
      </c>
      <c r="L112">
        <f t="shared" ca="1" si="41"/>
        <v>-6.5722289072655191E-2</v>
      </c>
      <c r="M112">
        <f t="shared" si="34"/>
        <v>-6.5722288097836118E-2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2.1329673008776338</v>
      </c>
      <c r="C113" s="1">
        <f t="shared" si="37"/>
        <v>4.5222174310162018</v>
      </c>
      <c r="D113" t="str">
        <f t="shared" si="35"/>
        <v>y</v>
      </c>
      <c r="E113" s="4">
        <f t="shared" si="32"/>
        <v>0.93753626016244951</v>
      </c>
      <c r="F113" s="1">
        <f t="shared" si="38"/>
        <v>2.1329673008776338</v>
      </c>
      <c r="G113" s="1">
        <f t="shared" si="38"/>
        <v>4.5222174310162018</v>
      </c>
      <c r="H113">
        <f t="shared" si="33"/>
        <v>-28.900048547423133</v>
      </c>
      <c r="I113">
        <f t="shared" si="39"/>
        <v>-130.69230329837134</v>
      </c>
      <c r="J113">
        <f t="shared" si="40"/>
        <v>61.642858545429696</v>
      </c>
      <c r="K113">
        <f t="shared" ca="1" si="45"/>
        <v>-203.66658189946946</v>
      </c>
      <c r="L113">
        <f t="shared" ca="1" si="41"/>
        <v>-7.0229855827403263E-3</v>
      </c>
      <c r="M113">
        <f t="shared" si="34"/>
        <v>-7.022985478572618E-3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-8.0100324912850844</v>
      </c>
      <c r="C114" s="1">
        <f t="shared" si="37"/>
        <v>-5.7305653725053389</v>
      </c>
      <c r="D114" t="str">
        <f t="shared" si="35"/>
        <v>y</v>
      </c>
      <c r="E114" s="4">
        <f t="shared" si="32"/>
        <v>11.19031906368399</v>
      </c>
      <c r="F114" s="1">
        <f t="shared" si="38"/>
        <v>-8.0100324912850844</v>
      </c>
      <c r="G114" s="1">
        <f t="shared" si="38"/>
        <v>-5.7305653725053389</v>
      </c>
      <c r="H114">
        <f t="shared" si="33"/>
        <v>-344.94747344021164</v>
      </c>
      <c r="I114">
        <f t="shared" si="39"/>
        <v>1976.7440466296819</v>
      </c>
      <c r="J114">
        <f t="shared" si="40"/>
        <v>-2763.0404700427939</v>
      </c>
      <c r="K114">
        <f t="shared" ca="1" si="45"/>
        <v>-2430.9396136530067</v>
      </c>
      <c r="L114">
        <f t="shared" ca="1" si="41"/>
        <v>-8.3825503919069191E-2</v>
      </c>
      <c r="M114">
        <f t="shared" si="34"/>
        <v>-8.3825502675736074E-2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-9.6211630799372685</v>
      </c>
      <c r="C115" s="1">
        <f t="shared" si="37"/>
        <v>2.1055215480379279</v>
      </c>
      <c r="D115" t="str">
        <f t="shared" si="35"/>
        <v>y</v>
      </c>
      <c r="E115" s="4">
        <f t="shared" si="32"/>
        <v>3.3542321431407234</v>
      </c>
      <c r="F115" s="1">
        <f t="shared" si="38"/>
        <v>-9.6211630799372685</v>
      </c>
      <c r="G115" s="1">
        <f t="shared" si="38"/>
        <v>2.1055215480379279</v>
      </c>
      <c r="H115">
        <f t="shared" si="33"/>
        <v>-103.39597079615611</v>
      </c>
      <c r="I115">
        <f t="shared" si="39"/>
        <v>-217.702444491607</v>
      </c>
      <c r="J115">
        <f t="shared" si="40"/>
        <v>-994.78949683824919</v>
      </c>
      <c r="K115">
        <f t="shared" ca="1" si="45"/>
        <v>-728.65981244547561</v>
      </c>
      <c r="L115">
        <f t="shared" ca="1" si="41"/>
        <v>-2.5126200429154331E-2</v>
      </c>
      <c r="M115">
        <f t="shared" si="34"/>
        <v>-2.5126200056472561E-2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-2.1329673008776338</v>
      </c>
      <c r="C116" s="1">
        <f t="shared" si="37"/>
        <v>-4.5222174310162018</v>
      </c>
      <c r="D116" t="str">
        <f t="shared" si="35"/>
        <v>y</v>
      </c>
      <c r="E116" s="4">
        <f t="shared" si="32"/>
        <v>9.9819711221948531</v>
      </c>
      <c r="F116" s="1">
        <f t="shared" si="38"/>
        <v>-2.1329673008776338</v>
      </c>
      <c r="G116" s="1">
        <f t="shared" si="38"/>
        <v>-4.5222174310162018</v>
      </c>
      <c r="H116">
        <f t="shared" si="33"/>
        <v>-307.69951231584514</v>
      </c>
      <c r="I116">
        <f t="shared" si="39"/>
        <v>1391.4840981098994</v>
      </c>
      <c r="J116">
        <f t="shared" si="40"/>
        <v>-656.31299826569239</v>
      </c>
      <c r="K116">
        <f t="shared" ca="1" si="45"/>
        <v>-2168.4429983800037</v>
      </c>
      <c r="L116">
        <f t="shared" ca="1" si="41"/>
        <v>-7.4773896495862191E-2</v>
      </c>
      <c r="M116">
        <f t="shared" si="34"/>
        <v>-7.4773895386786096E-2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-3.7440978895298169</v>
      </c>
      <c r="C117" s="1">
        <f t="shared" si="37"/>
        <v>3.3138694895270651</v>
      </c>
      <c r="D117" t="str">
        <f t="shared" si="35"/>
        <v>y</v>
      </c>
      <c r="E117" s="4">
        <f t="shared" si="32"/>
        <v>2.1458842016515862</v>
      </c>
      <c r="F117" s="1">
        <f t="shared" si="38"/>
        <v>-3.7440978895298169</v>
      </c>
      <c r="G117" s="1">
        <f t="shared" si="38"/>
        <v>3.3138694895270651</v>
      </c>
      <c r="H117">
        <f t="shared" si="33"/>
        <v>-66.148009671789609</v>
      </c>
      <c r="I117">
        <f t="shared" si="39"/>
        <v>-219.20587104428481</v>
      </c>
      <c r="J117">
        <f t="shared" si="40"/>
        <v>-247.6646234087454</v>
      </c>
      <c r="K117">
        <f t="shared" ca="1" si="45"/>
        <v>-466.16319717247251</v>
      </c>
      <c r="L117">
        <f t="shared" ca="1" si="41"/>
        <v>-1.6074593005947328E-2</v>
      </c>
      <c r="M117">
        <f t="shared" si="34"/>
        <v>-1.6074592767522586E-2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13.163869645885562</v>
      </c>
      <c r="C118" s="1">
        <f t="shared" si="37"/>
        <v>-4.4398801724970847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13.163869645885562</v>
      </c>
      <c r="C119" s="1">
        <f t="shared" si="37"/>
        <v>-4.4398801724970847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13.163869645885562</v>
      </c>
      <c r="C120" s="1">
        <f t="shared" si="37"/>
        <v>-4.4398801724970847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13.163869645885562</v>
      </c>
      <c r="C121" s="1">
        <f t="shared" si="37"/>
        <v>-4.4398801724970847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11.19031906368399</v>
      </c>
      <c r="H122">
        <f>SUM(H110:H121)</f>
        <v>-1354.7461560300164</v>
      </c>
      <c r="I122">
        <f t="shared" ref="I122:J122" si="46">SUM(I110:I121)</f>
        <v>4187.8838537601341</v>
      </c>
      <c r="J122">
        <f t="shared" si="46"/>
        <v>-1343.8778771114464</v>
      </c>
      <c r="L122">
        <f ca="1">MIN(L110:L121)</f>
        <v>-8.3825503919069191E-2</v>
      </c>
      <c r="M122">
        <f>MIN(M110:M121)</f>
        <v>-8.3825502675736074E-2</v>
      </c>
      <c r="N122">
        <f>SUM(N110:N121)</f>
        <v>1.9485350645141957</v>
      </c>
      <c r="O122">
        <f>SUM(O110:O121)</f>
        <v>11.166207567817507</v>
      </c>
      <c r="P122">
        <f>SUM(P110:P121)</f>
        <v>-15.607829177166986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5.4597536911786513</v>
      </c>
      <c r="F125" s="1" t="s">
        <v>27</v>
      </c>
      <c r="G125" s="1" t="s">
        <v>28</v>
      </c>
    </row>
    <row r="126" spans="1:16" x14ac:dyDescent="0.25">
      <c r="F126" s="4">
        <f>MIN(B84:B90)-1</f>
        <v>-14.163869645885562</v>
      </c>
      <c r="G126" s="4">
        <f>B125</f>
        <v>5.4597536911786513</v>
      </c>
    </row>
    <row r="127" spans="1:16" x14ac:dyDescent="0.25">
      <c r="F127" s="4">
        <f>MAX(B84:B90)+1</f>
        <v>14.163869645885562</v>
      </c>
      <c r="G127" s="4">
        <f>G126</f>
        <v>5.4597536911786513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13.163869645885562</v>
      </c>
      <c r="C132" s="4">
        <f>C84</f>
        <v>-4.4398801724970847</v>
      </c>
      <c r="D132" s="4">
        <f t="shared" ref="D132:E139" si="47">B85</f>
        <v>10.344391115744241</v>
      </c>
      <c r="E132" s="4">
        <f t="shared" si="47"/>
        <v>9.2732719384536324</v>
      </c>
      <c r="F132" s="4">
        <f t="shared" ref="F132:F139" si="48">($B$66/$B$65)*(C132-$B$125)</f>
        <v>-286.63223470167827</v>
      </c>
      <c r="G132" s="4">
        <f t="shared" ref="G132:G139" si="49">($B$66/$B$65)*(E132-$B$125)</f>
        <v>110.41592773474507</v>
      </c>
      <c r="H132" s="4">
        <f>IF(B132=D132,"V",(C132-E132)/(B132-D132))</f>
        <v>-4.8637192886385874</v>
      </c>
      <c r="I132" s="4">
        <f>IF(H132="V",0,(-1*B132*H132)+C132)</f>
        <v>59.585486537320534</v>
      </c>
      <c r="J132" s="4">
        <f>IF($F132&gt;=0,B132,IF(AND($F132&lt;0,$G132&gt;=0),IF(H132="V",B132,($B$125-I132)/H132),0))</f>
        <v>11.128465611199433</v>
      </c>
      <c r="K132" s="4">
        <f>IF($F132&gt;=0,C132,IF(AND($F132&lt;0,$G132&gt;=0),$B$125,0))</f>
        <v>5.4597536911786513</v>
      </c>
      <c r="L132" s="4">
        <f>IF($G132&gt;=0,D132,IF(AND($G132&lt;0,$F132&gt;=0),IF(H132="V",D132,($B$125-I132)/H132),0))</f>
        <v>10.344391115744241</v>
      </c>
      <c r="M132" s="4">
        <f>IF($G132&gt;=0,E132,IF(AND($G132&lt;0,$F132&gt;=0),$B$125,0))</f>
        <v>9.2732719384536324</v>
      </c>
      <c r="N132" s="4">
        <f>IF(F132&lt;0,0,F132)</f>
        <v>0</v>
      </c>
      <c r="O132" s="4">
        <f>IF(G132&lt;0,0,G132)</f>
        <v>110.41592773474507</v>
      </c>
      <c r="P132" s="4">
        <f>(1/6)*(M132-K132)*((N132*((2*J132)+L132))+(O132*(J132+(2*L132))))</f>
        <v>2232.89815651662</v>
      </c>
      <c r="Q132" s="4">
        <f>((1/12)*(M132-K132)*(N132*J132*((3*K132)+M132)+N132*L132*(K132+M132)+O132*J132*(K132+M132)+O132*L132*(K132+(3*M132))))</f>
        <v>17832.899099615617</v>
      </c>
      <c r="R132" s="4">
        <f>((-1/24)*(M132-K132)*(J132*J132*((3*N132)+O132)+2*J132*L132*(N132+O132)+L132*L132*(N132+(3*O132))))</f>
        <v>-11844.374346793711</v>
      </c>
    </row>
    <row r="133" spans="1:18" x14ac:dyDescent="0.25">
      <c r="A133" t="s">
        <v>70</v>
      </c>
      <c r="B133" s="4">
        <f t="shared" ref="B133:C138" si="50">D132</f>
        <v>10.344391115744241</v>
      </c>
      <c r="C133" s="4">
        <f t="shared" si="50"/>
        <v>9.2732719384536324</v>
      </c>
      <c r="D133" s="4">
        <f t="shared" si="47"/>
        <v>-13.163869645885562</v>
      </c>
      <c r="E133" s="4">
        <f t="shared" si="47"/>
        <v>4.4398801724970847</v>
      </c>
      <c r="F133" s="4">
        <f t="shared" si="48"/>
        <v>110.41592773474507</v>
      </c>
      <c r="G133" s="4">
        <f t="shared" si="49"/>
        <v>-29.529236110982755</v>
      </c>
      <c r="H133" s="4">
        <f t="shared" ref="H133:H139" si="51">IF(B133=D133,"V",(C133-E133)/(B133-D133))</f>
        <v>0.20560397108771283</v>
      </c>
      <c r="I133" s="4">
        <f t="shared" ref="I133:I139" si="52">IF(H133="V",0,(-1*B133*H133)+C133)</f>
        <v>7.14642404657216</v>
      </c>
      <c r="J133" s="4">
        <f t="shared" ref="J133:J139" si="53">IF($F133&gt;=0,B133,IF(AND($F133&lt;0,$G133&gt;=0),IF(H133="V",B133,($B$125-I133)/H133),0))</f>
        <v>10.344391115744241</v>
      </c>
      <c r="K133" s="4">
        <f t="shared" ref="K133:K139" si="54">IF($F133&gt;=0,C133,IF(AND($F133&lt;0,$G133&gt;=0),$B$125,0))</f>
        <v>9.2732719384536324</v>
      </c>
      <c r="L133" s="4">
        <f t="shared" ref="L133:L139" si="55">IF($G133&gt;=0,D133,IF(AND($G133&lt;0,$F133&gt;=0),IF(H133="V",D133,($B$125-I133)/H133),0))</f>
        <v>-8.2034911411023153</v>
      </c>
      <c r="M133" s="4">
        <f t="shared" ref="M133:M139" si="56">IF($G133&gt;=0,E133,IF(AND($G133&lt;0,$F133&gt;=0),$B$125,0))</f>
        <v>5.4597536911786513</v>
      </c>
      <c r="N133" s="4">
        <f t="shared" ref="N133:O139" si="57">IF(F133&lt;0,0,F133)</f>
        <v>110.41592773474507</v>
      </c>
      <c r="O133" s="4">
        <f t="shared" si="57"/>
        <v>0</v>
      </c>
      <c r="P133" s="4">
        <f t="shared" ref="P133:P139" si="58">(1/6)*(M133-K133)*((N133*((2*J133)+L133))+(O133*(J133+(2*L133))))</f>
        <v>-876.20348551622226</v>
      </c>
      <c r="Q133" s="4">
        <f t="shared" ref="Q133:Q139" si="59">((1/12)*(M133-K133)*(N133*J133*((3*K133)+M133)+N133*L133*(K133+M133)+O133*J133*(K133+M133)+O133*L133*(K133+(3*M133))))</f>
        <v>-7838.7904198984143</v>
      </c>
      <c r="R133" s="4">
        <f t="shared" ref="R133:R139" si="60">((-1/24)*(M133-K133)*(J133*J133*((3*N133)+O133)+2*J133*L133*(N133+O133)+L133*L133*(N133+(3*O133))))</f>
        <v>3835.2098769584327</v>
      </c>
    </row>
    <row r="134" spans="1:18" x14ac:dyDescent="0.25">
      <c r="A134" t="s">
        <v>71</v>
      </c>
      <c r="B134" s="4">
        <f t="shared" si="50"/>
        <v>-13.163869645885562</v>
      </c>
      <c r="C134" s="4">
        <f t="shared" si="50"/>
        <v>4.4398801724970847</v>
      </c>
      <c r="D134" s="4">
        <f t="shared" si="47"/>
        <v>-10.344391115744241</v>
      </c>
      <c r="E134" s="4">
        <f t="shared" si="47"/>
        <v>-9.2732719384536324</v>
      </c>
      <c r="F134" s="4">
        <f t="shared" si="48"/>
        <v>-29.529236110982755</v>
      </c>
      <c r="G134" s="4">
        <f t="shared" si="49"/>
        <v>-426.57739854740606</v>
      </c>
      <c r="H134" s="4">
        <f t="shared" si="51"/>
        <v>-4.8637192886385874</v>
      </c>
      <c r="I134" s="4">
        <f t="shared" si="52"/>
        <v>-59.585486537320534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-10.344391115744241</v>
      </c>
      <c r="C135" s="4">
        <f t="shared" si="50"/>
        <v>-9.2732719384536324</v>
      </c>
      <c r="D135" s="4">
        <f t="shared" si="47"/>
        <v>13.163869645885562</v>
      </c>
      <c r="E135" s="4">
        <f t="shared" si="47"/>
        <v>-4.4398801724970847</v>
      </c>
      <c r="F135" s="4">
        <f t="shared" si="48"/>
        <v>-426.57739854740606</v>
      </c>
      <c r="G135" s="4">
        <f t="shared" si="49"/>
        <v>-286.63223470167827</v>
      </c>
      <c r="H135" s="4">
        <f t="shared" si="51"/>
        <v>0.20560397108771283</v>
      </c>
      <c r="I135" s="4">
        <f t="shared" si="52"/>
        <v>-7.14642404657216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13.163869645885562</v>
      </c>
      <c r="C136" s="4">
        <f t="shared" si="50"/>
        <v>-4.4398801724970847</v>
      </c>
      <c r="D136" s="4">
        <f t="shared" si="47"/>
        <v>13.163869645885562</v>
      </c>
      <c r="E136" s="4">
        <f t="shared" si="47"/>
        <v>-4.4398801724970847</v>
      </c>
      <c r="F136" s="4">
        <f t="shared" si="48"/>
        <v>-286.63223470167827</v>
      </c>
      <c r="G136" s="4">
        <f t="shared" si="49"/>
        <v>-286.63223470167827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13.163869645885562</v>
      </c>
      <c r="C137" s="4">
        <f t="shared" si="50"/>
        <v>-4.4398801724970847</v>
      </c>
      <c r="D137" s="4">
        <f t="shared" si="47"/>
        <v>13.163869645885562</v>
      </c>
      <c r="E137" s="4">
        <f t="shared" si="47"/>
        <v>-4.4398801724970847</v>
      </c>
      <c r="F137" s="4">
        <f t="shared" si="48"/>
        <v>-286.63223470167827</v>
      </c>
      <c r="G137" s="4">
        <f t="shared" si="49"/>
        <v>-286.63223470167827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13.163869645885562</v>
      </c>
      <c r="C138" s="4">
        <f t="shared" si="50"/>
        <v>-4.4398801724970847</v>
      </c>
      <c r="D138" s="4">
        <f t="shared" si="47"/>
        <v>13.163869645885562</v>
      </c>
      <c r="E138" s="4">
        <f t="shared" si="47"/>
        <v>-4.4398801724970847</v>
      </c>
      <c r="F138" s="4">
        <f t="shared" si="48"/>
        <v>-286.63223470167827</v>
      </c>
      <c r="G138" s="4">
        <f t="shared" si="49"/>
        <v>-286.63223470167827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13.163869645885562</v>
      </c>
      <c r="C139" s="4">
        <f>E138</f>
        <v>-4.4398801724970847</v>
      </c>
      <c r="D139" s="4">
        <f t="shared" si="47"/>
        <v>13.163869645885562</v>
      </c>
      <c r="E139" s="4">
        <f t="shared" si="47"/>
        <v>-4.4398801724970847</v>
      </c>
      <c r="F139" s="4">
        <f t="shared" si="48"/>
        <v>-286.63223470167827</v>
      </c>
      <c r="G139" s="4">
        <f t="shared" si="49"/>
        <v>-286.63223470167827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1356.6946710003976</v>
      </c>
      <c r="Q140" s="4">
        <f>SUM(Q132:Q139)</f>
        <v>9994.1086797172029</v>
      </c>
      <c r="R140" s="4">
        <f>SUM(R132:R139)</f>
        <v>-8009.1644698352784</v>
      </c>
    </row>
    <row r="142" spans="1:18" x14ac:dyDescent="0.25">
      <c r="O142" t="s">
        <v>96</v>
      </c>
      <c r="P142" s="1">
        <f>-1*R140/P140</f>
        <v>5.9034391753964002</v>
      </c>
    </row>
    <row r="143" spans="1:18" x14ac:dyDescent="0.25">
      <c r="O143" t="s">
        <v>97</v>
      </c>
      <c r="P143" s="1">
        <f>Q140/P140</f>
        <v>7.3665128148161445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13.163869645885562</v>
      </c>
      <c r="C146" s="9">
        <f>J84</f>
        <v>-4.4398801724970847</v>
      </c>
      <c r="D146" s="9">
        <f t="shared" ref="D146:E153" si="61">I85</f>
        <v>13.163869645885562</v>
      </c>
      <c r="E146">
        <f t="shared" si="61"/>
        <v>-4.4398801724970847</v>
      </c>
      <c r="F146" s="4">
        <f>($B$66/$B$65)*(C146-$B$125)</f>
        <v>-286.63223470167827</v>
      </c>
      <c r="G146" s="4">
        <f>($B$66/$B$65)*(E146-$B$125)</f>
        <v>-286.63223470167827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13.163869645885562</v>
      </c>
      <c r="C147">
        <f t="shared" si="62"/>
        <v>-4.4398801724970847</v>
      </c>
      <c r="D147" s="9">
        <f t="shared" si="61"/>
        <v>13.163869645885562</v>
      </c>
      <c r="E147">
        <f t="shared" si="61"/>
        <v>-4.4398801724970847</v>
      </c>
      <c r="F147" s="4">
        <f t="shared" ref="F147:F153" si="63">($B$66/$B$65)*(C147-$B$125)</f>
        <v>-286.63223470167827</v>
      </c>
      <c r="G147" s="4">
        <f t="shared" ref="G147:G153" si="64">($B$66/$B$65)*(E147-$B$125)</f>
        <v>-286.63223470167827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13.163869645885562</v>
      </c>
      <c r="C148">
        <f t="shared" si="62"/>
        <v>-4.4398801724970847</v>
      </c>
      <c r="D148" s="9">
        <f t="shared" si="61"/>
        <v>13.163869645885562</v>
      </c>
      <c r="E148">
        <f t="shared" si="61"/>
        <v>-4.4398801724970847</v>
      </c>
      <c r="F148" s="4">
        <f t="shared" si="63"/>
        <v>-286.63223470167827</v>
      </c>
      <c r="G148" s="4">
        <f t="shared" si="64"/>
        <v>-286.63223470167827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13.163869645885562</v>
      </c>
      <c r="C149">
        <f t="shared" si="62"/>
        <v>-4.4398801724970847</v>
      </c>
      <c r="D149" s="9">
        <f t="shared" si="61"/>
        <v>13.163869645885562</v>
      </c>
      <c r="E149">
        <f t="shared" si="61"/>
        <v>-4.4398801724970847</v>
      </c>
      <c r="F149" s="4">
        <f t="shared" si="63"/>
        <v>-286.63223470167827</v>
      </c>
      <c r="G149" s="4">
        <f t="shared" si="64"/>
        <v>-286.63223470167827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13.163869645885562</v>
      </c>
      <c r="C150">
        <f t="shared" si="62"/>
        <v>-4.4398801724970847</v>
      </c>
      <c r="D150" s="9">
        <f t="shared" si="61"/>
        <v>13.163869645885562</v>
      </c>
      <c r="E150">
        <f t="shared" si="61"/>
        <v>-4.4398801724970847</v>
      </c>
      <c r="F150" s="4">
        <f t="shared" si="63"/>
        <v>-286.63223470167827</v>
      </c>
      <c r="G150" s="4">
        <f t="shared" si="64"/>
        <v>-286.63223470167827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13.163869645885562</v>
      </c>
      <c r="C151">
        <f t="shared" si="62"/>
        <v>-4.4398801724970847</v>
      </c>
      <c r="D151" s="9">
        <f t="shared" si="61"/>
        <v>13.163869645885562</v>
      </c>
      <c r="E151">
        <f t="shared" si="61"/>
        <v>-4.4398801724970847</v>
      </c>
      <c r="F151" s="4">
        <f t="shared" si="63"/>
        <v>-286.63223470167827</v>
      </c>
      <c r="G151" s="4">
        <f t="shared" si="64"/>
        <v>-286.63223470167827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13.163869645885562</v>
      </c>
      <c r="C152">
        <f t="shared" si="62"/>
        <v>-4.4398801724970847</v>
      </c>
      <c r="D152" s="9">
        <f t="shared" si="61"/>
        <v>13.163869645885562</v>
      </c>
      <c r="E152">
        <f t="shared" si="61"/>
        <v>-4.4398801724970847</v>
      </c>
      <c r="F152" s="4">
        <f t="shared" si="63"/>
        <v>-286.63223470167827</v>
      </c>
      <c r="G152" s="4">
        <f t="shared" si="64"/>
        <v>-286.63223470167827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13.163869645885562</v>
      </c>
      <c r="C153">
        <f t="shared" si="62"/>
        <v>-4.4398801724970847</v>
      </c>
      <c r="D153" s="9">
        <f t="shared" si="61"/>
        <v>13.163869645885562</v>
      </c>
      <c r="E153">
        <f t="shared" si="61"/>
        <v>-4.4398801724970847</v>
      </c>
      <c r="F153" s="4">
        <f t="shared" si="63"/>
        <v>-286.63223470167827</v>
      </c>
      <c r="G153" s="4">
        <f t="shared" si="64"/>
        <v>-286.63223470167827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-2.0094132984427304E-5</v>
      </c>
      <c r="C159" t="s">
        <v>36</v>
      </c>
    </row>
    <row r="160" spans="1:18" x14ac:dyDescent="0.25">
      <c r="A160" s="1" t="s">
        <v>106</v>
      </c>
      <c r="B160" s="4">
        <f>Q140+I122+Q154-O122</f>
        <v>14170.826325909518</v>
      </c>
      <c r="C160" t="s">
        <v>102</v>
      </c>
    </row>
    <row r="161" spans="1:9" x14ac:dyDescent="0.25">
      <c r="A161" s="1" t="s">
        <v>107</v>
      </c>
      <c r="B161" s="4">
        <f>R140+J122+R154-P122</f>
        <v>-9337.4345177695577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-2.0094132984427304E-5</v>
      </c>
      <c r="C164" t="s">
        <v>36</v>
      </c>
      <c r="E164" s="8">
        <f>B2-B164</f>
        <v>2.0094132984427304E-5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-12000.000032034215</v>
      </c>
      <c r="C165" t="s">
        <v>102</v>
      </c>
      <c r="E165" s="8">
        <f>B3+B165</f>
        <v>-3.2034215109888464E-5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-12000.000056829313</v>
      </c>
      <c r="C166" t="s">
        <v>102</v>
      </c>
      <c r="E166" s="8">
        <f>B4+B166</f>
        <v>-5.6829312597983517E-5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110.41592773474508</v>
      </c>
      <c r="B169" s="1">
        <f ca="1">IF(E122=0,0,(MIN(H110:H121)*B65)/(B55*B56*E122))</f>
        <v>-110.41592937247795</v>
      </c>
      <c r="C169" s="3">
        <f ca="1">A169+B169</f>
        <v>-1.6377328648786715E-6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6.6888338171635032E-8</v>
      </c>
      <c r="C175" s="27">
        <f>B65*SQRT(I175)</f>
        <v>5.6563616511904844E-8</v>
      </c>
      <c r="D175" s="27">
        <f>B66*SQRT(I175)</f>
        <v>1.637732872435361E-6</v>
      </c>
      <c r="E175" s="27">
        <f>B67*SQRT(I175)</f>
        <v>5.1163978613095376E-6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4.5096109064594554</v>
      </c>
      <c r="C176" s="3">
        <f>B65+C175</f>
        <v>3.813518303838598</v>
      </c>
      <c r="D176" s="3">
        <f>D175+B66</f>
        <v>110.41592937247796</v>
      </c>
      <c r="E176" s="3">
        <f>B67+E175</f>
        <v>344.9474785566095</v>
      </c>
      <c r="F176" s="16" t="s">
        <v>125</v>
      </c>
    </row>
    <row r="177" spans="1:13" x14ac:dyDescent="0.25">
      <c r="B177" s="27">
        <f>B176-B64</f>
        <v>6.6888338423609639E-8</v>
      </c>
      <c r="C177" s="27">
        <f>C176-B65</f>
        <v>5.6563616457339094E-8</v>
      </c>
      <c r="D177" s="27">
        <f>D176-B66</f>
        <v>1.6377328790895263E-6</v>
      </c>
      <c r="E177" s="27">
        <f>E176-B67</f>
        <v>5.1163978582735581E-6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-12.269481071258726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-13.163869656200685</v>
      </c>
      <c r="B181" s="25">
        <f>(d_alpha_p!E136-d_alpha_m!E136)/(2*B177)</f>
        <v>-13.163869656200685</v>
      </c>
      <c r="C181" s="25">
        <f>(d_alpha_p!E137-d_alpha_m!E137)/(2*B177)</f>
        <v>-13.163869656200685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-2.0094132984427304E-5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3.2034215109888464E-5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5.6829312597983517E-5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1.6377328648786715E-6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-12.269481071258726</v>
      </c>
      <c r="B190" s="25">
        <f>A181</f>
        <v>-13.163869656200685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-13.163869656200685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-13.163869656200685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-12.269481071258726</v>
      </c>
      <c r="B201" s="25">
        <f t="shared" ref="B201:C201" si="77">B190</f>
        <v>-13.163869656200685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-13.163869656200685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-13.163869656200685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8.9285714285714288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24.23469387755102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-8.9285714285714288</v>
      </c>
      <c r="AB14">
        <f>$B$4/Z14</f>
        <v>15.306122448979592</v>
      </c>
      <c r="AC14">
        <f>$I$2+AA14+AB14</f>
        <v>6.3775510204081627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8.9285714285714288</v>
      </c>
      <c r="AB15">
        <f t="shared" ref="AB15:AB21" si="11">$B$4/Z15</f>
        <v>15.306122448979592</v>
      </c>
      <c r="AC15">
        <f t="shared" ref="AC15:AC20" si="12">$I$2+AA15+AB15</f>
        <v>24.23469387755102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8.9285714285714288</v>
      </c>
      <c r="AB16">
        <f t="shared" si="11"/>
        <v>-15.306122448979592</v>
      </c>
      <c r="AC16">
        <f t="shared" si="12"/>
        <v>-6.3775510204081627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-8.9285714285714288</v>
      </c>
      <c r="AB17">
        <f t="shared" si="11"/>
        <v>-15.306122448979592</v>
      </c>
      <c r="AC17">
        <f t="shared" si="12"/>
        <v>-24.23469387755102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-8.9285714285714288</v>
      </c>
      <c r="AB18">
        <f t="shared" si="11"/>
        <v>-15.306122448979592</v>
      </c>
      <c r="AC18">
        <f t="shared" si="12"/>
        <v>-24.23469387755102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-8.9285714285714288</v>
      </c>
      <c r="AB19">
        <f t="shared" si="11"/>
        <v>-15.306122448979592</v>
      </c>
      <c r="AC19">
        <f t="shared" si="12"/>
        <v>-24.23469387755102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-8.9285714285714288</v>
      </c>
      <c r="AB20">
        <f t="shared" si="11"/>
        <v>-15.306122448979592</v>
      </c>
      <c r="AC20">
        <f t="shared" si="12"/>
        <v>-24.23469387755102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21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21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21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21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15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15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15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15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4.509610839571117</v>
      </c>
      <c r="C64" t="s">
        <v>19</v>
      </c>
      <c r="D64" t="s">
        <v>34</v>
      </c>
      <c r="H64" s="17">
        <f>DEGREES(B64)</f>
        <v>258.38166835387278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3.8135182472749816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110.41592773474508</v>
      </c>
      <c r="C66" t="s">
        <v>11</v>
      </c>
      <c r="D66">
        <f>B66/B53</f>
        <v>2.8566663937076159E-2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344.94746320741604</v>
      </c>
      <c r="C67" t="s">
        <v>36</v>
      </c>
      <c r="D67" t="s">
        <v>122</v>
      </c>
      <c r="G67" s="20">
        <f ca="1">($B$56*$B$66*$B$55*$E$122)/$B$65</f>
        <v>344.94746832381384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-14.163869645885562</v>
      </c>
      <c r="R76">
        <f>Q76</f>
        <v>-14.163869645885562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14.163869645885562</v>
      </c>
      <c r="R77">
        <f>Q77</f>
        <v>14.163869645885562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13.163869645885562</v>
      </c>
      <c r="C84" s="1">
        <f t="shared" ref="C84:C92" si="23">(-1*B73*SIN($B$64))+(C73*COS($B$64))</f>
        <v>-4.4398801724970847</v>
      </c>
      <c r="H84" s="1">
        <f t="shared" ref="H84:H92" si="24">H73</f>
        <v>1</v>
      </c>
      <c r="I84" s="4">
        <f>(I73*COS($B$64))+(J73*SIN($B$64))</f>
        <v>13.163869645885562</v>
      </c>
      <c r="J84" s="1">
        <f>(-1*I73*SIN($B$64))+(J73*COS($B$64))</f>
        <v>-4.4398801724970847</v>
      </c>
    </row>
    <row r="85" spans="1:10" x14ac:dyDescent="0.25">
      <c r="A85" s="1">
        <f t="shared" si="21"/>
        <v>2</v>
      </c>
      <c r="B85" s="4">
        <f t="shared" si="22"/>
        <v>10.344391115744241</v>
      </c>
      <c r="C85" s="1">
        <f t="shared" si="23"/>
        <v>9.2732719384536324</v>
      </c>
      <c r="H85" s="1">
        <f t="shared" si="24"/>
        <v>2</v>
      </c>
      <c r="I85" s="4">
        <f t="shared" ref="I85:I92" si="25">(I74*COS($B$64))+(J74*SIN($B$64))</f>
        <v>13.163869645885562</v>
      </c>
      <c r="J85" s="1">
        <f t="shared" ref="J85:J92" si="26">(-1*I74*SIN($B$64))+(J74*COS($B$64))</f>
        <v>-4.4398801724970847</v>
      </c>
    </row>
    <row r="86" spans="1:10" x14ac:dyDescent="0.25">
      <c r="A86" s="1">
        <f t="shared" si="21"/>
        <v>3</v>
      </c>
      <c r="B86" s="4">
        <f t="shared" si="22"/>
        <v>-13.163869645885562</v>
      </c>
      <c r="C86" s="1">
        <f t="shared" si="23"/>
        <v>4.4398801724970847</v>
      </c>
      <c r="H86" s="1">
        <f t="shared" si="24"/>
        <v>3</v>
      </c>
      <c r="I86" s="4">
        <f t="shared" si="25"/>
        <v>13.163869645885562</v>
      </c>
      <c r="J86" s="1">
        <f t="shared" si="26"/>
        <v>-4.4398801724970847</v>
      </c>
    </row>
    <row r="87" spans="1:10" x14ac:dyDescent="0.25">
      <c r="A87" s="1">
        <f t="shared" si="21"/>
        <v>4</v>
      </c>
      <c r="B87" s="4">
        <f t="shared" si="22"/>
        <v>-10.344391115744241</v>
      </c>
      <c r="C87" s="1">
        <f t="shared" si="23"/>
        <v>-9.2732719384536324</v>
      </c>
      <c r="H87" s="1">
        <f t="shared" si="24"/>
        <v>4</v>
      </c>
      <c r="I87" s="4">
        <f t="shared" si="25"/>
        <v>13.163869645885562</v>
      </c>
      <c r="J87" s="1">
        <f t="shared" si="26"/>
        <v>-4.4398801724970847</v>
      </c>
    </row>
    <row r="88" spans="1:10" x14ac:dyDescent="0.25">
      <c r="A88" s="1">
        <f t="shared" si="21"/>
        <v>5</v>
      </c>
      <c r="B88" s="4">
        <f t="shared" si="22"/>
        <v>13.163869645885562</v>
      </c>
      <c r="C88" s="1">
        <f t="shared" si="23"/>
        <v>-4.4398801724970847</v>
      </c>
      <c r="H88" s="1">
        <f t="shared" si="24"/>
        <v>5</v>
      </c>
      <c r="I88" s="4">
        <f t="shared" si="25"/>
        <v>13.163869645885562</v>
      </c>
      <c r="J88" s="1">
        <f t="shared" si="26"/>
        <v>-4.4398801724970847</v>
      </c>
    </row>
    <row r="89" spans="1:10" x14ac:dyDescent="0.25">
      <c r="A89" s="1">
        <f t="shared" si="21"/>
        <v>6</v>
      </c>
      <c r="B89" s="4">
        <f t="shared" si="22"/>
        <v>13.163869645885562</v>
      </c>
      <c r="C89" s="1">
        <f t="shared" si="23"/>
        <v>-4.4398801724970847</v>
      </c>
      <c r="H89" s="1">
        <f t="shared" si="24"/>
        <v>6</v>
      </c>
      <c r="I89" s="4">
        <f t="shared" si="25"/>
        <v>13.163869645885562</v>
      </c>
      <c r="J89" s="1">
        <f t="shared" si="26"/>
        <v>-4.4398801724970847</v>
      </c>
    </row>
    <row r="90" spans="1:10" x14ac:dyDescent="0.25">
      <c r="A90" s="1">
        <f t="shared" si="21"/>
        <v>7</v>
      </c>
      <c r="B90" s="4">
        <f t="shared" si="22"/>
        <v>13.163869645885562</v>
      </c>
      <c r="C90" s="1">
        <f t="shared" si="23"/>
        <v>-4.4398801724970847</v>
      </c>
      <c r="H90" s="1">
        <f t="shared" si="24"/>
        <v>7</v>
      </c>
      <c r="I90" s="4">
        <f t="shared" si="25"/>
        <v>13.163869645885562</v>
      </c>
      <c r="J90" s="1">
        <f t="shared" si="26"/>
        <v>-4.4398801724970847</v>
      </c>
    </row>
    <row r="91" spans="1:10" x14ac:dyDescent="0.25">
      <c r="A91" s="1">
        <f t="shared" si="21"/>
        <v>8</v>
      </c>
      <c r="B91" s="4">
        <f t="shared" si="22"/>
        <v>13.163869645885562</v>
      </c>
      <c r="C91" s="1">
        <f t="shared" si="23"/>
        <v>-4.4398801724970847</v>
      </c>
      <c r="H91" s="1">
        <f t="shared" si="24"/>
        <v>8</v>
      </c>
      <c r="I91" s="4">
        <f t="shared" si="25"/>
        <v>13.163869645885562</v>
      </c>
      <c r="J91" s="1">
        <f t="shared" si="26"/>
        <v>-4.4398801724970847</v>
      </c>
    </row>
    <row r="92" spans="1:10" x14ac:dyDescent="0.25">
      <c r="A92" s="1">
        <f t="shared" si="21"/>
        <v>9</v>
      </c>
      <c r="B92" s="4">
        <f t="shared" si="22"/>
        <v>13.163869645885562</v>
      </c>
      <c r="C92" s="1">
        <f t="shared" si="23"/>
        <v>-4.4398801724970847</v>
      </c>
      <c r="H92" s="1">
        <f t="shared" si="24"/>
        <v>9</v>
      </c>
      <c r="I92" s="4">
        <f t="shared" si="25"/>
        <v>13.163869645885562</v>
      </c>
      <c r="J92" s="1">
        <f t="shared" si="26"/>
        <v>-4.4398801724970847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9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9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3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3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9.6211630799372685</v>
      </c>
      <c r="C110" s="1">
        <f>(-1*B95*SIN($B$64))+(C95*COS($B$64))</f>
        <v>-2.1055215480379279</v>
      </c>
      <c r="D110" t="str">
        <f t="shared" ref="D110" si="31">D95</f>
        <v>y</v>
      </c>
      <c r="E110" s="4">
        <f t="shared" ref="E110:E121" si="32">IF($D110="y",$B$125-C110,0)</f>
        <v>7.5652752392165787</v>
      </c>
      <c r="F110" s="1">
        <f>IF($D110="y",B110,NA())</f>
        <v>9.6211630799372685</v>
      </c>
      <c r="G110" s="1">
        <f>IF($D110="y",C110,NA())</f>
        <v>-2.1055215480379279</v>
      </c>
      <c r="H110">
        <f t="shared" ref="H110:H121" si="33">IF($E$122=0,0,-1*MAX(($B$67/$E$122)*(E110),0))</f>
        <v>-233.20358314917578</v>
      </c>
      <c r="I110">
        <f>H110*C110</f>
        <v>491.01516940024425</v>
      </c>
      <c r="J110">
        <f>H110*B110*-1</f>
        <v>2243.6897043039312</v>
      </c>
      <c r="K110">
        <f ca="1">H110/$B$55</f>
        <v>-1643.4497190813993</v>
      </c>
      <c r="L110">
        <f ca="1">K110/$B$54</f>
        <v>-5.667067996832411E-2</v>
      </c>
      <c r="M110">
        <f t="shared" ref="M110:M121" si="34">IFERROR(($D$66/$B$65)*(G110-$B$125),0)</f>
        <v>-5.6670680808886154E-2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8.0100324912850844</v>
      </c>
      <c r="C111" s="1">
        <f t="shared" ref="C111:C121" si="37">(-1*B96*SIN($B$64))+(C96*COS($B$64))</f>
        <v>5.7305653725053389</v>
      </c>
      <c r="D111" t="str">
        <f t="shared" si="35"/>
        <v>y</v>
      </c>
      <c r="E111" s="4">
        <f t="shared" si="32"/>
        <v>-0.27081168132668765</v>
      </c>
      <c r="F111" s="1">
        <f t="shared" ref="F111:G121" si="38">IF($D111="y",B111,NA())</f>
        <v>8.0100324912850844</v>
      </c>
      <c r="G111" s="1">
        <f t="shared" si="38"/>
        <v>5.7305653725053389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2.0286218103773546E-3</v>
      </c>
      <c r="N111">
        <f t="shared" ref="N111:N121" si="42">IF(AND(M111&gt;0,D111="y",$E$60="y"),$B$53*M111*$E$59,0)</f>
        <v>1.9485350645141957</v>
      </c>
      <c r="O111">
        <f t="shared" ref="O111:O121" si="43">N111*C111</f>
        <v>11.166207567817507</v>
      </c>
      <c r="P111">
        <f t="shared" ref="P111:P121" si="44">N111*B111*-1</f>
        <v>-15.607829177166986</v>
      </c>
    </row>
    <row r="112" spans="1:16" x14ac:dyDescent="0.25">
      <c r="A112">
        <f t="shared" si="35"/>
        <v>3</v>
      </c>
      <c r="B112" s="1">
        <f t="shared" si="36"/>
        <v>3.7440978895298169</v>
      </c>
      <c r="C112" s="1">
        <f t="shared" si="37"/>
        <v>-3.3138694895270651</v>
      </c>
      <c r="D112" t="str">
        <f t="shared" si="35"/>
        <v>y</v>
      </c>
      <c r="E112" s="4">
        <f t="shared" si="32"/>
        <v>8.7736231807057159</v>
      </c>
      <c r="F112" s="1">
        <f t="shared" si="38"/>
        <v>3.7440978895298169</v>
      </c>
      <c r="G112" s="1">
        <f t="shared" si="38"/>
        <v>-3.3138694895270651</v>
      </c>
      <c r="H112">
        <f t="shared" si="33"/>
        <v>-270.45154316858918</v>
      </c>
      <c r="I112">
        <f t="shared" si="39"/>
        <v>896.24111730189964</v>
      </c>
      <c r="J112">
        <f t="shared" si="40"/>
        <v>1012.597051997597</v>
      </c>
      <c r="K112">
        <f t="shared" ref="K112:K121" ca="1" si="45">H112/$B$55</f>
        <v>-1905.9463265674942</v>
      </c>
      <c r="L112">
        <f t="shared" ca="1" si="41"/>
        <v>-6.5722287123017045E-2</v>
      </c>
      <c r="M112">
        <f t="shared" si="34"/>
        <v>-6.5722288097836118E-2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2.1329673008776338</v>
      </c>
      <c r="C113" s="1">
        <f t="shared" si="37"/>
        <v>4.5222174310162018</v>
      </c>
      <c r="D113" t="str">
        <f t="shared" si="35"/>
        <v>y</v>
      </c>
      <c r="E113" s="4">
        <f t="shared" si="32"/>
        <v>0.93753626016244951</v>
      </c>
      <c r="F113" s="1">
        <f t="shared" si="38"/>
        <v>2.1329673008776338</v>
      </c>
      <c r="G113" s="1">
        <f t="shared" si="38"/>
        <v>4.5222174310162018</v>
      </c>
      <c r="H113">
        <f t="shared" si="33"/>
        <v>-28.900047690109158</v>
      </c>
      <c r="I113">
        <f t="shared" si="39"/>
        <v>-130.69229942141115</v>
      </c>
      <c r="J113">
        <f t="shared" si="40"/>
        <v>61.642856716807024</v>
      </c>
      <c r="K113">
        <f t="shared" ca="1" si="45"/>
        <v>-203.66657585774234</v>
      </c>
      <c r="L113">
        <f t="shared" ca="1" si="41"/>
        <v>-7.0229853744049088E-3</v>
      </c>
      <c r="M113">
        <f t="shared" si="34"/>
        <v>-7.022985478572618E-3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-8.0100324912850844</v>
      </c>
      <c r="C114" s="1">
        <f t="shared" si="37"/>
        <v>-5.7305653725053389</v>
      </c>
      <c r="D114" t="str">
        <f t="shared" si="35"/>
        <v>y</v>
      </c>
      <c r="E114" s="4">
        <f t="shared" si="32"/>
        <v>11.19031906368399</v>
      </c>
      <c r="F114" s="1">
        <f t="shared" si="38"/>
        <v>-8.0100324912850844</v>
      </c>
      <c r="G114" s="1">
        <f t="shared" si="38"/>
        <v>-5.7305653725053389</v>
      </c>
      <c r="H114">
        <f t="shared" si="33"/>
        <v>-344.94746320741604</v>
      </c>
      <c r="I114">
        <f t="shared" si="39"/>
        <v>1976.7439879899778</v>
      </c>
      <c r="J114">
        <f t="shared" si="40"/>
        <v>-2763.0403880777685</v>
      </c>
      <c r="K114">
        <f t="shared" ca="1" si="45"/>
        <v>-2430.9395415396848</v>
      </c>
      <c r="L114">
        <f t="shared" ca="1" si="41"/>
        <v>-8.382550143240293E-2</v>
      </c>
      <c r="M114">
        <f t="shared" si="34"/>
        <v>-8.3825502675736074E-2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-9.6211630799372685</v>
      </c>
      <c r="C115" s="1">
        <f t="shared" si="37"/>
        <v>2.1055215480379279</v>
      </c>
      <c r="D115" t="str">
        <f t="shared" si="35"/>
        <v>y</v>
      </c>
      <c r="E115" s="4">
        <f t="shared" si="32"/>
        <v>3.3542321431407234</v>
      </c>
      <c r="F115" s="1">
        <f t="shared" si="38"/>
        <v>-9.6211630799372685</v>
      </c>
      <c r="G115" s="1">
        <f t="shared" si="38"/>
        <v>2.1055215480379279</v>
      </c>
      <c r="H115">
        <f t="shared" si="33"/>
        <v>-103.39596772893597</v>
      </c>
      <c r="I115">
        <f t="shared" si="39"/>
        <v>-217.70243803350891</v>
      </c>
      <c r="J115">
        <f t="shared" si="40"/>
        <v>-994.78946732802399</v>
      </c>
      <c r="K115">
        <f t="shared" ca="1" si="45"/>
        <v>-728.65979082993272</v>
      </c>
      <c r="L115">
        <f t="shared" ca="1" si="41"/>
        <v>-2.5126199683790783E-2</v>
      </c>
      <c r="M115">
        <f t="shared" si="34"/>
        <v>-2.5126200056472561E-2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-2.1329673008776338</v>
      </c>
      <c r="C116" s="1">
        <f t="shared" si="37"/>
        <v>-4.5222174310162018</v>
      </c>
      <c r="D116" t="str">
        <f t="shared" si="35"/>
        <v>y</v>
      </c>
      <c r="E116" s="4">
        <f t="shared" si="32"/>
        <v>9.9819711221948531</v>
      </c>
      <c r="F116" s="1">
        <f t="shared" si="38"/>
        <v>-2.1329673008776338</v>
      </c>
      <c r="G116" s="1">
        <f t="shared" si="38"/>
        <v>-4.5222174310162018</v>
      </c>
      <c r="H116">
        <f t="shared" si="33"/>
        <v>-307.69950318800261</v>
      </c>
      <c r="I116">
        <f t="shared" si="39"/>
        <v>1391.4840568318107</v>
      </c>
      <c r="J116">
        <f t="shared" si="40"/>
        <v>-656.31297879630279</v>
      </c>
      <c r="K116">
        <f t="shared" ca="1" si="45"/>
        <v>-2168.4429340535899</v>
      </c>
      <c r="L116">
        <f t="shared" ca="1" si="41"/>
        <v>-7.4773894277710001E-2</v>
      </c>
      <c r="M116">
        <f t="shared" si="34"/>
        <v>-7.4773895386786096E-2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-3.7440978895298169</v>
      </c>
      <c r="C117" s="1">
        <f t="shared" si="37"/>
        <v>3.3138694895270651</v>
      </c>
      <c r="D117" t="str">
        <f t="shared" si="35"/>
        <v>y</v>
      </c>
      <c r="E117" s="4">
        <f t="shared" si="32"/>
        <v>2.1458842016515862</v>
      </c>
      <c r="F117" s="1">
        <f t="shared" si="38"/>
        <v>-3.7440978895298169</v>
      </c>
      <c r="G117" s="1">
        <f t="shared" si="38"/>
        <v>3.3138694895270651</v>
      </c>
      <c r="H117">
        <f t="shared" si="33"/>
        <v>-66.14800770952256</v>
      </c>
      <c r="I117">
        <f t="shared" si="39"/>
        <v>-219.20586454158789</v>
      </c>
      <c r="J117">
        <f t="shared" si="40"/>
        <v>-247.66461606182548</v>
      </c>
      <c r="K117">
        <f t="shared" ca="1" si="45"/>
        <v>-466.16318334383749</v>
      </c>
      <c r="L117">
        <f t="shared" ca="1" si="41"/>
        <v>-1.6074592529097844E-2</v>
      </c>
      <c r="M117">
        <f t="shared" si="34"/>
        <v>-1.6074592767522586E-2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13.163869645885562</v>
      </c>
      <c r="C118" s="1">
        <f t="shared" si="37"/>
        <v>-4.4398801724970847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13.163869645885562</v>
      </c>
      <c r="C119" s="1">
        <f t="shared" si="37"/>
        <v>-4.4398801724970847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13.163869645885562</v>
      </c>
      <c r="C120" s="1">
        <f t="shared" si="37"/>
        <v>-4.4398801724970847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13.163869645885562</v>
      </c>
      <c r="C121" s="1">
        <f t="shared" si="37"/>
        <v>-4.4398801724970847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11.19031906368399</v>
      </c>
      <c r="H122">
        <f>SUM(H110:H121)</f>
        <v>-1354.7461158417514</v>
      </c>
      <c r="I122">
        <f t="shared" ref="I122:J122" si="46">SUM(I110:I121)</f>
        <v>4187.8837295274243</v>
      </c>
      <c r="J122">
        <f t="shared" si="46"/>
        <v>-1343.8778372455861</v>
      </c>
      <c r="L122">
        <f ca="1">MIN(L110:L121)</f>
        <v>-8.382550143240293E-2</v>
      </c>
      <c r="M122">
        <f>MIN(M110:M121)</f>
        <v>-8.3825502675736074E-2</v>
      </c>
      <c r="N122">
        <f>SUM(N110:N121)</f>
        <v>1.9485350645141957</v>
      </c>
      <c r="O122">
        <f>SUM(O110:O121)</f>
        <v>11.166207567817507</v>
      </c>
      <c r="P122">
        <f>SUM(P110:P121)</f>
        <v>-15.607829177166986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5.4597536911786513</v>
      </c>
      <c r="F125" s="1" t="s">
        <v>27</v>
      </c>
      <c r="G125" s="1" t="s">
        <v>28</v>
      </c>
    </row>
    <row r="126" spans="1:16" x14ac:dyDescent="0.25">
      <c r="F126" s="4">
        <f>MIN(B84:B90)-1</f>
        <v>-14.163869645885562</v>
      </c>
      <c r="G126" s="4">
        <f>B125</f>
        <v>5.4597536911786513</v>
      </c>
    </row>
    <row r="127" spans="1:16" x14ac:dyDescent="0.25">
      <c r="F127" s="4">
        <f>MAX(B84:B90)+1</f>
        <v>14.163869645885562</v>
      </c>
      <c r="G127" s="4">
        <f>G126</f>
        <v>5.4597536911786513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13.163869645885562</v>
      </c>
      <c r="C132" s="4">
        <f>C84</f>
        <v>-4.4398801724970847</v>
      </c>
      <c r="D132" s="4">
        <f t="shared" ref="D132:E139" si="47">B85</f>
        <v>10.344391115744241</v>
      </c>
      <c r="E132" s="4">
        <f t="shared" si="47"/>
        <v>9.2732719384536324</v>
      </c>
      <c r="F132" s="4">
        <f t="shared" ref="F132:F139" si="48">($B$66/$B$65)*(C132-$B$125)</f>
        <v>-286.63223470167827</v>
      </c>
      <c r="G132" s="4">
        <f t="shared" ref="G132:G139" si="49">($B$66/$B$65)*(E132-$B$125)</f>
        <v>110.41592773474507</v>
      </c>
      <c r="H132" s="4">
        <f>IF(B132=D132,"V",(C132-E132)/(B132-D132))</f>
        <v>-4.8637192886385874</v>
      </c>
      <c r="I132" s="4">
        <f>IF(H132="V",0,(-1*B132*H132)+C132)</f>
        <v>59.585486537320534</v>
      </c>
      <c r="J132" s="4">
        <f>IF($F132&gt;=0,B132,IF(AND($F132&lt;0,$G132&gt;=0),IF(H132="V",B132,($B$125-I132)/H132),0))</f>
        <v>11.128465611199433</v>
      </c>
      <c r="K132" s="4">
        <f>IF($F132&gt;=0,C132,IF(AND($F132&lt;0,$G132&gt;=0),$B$125,0))</f>
        <v>5.4597536911786513</v>
      </c>
      <c r="L132" s="4">
        <f>IF($G132&gt;=0,D132,IF(AND($G132&lt;0,$F132&gt;=0),IF(H132="V",D132,($B$125-I132)/H132),0))</f>
        <v>10.344391115744241</v>
      </c>
      <c r="M132" s="4">
        <f>IF($G132&gt;=0,E132,IF(AND($G132&lt;0,$F132&gt;=0),$B$125,0))</f>
        <v>9.2732719384536324</v>
      </c>
      <c r="N132" s="4">
        <f>IF(F132&lt;0,0,F132)</f>
        <v>0</v>
      </c>
      <c r="O132" s="4">
        <f>IF(G132&lt;0,0,G132)</f>
        <v>110.41592773474507</v>
      </c>
      <c r="P132" s="4">
        <f>(1/6)*(M132-K132)*((N132*((2*J132)+L132))+(O132*(J132+(2*L132))))</f>
        <v>2232.89815651662</v>
      </c>
      <c r="Q132" s="4">
        <f>((1/12)*(M132-K132)*(N132*J132*((3*K132)+M132)+N132*L132*(K132+M132)+O132*J132*(K132+M132)+O132*L132*(K132+(3*M132))))</f>
        <v>17832.899099615617</v>
      </c>
      <c r="R132" s="4">
        <f>((-1/24)*(M132-K132)*(J132*J132*((3*N132)+O132)+2*J132*L132*(N132+O132)+L132*L132*(N132+(3*O132))))</f>
        <v>-11844.374346793711</v>
      </c>
    </row>
    <row r="133" spans="1:18" x14ac:dyDescent="0.25">
      <c r="A133" t="s">
        <v>70</v>
      </c>
      <c r="B133" s="4">
        <f t="shared" ref="B133:C138" si="50">D132</f>
        <v>10.344391115744241</v>
      </c>
      <c r="C133" s="4">
        <f t="shared" si="50"/>
        <v>9.2732719384536324</v>
      </c>
      <c r="D133" s="4">
        <f t="shared" si="47"/>
        <v>-13.163869645885562</v>
      </c>
      <c r="E133" s="4">
        <f t="shared" si="47"/>
        <v>4.4398801724970847</v>
      </c>
      <c r="F133" s="4">
        <f t="shared" si="48"/>
        <v>110.41592773474507</v>
      </c>
      <c r="G133" s="4">
        <f t="shared" si="49"/>
        <v>-29.529236110982755</v>
      </c>
      <c r="H133" s="4">
        <f t="shared" ref="H133:H139" si="51">IF(B133=D133,"V",(C133-E133)/(B133-D133))</f>
        <v>0.20560397108771283</v>
      </c>
      <c r="I133" s="4">
        <f t="shared" ref="I133:I139" si="52">IF(H133="V",0,(-1*B133*H133)+C133)</f>
        <v>7.14642404657216</v>
      </c>
      <c r="J133" s="4">
        <f t="shared" ref="J133:J139" si="53">IF($F133&gt;=0,B133,IF(AND($F133&lt;0,$G133&gt;=0),IF(H133="V",B133,($B$125-I133)/H133),0))</f>
        <v>10.344391115744241</v>
      </c>
      <c r="K133" s="4">
        <f t="shared" ref="K133:K139" si="54">IF($F133&gt;=0,C133,IF(AND($F133&lt;0,$G133&gt;=0),$B$125,0))</f>
        <v>9.2732719384536324</v>
      </c>
      <c r="L133" s="4">
        <f t="shared" ref="L133:L139" si="55">IF($G133&gt;=0,D133,IF(AND($G133&lt;0,$F133&gt;=0),IF(H133="V",D133,($B$125-I133)/H133),0))</f>
        <v>-8.2034911411023153</v>
      </c>
      <c r="M133" s="4">
        <f t="shared" ref="M133:M139" si="56">IF($G133&gt;=0,E133,IF(AND($G133&lt;0,$F133&gt;=0),$B$125,0))</f>
        <v>5.4597536911786513</v>
      </c>
      <c r="N133" s="4">
        <f t="shared" ref="N133:O139" si="57">IF(F133&lt;0,0,F133)</f>
        <v>110.41592773474507</v>
      </c>
      <c r="O133" s="4">
        <f t="shared" si="57"/>
        <v>0</v>
      </c>
      <c r="P133" s="4">
        <f t="shared" ref="P133:P139" si="58">(1/6)*(M133-K133)*((N133*((2*J133)+L133))+(O133*(J133+(2*L133))))</f>
        <v>-876.20348551622226</v>
      </c>
      <c r="Q133" s="4">
        <f t="shared" ref="Q133:Q139" si="59">((1/12)*(M133-K133)*(N133*J133*((3*K133)+M133)+N133*L133*(K133+M133)+O133*J133*(K133+M133)+O133*L133*(K133+(3*M133))))</f>
        <v>-7838.7904198984143</v>
      </c>
      <c r="R133" s="4">
        <f t="shared" ref="R133:R139" si="60">((-1/24)*(M133-K133)*(J133*J133*((3*N133)+O133)+2*J133*L133*(N133+O133)+L133*L133*(N133+(3*O133))))</f>
        <v>3835.2098769584327</v>
      </c>
    </row>
    <row r="134" spans="1:18" x14ac:dyDescent="0.25">
      <c r="A134" t="s">
        <v>71</v>
      </c>
      <c r="B134" s="4">
        <f t="shared" si="50"/>
        <v>-13.163869645885562</v>
      </c>
      <c r="C134" s="4">
        <f t="shared" si="50"/>
        <v>4.4398801724970847</v>
      </c>
      <c r="D134" s="4">
        <f t="shared" si="47"/>
        <v>-10.344391115744241</v>
      </c>
      <c r="E134" s="4">
        <f t="shared" si="47"/>
        <v>-9.2732719384536324</v>
      </c>
      <c r="F134" s="4">
        <f t="shared" si="48"/>
        <v>-29.529236110982755</v>
      </c>
      <c r="G134" s="4">
        <f t="shared" si="49"/>
        <v>-426.57739854740606</v>
      </c>
      <c r="H134" s="4">
        <f t="shared" si="51"/>
        <v>-4.8637192886385874</v>
      </c>
      <c r="I134" s="4">
        <f t="shared" si="52"/>
        <v>-59.585486537320534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-10.344391115744241</v>
      </c>
      <c r="C135" s="4">
        <f t="shared" si="50"/>
        <v>-9.2732719384536324</v>
      </c>
      <c r="D135" s="4">
        <f t="shared" si="47"/>
        <v>13.163869645885562</v>
      </c>
      <c r="E135" s="4">
        <f t="shared" si="47"/>
        <v>-4.4398801724970847</v>
      </c>
      <c r="F135" s="4">
        <f t="shared" si="48"/>
        <v>-426.57739854740606</v>
      </c>
      <c r="G135" s="4">
        <f t="shared" si="49"/>
        <v>-286.63223470167827</v>
      </c>
      <c r="H135" s="4">
        <f t="shared" si="51"/>
        <v>0.20560397108771283</v>
      </c>
      <c r="I135" s="4">
        <f t="shared" si="52"/>
        <v>-7.14642404657216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13.163869645885562</v>
      </c>
      <c r="C136" s="4">
        <f t="shared" si="50"/>
        <v>-4.4398801724970847</v>
      </c>
      <c r="D136" s="4">
        <f t="shared" si="47"/>
        <v>13.163869645885562</v>
      </c>
      <c r="E136" s="4">
        <f t="shared" si="47"/>
        <v>-4.4398801724970847</v>
      </c>
      <c r="F136" s="4">
        <f t="shared" si="48"/>
        <v>-286.63223470167827</v>
      </c>
      <c r="G136" s="4">
        <f t="shared" si="49"/>
        <v>-286.63223470167827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13.163869645885562</v>
      </c>
      <c r="C137" s="4">
        <f t="shared" si="50"/>
        <v>-4.4398801724970847</v>
      </c>
      <c r="D137" s="4">
        <f t="shared" si="47"/>
        <v>13.163869645885562</v>
      </c>
      <c r="E137" s="4">
        <f t="shared" si="47"/>
        <v>-4.4398801724970847</v>
      </c>
      <c r="F137" s="4">
        <f t="shared" si="48"/>
        <v>-286.63223470167827</v>
      </c>
      <c r="G137" s="4">
        <f t="shared" si="49"/>
        <v>-286.63223470167827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13.163869645885562</v>
      </c>
      <c r="C138" s="4">
        <f t="shared" si="50"/>
        <v>-4.4398801724970847</v>
      </c>
      <c r="D138" s="4">
        <f t="shared" si="47"/>
        <v>13.163869645885562</v>
      </c>
      <c r="E138" s="4">
        <f t="shared" si="47"/>
        <v>-4.4398801724970847</v>
      </c>
      <c r="F138" s="4">
        <f t="shared" si="48"/>
        <v>-286.63223470167827</v>
      </c>
      <c r="G138" s="4">
        <f t="shared" si="49"/>
        <v>-286.63223470167827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13.163869645885562</v>
      </c>
      <c r="C139" s="4">
        <f>E138</f>
        <v>-4.4398801724970847</v>
      </c>
      <c r="D139" s="4">
        <f t="shared" si="47"/>
        <v>13.163869645885562</v>
      </c>
      <c r="E139" s="4">
        <f t="shared" si="47"/>
        <v>-4.4398801724970847</v>
      </c>
      <c r="F139" s="4">
        <f t="shared" si="48"/>
        <v>-286.63223470167827</v>
      </c>
      <c r="G139" s="4">
        <f t="shared" si="49"/>
        <v>-286.63223470167827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1356.6946710003976</v>
      </c>
      <c r="Q140" s="4">
        <f>SUM(Q132:Q139)</f>
        <v>9994.1086797172029</v>
      </c>
      <c r="R140" s="4">
        <f>SUM(R132:R139)</f>
        <v>-8009.1644698352784</v>
      </c>
    </row>
    <row r="142" spans="1:18" x14ac:dyDescent="0.25">
      <c r="O142" t="s">
        <v>96</v>
      </c>
      <c r="P142" s="1">
        <f>-1*R140/P140</f>
        <v>5.9034391753964002</v>
      </c>
    </row>
    <row r="143" spans="1:18" x14ac:dyDescent="0.25">
      <c r="O143" t="s">
        <v>97</v>
      </c>
      <c r="P143" s="1">
        <f>Q140/P140</f>
        <v>7.3665128148161445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13.163869645885562</v>
      </c>
      <c r="C146" s="9">
        <f>J84</f>
        <v>-4.4398801724970847</v>
      </c>
      <c r="D146" s="9">
        <f t="shared" ref="D146:E153" si="61">I85</f>
        <v>13.163869645885562</v>
      </c>
      <c r="E146">
        <f t="shared" si="61"/>
        <v>-4.4398801724970847</v>
      </c>
      <c r="F146" s="4">
        <f>($B$66/$B$65)*(C146-$B$125)</f>
        <v>-286.63223470167827</v>
      </c>
      <c r="G146" s="4">
        <f>($B$66/$B$65)*(E146-$B$125)</f>
        <v>-286.63223470167827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13.163869645885562</v>
      </c>
      <c r="C147">
        <f t="shared" si="62"/>
        <v>-4.4398801724970847</v>
      </c>
      <c r="D147" s="9">
        <f t="shared" si="61"/>
        <v>13.163869645885562</v>
      </c>
      <c r="E147">
        <f t="shared" si="61"/>
        <v>-4.4398801724970847</v>
      </c>
      <c r="F147" s="4">
        <f t="shared" ref="F147:F153" si="63">($B$66/$B$65)*(C147-$B$125)</f>
        <v>-286.63223470167827</v>
      </c>
      <c r="G147" s="4">
        <f t="shared" ref="G147:G153" si="64">($B$66/$B$65)*(E147-$B$125)</f>
        <v>-286.63223470167827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13.163869645885562</v>
      </c>
      <c r="C148">
        <f t="shared" si="62"/>
        <v>-4.4398801724970847</v>
      </c>
      <c r="D148" s="9">
        <f t="shared" si="61"/>
        <v>13.163869645885562</v>
      </c>
      <c r="E148">
        <f t="shared" si="61"/>
        <v>-4.4398801724970847</v>
      </c>
      <c r="F148" s="4">
        <f t="shared" si="63"/>
        <v>-286.63223470167827</v>
      </c>
      <c r="G148" s="4">
        <f t="shared" si="64"/>
        <v>-286.63223470167827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13.163869645885562</v>
      </c>
      <c r="C149">
        <f t="shared" si="62"/>
        <v>-4.4398801724970847</v>
      </c>
      <c r="D149" s="9">
        <f t="shared" si="61"/>
        <v>13.163869645885562</v>
      </c>
      <c r="E149">
        <f t="shared" si="61"/>
        <v>-4.4398801724970847</v>
      </c>
      <c r="F149" s="4">
        <f t="shared" si="63"/>
        <v>-286.63223470167827</v>
      </c>
      <c r="G149" s="4">
        <f t="shared" si="64"/>
        <v>-286.63223470167827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13.163869645885562</v>
      </c>
      <c r="C150">
        <f t="shared" si="62"/>
        <v>-4.4398801724970847</v>
      </c>
      <c r="D150" s="9">
        <f t="shared" si="61"/>
        <v>13.163869645885562</v>
      </c>
      <c r="E150">
        <f t="shared" si="61"/>
        <v>-4.4398801724970847</v>
      </c>
      <c r="F150" s="4">
        <f t="shared" si="63"/>
        <v>-286.63223470167827</v>
      </c>
      <c r="G150" s="4">
        <f t="shared" si="64"/>
        <v>-286.63223470167827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13.163869645885562</v>
      </c>
      <c r="C151">
        <f t="shared" si="62"/>
        <v>-4.4398801724970847</v>
      </c>
      <c r="D151" s="9">
        <f t="shared" si="61"/>
        <v>13.163869645885562</v>
      </c>
      <c r="E151">
        <f t="shared" si="61"/>
        <v>-4.4398801724970847</v>
      </c>
      <c r="F151" s="4">
        <f t="shared" si="63"/>
        <v>-286.63223470167827</v>
      </c>
      <c r="G151" s="4">
        <f t="shared" si="64"/>
        <v>-286.63223470167827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13.163869645885562</v>
      </c>
      <c r="C152">
        <f t="shared" si="62"/>
        <v>-4.4398801724970847</v>
      </c>
      <c r="D152" s="9">
        <f t="shared" si="61"/>
        <v>13.163869645885562</v>
      </c>
      <c r="E152">
        <f t="shared" si="61"/>
        <v>-4.4398801724970847</v>
      </c>
      <c r="F152" s="4">
        <f t="shared" si="63"/>
        <v>-286.63223470167827</v>
      </c>
      <c r="G152" s="4">
        <f t="shared" si="64"/>
        <v>-286.63223470167827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13.163869645885562</v>
      </c>
      <c r="C153">
        <f t="shared" si="62"/>
        <v>-4.4398801724970847</v>
      </c>
      <c r="D153" s="9">
        <f t="shared" si="61"/>
        <v>13.163869645885562</v>
      </c>
      <c r="E153">
        <f t="shared" si="61"/>
        <v>-4.4398801724970847</v>
      </c>
      <c r="F153" s="4">
        <f t="shared" si="63"/>
        <v>-286.63223470167827</v>
      </c>
      <c r="G153" s="4">
        <f t="shared" si="64"/>
        <v>-286.63223470167827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2.0094132090475725E-5</v>
      </c>
      <c r="C159" t="s">
        <v>36</v>
      </c>
    </row>
    <row r="160" spans="1:18" x14ac:dyDescent="0.25">
      <c r="A160" s="1" t="s">
        <v>106</v>
      </c>
      <c r="B160" s="4">
        <f>Q140+I122+Q154-O122</f>
        <v>14170.826201676809</v>
      </c>
      <c r="C160" t="s">
        <v>102</v>
      </c>
    </row>
    <row r="161" spans="1:9" x14ac:dyDescent="0.25">
      <c r="A161" s="1" t="s">
        <v>107</v>
      </c>
      <c r="B161" s="4">
        <f>R140+J122+R154-P122</f>
        <v>-9337.4344779036983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2.0094132090475725E-5</v>
      </c>
      <c r="C164" t="s">
        <v>36</v>
      </c>
      <c r="E164" s="8">
        <f>B2-B164</f>
        <v>-2.0094132090475725E-5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-11999.999967965783</v>
      </c>
      <c r="C165" t="s">
        <v>102</v>
      </c>
      <c r="E165" s="8">
        <f>B3+B165</f>
        <v>3.2034216928877868E-5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-11999.999943170664</v>
      </c>
      <c r="C166" t="s">
        <v>102</v>
      </c>
      <c r="E166" s="8">
        <f>B4+B166</f>
        <v>5.6829336244845763E-5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110.41592773474508</v>
      </c>
      <c r="B169" s="1">
        <f ca="1">IF(E122=0,0,(MIN(H110:H121)*B65)/(B55*B56*E122))</f>
        <v>-110.41592609701219</v>
      </c>
      <c r="C169" s="3">
        <f ca="1">A169+B169</f>
        <v>1.637732893300381E-6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6.6888338171635032E-8</v>
      </c>
      <c r="C175" s="27">
        <f>B65*SQRT(I175)</f>
        <v>5.6563616511904844E-8</v>
      </c>
      <c r="D175" s="27">
        <f>B66*SQRT(I175)</f>
        <v>1.637732872435361E-6</v>
      </c>
      <c r="E175" s="27">
        <f>B67*SQRT(I175)</f>
        <v>5.1163977095326515E-6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4.5096109064594554</v>
      </c>
      <c r="C176" s="3">
        <f>B65+C175</f>
        <v>3.813518303838598</v>
      </c>
      <c r="D176" s="3">
        <f>D175+B66</f>
        <v>110.41592937247796</v>
      </c>
      <c r="E176" s="3">
        <f>B67+E175</f>
        <v>344.94746832381372</v>
      </c>
      <c r="F176" s="16" t="s">
        <v>125</v>
      </c>
    </row>
    <row r="177" spans="1:13" x14ac:dyDescent="0.25">
      <c r="B177" s="27">
        <f>B176-B64</f>
        <v>6.6888338423609639E-8</v>
      </c>
      <c r="C177" s="27">
        <f>C176-B65</f>
        <v>5.6563616457339094E-8</v>
      </c>
      <c r="D177" s="27">
        <f>D176-B66</f>
        <v>1.6377328790895263E-6</v>
      </c>
      <c r="E177" s="27">
        <f>E176-B67</f>
        <v>5.1163976877433015E-6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-12.269481071258726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-13.163869656200685</v>
      </c>
      <c r="B181" s="25">
        <f>(d_alpha_p!E136-d_alpha_m!E136)/(2*B177)</f>
        <v>-13.163869656200685</v>
      </c>
      <c r="C181" s="25">
        <f>(d_alpha_p!E137-d_alpha_m!E137)/(2*B177)</f>
        <v>-13.163869656200685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2.0094132090475725E-5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-3.2034216928877868E-5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-5.6829336244845763E-5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-1.637732893300381E-6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-12.269481071258726</v>
      </c>
      <c r="B190" s="25">
        <f>A181</f>
        <v>-13.163869656200685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-13.163869656200685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-13.163869656200685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-12.269481071258726</v>
      </c>
      <c r="B201" s="25">
        <f t="shared" ref="B201:C201" si="77">B190</f>
        <v>-13.163869656200685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-13.163869656200685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-13.163869656200685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2020-11-05T01:59:25Z</dcterms:modified>
</cp:coreProperties>
</file>