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9310" documentId="114_{F544283F-5950-4DFC-B394-2253520D4454}" xr6:coauthVersionLast="45" xr6:coauthVersionMax="45" xr10:uidLastSave="{8B135DEA-E9EE-4EFE-BEA7-5E0EEA83F4C8}"/>
  <bookViews>
    <workbookView xWindow="-120" yWindow="-120" windowWidth="27930" windowHeight="182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X145" i="1" l="1"/>
  <c r="AW145" i="1"/>
  <c r="AV145" i="1"/>
  <c r="AU145" i="1"/>
  <c r="AT145" i="1"/>
  <c r="AS145" i="1"/>
  <c r="AT131" i="1" l="1"/>
  <c r="AU131" i="1"/>
  <c r="AV131" i="1"/>
  <c r="AW131" i="1"/>
  <c r="AX131" i="1"/>
  <c r="AS131" i="1"/>
  <c r="B33" i="1"/>
  <c r="I19" i="13" l="1"/>
  <c r="I20" i="13" s="1"/>
  <c r="J18" i="13"/>
  <c r="J19" i="13" s="1"/>
  <c r="K23" i="13"/>
  <c r="M23" i="13"/>
  <c r="M22" i="13"/>
  <c r="K24" i="13" l="1"/>
  <c r="L24" i="13"/>
  <c r="L23" i="13"/>
  <c r="K22" i="13"/>
  <c r="M24" i="13"/>
  <c r="L22" i="13"/>
  <c r="N54" i="6"/>
  <c r="N55" i="6"/>
  <c r="N56" i="6"/>
  <c r="N57" i="6"/>
  <c r="N58" i="6"/>
  <c r="N59" i="6"/>
  <c r="N60" i="6"/>
  <c r="L54" i="6"/>
  <c r="M54" i="6"/>
  <c r="L55" i="6"/>
  <c r="M55" i="6"/>
  <c r="L56" i="6"/>
  <c r="M56" i="6"/>
  <c r="L58" i="6"/>
  <c r="M58" i="6"/>
  <c r="L59" i="6"/>
  <c r="L60" i="6"/>
  <c r="G54" i="6"/>
  <c r="H54" i="6"/>
  <c r="I54" i="6"/>
  <c r="J54" i="6"/>
  <c r="K54" i="6"/>
  <c r="G55" i="6"/>
  <c r="H55" i="6"/>
  <c r="J55" i="6"/>
  <c r="K55" i="6"/>
  <c r="G56" i="6"/>
  <c r="H56" i="6"/>
  <c r="J56" i="6"/>
  <c r="K56" i="6"/>
  <c r="G57" i="6"/>
  <c r="H57" i="6"/>
  <c r="J57" i="6"/>
  <c r="K57" i="6"/>
  <c r="G58" i="6"/>
  <c r="H58" i="6"/>
  <c r="I58" i="6"/>
  <c r="J58" i="6"/>
  <c r="K58" i="6"/>
  <c r="G59" i="6"/>
  <c r="H59" i="6"/>
  <c r="I59" i="6"/>
  <c r="J59" i="6"/>
  <c r="K59" i="6"/>
  <c r="G60" i="6"/>
  <c r="H60" i="6"/>
  <c r="I60" i="6"/>
  <c r="J60" i="6"/>
  <c r="K60" i="6"/>
  <c r="F55" i="6"/>
  <c r="F56" i="6"/>
  <c r="F57" i="6"/>
  <c r="F58" i="6"/>
  <c r="F59" i="6"/>
  <c r="F60" i="6"/>
  <c r="F54" i="6"/>
  <c r="G54" i="3"/>
  <c r="H54" i="3"/>
  <c r="I54" i="3"/>
  <c r="J54" i="3"/>
  <c r="K54" i="3"/>
  <c r="L54" i="3"/>
  <c r="M54" i="3"/>
  <c r="N54" i="3"/>
  <c r="O54" i="3"/>
  <c r="G55" i="3"/>
  <c r="H55" i="3"/>
  <c r="J55" i="3"/>
  <c r="K55" i="3"/>
  <c r="L55" i="3"/>
  <c r="M55" i="3"/>
  <c r="N55" i="3"/>
  <c r="O55" i="3"/>
  <c r="G56" i="3"/>
  <c r="H56" i="3"/>
  <c r="J56" i="3"/>
  <c r="K56" i="3"/>
  <c r="L56" i="3"/>
  <c r="M56" i="3"/>
  <c r="N56" i="3"/>
  <c r="O56" i="3"/>
  <c r="G57" i="3"/>
  <c r="H57" i="3"/>
  <c r="J57" i="3"/>
  <c r="K57" i="3"/>
  <c r="N57" i="3"/>
  <c r="O57" i="3"/>
  <c r="G58" i="3"/>
  <c r="H58" i="3"/>
  <c r="I58" i="3"/>
  <c r="J58" i="3"/>
  <c r="K58" i="3"/>
  <c r="L58" i="3"/>
  <c r="M58" i="3"/>
  <c r="N58" i="3"/>
  <c r="O58" i="3"/>
  <c r="G59" i="3"/>
  <c r="H59" i="3"/>
  <c r="I59" i="3"/>
  <c r="J59" i="3"/>
  <c r="K59" i="3"/>
  <c r="L59" i="3"/>
  <c r="N59" i="3"/>
  <c r="O59" i="3"/>
  <c r="G60" i="3"/>
  <c r="H60" i="3"/>
  <c r="I60" i="3"/>
  <c r="J60" i="3"/>
  <c r="K60" i="3"/>
  <c r="L60" i="3"/>
  <c r="N60" i="3"/>
  <c r="O60" i="3"/>
  <c r="F55" i="3"/>
  <c r="F56" i="3"/>
  <c r="F57" i="3"/>
  <c r="F58" i="3"/>
  <c r="F59" i="3"/>
  <c r="F60" i="3"/>
  <c r="F54" i="3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G54" i="7"/>
  <c r="H54" i="7"/>
  <c r="I54" i="7"/>
  <c r="J54" i="7"/>
  <c r="K54" i="7"/>
  <c r="L54" i="7"/>
  <c r="M54" i="7"/>
  <c r="G55" i="7"/>
  <c r="H55" i="7"/>
  <c r="J55" i="7"/>
  <c r="K55" i="7"/>
  <c r="L55" i="7"/>
  <c r="M55" i="7"/>
  <c r="G56" i="7"/>
  <c r="H56" i="7"/>
  <c r="J56" i="7"/>
  <c r="K56" i="7"/>
  <c r="L56" i="7"/>
  <c r="M56" i="7"/>
  <c r="G57" i="7"/>
  <c r="H57" i="7"/>
  <c r="J57" i="7"/>
  <c r="K57" i="7"/>
  <c r="G58" i="7"/>
  <c r="H58" i="7"/>
  <c r="I58" i="7"/>
  <c r="J58" i="7"/>
  <c r="K58" i="7"/>
  <c r="L58" i="7"/>
  <c r="M58" i="7"/>
  <c r="G59" i="7"/>
  <c r="H59" i="7"/>
  <c r="I59" i="7"/>
  <c r="J59" i="7"/>
  <c r="K59" i="7"/>
  <c r="L59" i="7"/>
  <c r="G60" i="7"/>
  <c r="H60" i="7"/>
  <c r="I60" i="7"/>
  <c r="J60" i="7"/>
  <c r="K60" i="7"/>
  <c r="L60" i="7"/>
  <c r="F55" i="7"/>
  <c r="F56" i="7"/>
  <c r="F57" i="7"/>
  <c r="F58" i="7"/>
  <c r="F59" i="7"/>
  <c r="F60" i="7"/>
  <c r="F54" i="7"/>
  <c r="G54" i="4"/>
  <c r="H54" i="4"/>
  <c r="I54" i="4"/>
  <c r="J54" i="4"/>
  <c r="K54" i="4"/>
  <c r="L54" i="4"/>
  <c r="M54" i="4"/>
  <c r="G55" i="4"/>
  <c r="H55" i="4"/>
  <c r="J55" i="4"/>
  <c r="K55" i="4"/>
  <c r="L55" i="4"/>
  <c r="M55" i="4"/>
  <c r="G56" i="4"/>
  <c r="H56" i="4"/>
  <c r="J56" i="4"/>
  <c r="K56" i="4"/>
  <c r="L56" i="4"/>
  <c r="M56" i="4"/>
  <c r="G57" i="4"/>
  <c r="H57" i="4"/>
  <c r="J57" i="4"/>
  <c r="K57" i="4"/>
  <c r="G58" i="4"/>
  <c r="H58" i="4"/>
  <c r="I58" i="4"/>
  <c r="J58" i="4"/>
  <c r="K58" i="4"/>
  <c r="L58" i="4"/>
  <c r="M58" i="4"/>
  <c r="G59" i="4"/>
  <c r="H59" i="4"/>
  <c r="I59" i="4"/>
  <c r="J59" i="4"/>
  <c r="K59" i="4"/>
  <c r="L59" i="4"/>
  <c r="G60" i="4"/>
  <c r="H60" i="4"/>
  <c r="I60" i="4"/>
  <c r="J60" i="4"/>
  <c r="K60" i="4"/>
  <c r="L60" i="4"/>
  <c r="F55" i="4"/>
  <c r="F56" i="4"/>
  <c r="F57" i="4"/>
  <c r="F58" i="4"/>
  <c r="F59" i="4"/>
  <c r="F60" i="4"/>
  <c r="F54" i="4"/>
  <c r="G54" i="8"/>
  <c r="H54" i="8"/>
  <c r="I54" i="8"/>
  <c r="J54" i="8"/>
  <c r="K54" i="8"/>
  <c r="L54" i="8"/>
  <c r="M54" i="8"/>
  <c r="N54" i="8"/>
  <c r="G55" i="8"/>
  <c r="H55" i="8"/>
  <c r="J55" i="8"/>
  <c r="K55" i="8"/>
  <c r="L55" i="8"/>
  <c r="M55" i="8"/>
  <c r="N55" i="8"/>
  <c r="G56" i="8"/>
  <c r="H56" i="8"/>
  <c r="J56" i="8"/>
  <c r="K56" i="8"/>
  <c r="L56" i="8"/>
  <c r="M56" i="8"/>
  <c r="N56" i="8"/>
  <c r="G57" i="8"/>
  <c r="H57" i="8"/>
  <c r="J57" i="8"/>
  <c r="K57" i="8"/>
  <c r="N57" i="8"/>
  <c r="G58" i="8"/>
  <c r="H58" i="8"/>
  <c r="I58" i="8"/>
  <c r="J58" i="8"/>
  <c r="K58" i="8"/>
  <c r="L58" i="8"/>
  <c r="M58" i="8"/>
  <c r="N58" i="8"/>
  <c r="G59" i="8"/>
  <c r="H59" i="8"/>
  <c r="I59" i="8"/>
  <c r="J59" i="8"/>
  <c r="K59" i="8"/>
  <c r="L59" i="8"/>
  <c r="N59" i="8"/>
  <c r="G60" i="8"/>
  <c r="H60" i="8"/>
  <c r="I60" i="8"/>
  <c r="J60" i="8"/>
  <c r="K60" i="8"/>
  <c r="L60" i="8"/>
  <c r="N60" i="8"/>
  <c r="F55" i="8"/>
  <c r="F56" i="8"/>
  <c r="F57" i="8"/>
  <c r="F58" i="8"/>
  <c r="F59" i="8"/>
  <c r="F60" i="8"/>
  <c r="F54" i="8"/>
  <c r="G54" i="5"/>
  <c r="H54" i="5"/>
  <c r="I54" i="5"/>
  <c r="J54" i="5"/>
  <c r="K54" i="5"/>
  <c r="L54" i="5"/>
  <c r="M54" i="5"/>
  <c r="G55" i="5"/>
  <c r="H55" i="5"/>
  <c r="J55" i="5"/>
  <c r="K55" i="5"/>
  <c r="L55" i="5"/>
  <c r="M55" i="5"/>
  <c r="G56" i="5"/>
  <c r="H56" i="5"/>
  <c r="J56" i="5"/>
  <c r="K56" i="5"/>
  <c r="L56" i="5"/>
  <c r="M56" i="5"/>
  <c r="G57" i="5"/>
  <c r="H57" i="5"/>
  <c r="J57" i="5"/>
  <c r="K57" i="5"/>
  <c r="G58" i="5"/>
  <c r="H58" i="5"/>
  <c r="I58" i="5"/>
  <c r="J58" i="5"/>
  <c r="K58" i="5"/>
  <c r="L58" i="5"/>
  <c r="M58" i="5"/>
  <c r="G59" i="5"/>
  <c r="H59" i="5"/>
  <c r="I59" i="5"/>
  <c r="J59" i="5"/>
  <c r="K59" i="5"/>
  <c r="L59" i="5"/>
  <c r="G60" i="5"/>
  <c r="H60" i="5"/>
  <c r="I60" i="5"/>
  <c r="J60" i="5"/>
  <c r="K60" i="5"/>
  <c r="L60" i="5"/>
  <c r="F55" i="5"/>
  <c r="F56" i="5"/>
  <c r="F57" i="5"/>
  <c r="F58" i="5"/>
  <c r="F59" i="5"/>
  <c r="F60" i="5"/>
  <c r="F54" i="5"/>
  <c r="G54" i="9"/>
  <c r="H54" i="9"/>
  <c r="I54" i="9"/>
  <c r="J54" i="9"/>
  <c r="K54" i="9"/>
  <c r="L54" i="9"/>
  <c r="M54" i="9"/>
  <c r="N54" i="9"/>
  <c r="G55" i="9"/>
  <c r="H55" i="9"/>
  <c r="J55" i="9"/>
  <c r="K55" i="9"/>
  <c r="L55" i="9"/>
  <c r="M55" i="9"/>
  <c r="N55" i="9"/>
  <c r="G56" i="9"/>
  <c r="H56" i="9"/>
  <c r="J56" i="9"/>
  <c r="K56" i="9"/>
  <c r="L56" i="9"/>
  <c r="M56" i="9"/>
  <c r="N56" i="9"/>
  <c r="G57" i="9"/>
  <c r="H57" i="9"/>
  <c r="J57" i="9"/>
  <c r="K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N59" i="9"/>
  <c r="G60" i="9"/>
  <c r="H60" i="9"/>
  <c r="I60" i="9"/>
  <c r="J60" i="9"/>
  <c r="K60" i="9"/>
  <c r="L60" i="9"/>
  <c r="N60" i="9"/>
  <c r="F55" i="9"/>
  <c r="F56" i="9"/>
  <c r="F57" i="9"/>
  <c r="F58" i="9"/>
  <c r="F59" i="9"/>
  <c r="F60" i="9"/>
  <c r="F54" i="9"/>
  <c r="H54" i="2"/>
  <c r="I54" i="2"/>
  <c r="G55" i="2"/>
  <c r="H55" i="2"/>
  <c r="J55" i="2"/>
  <c r="K55" i="2"/>
  <c r="H56" i="2"/>
  <c r="J56" i="2"/>
  <c r="H57" i="2"/>
  <c r="J57" i="2"/>
  <c r="H59" i="2"/>
  <c r="I59" i="2"/>
  <c r="K59" i="2"/>
  <c r="L59" i="2"/>
  <c r="H60" i="2"/>
  <c r="I60" i="2"/>
  <c r="L60" i="2"/>
  <c r="F54" i="2"/>
  <c r="F56" i="2"/>
  <c r="F58" i="2"/>
  <c r="F59" i="2"/>
  <c r="Q25" i="1" l="1"/>
  <c r="M60" i="1" l="1"/>
  <c r="W218" i="1"/>
  <c r="L218" i="1"/>
  <c r="M60" i="2" l="1"/>
  <c r="M60" i="5"/>
  <c r="M60" i="6"/>
  <c r="M60" i="7"/>
  <c r="M60" i="4"/>
  <c r="M60" i="8"/>
  <c r="M60" i="9"/>
  <c r="M60" i="3"/>
  <c r="AU48" i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B17" i="13"/>
  <c r="C16" i="13"/>
  <c r="C17" i="13" s="1"/>
  <c r="B16" i="13"/>
  <c r="B15" i="13"/>
  <c r="J25" i="13"/>
  <c r="I25" i="13"/>
  <c r="T37" i="1"/>
  <c r="L18" i="13" l="1"/>
  <c r="M18" i="13"/>
  <c r="M19" i="13"/>
  <c r="K19" i="13"/>
  <c r="K18" i="13"/>
  <c r="L19" i="13"/>
  <c r="L25" i="13"/>
  <c r="M25" i="13"/>
  <c r="K25" i="13"/>
  <c r="L20" i="13"/>
  <c r="M20" i="13"/>
  <c r="M21" i="13"/>
  <c r="L21" i="13"/>
  <c r="K21" i="13"/>
  <c r="K20" i="13"/>
  <c r="W42" i="1"/>
  <c r="W41" i="1"/>
  <c r="Z46" i="1"/>
  <c r="W43" i="1"/>
  <c r="W40" i="1"/>
  <c r="G4" i="1"/>
  <c r="G3" i="1"/>
  <c r="K26" i="13" l="1"/>
  <c r="M26" i="13" s="1"/>
  <c r="O17" i="13" s="1"/>
  <c r="Q27" i="1"/>
  <c r="Q18" i="13" l="1"/>
  <c r="Q17" i="13"/>
  <c r="Q22" i="13"/>
  <c r="Q21" i="13"/>
  <c r="Q20" i="13"/>
  <c r="Q23" i="13"/>
  <c r="Q19" i="13"/>
  <c r="Q24" i="13"/>
  <c r="Q25" i="13"/>
  <c r="L26" i="13"/>
  <c r="N17" i="13" s="1"/>
  <c r="AI36" i="1"/>
  <c r="AI37" i="1" s="1"/>
  <c r="L15" i="1"/>
  <c r="L16" i="1"/>
  <c r="L17" i="1"/>
  <c r="L18" i="1"/>
  <c r="L19" i="1"/>
  <c r="L20" i="1"/>
  <c r="L14" i="1"/>
  <c r="P25" i="13" l="1"/>
  <c r="P24" i="13"/>
  <c r="P22" i="13"/>
  <c r="P21" i="13"/>
  <c r="P17" i="13"/>
  <c r="P20" i="13"/>
  <c r="T21" i="13" s="1"/>
  <c r="P23" i="13"/>
  <c r="P19" i="13"/>
  <c r="P18" i="13"/>
  <c r="M4" i="1"/>
  <c r="M3" i="1"/>
  <c r="T20" i="13" l="1"/>
  <c r="S24" i="13"/>
  <c r="T18" i="13"/>
  <c r="R23" i="13"/>
  <c r="S22" i="13"/>
  <c r="T22" i="13"/>
  <c r="T23" i="13"/>
  <c r="T19" i="13"/>
  <c r="S25" i="13"/>
  <c r="R24" i="13"/>
  <c r="S23" i="13"/>
  <c r="T24" i="13"/>
  <c r="R19" i="13"/>
  <c r="S18" i="13"/>
  <c r="R20" i="13"/>
  <c r="S19" i="13"/>
  <c r="S20" i="13"/>
  <c r="R21" i="13"/>
  <c r="R18" i="13"/>
  <c r="T25" i="13"/>
  <c r="R22" i="13"/>
  <c r="S21" i="13"/>
  <c r="R25" i="13"/>
  <c r="C50" i="1"/>
  <c r="B53" i="1"/>
  <c r="R26" i="13" l="1"/>
  <c r="S26" i="13" s="1"/>
  <c r="B5" i="1"/>
  <c r="T26" i="13" l="1"/>
  <c r="E55" i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I81" i="1"/>
  <c r="D31" i="1"/>
  <c r="D30" i="1"/>
  <c r="D29" i="1"/>
  <c r="D28" i="1"/>
  <c r="D27" i="1"/>
  <c r="D26" i="1"/>
  <c r="R39" i="8" l="1"/>
  <c r="C105" i="9"/>
  <c r="Q47" i="2"/>
  <c r="R45" i="9"/>
  <c r="D27" i="7"/>
  <c r="C101" i="7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P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AE26" i="1"/>
  <c r="AE27" i="1"/>
  <c r="AD44" i="1" l="1"/>
  <c r="AE44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AH29" i="1"/>
  <c r="AE29" i="1"/>
  <c r="AE30" i="1" s="1"/>
  <c r="AE32" i="1" l="1"/>
  <c r="A169" i="2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AK29" i="1"/>
  <c r="AJ29" i="1"/>
  <c r="AJ31" i="1" l="1"/>
  <c r="D180" i="2"/>
  <c r="A193" i="2" s="1"/>
  <c r="D178" i="6"/>
  <c r="D180" i="6"/>
  <c r="A193" i="6" s="1"/>
  <c r="J65" i="1"/>
  <c r="Q65" i="1"/>
  <c r="AE34" i="1"/>
  <c r="AE36" i="1" s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B125" i="1" l="1"/>
  <c r="E110" i="1" s="1"/>
  <c r="G119" i="1"/>
  <c r="G118" i="1"/>
  <c r="G117" i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H152" i="1" s="1"/>
  <c r="I152" i="1" s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E119" i="1" l="1"/>
  <c r="E118" i="1"/>
  <c r="E115" i="1"/>
  <c r="E120" i="1"/>
  <c r="E121" i="1"/>
  <c r="G119" i="4"/>
  <c r="G119" i="5"/>
  <c r="G119" i="6"/>
  <c r="G119" i="8"/>
  <c r="G119" i="2"/>
  <c r="G119" i="7"/>
  <c r="G119" i="9"/>
  <c r="G118" i="8"/>
  <c r="G118" i="9"/>
  <c r="G118" i="2"/>
  <c r="G118" i="5"/>
  <c r="G118" i="4"/>
  <c r="G118" i="6"/>
  <c r="G118" i="7"/>
  <c r="E116" i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O151" i="1" s="1"/>
  <c r="H132" i="1"/>
  <c r="I132" i="1" s="1"/>
  <c r="G138" i="1"/>
  <c r="O138" i="1" s="1"/>
  <c r="F147" i="1"/>
  <c r="N147" i="1" s="1"/>
  <c r="M115" i="1"/>
  <c r="N115" i="1" s="1"/>
  <c r="M119" i="1"/>
  <c r="N119" i="1" s="1"/>
  <c r="G147" i="1"/>
  <c r="O147" i="1" s="1"/>
  <c r="G148" i="1"/>
  <c r="O148" i="1" s="1"/>
  <c r="M113" i="1"/>
  <c r="Y113" i="1" s="1"/>
  <c r="M116" i="1"/>
  <c r="Y116" i="1" s="1"/>
  <c r="F151" i="1"/>
  <c r="N151" i="1" s="1"/>
  <c r="F139" i="1"/>
  <c r="N139" i="1" s="1"/>
  <c r="F153" i="1"/>
  <c r="N153" i="1" s="1"/>
  <c r="M112" i="1"/>
  <c r="N112" i="1" s="1"/>
  <c r="G153" i="1"/>
  <c r="O153" i="1" s="1"/>
  <c r="F148" i="1"/>
  <c r="N148" i="1" s="1"/>
  <c r="F149" i="1"/>
  <c r="N149" i="1" s="1"/>
  <c r="AW149" i="1" s="1"/>
  <c r="G135" i="1"/>
  <c r="O135" i="1" s="1"/>
  <c r="M120" i="1"/>
  <c r="N120" i="1" s="1"/>
  <c r="G149" i="1"/>
  <c r="O149" i="1" s="1"/>
  <c r="G146" i="1"/>
  <c r="O146" i="1" s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O136" i="1" s="1"/>
  <c r="G134" i="1"/>
  <c r="O134" i="1" s="1"/>
  <c r="G137" i="1"/>
  <c r="O137" i="1" s="1"/>
  <c r="G132" i="1"/>
  <c r="M114" i="1"/>
  <c r="Y114" i="1" s="1"/>
  <c r="G133" i="1"/>
  <c r="O133" i="1" s="1"/>
  <c r="C132" i="6"/>
  <c r="B125" i="6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H151" i="2" s="1"/>
  <c r="I151" i="2" s="1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H153" i="9" s="1"/>
  <c r="I153" i="9" s="1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N136" i="1" s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H153" i="6" s="1"/>
  <c r="I153" i="6" s="1"/>
  <c r="C134" i="6"/>
  <c r="H134" i="6" s="1"/>
  <c r="I134" i="6" s="1"/>
  <c r="H137" i="1"/>
  <c r="I137" i="1" s="1"/>
  <c r="F137" i="1"/>
  <c r="N137" i="1" s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N150" i="1" s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9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9" i="7" s="1"/>
  <c r="C134" i="5"/>
  <c r="H134" i="5" s="1"/>
  <c r="I134" i="5" s="1"/>
  <c r="C147" i="5"/>
  <c r="H147" i="5" s="1"/>
  <c r="I147" i="5" s="1"/>
  <c r="H135" i="1"/>
  <c r="I135" i="1" s="1"/>
  <c r="F135" i="1"/>
  <c r="N135" i="1" s="1"/>
  <c r="AW135" i="1" s="1"/>
  <c r="C138" i="9"/>
  <c r="H138" i="9" s="1"/>
  <c r="I138" i="9" s="1"/>
  <c r="C132" i="2"/>
  <c r="B125" i="2"/>
  <c r="E119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N138" i="1" s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N133" i="1" s="1"/>
  <c r="C149" i="2"/>
  <c r="H149" i="2" s="1"/>
  <c r="I149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N134" i="1" s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C136" i="9"/>
  <c r="H146" i="9"/>
  <c r="I146" i="9" s="1"/>
  <c r="E111" i="1"/>
  <c r="G126" i="1"/>
  <c r="M111" i="1"/>
  <c r="O132" i="1" l="1"/>
  <c r="M132" i="1"/>
  <c r="AV132" i="1" s="1"/>
  <c r="N132" i="1"/>
  <c r="K132" i="1"/>
  <c r="AT132" i="1" s="1"/>
  <c r="E114" i="5"/>
  <c r="E121" i="5"/>
  <c r="E120" i="5"/>
  <c r="E118" i="7"/>
  <c r="E118" i="2"/>
  <c r="E119" i="5"/>
  <c r="E114" i="9"/>
  <c r="E121" i="9"/>
  <c r="E120" i="9"/>
  <c r="E113" i="4"/>
  <c r="E120" i="4"/>
  <c r="E121" i="4"/>
  <c r="M110" i="6"/>
  <c r="N110" i="6" s="1"/>
  <c r="E120" i="6"/>
  <c r="E121" i="6"/>
  <c r="E118" i="6"/>
  <c r="E118" i="9"/>
  <c r="E119" i="4"/>
  <c r="E118" i="4"/>
  <c r="E118" i="8"/>
  <c r="E115" i="7"/>
  <c r="E121" i="7"/>
  <c r="E120" i="7"/>
  <c r="E113" i="2"/>
  <c r="E120" i="2"/>
  <c r="E121" i="2"/>
  <c r="E115" i="8"/>
  <c r="E120" i="8"/>
  <c r="E121" i="8"/>
  <c r="E118" i="5"/>
  <c r="E119" i="9"/>
  <c r="E119" i="6"/>
  <c r="G119" i="3"/>
  <c r="G118" i="3"/>
  <c r="E116" i="5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AU136" i="1" s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AU139" i="1" s="1"/>
  <c r="L152" i="1"/>
  <c r="AU152" i="1" s="1"/>
  <c r="K139" i="1"/>
  <c r="AT139" i="1" s="1"/>
  <c r="M114" i="6"/>
  <c r="N114" i="6" s="1"/>
  <c r="O114" i="6" s="1"/>
  <c r="L150" i="1"/>
  <c r="AU150" i="1" s="1"/>
  <c r="N114" i="1"/>
  <c r="P114" i="1" s="1"/>
  <c r="J139" i="1"/>
  <c r="AS139" i="1" s="1"/>
  <c r="M152" i="1"/>
  <c r="AV152" i="1" s="1"/>
  <c r="L133" i="1"/>
  <c r="AU133" i="1" s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AU148" i="1" s="1"/>
  <c r="M150" i="1"/>
  <c r="AV150" i="1" s="1"/>
  <c r="M148" i="1"/>
  <c r="AV148" i="1" s="1"/>
  <c r="Y119" i="1"/>
  <c r="M119" i="4"/>
  <c r="N119" i="4" s="1"/>
  <c r="O119" i="4" s="1"/>
  <c r="G153" i="7"/>
  <c r="O153" i="7" s="1"/>
  <c r="L135" i="1"/>
  <c r="AU135" i="1" s="1"/>
  <c r="Y120" i="1"/>
  <c r="G150" i="4"/>
  <c r="O150" i="4" s="1"/>
  <c r="M110" i="8"/>
  <c r="N110" i="8" s="1"/>
  <c r="M136" i="1"/>
  <c r="K146" i="1"/>
  <c r="AT146" i="1" s="1"/>
  <c r="J146" i="1"/>
  <c r="AS146" i="1" s="1"/>
  <c r="J149" i="1"/>
  <c r="AS149" i="1" s="1"/>
  <c r="M119" i="5"/>
  <c r="N119" i="5" s="1"/>
  <c r="P119" i="5" s="1"/>
  <c r="M118" i="7"/>
  <c r="N118" i="7" s="1"/>
  <c r="O118" i="7" s="1"/>
  <c r="G139" i="5"/>
  <c r="O139" i="5" s="1"/>
  <c r="L151" i="1"/>
  <c r="AU151" i="1" s="1"/>
  <c r="G148" i="5"/>
  <c r="O148" i="5" s="1"/>
  <c r="G139" i="8"/>
  <c r="O139" i="8" s="1"/>
  <c r="F149" i="5"/>
  <c r="N149" i="5" s="1"/>
  <c r="G147" i="8"/>
  <c r="O147" i="8" s="1"/>
  <c r="G147" i="5"/>
  <c r="O147" i="5" s="1"/>
  <c r="G138" i="8"/>
  <c r="O138" i="8" s="1"/>
  <c r="G149" i="5"/>
  <c r="O149" i="5" s="1"/>
  <c r="F139" i="8"/>
  <c r="N139" i="8" s="1"/>
  <c r="M121" i="8"/>
  <c r="N121" i="8" s="1"/>
  <c r="O121" i="8" s="1"/>
  <c r="F139" i="5"/>
  <c r="N139" i="5" s="1"/>
  <c r="K147" i="1"/>
  <c r="AT147" i="1" s="1"/>
  <c r="M151" i="1"/>
  <c r="AV151" i="1" s="1"/>
  <c r="L147" i="1"/>
  <c r="AU147" i="1" s="1"/>
  <c r="M147" i="1"/>
  <c r="AV147" i="1" s="1"/>
  <c r="Y118" i="1"/>
  <c r="M118" i="5"/>
  <c r="N118" i="5" s="1"/>
  <c r="O118" i="5" s="1"/>
  <c r="L153" i="1"/>
  <c r="AU153" i="1" s="1"/>
  <c r="M135" i="1"/>
  <c r="L146" i="1"/>
  <c r="AU146" i="1" s="1"/>
  <c r="K149" i="1"/>
  <c r="AT149" i="1" s="1"/>
  <c r="M133" i="1"/>
  <c r="J148" i="1"/>
  <c r="AS148" i="1" s="1"/>
  <c r="J147" i="1"/>
  <c r="AS147" i="1" s="1"/>
  <c r="J151" i="1"/>
  <c r="AS151" i="1" s="1"/>
  <c r="M138" i="1"/>
  <c r="L138" i="1"/>
  <c r="AU138" i="1" s="1"/>
  <c r="M146" i="1"/>
  <c r="AV146" i="1" s="1"/>
  <c r="J152" i="1"/>
  <c r="AS152" i="1" s="1"/>
  <c r="F149" i="2"/>
  <c r="N149" i="2" s="1"/>
  <c r="M113" i="7"/>
  <c r="N113" i="7" s="1"/>
  <c r="P113" i="7" s="1"/>
  <c r="K151" i="1"/>
  <c r="AT151" i="1" s="1"/>
  <c r="K148" i="1"/>
  <c r="AT148" i="1" s="1"/>
  <c r="K152" i="1"/>
  <c r="AT152" i="1" s="1"/>
  <c r="M114" i="8"/>
  <c r="N114" i="8" s="1"/>
  <c r="P114" i="8" s="1"/>
  <c r="G151" i="2"/>
  <c r="O151" i="2" s="1"/>
  <c r="G135" i="5"/>
  <c r="O135" i="5" s="1"/>
  <c r="F147" i="5"/>
  <c r="N147" i="5" s="1"/>
  <c r="L134" i="1"/>
  <c r="AU134" i="1" s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N134" i="2" s="1"/>
  <c r="M117" i="5"/>
  <c r="N117" i="5" s="1"/>
  <c r="O117" i="5" s="1"/>
  <c r="M121" i="5"/>
  <c r="N121" i="5" s="1"/>
  <c r="P121" i="5" s="1"/>
  <c r="G150" i="8"/>
  <c r="O150" i="8" s="1"/>
  <c r="M112" i="8"/>
  <c r="N112" i="8" s="1"/>
  <c r="P112" i="8" s="1"/>
  <c r="G132" i="8"/>
  <c r="O132" i="8" s="1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N133" i="8" s="1"/>
  <c r="F150" i="5"/>
  <c r="N150" i="5" s="1"/>
  <c r="G149" i="8"/>
  <c r="O149" i="8" s="1"/>
  <c r="G148" i="2"/>
  <c r="O148" i="2" s="1"/>
  <c r="G134" i="8"/>
  <c r="O134" i="8" s="1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O135" i="8" s="1"/>
  <c r="F148" i="5"/>
  <c r="N148" i="5" s="1"/>
  <c r="F136" i="8"/>
  <c r="N136" i="8" s="1"/>
  <c r="G138" i="9"/>
  <c r="O138" i="9" s="1"/>
  <c r="M111" i="5"/>
  <c r="N111" i="5" s="1"/>
  <c r="P111" i="5" s="1"/>
  <c r="G133" i="5"/>
  <c r="O133" i="5" s="1"/>
  <c r="L132" i="1"/>
  <c r="AU132" i="1" s="1"/>
  <c r="F132" i="9"/>
  <c r="N132" i="9" s="1"/>
  <c r="G139" i="2"/>
  <c r="O139" i="2" s="1"/>
  <c r="J153" i="1"/>
  <c r="AS153" i="1" s="1"/>
  <c r="F132" i="2"/>
  <c r="N132" i="2" s="1"/>
  <c r="G134" i="9"/>
  <c r="O134" i="9" s="1"/>
  <c r="G150" i="9"/>
  <c r="O150" i="9" s="1"/>
  <c r="M153" i="1"/>
  <c r="AV153" i="1" s="1"/>
  <c r="F134" i="8"/>
  <c r="N134" i="8" s="1"/>
  <c r="M119" i="9"/>
  <c r="N119" i="9" s="1"/>
  <c r="P119" i="9" s="1"/>
  <c r="M121" i="2"/>
  <c r="N121" i="2" s="1"/>
  <c r="O121" i="2" s="1"/>
  <c r="K153" i="1"/>
  <c r="AT153" i="1" s="1"/>
  <c r="N121" i="1"/>
  <c r="O121" i="1" s="1"/>
  <c r="M115" i="2"/>
  <c r="N115" i="2" s="1"/>
  <c r="P115" i="2" s="1"/>
  <c r="F135" i="9"/>
  <c r="N135" i="9" s="1"/>
  <c r="M114" i="9"/>
  <c r="N114" i="9" s="1"/>
  <c r="O114" i="9" s="1"/>
  <c r="F147" i="9"/>
  <c r="N147" i="9" s="1"/>
  <c r="G134" i="4"/>
  <c r="O134" i="4" s="1"/>
  <c r="N116" i="1"/>
  <c r="P116" i="1" s="1"/>
  <c r="G147" i="2"/>
  <c r="O147" i="2" s="1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N132" i="7" s="1"/>
  <c r="G146" i="8"/>
  <c r="O146" i="8" s="1"/>
  <c r="G134" i="2"/>
  <c r="O134" i="2" s="1"/>
  <c r="M114" i="7"/>
  <c r="N114" i="7" s="1"/>
  <c r="O114" i="7" s="1"/>
  <c r="G146" i="2"/>
  <c r="O146" i="2" s="1"/>
  <c r="M115" i="7"/>
  <c r="N115" i="7" s="1"/>
  <c r="P115" i="7" s="1"/>
  <c r="F151" i="2"/>
  <c r="N151" i="2" s="1"/>
  <c r="G133" i="9"/>
  <c r="O133" i="9" s="1"/>
  <c r="F149" i="9"/>
  <c r="N149" i="9" s="1"/>
  <c r="F139" i="9"/>
  <c r="N139" i="9" s="1"/>
  <c r="M118" i="2"/>
  <c r="N118" i="2" s="1"/>
  <c r="P118" i="2" s="1"/>
  <c r="M117" i="2"/>
  <c r="N117" i="2" s="1"/>
  <c r="O117" i="2" s="1"/>
  <c r="F146" i="9"/>
  <c r="N146" i="9" s="1"/>
  <c r="N113" i="1"/>
  <c r="O113" i="1" s="1"/>
  <c r="F148" i="2"/>
  <c r="N148" i="2" s="1"/>
  <c r="G149" i="7"/>
  <c r="O149" i="7" s="1"/>
  <c r="F150" i="2"/>
  <c r="N150" i="2" s="1"/>
  <c r="F135" i="7"/>
  <c r="N135" i="7" s="1"/>
  <c r="L137" i="1"/>
  <c r="AU137" i="1" s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AV149" i="1" s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AU149" i="1" s="1"/>
  <c r="M118" i="9"/>
  <c r="N118" i="9" s="1"/>
  <c r="P118" i="9" s="1"/>
  <c r="G152" i="5"/>
  <c r="O152" i="5" s="1"/>
  <c r="F136" i="9"/>
  <c r="N136" i="9" s="1"/>
  <c r="M116" i="2"/>
  <c r="N116" i="2" s="1"/>
  <c r="O116" i="2" s="1"/>
  <c r="F137" i="7"/>
  <c r="N137" i="7" s="1"/>
  <c r="G133" i="2"/>
  <c r="O133" i="2" s="1"/>
  <c r="F147" i="7"/>
  <c r="N147" i="7" s="1"/>
  <c r="G153" i="2"/>
  <c r="O153" i="2" s="1"/>
  <c r="F132" i="8"/>
  <c r="N132" i="8" s="1"/>
  <c r="F146" i="5"/>
  <c r="N146" i="5" s="1"/>
  <c r="F153" i="5"/>
  <c r="N153" i="5" s="1"/>
  <c r="G148" i="6"/>
  <c r="O148" i="6" s="1"/>
  <c r="F151" i="6"/>
  <c r="N151" i="6" s="1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N138" i="6" s="1"/>
  <c r="F148" i="9"/>
  <c r="N148" i="9" s="1"/>
  <c r="H132" i="7"/>
  <c r="I132" i="7" s="1"/>
  <c r="E110" i="7"/>
  <c r="E111" i="7"/>
  <c r="G126" i="7"/>
  <c r="G127" i="7" s="1"/>
  <c r="G153" i="4"/>
  <c r="O153" i="4" s="1"/>
  <c r="M113" i="8"/>
  <c r="N113" i="8" s="1"/>
  <c r="F152" i="8"/>
  <c r="N152" i="8" s="1"/>
  <c r="H136" i="9"/>
  <c r="I136" i="9" s="1"/>
  <c r="G135" i="2"/>
  <c r="O135" i="2" s="1"/>
  <c r="G146" i="9"/>
  <c r="O146" i="9" s="1"/>
  <c r="F146" i="7"/>
  <c r="N146" i="7" s="1"/>
  <c r="F152" i="4"/>
  <c r="N152" i="4" s="1"/>
  <c r="M121" i="6"/>
  <c r="N121" i="6" s="1"/>
  <c r="M116" i="8"/>
  <c r="N116" i="8" s="1"/>
  <c r="F136" i="5"/>
  <c r="N136" i="5" s="1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N153" i="9" s="1"/>
  <c r="F152" i="7"/>
  <c r="N152" i="7" s="1"/>
  <c r="F148" i="4"/>
  <c r="N148" i="4" s="1"/>
  <c r="F137" i="6"/>
  <c r="N137" i="6" s="1"/>
  <c r="F152" i="9"/>
  <c r="N152" i="9" s="1"/>
  <c r="F135" i="5"/>
  <c r="N135" i="5" s="1"/>
  <c r="M117" i="7"/>
  <c r="N117" i="7" s="1"/>
  <c r="H136" i="4"/>
  <c r="I136" i="4" s="1"/>
  <c r="M120" i="6"/>
  <c r="N120" i="6" s="1"/>
  <c r="F146" i="4"/>
  <c r="N146" i="4" s="1"/>
  <c r="P115" i="1"/>
  <c r="O115" i="1"/>
  <c r="K137" i="1"/>
  <c r="AT137" i="1" s="1"/>
  <c r="J137" i="1"/>
  <c r="AS137" i="1" s="1"/>
  <c r="K136" i="1"/>
  <c r="AT136" i="1" s="1"/>
  <c r="J136" i="1"/>
  <c r="AS136" i="1" s="1"/>
  <c r="N111" i="1"/>
  <c r="Y111" i="1"/>
  <c r="M119" i="6"/>
  <c r="N119" i="6" s="1"/>
  <c r="F151" i="4"/>
  <c r="N151" i="4" s="1"/>
  <c r="F147" i="6"/>
  <c r="N147" i="6" s="1"/>
  <c r="F150" i="4"/>
  <c r="N150" i="4" s="1"/>
  <c r="G147" i="6"/>
  <c r="O147" i="6" s="1"/>
  <c r="F149" i="6"/>
  <c r="N149" i="6" s="1"/>
  <c r="F132" i="6"/>
  <c r="N132" i="6" s="1"/>
  <c r="E110" i="9"/>
  <c r="E111" i="9"/>
  <c r="G126" i="9"/>
  <c r="G127" i="9" s="1"/>
  <c r="K134" i="1"/>
  <c r="AT134" i="1" s="1"/>
  <c r="J134" i="1"/>
  <c r="AS134" i="1" s="1"/>
  <c r="M119" i="7"/>
  <c r="N119" i="7" s="1"/>
  <c r="M120" i="7"/>
  <c r="N120" i="7" s="1"/>
  <c r="M111" i="4"/>
  <c r="N111" i="4" s="1"/>
  <c r="F135" i="6"/>
  <c r="N135" i="6" s="1"/>
  <c r="G136" i="7"/>
  <c r="O136" i="7" s="1"/>
  <c r="G149" i="9"/>
  <c r="O149" i="9" s="1"/>
  <c r="G146" i="7"/>
  <c r="O146" i="7" s="1"/>
  <c r="M120" i="4"/>
  <c r="N120" i="4" s="1"/>
  <c r="E110" i="2"/>
  <c r="E111" i="2"/>
  <c r="G126" i="2"/>
  <c r="G127" i="2" s="1"/>
  <c r="G153" i="9"/>
  <c r="O153" i="9" s="1"/>
  <c r="F136" i="7"/>
  <c r="N136" i="7" s="1"/>
  <c r="F138" i="4"/>
  <c r="N138" i="4" s="1"/>
  <c r="F133" i="6"/>
  <c r="N133" i="6" s="1"/>
  <c r="E111" i="8"/>
  <c r="E110" i="8"/>
  <c r="G126" i="8"/>
  <c r="G127" i="8" s="1"/>
  <c r="F135" i="2"/>
  <c r="N135" i="2" s="1"/>
  <c r="E110" i="5"/>
  <c r="E111" i="5"/>
  <c r="G126" i="5"/>
  <c r="G127" i="5" s="1"/>
  <c r="H134" i="2"/>
  <c r="I134" i="2" s="1"/>
  <c r="F151" i="9"/>
  <c r="N151" i="9" s="1"/>
  <c r="G151" i="5"/>
  <c r="O151" i="5" s="1"/>
  <c r="F133" i="7"/>
  <c r="N133" i="7" s="1"/>
  <c r="G148" i="4"/>
  <c r="O148" i="4" s="1"/>
  <c r="G153" i="6"/>
  <c r="O153" i="6" s="1"/>
  <c r="F146" i="8"/>
  <c r="N146" i="8" s="1"/>
  <c r="G132" i="2"/>
  <c r="O132" i="2" s="1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O148" i="8" s="1"/>
  <c r="F152" i="2"/>
  <c r="N152" i="2" s="1"/>
  <c r="G153" i="5"/>
  <c r="O153" i="5" s="1"/>
  <c r="F134" i="7"/>
  <c r="N134" i="7" s="1"/>
  <c r="M117" i="4"/>
  <c r="N117" i="4" s="1"/>
  <c r="F148" i="6"/>
  <c r="N148" i="6" s="1"/>
  <c r="M115" i="8"/>
  <c r="N115" i="8" s="1"/>
  <c r="M112" i="2"/>
  <c r="N112" i="2" s="1"/>
  <c r="F134" i="9"/>
  <c r="N134" i="9" s="1"/>
  <c r="G150" i="5"/>
  <c r="O150" i="5" s="1"/>
  <c r="M113" i="5"/>
  <c r="N113" i="5" s="1"/>
  <c r="G136" i="4"/>
  <c r="O136" i="4" s="1"/>
  <c r="M115" i="6"/>
  <c r="N115" i="6" s="1"/>
  <c r="Q77" i="8"/>
  <c r="R77" i="8" s="1"/>
  <c r="R76" i="8"/>
  <c r="O112" i="1"/>
  <c r="P112" i="1"/>
  <c r="G139" i="6"/>
  <c r="O139" i="6" s="1"/>
  <c r="D181" i="3"/>
  <c r="B193" i="3" s="1"/>
  <c r="B178" i="3"/>
  <c r="F135" i="4"/>
  <c r="N135" i="4" s="1"/>
  <c r="G137" i="4"/>
  <c r="O137" i="4" s="1"/>
  <c r="M115" i="4"/>
  <c r="N115" i="4" s="1"/>
  <c r="M118" i="4"/>
  <c r="N118" i="4" s="1"/>
  <c r="G133" i="4"/>
  <c r="O133" i="4" s="1"/>
  <c r="K138" i="1"/>
  <c r="AT138" i="1" s="1"/>
  <c r="J138" i="1"/>
  <c r="AS138" i="1" s="1"/>
  <c r="F150" i="9"/>
  <c r="N150" i="9" s="1"/>
  <c r="M112" i="4"/>
  <c r="N112" i="4" s="1"/>
  <c r="R76" i="6"/>
  <c r="Q77" i="6"/>
  <c r="R77" i="6" s="1"/>
  <c r="G137" i="9"/>
  <c r="O137" i="9" s="1"/>
  <c r="G148" i="7"/>
  <c r="O148" i="7" s="1"/>
  <c r="M116" i="6"/>
  <c r="N116" i="6" s="1"/>
  <c r="Q77" i="9"/>
  <c r="R77" i="9" s="1"/>
  <c r="R76" i="9"/>
  <c r="M113" i="2"/>
  <c r="N113" i="2" s="1"/>
  <c r="M111" i="2"/>
  <c r="N111" i="2" s="1"/>
  <c r="G132" i="9"/>
  <c r="O132" i="9" s="1"/>
  <c r="F152" i="5"/>
  <c r="N152" i="5" s="1"/>
  <c r="H136" i="7"/>
  <c r="I136" i="7" s="1"/>
  <c r="F149" i="4"/>
  <c r="N149" i="4" s="1"/>
  <c r="G133" i="6"/>
  <c r="O133" i="6" s="1"/>
  <c r="H136" i="8"/>
  <c r="I136" i="8" s="1"/>
  <c r="F133" i="2"/>
  <c r="N133" i="2" s="1"/>
  <c r="C132" i="3"/>
  <c r="B125" i="3"/>
  <c r="E118" i="3" s="1"/>
  <c r="C153" i="3"/>
  <c r="H153" i="3" s="1"/>
  <c r="I153" i="3" s="1"/>
  <c r="F149" i="8"/>
  <c r="N149" i="8" s="1"/>
  <c r="G137" i="2"/>
  <c r="O137" i="2" s="1"/>
  <c r="H135" i="9"/>
  <c r="I135" i="9" s="1"/>
  <c r="M110" i="5"/>
  <c r="G150" i="7"/>
  <c r="O150" i="7" s="1"/>
  <c r="H132" i="4"/>
  <c r="I132" i="4" s="1"/>
  <c r="G146" i="4"/>
  <c r="O146" i="4" s="1"/>
  <c r="H133" i="6"/>
  <c r="I133" i="6" s="1"/>
  <c r="Q77" i="2"/>
  <c r="R77" i="2" s="1"/>
  <c r="R76" i="2"/>
  <c r="J132" i="1"/>
  <c r="AS132" i="1" s="1"/>
  <c r="M113" i="9"/>
  <c r="N113" i="9" s="1"/>
  <c r="F151" i="5"/>
  <c r="N151" i="5" s="1"/>
  <c r="F137" i="4"/>
  <c r="N137" i="4" s="1"/>
  <c r="M113" i="6"/>
  <c r="N113" i="6" s="1"/>
  <c r="G149" i="6"/>
  <c r="O149" i="6" s="1"/>
  <c r="H134" i="8"/>
  <c r="I134" i="8" s="1"/>
  <c r="G149" i="4"/>
  <c r="O149" i="4" s="1"/>
  <c r="F132" i="4"/>
  <c r="N132" i="4" s="1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N146" i="6" s="1"/>
  <c r="B181" i="6"/>
  <c r="B191" i="6" s="1"/>
  <c r="B202" i="6" s="1"/>
  <c r="M111" i="9"/>
  <c r="N111" i="9" s="1"/>
  <c r="H135" i="4"/>
  <c r="I135" i="4" s="1"/>
  <c r="F138" i="9"/>
  <c r="N138" i="9" s="1"/>
  <c r="F149" i="7"/>
  <c r="N149" i="7" s="1"/>
  <c r="M111" i="6"/>
  <c r="N111" i="6" s="1"/>
  <c r="G152" i="7"/>
  <c r="O152" i="7" s="1"/>
  <c r="J150" i="1"/>
  <c r="AS150" i="1" s="1"/>
  <c r="K150" i="1"/>
  <c r="AT150" i="1" s="1"/>
  <c r="F133" i="9"/>
  <c r="N133" i="9" s="1"/>
  <c r="G137" i="7"/>
  <c r="O137" i="7" s="1"/>
  <c r="G132" i="4"/>
  <c r="O132" i="4" s="1"/>
  <c r="F134" i="6"/>
  <c r="N134" i="6" s="1"/>
  <c r="G136" i="2"/>
  <c r="O136" i="2" s="1"/>
  <c r="C133" i="3"/>
  <c r="C149" i="3"/>
  <c r="H149" i="3" s="1"/>
  <c r="I149" i="3" s="1"/>
  <c r="C151" i="3"/>
  <c r="H151" i="3" s="1"/>
  <c r="I151" i="3" s="1"/>
  <c r="M120" i="8"/>
  <c r="N120" i="8" s="1"/>
  <c r="F138" i="2"/>
  <c r="N138" i="2" s="1"/>
  <c r="M116" i="9"/>
  <c r="N116" i="9" s="1"/>
  <c r="F151" i="7"/>
  <c r="N151" i="7" s="1"/>
  <c r="G135" i="4"/>
  <c r="O135" i="4" s="1"/>
  <c r="F147" i="4"/>
  <c r="N147" i="4" s="1"/>
  <c r="G136" i="8"/>
  <c r="O136" i="8" s="1"/>
  <c r="G136" i="5"/>
  <c r="O136" i="5" s="1"/>
  <c r="F137" i="5"/>
  <c r="N137" i="5" s="1"/>
  <c r="G147" i="7"/>
  <c r="O147" i="7" s="1"/>
  <c r="H132" i="8"/>
  <c r="I132" i="8" s="1"/>
  <c r="F150" i="6"/>
  <c r="N150" i="6" s="1"/>
  <c r="O119" i="1"/>
  <c r="P119" i="1"/>
  <c r="J133" i="1"/>
  <c r="AS133" i="1" s="1"/>
  <c r="K133" i="1"/>
  <c r="AT133" i="1" s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O134" i="6" s="1"/>
  <c r="R76" i="4"/>
  <c r="Q77" i="4"/>
  <c r="R77" i="4" s="1"/>
  <c r="G138" i="6"/>
  <c r="O138" i="6" s="1"/>
  <c r="M110" i="7"/>
  <c r="G135" i="6"/>
  <c r="O135" i="6" s="1"/>
  <c r="M116" i="4"/>
  <c r="N116" i="4" s="1"/>
  <c r="G136" i="9"/>
  <c r="O136" i="9" s="1"/>
  <c r="M114" i="4"/>
  <c r="N114" i="4" s="1"/>
  <c r="H132" i="6"/>
  <c r="I132" i="6" s="1"/>
  <c r="M110" i="9"/>
  <c r="F138" i="8"/>
  <c r="N138" i="8" s="1"/>
  <c r="F153" i="7"/>
  <c r="N153" i="7" s="1"/>
  <c r="H136" i="2"/>
  <c r="I136" i="2" s="1"/>
  <c r="Y110" i="1"/>
  <c r="M122" i="1"/>
  <c r="N110" i="1"/>
  <c r="M121" i="9"/>
  <c r="N121" i="9" s="1"/>
  <c r="G132" i="5"/>
  <c r="O132" i="5" s="1"/>
  <c r="F138" i="7"/>
  <c r="N138" i="7" s="1"/>
  <c r="F133" i="4"/>
  <c r="N133" i="4" s="1"/>
  <c r="M117" i="6"/>
  <c r="N117" i="6" s="1"/>
  <c r="M119" i="8"/>
  <c r="N119" i="8" s="1"/>
  <c r="F137" i="2"/>
  <c r="N137" i="2" s="1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O152" i="2" s="1"/>
  <c r="G138" i="2"/>
  <c r="O138" i="2" s="1"/>
  <c r="M120" i="9"/>
  <c r="N120" i="9" s="1"/>
  <c r="G138" i="7"/>
  <c r="O138" i="7" s="1"/>
  <c r="F136" i="4"/>
  <c r="N136" i="4" s="1"/>
  <c r="F152" i="6"/>
  <c r="N152" i="6" s="1"/>
  <c r="F137" i="8"/>
  <c r="N137" i="8" s="1"/>
  <c r="M116" i="5"/>
  <c r="N116" i="5" s="1"/>
  <c r="F148" i="7"/>
  <c r="N148" i="7" s="1"/>
  <c r="M112" i="6"/>
  <c r="N112" i="6" s="1"/>
  <c r="G152" i="8"/>
  <c r="O152" i="8" s="1"/>
  <c r="H135" i="8"/>
  <c r="I135" i="8" s="1"/>
  <c r="E110" i="4"/>
  <c r="G126" i="4"/>
  <c r="G127" i="4" s="1"/>
  <c r="E111" i="4"/>
  <c r="M110" i="4"/>
  <c r="G132" i="6"/>
  <c r="O132" i="6" s="1"/>
  <c r="F153" i="6"/>
  <c r="N153" i="6" s="1"/>
  <c r="P120" i="1"/>
  <c r="O120" i="1"/>
  <c r="M113" i="4"/>
  <c r="N113" i="4" s="1"/>
  <c r="F134" i="4"/>
  <c r="N134" i="4" s="1"/>
  <c r="G138" i="4"/>
  <c r="O138" i="4" s="1"/>
  <c r="E122" i="1"/>
  <c r="G135" i="9"/>
  <c r="O135" i="9" s="1"/>
  <c r="F139" i="4"/>
  <c r="N139" i="4" s="1"/>
  <c r="F139" i="6"/>
  <c r="N139" i="6" s="1"/>
  <c r="H135" i="7"/>
  <c r="I135" i="7" s="1"/>
  <c r="G139" i="4"/>
  <c r="O139" i="4" s="1"/>
  <c r="F136" i="6"/>
  <c r="N136" i="6" s="1"/>
  <c r="H133" i="8"/>
  <c r="I133" i="8" s="1"/>
  <c r="G137" i="6"/>
  <c r="O137" i="6" s="1"/>
  <c r="G147" i="9"/>
  <c r="O147" i="9" s="1"/>
  <c r="F137" i="9"/>
  <c r="N137" i="9" s="1"/>
  <c r="Q77" i="7"/>
  <c r="R77" i="7" s="1"/>
  <c r="R76" i="7"/>
  <c r="J135" i="1"/>
  <c r="AS135" i="1" s="1"/>
  <c r="K135" i="1"/>
  <c r="AT135" i="1" s="1"/>
  <c r="F134" i="5"/>
  <c r="N134" i="5" s="1"/>
  <c r="F153" i="4"/>
  <c r="N153" i="4" s="1"/>
  <c r="G151" i="8"/>
  <c r="O151" i="8" s="1"/>
  <c r="H132" i="9"/>
  <c r="I132" i="9" s="1"/>
  <c r="H135" i="2"/>
  <c r="I135" i="2" s="1"/>
  <c r="H133" i="9"/>
  <c r="I133" i="9" s="1"/>
  <c r="M134" i="1"/>
  <c r="F133" i="5"/>
  <c r="N133" i="5" s="1"/>
  <c r="F138" i="5"/>
  <c r="N138" i="5" s="1"/>
  <c r="H133" i="7"/>
  <c r="I133" i="7" s="1"/>
  <c r="G151" i="4"/>
  <c r="O151" i="4" s="1"/>
  <c r="M118" i="6"/>
  <c r="N118" i="6" s="1"/>
  <c r="M118" i="8"/>
  <c r="N118" i="8" s="1"/>
  <c r="M117" i="9"/>
  <c r="N117" i="9" s="1"/>
  <c r="C148" i="3"/>
  <c r="H148" i="3" s="1"/>
  <c r="I148" i="3" s="1"/>
  <c r="F153" i="2"/>
  <c r="N153" i="2" s="1"/>
  <c r="F139" i="2"/>
  <c r="N139" i="2" s="1"/>
  <c r="G152" i="9"/>
  <c r="O152" i="9" s="1"/>
  <c r="G151" i="7"/>
  <c r="O151" i="7" s="1"/>
  <c r="F139" i="7"/>
  <c r="N139" i="7" s="1"/>
  <c r="G147" i="4"/>
  <c r="O147" i="4" s="1"/>
  <c r="G136" i="6"/>
  <c r="O136" i="6" s="1"/>
  <c r="M120" i="2"/>
  <c r="N120" i="2" s="1"/>
  <c r="H132" i="2"/>
  <c r="I132" i="2" s="1"/>
  <c r="G151" i="9"/>
  <c r="O151" i="9" s="1"/>
  <c r="G134" i="5"/>
  <c r="O134" i="5" s="1"/>
  <c r="M112" i="7"/>
  <c r="N112" i="7" s="1"/>
  <c r="F153" i="8"/>
  <c r="N153" i="8" s="1"/>
  <c r="G139" i="7"/>
  <c r="O139" i="7" s="1"/>
  <c r="AY151" i="1" l="1"/>
  <c r="BC149" i="1"/>
  <c r="BC148" i="1"/>
  <c r="AZ150" i="1"/>
  <c r="AZ153" i="1"/>
  <c r="BB153" i="1"/>
  <c r="BA153" i="1"/>
  <c r="AY153" i="1"/>
  <c r="BC147" i="1"/>
  <c r="BC150" i="1"/>
  <c r="BC152" i="1"/>
  <c r="BB151" i="1"/>
  <c r="AZ151" i="1"/>
  <c r="BA151" i="1"/>
  <c r="AZ146" i="1"/>
  <c r="BB146" i="1"/>
  <c r="BA146" i="1"/>
  <c r="AY146" i="1"/>
  <c r="BC146" i="1"/>
  <c r="BB147" i="1"/>
  <c r="AY147" i="1"/>
  <c r="AZ147" i="1"/>
  <c r="BA147" i="1"/>
  <c r="BC153" i="1"/>
  <c r="AZ148" i="1"/>
  <c r="AY148" i="1"/>
  <c r="BA148" i="1"/>
  <c r="BB149" i="1"/>
  <c r="AZ149" i="1"/>
  <c r="AY149" i="1"/>
  <c r="BA149" i="1"/>
  <c r="BB148" i="1"/>
  <c r="BC151" i="1"/>
  <c r="BB150" i="1"/>
  <c r="BA150" i="1"/>
  <c r="AY150" i="1"/>
  <c r="BA152" i="1"/>
  <c r="BB152" i="1"/>
  <c r="AY152" i="1"/>
  <c r="AZ152" i="1"/>
  <c r="BC132" i="1"/>
  <c r="AV133" i="1"/>
  <c r="BC133" i="1" s="1"/>
  <c r="AV134" i="1"/>
  <c r="BC134" i="1" s="1"/>
  <c r="AV137" i="1"/>
  <c r="BC137" i="1" s="1"/>
  <c r="AV139" i="1"/>
  <c r="BC139" i="1" s="1"/>
  <c r="AV135" i="1"/>
  <c r="BC135" i="1" s="1"/>
  <c r="AV138" i="1"/>
  <c r="BC138" i="1" s="1"/>
  <c r="AV136" i="1"/>
  <c r="BA132" i="1"/>
  <c r="BB132" i="1"/>
  <c r="AZ132" i="1"/>
  <c r="AY132" i="1"/>
  <c r="Q79" i="1"/>
  <c r="Q82" i="1" s="1"/>
  <c r="G67" i="1"/>
  <c r="E113" i="3"/>
  <c r="E120" i="3"/>
  <c r="E121" i="3"/>
  <c r="E119" i="3"/>
  <c r="E117" i="3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M148" i="9"/>
  <c r="U152" i="1"/>
  <c r="AD152" i="1"/>
  <c r="K132" i="9"/>
  <c r="P118" i="5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K147" i="8"/>
  <c r="P118" i="7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J150" i="7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K132" i="5"/>
  <c r="O119" i="9"/>
  <c r="O115" i="5"/>
  <c r="M133" i="2"/>
  <c r="L146" i="6"/>
  <c r="L146" i="8"/>
  <c r="K139" i="5"/>
  <c r="L139" i="5"/>
  <c r="O112" i="8"/>
  <c r="M150" i="9"/>
  <c r="K148" i="8"/>
  <c r="L139" i="2"/>
  <c r="P113" i="1"/>
  <c r="L135" i="8"/>
  <c r="K147" i="9"/>
  <c r="M133" i="7"/>
  <c r="M135" i="8"/>
  <c r="K147" i="7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3" i="1"/>
  <c r="L132" i="7"/>
  <c r="M132" i="8"/>
  <c r="M134" i="4"/>
  <c r="P153" i="1"/>
  <c r="AD153" i="1"/>
  <c r="O121" i="7"/>
  <c r="R153" i="1"/>
  <c r="M132" i="7"/>
  <c r="M153" i="2"/>
  <c r="K149" i="2"/>
  <c r="U153" i="1"/>
  <c r="L135" i="5"/>
  <c r="O120" i="5"/>
  <c r="AE153" i="1"/>
  <c r="M135" i="5"/>
  <c r="K148" i="5"/>
  <c r="L153" i="2"/>
  <c r="P121" i="2"/>
  <c r="P117" i="8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O136" i="3" s="1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L149" i="7"/>
  <c r="L134" i="9"/>
  <c r="P137" i="1"/>
  <c r="M138" i="5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O151" i="3" s="1"/>
  <c r="G153" i="3"/>
  <c r="O153" i="3" s="1"/>
  <c r="K150" i="2"/>
  <c r="M153" i="7"/>
  <c r="M117" i="3"/>
  <c r="N117" i="3" s="1"/>
  <c r="O117" i="3" s="1"/>
  <c r="L134" i="8"/>
  <c r="O115" i="2"/>
  <c r="G133" i="3"/>
  <c r="O133" i="3" s="1"/>
  <c r="J133" i="8"/>
  <c r="G149" i="3"/>
  <c r="O149" i="3" s="1"/>
  <c r="F152" i="3"/>
  <c r="N152" i="3" s="1"/>
  <c r="G150" i="3"/>
  <c r="O150" i="3" s="1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N147" i="3" s="1"/>
  <c r="L146" i="5"/>
  <c r="H133" i="3"/>
  <c r="I133" i="3" s="1"/>
  <c r="G134" i="3"/>
  <c r="O134" i="3" s="1"/>
  <c r="F150" i="3"/>
  <c r="N150" i="3" s="1"/>
  <c r="L134" i="2"/>
  <c r="M152" i="6"/>
  <c r="AD149" i="1"/>
  <c r="F151" i="3"/>
  <c r="N151" i="3" s="1"/>
  <c r="J150" i="2"/>
  <c r="M139" i="9"/>
  <c r="G152" i="3"/>
  <c r="O152" i="3" s="1"/>
  <c r="M114" i="3"/>
  <c r="N114" i="3" s="1"/>
  <c r="P114" i="3" s="1"/>
  <c r="J147" i="7"/>
  <c r="Q138" i="1"/>
  <c r="G135" i="3"/>
  <c r="O135" i="3" s="1"/>
  <c r="R136" i="1"/>
  <c r="K135" i="7"/>
  <c r="L137" i="5"/>
  <c r="G147" i="3"/>
  <c r="O147" i="3" s="1"/>
  <c r="M153" i="8"/>
  <c r="F135" i="3"/>
  <c r="N135" i="3" s="1"/>
  <c r="M134" i="2"/>
  <c r="M152" i="5"/>
  <c r="AF149" i="1"/>
  <c r="G148" i="3"/>
  <c r="O148" i="3" s="1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M152" i="8"/>
  <c r="L152" i="8"/>
  <c r="L135" i="6"/>
  <c r="M135" i="6"/>
  <c r="O116" i="9"/>
  <c r="P116" i="9"/>
  <c r="AF138" i="1"/>
  <c r="V138" i="1"/>
  <c r="U138" i="1"/>
  <c r="AD138" i="1"/>
  <c r="W138" i="1"/>
  <c r="AE138" i="1"/>
  <c r="K152" i="2"/>
  <c r="J152" i="2"/>
  <c r="M147" i="6"/>
  <c r="L147" i="6"/>
  <c r="P110" i="6"/>
  <c r="O110" i="6"/>
  <c r="N122" i="6"/>
  <c r="J136" i="4"/>
  <c r="K136" i="4"/>
  <c r="K137" i="4"/>
  <c r="J137" i="4"/>
  <c r="J139" i="2"/>
  <c r="K139" i="2"/>
  <c r="P117" i="9"/>
  <c r="O117" i="9"/>
  <c r="L139" i="4"/>
  <c r="M139" i="4"/>
  <c r="Q136" i="1"/>
  <c r="K137" i="2"/>
  <c r="J137" i="2"/>
  <c r="M136" i="9"/>
  <c r="L136" i="9"/>
  <c r="E122" i="6"/>
  <c r="J151" i="7"/>
  <c r="K151" i="7"/>
  <c r="P110" i="8"/>
  <c r="N122" i="8"/>
  <c r="O110" i="8"/>
  <c r="H136" i="3"/>
  <c r="I136" i="3" s="1"/>
  <c r="M149" i="6"/>
  <c r="L149" i="6"/>
  <c r="M137" i="2"/>
  <c r="L137" i="2"/>
  <c r="K152" i="5"/>
  <c r="J152" i="5"/>
  <c r="L137" i="9"/>
  <c r="M137" i="9"/>
  <c r="O113" i="5"/>
  <c r="P113" i="5"/>
  <c r="M153" i="5"/>
  <c r="L153" i="5"/>
  <c r="F139" i="3"/>
  <c r="N139" i="3" s="1"/>
  <c r="M151" i="5"/>
  <c r="L151" i="5"/>
  <c r="E122" i="8"/>
  <c r="M153" i="9"/>
  <c r="L153" i="9"/>
  <c r="M149" i="9"/>
  <c r="L149" i="9"/>
  <c r="P111" i="1"/>
  <c r="O111" i="1"/>
  <c r="J135" i="5"/>
  <c r="K135" i="5"/>
  <c r="G137" i="3"/>
  <c r="O137" i="3" s="1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M137" i="4"/>
  <c r="L137" i="4"/>
  <c r="J149" i="6"/>
  <c r="K149" i="6"/>
  <c r="K137" i="6"/>
  <c r="J137" i="6"/>
  <c r="J152" i="4"/>
  <c r="K152" i="4"/>
  <c r="M151" i="9"/>
  <c r="L151" i="9"/>
  <c r="M136" i="6"/>
  <c r="L136" i="6"/>
  <c r="M151" i="4"/>
  <c r="L151" i="4"/>
  <c r="M151" i="8"/>
  <c r="L151" i="8"/>
  <c r="P138" i="1"/>
  <c r="K139" i="4"/>
  <c r="J139" i="4"/>
  <c r="M132" i="6"/>
  <c r="L132" i="6"/>
  <c r="J148" i="7"/>
  <c r="K148" i="7"/>
  <c r="M138" i="7"/>
  <c r="L138" i="7"/>
  <c r="J133" i="4"/>
  <c r="K133" i="4"/>
  <c r="J153" i="7"/>
  <c r="K153" i="7"/>
  <c r="N110" i="9"/>
  <c r="M122" i="9"/>
  <c r="L134" i="6"/>
  <c r="M134" i="6"/>
  <c r="J137" i="5"/>
  <c r="K137" i="5"/>
  <c r="O120" i="8"/>
  <c r="P120" i="8"/>
  <c r="J149" i="7"/>
  <c r="K149" i="7"/>
  <c r="K132" i="4"/>
  <c r="J132" i="4"/>
  <c r="K151" i="5"/>
  <c r="J151" i="5"/>
  <c r="M146" i="4"/>
  <c r="L146" i="4"/>
  <c r="F153" i="3"/>
  <c r="N153" i="3" s="1"/>
  <c r="K133" i="2"/>
  <c r="J133" i="2"/>
  <c r="P113" i="2"/>
  <c r="O113" i="2"/>
  <c r="M122" i="2"/>
  <c r="J135" i="4"/>
  <c r="K135" i="4"/>
  <c r="O115" i="6"/>
  <c r="P115" i="6"/>
  <c r="P112" i="2"/>
  <c r="O112" i="2"/>
  <c r="L132" i="2"/>
  <c r="M132" i="2"/>
  <c r="K138" i="4"/>
  <c r="J138" i="4"/>
  <c r="E122" i="2"/>
  <c r="K147" i="6"/>
  <c r="J147" i="6"/>
  <c r="K148" i="4"/>
  <c r="J148" i="4"/>
  <c r="F134" i="3"/>
  <c r="N134" i="3" s="1"/>
  <c r="J146" i="7"/>
  <c r="K146" i="7"/>
  <c r="J138" i="6"/>
  <c r="K138" i="6"/>
  <c r="R80" i="1"/>
  <c r="R83" i="1" s="1"/>
  <c r="Q80" i="1"/>
  <c r="Q83" i="1" s="1"/>
  <c r="O118" i="8"/>
  <c r="P118" i="8"/>
  <c r="J149" i="8"/>
  <c r="K149" i="8"/>
  <c r="M150" i="5"/>
  <c r="L150" i="5"/>
  <c r="P120" i="2"/>
  <c r="O120" i="2"/>
  <c r="R138" i="1"/>
  <c r="J138" i="2"/>
  <c r="K138" i="2"/>
  <c r="K153" i="4"/>
  <c r="J153" i="4"/>
  <c r="M135" i="9"/>
  <c r="L135" i="9"/>
  <c r="K153" i="6"/>
  <c r="J153" i="6"/>
  <c r="P116" i="5"/>
  <c r="O116" i="5"/>
  <c r="P120" i="9"/>
  <c r="O120" i="9"/>
  <c r="K138" i="7"/>
  <c r="J138" i="7"/>
  <c r="K138" i="8"/>
  <c r="J138" i="8"/>
  <c r="P116" i="4"/>
  <c r="O116" i="4"/>
  <c r="L136" i="5"/>
  <c r="M136" i="5"/>
  <c r="M136" i="2"/>
  <c r="L136" i="2"/>
  <c r="J135" i="9"/>
  <c r="P113" i="9"/>
  <c r="O113" i="9"/>
  <c r="P116" i="6"/>
  <c r="O116" i="6"/>
  <c r="O110" i="2"/>
  <c r="P110" i="2"/>
  <c r="N122" i="2"/>
  <c r="L136" i="4"/>
  <c r="M136" i="4"/>
  <c r="P115" i="8"/>
  <c r="O115" i="8"/>
  <c r="F146" i="3"/>
  <c r="N146" i="3" s="1"/>
  <c r="K146" i="8"/>
  <c r="J146" i="8"/>
  <c r="J136" i="7"/>
  <c r="K136" i="7"/>
  <c r="P120" i="4"/>
  <c r="O120" i="4"/>
  <c r="AE134" i="1"/>
  <c r="AF134" i="1"/>
  <c r="U134" i="1"/>
  <c r="AD134" i="1"/>
  <c r="V134" i="1"/>
  <c r="V137" i="1"/>
  <c r="U137" i="1"/>
  <c r="AD137" i="1"/>
  <c r="AE137" i="1"/>
  <c r="AF137" i="1"/>
  <c r="W137" i="1"/>
  <c r="J146" i="4"/>
  <c r="K146" i="4"/>
  <c r="M120" i="3"/>
  <c r="N120" i="3" s="1"/>
  <c r="M146" i="9"/>
  <c r="L146" i="9"/>
  <c r="E122" i="7"/>
  <c r="O121" i="4"/>
  <c r="P121" i="4"/>
  <c r="L134" i="4"/>
  <c r="P113" i="6"/>
  <c r="O113" i="6"/>
  <c r="M137" i="6"/>
  <c r="L137" i="6"/>
  <c r="P112" i="6"/>
  <c r="O112" i="6"/>
  <c r="J133" i="9"/>
  <c r="K133" i="9"/>
  <c r="M148" i="8"/>
  <c r="L148" i="8"/>
  <c r="J133" i="6"/>
  <c r="K133" i="6"/>
  <c r="J150" i="4"/>
  <c r="K150" i="4"/>
  <c r="K137" i="8"/>
  <c r="J137" i="8"/>
  <c r="L138" i="2"/>
  <c r="M138" i="2"/>
  <c r="M132" i="5"/>
  <c r="L132" i="5"/>
  <c r="O114" i="4"/>
  <c r="P114" i="4"/>
  <c r="M136" i="8"/>
  <c r="L136" i="8"/>
  <c r="J134" i="6"/>
  <c r="K134" i="6"/>
  <c r="AF150" i="1"/>
  <c r="V150" i="1"/>
  <c r="U150" i="1"/>
  <c r="AD150" i="1"/>
  <c r="AE150" i="1"/>
  <c r="K135" i="9"/>
  <c r="M149" i="4"/>
  <c r="L149" i="4"/>
  <c r="M150" i="7"/>
  <c r="L150" i="7"/>
  <c r="M133" i="6"/>
  <c r="L133" i="6"/>
  <c r="L148" i="7"/>
  <c r="M148" i="7"/>
  <c r="P118" i="4"/>
  <c r="O118" i="4"/>
  <c r="J148" i="6"/>
  <c r="K148" i="6"/>
  <c r="L153" i="6"/>
  <c r="M153" i="6"/>
  <c r="E122" i="5"/>
  <c r="M146" i="7"/>
  <c r="L146" i="7"/>
  <c r="K135" i="6"/>
  <c r="J135" i="6"/>
  <c r="P120" i="6"/>
  <c r="O120" i="6"/>
  <c r="M135" i="2"/>
  <c r="L135" i="2"/>
  <c r="R137" i="1"/>
  <c r="U133" i="1"/>
  <c r="AD133" i="1"/>
  <c r="AF133" i="1"/>
  <c r="AE133" i="1"/>
  <c r="W133" i="1"/>
  <c r="V133" i="1"/>
  <c r="M133" i="4"/>
  <c r="L133" i="4"/>
  <c r="K151" i="9"/>
  <c r="J151" i="9"/>
  <c r="AF136" i="1"/>
  <c r="W136" i="1"/>
  <c r="AE136" i="1"/>
  <c r="AD136" i="1"/>
  <c r="V136" i="1"/>
  <c r="U136" i="1"/>
  <c r="K152" i="9"/>
  <c r="J152" i="9"/>
  <c r="M153" i="4"/>
  <c r="L153" i="4"/>
  <c r="K139" i="6"/>
  <c r="J139" i="6"/>
  <c r="P117" i="6"/>
  <c r="O117" i="6"/>
  <c r="M138" i="6"/>
  <c r="L138" i="6"/>
  <c r="M147" i="7"/>
  <c r="L147" i="7"/>
  <c r="P111" i="2"/>
  <c r="O111" i="2"/>
  <c r="O119" i="7"/>
  <c r="P119" i="7"/>
  <c r="M147" i="4"/>
  <c r="L147" i="4"/>
  <c r="J138" i="5"/>
  <c r="K138" i="5"/>
  <c r="J137" i="9"/>
  <c r="K137" i="9"/>
  <c r="M151" i="7"/>
  <c r="L151" i="7"/>
  <c r="K133" i="5"/>
  <c r="J133" i="5"/>
  <c r="P121" i="9"/>
  <c r="O121" i="9"/>
  <c r="K150" i="6"/>
  <c r="J150" i="6"/>
  <c r="K147" i="4"/>
  <c r="J147" i="4"/>
  <c r="M132" i="4"/>
  <c r="L132" i="4"/>
  <c r="M152" i="7"/>
  <c r="L152" i="7"/>
  <c r="J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K149" i="4"/>
  <c r="J149" i="4"/>
  <c r="O112" i="4"/>
  <c r="P112" i="4"/>
  <c r="O115" i="4"/>
  <c r="P115" i="4"/>
  <c r="M112" i="3"/>
  <c r="N112" i="3" s="1"/>
  <c r="M139" i="6"/>
  <c r="L139" i="6"/>
  <c r="O117" i="4"/>
  <c r="P117" i="4"/>
  <c r="M148" i="4"/>
  <c r="L148" i="4"/>
  <c r="K135" i="2"/>
  <c r="J135" i="2"/>
  <c r="P111" i="4"/>
  <c r="O111" i="4"/>
  <c r="P119" i="6"/>
  <c r="O119" i="6"/>
  <c r="K152" i="7"/>
  <c r="J152" i="7"/>
  <c r="M116" i="3"/>
  <c r="N116" i="3" s="1"/>
  <c r="Q137" i="1"/>
  <c r="K153" i="2"/>
  <c r="J153" i="2"/>
  <c r="M132" i="9"/>
  <c r="L132" i="9"/>
  <c r="L136" i="7"/>
  <c r="M136" i="7"/>
  <c r="K151" i="6"/>
  <c r="J151" i="6"/>
  <c r="L134" i="5"/>
  <c r="M134" i="5"/>
  <c r="R76" i="3"/>
  <c r="Q77" i="3"/>
  <c r="R77" i="3" s="1"/>
  <c r="O111" i="6"/>
  <c r="P111" i="6"/>
  <c r="J134" i="9"/>
  <c r="K134" i="9"/>
  <c r="K151" i="4"/>
  <c r="J151" i="4"/>
  <c r="J135" i="7"/>
  <c r="R79" i="1"/>
  <c r="R82" i="1" s="1"/>
  <c r="M139" i="7"/>
  <c r="L139" i="7"/>
  <c r="J153" i="8"/>
  <c r="K153" i="8"/>
  <c r="K139" i="7"/>
  <c r="J139" i="7"/>
  <c r="K134" i="5"/>
  <c r="J134" i="5"/>
  <c r="M147" i="9"/>
  <c r="L147" i="9"/>
  <c r="M138" i="4"/>
  <c r="L138" i="4"/>
  <c r="K134" i="4"/>
  <c r="J134" i="4"/>
  <c r="K152" i="6"/>
  <c r="J152" i="6"/>
  <c r="M152" i="2"/>
  <c r="L152" i="2"/>
  <c r="P133" i="1"/>
  <c r="L152" i="9"/>
  <c r="M152" i="9"/>
  <c r="AE135" i="1"/>
  <c r="AD135" i="1"/>
  <c r="AF135" i="1"/>
  <c r="V135" i="1"/>
  <c r="U135" i="1"/>
  <c r="J136" i="6"/>
  <c r="K136" i="6"/>
  <c r="O113" i="4"/>
  <c r="P113" i="4"/>
  <c r="N110" i="4"/>
  <c r="M122" i="4"/>
  <c r="O110" i="1"/>
  <c r="P110" i="1"/>
  <c r="N122" i="1"/>
  <c r="N110" i="7"/>
  <c r="M122" i="7"/>
  <c r="G146" i="3"/>
  <c r="O146" i="3" s="1"/>
  <c r="A201" i="2"/>
  <c r="A205" i="2" s="1" a="1"/>
  <c r="M135" i="4"/>
  <c r="L135" i="4"/>
  <c r="F149" i="3"/>
  <c r="N149" i="3" s="1"/>
  <c r="L137" i="7"/>
  <c r="M137" i="7"/>
  <c r="M122" i="8"/>
  <c r="K146" i="6"/>
  <c r="J146" i="6"/>
  <c r="F132" i="3"/>
  <c r="N132" i="3" s="1"/>
  <c r="J150" i="9"/>
  <c r="K150" i="9"/>
  <c r="K134" i="7"/>
  <c r="J134" i="7"/>
  <c r="G138" i="3"/>
  <c r="O138" i="3" s="1"/>
  <c r="K133" i="7"/>
  <c r="J133" i="7"/>
  <c r="P120" i="7"/>
  <c r="O120" i="7"/>
  <c r="J132" i="6"/>
  <c r="K132" i="6"/>
  <c r="M118" i="3"/>
  <c r="N118" i="3" s="1"/>
  <c r="O117" i="7"/>
  <c r="P117" i="7"/>
  <c r="J153" i="9"/>
  <c r="K153" i="9"/>
  <c r="K136" i="5"/>
  <c r="J136" i="5"/>
  <c r="J152" i="8"/>
  <c r="K152" i="8"/>
  <c r="J148" i="9"/>
  <c r="K148" i="9"/>
  <c r="BC154" i="1" l="1"/>
  <c r="BA154" i="1"/>
  <c r="AY154" i="1"/>
  <c r="BB154" i="1"/>
  <c r="AZ154" i="1"/>
  <c r="H112" i="1"/>
  <c r="AZ134" i="1"/>
  <c r="BB134" i="1"/>
  <c r="BA134" i="1"/>
  <c r="AY134" i="1"/>
  <c r="BA136" i="1"/>
  <c r="BB136" i="1"/>
  <c r="AZ136" i="1"/>
  <c r="AY136" i="1"/>
  <c r="BC136" i="1"/>
  <c r="BC140" i="1" s="1"/>
  <c r="BA139" i="1"/>
  <c r="AY139" i="1"/>
  <c r="BB139" i="1"/>
  <c r="AZ139" i="1"/>
  <c r="AY138" i="1"/>
  <c r="AZ138" i="1"/>
  <c r="BB138" i="1"/>
  <c r="BA138" i="1"/>
  <c r="BB133" i="1"/>
  <c r="BA133" i="1"/>
  <c r="AY133" i="1"/>
  <c r="AZ133" i="1"/>
  <c r="BB135" i="1"/>
  <c r="AY135" i="1"/>
  <c r="AZ135" i="1"/>
  <c r="BA135" i="1"/>
  <c r="AY137" i="1"/>
  <c r="AZ137" i="1"/>
  <c r="BA137" i="1"/>
  <c r="BB137" i="1"/>
  <c r="U82" i="1"/>
  <c r="U83" i="1" s="1"/>
  <c r="J151" i="3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P132" i="8"/>
  <c r="Q148" i="2"/>
  <c r="K136" i="3"/>
  <c r="P134" i="8"/>
  <c r="P121" i="3"/>
  <c r="J136" i="3"/>
  <c r="M147" i="3"/>
  <c r="K147" i="3"/>
  <c r="M133" i="3"/>
  <c r="M136" i="3"/>
  <c r="Y149" i="1"/>
  <c r="AB149" i="1" s="1"/>
  <c r="P135" i="5"/>
  <c r="P132" i="7"/>
  <c r="M135" i="3"/>
  <c r="K152" i="3"/>
  <c r="K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K137" i="3"/>
  <c r="X151" i="1"/>
  <c r="AA151" i="1" s="1"/>
  <c r="AH147" i="1"/>
  <c r="Q149" i="2"/>
  <c r="Q133" i="8"/>
  <c r="R149" i="2"/>
  <c r="R148" i="5"/>
  <c r="Q148" i="5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K134" i="3"/>
  <c r="J134" i="3"/>
  <c r="P136" i="9"/>
  <c r="Q136" i="9"/>
  <c r="R136" i="9"/>
  <c r="Q150" i="9"/>
  <c r="K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J153" i="3"/>
  <c r="P118" i="3"/>
  <c r="O118" i="3"/>
  <c r="J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L137" i="3"/>
  <c r="M137" i="3"/>
  <c r="Q149" i="9"/>
  <c r="P149" i="9"/>
  <c r="R149" i="9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AK112" i="1" l="1"/>
  <c r="AH112" i="1"/>
  <c r="AL112" i="1"/>
  <c r="AI112" i="1"/>
  <c r="AY140" i="1"/>
  <c r="BA140" i="1"/>
  <c r="AZ140" i="1"/>
  <c r="BB140" i="1"/>
  <c r="W82" i="1"/>
  <c r="W81" i="1" s="1"/>
  <c r="P156" i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P142" i="8"/>
  <c r="P143" i="2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Q97" i="1" l="1"/>
  <c r="Q92" i="1"/>
  <c r="P157" i="3"/>
  <c r="P143" i="3"/>
  <c r="P156" i="3"/>
  <c r="P142" i="3"/>
  <c r="H116" i="1"/>
  <c r="H113" i="1"/>
  <c r="H117" i="1"/>
  <c r="H111" i="1"/>
  <c r="B67" i="7"/>
  <c r="H118" i="7" s="1"/>
  <c r="H118" i="1"/>
  <c r="B67" i="3"/>
  <c r="H113" i="3" s="1"/>
  <c r="B67" i="4"/>
  <c r="H115" i="4" s="1"/>
  <c r="K115" i="4" s="1"/>
  <c r="L115" i="4" s="1"/>
  <c r="H120" i="1"/>
  <c r="B67" i="2"/>
  <c r="H113" i="2" s="1"/>
  <c r="H110" i="1"/>
  <c r="B67" i="6"/>
  <c r="H112" i="6" s="1"/>
  <c r="H114" i="1"/>
  <c r="B67" i="8"/>
  <c r="H117" i="8" s="1"/>
  <c r="H115" i="1"/>
  <c r="H121" i="1"/>
  <c r="H119" i="1"/>
  <c r="I67" i="1"/>
  <c r="E175" i="1"/>
  <c r="B67" i="9" s="1"/>
  <c r="AL116" i="1" l="1"/>
  <c r="AK116" i="1"/>
  <c r="AH116" i="1"/>
  <c r="AI116" i="1"/>
  <c r="AL119" i="1"/>
  <c r="AK119" i="1"/>
  <c r="AH119" i="1"/>
  <c r="AI119" i="1"/>
  <c r="AL115" i="1"/>
  <c r="AK115" i="1"/>
  <c r="AI115" i="1"/>
  <c r="AH115" i="1"/>
  <c r="AI113" i="1"/>
  <c r="AH113" i="1"/>
  <c r="AK113" i="1"/>
  <c r="AL113" i="1"/>
  <c r="AK118" i="1"/>
  <c r="AI118" i="1"/>
  <c r="AL118" i="1"/>
  <c r="AH118" i="1"/>
  <c r="AI121" i="1"/>
  <c r="AH121" i="1"/>
  <c r="AK121" i="1"/>
  <c r="AL121" i="1"/>
  <c r="AL114" i="1"/>
  <c r="AK114" i="1"/>
  <c r="AH114" i="1"/>
  <c r="AI114" i="1"/>
  <c r="AI120" i="1"/>
  <c r="AH120" i="1"/>
  <c r="AK120" i="1"/>
  <c r="AL120" i="1"/>
  <c r="AL111" i="1"/>
  <c r="AK111" i="1"/>
  <c r="AI111" i="1"/>
  <c r="AH111" i="1"/>
  <c r="AL110" i="1"/>
  <c r="AK110" i="1"/>
  <c r="AI110" i="1"/>
  <c r="AH110" i="1"/>
  <c r="AI117" i="1"/>
  <c r="AH117" i="1"/>
  <c r="AL117" i="1"/>
  <c r="AK117" i="1"/>
  <c r="I117" i="1"/>
  <c r="J120" i="1"/>
  <c r="I120" i="1"/>
  <c r="Q116" i="1"/>
  <c r="I116" i="1"/>
  <c r="R118" i="1"/>
  <c r="I118" i="1"/>
  <c r="Q121" i="1"/>
  <c r="I121" i="1"/>
  <c r="I114" i="1"/>
  <c r="K113" i="1"/>
  <c r="L113" i="1" s="1"/>
  <c r="I113" i="1"/>
  <c r="R111" i="1"/>
  <c r="I111" i="1"/>
  <c r="Q119" i="1"/>
  <c r="I119" i="1"/>
  <c r="I115" i="1"/>
  <c r="R110" i="1"/>
  <c r="I110" i="1"/>
  <c r="J110" i="1"/>
  <c r="J112" i="1"/>
  <c r="I112" i="1"/>
  <c r="E176" i="1"/>
  <c r="E177" i="1" s="1"/>
  <c r="E178" i="1" s="1"/>
  <c r="AB113" i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AB119" i="1"/>
  <c r="AB120" i="1"/>
  <c r="J118" i="1"/>
  <c r="Q111" i="1"/>
  <c r="H110" i="6"/>
  <c r="I110" i="6" s="1"/>
  <c r="J111" i="1"/>
  <c r="R119" i="1"/>
  <c r="E175" i="6"/>
  <c r="E176" i="6" s="1"/>
  <c r="E177" i="6" s="1"/>
  <c r="H121" i="6"/>
  <c r="I121" i="6" s="1"/>
  <c r="Q112" i="1"/>
  <c r="K118" i="1"/>
  <c r="L118" i="1" s="1"/>
  <c r="AB114" i="1"/>
  <c r="H119" i="9"/>
  <c r="J113" i="1"/>
  <c r="Q110" i="1"/>
  <c r="AB115" i="1"/>
  <c r="AB118" i="1"/>
  <c r="Q115" i="1"/>
  <c r="I115" i="4"/>
  <c r="E175" i="8"/>
  <c r="E176" i="8" s="1"/>
  <c r="E177" i="8" s="1"/>
  <c r="Q118" i="1"/>
  <c r="K111" i="1"/>
  <c r="L111" i="1" s="1"/>
  <c r="H119" i="2"/>
  <c r="K119" i="2" s="1"/>
  <c r="L119" i="2" s="1"/>
  <c r="H121" i="2"/>
  <c r="I121" i="2" s="1"/>
  <c r="R112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J114" i="1"/>
  <c r="H116" i="8"/>
  <c r="H112" i="2"/>
  <c r="H119" i="4"/>
  <c r="H120" i="4"/>
  <c r="H113" i="4"/>
  <c r="H116" i="7"/>
  <c r="H122" i="1"/>
  <c r="E175" i="7"/>
  <c r="E176" i="7" s="1"/>
  <c r="E177" i="7" s="1"/>
  <c r="K110" i="1"/>
  <c r="L110" i="1" s="1"/>
  <c r="K119" i="1"/>
  <c r="L119" i="1" s="1"/>
  <c r="K121" i="1"/>
  <c r="L121" i="1" s="1"/>
  <c r="R115" i="1"/>
  <c r="R114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T116" i="1" l="1"/>
  <c r="W116" i="1" s="1"/>
  <c r="AH122" i="1"/>
  <c r="AZ156" i="1" s="1"/>
  <c r="AK122" i="1"/>
  <c r="AZ157" i="1" s="1"/>
  <c r="AL122" i="1"/>
  <c r="T110" i="1"/>
  <c r="W110" i="1" s="1"/>
  <c r="AI122" i="1"/>
  <c r="U111" i="1"/>
  <c r="X111" i="1" s="1"/>
  <c r="U118" i="1"/>
  <c r="X118" i="1" s="1"/>
  <c r="T119" i="1"/>
  <c r="W119" i="1" s="1"/>
  <c r="T121" i="1"/>
  <c r="W121" i="1" s="1"/>
  <c r="H121" i="5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AZ159" i="1" l="1"/>
  <c r="J121" i="5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C182" i="1"/>
  <c r="A195" i="7" a="1"/>
  <c r="A201" i="7"/>
  <c r="A205" i="7" s="1" a="1"/>
  <c r="B182" i="1"/>
  <c r="F186" i="4"/>
  <c r="A191" i="1" l="1"/>
  <c r="W191" i="1" s="1"/>
  <c r="C183" i="1"/>
  <c r="D192" i="1" s="1"/>
  <c r="Z192" i="1" s="1"/>
  <c r="B183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L61" i="1" l="1"/>
  <c r="A202" i="1"/>
  <c r="C214" i="1"/>
  <c r="A185" i="1" a="1"/>
  <c r="C187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205" i="1" a="1"/>
  <c r="A205" i="1" s="1"/>
  <c r="C217" i="1" l="1"/>
  <c r="B216" i="1"/>
  <c r="C218" i="1"/>
  <c r="A217" i="1"/>
  <c r="B217" i="1"/>
  <c r="B218" i="1"/>
  <c r="A216" i="1"/>
  <c r="C216" i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B205" i="1"/>
  <c r="C207" i="1"/>
  <c r="C205" i="1"/>
  <c r="C206" i="1"/>
  <c r="A206" i="1"/>
  <c r="A207" i="1"/>
  <c r="B207" i="1"/>
  <c r="B206" i="1"/>
  <c r="P135" i="1"/>
  <c r="W135" i="1"/>
  <c r="Q135" i="1"/>
  <c r="R135" i="1"/>
  <c r="P134" i="1"/>
  <c r="R134" i="1"/>
  <c r="Q134" i="1"/>
  <c r="W134" i="1"/>
  <c r="R140" i="1" l="1"/>
  <c r="Q140" i="1"/>
  <c r="P140" i="1"/>
  <c r="T140" i="1" s="1"/>
  <c r="B160" i="1" l="1"/>
  <c r="B161" i="1"/>
  <c r="B159" i="1"/>
  <c r="B164" i="1" s="1"/>
  <c r="E164" i="1" s="1"/>
  <c r="AD190" i="1" s="1"/>
  <c r="P143" i="1"/>
  <c r="P142" i="1"/>
  <c r="B165" i="1" l="1"/>
  <c r="E165" i="1" s="1"/>
  <c r="AD191" i="1" s="1"/>
  <c r="B166" i="1"/>
  <c r="E166" i="1" s="1"/>
  <c r="AE192" i="1" s="1"/>
  <c r="I55" i="1"/>
  <c r="I55" i="7" s="1"/>
  <c r="F185" i="1"/>
  <c r="AE190" i="1"/>
  <c r="AC190" i="1"/>
  <c r="AB190" i="1"/>
  <c r="Q87" i="1"/>
  <c r="R87" i="1"/>
  <c r="R90" i="1" s="1"/>
  <c r="AB191" i="1" l="1"/>
  <c r="I56" i="1"/>
  <c r="I56" i="8" s="1"/>
  <c r="F186" i="1"/>
  <c r="AE191" i="1"/>
  <c r="AC191" i="1"/>
  <c r="AC192" i="1"/>
  <c r="F187" i="1"/>
  <c r="AB192" i="1"/>
  <c r="I57" i="1"/>
  <c r="I57" i="3" s="1"/>
  <c r="AD192" i="1"/>
  <c r="Q90" i="1"/>
  <c r="Q85" i="1"/>
  <c r="I55" i="3"/>
  <c r="I55" i="4"/>
  <c r="I55" i="8"/>
  <c r="I55" i="2"/>
  <c r="I55" i="6"/>
  <c r="I55" i="9"/>
  <c r="I55" i="5"/>
  <c r="H205" i="1" l="1" a="1"/>
  <c r="H205" i="1" s="1"/>
  <c r="J205" i="1" s="1"/>
  <c r="L207" i="1" s="1"/>
  <c r="I56" i="3"/>
  <c r="I56" i="7"/>
  <c r="I56" i="2"/>
  <c r="I56" i="4"/>
  <c r="I56" i="9"/>
  <c r="I56" i="6"/>
  <c r="I56" i="5"/>
  <c r="H216" i="1" a="1"/>
  <c r="S218" i="1" s="1"/>
  <c r="U218" i="1" s="1"/>
  <c r="W219" i="1" s="1"/>
  <c r="H195" i="1" a="1"/>
  <c r="H196" i="1" s="1"/>
  <c r="J196" i="1" s="1"/>
  <c r="L195" i="1" s="1"/>
  <c r="H185" i="1" a="1"/>
  <c r="H185" i="1" s="1"/>
  <c r="J185" i="1" s="1"/>
  <c r="L187" i="1" s="1"/>
  <c r="AB195" i="1" a="1"/>
  <c r="AD197" i="1" s="1"/>
  <c r="L57" i="1"/>
  <c r="L57" i="8" s="1"/>
  <c r="I57" i="6"/>
  <c r="I57" i="4"/>
  <c r="I57" i="2"/>
  <c r="I57" i="8"/>
  <c r="I57" i="5"/>
  <c r="I57" i="9"/>
  <c r="I57" i="7"/>
  <c r="H207" i="1" l="1"/>
  <c r="J207" i="1" s="1"/>
  <c r="L206" i="1" s="1"/>
  <c r="H206" i="1"/>
  <c r="S206" i="1" s="1"/>
  <c r="U206" i="1" s="1"/>
  <c r="W205" i="1" s="1"/>
  <c r="S205" i="1"/>
  <c r="U205" i="1" s="1"/>
  <c r="W207" i="1" s="1"/>
  <c r="S217" i="1"/>
  <c r="U217" i="1" s="1"/>
  <c r="W217" i="1" s="1"/>
  <c r="J218" i="1"/>
  <c r="L219" i="1" s="1"/>
  <c r="J217" i="1"/>
  <c r="L217" i="1" s="1"/>
  <c r="L57" i="9"/>
  <c r="L57" i="6"/>
  <c r="L57" i="5"/>
  <c r="L57" i="3"/>
  <c r="S196" i="1"/>
  <c r="U196" i="1" s="1"/>
  <c r="W195" i="1" s="1"/>
  <c r="H187" i="1"/>
  <c r="J187" i="1" s="1"/>
  <c r="L186" i="1" s="1"/>
  <c r="H195" i="1"/>
  <c r="J195" i="1" s="1"/>
  <c r="L197" i="1" s="1"/>
  <c r="H197" i="1"/>
  <c r="J197" i="1" s="1"/>
  <c r="L196" i="1" s="1"/>
  <c r="H198" i="1"/>
  <c r="J198" i="1" s="1"/>
  <c r="L198" i="1" s="1"/>
  <c r="H186" i="1"/>
  <c r="J186" i="1" s="1"/>
  <c r="L185" i="1" s="1"/>
  <c r="H188" i="1"/>
  <c r="J188" i="1" s="1"/>
  <c r="L188" i="1" s="1"/>
  <c r="H216" i="1"/>
  <c r="J216" i="1" s="1"/>
  <c r="L216" i="1" s="1"/>
  <c r="AB198" i="1"/>
  <c r="AB196" i="1"/>
  <c r="AB197" i="1"/>
  <c r="AC195" i="1"/>
  <c r="AD195" i="1"/>
  <c r="AE198" i="1"/>
  <c r="AC198" i="1"/>
  <c r="AE195" i="1"/>
  <c r="AC197" i="1"/>
  <c r="AE197" i="1"/>
  <c r="AC196" i="1"/>
  <c r="AE196" i="1"/>
  <c r="AB195" i="1"/>
  <c r="AD196" i="1"/>
  <c r="AD198" i="1"/>
  <c r="L57" i="4"/>
  <c r="M59" i="1"/>
  <c r="M59" i="6" s="1"/>
  <c r="L57" i="7"/>
  <c r="J206" i="1" l="1"/>
  <c r="L205" i="1" s="1"/>
  <c r="S207" i="1"/>
  <c r="U207" i="1" s="1"/>
  <c r="W206" i="1" s="1"/>
  <c r="S195" i="1"/>
  <c r="U195" i="1" s="1"/>
  <c r="W197" i="1" s="1"/>
  <c r="S197" i="1"/>
  <c r="U197" i="1" s="1"/>
  <c r="W196" i="1" s="1"/>
  <c r="S216" i="1"/>
  <c r="U216" i="1" s="1"/>
  <c r="W216" i="1" s="1"/>
  <c r="AG195" i="1" a="1"/>
  <c r="AH198" i="1" s="1"/>
  <c r="M57" i="1"/>
  <c r="M57" i="4" s="1"/>
  <c r="M59" i="3"/>
  <c r="S198" i="1"/>
  <c r="U198" i="1" s="1"/>
  <c r="W198" i="1" s="1"/>
  <c r="M59" i="9"/>
  <c r="M59" i="2"/>
  <c r="M59" i="8"/>
  <c r="M59" i="5"/>
  <c r="M59" i="7"/>
  <c r="M59" i="4"/>
  <c r="Q30" i="1" l="1"/>
  <c r="M57" i="5"/>
  <c r="M57" i="7"/>
  <c r="AG196" i="1"/>
  <c r="M57" i="3"/>
  <c r="AI197" i="1"/>
  <c r="M57" i="6"/>
  <c r="AI195" i="1"/>
  <c r="AJ197" i="1"/>
  <c r="AH197" i="1"/>
  <c r="AJ196" i="1"/>
  <c r="AG197" i="1"/>
  <c r="AI196" i="1"/>
  <c r="AG198" i="1"/>
  <c r="AH196" i="1"/>
  <c r="AG195" i="1"/>
  <c r="AJ198" i="1"/>
  <c r="AJ195" i="1"/>
  <c r="M57" i="2"/>
  <c r="AH195" i="1"/>
  <c r="AI198" i="1"/>
  <c r="M57" i="8"/>
  <c r="M57" i="9"/>
  <c r="AL195" i="1" l="1" a="1"/>
  <c r="AL198" i="1" s="1"/>
  <c r="AL195" i="1" l="1"/>
  <c r="AL196" i="1"/>
  <c r="AL19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<sst xmlns="http://schemas.openxmlformats.org/spreadsheetml/2006/main" count="2486" uniqueCount="246">
  <si>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</si>
  <si>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</si>
  <si>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</si>
  <si>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</si>
  <si>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</si>
  <si>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</si>
  <si>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</si>
  <si>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</si>
  <si>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</si>
  <si>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</si>
  <si>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</si>
  <si>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</si>
  <si>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</si>
  <si>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</si>
  <si>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</si>
  <si>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</si>
  <si>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</si>
  <si>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</si>
  <si>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</si>
  <si>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</si>
  <si>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</si>
  <si>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</si>
  <si>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</si>
  <si>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</si>
  <si>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</si>
  <si>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</si>
  <si>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</si>
  <si>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</si>
  <si>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</si>
  <si>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</si>
  <si>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</si>
  <si>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</si>
  <si>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</si>
  <si>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</si>
  <si>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</si>
  <si>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</si>
  <si>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</si>
  <si>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</si>
  <si>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</si>
  <si>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</si>
  <si>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</si>
  <si>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</si>
  <si>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</si>
  <si>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</si>
  <si>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</si>
  <si>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</si>
  <si>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</si>
  <si>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</si>
  <si>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</si>
  <si>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</si>
  <si>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</si>
  <si>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</si>
  <si>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</si>
  <si>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</si>
  <si>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</si>
  <si>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</si>
  <si>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</si>
  <si>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</si>
  <si>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</si>
  <si>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</si>
  <si>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</si>
  <si>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</si>
  <si>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</si>
  <si>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</si>
  <si>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</si>
  <si>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</si>
  <si>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</si>
  <si>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</si>
  <si>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</si>
  <si>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</si>
  <si>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</si>
  <si>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</si>
  <si>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</si>
  <si>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</si>
  <si>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</si>
  <si>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</si>
  <si>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</si>
  <si>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</si>
  <si>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</si>
  <si>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</si>
  <si>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</si>
  <si>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</si>
  <si>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</si>
  <si>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</si>
  <si>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</si>
  <si>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</si>
  <si>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</si>
  <si>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</si>
  <si>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</si>
  <si>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</si>
  <si>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</si>
  <si>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</si>
  <si>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</si>
  <si>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</si>
  <si>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</si>
  <si>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</si>
  <si>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</si>
  <si>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</si>
  <si>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</si>
  <si>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</si>
  <si>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</si>
  <si>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</si>
  <si>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</si>
  <si>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</si>
  <si>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</si>
  <si>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</si>
  <si>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</si>
  <si>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</si>
  <si>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</si>
  <si>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</si>
  <si>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</si>
  <si>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</si>
  <si>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</si>
  <si>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</si>
  <si>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</si>
  <si>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</si>
  <si>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</si>
  <si>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</si>
  <si>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</si>
  <si>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</si>
  <si>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</si>
  <si>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</si>
  <si>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</si>
  <si>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</si>
  <si>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</si>
  <si>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</si>
  <si>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</si>
  <si>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</si>
  <si>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</si>
  <si>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</si>
  <si>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</si>
  <si>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</si>
  <si>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</si>
  <si>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</si>
  <si>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</si>
  <si>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</si>
  <si>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</si>
  <si>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</si>
  <si>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</si>
  <si>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</si>
  <si>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</si>
  <si>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</si>
  <si>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</si>
  <si>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</si>
  <si>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</si>
  <si>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</si>
  <si>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</si>
  <si>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</si>
  <si>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</si>
  <si>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</si>
  <si>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</si>
  <si>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</si>
  <si>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</si>
  <si>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</si>
  <si>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</si>
  <si>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</si>
  <si>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</si>
  <si>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</si>
  <si>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</si>
  <si>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</si>
  <si>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</si>
  <si>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</si>
  <si>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</si>
  <si>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</si>
  <si>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</si>
  <si>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</si>
  <si>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</si>
  <si>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</si>
  <si>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</si>
  <si>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</si>
  <si>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</si>
  <si>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</si>
  <si>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</si>
  <si>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</si>
  <si>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</si>
  <si>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</si>
  <si>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</si>
  <si>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</si>
  <si>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</si>
  <si>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</si>
  <si>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</si>
  <si>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</si>
  <si>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</si>
  <si>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</si>
  <si>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</si>
  <si>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</si>
  <si>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</si>
  <si>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</si>
  <si>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</si>
  <si>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</si>
  <si>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</si>
  <si>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</si>
  <si>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</si>
  <si>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</si>
  <si>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</si>
  <si>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</si>
  <si>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</si>
  <si>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</si>
  <si>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</si>
  <si>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</si>
  <si>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</si>
  <si>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</si>
  <si>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</si>
  <si>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</si>
  <si>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</si>
  <si>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</si>
  <si>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</si>
  <si>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</si>
  <si>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</si>
  <si>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</si>
  <si>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</si>
  <si>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</si>
  <si>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</si>
  <si>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</si>
  <si>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</si>
  <si>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</si>
  <si>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</si>
  <si>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</si>
  <si>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</si>
  <si>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</si>
  <si>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</si>
  <si>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</si>
  <si>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</si>
  <si>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</si>
  <si>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</si>
  <si>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</si>
  <si>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</si>
  <si>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</si>
  <si>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</si>
  <si>
    <t>0.5*delta to get out of a tolerance loop</t>
  </si>
  <si>
    <t>Consider Bolt Hole?</t>
  </si>
  <si>
    <t>Stress Block</t>
  </si>
  <si>
    <t>Hole Center</t>
  </si>
  <si>
    <t>Linear</t>
  </si>
  <si>
    <t>Initial Guess α:</t>
  </si>
  <si>
    <t>Elastic_Analysis</t>
  </si>
  <si>
    <t>Qb,x</t>
  </si>
  <si>
    <t>Qb,y</t>
  </si>
  <si>
    <t>Ib,x</t>
  </si>
  <si>
    <t>Ib,y</t>
  </si>
  <si>
    <t>Qc,x</t>
  </si>
  <si>
    <t>Qc,y</t>
  </si>
  <si>
    <t>Ic,x</t>
  </si>
  <si>
    <t>Ic,y</t>
  </si>
  <si>
    <t>Density</t>
  </si>
  <si>
    <t>Threads Included: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</si>
</sst>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00000000000000000"/>
    <numFmt numFmtId="167" formatCode="0.0E+00"/>
    <numFmt numFmtId="168" formatCode="0.00000"/>
    <numFmt numFmtId="169" formatCode="0.00000000"/>
    <numFmt numFmtId="170" formatCode="0.0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  <xf numFmtId="165" fontId="0" fillId="0" borderId="4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6" fillId="3" borderId="0" xfId="0" applyFont="1" applyFill="1" applyAlignment="1">
      <alignment horizontal="center"/>
    </xf>
    <xf numFmtId="169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3.315 ksi &gt; 1.7616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68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7091B8-D7E1-4413-80A5-3A364DA436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936E74-DA11-4162-9616-B44FB77C22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0A6AFC-7165-49EE-A74D-6209E7C32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DE842A-F914-4FE7-B61B-246E7EF749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1A59AE-4A65-4DA5-AD12-002DDB43B1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A4634E-B45A-456B-8B98-C6B99F72C3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DA7C13-86F6-4B31-AB7E-237AA3CBD3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8A7960-F8A2-47BE-9CB5-9B252D7D3D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94C118-2837-4494-BFEE-7F2D05A093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7B6A6E-CA52-4E17-A8A3-41CF1092D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A5A0C6-82DA-4731-8782-D0037FBA77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8F5E90-302E-499F-95BD-4F0FA2FBC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61.04</c:v>
                </c:pt>
                <c:pt idx="1">
                  <c:v>6.9569999999999999</c:v>
                </c:pt>
                <c:pt idx="2">
                  <c:v>61.04</c:v>
                </c:pt>
                <c:pt idx="3">
                  <c:v>6.9569999999999999</c:v>
                </c:pt>
                <c:pt idx="4">
                  <c:v>59.866</c:v>
                </c:pt>
                <c:pt idx="5">
                  <c:v>8.1349999999999998</c:v>
                </c:pt>
                <c:pt idx="6">
                  <c:v>59.866</c:v>
                </c:pt>
                <c:pt idx="7">
                  <c:v>8.1349999999999998</c:v>
                </c:pt>
                <c:pt idx="8">
                  <c:v>58.665999999999997</c:v>
                </c:pt>
                <c:pt idx="9">
                  <c:v>9.3339999999999996</c:v>
                </c:pt>
                <c:pt idx="10">
                  <c:v>58.665999999999997</c:v>
                </c:pt>
                <c:pt idx="11">
                  <c:v>9.3339999999999996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53.23</c:v>
                </c:pt>
                <c:pt idx="1">
                  <c:v>53.23</c:v>
                </c:pt>
                <c:pt idx="2">
                  <c:v>14.77</c:v>
                </c:pt>
                <c:pt idx="3">
                  <c:v>14.77</c:v>
                </c:pt>
                <c:pt idx="4">
                  <c:v>56.63</c:v>
                </c:pt>
                <c:pt idx="5">
                  <c:v>56.63</c:v>
                </c:pt>
                <c:pt idx="6">
                  <c:v>11.37</c:v>
                </c:pt>
                <c:pt idx="7">
                  <c:v>11.37</c:v>
                </c:pt>
                <c:pt idx="8">
                  <c:v>59.58</c:v>
                </c:pt>
                <c:pt idx="9">
                  <c:v>59.58</c:v>
                </c:pt>
                <c:pt idx="10">
                  <c:v>8.42</c:v>
                </c:pt>
                <c:pt idx="11">
                  <c:v>8.42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0.5788 kips</c:v>
                  </c:pt>
                  <c:pt idx="1">
                    <c:v>
0.5789 kips</c:v>
                  </c:pt>
                  <c:pt idx="2">
                    <c:v>
122.0726 kips</c:v>
                  </c:pt>
                  <c:pt idx="3">
                    <c:v>
122.0719 kips</c:v>
                  </c:pt>
                  <c:pt idx="4">
                    <c:v>
2.1488 kips</c:v>
                  </c:pt>
                  <c:pt idx="5">
                    <c:v>
2.1489 kips</c:v>
                  </c:pt>
                  <c:pt idx="6">
                    <c:v>
133.2279 kips</c:v>
                  </c:pt>
                  <c:pt idx="7">
                    <c:v>
133.2271 kips</c:v>
                  </c:pt>
                  <c:pt idx="8">
                    <c:v>
3.5109 kips</c:v>
                  </c:pt>
                  <c:pt idx="9">
                    <c:v>
3.511 kips</c:v>
                  </c:pt>
                  <c:pt idx="10">
                    <c:v>
142.9066 kips</c:v>
                  </c:pt>
                  <c:pt idx="11">
                    <c:v>
142.906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Analysis'!$Q$25</c:f>
              <c:strCache>
                <c:ptCount val="1"/>
                <c:pt idx="0">
                  <c:v>P: 46 kips
Mx: -42780 kip-in
My: 0 kip-in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13.4939</c:v>
                </c:pt>
                <c:pt idx="2">
                  <c:v>34</c:v>
                </c:pt>
                <c:pt idx="3">
                  <c:v>54.506</c:v>
                </c:pt>
                <c:pt idx="4">
                  <c:v>63</c:v>
                </c:pt>
                <c:pt idx="5">
                  <c:v>54.506</c:v>
                </c:pt>
                <c:pt idx="6">
                  <c:v>34</c:v>
                </c:pt>
                <c:pt idx="7">
                  <c:v>13.4939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34</c:v>
                </c:pt>
                <c:pt idx="1">
                  <c:v>54.506</c:v>
                </c:pt>
                <c:pt idx="2">
                  <c:v>63</c:v>
                </c:pt>
                <c:pt idx="3">
                  <c:v>54.506</c:v>
                </c:pt>
                <c:pt idx="4">
                  <c:v>34</c:v>
                </c:pt>
                <c:pt idx="5">
                  <c:v>13.4939</c:v>
                </c:pt>
                <c:pt idx="6">
                  <c:v>5</c:v>
                </c:pt>
                <c:pt idx="7">
                  <c:v>13.4939</c:v>
                </c:pt>
                <c:pt idx="8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strRef>
              <c:f>'Rigid Bearing Plate Analysis'!$W$81</c:f>
              <c:strCache>
                <c:ptCount val="1"/>
                <c:pt idx="0">
                  <c:v>Neutral Axis
y= 4.206E-06 x + 5.198E+01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-1.0002185933636056</c:v>
                </c:pt>
                <c:pt idx="1">
                  <c:v>69.000067389007057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51.976227259448493</c:v>
                </c:pt>
                <c:pt idx="1">
                  <c:v>51.976521655524436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
(0,28.659)
959.7414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33.999797726965269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62.658791485651243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 Brg Center
(0,23.531)
-117.3292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33.999858739457039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57.531130893800693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61.04</c:v>
                </c:pt>
                <c:pt idx="3">
                  <c:v>6.9570000000000007</c:v>
                </c:pt>
                <c:pt idx="4">
                  <c:v>#N/A</c:v>
                </c:pt>
                <c:pt idx="5">
                  <c:v>#N/A</c:v>
                </c:pt>
                <c:pt idx="6">
                  <c:v>59.866</c:v>
                </c:pt>
                <c:pt idx="7">
                  <c:v>8.1349999999999945</c:v>
                </c:pt>
                <c:pt idx="8">
                  <c:v>#N/A</c:v>
                </c:pt>
                <c:pt idx="9">
                  <c:v>#N/A</c:v>
                </c:pt>
                <c:pt idx="10">
                  <c:v>58.665999999999997</c:v>
                </c:pt>
                <c:pt idx="11">
                  <c:v>9.3340000000000032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14.77</c:v>
                </c:pt>
                <c:pt idx="3">
                  <c:v>14.77</c:v>
                </c:pt>
                <c:pt idx="4">
                  <c:v>#N/A</c:v>
                </c:pt>
                <c:pt idx="5">
                  <c:v>#N/A</c:v>
                </c:pt>
                <c:pt idx="6">
                  <c:v>11.369999999999997</c:v>
                </c:pt>
                <c:pt idx="7">
                  <c:v>11.369999999999994</c:v>
                </c:pt>
                <c:pt idx="8">
                  <c:v>#N/A</c:v>
                </c:pt>
                <c:pt idx="9">
                  <c:v>#N/A</c:v>
                </c:pt>
                <c:pt idx="10">
                  <c:v>8.4200000000000017</c:v>
                </c:pt>
                <c:pt idx="11">
                  <c:v>8.4200000000000053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126976-66BF-47E6-AB3B-5B9F28FAB2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165BD4-F37B-4A8D-939D-F9425CFB33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D3E022-4481-4B6E-B1FC-934971A766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51.976517449599974</c:v>
                </c:pt>
                <c:pt idx="2">
                  <c:v>68</c:v>
                </c:pt>
                <c:pt idx="3">
                  <c:v>68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1.7616 ksi</c:v>
                  </c:pt>
                  <c:pt idx="3">
                    <c:v>1.7616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51.976231466008869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2E215D-CC2B-4AE1-99BB-8FD07F418F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AA-44B0-BC48-A52CD2474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FBDEB8-340F-4D44-A22F-C4DA91FFF8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AA-44B0-BC48-A52CD2474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FFB8DD-67E6-40BF-8A6F-3ADE348E9F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AA-44B0-BC48-A52CD2474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E67862-AFC8-49A0-BD72-1E076A3F6C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AA-44B0-BC48-A52CD2474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AA-44B0-BC48-A52CD2474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AA-44B0-BC48-A52CD2474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AA-44B0-BC48-A52CD2474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AA-44B0-BC48-A52CD2474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12.44605271875027</c:v>
                </c:pt>
                <c:pt idx="1">
                  <c:v>13.4939</c:v>
                </c:pt>
                <c:pt idx="2">
                  <c:v>34</c:v>
                </c:pt>
                <c:pt idx="3">
                  <c:v>54.506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51.976283809639042</c:v>
                </c:pt>
                <c:pt idx="1">
                  <c:v>54.506</c:v>
                </c:pt>
                <c:pt idx="2">
                  <c:v>63</c:v>
                </c:pt>
                <c:pt idx="3">
                  <c:v>54.506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0">
                    <c:v>
0 ksi</c:v>
                  </c:pt>
                  <c:pt idx="1">
                    <c:v>
-0.2781 ksi</c:v>
                  </c:pt>
                  <c:pt idx="2">
                    <c:v>
-1.2119 ksi</c:v>
                  </c:pt>
                  <c:pt idx="3">
                    <c:v>
-0.2781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55.553784521394064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51.976465105285293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0328259726272888"/>
          <c:y val="0.12507225062831639"/>
          <c:w val="0.19671740273727115"/>
          <c:h val="0.850939984843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68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61.04</c:v>
                </c:pt>
                <c:pt idx="1">
                  <c:v>6.9569999999999999</c:v>
                </c:pt>
                <c:pt idx="2">
                  <c:v>61.04</c:v>
                </c:pt>
                <c:pt idx="3">
                  <c:v>6.9569999999999999</c:v>
                </c:pt>
                <c:pt idx="4">
                  <c:v>59.866</c:v>
                </c:pt>
                <c:pt idx="5">
                  <c:v>8.1349999999999998</c:v>
                </c:pt>
                <c:pt idx="6">
                  <c:v>59.866</c:v>
                </c:pt>
                <c:pt idx="7">
                  <c:v>8.1349999999999998</c:v>
                </c:pt>
                <c:pt idx="8">
                  <c:v>58.665999999999997</c:v>
                </c:pt>
                <c:pt idx="9">
                  <c:v>9.3339999999999996</c:v>
                </c:pt>
                <c:pt idx="10">
                  <c:v>58.665999999999997</c:v>
                </c:pt>
                <c:pt idx="11">
                  <c:v>9.3339999999999996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53.23</c:v>
                </c:pt>
                <c:pt idx="1">
                  <c:v>53.23</c:v>
                </c:pt>
                <c:pt idx="2">
                  <c:v>14.77</c:v>
                </c:pt>
                <c:pt idx="3">
                  <c:v>14.77</c:v>
                </c:pt>
                <c:pt idx="4">
                  <c:v>56.63</c:v>
                </c:pt>
                <c:pt idx="5">
                  <c:v>56.63</c:v>
                </c:pt>
                <c:pt idx="6">
                  <c:v>11.37</c:v>
                </c:pt>
                <c:pt idx="7">
                  <c:v>11.37</c:v>
                </c:pt>
                <c:pt idx="8">
                  <c:v>59.58</c:v>
                </c:pt>
                <c:pt idx="9">
                  <c:v>59.58</c:v>
                </c:pt>
                <c:pt idx="10">
                  <c:v>8.42</c:v>
                </c:pt>
                <c:pt idx="11">
                  <c:v>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1074A4EB-B77B-4EC4-9CB3-7A0BB8C97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3.315 ksi &gt; 1.7616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13.4939</c:v>
                </c:pt>
                <c:pt idx="2">
                  <c:v>34</c:v>
                </c:pt>
                <c:pt idx="3">
                  <c:v>54.506</c:v>
                </c:pt>
                <c:pt idx="4">
                  <c:v>63</c:v>
                </c:pt>
                <c:pt idx="5">
                  <c:v>54.506</c:v>
                </c:pt>
                <c:pt idx="6">
                  <c:v>34</c:v>
                </c:pt>
                <c:pt idx="7">
                  <c:v>13.4939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34</c:v>
                </c:pt>
                <c:pt idx="1">
                  <c:v>54.506</c:v>
                </c:pt>
                <c:pt idx="2">
                  <c:v>63</c:v>
                </c:pt>
                <c:pt idx="3">
                  <c:v>54.506</c:v>
                </c:pt>
                <c:pt idx="4">
                  <c:v>34</c:v>
                </c:pt>
                <c:pt idx="5">
                  <c:v>13.4939</c:v>
                </c:pt>
                <c:pt idx="6">
                  <c:v>5</c:v>
                </c:pt>
                <c:pt idx="7">
                  <c:v>13.4939</c:v>
                </c:pt>
                <c:pt idx="8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-1.0002185933636056</c:v>
                </c:pt>
                <c:pt idx="1">
                  <c:v>69.000067389007057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51.976227259448493</c:v>
                </c:pt>
                <c:pt idx="1">
                  <c:v>51.976521655524436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
(0,28.659)
959.7414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33.999797726965269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62.658791485651243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 Brg Center
(0,23.531)
-117.3292 kips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33.999858739457039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57.531130893800693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61.04</c:v>
                </c:pt>
                <c:pt idx="3">
                  <c:v>6.9570000000000007</c:v>
                </c:pt>
                <c:pt idx="4">
                  <c:v>#N/A</c:v>
                </c:pt>
                <c:pt idx="5">
                  <c:v>#N/A</c:v>
                </c:pt>
                <c:pt idx="6">
                  <c:v>59.866</c:v>
                </c:pt>
                <c:pt idx="7">
                  <c:v>8.1349999999999945</c:v>
                </c:pt>
                <c:pt idx="8">
                  <c:v>#N/A</c:v>
                </c:pt>
                <c:pt idx="9">
                  <c:v>#N/A</c:v>
                </c:pt>
                <c:pt idx="10">
                  <c:v>58.665999999999997</c:v>
                </c:pt>
                <c:pt idx="11">
                  <c:v>9.3340000000000032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14.77</c:v>
                </c:pt>
                <c:pt idx="3">
                  <c:v>14.77</c:v>
                </c:pt>
                <c:pt idx="4">
                  <c:v>#N/A</c:v>
                </c:pt>
                <c:pt idx="5">
                  <c:v>#N/A</c:v>
                </c:pt>
                <c:pt idx="6">
                  <c:v>11.369999999999997</c:v>
                </c:pt>
                <c:pt idx="7">
                  <c:v>11.369999999999994</c:v>
                </c:pt>
                <c:pt idx="8">
                  <c:v>#N/A</c:v>
                </c:pt>
                <c:pt idx="9">
                  <c:v>#N/A</c:v>
                </c:pt>
                <c:pt idx="10">
                  <c:v>8.4200000000000017</c:v>
                </c:pt>
                <c:pt idx="11">
                  <c:v>8.4200000000000053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-34.000142991494869</c:v>
                </c:pt>
                <c:pt idx="1">
                  <c:v>33.999857007903756</c:v>
                </c:pt>
                <c:pt idx="2">
                  <c:v>34.000142991494869</c:v>
                </c:pt>
                <c:pt idx="3">
                  <c:v>-33.999857007903756</c:v>
                </c:pt>
                <c:pt idx="4">
                  <c:v>-34.000142991494869</c:v>
                </c:pt>
                <c:pt idx="5">
                  <c:v>-34.000142991494869</c:v>
                </c:pt>
                <c:pt idx="6">
                  <c:v>-34.000142991494869</c:v>
                </c:pt>
                <c:pt idx="7">
                  <c:v>-34.000142991494869</c:v>
                </c:pt>
                <c:pt idx="8">
                  <c:v>-34.000142991494869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-33.999857007903756</c:v>
                </c:pt>
                <c:pt idx="1">
                  <c:v>-34.000142991494869</c:v>
                </c:pt>
                <c:pt idx="2">
                  <c:v>33.999857007903756</c:v>
                </c:pt>
                <c:pt idx="3">
                  <c:v>34.000142991494869</c:v>
                </c:pt>
                <c:pt idx="4">
                  <c:v>-33.999857007903756</c:v>
                </c:pt>
                <c:pt idx="5">
                  <c:v>-33.999857007903756</c:v>
                </c:pt>
                <c:pt idx="6">
                  <c:v>-33.999857007903756</c:v>
                </c:pt>
                <c:pt idx="7">
                  <c:v>-33.999857007903756</c:v>
                </c:pt>
                <c:pt idx="8">
                  <c:v>-33.999857007903756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27.040080874238175</c:v>
                </c:pt>
                <c:pt idx="1">
                  <c:v>-27.042919125283529</c:v>
                </c:pt>
                <c:pt idx="2">
                  <c:v>27.039919125283557</c:v>
                </c:pt>
                <c:pt idx="3">
                  <c:v>-27.043080874238147</c:v>
                </c:pt>
                <c:pt idx="4">
                  <c:v>25.866095173428111</c:v>
                </c:pt>
                <c:pt idx="5">
                  <c:v>-25.864904826114397</c:v>
                </c:pt>
                <c:pt idx="6">
                  <c:v>25.865904826114384</c:v>
                </c:pt>
                <c:pt idx="7">
                  <c:v>-25.865095173428124</c:v>
                </c:pt>
                <c:pt idx="8">
                  <c:v>24.666107580079803</c:v>
                </c:pt>
                <c:pt idx="9">
                  <c:v>-24.665892419483914</c:v>
                </c:pt>
                <c:pt idx="10">
                  <c:v>24.66589241948391</c:v>
                </c:pt>
                <c:pt idx="11">
                  <c:v>-24.666107580079807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19.229886279296057</c:v>
                </c:pt>
                <c:pt idx="1">
                  <c:v>19.23011373298073</c:v>
                </c:pt>
                <c:pt idx="2">
                  <c:v>-19.230113720363811</c:v>
                </c:pt>
                <c:pt idx="3">
                  <c:v>-19.229886266679138</c:v>
                </c:pt>
                <c:pt idx="4">
                  <c:v>22.629891216688584</c:v>
                </c:pt>
                <c:pt idx="5">
                  <c:v>22.630108778705516</c:v>
                </c:pt>
                <c:pt idx="6">
                  <c:v>-22.630108782911158</c:v>
                </c:pt>
                <c:pt idx="7">
                  <c:v>-22.629891220894226</c:v>
                </c:pt>
                <c:pt idx="8">
                  <c:v>25.579896263431742</c:v>
                </c:pt>
                <c:pt idx="9">
                  <c:v>25.580103736115809</c:v>
                </c:pt>
                <c:pt idx="10">
                  <c:v>-25.580103736115809</c:v>
                </c:pt>
                <c:pt idx="11">
                  <c:v>-25.579896263431742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-35.000142991494869</c:v>
                </c:pt>
                <c:pt idx="1">
                  <c:v>35.000142991494869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17.976374457645441</c:v>
                </c:pt>
                <c:pt idx="1">
                  <c:v>17.976374457645441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34.000075602478958</c:v>
                </c:pt>
                <c:pt idx="2">
                  <c:v>34.000142991494869</c:v>
                </c:pt>
                <c:pt idx="3">
                  <c:v>-33.999857007903756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17.976374457645441</c:v>
                </c:pt>
                <c:pt idx="2">
                  <c:v>33.999857007903756</c:v>
                </c:pt>
                <c:pt idx="3">
                  <c:v>34.000142991494869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34.000142991494869</c:v>
                </c:pt>
                <c:pt idx="2">
                  <c:v>-33.999857007903756</c:v>
                </c:pt>
                <c:pt idx="3">
                  <c:v>-33.99992439812241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33.999857007903756</c:v>
                </c:pt>
                <c:pt idx="2">
                  <c:v>34.000142991494869</c:v>
                </c:pt>
                <c:pt idx="3">
                  <c:v>17.976374457645441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-8.1744444940978154E-5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28.658791486248482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-35.000142991494869</c:v>
                </c:pt>
                <c:pt idx="1">
                  <c:v>35.000142991494869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-35.000142991494869</c:v>
                </c:pt>
                <c:pt idx="1">
                  <c:v>35.000142991494869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-28.999999999743533</c:v>
                </c:pt>
                <c:pt idx="1">
                  <c:v>-20.506013758943368</c:v>
                </c:pt>
                <c:pt idx="2">
                  <c:v>1.219635903243289E-4</c:v>
                </c:pt>
                <c:pt idx="3">
                  <c:v>20.506086240693936</c:v>
                </c:pt>
                <c:pt idx="4">
                  <c:v>28.999999999743533</c:v>
                </c:pt>
                <c:pt idx="5">
                  <c:v>20.505913758522805</c:v>
                </c:pt>
                <c:pt idx="6">
                  <c:v>-1.219635903243289E-4</c:v>
                </c:pt>
                <c:pt idx="7">
                  <c:v>-20.506186241114499</c:v>
                </c:pt>
                <c:pt idx="8">
                  <c:v>-28.999999999743533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1.219635903243289E-4</c:v>
                </c:pt>
                <c:pt idx="1">
                  <c:v>20.506086241114499</c:v>
                </c:pt>
                <c:pt idx="2">
                  <c:v>28.999999999743533</c:v>
                </c:pt>
                <c:pt idx="3">
                  <c:v>20.505913758943368</c:v>
                </c:pt>
                <c:pt idx="4">
                  <c:v>-1.219635903243289E-4</c:v>
                </c:pt>
                <c:pt idx="5">
                  <c:v>-20.506186240693935</c:v>
                </c:pt>
                <c:pt idx="6">
                  <c:v>-28.999999999743533</c:v>
                </c:pt>
                <c:pt idx="7">
                  <c:v>-20.506013758522805</c:v>
                </c:pt>
                <c:pt idx="8">
                  <c:v>1.219635903243289E-4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-21.553871679262077</c:v>
                </c:pt>
                <c:pt idx="1">
                  <c:v>-20.506013758943368</c:v>
                </c:pt>
                <c:pt idx="2">
                  <c:v>1.219635903243289E-4</c:v>
                </c:pt>
                <c:pt idx="3">
                  <c:v>20.506086240693936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17.976374457645441</c:v>
                </c:pt>
                <c:pt idx="1">
                  <c:v>20.506086241114499</c:v>
                </c:pt>
                <c:pt idx="2">
                  <c:v>28.999999999743533</c:v>
                </c:pt>
                <c:pt idx="3">
                  <c:v>20.505913758943368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-20.506013758943368</c:v>
                </c:pt>
                <c:pt idx="1">
                  <c:v>1.219635903243289E-4</c:v>
                </c:pt>
                <c:pt idx="2">
                  <c:v>20.506086240693936</c:v>
                </c:pt>
                <c:pt idx="3">
                  <c:v>21.553860123762956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20.506086241114499</c:v>
                </c:pt>
                <c:pt idx="1">
                  <c:v>28.999999999743533</c:v>
                </c:pt>
                <c:pt idx="2">
                  <c:v>20.505913758943368</c:v>
                </c:pt>
                <c:pt idx="3">
                  <c:v>17.976374457645441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-4.2297053020623297E-5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23.531130894186685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27.039919125283557</c:v>
                </c:pt>
                <c:pt idx="3">
                  <c:v>-27.043080874238147</c:v>
                </c:pt>
                <c:pt idx="4">
                  <c:v>#N/A</c:v>
                </c:pt>
                <c:pt idx="5">
                  <c:v>#N/A</c:v>
                </c:pt>
                <c:pt idx="6">
                  <c:v>25.865904826114384</c:v>
                </c:pt>
                <c:pt idx="7">
                  <c:v>-25.865095173428124</c:v>
                </c:pt>
                <c:pt idx="8">
                  <c:v>#N/A</c:v>
                </c:pt>
                <c:pt idx="9">
                  <c:v>#N/A</c:v>
                </c:pt>
                <c:pt idx="10">
                  <c:v>24.66589241948391</c:v>
                </c:pt>
                <c:pt idx="11">
                  <c:v>-24.666107580079807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-19.230113720363811</c:v>
                </c:pt>
                <c:pt idx="3">
                  <c:v>-19.229886266679138</c:v>
                </c:pt>
                <c:pt idx="4">
                  <c:v>#N/A</c:v>
                </c:pt>
                <c:pt idx="5">
                  <c:v>#N/A</c:v>
                </c:pt>
                <c:pt idx="6">
                  <c:v>-22.630108782911158</c:v>
                </c:pt>
                <c:pt idx="7">
                  <c:v>-22.629891220894226</c:v>
                </c:pt>
                <c:pt idx="8">
                  <c:v>#N/A</c:v>
                </c:pt>
                <c:pt idx="9">
                  <c:v>#N/A</c:v>
                </c:pt>
                <c:pt idx="10">
                  <c:v>-25.580103736115809</c:v>
                </c:pt>
                <c:pt idx="11">
                  <c:v>-25.579896263431742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68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68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34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33.585663082437279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-34</c:v>
                </c:pt>
                <c:pt idx="1">
                  <c:v>102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33.585663082437279</c:v>
                </c:pt>
                <c:pt idx="1">
                  <c:v>33.585663082437279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102</c:v>
                </c:pt>
                <c:pt idx="1">
                  <c:v>-102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102</c:v>
                </c:pt>
                <c:pt idx="1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61912</xdr:rowOff>
    </xdr:from>
    <xdr:to>
      <xdr:col>15</xdr:col>
      <xdr:colOff>381000</xdr:colOff>
      <xdr:row>51</xdr:row>
      <xdr:rowOff>123266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651622</xdr:colOff>
      <xdr:row>71</xdr:row>
      <xdr:rowOff>63313</xdr:rowOff>
    </xdr:from>
    <xdr:to>
      <xdr:col>14</xdr:col>
      <xdr:colOff>394447</xdr:colOff>
      <xdr:row>105</xdr:row>
      <xdr:rowOff>139513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704850</xdr:colOff>
          <xdr:row>9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Point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 Centroid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E3" sqref="E3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206</v>
      </c>
    </row>
    <row r="4" spans="1:1" x14ac:dyDescent="0.25">
      <c r="A4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T26"/>
  <sheetViews>
    <sheetView topLeftCell="A4" workbookViewId="0">
      <selection activeCell="A30" sqref="A30"/>
    </sheetView>
  </sheetViews>
  <sheetFormatPr defaultRowHeight="15" x14ac:dyDescent="0.25"/>
  <sheetData>
    <row r="8" spans="1:15" x14ac:dyDescent="0.25">
      <c r="A8" s="44" t="s">
        <v>208</v>
      </c>
      <c r="H8" t="s">
        <v>133</v>
      </c>
      <c r="I8" t="s">
        <v>199</v>
      </c>
    </row>
    <row r="9" spans="1:15" x14ac:dyDescent="0.25">
      <c r="A9" t="s">
        <v>76</v>
      </c>
      <c r="B9" s="2">
        <v>14</v>
      </c>
      <c r="C9" t="s">
        <v>22</v>
      </c>
      <c r="H9" t="s">
        <v>76</v>
      </c>
      <c r="I9" s="2">
        <v>4</v>
      </c>
      <c r="J9" t="s">
        <v>22</v>
      </c>
    </row>
    <row r="10" spans="1:15" x14ac:dyDescent="0.25">
      <c r="A10" t="s">
        <v>209</v>
      </c>
      <c r="B10" s="2">
        <v>24</v>
      </c>
      <c r="C10" t="s">
        <v>22</v>
      </c>
      <c r="H10" t="s">
        <v>209</v>
      </c>
      <c r="I10" s="2">
        <v>4</v>
      </c>
      <c r="J10" t="s">
        <v>22</v>
      </c>
    </row>
    <row r="12" spans="1:15" x14ac:dyDescent="0.25">
      <c r="A12" t="s">
        <v>0</v>
      </c>
      <c r="B12" t="s">
        <v>200</v>
      </c>
      <c r="H12" t="s">
        <v>232</v>
      </c>
    </row>
    <row r="13" spans="1:15" ht="15.75" thickBot="1" x14ac:dyDescent="0.3">
      <c r="A13" s="1" t="s">
        <v>3</v>
      </c>
      <c r="B13" s="1" t="s">
        <v>6</v>
      </c>
      <c r="C13" s="1" t="s">
        <v>7</v>
      </c>
      <c r="H13" s="2">
        <v>3</v>
      </c>
      <c r="I13" s="2">
        <v>4</v>
      </c>
    </row>
    <row r="14" spans="1:15" x14ac:dyDescent="0.25">
      <c r="A14">
        <v>1</v>
      </c>
      <c r="B14" s="71">
        <v>0</v>
      </c>
      <c r="C14" s="72">
        <v>0</v>
      </c>
    </row>
    <row r="15" spans="1:15" x14ac:dyDescent="0.25">
      <c r="A15">
        <v>2</v>
      </c>
      <c r="B15" s="73">
        <f>B9</f>
        <v>14</v>
      </c>
      <c r="C15" s="74">
        <v>0</v>
      </c>
    </row>
    <row r="16" spans="1:15" ht="15.75" thickBot="1" x14ac:dyDescent="0.3">
      <c r="A16">
        <v>3</v>
      </c>
      <c r="B16" s="73">
        <f>B15</f>
        <v>14</v>
      </c>
      <c r="C16" s="74">
        <f>B10</f>
        <v>24</v>
      </c>
      <c r="H16" t="s">
        <v>3</v>
      </c>
      <c r="I16" s="1" t="s">
        <v>6</v>
      </c>
      <c r="J16" s="1" t="s">
        <v>7</v>
      </c>
      <c r="N16" s="1" t="s">
        <v>181</v>
      </c>
      <c r="O16" s="1" t="s">
        <v>179</v>
      </c>
    </row>
    <row r="17" spans="1:20" x14ac:dyDescent="0.25">
      <c r="A17">
        <v>4</v>
      </c>
      <c r="B17" s="73">
        <f>B14</f>
        <v>0</v>
      </c>
      <c r="C17" s="74">
        <f>C16</f>
        <v>24</v>
      </c>
      <c r="H17">
        <v>1</v>
      </c>
      <c r="I17" s="2">
        <v>0</v>
      </c>
      <c r="J17" s="2">
        <v>0</v>
      </c>
      <c r="N17" s="8">
        <f>H13-L26</f>
        <v>1</v>
      </c>
      <c r="O17" s="8">
        <f>I13-M26</f>
        <v>2</v>
      </c>
      <c r="P17" s="36">
        <f t="shared" ref="P17:P25" si="0">I17+$N$17</f>
        <v>1</v>
      </c>
      <c r="Q17" s="49">
        <f t="shared" ref="Q17:Q25" si="1">J17+$O$17</f>
        <v>2</v>
      </c>
    </row>
    <row r="18" spans="1:20" x14ac:dyDescent="0.25">
      <c r="A18">
        <v>5</v>
      </c>
      <c r="B18" s="73">
        <v>0</v>
      </c>
      <c r="C18" s="74">
        <v>0</v>
      </c>
      <c r="H18">
        <v>2</v>
      </c>
      <c r="I18" s="2">
        <v>0</v>
      </c>
      <c r="J18" s="2">
        <f>I10</f>
        <v>4</v>
      </c>
      <c r="K18" s="5">
        <f>((I17*J18)-(I18*J17))*0.5</f>
        <v>0</v>
      </c>
      <c r="L18" s="5">
        <f>(I18+I17)*((I17*J18)-(I18*J17))*(1/6)</f>
        <v>0</v>
      </c>
      <c r="M18" s="5">
        <f>(J18+J17)*((I17*J18)-(I18*J17))*(1/6)</f>
        <v>0</v>
      </c>
      <c r="P18" s="38">
        <f t="shared" si="0"/>
        <v>1</v>
      </c>
      <c r="Q18" s="51">
        <f t="shared" si="1"/>
        <v>6</v>
      </c>
      <c r="R18" s="5">
        <f>((P17*Q18)-(P18*Q17))*0.5</f>
        <v>2</v>
      </c>
      <c r="S18" s="5">
        <f>(P18+P17)*((P17*Q18)-(P18*Q17))*(1/6)</f>
        <v>1.3333333333333333</v>
      </c>
      <c r="T18" s="5">
        <f>(Q18+Q17)*((P17*Q18)-(P18*Q17))*(1/6)</f>
        <v>5.333333333333333</v>
      </c>
    </row>
    <row r="19" spans="1:20" x14ac:dyDescent="0.25">
      <c r="A19">
        <v>6</v>
      </c>
      <c r="B19" s="73">
        <v>0</v>
      </c>
      <c r="C19" s="74">
        <v>0</v>
      </c>
      <c r="H19">
        <v>3</v>
      </c>
      <c r="I19" s="2">
        <f>I9</f>
        <v>4</v>
      </c>
      <c r="J19" s="2">
        <f>J18</f>
        <v>4</v>
      </c>
      <c r="K19" s="5">
        <f t="shared" ref="K19:K25" si="2">((I18*J19)-(I19*J18))*0.5</f>
        <v>-8</v>
      </c>
      <c r="L19" s="5">
        <f t="shared" ref="L19:L25" si="3">(I19+I18)*((I18*J19)-(I19*J18))*(1/6)</f>
        <v>-10.666666666666666</v>
      </c>
      <c r="M19" s="5">
        <f t="shared" ref="M19:M25" si="4">(J19+J18)*((I18*J19)-(I19*J18))*(1/6)</f>
        <v>-21.333333333333332</v>
      </c>
      <c r="P19" s="38">
        <f t="shared" si="0"/>
        <v>5</v>
      </c>
      <c r="Q19" s="51">
        <f t="shared" si="1"/>
        <v>6</v>
      </c>
      <c r="R19" s="5">
        <f t="shared" ref="R19:R25" si="5">((P18*Q19)-(P19*Q18))*0.5</f>
        <v>-12</v>
      </c>
      <c r="S19" s="5">
        <f t="shared" ref="S19:S25" si="6">(P19+P18)*((P18*Q19)-(P19*Q18))*(1/6)</f>
        <v>-24</v>
      </c>
      <c r="T19" s="5">
        <f t="shared" ref="T19:T25" si="7">(Q19+Q18)*((P18*Q19)-(P19*Q18))*(1/6)</f>
        <v>-48</v>
      </c>
    </row>
    <row r="20" spans="1:20" x14ac:dyDescent="0.25">
      <c r="A20">
        <v>7</v>
      </c>
      <c r="B20" s="73">
        <v>0</v>
      </c>
      <c r="C20" s="74">
        <v>0</v>
      </c>
      <c r="H20">
        <v>4</v>
      </c>
      <c r="I20" s="2">
        <f>I19</f>
        <v>4</v>
      </c>
      <c r="J20" s="2">
        <v>0</v>
      </c>
      <c r="K20" s="5">
        <f t="shared" si="2"/>
        <v>-8</v>
      </c>
      <c r="L20" s="5">
        <f t="shared" si="3"/>
        <v>-21.333333333333332</v>
      </c>
      <c r="M20" s="5">
        <f t="shared" si="4"/>
        <v>-10.666666666666666</v>
      </c>
      <c r="P20" s="38">
        <f t="shared" si="0"/>
        <v>5</v>
      </c>
      <c r="Q20" s="51">
        <f t="shared" si="1"/>
        <v>2</v>
      </c>
      <c r="R20" s="5">
        <f t="shared" si="5"/>
        <v>-10</v>
      </c>
      <c r="S20" s="5">
        <f t="shared" si="6"/>
        <v>-33.333333333333329</v>
      </c>
      <c r="T20" s="5">
        <f t="shared" si="7"/>
        <v>-26.666666666666664</v>
      </c>
    </row>
    <row r="21" spans="1:20" x14ac:dyDescent="0.25">
      <c r="A21">
        <v>8</v>
      </c>
      <c r="B21" s="73">
        <v>0</v>
      </c>
      <c r="C21" s="74">
        <v>0</v>
      </c>
      <c r="H21">
        <v>5</v>
      </c>
      <c r="I21" s="2">
        <v>0</v>
      </c>
      <c r="J21" s="2">
        <v>0</v>
      </c>
      <c r="K21" s="5">
        <f t="shared" si="2"/>
        <v>0</v>
      </c>
      <c r="L21" s="5">
        <f t="shared" si="3"/>
        <v>0</v>
      </c>
      <c r="M21" s="5">
        <f t="shared" si="4"/>
        <v>0</v>
      </c>
      <c r="P21" s="38">
        <f t="shared" si="0"/>
        <v>1</v>
      </c>
      <c r="Q21" s="51">
        <f t="shared" si="1"/>
        <v>2</v>
      </c>
      <c r="R21" s="5">
        <f t="shared" si="5"/>
        <v>4</v>
      </c>
      <c r="S21" s="5">
        <f t="shared" si="6"/>
        <v>8</v>
      </c>
      <c r="T21" s="5">
        <f t="shared" si="7"/>
        <v>5.333333333333333</v>
      </c>
    </row>
    <row r="22" spans="1:20" ht="15.75" thickBot="1" x14ac:dyDescent="0.3">
      <c r="A22">
        <v>9</v>
      </c>
      <c r="B22" s="75">
        <v>0</v>
      </c>
      <c r="C22" s="76">
        <v>0</v>
      </c>
      <c r="H22">
        <v>6</v>
      </c>
      <c r="I22" s="2">
        <v>0</v>
      </c>
      <c r="J22" s="2">
        <v>0</v>
      </c>
      <c r="K22" s="5">
        <f t="shared" si="2"/>
        <v>0</v>
      </c>
      <c r="L22" s="5">
        <f t="shared" si="3"/>
        <v>0</v>
      </c>
      <c r="M22" s="5">
        <f t="shared" si="4"/>
        <v>0</v>
      </c>
      <c r="P22" s="38">
        <f t="shared" si="0"/>
        <v>1</v>
      </c>
      <c r="Q22" s="51">
        <f t="shared" si="1"/>
        <v>2</v>
      </c>
      <c r="R22" s="5">
        <f t="shared" si="5"/>
        <v>0</v>
      </c>
      <c r="S22" s="5">
        <f t="shared" si="6"/>
        <v>0</v>
      </c>
      <c r="T22" s="5">
        <f t="shared" si="7"/>
        <v>0</v>
      </c>
    </row>
    <row r="23" spans="1:20" x14ac:dyDescent="0.25">
      <c r="H23">
        <v>7</v>
      </c>
      <c r="I23" s="2">
        <v>0</v>
      </c>
      <c r="J23" s="2">
        <v>0</v>
      </c>
      <c r="K23" s="5">
        <f t="shared" si="2"/>
        <v>0</v>
      </c>
      <c r="L23" s="5">
        <f t="shared" si="3"/>
        <v>0</v>
      </c>
      <c r="M23" s="5">
        <f t="shared" si="4"/>
        <v>0</v>
      </c>
      <c r="P23" s="38">
        <f t="shared" si="0"/>
        <v>1</v>
      </c>
      <c r="Q23" s="51">
        <f t="shared" si="1"/>
        <v>2</v>
      </c>
      <c r="R23" s="5">
        <f t="shared" si="5"/>
        <v>0</v>
      </c>
      <c r="S23" s="5">
        <f t="shared" si="6"/>
        <v>0</v>
      </c>
      <c r="T23" s="5">
        <f t="shared" si="7"/>
        <v>0</v>
      </c>
    </row>
    <row r="24" spans="1:20" x14ac:dyDescent="0.25">
      <c r="H24">
        <v>8</v>
      </c>
      <c r="I24" s="2">
        <v>0</v>
      </c>
      <c r="J24" s="2">
        <v>0</v>
      </c>
      <c r="K24" s="5">
        <f t="shared" si="2"/>
        <v>0</v>
      </c>
      <c r="L24" s="5">
        <f t="shared" si="3"/>
        <v>0</v>
      </c>
      <c r="M24" s="5">
        <f t="shared" si="4"/>
        <v>0</v>
      </c>
      <c r="P24" s="38">
        <f t="shared" si="0"/>
        <v>1</v>
      </c>
      <c r="Q24" s="51">
        <f t="shared" si="1"/>
        <v>2</v>
      </c>
      <c r="R24" s="5">
        <f t="shared" si="5"/>
        <v>0</v>
      </c>
      <c r="S24" s="5">
        <f t="shared" si="6"/>
        <v>0</v>
      </c>
      <c r="T24" s="5">
        <f t="shared" si="7"/>
        <v>0</v>
      </c>
    </row>
    <row r="25" spans="1:20" ht="15.75" thickBot="1" x14ac:dyDescent="0.3">
      <c r="H25">
        <v>9</v>
      </c>
      <c r="I25" s="1">
        <f>I17</f>
        <v>0</v>
      </c>
      <c r="J25" s="1">
        <f>J17</f>
        <v>0</v>
      </c>
      <c r="K25" s="5">
        <f t="shared" si="2"/>
        <v>0</v>
      </c>
      <c r="L25" s="5">
        <f t="shared" si="3"/>
        <v>0</v>
      </c>
      <c r="M25" s="5">
        <f t="shared" si="4"/>
        <v>0</v>
      </c>
      <c r="P25" s="41">
        <f t="shared" si="0"/>
        <v>1</v>
      </c>
      <c r="Q25" s="53">
        <f t="shared" si="1"/>
        <v>2</v>
      </c>
      <c r="R25" s="5">
        <f t="shared" si="5"/>
        <v>0</v>
      </c>
      <c r="S25" s="5">
        <f t="shared" si="6"/>
        <v>0</v>
      </c>
      <c r="T25" s="5">
        <f t="shared" si="7"/>
        <v>0</v>
      </c>
    </row>
    <row r="26" spans="1:20" x14ac:dyDescent="0.25">
      <c r="K26" s="5">
        <f>SUM(K17:K25)</f>
        <v>-16</v>
      </c>
      <c r="L26" s="3">
        <f>SUM(L18:L25)/K26</f>
        <v>2</v>
      </c>
      <c r="M26" s="3">
        <f>SUM(M18:M25)/K26</f>
        <v>2</v>
      </c>
      <c r="R26" s="5">
        <f>SUM(R17:R25)</f>
        <v>-16</v>
      </c>
      <c r="S26" s="3">
        <f>SUM(S18:S25)/R26</f>
        <v>3</v>
      </c>
      <c r="T26" s="3">
        <f>SUM(T18:T25)/R26</f>
        <v>3.9999999999999996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CC219"/>
  <sheetViews>
    <sheetView tabSelected="1" topLeftCell="A13" zoomScale="85" zoomScaleNormal="85" workbookViewId="0">
      <selection activeCell="F59" sqref="F5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2.8554687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19" max="19" width="12.855468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4" max="34" width="14.5703125" bestFit="1" customWidth="1"/>
    <col min="35" max="35" width="13.5703125" bestFit="1" customWidth="1"/>
    <col min="37" max="37" width="15" bestFit="1" customWidth="1"/>
    <col min="38" max="38" width="13.85546875" bestFit="1" customWidth="1"/>
    <col min="42" max="51" width="10.7109375" customWidth="1"/>
    <col min="52" max="52" width="17.85546875" bestFit="1" customWidth="1"/>
    <col min="53" max="53" width="11.7109375" customWidth="1"/>
    <col min="54" max="54" width="13.5703125" bestFit="1" customWidth="1"/>
    <col min="55" max="55" width="10.7109375" customWidth="1"/>
  </cols>
  <sheetData>
    <row r="1" spans="1:40" x14ac:dyDescent="0.25">
      <c r="A1" t="s">
        <v>101</v>
      </c>
      <c r="V1" s="62" t="s">
        <v>201</v>
      </c>
    </row>
    <row r="2" spans="1:40" x14ac:dyDescent="0.25">
      <c r="A2" s="10" t="s">
        <v>78</v>
      </c>
      <c r="B2" s="7">
        <v>46</v>
      </c>
      <c r="C2" t="s">
        <v>36</v>
      </c>
      <c r="D2" t="s">
        <v>103</v>
      </c>
      <c r="G2" s="1" t="s">
        <v>202</v>
      </c>
      <c r="H2" s="10" t="s">
        <v>183</v>
      </c>
      <c r="I2">
        <f>B2/D22</f>
        <v>9.9480968858131485E-3</v>
      </c>
      <c r="J2" t="s">
        <v>11</v>
      </c>
      <c r="N2" t="s">
        <v>185</v>
      </c>
      <c r="V2" s="10" t="s">
        <v>224</v>
      </c>
      <c r="W2" s="2">
        <v>12</v>
      </c>
      <c r="X2" s="10" t="s">
        <v>22</v>
      </c>
    </row>
    <row r="3" spans="1:40" x14ac:dyDescent="0.25">
      <c r="A3" s="10" t="s">
        <v>79</v>
      </c>
      <c r="B3" s="7">
        <v>-42780</v>
      </c>
      <c r="C3" t="s">
        <v>102</v>
      </c>
      <c r="D3" t="str">
        <f>"- Mx puts compression on +y"</f>
        <v>- Mx puts compression on +y</v>
      </c>
      <c r="G3" s="4">
        <f>B3/12</f>
        <v>-3565</v>
      </c>
      <c r="H3" s="10" t="s">
        <v>174</v>
      </c>
      <c r="I3" s="3">
        <f>B9-E22</f>
        <v>0</v>
      </c>
      <c r="J3" t="s">
        <v>22</v>
      </c>
      <c r="K3" t="s">
        <v>176</v>
      </c>
      <c r="L3" s="4">
        <f>B2*I3</f>
        <v>0</v>
      </c>
      <c r="M3" t="str">
        <f>"+My"</f>
        <v>+My</v>
      </c>
      <c r="N3" s="4">
        <f>L3+B4</f>
        <v>0</v>
      </c>
      <c r="O3" t="s">
        <v>102</v>
      </c>
      <c r="V3" s="10" t="s">
        <v>223</v>
      </c>
      <c r="W3" s="2">
        <v>12</v>
      </c>
      <c r="X3" s="10" t="s">
        <v>22</v>
      </c>
    </row>
    <row r="4" spans="1:40" x14ac:dyDescent="0.25">
      <c r="A4" s="10" t="s">
        <v>80</v>
      </c>
      <c r="B4" s="7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175</v>
      </c>
      <c r="I4" s="3">
        <f>C9-F22</f>
        <v>0</v>
      </c>
      <c r="J4" t="s">
        <v>22</v>
      </c>
      <c r="K4" t="s">
        <v>177</v>
      </c>
      <c r="L4" s="4">
        <f>B2*I4*-1</f>
        <v>0</v>
      </c>
      <c r="M4" t="str">
        <f>"+Mx"</f>
        <v>+Mx</v>
      </c>
      <c r="N4" s="4">
        <f>B3+L4</f>
        <v>-42780</v>
      </c>
      <c r="O4" t="s">
        <v>102</v>
      </c>
      <c r="P4" s="1">
        <f>N4/B2</f>
        <v>-930</v>
      </c>
      <c r="V4" s="10" t="s">
        <v>79</v>
      </c>
      <c r="W4" s="1">
        <f>(300/1000)*(18+W3/2)</f>
        <v>7.1999999999999993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3.1415926535897931</v>
      </c>
      <c r="C5" t="s">
        <v>19</v>
      </c>
      <c r="M5" s="10" t="s">
        <v>104</v>
      </c>
      <c r="N5" s="20">
        <f>IF(AND(N4=0,N3=0),0,ATAN2(N4,N3))</f>
        <v>3.1415926535897931</v>
      </c>
      <c r="O5" t="s">
        <v>19</v>
      </c>
      <c r="P5" t="s">
        <v>184</v>
      </c>
      <c r="V5" s="10" t="s">
        <v>80</v>
      </c>
      <c r="W5" s="1">
        <f>(300/1000)*(18+W2/2)</f>
        <v>7.1999999999999993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  <c r="S8" s="8"/>
    </row>
    <row r="9" spans="1:40" x14ac:dyDescent="0.25">
      <c r="B9" s="2">
        <v>34</v>
      </c>
      <c r="C9" s="2">
        <v>34</v>
      </c>
      <c r="D9" t="s">
        <v>21</v>
      </c>
    </row>
    <row r="11" spans="1:40" x14ac:dyDescent="0.25">
      <c r="A11" t="s">
        <v>0</v>
      </c>
      <c r="B11" t="s">
        <v>200</v>
      </c>
      <c r="E11" s="59" t="str">
        <f>IF(D22&lt;0,"Plate Coordinates entered in the wrong order","")</f>
        <v/>
      </c>
      <c r="N11" t="s">
        <v>173</v>
      </c>
      <c r="AD11" t="s">
        <v>178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179</v>
      </c>
      <c r="AE12" s="18"/>
      <c r="AG12" s="18" t="s">
        <v>180</v>
      </c>
      <c r="AH12" s="18" t="s">
        <v>181</v>
      </c>
      <c r="AK12" s="18" t="s">
        <v>182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G22-(D22*F22*F22)</f>
        <v>1781781.333333333</v>
      </c>
      <c r="O13" s="19">
        <f>H22-(D22*E22*E22)</f>
        <v>1781781.333333333</v>
      </c>
      <c r="P13" s="19">
        <f>I22-(D22*E22*F22)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N13/(MAX(C13:C20)-F22)</f>
        <v>52405.333333333321</v>
      </c>
      <c r="V13" s="19">
        <f>N13/(MIN(C13:C20)-F22)</f>
        <v>-52405.333333333321</v>
      </c>
      <c r="W13" s="19">
        <f>O13/(MIN(B13:B20)-E22)</f>
        <v>-52405.333333333321</v>
      </c>
      <c r="X13" s="19">
        <f>O13/(MAX(B13:B20)-E22)</f>
        <v>52405.333333333321</v>
      </c>
    </row>
    <row r="14" spans="1:40" x14ac:dyDescent="0.25">
      <c r="A14">
        <v>2</v>
      </c>
      <c r="B14" s="7">
        <v>68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L14">
        <f>IF(AND(B14=B15,C14=C15),0,1)</f>
        <v>1</v>
      </c>
      <c r="Y14" s="1">
        <f>$N$13/(C14-$F$22)</f>
        <v>-52405.333333333321</v>
      </c>
      <c r="Z14">
        <f>$O$13/(B14-$E$22)</f>
        <v>52405.333333333321</v>
      </c>
      <c r="AA14">
        <f>-1*$B$3/Y14</f>
        <v>-0.8163291268064321</v>
      </c>
      <c r="AB14">
        <f>$B$4/Z14</f>
        <v>0</v>
      </c>
      <c r="AC14">
        <f>$I$2+AG14+AK14</f>
        <v>-0.806381029920619</v>
      </c>
      <c r="AD14" s="9">
        <f>C14-$F$22</f>
        <v>-34</v>
      </c>
      <c r="AE14">
        <f>(AD14*$N$4*$O$13)/(($N$13*$O$13)-($P$13*$P$13))</f>
        <v>0.8163291268064321</v>
      </c>
      <c r="AF14">
        <f>(AD14*$N$3*$P$13)/(($N$13*$O$13)-($P$13*$P$13))</f>
        <v>0</v>
      </c>
      <c r="AG14">
        <f>(AE14+AF14)*-1</f>
        <v>-0.8163291268064321</v>
      </c>
      <c r="AH14" s="9">
        <f>B14-$E$22</f>
        <v>34</v>
      </c>
      <c r="AI14">
        <f>(-1*AH14*$N$3*$N$13)/(($N$13*$O$13)-($P$13*$P$13))</f>
        <v>0</v>
      </c>
      <c r="AJ14">
        <f>(-1*AH14*$N$4*$P$13)/(($N$13*$O$13)-($P$13*$P$13))</f>
        <v>0</v>
      </c>
      <c r="AK14">
        <f>(AI14+AJ14)*-1</f>
        <v>0</v>
      </c>
      <c r="AM14">
        <f>AA14+AB14+$I$2</f>
        <v>-0.806381029920619</v>
      </c>
      <c r="AN14" t="b">
        <f>AM14=AC14</f>
        <v>1</v>
      </c>
    </row>
    <row r="15" spans="1:40" x14ac:dyDescent="0.25">
      <c r="A15">
        <v>3</v>
      </c>
      <c r="B15" s="7">
        <v>68</v>
      </c>
      <c r="C15" s="7">
        <v>68</v>
      </c>
      <c r="D15" s="5">
        <f t="shared" ref="D15:D18" si="0">((B14*C15)-(B15*C14))*0.5</f>
        <v>2312</v>
      </c>
      <c r="E15" s="5">
        <f t="shared" ref="E15:E18" si="1">(B15+B14)*((B14*C15)-(B15*C14))*(1/6)</f>
        <v>104810.66666666666</v>
      </c>
      <c r="F15" s="5">
        <f t="shared" ref="F15:F18" si="2">(C15+C14)*((B14*C15)-(B15*C14))*(1/6)</f>
        <v>52405.333333333328</v>
      </c>
      <c r="G15" s="5">
        <f t="shared" ref="G15:G18" si="3">(((C14*C14)+(C14*C15)+(C15*C15))*((B14*C15)-(B15*C14)))/12</f>
        <v>1781781.3333333333</v>
      </c>
      <c r="H15" s="5">
        <f t="shared" ref="H15:H18" si="4">(((B14*B14)+(B14*B15)+(B15*B15))*((B14*C15)-(B15*C14)))/12</f>
        <v>5345344</v>
      </c>
      <c r="I15" s="5">
        <f t="shared" ref="I15:I18" si="5">(((B14*C15)+(2*B14*C14)+(2*B15*C15)+(B15*C14))*((B14*C15)-(B15*C14)))/24</f>
        <v>2672672</v>
      </c>
      <c r="J15" s="5">
        <f t="shared" ref="J15:J18" si="6">G15+H15</f>
        <v>7127125.333333333</v>
      </c>
      <c r="K15">
        <f t="shared" ref="K15:K21" si="7">ATAN2((B15-$E$22),(C15-$F$22))</f>
        <v>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52405.333333333321</v>
      </c>
      <c r="Z15">
        <f t="shared" ref="Z15:Z21" si="10">$O$13/(B15-$E$22)</f>
        <v>52405.333333333321</v>
      </c>
      <c r="AA15">
        <f t="shared" ref="AA15:AA21" si="11">-1*$B$3/Y15</f>
        <v>0.8163291268064321</v>
      </c>
      <c r="AB15">
        <f t="shared" ref="AB15:AB21" si="12">$B$4/Z15</f>
        <v>0</v>
      </c>
      <c r="AC15">
        <f t="shared" ref="AC15:AC21" si="13">$I$2+AG15+AK15</f>
        <v>0.82627722369224521</v>
      </c>
      <c r="AD15" s="9">
        <f t="shared" ref="AD15:AD21" si="14">C15-$F$22</f>
        <v>34</v>
      </c>
      <c r="AE15">
        <f t="shared" ref="AE15:AE21" si="15">(AD15*$N$4*$O$13)/(($N$13*$O$13)-($P$13*$P$13))</f>
        <v>-0.8163291268064321</v>
      </c>
      <c r="AF15">
        <f t="shared" ref="AF15:AF21" si="16">(AD15*$N$3*$P$13)/(($N$13*$O$13)-($P$13*$P$13))</f>
        <v>0</v>
      </c>
      <c r="AG15">
        <f t="shared" ref="AG15:AG21" si="17">(AE15+AF15)*-1</f>
        <v>0.8163291268064321</v>
      </c>
      <c r="AH15" s="9">
        <f t="shared" ref="AH15:AH21" si="18">B15-$E$22</f>
        <v>34</v>
      </c>
      <c r="AI15">
        <f t="shared" ref="AI15:AI21" si="19">(-1*AH15*$N$3*$N$13)/(($N$13*$O$13)-($P$13*$P$13))</f>
        <v>0</v>
      </c>
      <c r="AJ15">
        <f t="shared" ref="AJ15:AJ21" si="20">(-1*AH15*$N$4*$P$13)/(($N$13*$O$13)-($P$13*$P$13))</f>
        <v>0</v>
      </c>
      <c r="AK15">
        <f t="shared" ref="AK15:AK21" si="21">(AI15+AJ15)*-1</f>
        <v>0</v>
      </c>
      <c r="AM15">
        <f t="shared" ref="AM15:AM21" si="22">AA15+AB15+$I$2</f>
        <v>0.82627722369224521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52405.333333333321</v>
      </c>
      <c r="Z16">
        <f t="shared" si="10"/>
        <v>-52405.333333333321</v>
      </c>
      <c r="AA16">
        <f t="shared" si="11"/>
        <v>0.8163291268064321</v>
      </c>
      <c r="AB16">
        <f t="shared" si="12"/>
        <v>0</v>
      </c>
      <c r="AC16">
        <f t="shared" si="13"/>
        <v>0.82627722369224521</v>
      </c>
      <c r="AD16" s="9">
        <f t="shared" si="14"/>
        <v>34</v>
      </c>
      <c r="AE16">
        <f t="shared" si="15"/>
        <v>-0.8163291268064321</v>
      </c>
      <c r="AF16">
        <f t="shared" si="16"/>
        <v>0</v>
      </c>
      <c r="AG16">
        <f t="shared" si="17"/>
        <v>0.8163291268064321</v>
      </c>
      <c r="AH16" s="9">
        <f t="shared" si="18"/>
        <v>-34</v>
      </c>
      <c r="AI16">
        <f t="shared" si="19"/>
        <v>0</v>
      </c>
      <c r="AJ16">
        <f t="shared" si="20"/>
        <v>0</v>
      </c>
      <c r="AK16">
        <f t="shared" si="21"/>
        <v>0</v>
      </c>
      <c r="AM16">
        <f t="shared" si="22"/>
        <v>0.82627722369224521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9"/>
        <v>-52405.333333333321</v>
      </c>
      <c r="Z17">
        <f t="shared" si="10"/>
        <v>-52405.333333333321</v>
      </c>
      <c r="AA17">
        <f t="shared" si="11"/>
        <v>-0.8163291268064321</v>
      </c>
      <c r="AB17">
        <f t="shared" si="12"/>
        <v>0</v>
      </c>
      <c r="AC17">
        <f t="shared" si="13"/>
        <v>-0.806381029920619</v>
      </c>
      <c r="AD17" s="9">
        <f t="shared" si="14"/>
        <v>-34</v>
      </c>
      <c r="AE17">
        <f t="shared" si="15"/>
        <v>0.8163291268064321</v>
      </c>
      <c r="AF17">
        <f t="shared" si="16"/>
        <v>0</v>
      </c>
      <c r="AG17">
        <f t="shared" si="17"/>
        <v>-0.8163291268064321</v>
      </c>
      <c r="AH17" s="9">
        <f t="shared" si="18"/>
        <v>-34</v>
      </c>
      <c r="AI17">
        <f t="shared" si="19"/>
        <v>0</v>
      </c>
      <c r="AJ17">
        <f t="shared" si="20"/>
        <v>0</v>
      </c>
      <c r="AK17">
        <f t="shared" si="21"/>
        <v>0</v>
      </c>
      <c r="AM17">
        <f t="shared" si="22"/>
        <v>-0.806381029920619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-52405.333333333321</v>
      </c>
      <c r="Z18">
        <f t="shared" si="10"/>
        <v>-52405.333333333321</v>
      </c>
      <c r="AA18">
        <f t="shared" si="11"/>
        <v>-0.8163291268064321</v>
      </c>
      <c r="AB18">
        <f t="shared" si="12"/>
        <v>0</v>
      </c>
      <c r="AC18">
        <f t="shared" si="13"/>
        <v>-0.806381029920619</v>
      </c>
      <c r="AD18" s="9">
        <f t="shared" si="14"/>
        <v>-34</v>
      </c>
      <c r="AE18">
        <f t="shared" si="15"/>
        <v>0.8163291268064321</v>
      </c>
      <c r="AF18">
        <f t="shared" si="16"/>
        <v>0</v>
      </c>
      <c r="AG18">
        <f t="shared" si="17"/>
        <v>-0.8163291268064321</v>
      </c>
      <c r="AH18" s="9">
        <f t="shared" si="18"/>
        <v>-34</v>
      </c>
      <c r="AI18">
        <f t="shared" si="19"/>
        <v>0</v>
      </c>
      <c r="AJ18">
        <f t="shared" si="20"/>
        <v>0</v>
      </c>
      <c r="AK18">
        <f t="shared" si="21"/>
        <v>0</v>
      </c>
      <c r="AM18">
        <f t="shared" si="22"/>
        <v>-0.806381029920619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9"/>
        <v>-52405.333333333321</v>
      </c>
      <c r="Z19">
        <f t="shared" si="10"/>
        <v>-52405.333333333321</v>
      </c>
      <c r="AA19">
        <f t="shared" si="11"/>
        <v>-0.8163291268064321</v>
      </c>
      <c r="AB19">
        <f t="shared" si="12"/>
        <v>0</v>
      </c>
      <c r="AC19">
        <f t="shared" si="13"/>
        <v>-0.806381029920619</v>
      </c>
      <c r="AD19" s="9">
        <f t="shared" si="14"/>
        <v>-34</v>
      </c>
      <c r="AE19">
        <f t="shared" si="15"/>
        <v>0.8163291268064321</v>
      </c>
      <c r="AF19">
        <f t="shared" si="16"/>
        <v>0</v>
      </c>
      <c r="AG19">
        <f t="shared" si="17"/>
        <v>-0.8163291268064321</v>
      </c>
      <c r="AH19" s="9">
        <f t="shared" si="18"/>
        <v>-34</v>
      </c>
      <c r="AI19">
        <f t="shared" si="19"/>
        <v>0</v>
      </c>
      <c r="AJ19">
        <f t="shared" si="20"/>
        <v>0</v>
      </c>
      <c r="AK19">
        <f t="shared" si="21"/>
        <v>0</v>
      </c>
      <c r="AM19">
        <f t="shared" si="22"/>
        <v>-0.806381029920619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-52405.333333333321</v>
      </c>
      <c r="Z20">
        <f t="shared" si="10"/>
        <v>-52405.333333333321</v>
      </c>
      <c r="AA20">
        <f t="shared" si="11"/>
        <v>-0.8163291268064321</v>
      </c>
      <c r="AB20">
        <f t="shared" si="12"/>
        <v>0</v>
      </c>
      <c r="AC20">
        <f t="shared" si="13"/>
        <v>-0.806381029920619</v>
      </c>
      <c r="AD20" s="9">
        <f t="shared" si="14"/>
        <v>-34</v>
      </c>
      <c r="AE20">
        <f t="shared" si="15"/>
        <v>0.8163291268064321</v>
      </c>
      <c r="AF20">
        <f t="shared" si="16"/>
        <v>0</v>
      </c>
      <c r="AG20">
        <f t="shared" si="17"/>
        <v>-0.8163291268064321</v>
      </c>
      <c r="AH20" s="9">
        <f t="shared" si="18"/>
        <v>-34</v>
      </c>
      <c r="AI20">
        <f t="shared" si="19"/>
        <v>0</v>
      </c>
      <c r="AJ20">
        <f t="shared" si="20"/>
        <v>0</v>
      </c>
      <c r="AK20">
        <f t="shared" si="21"/>
        <v>0</v>
      </c>
      <c r="AM20">
        <f t="shared" si="22"/>
        <v>-0.806381029920619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-52405.333333333321</v>
      </c>
      <c r="Z21">
        <f t="shared" si="10"/>
        <v>-52405.333333333321</v>
      </c>
      <c r="AA21">
        <f t="shared" si="11"/>
        <v>-0.8163291268064321</v>
      </c>
      <c r="AB21">
        <f t="shared" si="12"/>
        <v>0</v>
      </c>
      <c r="AC21">
        <f t="shared" si="13"/>
        <v>-0.806381029920619</v>
      </c>
      <c r="AD21" s="9">
        <f t="shared" si="14"/>
        <v>-34</v>
      </c>
      <c r="AE21">
        <f t="shared" si="15"/>
        <v>0.8163291268064321</v>
      </c>
      <c r="AF21">
        <f t="shared" si="16"/>
        <v>0</v>
      </c>
      <c r="AG21">
        <f t="shared" si="17"/>
        <v>-0.8163291268064321</v>
      </c>
      <c r="AH21" s="9">
        <f t="shared" si="18"/>
        <v>-34</v>
      </c>
      <c r="AI21">
        <f t="shared" si="19"/>
        <v>0</v>
      </c>
      <c r="AJ21">
        <f t="shared" si="20"/>
        <v>0</v>
      </c>
      <c r="AK21">
        <f t="shared" si="21"/>
        <v>0</v>
      </c>
      <c r="AM21">
        <f t="shared" si="22"/>
        <v>-0.806381029920619</v>
      </c>
      <c r="AN21" t="b">
        <f t="shared" si="23"/>
        <v>1</v>
      </c>
    </row>
    <row r="22" spans="1:40" x14ac:dyDescent="0.25">
      <c r="D22" s="5">
        <f>SUM(D13:D21)</f>
        <v>4624</v>
      </c>
      <c r="E22" s="3">
        <f>SUM(E14:E21)/D22</f>
        <v>34</v>
      </c>
      <c r="F22" s="3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  <c r="AC22">
        <f>COUNTIF(AC14:AC21,"&gt;0")</f>
        <v>2</v>
      </c>
    </row>
    <row r="23" spans="1:40" x14ac:dyDescent="0.25">
      <c r="A23" t="s">
        <v>133</v>
      </c>
      <c r="B23" t="s">
        <v>199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5</v>
      </c>
      <c r="C25" s="2">
        <v>34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46 kips
Mx: -42780 kip-in
My: 0 kip-in</v>
      </c>
    </row>
    <row r="26" spans="1:40" x14ac:dyDescent="0.25">
      <c r="A26">
        <v>2</v>
      </c>
      <c r="B26" s="2">
        <v>13.4939</v>
      </c>
      <c r="C26" s="2"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  <c r="AC26">
        <f>MAX(AC14:AC21)</f>
        <v>0.82627722369224521</v>
      </c>
      <c r="AD26">
        <f>COUNTIFS(AC14:AC21,AC26,L14:L21,1)</f>
        <v>2</v>
      </c>
      <c r="AE26">
        <f>SUMIF(AC14:AC21,AC26,B14:B21)/AD26</f>
        <v>34</v>
      </c>
      <c r="AF26">
        <f>SUMIF(AC14:AC21,AC26,C14:C21)/AD26</f>
        <v>68</v>
      </c>
      <c r="AG26" t="s">
        <v>197</v>
      </c>
    </row>
    <row r="27" spans="1:40" x14ac:dyDescent="0.25">
      <c r="A27">
        <v>3</v>
      </c>
      <c r="B27" s="2">
        <v>34</v>
      </c>
      <c r="C27" s="2">
        <v>63</v>
      </c>
      <c r="D27" s="5">
        <f t="shared" ref="D27:D33" si="45">((B26*C27)-(B27*C26))*0.5</f>
        <v>-501.54415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-0.806381029920619</v>
      </c>
      <c r="AD27">
        <f>COUNTIFS(AC14:AC21,AC27,L14:L21,1)</f>
        <v>2</v>
      </c>
      <c r="AE27">
        <f>SUMIF(AC14:AC21,AC27,B14:B21)/AD27</f>
        <v>34</v>
      </c>
      <c r="AF27">
        <f>SUMIF(AC14:AC21,AC27,C14:C21)/AD27</f>
        <v>0</v>
      </c>
      <c r="AG27" t="s">
        <v>196</v>
      </c>
    </row>
    <row r="28" spans="1:40" x14ac:dyDescent="0.25">
      <c r="A28">
        <v>4</v>
      </c>
      <c r="B28" s="2">
        <v>54.506</v>
      </c>
      <c r="C28" s="2">
        <v>54.506</v>
      </c>
      <c r="D28" s="5">
        <f t="shared" si="45"/>
        <v>-790.3370000000001</v>
      </c>
      <c r="E28" s="5"/>
      <c r="F28" s="5"/>
      <c r="G28" s="5"/>
      <c r="H28" s="5"/>
      <c r="I28" s="5"/>
      <c r="J28" s="5"/>
      <c r="AJ28" t="s">
        <v>189</v>
      </c>
    </row>
    <row r="29" spans="1:40" x14ac:dyDescent="0.25">
      <c r="A29">
        <v>5</v>
      </c>
      <c r="B29" s="2">
        <v>63</v>
      </c>
      <c r="C29" s="2">
        <v>34</v>
      </c>
      <c r="D29" s="5">
        <f t="shared" si="45"/>
        <v>-790.3370000000001</v>
      </c>
      <c r="E29" s="5"/>
      <c r="F29" s="5"/>
      <c r="G29" s="5"/>
      <c r="H29" s="5"/>
      <c r="I29" s="5"/>
      <c r="J29" s="5"/>
      <c r="AD29" t="s">
        <v>193</v>
      </c>
      <c r="AE29">
        <f>SQRT(POWER(AE27-AE26,2)+POWER(AF27-AF26,2))</f>
        <v>68</v>
      </c>
      <c r="AG29">
        <f>(AE27-AE26)</f>
        <v>0</v>
      </c>
      <c r="AH29">
        <f>AF27-AF26</f>
        <v>-68</v>
      </c>
      <c r="AJ29">
        <f>AG29/AE29</f>
        <v>0</v>
      </c>
      <c r="AK29">
        <f>AH29/AE29</f>
        <v>-1</v>
      </c>
    </row>
    <row r="30" spans="1:40" x14ac:dyDescent="0.25">
      <c r="A30">
        <v>6</v>
      </c>
      <c r="B30" s="2">
        <v>54.506</v>
      </c>
      <c r="C30" s="2">
        <v>13.4939</v>
      </c>
      <c r="D30" s="5">
        <f t="shared" si="45"/>
        <v>-501.54415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3.315 ksi &gt; 1.7616 ksi
Design Status: OK
SOLUTION FOUND</v>
      </c>
      <c r="AD30" t="s">
        <v>194</v>
      </c>
      <c r="AE30">
        <f>(AC27-AC26)/AE29</f>
        <v>-2.400968020018918E-2</v>
      </c>
    </row>
    <row r="31" spans="1:40" x14ac:dyDescent="0.25">
      <c r="A31">
        <v>7</v>
      </c>
      <c r="B31" s="2">
        <v>34</v>
      </c>
      <c r="C31" s="2">
        <v>5</v>
      </c>
      <c r="D31" s="5">
        <f t="shared" si="45"/>
        <v>-93.13130000000001</v>
      </c>
      <c r="E31" s="5"/>
      <c r="F31" s="5"/>
      <c r="G31" s="5"/>
      <c r="H31" s="5"/>
      <c r="I31" s="5"/>
      <c r="J31" s="5"/>
      <c r="AJ31">
        <f>IF(AND(AG29=0,AH29=0),0,ATAN2(AJ29,AK29))</f>
        <v>-1.5707963267948966</v>
      </c>
      <c r="AK31" t="s">
        <v>190</v>
      </c>
    </row>
    <row r="32" spans="1:40" x14ac:dyDescent="0.25">
      <c r="A32">
        <v>8</v>
      </c>
      <c r="B32" s="2">
        <v>13.4939</v>
      </c>
      <c r="C32" s="2">
        <v>13.4939</v>
      </c>
      <c r="D32" s="5">
        <f t="shared" si="45"/>
        <v>195.66155000000001</v>
      </c>
      <c r="E32" s="5"/>
      <c r="F32" s="5"/>
      <c r="G32" s="5"/>
      <c r="H32" s="5"/>
      <c r="I32" s="5"/>
      <c r="J32" s="5"/>
      <c r="AD32" t="s">
        <v>186</v>
      </c>
      <c r="AE32">
        <f>IF(AND(AG29=0,AH29=0),0,(-1*AC26/AE30))</f>
        <v>34.414336917562721</v>
      </c>
      <c r="AF32" t="s">
        <v>192</v>
      </c>
      <c r="AJ32">
        <f>AJ31+(PI()/2)</f>
        <v>0</v>
      </c>
      <c r="AK32" t="s">
        <v>191</v>
      </c>
    </row>
    <row r="33" spans="1:48" x14ac:dyDescent="0.25">
      <c r="A33">
        <v>9</v>
      </c>
      <c r="B33" s="1">
        <f>B25</f>
        <v>5</v>
      </c>
      <c r="C33" s="1">
        <f>C25</f>
        <v>34</v>
      </c>
      <c r="D33" s="5">
        <f t="shared" si="45"/>
        <v>195.66155000000001</v>
      </c>
      <c r="E33" s="5"/>
      <c r="F33" s="5"/>
      <c r="G33" s="5"/>
      <c r="H33" s="5"/>
      <c r="I33" s="5"/>
      <c r="J33" s="5"/>
      <c r="V33" s="64" t="s">
        <v>216</v>
      </c>
      <c r="AJ33">
        <f>AJ31-(PI()/2)</f>
        <v>-3.1415926535897931</v>
      </c>
    </row>
    <row r="34" spans="1:48" x14ac:dyDescent="0.25">
      <c r="D34" s="5">
        <f>SUM(D25:D33)</f>
        <v>-2378.7018000000007</v>
      </c>
      <c r="E34" s="5"/>
      <c r="F34" s="5"/>
      <c r="G34" s="5"/>
      <c r="H34" s="5"/>
      <c r="I34" s="5"/>
      <c r="J34" s="5"/>
      <c r="V34" s="1" t="s">
        <v>215</v>
      </c>
      <c r="W34" s="3">
        <f>SQRT(D22/W36)</f>
        <v>68</v>
      </c>
      <c r="X34" t="s">
        <v>218</v>
      </c>
      <c r="AD34" t="s">
        <v>195</v>
      </c>
      <c r="AE34">
        <f>AE32/AE29</f>
        <v>0.50609318996415764</v>
      </c>
    </row>
    <row r="35" spans="1:48" x14ac:dyDescent="0.25">
      <c r="A35" t="s">
        <v>4</v>
      </c>
      <c r="Q35" t="s">
        <v>25</v>
      </c>
      <c r="T35" t="s">
        <v>14</v>
      </c>
      <c r="V35" s="1" t="s">
        <v>198</v>
      </c>
      <c r="W35" s="67">
        <v>3.2551420050076558</v>
      </c>
      <c r="X35" s="1" t="s">
        <v>22</v>
      </c>
      <c r="AE35" t="s">
        <v>187</v>
      </c>
      <c r="AF35" t="s">
        <v>188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210</v>
      </c>
      <c r="W36" s="65">
        <f>W3/W2</f>
        <v>1</v>
      </c>
      <c r="X36" s="63" t="s">
        <v>217</v>
      </c>
      <c r="AE36">
        <f>AE26+(AE34*(AE27-AE26))</f>
        <v>34</v>
      </c>
      <c r="AF36">
        <f>AF26+(AE34*(AF27-AF26))</f>
        <v>33.585663082437279</v>
      </c>
      <c r="AI36">
        <f>MAX(B13:C21)*-1</f>
        <v>-68</v>
      </c>
      <c r="AJ36">
        <f>AE36+(AI36*COS(AJ32))</f>
        <v>-34</v>
      </c>
      <c r="AK36">
        <f>AF36+(AI36*SIN(AJ32))</f>
        <v>33.585663082437279</v>
      </c>
    </row>
    <row r="37" spans="1:48" x14ac:dyDescent="0.25">
      <c r="A37">
        <v>1</v>
      </c>
      <c r="B37" s="7">
        <v>61.04</v>
      </c>
      <c r="C37" s="7">
        <v>53.23</v>
      </c>
      <c r="D37" s="13" t="s">
        <v>2</v>
      </c>
      <c r="Q37" s="12">
        <f>IF($D37="y",B37,NA())</f>
        <v>61.04</v>
      </c>
      <c r="R37" s="12">
        <f>IF($D37="y",C37,NA())</f>
        <v>53.23</v>
      </c>
      <c r="T37" s="4">
        <f>MAX(MAX(B13:B20),MAX(C13:C20))</f>
        <v>68</v>
      </c>
      <c r="U37" s="1">
        <f>T37</f>
        <v>68</v>
      </c>
      <c r="V37" s="1" t="s">
        <v>211</v>
      </c>
      <c r="W37" s="66">
        <f>W35*(W36*W35)</f>
        <v>10.595949472765261</v>
      </c>
      <c r="X37" s="1" t="s">
        <v>22</v>
      </c>
      <c r="AA37" t="str">
        <f>IF(W44=0,"Reduced Bearing Area","")</f>
        <v/>
      </c>
      <c r="AI37">
        <f>-1*AI36</f>
        <v>68</v>
      </c>
      <c r="AJ37">
        <f>AE36+(AI37*COS(AJ32))</f>
        <v>102</v>
      </c>
      <c r="AK37">
        <f>AF36+(AI37*SIN(AJ32))</f>
        <v>33.585663082437279</v>
      </c>
    </row>
    <row r="38" spans="1:48" x14ac:dyDescent="0.25">
      <c r="A38">
        <v>2</v>
      </c>
      <c r="B38" s="7">
        <v>6.9569999999999999</v>
      </c>
      <c r="C38" s="7">
        <v>53.23</v>
      </c>
      <c r="D38" s="13" t="s">
        <v>2</v>
      </c>
      <c r="Q38" s="12">
        <f t="shared" ref="Q38:Q48" si="46">IF($D38="y",B38,NA())</f>
        <v>6.9569999999999999</v>
      </c>
      <c r="R38" s="12">
        <f t="shared" ref="R38:R48" si="47">IF($D38="y",C38,NA())</f>
        <v>53.23</v>
      </c>
      <c r="V38" s="1" t="s">
        <v>212</v>
      </c>
      <c r="W38" s="3">
        <f>W35*POWER(W36*W35,2)*(1/6)</f>
        <v>5.7485533686228205</v>
      </c>
      <c r="X38" s="1" t="s">
        <v>214</v>
      </c>
      <c r="Y38" s="1" t="s">
        <v>1</v>
      </c>
      <c r="Z38" s="1" t="s">
        <v>2</v>
      </c>
      <c r="AA38" s="1" t="s">
        <v>221</v>
      </c>
      <c r="AB38" s="1" t="s">
        <v>222</v>
      </c>
      <c r="AM38" s="9" cm="1">
        <f t="array" ref="AM38">MAX(ABS(AJ36:AJ37),ABS(AE36),ABS(AE26:AE27),ABS(B13:B21),ABS(C13:C21),ABS(AK36:AK37),ABS(AF36),ABS(AF26:AF27))</f>
        <v>102</v>
      </c>
      <c r="AN38" s="9">
        <f>AM38</f>
        <v>102</v>
      </c>
    </row>
    <row r="39" spans="1:48" x14ac:dyDescent="0.25">
      <c r="A39">
        <v>3</v>
      </c>
      <c r="B39" s="7">
        <v>61.04</v>
      </c>
      <c r="C39" s="7">
        <v>14.77</v>
      </c>
      <c r="D39" s="13" t="s">
        <v>2</v>
      </c>
      <c r="Q39" s="12">
        <f t="shared" si="46"/>
        <v>61.04</v>
      </c>
      <c r="R39" s="12">
        <f t="shared" si="47"/>
        <v>14.77</v>
      </c>
      <c r="V39" s="1" t="s">
        <v>213</v>
      </c>
      <c r="W39" s="3">
        <f>(W36*W35)*POWER(W35,2)*(1/6)</f>
        <v>5.7485533686228205</v>
      </c>
      <c r="X39" s="1" t="s">
        <v>214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-102</v>
      </c>
      <c r="AN39">
        <f>AM39</f>
        <v>-102</v>
      </c>
    </row>
    <row r="40" spans="1:48" x14ac:dyDescent="0.25">
      <c r="A40">
        <v>4</v>
      </c>
      <c r="B40" s="7">
        <v>6.9569999999999999</v>
      </c>
      <c r="C40" s="7">
        <v>14.77</v>
      </c>
      <c r="D40" s="13" t="s">
        <v>2</v>
      </c>
      <c r="Q40" s="12">
        <f t="shared" si="46"/>
        <v>6.9569999999999999</v>
      </c>
      <c r="R40" s="12">
        <f t="shared" si="47"/>
        <v>14.77</v>
      </c>
      <c r="W40" s="3">
        <f>(B2/W37)+(B3/W38)+(B4/W39)</f>
        <v>-7437.531004698275</v>
      </c>
      <c r="X40" s="1" t="s">
        <v>11</v>
      </c>
      <c r="Y40" s="5">
        <f>W35</f>
        <v>3.2551420050076558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59.866</v>
      </c>
      <c r="C41" s="7">
        <v>56.63</v>
      </c>
      <c r="D41" s="13" t="s">
        <v>2</v>
      </c>
      <c r="Q41" s="12">
        <f t="shared" si="46"/>
        <v>59.866</v>
      </c>
      <c r="R41" s="12">
        <f t="shared" si="47"/>
        <v>56.63</v>
      </c>
      <c r="W41" s="3">
        <f>(B2/W37)-(B3/W38)-(B4/W39)</f>
        <v>7446.2135678075529</v>
      </c>
      <c r="X41" s="1" t="s">
        <v>11</v>
      </c>
      <c r="Y41" s="5">
        <f>W35</f>
        <v>3.2551420050076558</v>
      </c>
      <c r="Z41" s="5">
        <f>W35*W36</f>
        <v>3.2551420050076558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8.1349999999999998</v>
      </c>
      <c r="C42" s="7">
        <v>56.63</v>
      </c>
      <c r="D42" s="13" t="s">
        <v>2</v>
      </c>
      <c r="Q42" s="12">
        <f t="shared" si="46"/>
        <v>8.1349999999999998</v>
      </c>
      <c r="R42" s="12">
        <f t="shared" si="47"/>
        <v>56.63</v>
      </c>
      <c r="W42" s="3">
        <f>(B2/W37)+(B3/W38)-(B4/W39)</f>
        <v>-7437.531004698275</v>
      </c>
      <c r="X42" s="1" t="s">
        <v>11</v>
      </c>
      <c r="Y42" s="5">
        <v>0</v>
      </c>
      <c r="Z42" s="5">
        <f>Z41</f>
        <v>3.2551420050076558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59.866</v>
      </c>
      <c r="C43" s="7">
        <v>11.37</v>
      </c>
      <c r="D43" s="13" t="s">
        <v>2</v>
      </c>
      <c r="Q43" s="12">
        <f t="shared" si="46"/>
        <v>59.866</v>
      </c>
      <c r="R43" s="12">
        <f t="shared" si="47"/>
        <v>11.37</v>
      </c>
      <c r="W43" s="3">
        <f>(B2/W37)-(B3/W38)+(B4/W39)</f>
        <v>7446.2135678075529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8.1349999999999998</v>
      </c>
      <c r="C44" s="7">
        <v>11.37</v>
      </c>
      <c r="D44" s="13" t="s">
        <v>2</v>
      </c>
      <c r="Q44" s="12">
        <f t="shared" si="46"/>
        <v>8.1349999999999998</v>
      </c>
      <c r="R44" s="12">
        <f t="shared" si="47"/>
        <v>11.37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58.665999999999997</v>
      </c>
      <c r="C45" s="7">
        <v>59.58</v>
      </c>
      <c r="D45" s="13" t="s">
        <v>2</v>
      </c>
      <c r="Q45" s="12">
        <f t="shared" si="46"/>
        <v>58.665999999999997</v>
      </c>
      <c r="R45" s="12">
        <f t="shared" si="47"/>
        <v>59.58</v>
      </c>
      <c r="Y45" t="s">
        <v>219</v>
      </c>
      <c r="Z45" s="1">
        <f>Y40/2</f>
        <v>1.6275710025038279</v>
      </c>
      <c r="AC45" s="5" t="e">
        <f>AC44=W37</f>
        <v>#N/A</v>
      </c>
    </row>
    <row r="46" spans="1:48" x14ac:dyDescent="0.25">
      <c r="A46">
        <v>10</v>
      </c>
      <c r="B46" s="7">
        <v>9.3339999999999996</v>
      </c>
      <c r="C46" s="7">
        <v>59.58</v>
      </c>
      <c r="D46" s="13" t="s">
        <v>2</v>
      </c>
      <c r="Q46" s="12">
        <f t="shared" si="46"/>
        <v>9.3339999999999996</v>
      </c>
      <c r="R46" s="12">
        <f t="shared" si="47"/>
        <v>59.58</v>
      </c>
      <c r="Y46" t="s">
        <v>220</v>
      </c>
      <c r="Z46" s="1">
        <f>Z41/2</f>
        <v>1.6275710025038279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58.665999999999997</v>
      </c>
      <c r="C47" s="7">
        <v>8.42</v>
      </c>
      <c r="D47" s="13" t="s">
        <v>2</v>
      </c>
      <c r="Q47" s="12">
        <f t="shared" si="46"/>
        <v>58.665999999999997</v>
      </c>
      <c r="R47" s="12">
        <f t="shared" si="47"/>
        <v>8.42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9.3339999999999996</v>
      </c>
      <c r="C48" s="7">
        <v>8.42</v>
      </c>
      <c r="D48" s="13" t="s">
        <v>2</v>
      </c>
      <c r="Q48" s="12">
        <f t="shared" si="46"/>
        <v>9.3339999999999996</v>
      </c>
      <c r="R48" s="12">
        <f t="shared" si="47"/>
        <v>8.42</v>
      </c>
      <c r="AU48">
        <f>IF(AND(AR46=0,AS46=0),0,ATAN2(AU46,AV46))</f>
        <v>-0.46364760900080609</v>
      </c>
      <c r="AV48" t="s">
        <v>190</v>
      </c>
    </row>
    <row r="49" spans="1:48" x14ac:dyDescent="0.25">
      <c r="AU49">
        <f>AU48+(PI()/2)</f>
        <v>1.1071487177940904</v>
      </c>
      <c r="AV49" t="s">
        <v>191</v>
      </c>
    </row>
    <row r="50" spans="1:48" x14ac:dyDescent="0.25">
      <c r="A50" t="s">
        <v>172</v>
      </c>
      <c r="B50" s="13" t="s">
        <v>244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3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162</v>
      </c>
      <c r="Y52" s="54" t="s">
        <v>161</v>
      </c>
    </row>
    <row r="53" spans="1:48" x14ac:dyDescent="0.25">
      <c r="A53" s="10" t="s">
        <v>9</v>
      </c>
      <c r="B53" s="5">
        <f>IF(B50="Density",(POWER(B52,1.5)*33*SQRT(1000*B51))/1000,(57000*SQRT(B51*1000))/1000)</f>
        <v>3155.9242505167954</v>
      </c>
      <c r="C53" t="s">
        <v>11</v>
      </c>
      <c r="D53" s="54" t="s">
        <v>245</v>
      </c>
      <c r="E53" s="13" t="s">
        <v>2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162</v>
      </c>
      <c r="E54" s="47">
        <v>2.25</v>
      </c>
      <c r="F54" t="s">
        <v>22</v>
      </c>
      <c r="H54" t="s">
        <v>231</v>
      </c>
      <c r="I54" s="13" t="s">
        <v>233</v>
      </c>
      <c r="R54" s="10" t="s">
        <v>234</v>
      </c>
      <c r="S54" s="77" t="s">
        <v>235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3.2476895238936292</v>
      </c>
      <c r="C55" t="s">
        <v>67</v>
      </c>
      <c r="D55" s="54" t="s">
        <v>161</v>
      </c>
      <c r="E55" s="1">
        <f ca="1">OFFSET(X52,MATCH(E54,X53:X73,0),1)</f>
        <v>4.5</v>
      </c>
      <c r="F55" s="7">
        <v>0</v>
      </c>
      <c r="G55" t="s">
        <v>171</v>
      </c>
      <c r="H55" s="48" t="s">
        <v>156</v>
      </c>
      <c r="I55" s="55">
        <f>E164</f>
        <v>3.4106051316484809E-13</v>
      </c>
      <c r="J55" s="49" t="str">
        <f>F164</f>
        <v>kips</v>
      </c>
      <c r="K55" t="s">
        <v>164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9.1890671948958005</v>
      </c>
      <c r="D56" s="54" t="s">
        <v>151</v>
      </c>
      <c r="E56" s="46">
        <f ca="1">IF(E53="y",IF(F55=0,0.7854*POWER(E54-(0.9743/E55),2),0.7854*POWER(E54-(0.9743/F55),2)),PI()*POWER(E54/2,2))</f>
        <v>3.2476895238936292</v>
      </c>
      <c r="F56" t="s">
        <v>67</v>
      </c>
      <c r="H56" s="50" t="s">
        <v>157</v>
      </c>
      <c r="I56" s="56">
        <f t="shared" ref="I56:J57" si="53">E165</f>
        <v>0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152</v>
      </c>
      <c r="E57" s="13" t="s">
        <v>169</v>
      </c>
      <c r="H57" s="52" t="s">
        <v>158</v>
      </c>
      <c r="I57" s="57">
        <f t="shared" si="53"/>
        <v>9.3982877036324908E-12</v>
      </c>
      <c r="J57" s="53" t="str">
        <f t="shared" si="53"/>
        <v>kip-in</v>
      </c>
      <c r="L57" s="1">
        <f>SQRT(POWER(I57,2)+POWER(I56,2)+POWER(I55,2))</f>
        <v>9.404474149780515E-12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163</v>
      </c>
      <c r="E58" s="3">
        <f>IF(E57="STD",E54+(1/16),E54+(5/16))</f>
        <v>2.3125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160</v>
      </c>
      <c r="E59" s="46">
        <f>PI()*(1/4)*E58*E58</f>
        <v>4.2000393972308858</v>
      </c>
      <c r="F59" t="s">
        <v>67</v>
      </c>
      <c r="H59" s="10" t="s">
        <v>165</v>
      </c>
      <c r="I59" s="2">
        <v>100</v>
      </c>
      <c r="K59" t="s">
        <v>167</v>
      </c>
      <c r="L59" s="58">
        <v>1E-10</v>
      </c>
      <c r="M59" t="b">
        <f ca="1">OR(ABS(L57)&gt;L59,B66&lt;0,ABS(I67)&gt;(L59*10000))</f>
        <v>0</v>
      </c>
      <c r="X59">
        <v>1</v>
      </c>
      <c r="Y59">
        <v>8</v>
      </c>
    </row>
    <row r="60" spans="1:48" x14ac:dyDescent="0.25">
      <c r="D60" s="54" t="s">
        <v>230</v>
      </c>
      <c r="E60" s="13" t="s">
        <v>15</v>
      </c>
      <c r="H60" s="10" t="s">
        <v>166</v>
      </c>
      <c r="I60" s="1">
        <v>12</v>
      </c>
      <c r="L60" s="69">
        <v>0</v>
      </c>
      <c r="M60" s="70" t="str">
        <f>IF(L60=1,"Used Higher Precision for Solution","")</f>
        <v/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3.3149999999999999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L61" s="1">
        <f ca="1">COUNTIF(A180:D183,0)</f>
        <v>0</v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168</v>
      </c>
      <c r="X63">
        <v>1.5</v>
      </c>
      <c r="Y63">
        <v>6</v>
      </c>
    </row>
    <row r="64" spans="1:48" x14ac:dyDescent="0.25">
      <c r="A64" s="11" t="s">
        <v>39</v>
      </c>
      <c r="B64" s="24">
        <v>4.2056410456789119E-6</v>
      </c>
      <c r="C64" t="s">
        <v>19</v>
      </c>
      <c r="D64" t="s">
        <v>34</v>
      </c>
      <c r="H64" s="17">
        <f>DEGREES(B64)</f>
        <v>2.4096548206438791E-4</v>
      </c>
      <c r="I64" t="s">
        <v>41</v>
      </c>
      <c r="J64" s="3">
        <f>IF(S54="Load",PI()+N5,AJ32)</f>
        <v>0</v>
      </c>
      <c r="N64" s="8">
        <f>J64</f>
        <v>0</v>
      </c>
      <c r="P64" s="8">
        <f>Q64</f>
        <v>0</v>
      </c>
      <c r="Q64" s="8">
        <f>J64</f>
        <v>0</v>
      </c>
      <c r="X64">
        <v>1.75</v>
      </c>
      <c r="Y64">
        <v>5</v>
      </c>
    </row>
    <row r="65" spans="1:36" x14ac:dyDescent="0.25">
      <c r="A65" s="1" t="s">
        <v>40</v>
      </c>
      <c r="B65" s="24">
        <v>16.023768533849427</v>
      </c>
      <c r="C65" t="s">
        <v>22</v>
      </c>
      <c r="D65" t="s">
        <v>29</v>
      </c>
      <c r="J65" s="1">
        <f>AE32</f>
        <v>34.414336917562721</v>
      </c>
      <c r="N65">
        <f>0.5*J65</f>
        <v>17.207168458781361</v>
      </c>
      <c r="P65">
        <f>0.5*Q65</f>
        <v>17.207168458781361</v>
      </c>
      <c r="Q65">
        <f>AE32</f>
        <v>34.414336917562721</v>
      </c>
      <c r="X65">
        <v>2</v>
      </c>
      <c r="Y65">
        <v>4.5</v>
      </c>
    </row>
    <row r="66" spans="1:36" x14ac:dyDescent="0.25">
      <c r="A66" s="11" t="s">
        <v>42</v>
      </c>
      <c r="B66" s="24">
        <v>1.7616449479451088</v>
      </c>
      <c r="C66" t="s">
        <v>11</v>
      </c>
      <c r="D66">
        <f>B66/B53</f>
        <v>5.5820254483504551E-4</v>
      </c>
      <c r="I66" s="20"/>
      <c r="J66" s="4">
        <f>MAX(AC14:AC21)*2</f>
        <v>1.6525544473844904</v>
      </c>
      <c r="N66">
        <f>2*J66</f>
        <v>3.3051088947689808</v>
      </c>
      <c r="P66">
        <f>0.5*Q66</f>
        <v>0.41313861184612261</v>
      </c>
      <c r="Q66">
        <f>MAX(AC14:AC21)</f>
        <v>0.82627722369224521</v>
      </c>
      <c r="X66">
        <v>2.25</v>
      </c>
      <c r="Y66">
        <v>4.5</v>
      </c>
    </row>
    <row r="67" spans="1:36" x14ac:dyDescent="0.25">
      <c r="A67" s="1" t="s">
        <v>37</v>
      </c>
      <c r="B67" s="24">
        <v>142.90664013373075</v>
      </c>
      <c r="C67" t="s">
        <v>36</v>
      </c>
      <c r="D67" t="s">
        <v>122</v>
      </c>
      <c r="G67" s="20">
        <f ca="1">MAX(($B$56*$B$66*$B$55*$E$122)/$B$65,0)</f>
        <v>142.90664013373075</v>
      </c>
      <c r="H67" t="s">
        <v>36</v>
      </c>
      <c r="I67">
        <f ca="1">IF(B67=0,0,1-G67/B67)</f>
        <v>0</v>
      </c>
      <c r="Q67">
        <v>0</v>
      </c>
      <c r="X67">
        <v>2.5</v>
      </c>
      <c r="Y67">
        <v>4</v>
      </c>
    </row>
    <row r="68" spans="1:36" x14ac:dyDescent="0.25">
      <c r="N68" t="s">
        <v>203</v>
      </c>
      <c r="P68" t="s">
        <v>204</v>
      </c>
      <c r="X68">
        <v>2.75</v>
      </c>
      <c r="Y68">
        <v>4</v>
      </c>
      <c r="AE68" t="s">
        <v>225</v>
      </c>
      <c r="AF68" t="s">
        <v>226</v>
      </c>
      <c r="AG68" t="s">
        <v>227</v>
      </c>
      <c r="AH68" t="s">
        <v>226</v>
      </c>
      <c r="AI68" t="s">
        <v>228</v>
      </c>
      <c r="AJ68" t="s">
        <v>226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-34</v>
      </c>
      <c r="C73" s="4">
        <f t="shared" ref="C73:C81" si="56">C13-$C$9</f>
        <v>-34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-29</v>
      </c>
      <c r="J73" s="4">
        <f>C25-$C$9</f>
        <v>0</v>
      </c>
      <c r="Q73" cm="1">
        <f t="array" ref="Q73">(-1*MAX(ABS(B84:C91)))-1</f>
        <v>-35.000142991494869</v>
      </c>
      <c r="R73">
        <f>Q73</f>
        <v>-35.000142991494869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34</v>
      </c>
      <c r="C74" s="4">
        <f t="shared" si="56"/>
        <v>-34</v>
      </c>
      <c r="H74" s="1">
        <f t="shared" si="57"/>
        <v>2</v>
      </c>
      <c r="I74" s="4">
        <f t="shared" ref="I74:I81" si="58">B26-$B$9</f>
        <v>-20.5061</v>
      </c>
      <c r="J74" s="4">
        <f t="shared" ref="J74:J81" si="59">C26-$C$9</f>
        <v>20.506</v>
      </c>
      <c r="Q74">
        <f>-1*Q73</f>
        <v>35.000142991494869</v>
      </c>
      <c r="R74">
        <f>Q74</f>
        <v>35.000142991494869</v>
      </c>
    </row>
    <row r="75" spans="1:36" x14ac:dyDescent="0.25">
      <c r="A75" s="1">
        <f t="shared" si="54"/>
        <v>3</v>
      </c>
      <c r="B75" s="4">
        <f t="shared" si="55"/>
        <v>34</v>
      </c>
      <c r="C75" s="4">
        <f t="shared" si="56"/>
        <v>34</v>
      </c>
      <c r="H75" s="1">
        <f t="shared" si="57"/>
        <v>3</v>
      </c>
      <c r="I75" s="4">
        <f t="shared" si="58"/>
        <v>0</v>
      </c>
      <c r="J75" s="4">
        <f t="shared" si="59"/>
        <v>29</v>
      </c>
    </row>
    <row r="76" spans="1:36" x14ac:dyDescent="0.25">
      <c r="A76" s="1">
        <f t="shared" si="54"/>
        <v>4</v>
      </c>
      <c r="B76" s="4">
        <f t="shared" si="55"/>
        <v>-34</v>
      </c>
      <c r="C76" s="4">
        <f t="shared" si="56"/>
        <v>34</v>
      </c>
      <c r="H76" s="1">
        <f t="shared" si="57"/>
        <v>4</v>
      </c>
      <c r="I76" s="4">
        <f t="shared" si="58"/>
        <v>20.506</v>
      </c>
      <c r="J76" s="4">
        <f t="shared" si="59"/>
        <v>20.506</v>
      </c>
    </row>
    <row r="77" spans="1:36" x14ac:dyDescent="0.25">
      <c r="A77" s="1">
        <f t="shared" si="54"/>
        <v>5</v>
      </c>
      <c r="B77" s="4">
        <f t="shared" si="55"/>
        <v>-34</v>
      </c>
      <c r="C77" s="4">
        <f t="shared" si="56"/>
        <v>-34</v>
      </c>
      <c r="H77" s="1">
        <f t="shared" si="57"/>
        <v>5</v>
      </c>
      <c r="I77" s="4">
        <f t="shared" si="58"/>
        <v>29</v>
      </c>
      <c r="J77" s="4">
        <f t="shared" si="59"/>
        <v>0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-34</v>
      </c>
      <c r="C78" s="4">
        <f t="shared" si="56"/>
        <v>-34</v>
      </c>
      <c r="H78" s="1">
        <f t="shared" si="57"/>
        <v>6</v>
      </c>
      <c r="I78" s="4">
        <f t="shared" si="58"/>
        <v>20.506</v>
      </c>
      <c r="J78" s="4">
        <f t="shared" si="59"/>
        <v>-20.5061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-34</v>
      </c>
      <c r="C79" s="4">
        <f t="shared" si="56"/>
        <v>-34</v>
      </c>
      <c r="H79" s="1">
        <f t="shared" si="57"/>
        <v>7</v>
      </c>
      <c r="I79" s="4">
        <f t="shared" si="58"/>
        <v>0</v>
      </c>
      <c r="J79" s="4">
        <f t="shared" si="59"/>
        <v>-29</v>
      </c>
      <c r="Q79">
        <f>(I126*COS(-1*$B$64))+(J126*SIN(-1*$B$64))</f>
        <v>-35.000218593363606</v>
      </c>
      <c r="R79">
        <f>(-1*I126*SIN(-1*$B$64))+(J126*COS(-1*$B$64))</f>
        <v>17.976227259448496</v>
      </c>
    </row>
    <row r="80" spans="1:36" x14ac:dyDescent="0.25">
      <c r="A80" s="1">
        <f t="shared" si="54"/>
        <v>8</v>
      </c>
      <c r="B80" s="4">
        <f t="shared" si="55"/>
        <v>-34</v>
      </c>
      <c r="C80" s="4">
        <f t="shared" si="56"/>
        <v>-34</v>
      </c>
      <c r="H80" s="1">
        <f t="shared" si="57"/>
        <v>8</v>
      </c>
      <c r="I80" s="4">
        <f t="shared" si="58"/>
        <v>-20.5061</v>
      </c>
      <c r="J80" s="4">
        <f t="shared" si="59"/>
        <v>-20.5061</v>
      </c>
      <c r="Q80">
        <f>(I127*COS(-1*$B$64))+(J127*SIN(-1*$B$64))</f>
        <v>35.000067389007064</v>
      </c>
      <c r="R80">
        <f>(-1*I127*SIN(-1*$B$64))+(J127*COS(-1*$B$64))</f>
        <v>17.976521655524433</v>
      </c>
    </row>
    <row r="81" spans="1:23" x14ac:dyDescent="0.25">
      <c r="A81" s="1">
        <f t="shared" si="54"/>
        <v>9</v>
      </c>
      <c r="B81" s="4">
        <f t="shared" si="55"/>
        <v>-34</v>
      </c>
      <c r="C81" s="4">
        <f t="shared" si="56"/>
        <v>-34</v>
      </c>
      <c r="H81" s="1">
        <f t="shared" si="57"/>
        <v>9</v>
      </c>
      <c r="I81" s="4">
        <f t="shared" si="58"/>
        <v>-29</v>
      </c>
      <c r="J81" s="4">
        <f t="shared" si="59"/>
        <v>0</v>
      </c>
      <c r="W81" t="str">
        <f>"Neutral Axis"&amp;CHAR(10)&amp;W82</f>
        <v>Neutral Axis
y= 4.206E-06 x + 5.198E+01</v>
      </c>
    </row>
    <row r="82" spans="1:23" x14ac:dyDescent="0.25">
      <c r="A82" t="s">
        <v>30</v>
      </c>
      <c r="B82" s="9"/>
      <c r="H82" t="s">
        <v>139</v>
      </c>
      <c r="Q82" s="4">
        <f>Q79+$B$9</f>
        <v>-1.0002185933636056</v>
      </c>
      <c r="R82" s="4">
        <f>R79+$C$9</f>
        <v>51.976227259448493</v>
      </c>
      <c r="T82" t="s">
        <v>77</v>
      </c>
      <c r="U82" s="25">
        <f>(R83-R82)/(Q83-Q82)</f>
        <v>4.2056410457805779E-6</v>
      </c>
      <c r="W82" t="str">
        <f>IF(Q83-Q82=0,"x= "&amp;TEXT(Q82,"0.000E+00"),IF(R83-R82=0,"y= "&amp;TEXT(R82,"0.000E+00"),"y= "&amp;TEXT(U82,"0.000E+00")&amp;" x + "&amp;TEXT(U83,"0.000E+00")))</f>
        <v>y= 4.206E-06 x + 5.198E+01</v>
      </c>
    </row>
    <row r="83" spans="1:23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69.000067389007057</v>
      </c>
      <c r="R83" s="4">
        <f>R80+$C$9</f>
        <v>51.976521655524436</v>
      </c>
      <c r="T83" t="s">
        <v>198</v>
      </c>
      <c r="U83" s="25">
        <f>R83-(U82*Q83)</f>
        <v>51.976231466008862</v>
      </c>
    </row>
    <row r="84" spans="1:23" x14ac:dyDescent="0.25">
      <c r="A84" s="1">
        <f t="shared" si="60"/>
        <v>1</v>
      </c>
      <c r="B84" s="4">
        <f t="shared" ref="B84:B92" si="61">(B73*COS($B$64))+(C73*SIN($B$64))</f>
        <v>-34.000142991494869</v>
      </c>
      <c r="C84" s="1">
        <f t="shared" ref="C84:C92" si="62">(-1*B73*SIN($B$64))+(C73*COS($B$64))</f>
        <v>-33.999857007903756</v>
      </c>
      <c r="H84" s="1">
        <f t="shared" ref="H84:H92" si="63">H73</f>
        <v>1</v>
      </c>
      <c r="I84" s="4">
        <f>(I73*COS($B$64))+(J73*SIN($B$64))</f>
        <v>-28.999999999743533</v>
      </c>
      <c r="J84" s="1">
        <f>(-1*I73*SIN($B$64))+(J73*COS($B$64))</f>
        <v>1.219635903243289E-4</v>
      </c>
    </row>
    <row r="85" spans="1:23" x14ac:dyDescent="0.25">
      <c r="A85" s="1">
        <f t="shared" si="60"/>
        <v>2</v>
      </c>
      <c r="B85" s="4">
        <f t="shared" si="61"/>
        <v>33.999857007903756</v>
      </c>
      <c r="C85" s="1">
        <f t="shared" si="62"/>
        <v>-34.000142991494869</v>
      </c>
      <c r="H85" s="1">
        <f t="shared" si="63"/>
        <v>2</v>
      </c>
      <c r="I85" s="4">
        <f t="shared" ref="I85:I92" si="64">(I74*COS($B$64))+(J74*SIN($B$64))</f>
        <v>-20.506013758943368</v>
      </c>
      <c r="J85" s="1">
        <f t="shared" ref="J85:J92" si="65">(-1*I74*SIN($B$64))+(J74*COS($B$64))</f>
        <v>20.506086241114499</v>
      </c>
      <c r="Q85" t="str">
        <f>"Brg Center"&amp;CHAR(10)&amp;"("&amp;ROUND(Q87,3)&amp;","&amp;ROUND(R87,3)&amp;")"&amp;CHAR(10)&amp;T140</f>
        <v>Brg Center
(0,28.659)
959.7414 kips</v>
      </c>
    </row>
    <row r="86" spans="1:23" x14ac:dyDescent="0.25">
      <c r="A86" s="1">
        <f t="shared" si="60"/>
        <v>3</v>
      </c>
      <c r="B86" s="4">
        <f t="shared" si="61"/>
        <v>34.000142991494869</v>
      </c>
      <c r="C86" s="1">
        <f t="shared" si="62"/>
        <v>33.999857007903756</v>
      </c>
      <c r="H86" s="1">
        <f t="shared" si="63"/>
        <v>3</v>
      </c>
      <c r="I86" s="4">
        <f t="shared" si="64"/>
        <v>1.219635903243289E-4</v>
      </c>
      <c r="J86" s="1">
        <f t="shared" si="65"/>
        <v>28.999999999743533</v>
      </c>
      <c r="Q86" t="s">
        <v>27</v>
      </c>
      <c r="R86" t="s">
        <v>28</v>
      </c>
    </row>
    <row r="87" spans="1:23" x14ac:dyDescent="0.25">
      <c r="A87" s="1">
        <f t="shared" si="60"/>
        <v>4</v>
      </c>
      <c r="B87" s="4">
        <f t="shared" si="61"/>
        <v>-33.999857007903756</v>
      </c>
      <c r="C87" s="1">
        <f t="shared" si="62"/>
        <v>34.000142991494869</v>
      </c>
      <c r="H87" s="1">
        <f t="shared" si="63"/>
        <v>4</v>
      </c>
      <c r="I87" s="4">
        <f t="shared" si="64"/>
        <v>20.506086240693936</v>
      </c>
      <c r="J87" s="1">
        <f t="shared" si="65"/>
        <v>20.505913758943368</v>
      </c>
      <c r="Q87">
        <f>(P142*COS(-1*$B$64))+(P143*SIN(-1*$B$64))</f>
        <v>-2.0227303473401991E-4</v>
      </c>
      <c r="R87">
        <f>(-1*P142*SIN(-1*$B$64))+(P143*COS(-1*$B$64))</f>
        <v>28.658791485651243</v>
      </c>
    </row>
    <row r="88" spans="1:23" x14ac:dyDescent="0.25">
      <c r="A88" s="1">
        <f t="shared" si="60"/>
        <v>5</v>
      </c>
      <c r="B88" s="4">
        <f t="shared" si="61"/>
        <v>-34.000142991494869</v>
      </c>
      <c r="C88" s="1">
        <f t="shared" si="62"/>
        <v>-33.999857007903756</v>
      </c>
      <c r="H88" s="1">
        <f t="shared" si="63"/>
        <v>5</v>
      </c>
      <c r="I88" s="4">
        <f t="shared" si="64"/>
        <v>28.999999999743533</v>
      </c>
      <c r="J88" s="1">
        <f t="shared" si="65"/>
        <v>-1.219635903243289E-4</v>
      </c>
    </row>
    <row r="89" spans="1:23" x14ac:dyDescent="0.25">
      <c r="A89" s="1">
        <f t="shared" si="60"/>
        <v>6</v>
      </c>
      <c r="B89" s="4">
        <f t="shared" si="61"/>
        <v>-34.000142991494869</v>
      </c>
      <c r="C89" s="1">
        <f t="shared" si="62"/>
        <v>-33.999857007903756</v>
      </c>
      <c r="H89" s="1">
        <f t="shared" si="63"/>
        <v>6</v>
      </c>
      <c r="I89" s="4">
        <f t="shared" si="64"/>
        <v>20.505913758522805</v>
      </c>
      <c r="J89" s="1">
        <f t="shared" si="65"/>
        <v>-20.506186240693935</v>
      </c>
    </row>
    <row r="90" spans="1:23" x14ac:dyDescent="0.25">
      <c r="A90" s="1">
        <f t="shared" si="60"/>
        <v>7</v>
      </c>
      <c r="B90" s="4">
        <f t="shared" si="61"/>
        <v>-34.000142991494869</v>
      </c>
      <c r="C90" s="1">
        <f t="shared" si="62"/>
        <v>-33.999857007903756</v>
      </c>
      <c r="H90" s="1">
        <f t="shared" si="63"/>
        <v>7</v>
      </c>
      <c r="I90" s="4">
        <f t="shared" si="64"/>
        <v>-1.219635903243289E-4</v>
      </c>
      <c r="J90" s="1">
        <f t="shared" si="65"/>
        <v>-28.999999999743533</v>
      </c>
      <c r="Q90" s="4">
        <f>Q87+$B$9</f>
        <v>33.999797726965269</v>
      </c>
      <c r="R90" s="4">
        <f>R87+$C$9</f>
        <v>62.658791485651243</v>
      </c>
    </row>
    <row r="91" spans="1:23" x14ac:dyDescent="0.25">
      <c r="A91" s="1">
        <f t="shared" si="60"/>
        <v>8</v>
      </c>
      <c r="B91" s="4">
        <f t="shared" si="61"/>
        <v>-34.000142991494869</v>
      </c>
      <c r="C91" s="1">
        <f t="shared" si="62"/>
        <v>-33.999857007903756</v>
      </c>
      <c r="H91" s="1">
        <f t="shared" si="63"/>
        <v>8</v>
      </c>
      <c r="I91" s="4">
        <f t="shared" si="64"/>
        <v>-20.506186241114499</v>
      </c>
      <c r="J91" s="1">
        <f t="shared" si="65"/>
        <v>-20.506013758522805</v>
      </c>
    </row>
    <row r="92" spans="1:23" x14ac:dyDescent="0.25">
      <c r="A92" s="1">
        <f t="shared" si="60"/>
        <v>9</v>
      </c>
      <c r="B92" s="4">
        <f t="shared" si="61"/>
        <v>-34.000142991494869</v>
      </c>
      <c r="C92" s="1">
        <f t="shared" si="62"/>
        <v>-33.999857007903756</v>
      </c>
      <c r="H92" s="1">
        <f t="shared" si="63"/>
        <v>9</v>
      </c>
      <c r="I92" s="4">
        <f t="shared" si="64"/>
        <v>-28.999999999743533</v>
      </c>
      <c r="J92" s="1">
        <f t="shared" si="65"/>
        <v>1.219635903243289E-4</v>
      </c>
      <c r="Q92" t="str">
        <f>"Hole (-) Brg Center"&amp;CHAR(10)&amp;"("&amp;ROUND(Q94,3)&amp;","&amp;ROUND(R94,3)&amp;")"&amp;CHAR(10)&amp;T154</f>
        <v>Hole (-) Brg Center
(0,23.531)
-117.3292 kips</v>
      </c>
    </row>
    <row r="93" spans="1:23" x14ac:dyDescent="0.25">
      <c r="A93" t="s">
        <v>33</v>
      </c>
      <c r="B93" s="9"/>
      <c r="Q93" t="s">
        <v>27</v>
      </c>
      <c r="R93" t="s">
        <v>28</v>
      </c>
    </row>
    <row r="94" spans="1:23" x14ac:dyDescent="0.25">
      <c r="B94" s="1" t="s">
        <v>27</v>
      </c>
      <c r="C94" s="1" t="s">
        <v>28</v>
      </c>
      <c r="Q94">
        <f>(P156*COS(-1*$B$64))+(P157*SIN(-1*$B$64))</f>
        <v>-1.4126054295979213E-4</v>
      </c>
      <c r="R94">
        <f>(-1*P156*SIN(-1*$B$64))+(P157*COS(-1*$B$64))</f>
        <v>23.531130893800693</v>
      </c>
    </row>
    <row r="95" spans="1:23" x14ac:dyDescent="0.25">
      <c r="A95">
        <f t="shared" ref="A95:A106" si="66">A37</f>
        <v>1</v>
      </c>
      <c r="B95" s="4">
        <f t="shared" ref="B95:B106" si="67">B37-$B$9</f>
        <v>27.04</v>
      </c>
      <c r="C95" s="4">
        <f t="shared" ref="C95:C106" si="68">C37-$C$9</f>
        <v>19.229999999999997</v>
      </c>
      <c r="D95" t="str">
        <f t="shared" ref="D95:D106" si="69">D37</f>
        <v>y</v>
      </c>
    </row>
    <row r="96" spans="1:23" x14ac:dyDescent="0.25">
      <c r="A96">
        <f t="shared" si="66"/>
        <v>2</v>
      </c>
      <c r="B96" s="4">
        <f t="shared" si="67"/>
        <v>-27.042999999999999</v>
      </c>
      <c r="C96" s="4">
        <f t="shared" si="68"/>
        <v>19.229999999999997</v>
      </c>
      <c r="D96" t="str">
        <f t="shared" si="69"/>
        <v>y</v>
      </c>
    </row>
    <row r="97" spans="1:38" x14ac:dyDescent="0.25">
      <c r="A97">
        <f t="shared" si="66"/>
        <v>3</v>
      </c>
      <c r="B97" s="4">
        <f t="shared" si="67"/>
        <v>27.04</v>
      </c>
      <c r="C97" s="4">
        <f t="shared" si="68"/>
        <v>-19.23</v>
      </c>
      <c r="D97" t="str">
        <f t="shared" si="69"/>
        <v>y</v>
      </c>
      <c r="Q97" s="4">
        <f>Q94+$B$9</f>
        <v>33.999858739457039</v>
      </c>
      <c r="R97" s="4">
        <f>R94+$C$9</f>
        <v>57.531130893800693</v>
      </c>
    </row>
    <row r="98" spans="1:38" x14ac:dyDescent="0.25">
      <c r="A98">
        <f t="shared" si="66"/>
        <v>4</v>
      </c>
      <c r="B98" s="4">
        <f t="shared" si="67"/>
        <v>-27.042999999999999</v>
      </c>
      <c r="C98" s="4">
        <f t="shared" si="68"/>
        <v>-19.23</v>
      </c>
      <c r="D98" t="str">
        <f t="shared" si="69"/>
        <v>y</v>
      </c>
    </row>
    <row r="99" spans="1:38" x14ac:dyDescent="0.25">
      <c r="A99">
        <f t="shared" si="66"/>
        <v>5</v>
      </c>
      <c r="B99" s="4">
        <f t="shared" si="67"/>
        <v>25.866</v>
      </c>
      <c r="C99" s="4">
        <f t="shared" si="68"/>
        <v>22.630000000000003</v>
      </c>
      <c r="D99" t="str">
        <f t="shared" si="69"/>
        <v>y</v>
      </c>
    </row>
    <row r="100" spans="1:38" x14ac:dyDescent="0.25">
      <c r="A100">
        <f t="shared" si="66"/>
        <v>6</v>
      </c>
      <c r="B100" s="4">
        <f t="shared" si="67"/>
        <v>-25.865000000000002</v>
      </c>
      <c r="C100" s="4">
        <f t="shared" si="68"/>
        <v>22.630000000000003</v>
      </c>
      <c r="D100" t="str">
        <f t="shared" si="69"/>
        <v>y</v>
      </c>
    </row>
    <row r="101" spans="1:38" x14ac:dyDescent="0.25">
      <c r="A101">
        <f t="shared" si="66"/>
        <v>7</v>
      </c>
      <c r="B101" s="4">
        <f t="shared" si="67"/>
        <v>25.866</v>
      </c>
      <c r="C101" s="4">
        <f t="shared" si="68"/>
        <v>-22.630000000000003</v>
      </c>
      <c r="D101" t="str">
        <f t="shared" si="69"/>
        <v>y</v>
      </c>
    </row>
    <row r="102" spans="1:38" x14ac:dyDescent="0.25">
      <c r="A102">
        <f t="shared" si="66"/>
        <v>8</v>
      </c>
      <c r="B102" s="4">
        <f t="shared" si="67"/>
        <v>-25.865000000000002</v>
      </c>
      <c r="C102" s="4">
        <f t="shared" si="68"/>
        <v>-22.630000000000003</v>
      </c>
      <c r="D102" t="str">
        <f t="shared" si="69"/>
        <v>y</v>
      </c>
    </row>
    <row r="103" spans="1:38" x14ac:dyDescent="0.25">
      <c r="A103">
        <f t="shared" si="66"/>
        <v>9</v>
      </c>
      <c r="B103" s="4">
        <f t="shared" si="67"/>
        <v>24.665999999999997</v>
      </c>
      <c r="C103" s="4">
        <f t="shared" si="68"/>
        <v>25.58</v>
      </c>
      <c r="D103" t="str">
        <f t="shared" si="69"/>
        <v>y</v>
      </c>
    </row>
    <row r="104" spans="1:38" x14ac:dyDescent="0.25">
      <c r="A104">
        <f t="shared" si="66"/>
        <v>10</v>
      </c>
      <c r="B104" s="4">
        <f t="shared" si="67"/>
        <v>-24.666</v>
      </c>
      <c r="C104" s="4">
        <f t="shared" si="68"/>
        <v>25.58</v>
      </c>
      <c r="D104" t="str">
        <f t="shared" si="69"/>
        <v>y</v>
      </c>
    </row>
    <row r="105" spans="1:38" x14ac:dyDescent="0.25">
      <c r="A105">
        <f t="shared" si="66"/>
        <v>11</v>
      </c>
      <c r="B105" s="4">
        <f t="shared" si="67"/>
        <v>24.665999999999997</v>
      </c>
      <c r="C105" s="4">
        <f t="shared" si="68"/>
        <v>-25.58</v>
      </c>
      <c r="D105" t="str">
        <f t="shared" si="69"/>
        <v>y</v>
      </c>
    </row>
    <row r="106" spans="1:38" x14ac:dyDescent="0.25">
      <c r="A106">
        <f t="shared" si="66"/>
        <v>12</v>
      </c>
      <c r="B106" s="4">
        <f t="shared" si="67"/>
        <v>-24.666</v>
      </c>
      <c r="C106" s="4">
        <f t="shared" si="68"/>
        <v>-25.58</v>
      </c>
      <c r="D106" t="str">
        <f t="shared" si="69"/>
        <v>y</v>
      </c>
    </row>
    <row r="107" spans="1:38" x14ac:dyDescent="0.25">
      <c r="Q107" t="s">
        <v>149</v>
      </c>
    </row>
    <row r="108" spans="1:38" x14ac:dyDescent="0.25">
      <c r="A108" t="s">
        <v>32</v>
      </c>
    </row>
    <row r="109" spans="1:3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  <c r="Q109" s="1" t="s">
        <v>27</v>
      </c>
      <c r="R109" s="1" t="s">
        <v>28</v>
      </c>
      <c r="Y109" t="s">
        <v>159</v>
      </c>
      <c r="AB109" t="s">
        <v>170</v>
      </c>
      <c r="AH109" s="1" t="s">
        <v>236</v>
      </c>
      <c r="AI109" s="1" t="s">
        <v>237</v>
      </c>
      <c r="AK109" s="1" t="s">
        <v>238</v>
      </c>
      <c r="AL109" s="1" t="s">
        <v>239</v>
      </c>
    </row>
    <row r="110" spans="1:38" x14ac:dyDescent="0.25">
      <c r="A110">
        <f>A95</f>
        <v>1</v>
      </c>
      <c r="B110" s="1">
        <f>(B95*COS($B$64))+(C95*SIN($B$64))</f>
        <v>27.040080874238175</v>
      </c>
      <c r="C110" s="1">
        <f>(-1*B95*SIN($B$64))+(C95*COS($B$64))</f>
        <v>19.229886279296057</v>
      </c>
      <c r="D110" t="str">
        <f t="shared" ref="D110" si="70">D95</f>
        <v>y</v>
      </c>
      <c r="E110" s="4">
        <f>IF($D110="y",$B$125-C110,0)</f>
        <v>-1.2535118216506156</v>
      </c>
      <c r="F110" s="1">
        <f>IF($D110="y",B110,NA())</f>
        <v>27.040080874238175</v>
      </c>
      <c r="G110" s="1">
        <f>IF($D110="y",C110,NA())</f>
        <v>19.229886279296057</v>
      </c>
      <c r="H110">
        <f>IF(OR($E$122=0,$B$67&lt;0),0,-1*MAX(($B$67/$E$122)*(E110),0))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71">IFERROR(($D$66/$B$65)*(G110-$B$125),0)</f>
        <v>4.3667223933500839E-5</v>
      </c>
      <c r="N110">
        <f t="shared" ref="N110:N121" si="72">IF(AND(M110&gt;0,D110="y",$E$60="y"),$B$53*M110*$E$59,0)</f>
        <v>0</v>
      </c>
      <c r="O110">
        <f>N110*C110</f>
        <v>0</v>
      </c>
      <c r="P110">
        <f>N110*B110*-1</f>
        <v>0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73">IF(AND($E$60="n",M110&gt;0,D110="y"),M110*$B$53*$E$59,0)</f>
        <v>0.57880932340098257</v>
      </c>
      <c r="AB110" t="str">
        <f t="shared" ref="AB110:AB121" si="74">IF(H110&lt;&gt;0,CHAR(10)&amp;CHAR(10)&amp;ROUND(ABS(H110),4)&amp;" kips",IF(AND($E$60="n",D110="y"),CHAR(10)&amp;CHAR(10)&amp;ROUND(ABS(Y110),4)&amp;" kips",""))</f>
        <v xml:space="preserve">
0.5788 kips</v>
      </c>
      <c r="AD110" s="1"/>
      <c r="AE110" s="1"/>
      <c r="AH110" s="3">
        <f ca="1">IF(H110=0,(($B$56-1)*$E$56)*G110,($B$56*$E$56)*G110)</f>
        <v>511.42935856279138</v>
      </c>
      <c r="AI110" s="3">
        <f ca="1">IF(H110=0,(($B$56-1)*$E$56)*F110,($B$56*$E$56)*F110)</f>
        <v>719.14576176598541</v>
      </c>
      <c r="AJ110" s="3"/>
      <c r="AK110" s="3">
        <f ca="1">IF(H110=0,((POWER(($B$56-1)*$E$56,2)/(4*PI()))+((($B$56-1)*$E$56)*POWER(G110,2))),((POWER($B$56*$E$56,2)/(4*PI()))+(($B$56*$E$56)*POWER(G110,2))))</f>
        <v>9891.0153936590559</v>
      </c>
      <c r="AL110" s="3">
        <f ca="1">IF(H110=0,((POWER(($B$56-1)*$E$56,2)/(4*PI()))+((($B$56-1)*$E$56)*POWER(F110,2))),((POWER($B$56*$E$56,2)/(4*PI()))+(($B$56*$E$56)*POWER(F110,2))))</f>
        <v>19502.046547121114</v>
      </c>
    </row>
    <row r="111" spans="1:38" x14ac:dyDescent="0.25">
      <c r="A111">
        <f t="shared" ref="A111:D111" si="75">A96</f>
        <v>2</v>
      </c>
      <c r="B111" s="1">
        <f t="shared" ref="B111:B121" si="76">(B96*COS($B$64))+(C96*SIN($B$64))</f>
        <v>-27.042919125283529</v>
      </c>
      <c r="C111" s="1">
        <f t="shared" ref="C111:C121" si="77">(-1*B96*SIN($B$64))+(C96*COS($B$64))</f>
        <v>19.23011373298073</v>
      </c>
      <c r="D111" t="str">
        <f t="shared" si="75"/>
        <v>y</v>
      </c>
      <c r="E111" s="4">
        <f t="shared" ref="E111:E121" si="78">IF($D111="y",$B$125-C111,0)</f>
        <v>-1.2537392753352883</v>
      </c>
      <c r="F111" s="1">
        <f t="shared" ref="F111:F121" si="79">IF($D111="y",B111,NA())</f>
        <v>-27.042919125283529</v>
      </c>
      <c r="G111" s="1">
        <f t="shared" ref="G111:G121" si="80">IF($D111="y",C111,NA())</f>
        <v>19.23011373298073</v>
      </c>
      <c r="H111">
        <f t="shared" ref="H111:H121" si="81">IF(OR($E$122=0,$B$67&lt;0),0,-1*MAX(($B$67/$E$122)*(E111),0))</f>
        <v>0</v>
      </c>
      <c r="I111">
        <f t="shared" ref="I111:I121" si="82">H111*C111</f>
        <v>0</v>
      </c>
      <c r="J111">
        <f t="shared" ref="J111:J121" si="83">H111*B111*-1</f>
        <v>0</v>
      </c>
      <c r="K111">
        <f ca="1">H111/$B$55</f>
        <v>0</v>
      </c>
      <c r="L111">
        <f t="shared" ref="L111:L121" ca="1" si="84">K111/$B$54</f>
        <v>0</v>
      </c>
      <c r="M111">
        <f t="shared" si="71"/>
        <v>4.3675147489395206E-5</v>
      </c>
      <c r="N111">
        <f t="shared" si="72"/>
        <v>0</v>
      </c>
      <c r="O111">
        <f t="shared" ref="O111:O121" si="85">N111*C111</f>
        <v>0</v>
      </c>
      <c r="P111">
        <f t="shared" ref="P111:P121" si="86">N111*B111*-1</f>
        <v>0</v>
      </c>
      <c r="Q111" t="e">
        <f t="shared" ref="Q111:Q121" si="87">IF($H111&lt;0,F111,NA())</f>
        <v>#N/A</v>
      </c>
      <c r="R111" t="e">
        <f t="shared" ref="R111:R121" si="88">IF($H111&lt;0,G111,NA())</f>
        <v>#N/A</v>
      </c>
      <c r="T111" t="e">
        <f t="shared" ref="T111:T121" si="89">(Q111*COS(-1*$B$64))+(R111*SIN(-1*$B$64))</f>
        <v>#N/A</v>
      </c>
      <c r="U111" t="e">
        <f t="shared" ref="U111:U121" si="90">(-1*Q111*SIN(-1*$B$64))+(R111*COS(-1*$B$64))</f>
        <v>#N/A</v>
      </c>
      <c r="W111" s="4" t="e">
        <f t="shared" ref="W111:W121" si="91">T111+$B$9</f>
        <v>#N/A</v>
      </c>
      <c r="X111" s="4" t="e">
        <f t="shared" ref="X111:X121" si="92">U111+$C$9</f>
        <v>#N/A</v>
      </c>
      <c r="Y111">
        <f t="shared" si="73"/>
        <v>0.57891435018338422</v>
      </c>
      <c r="AB111" t="str">
        <f t="shared" si="74"/>
        <v xml:space="preserve">
0.5789 kips</v>
      </c>
      <c r="AD111" s="1"/>
      <c r="AE111" s="1"/>
      <c r="AH111" s="3">
        <f t="shared" ref="AH111:AH121" ca="1" si="93">IF(H111=0,(($B$56-1)*$E$56)*G111,($B$56*$E$56)*G111)</f>
        <v>511.43540781812055</v>
      </c>
      <c r="AI111" s="3">
        <f t="shared" ref="AI111:AI121" ca="1" si="94">IF(H111=0,(($B$56-1)*$E$56)*F111,($B$56*$E$56)*F111)</f>
        <v>-719.22124660715826</v>
      </c>
      <c r="AJ111" s="3"/>
      <c r="AK111" s="3">
        <f t="shared" ref="AK111:AK121" ca="1" si="95">IF(H111=0,((POWER(($B$56-1)*$E$56,2)/(4*PI()))+((($B$56-1)*$E$56)*POWER(G111,2))),((POWER($B$56*$E$56,2)/(4*PI()))+(($B$56*$E$56)*POWER(G111,2))))</f>
        <v>9891.2480480190916</v>
      </c>
      <c r="AL111" s="3">
        <f t="shared" ref="AL111:AL121" ca="1" si="96">IF(H111=0,((POWER(($B$56-1)*$E$56,2)/(4*PI()))+((($B$56-1)*$E$56)*POWER(F111,2))),((POWER($B$56*$E$56,2)/(4*PI()))+(($B$56*$E$56)*POWER(F111,2))))</f>
        <v>19506.128993786231</v>
      </c>
    </row>
    <row r="112" spans="1:38" x14ac:dyDescent="0.25">
      <c r="A112">
        <f t="shared" ref="A112:D112" si="97">A97</f>
        <v>3</v>
      </c>
      <c r="B112" s="1">
        <f t="shared" si="76"/>
        <v>27.039919125283557</v>
      </c>
      <c r="C112" s="1">
        <f t="shared" si="77"/>
        <v>-19.230113720363811</v>
      </c>
      <c r="D112" t="str">
        <f t="shared" si="97"/>
        <v>y</v>
      </c>
      <c r="E112" s="4">
        <f t="shared" si="78"/>
        <v>37.206488178009252</v>
      </c>
      <c r="F112" s="1">
        <f t="shared" si="79"/>
        <v>27.039919125283557</v>
      </c>
      <c r="G112" s="1">
        <f t="shared" si="80"/>
        <v>-19.230113720363811</v>
      </c>
      <c r="H112">
        <f>IF(OR($E$122=0,$B$67&lt;0),0,-1*MAX(($B$67/$E$122)*(E112),0))</f>
        <v>-122.07263849574174</v>
      </c>
      <c r="I112">
        <f t="shared" si="82"/>
        <v>2347.4707204179749</v>
      </c>
      <c r="J112">
        <f t="shared" si="83"/>
        <v>3300.8342723348328</v>
      </c>
      <c r="K112">
        <f t="shared" ref="K112:K121" ca="1" si="98">H112/$B$55</f>
        <v>-37.587533413412565</v>
      </c>
      <c r="L112">
        <f t="shared" ca="1" si="84"/>
        <v>-1.2961218418418125E-3</v>
      </c>
      <c r="M112">
        <f t="shared" si="71"/>
        <v>-1.2961218418418125E-3</v>
      </c>
      <c r="N112">
        <f t="shared" si="72"/>
        <v>0</v>
      </c>
      <c r="O112">
        <f t="shared" si="85"/>
        <v>0</v>
      </c>
      <c r="P112">
        <f t="shared" si="86"/>
        <v>0</v>
      </c>
      <c r="Q112">
        <f t="shared" si="87"/>
        <v>27.039919125283557</v>
      </c>
      <c r="R112">
        <f t="shared" si="88"/>
        <v>-19.230113720363811</v>
      </c>
      <c r="T112">
        <f t="shared" si="89"/>
        <v>27.04</v>
      </c>
      <c r="U112">
        <f t="shared" si="90"/>
        <v>-19.23</v>
      </c>
      <c r="W112" s="4">
        <f t="shared" si="91"/>
        <v>61.04</v>
      </c>
      <c r="X112" s="4">
        <f t="shared" si="92"/>
        <v>14.77</v>
      </c>
      <c r="Y112">
        <f t="shared" si="73"/>
        <v>0</v>
      </c>
      <c r="AB112" t="str">
        <f t="shared" si="74"/>
        <v xml:space="preserve">
122.0726 kips</v>
      </c>
      <c r="AD112" s="1"/>
      <c r="AE112" s="1"/>
      <c r="AH112" s="3">
        <f t="shared" ca="1" si="93"/>
        <v>-573.88884635547538</v>
      </c>
      <c r="AI112" s="3">
        <f t="shared" ca="1" si="94"/>
        <v>806.95872203405543</v>
      </c>
      <c r="AJ112" s="3"/>
      <c r="AK112" s="3">
        <f t="shared" ca="1" si="95"/>
        <v>11106.820971302996</v>
      </c>
      <c r="AL112" s="3">
        <f t="shared" ca="1" si="96"/>
        <v>21890.971774281847</v>
      </c>
    </row>
    <row r="113" spans="1:38" x14ac:dyDescent="0.25">
      <c r="A113">
        <f t="shared" ref="A113:D113" si="99">A98</f>
        <v>4</v>
      </c>
      <c r="B113" s="1">
        <f t="shared" si="76"/>
        <v>-27.043080874238147</v>
      </c>
      <c r="C113" s="1">
        <f t="shared" si="77"/>
        <v>-19.229886266679138</v>
      </c>
      <c r="D113" t="str">
        <f t="shared" si="99"/>
        <v>y</v>
      </c>
      <c r="E113" s="4">
        <f t="shared" si="78"/>
        <v>37.206260724324579</v>
      </c>
      <c r="F113" s="1">
        <f t="shared" si="79"/>
        <v>-27.043080874238147</v>
      </c>
      <c r="G113" s="1">
        <f t="shared" si="80"/>
        <v>-19.229886266679138</v>
      </c>
      <c r="H113">
        <f t="shared" si="81"/>
        <v>-122.07189223150711</v>
      </c>
      <c r="I113">
        <f t="shared" si="82"/>
        <v>2347.4286039701942</v>
      </c>
      <c r="J113">
        <f t="shared" si="83"/>
        <v>-3301.2000540879299</v>
      </c>
      <c r="K113">
        <f t="shared" ca="1" si="98"/>
        <v>-37.587303630291629</v>
      </c>
      <c r="L113">
        <f t="shared" ca="1" si="84"/>
        <v>-1.2961139182859182E-3</v>
      </c>
      <c r="M113">
        <f t="shared" si="71"/>
        <v>-1.2961139182859182E-3</v>
      </c>
      <c r="N113">
        <f t="shared" si="72"/>
        <v>0</v>
      </c>
      <c r="O113">
        <f t="shared" si="85"/>
        <v>0</v>
      </c>
      <c r="P113">
        <f t="shared" si="86"/>
        <v>0</v>
      </c>
      <c r="Q113">
        <f t="shared" si="87"/>
        <v>-27.043080874238147</v>
      </c>
      <c r="R113">
        <f t="shared" si="88"/>
        <v>-19.229886266679138</v>
      </c>
      <c r="T113">
        <f t="shared" si="89"/>
        <v>-27.042999999999999</v>
      </c>
      <c r="U113">
        <f t="shared" si="90"/>
        <v>-19.23</v>
      </c>
      <c r="W113" s="4">
        <f t="shared" si="91"/>
        <v>6.9570000000000007</v>
      </c>
      <c r="X113" s="4">
        <f t="shared" si="92"/>
        <v>14.77</v>
      </c>
      <c r="Y113">
        <f t="shared" si="73"/>
        <v>0</v>
      </c>
      <c r="AB113" t="str">
        <f t="shared" si="74"/>
        <v xml:space="preserve">
122.0719 kips</v>
      </c>
      <c r="AD113" s="1"/>
      <c r="AE113" s="1"/>
      <c r="AH113" s="3">
        <f t="shared" ca="1" si="93"/>
        <v>-573.88205840119736</v>
      </c>
      <c r="AI113" s="3">
        <f t="shared" ca="1" si="94"/>
        <v>-807.05307885827403</v>
      </c>
      <c r="AJ113" s="3"/>
      <c r="AK113" s="3">
        <f t="shared" ca="1" si="95"/>
        <v>11106.55990658155</v>
      </c>
      <c r="AL113" s="3">
        <f t="shared" ca="1" si="96"/>
        <v>21896.074874406011</v>
      </c>
    </row>
    <row r="114" spans="1:38" x14ac:dyDescent="0.25">
      <c r="A114">
        <f t="shared" ref="A114:D114" si="100">A99</f>
        <v>5</v>
      </c>
      <c r="B114" s="1">
        <f t="shared" si="76"/>
        <v>25.866095173428111</v>
      </c>
      <c r="C114" s="1">
        <f t="shared" si="77"/>
        <v>22.629891216688584</v>
      </c>
      <c r="D114" t="str">
        <f t="shared" si="100"/>
        <v>y</v>
      </c>
      <c r="E114" s="4">
        <f t="shared" si="78"/>
        <v>-4.6535167590431428</v>
      </c>
      <c r="F114" s="1">
        <f t="shared" si="79"/>
        <v>25.866095173428111</v>
      </c>
      <c r="G114" s="1">
        <f t="shared" si="80"/>
        <v>22.629891216688584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8"/>
        <v>0</v>
      </c>
      <c r="L114">
        <f t="shared" ca="1" si="84"/>
        <v>0</v>
      </c>
      <c r="M114">
        <f t="shared" si="71"/>
        <v>1.6210948703128744E-4</v>
      </c>
      <c r="N114">
        <f t="shared" si="72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3"/>
        <v>2.148762253546292</v>
      </c>
      <c r="AB114" t="str">
        <f t="shared" si="74"/>
        <v xml:space="preserve">
2.1488 kips</v>
      </c>
      <c r="AD114" s="1"/>
      <c r="AE114" s="1"/>
      <c r="AH114" s="3">
        <f t="shared" ca="1" si="93"/>
        <v>601.85435218915188</v>
      </c>
      <c r="AI114" s="3">
        <f t="shared" ca="1" si="94"/>
        <v>687.92296901480745</v>
      </c>
      <c r="AJ114" s="3"/>
      <c r="AK114" s="3">
        <f t="shared" ca="1" si="95"/>
        <v>13676.185506934338</v>
      </c>
      <c r="AL114" s="3">
        <f t="shared" ca="1" si="96"/>
        <v>17850.167977127498</v>
      </c>
    </row>
    <row r="115" spans="1:38" x14ac:dyDescent="0.25">
      <c r="A115">
        <f t="shared" ref="A115:D115" si="101">A100</f>
        <v>6</v>
      </c>
      <c r="B115" s="1">
        <f t="shared" si="76"/>
        <v>-25.864904826114397</v>
      </c>
      <c r="C115" s="1">
        <f t="shared" si="77"/>
        <v>22.630108778705516</v>
      </c>
      <c r="D115" t="str">
        <f t="shared" si="101"/>
        <v>y</v>
      </c>
      <c r="E115" s="4">
        <f t="shared" si="78"/>
        <v>-4.6537343210600746</v>
      </c>
      <c r="F115" s="1">
        <f t="shared" si="79"/>
        <v>-25.864904826114397</v>
      </c>
      <c r="G115" s="1">
        <f t="shared" si="80"/>
        <v>22.630108778705516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8"/>
        <v>0</v>
      </c>
      <c r="L115">
        <f t="shared" ca="1" si="84"/>
        <v>0</v>
      </c>
      <c r="M115">
        <f t="shared" si="71"/>
        <v>1.6211706600194309E-4</v>
      </c>
      <c r="N115">
        <f t="shared" si="72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3"/>
        <v>2.1488627128492226</v>
      </c>
      <c r="AB115" t="str">
        <f t="shared" si="74"/>
        <v xml:space="preserve">
2.1489 kips</v>
      </c>
      <c r="AD115" s="1"/>
      <c r="AE115" s="1"/>
      <c r="AH115" s="3">
        <f t="shared" ca="1" si="93"/>
        <v>601.86013837015946</v>
      </c>
      <c r="AI115" s="3">
        <f t="shared" ca="1" si="94"/>
        <v>-687.89131107599928</v>
      </c>
      <c r="AJ115" s="3"/>
      <c r="AK115" s="3">
        <f t="shared" ca="1" si="95"/>
        <v>13676.447389486715</v>
      </c>
      <c r="AL115" s="3">
        <f t="shared" ca="1" si="96"/>
        <v>17848.530280295025</v>
      </c>
    </row>
    <row r="116" spans="1:38" x14ac:dyDescent="0.25">
      <c r="A116">
        <f t="shared" ref="A116:D116" si="102">A101</f>
        <v>7</v>
      </c>
      <c r="B116" s="1">
        <f t="shared" si="76"/>
        <v>25.865904826114384</v>
      </c>
      <c r="C116" s="1">
        <f t="shared" si="77"/>
        <v>-22.630108782911158</v>
      </c>
      <c r="D116" t="str">
        <f t="shared" si="102"/>
        <v>y</v>
      </c>
      <c r="E116" s="4">
        <f t="shared" si="78"/>
        <v>40.606483240556599</v>
      </c>
      <c r="F116" s="1">
        <f t="shared" si="79"/>
        <v>25.865904826114384</v>
      </c>
      <c r="G116" s="1">
        <f t="shared" si="80"/>
        <v>-22.630108782911158</v>
      </c>
      <c r="H116">
        <f t="shared" si="81"/>
        <v>-133.2278533112846</v>
      </c>
      <c r="I116">
        <f t="shared" si="82"/>
        <v>3014.9608133481011</v>
      </c>
      <c r="J116">
        <f t="shared" si="83"/>
        <v>3446.0589739372158</v>
      </c>
      <c r="K116">
        <f t="shared" ca="1" si="98"/>
        <v>-41.022349067271307</v>
      </c>
      <c r="L116">
        <f t="shared" ca="1" si="84"/>
        <v>-1.4145637609403899E-3</v>
      </c>
      <c r="M116">
        <f t="shared" si="71"/>
        <v>-1.4145637609403897E-3</v>
      </c>
      <c r="N116">
        <f t="shared" si="72"/>
        <v>0</v>
      </c>
      <c r="O116">
        <f t="shared" si="85"/>
        <v>0</v>
      </c>
      <c r="P116">
        <f t="shared" si="86"/>
        <v>0</v>
      </c>
      <c r="Q116">
        <f t="shared" si="87"/>
        <v>25.865904826114384</v>
      </c>
      <c r="R116">
        <f t="shared" si="88"/>
        <v>-22.630108782911158</v>
      </c>
      <c r="T116">
        <f t="shared" si="89"/>
        <v>25.865999999999996</v>
      </c>
      <c r="U116">
        <f t="shared" si="90"/>
        <v>-22.630000000000003</v>
      </c>
      <c r="W116" s="4">
        <f t="shared" si="91"/>
        <v>59.866</v>
      </c>
      <c r="X116" s="4">
        <f t="shared" si="92"/>
        <v>11.369999999999997</v>
      </c>
      <c r="Y116">
        <f t="shared" si="73"/>
        <v>0</v>
      </c>
      <c r="AB116" t="str">
        <f t="shared" si="74"/>
        <v xml:space="preserve">
133.2279 kips</v>
      </c>
      <c r="AD116" s="1"/>
      <c r="AE116" s="1"/>
      <c r="AH116" s="3">
        <f t="shared" ca="1" si="93"/>
        <v>-675.35570570084462</v>
      </c>
      <c r="AI116" s="3">
        <f t="shared" ca="1" si="94"/>
        <v>771.92233475353953</v>
      </c>
      <c r="AJ116" s="3"/>
      <c r="AK116" s="3">
        <f t="shared" ca="1" si="95"/>
        <v>15354.246280208657</v>
      </c>
      <c r="AL116" s="3">
        <f t="shared" ca="1" si="96"/>
        <v>20037.342836925873</v>
      </c>
    </row>
    <row r="117" spans="1:38" x14ac:dyDescent="0.25">
      <c r="A117">
        <f t="shared" ref="A117:D117" si="103">A102</f>
        <v>8</v>
      </c>
      <c r="B117" s="1">
        <f t="shared" si="76"/>
        <v>-25.865095173428124</v>
      </c>
      <c r="C117" s="1">
        <f t="shared" si="77"/>
        <v>-22.629891220894226</v>
      </c>
      <c r="D117" t="str">
        <f t="shared" si="103"/>
        <v>y</v>
      </c>
      <c r="E117" s="4">
        <f t="shared" si="78"/>
        <v>40.606265678539671</v>
      </c>
      <c r="F117" s="1">
        <f t="shared" si="79"/>
        <v>-25.865095173428124</v>
      </c>
      <c r="G117" s="1">
        <f t="shared" si="80"/>
        <v>-22.629891220894226</v>
      </c>
      <c r="H117">
        <f t="shared" si="81"/>
        <v>-133.22713950112021</v>
      </c>
      <c r="I117">
        <f t="shared" si="82"/>
        <v>3014.9156745812506</v>
      </c>
      <c r="J117">
        <f t="shared" si="83"/>
        <v>-3445.9326428800596</v>
      </c>
      <c r="K117">
        <f t="shared" ca="1" si="98"/>
        <v>-41.022129277122289</v>
      </c>
      <c r="L117">
        <f t="shared" ca="1" si="84"/>
        <v>-1.4145561819697342E-3</v>
      </c>
      <c r="M117">
        <f t="shared" si="71"/>
        <v>-1.4145561819697342E-3</v>
      </c>
      <c r="N117">
        <f t="shared" si="72"/>
        <v>0</v>
      </c>
      <c r="O117">
        <f t="shared" si="85"/>
        <v>0</v>
      </c>
      <c r="P117">
        <f t="shared" si="86"/>
        <v>0</v>
      </c>
      <c r="Q117">
        <f t="shared" si="87"/>
        <v>-25.865095173428124</v>
      </c>
      <c r="R117">
        <f t="shared" si="88"/>
        <v>-22.629891220894226</v>
      </c>
      <c r="T117">
        <f t="shared" si="89"/>
        <v>-25.865000000000006</v>
      </c>
      <c r="U117">
        <f t="shared" si="90"/>
        <v>-22.630000000000006</v>
      </c>
      <c r="W117" s="4">
        <f t="shared" si="91"/>
        <v>8.1349999999999945</v>
      </c>
      <c r="X117" s="4">
        <f t="shared" si="92"/>
        <v>11.369999999999994</v>
      </c>
      <c r="Y117">
        <f t="shared" si="73"/>
        <v>0</v>
      </c>
      <c r="AB117" t="str">
        <f t="shared" si="74"/>
        <v xml:space="preserve">
133.2271 kips</v>
      </c>
      <c r="AD117" s="1"/>
      <c r="AE117" s="1"/>
      <c r="AH117" s="3">
        <f t="shared" ca="1" si="93"/>
        <v>-675.34921294595392</v>
      </c>
      <c r="AI117" s="3">
        <f t="shared" ca="1" si="94"/>
        <v>-771.8981720963227</v>
      </c>
      <c r="AJ117" s="3"/>
      <c r="AK117" s="3">
        <f t="shared" ca="1" si="95"/>
        <v>15353.952418122277</v>
      </c>
      <c r="AL117" s="3">
        <f t="shared" ca="1" si="96"/>
        <v>20036.092878505395</v>
      </c>
    </row>
    <row r="118" spans="1:38" x14ac:dyDescent="0.25">
      <c r="A118">
        <f t="shared" ref="A118:D118" si="104">A103</f>
        <v>9</v>
      </c>
      <c r="B118" s="1">
        <f t="shared" si="76"/>
        <v>24.666107580079803</v>
      </c>
      <c r="C118" s="1">
        <f t="shared" si="77"/>
        <v>25.579896263431742</v>
      </c>
      <c r="D118" t="str">
        <f t="shared" si="104"/>
        <v>y</v>
      </c>
      <c r="E118" s="4">
        <f t="shared" si="78"/>
        <v>-7.6035218057863005</v>
      </c>
      <c r="F118" s="1">
        <f t="shared" si="79"/>
        <v>24.666107580079803</v>
      </c>
      <c r="G118" s="1">
        <f t="shared" si="80"/>
        <v>25.579896263431742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8"/>
        <v>0</v>
      </c>
      <c r="L118">
        <f t="shared" ca="1" si="84"/>
        <v>0</v>
      </c>
      <c r="M118">
        <f t="shared" si="71"/>
        <v>2.6487559482232825E-4</v>
      </c>
      <c r="N118">
        <f t="shared" si="72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3"/>
        <v>3.5109276481147127</v>
      </c>
      <c r="AB118" t="str">
        <f t="shared" si="74"/>
        <v xml:space="preserve">
3.5109 kips</v>
      </c>
      <c r="AD118" s="1"/>
      <c r="AE118" s="1"/>
      <c r="AH118" s="3">
        <f t="shared" ca="1" si="93"/>
        <v>680.31135224105651</v>
      </c>
      <c r="AI118" s="3">
        <f t="shared" ca="1" si="94"/>
        <v>656.00864168931594</v>
      </c>
      <c r="AJ118" s="3"/>
      <c r="AK118" s="3">
        <f t="shared" ca="1" si="95"/>
        <v>17458.580805764446</v>
      </c>
      <c r="AL118" s="3">
        <f t="shared" ca="1" si="96"/>
        <v>16237.466717973941</v>
      </c>
    </row>
    <row r="119" spans="1:38" x14ac:dyDescent="0.25">
      <c r="A119">
        <f t="shared" ref="A119:D119" si="105">A104</f>
        <v>10</v>
      </c>
      <c r="B119" s="1">
        <f t="shared" si="76"/>
        <v>-24.665892419483914</v>
      </c>
      <c r="C119" s="1">
        <f t="shared" si="77"/>
        <v>25.580103736115809</v>
      </c>
      <c r="D119" t="str">
        <f t="shared" si="105"/>
        <v>y</v>
      </c>
      <c r="E119" s="4">
        <f t="shared" si="78"/>
        <v>-7.6037292784703681</v>
      </c>
      <c r="F119" s="1">
        <f t="shared" si="79"/>
        <v>-24.665892419483914</v>
      </c>
      <c r="G119" s="1">
        <f t="shared" si="80"/>
        <v>25.580103736115809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8"/>
        <v>0</v>
      </c>
      <c r="L119">
        <f t="shared" ca="1" si="84"/>
        <v>0</v>
      </c>
      <c r="M119">
        <f t="shared" si="71"/>
        <v>2.6488282232190087E-4</v>
      </c>
      <c r="N119">
        <f t="shared" si="72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3"/>
        <v>3.5110234486662635</v>
      </c>
      <c r="AB119" t="str">
        <f t="shared" si="74"/>
        <v xml:space="preserve">
3.511 kips</v>
      </c>
      <c r="AD119" s="1"/>
      <c r="AE119" s="1"/>
      <c r="AH119" s="3">
        <f t="shared" ca="1" si="93"/>
        <v>680.31687009073028</v>
      </c>
      <c r="AI119" s="3">
        <f t="shared" ca="1" si="94"/>
        <v>-656.00291937541635</v>
      </c>
      <c r="AJ119" s="3"/>
      <c r="AK119" s="3">
        <f t="shared" ca="1" si="95"/>
        <v>17458.863098953752</v>
      </c>
      <c r="AL119" s="3">
        <f t="shared" ca="1" si="96"/>
        <v>16237.184424784651</v>
      </c>
    </row>
    <row r="120" spans="1:38" x14ac:dyDescent="0.25">
      <c r="A120">
        <f t="shared" ref="A120:D120" si="106">A105</f>
        <v>11</v>
      </c>
      <c r="B120" s="1">
        <f t="shared" si="76"/>
        <v>24.66589241948391</v>
      </c>
      <c r="C120" s="1">
        <f t="shared" si="77"/>
        <v>-25.580103736115809</v>
      </c>
      <c r="D120" t="str">
        <f t="shared" si="106"/>
        <v>y</v>
      </c>
      <c r="E120" s="4">
        <f t="shared" si="78"/>
        <v>43.556478193761251</v>
      </c>
      <c r="F120" s="1">
        <f t="shared" si="79"/>
        <v>24.66589241948391</v>
      </c>
      <c r="G120" s="1">
        <f t="shared" si="80"/>
        <v>-25.580103736115809</v>
      </c>
      <c r="H120">
        <f t="shared" si="81"/>
        <v>-142.90664013373075</v>
      </c>
      <c r="I120">
        <f t="shared" si="82"/>
        <v>3655.5666792006032</v>
      </c>
      <c r="J120">
        <f t="shared" si="83"/>
        <v>3524.9198115685044</v>
      </c>
      <c r="K120">
        <f t="shared" ca="1" si="98"/>
        <v>-44.002555996301368</v>
      </c>
      <c r="L120">
        <f t="shared" ca="1" si="84"/>
        <v>-1.5173295171138402E-3</v>
      </c>
      <c r="M120">
        <f t="shared" si="71"/>
        <v>-1.51732951711384E-3</v>
      </c>
      <c r="N120">
        <f t="shared" si="72"/>
        <v>0</v>
      </c>
      <c r="O120">
        <f t="shared" si="85"/>
        <v>0</v>
      </c>
      <c r="P120">
        <f t="shared" si="86"/>
        <v>0</v>
      </c>
      <c r="Q120">
        <f t="shared" si="87"/>
        <v>24.66589241948391</v>
      </c>
      <c r="R120">
        <f t="shared" si="88"/>
        <v>-25.580103736115809</v>
      </c>
      <c r="T120">
        <f t="shared" si="89"/>
        <v>24.666</v>
      </c>
      <c r="U120">
        <f t="shared" si="90"/>
        <v>-25.58</v>
      </c>
      <c r="W120" s="4">
        <f t="shared" si="91"/>
        <v>58.665999999999997</v>
      </c>
      <c r="X120" s="4">
        <f t="shared" si="92"/>
        <v>8.4200000000000017</v>
      </c>
      <c r="Y120">
        <f t="shared" si="73"/>
        <v>0</v>
      </c>
      <c r="AB120" t="str">
        <f t="shared" si="74"/>
        <v xml:space="preserve">
142.9066 kips</v>
      </c>
      <c r="AD120" s="1"/>
      <c r="AE120" s="1"/>
      <c r="AH120" s="3">
        <f t="shared" ca="1" si="93"/>
        <v>-763.39310501462592</v>
      </c>
      <c r="AI120" s="3">
        <f t="shared" ca="1" si="94"/>
        <v>736.11007978366149</v>
      </c>
      <c r="AJ120" s="3"/>
      <c r="AK120" s="3">
        <f t="shared" ca="1" si="95"/>
        <v>19598.548010748491</v>
      </c>
      <c r="AL120" s="3">
        <f t="shared" ca="1" si="96"/>
        <v>18227.685229880321</v>
      </c>
    </row>
    <row r="121" spans="1:38" ht="15.75" thickBot="1" x14ac:dyDescent="0.3">
      <c r="A121">
        <f t="shared" ref="A121:D121" si="107">A106</f>
        <v>12</v>
      </c>
      <c r="B121" s="1">
        <f t="shared" si="76"/>
        <v>-24.666107580079807</v>
      </c>
      <c r="C121" s="1">
        <f t="shared" si="77"/>
        <v>-25.579896263431742</v>
      </c>
      <c r="D121" t="str">
        <f t="shared" si="107"/>
        <v>y</v>
      </c>
      <c r="E121" s="4">
        <f t="shared" si="78"/>
        <v>43.556270721077183</v>
      </c>
      <c r="F121" s="1">
        <f t="shared" si="79"/>
        <v>-24.666107580079807</v>
      </c>
      <c r="G121" s="1">
        <f t="shared" si="80"/>
        <v>-25.579896263431742</v>
      </c>
      <c r="H121" s="23">
        <f t="shared" si="81"/>
        <v>-142.90595942616602</v>
      </c>
      <c r="I121" s="23">
        <f t="shared" si="82"/>
        <v>3655.5196175475121</v>
      </c>
      <c r="J121" s="23">
        <f t="shared" si="83"/>
        <v>-3524.9337690403308</v>
      </c>
      <c r="K121">
        <f t="shared" ca="1" si="98"/>
        <v>-44.002346398813764</v>
      </c>
      <c r="L121">
        <f t="shared" ca="1" si="84"/>
        <v>-1.5173222896142677E-3</v>
      </c>
      <c r="M121">
        <f t="shared" si="71"/>
        <v>-1.5173222896142674E-3</v>
      </c>
      <c r="N121" s="23">
        <f t="shared" si="72"/>
        <v>0</v>
      </c>
      <c r="O121" s="23">
        <f t="shared" si="85"/>
        <v>0</v>
      </c>
      <c r="P121" s="23">
        <f t="shared" si="86"/>
        <v>0</v>
      </c>
      <c r="Q121">
        <f t="shared" si="87"/>
        <v>-24.666107580079807</v>
      </c>
      <c r="R121">
        <f t="shared" si="88"/>
        <v>-25.579896263431742</v>
      </c>
      <c r="T121">
        <f t="shared" si="89"/>
        <v>-24.665999999999997</v>
      </c>
      <c r="U121">
        <f t="shared" si="90"/>
        <v>-25.579999999999995</v>
      </c>
      <c r="W121" s="4">
        <f t="shared" si="91"/>
        <v>9.3340000000000032</v>
      </c>
      <c r="X121" s="4">
        <f t="shared" si="92"/>
        <v>8.4200000000000053</v>
      </c>
      <c r="Y121">
        <f t="shared" si="73"/>
        <v>0</v>
      </c>
      <c r="AB121" t="str">
        <f t="shared" si="74"/>
        <v xml:space="preserve">
142.906 kips</v>
      </c>
      <c r="AD121" s="1"/>
      <c r="AE121" s="1"/>
      <c r="AH121" s="3">
        <f t="shared" ca="1" si="93"/>
        <v>-763.3869133580896</v>
      </c>
      <c r="AI121" s="3">
        <f t="shared" ca="1" si="94"/>
        <v>-736.11650087237444</v>
      </c>
      <c r="AJ121" s="3"/>
      <c r="AK121" s="3">
        <f t="shared" ca="1" si="95"/>
        <v>19598.231245600098</v>
      </c>
      <c r="AL121" s="3">
        <f t="shared" ca="1" si="96"/>
        <v>18228.00199502871</v>
      </c>
    </row>
    <row r="122" spans="1:38" ht="15.75" thickTop="1" x14ac:dyDescent="0.25">
      <c r="D122" s="10" t="s">
        <v>44</v>
      </c>
      <c r="E122" s="4">
        <f>MAX(E110:E121)</f>
        <v>43.556478193761251</v>
      </c>
      <c r="H122">
        <f>SUM(H110:H121)</f>
        <v>-796.4121230995504</v>
      </c>
      <c r="I122">
        <f t="shared" ref="I122:J122" si="108">SUM(I110:I121)</f>
        <v>18035.862109065638</v>
      </c>
      <c r="J122">
        <f t="shared" si="108"/>
        <v>-0.25340816776724751</v>
      </c>
      <c r="L122">
        <f ca="1">MIN(L110:L121)</f>
        <v>-1.5173295171138402E-3</v>
      </c>
      <c r="M122">
        <f>MIN(M110:M121)</f>
        <v>-1.51732951711384E-3</v>
      </c>
      <c r="N122">
        <f>SUM(N110:N121)</f>
        <v>0</v>
      </c>
      <c r="O122">
        <f>SUM(O110:O121)</f>
        <v>0</v>
      </c>
      <c r="P122">
        <f>SUM(P110:P121)</f>
        <v>0</v>
      </c>
      <c r="AD122" s="1"/>
      <c r="AE122" s="1"/>
      <c r="AH122" s="3">
        <f ca="1">SUM(AH110:AH121)</f>
        <v>-438.04836250417668</v>
      </c>
      <c r="AI122" s="3">
        <f t="shared" ref="AI122:AL122" ca="1" si="109">SUM(AI110:AI121)</f>
        <v>-0.11471984417983094</v>
      </c>
      <c r="AJ122" s="3"/>
      <c r="AK122" s="3">
        <f t="shared" ca="1" si="109"/>
        <v>174170.69907538148</v>
      </c>
      <c r="AL122" s="3">
        <f t="shared" ca="1" si="109"/>
        <v>227497.69453011657</v>
      </c>
    </row>
    <row r="123" spans="1:38" x14ac:dyDescent="0.25">
      <c r="AD123" s="1"/>
    </row>
    <row r="124" spans="1:38" x14ac:dyDescent="0.25">
      <c r="A124" t="s">
        <v>35</v>
      </c>
    </row>
    <row r="125" spans="1:38" x14ac:dyDescent="0.25">
      <c r="A125" t="s">
        <v>7</v>
      </c>
      <c r="B125" s="4">
        <f>MAX(C84:C92)-B65</f>
        <v>17.976374457645441</v>
      </c>
      <c r="F125" s="1" t="s">
        <v>27</v>
      </c>
      <c r="G125" s="1" t="s">
        <v>28</v>
      </c>
    </row>
    <row r="126" spans="1:38" x14ac:dyDescent="0.25">
      <c r="F126" s="4">
        <f>MIN(B84:B92)-1</f>
        <v>-35.000142991494869</v>
      </c>
      <c r="G126" s="4">
        <f>B125</f>
        <v>17.976374457645441</v>
      </c>
      <c r="I126">
        <f>IF(OR($G$126&gt;MAX($C$84:$C$92)+5,$G$126&lt;MIN($C$84:$C$92)-5),NA(),F126)</f>
        <v>-35.000142991494869</v>
      </c>
      <c r="J126">
        <f>IF(OR($G$126&gt;MAX($C$84:$C$92)+5,$G$126&lt;MIN($C$84:$C$92)-5),NA(),G126)</f>
        <v>17.976374457645441</v>
      </c>
    </row>
    <row r="127" spans="1:38" x14ac:dyDescent="0.25">
      <c r="F127" s="4">
        <f>MAX(B84:B92)+1</f>
        <v>35.000142991494869</v>
      </c>
      <c r="G127" s="4">
        <f>G126</f>
        <v>17.976374457645441</v>
      </c>
      <c r="I127">
        <f>IF(OR($G$126&gt;MAX($C$84:$C$92)+5,$G$126&lt;MIN($C$84:$C$92)-5),NA(),F127)</f>
        <v>35.000142991494869</v>
      </c>
      <c r="J127">
        <f>IF(OR($G$126&gt;MAX($C$84:$C$92)+5,$G$126&lt;MIN($C$84:$C$92)-5),NA(),G127)</f>
        <v>17.976374457645441</v>
      </c>
    </row>
    <row r="130" spans="1:81" x14ac:dyDescent="0.25">
      <c r="A130" t="s">
        <v>68</v>
      </c>
    </row>
    <row r="131" spans="1:81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  <c r="AP131" s="1"/>
      <c r="AQ131" s="1"/>
      <c r="AS131" s="1" t="str">
        <f>J131</f>
        <v>xi' (in)</v>
      </c>
      <c r="AT131" s="1" t="str">
        <f t="shared" ref="AT131:AX131" si="110">K131</f>
        <v>yi' (in)</v>
      </c>
      <c r="AU131" s="1" t="str">
        <f t="shared" si="110"/>
        <v>xj' (in)</v>
      </c>
      <c r="AV131" s="1" t="str">
        <f t="shared" si="110"/>
        <v>yj' (in)</v>
      </c>
      <c r="AW131" s="1" t="str">
        <f t="shared" si="110"/>
        <v>σi' (ksi)</v>
      </c>
      <c r="AX131" s="1" t="str">
        <f t="shared" si="110"/>
        <v>σj' (ksi)</v>
      </c>
      <c r="AZ131" s="1" t="s">
        <v>240</v>
      </c>
      <c r="BA131" s="1" t="s">
        <v>241</v>
      </c>
      <c r="BB131" s="1" t="s">
        <v>242</v>
      </c>
      <c r="BC131" s="1" t="s">
        <v>243</v>
      </c>
      <c r="BU131" s="1"/>
      <c r="BV131" s="1"/>
      <c r="BY131" s="1"/>
      <c r="BZ131" s="1"/>
      <c r="CB131" s="1"/>
      <c r="CC131" s="1"/>
    </row>
    <row r="132" spans="1:81" x14ac:dyDescent="0.25">
      <c r="A132" t="s">
        <v>69</v>
      </c>
      <c r="B132" s="4">
        <f>B84</f>
        <v>-34.000142991494869</v>
      </c>
      <c r="C132" s="4">
        <f>C84</f>
        <v>-33.999857007903756</v>
      </c>
      <c r="D132" s="4">
        <f t="shared" ref="D132:E139" si="111">B85</f>
        <v>33.999857007903756</v>
      </c>
      <c r="E132" s="4">
        <f t="shared" si="111"/>
        <v>-34.000142991494869</v>
      </c>
      <c r="F132" s="4">
        <f t="shared" ref="F132:F139" si="112">($B$66/$B$65)*(C132-$B$125)</f>
        <v>-5.7142404036283088</v>
      </c>
      <c r="G132" s="4">
        <f t="shared" ref="G132:G139" si="113">($B$66/$B$65)*(E132-$B$125)</f>
        <v>-5.7142718445185974</v>
      </c>
      <c r="H132" s="4">
        <f>IF(B132=D132,"V",(C132-E132)/(B132-D132))</f>
        <v>-4.2056410458081708E-6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  <c r="AP132" s="5"/>
      <c r="AQ132" s="5"/>
      <c r="AR132" s="5"/>
      <c r="AS132" s="5">
        <f t="shared" ref="AS132:AS139" si="114">J132</f>
        <v>0</v>
      </c>
      <c r="AT132" s="5">
        <f t="shared" ref="AT132:AT139" si="115">K132</f>
        <v>0</v>
      </c>
      <c r="AU132" s="5">
        <f t="shared" ref="AU132:AU139" si="116">L132</f>
        <v>0</v>
      </c>
      <c r="AV132" s="5">
        <f t="shared" ref="AV132:AV139" si="117">M132</f>
        <v>0</v>
      </c>
      <c r="AW132" s="5">
        <v>1</v>
      </c>
      <c r="AX132" s="5">
        <v>1</v>
      </c>
      <c r="AY132" s="5">
        <f>(1/6)*(AV132-AT132)*((AW132*((2*AS132)+AU132))+(AX132*(AS132+(2*AU132))))</f>
        <v>0</v>
      </c>
      <c r="AZ132" s="5">
        <f>((1/12)*(AV132-AT132)*(AW132*AS132*((3*AT132)+AV132)+AW132*AU132*(AT132+AV132)+AX132*AS132*(AT132+AV132)+AX132*AU132*(AT132+(3*AV132))))</f>
        <v>0</v>
      </c>
      <c r="BA132" s="5">
        <f>((-1/24)*(AV132-AT132)*(AS132*AS132*((3*AW132)+AX132)+2*AS132*AU132*(AW132+AX132)+AU132*AU132*(AW132+(3*AX132))))</f>
        <v>0</v>
      </c>
      <c r="BB132" s="5">
        <f>((AV132-AT132)*((12*AX132*AU132*POWER(AV132,2))+(3*AW132*AU132*POWER(AV132,2))+(3*AX132*AS132*POWER(AV132,2))+(2*AW132*AS132*POWER(AV132,2))+(6*AX132*AU132*AT132*AV132)+(4*AW132*AU132*AT132*AV132)+(4*AX132*AS132*AT132*AV132)+(6*AW132*AS132*AT132*AV132)+(2*AX132*AU132*POWER(AT132,2))+(3*AW132*AU132*POWER(AT132,2))+(3*AX132*AS132*POWER(AT132,2))+(12*AW132*AS132*POWER(AT132,2))))/60</f>
        <v>0</v>
      </c>
      <c r="BC132" s="5">
        <f>(((4*AX132*POWER(AU132,3))+(AW132*POWER(AU132,3))+(15*AX132*AS132*POWER(AU132,2))+(5*AW132*AS132*POWER(AU132,2))+(-12*AS132*AX132*POWER(AU132,2))+(-3*AS132*AW132*POWER(AU132,2))+(20*AX132*POWER(AS132,2)*AU132)+(10*AW132*POWER(AS132,2)*AU132)+(-30*AS132*AX132*AS132*AU132)+(-10*AS132*AW132*AS132*AU132)+(12*POWER(AS132,2)*AX132*AU132)+(3*POWER(AS132,2)*AW132*AU132)+(10*AX132*POWER(AS132,3))+(10*AW132*POWER(AS132,3))+(-20*POWER(AS132,3)*AX132)+(-10*POWER(AS132,3)*AW132)+(15*POWER(AS132,3)*AX132)+(5*POWER(AS132,3)*AW132)+(-4*POWER(AS132,3)*AX132)+(-1*POWER(AS132,3)*AW132))*(AV132-AT132))/60</f>
        <v>0</v>
      </c>
      <c r="BU132" s="1"/>
      <c r="BV132" s="1"/>
      <c r="CB132" s="1"/>
      <c r="CC132" s="1"/>
    </row>
    <row r="133" spans="1:81" x14ac:dyDescent="0.25">
      <c r="A133" t="s">
        <v>70</v>
      </c>
      <c r="B133" s="4">
        <f t="shared" ref="B133:C138" si="118">D132</f>
        <v>33.999857007903756</v>
      </c>
      <c r="C133" s="4">
        <f t="shared" si="118"/>
        <v>-34.000142991494869</v>
      </c>
      <c r="D133" s="4">
        <f t="shared" si="111"/>
        <v>34.000142991494869</v>
      </c>
      <c r="E133" s="4">
        <f t="shared" si="111"/>
        <v>33.999857007903756</v>
      </c>
      <c r="F133" s="4">
        <f t="shared" si="112"/>
        <v>-5.7142718445185974</v>
      </c>
      <c r="G133" s="4">
        <f t="shared" si="113"/>
        <v>1.7616135070548204</v>
      </c>
      <c r="H133" s="4">
        <f t="shared" ref="H133:H139" si="119">IF(B133=D133,"V",(C133-E133)/(B133-D133))</f>
        <v>237775.87984992584</v>
      </c>
      <c r="I133" s="4">
        <f t="shared" ref="I133:I139" si="120">IF(H133="V",0,(-1*B133*H133)+C133)</f>
        <v>-8084379.914968974</v>
      </c>
      <c r="J133" s="4">
        <f t="shared" ref="J133:J139" si="121">IF($F133&gt;=0,B133,IF(AND($F133&lt;0,$G133&gt;=0),IF(H133="V",B133,($B$125-I133)/H133),0))</f>
        <v>34.000075602478958</v>
      </c>
      <c r="K133" s="4">
        <f t="shared" ref="K133:K139" si="122">IF($F133&gt;=0,C133,IF(AND($F133&lt;0,$G133&gt;=0),$B$125,0))</f>
        <v>17.976374457645441</v>
      </c>
      <c r="L133" s="4">
        <f t="shared" ref="L133:L139" si="123">IF($G133&gt;=0,D133,IF(AND($G133&lt;0,$F133&gt;=0),IF(H133="V",D133,($B$125-I133)/H133),0))</f>
        <v>34.000142991494869</v>
      </c>
      <c r="M133" s="4">
        <f t="shared" ref="M133:M139" si="124">IF($G133&gt;=0,E133,IF(AND($G133&lt;0,$F133&gt;=0),$B$125,0))</f>
        <v>33.999857007903756</v>
      </c>
      <c r="N133" s="4">
        <f t="shared" ref="N133:N139" si="125">IF(F133&lt;0,IF($I$54="Linear",0,$B$66),IF($I$54="Linear",F133,$B$66))</f>
        <v>0</v>
      </c>
      <c r="O133" s="4">
        <f t="shared" ref="O133:O138" si="126">IF(G133&lt;0,IF($I$54="Linear",0,$B$66),IF($I$54="Linear",G133,$B$66))</f>
        <v>1.7616135070548204</v>
      </c>
      <c r="P133" s="4">
        <f t="shared" ref="P133:P139" si="127">(1/6)*(M133-K133)*((N133*((2*J133)+L133))+(O133*(J133+(2*L133))))</f>
        <v>479.86381702995192</v>
      </c>
      <c r="Q133" s="4">
        <f t="shared" ref="Q133:Q139" si="128">((1/12)*(M133-K133)*(N133*J133*((3*K133)+M133)+N133*L133*(K133+M133)+O133*J133*(K133+M133)+O133*L133*(K133+(3*M133))))</f>
        <v>13752.272176055945</v>
      </c>
      <c r="R133" s="4">
        <f t="shared" ref="R133:R139" si="129">((-1/24)*(M133-K133)*(J133*J133*((3*N133)+O133)+2*J133*L133*(N133+O133)+L133*L133*(N133+(3*O133))))</f>
        <v>-8157.7138081414942</v>
      </c>
      <c r="U133">
        <f t="shared" ref="U133:U153" si="130">IF(AND(J133=0,K133=0,L133=0,M133=0),NA(),J133)</f>
        <v>34.000075602478958</v>
      </c>
      <c r="V133">
        <f t="shared" ref="V133:V153" si="131">IF(AND(J133=0,K133=0,L133=0,M133=0),NA(),K133)</f>
        <v>17.976374457645441</v>
      </c>
      <c r="W133" s="9" t="str">
        <f t="shared" ref="W133:W144" si="132">IF(AND(J133=0,K133=0,L133=0,M133=0),"",ROUND(N133,4)&amp;" ksi")</f>
        <v>0 ksi</v>
      </c>
      <c r="X133">
        <f t="shared" ref="X133:X139" si="133">(U133*COS(-1*$B$64))+(V133*SIN(-1*$B$64))</f>
        <v>34</v>
      </c>
      <c r="Y133">
        <f t="shared" ref="Y133:Y139" si="134">(-1*U133*SIN(-1*$B$64))+(V133*COS(-1*$B$64))</f>
        <v>17.976517449599974</v>
      </c>
      <c r="AA133" s="4">
        <f t="shared" ref="AA133:AA139" si="135">X133+$B$9</f>
        <v>68</v>
      </c>
      <c r="AB133" s="4">
        <f t="shared" ref="AB133:AB139" si="136">Y133+$C$9</f>
        <v>51.976517449599974</v>
      </c>
      <c r="AD133">
        <f t="shared" ref="AD133:AD139" si="137">IF(AND(J133=0,K133=0,L133=0,M133=0),NA(),L133)</f>
        <v>34.000142991494869</v>
      </c>
      <c r="AE133">
        <f t="shared" ref="AE133:AE139" si="138">IF(AND(J133=0,K133=0,L133=0,M133=0),NA(),M133)</f>
        <v>33.999857007903756</v>
      </c>
      <c r="AF133" s="9" t="str">
        <f t="shared" ref="AF133:AF139" si="139">IF(AND(J133=0,K133=0,L133=0,M133=0),"",ROUND(O133,4)&amp;" ksi")</f>
        <v>1.7616 ksi</v>
      </c>
      <c r="AG133" t="e">
        <f t="shared" ref="AG133:AG139" si="140">IF(COUNTIF($U$132:$U$139,AD133)&gt;0,NA(),AD133)</f>
        <v>#N/A</v>
      </c>
      <c r="AH133" t="e">
        <f t="shared" ref="AH133:AH139" si="141">IF(AND(COUNTIF($V$132:$V$139,AE133)&gt;0,AF133&lt;&gt;"0 ksi"),NA(),AE133)</f>
        <v>#N/A</v>
      </c>
      <c r="AI133" t="str">
        <f t="shared" ref="AI133:AI139" si="142">IF(COUNTIF($U$132:$U$139,AD133)&gt;0,"",AF133)</f>
        <v/>
      </c>
      <c r="AJ133" t="e">
        <f t="shared" ref="AJ133:AJ139" si="143">(AG133*COS(-1*$B$64))+(AH133*SIN(-1*$B$64))</f>
        <v>#N/A</v>
      </c>
      <c r="AK133" t="e">
        <f t="shared" ref="AK133:AK139" si="144">(-1*AG133*SIN(-1*$B$64))+(AH133*COS(-1*$B$64))</f>
        <v>#N/A</v>
      </c>
      <c r="AM133" s="4" t="e">
        <f t="shared" ref="AM133:AM139" si="145">AJ133+$B$9</f>
        <v>#N/A</v>
      </c>
      <c r="AN133" s="4" t="e">
        <f t="shared" ref="AN133:AN139" si="146">AK133+$C$9</f>
        <v>#N/A</v>
      </c>
      <c r="AP133" s="5"/>
      <c r="AQ133" s="5"/>
      <c r="AR133" s="5"/>
      <c r="AS133" s="5">
        <f t="shared" si="114"/>
        <v>34.000075602478958</v>
      </c>
      <c r="AT133" s="5">
        <f t="shared" si="115"/>
        <v>17.976374457645441</v>
      </c>
      <c r="AU133" s="5">
        <f t="shared" si="116"/>
        <v>34.000142991494869</v>
      </c>
      <c r="AV133" s="5">
        <f t="shared" si="117"/>
        <v>33.999857007903756</v>
      </c>
      <c r="AW133" s="5">
        <v>1</v>
      </c>
      <c r="AX133" s="5">
        <v>1</v>
      </c>
      <c r="AY133" s="5">
        <f t="shared" ref="AY133:AY139" si="147">(1/6)*(AV133-AT133)*((AW133*((2*AS133)+AU133))+(AX133*(AS133+(2*AU133))))</f>
        <v>544.80015802714524</v>
      </c>
      <c r="AZ133" s="5">
        <f t="shared" ref="AZ133:AZ139" si="148">((1/12)*(AV133-AT133)*(AW133*AS133*((3*AT133)+AV133)+AW133*AU133*(AT133+AV133)+AX133*AS133*(AT133+AV133)+AX133*AU133*(AT133+(3*AV133))))</f>
        <v>14158.330999898688</v>
      </c>
      <c r="BA133" s="5">
        <f t="shared" ref="BA133:BA139" si="149">((-1/24)*(AV133-AT133)*(AS133*AS133*((3*AW133)+AX133)+2*AS133*AU133*(AW133+AX133)+AU133*AU133*(AW133+(3*AX133))))</f>
        <v>-9261.6324589723718</v>
      </c>
      <c r="BB133" s="5">
        <f t="shared" ref="BB133:BB139" si="150">((AV133-AT133)*((12*AX133*AU133*POWER(AV133,2))+(3*AW133*AU133*POWER(AV133,2))+(3*AX133*AS133*POWER(AV133,2))+(2*AW133*AS133*POWER(AV133,2))+(6*AX133*AU133*AT133*AV133)+(4*AW133*AU133*AT133*AV133)+(4*AX133*AS133*AT133*AV133)+(6*AW133*AS133*AT133*AV133)+(2*AX133*AU133*POWER(AT133,2))+(3*AW133*AU133*POWER(AT133,2))+(3*AX133*AS133*POWER(AT133,2))+(12*AW133*AS133*POWER(AT133,2))))/60</f>
        <v>379604.92594449449</v>
      </c>
      <c r="BC133" s="5">
        <f t="shared" ref="BC133:BC139" si="151">(((4*AX133*POWER(AU133,3))+(AW133*POWER(AU133,3))+(15*AX133*AS133*POWER(AU133,2))+(5*AW133*AS133*POWER(AU133,2))+(-12*AS133*AX133*POWER(AU133,2))+(-3*AS133*AW133*POWER(AU133,2))+(20*AX133*POWER(AS133,2)*AU133)+(10*AW133*POWER(AS133,2)*AU133)+(-30*AS133*AX133*AS133*AU133)+(-10*AS133*AW133*AS133*AU133)+(12*POWER(AS133,2)*AX133*AU133)+(3*POWER(AS133,2)*AW133*AU133)+(10*AX133*POWER(AS133,3))+(10*AW133*POWER(AS133,3))+(-20*POWER(AS133,3)*AX133)+(-10*POWER(AS133,3)*AW133)+(15*POWER(AS133,3)*AX133)+(5*POWER(AS133,3)*AW133)+(-4*POWER(AS133,3)*AX133)+(-1*POWER(AS133,3)*AW133))*(AV133-AT133))/60</f>
        <v>209931.01058252566</v>
      </c>
    </row>
    <row r="134" spans="1:81" x14ac:dyDescent="0.25">
      <c r="A134" t="s">
        <v>71</v>
      </c>
      <c r="B134" s="4">
        <f t="shared" si="118"/>
        <v>34.000142991494869</v>
      </c>
      <c r="C134" s="4">
        <f t="shared" si="118"/>
        <v>33.999857007903756</v>
      </c>
      <c r="D134" s="4">
        <f t="shared" si="111"/>
        <v>-33.999857007903756</v>
      </c>
      <c r="E134" s="4">
        <f t="shared" si="111"/>
        <v>34.000142991494869</v>
      </c>
      <c r="F134" s="4">
        <f t="shared" si="112"/>
        <v>1.7616135070548204</v>
      </c>
      <c r="G134" s="4">
        <f t="shared" si="113"/>
        <v>1.7616449479451088</v>
      </c>
      <c r="H134" s="4">
        <f t="shared" si="119"/>
        <v>-4.2056410458081708E-6</v>
      </c>
      <c r="I134" s="4">
        <f t="shared" si="120"/>
        <v>34.000000000300687</v>
      </c>
      <c r="J134" s="4">
        <f t="shared" si="121"/>
        <v>34.000142991494869</v>
      </c>
      <c r="K134" s="4">
        <f t="shared" si="122"/>
        <v>33.999857007903756</v>
      </c>
      <c r="L134" s="4">
        <f t="shared" si="123"/>
        <v>-33.999857007903756</v>
      </c>
      <c r="M134" s="4">
        <f t="shared" si="124"/>
        <v>34.000142991494869</v>
      </c>
      <c r="N134" s="4">
        <f t="shared" si="125"/>
        <v>1.7616135070548204</v>
      </c>
      <c r="O134" s="4">
        <f t="shared" si="126"/>
        <v>1.7616449479451088</v>
      </c>
      <c r="P134" s="4">
        <f t="shared" si="127"/>
        <v>2.1086565790038839E-8</v>
      </c>
      <c r="Q134" s="4">
        <f t="shared" si="128"/>
        <v>-9.9497008244885467E-8</v>
      </c>
      <c r="R134" s="4">
        <f t="shared" si="129"/>
        <v>-9.706489881423809E-2</v>
      </c>
      <c r="U134">
        <f t="shared" si="130"/>
        <v>34.000142991494869</v>
      </c>
      <c r="V134">
        <f t="shared" si="131"/>
        <v>33.999857007903756</v>
      </c>
      <c r="W134" s="9" t="str">
        <f t="shared" si="132"/>
        <v>1.7616 ksi</v>
      </c>
      <c r="X134">
        <f t="shared" si="133"/>
        <v>34</v>
      </c>
      <c r="Y134">
        <f t="shared" si="134"/>
        <v>33.999999999999993</v>
      </c>
      <c r="AA134" s="4">
        <f t="shared" si="135"/>
        <v>68</v>
      </c>
      <c r="AB134" s="4">
        <f t="shared" si="136"/>
        <v>68</v>
      </c>
      <c r="AD134">
        <f t="shared" si="137"/>
        <v>-33.999857007903756</v>
      </c>
      <c r="AE134">
        <f t="shared" si="138"/>
        <v>34.000142991494869</v>
      </c>
      <c r="AF134" s="9" t="str">
        <f t="shared" si="139"/>
        <v>1.7616 ksi</v>
      </c>
      <c r="AG134" t="e">
        <f t="shared" si="140"/>
        <v>#N/A</v>
      </c>
      <c r="AH134" t="e">
        <f t="shared" si="141"/>
        <v>#N/A</v>
      </c>
      <c r="AI134" t="str">
        <f t="shared" si="142"/>
        <v/>
      </c>
      <c r="AJ134" t="e">
        <f t="shared" si="143"/>
        <v>#N/A</v>
      </c>
      <c r="AK134" t="e">
        <f t="shared" si="144"/>
        <v>#N/A</v>
      </c>
      <c r="AM134" s="4" t="e">
        <f t="shared" si="145"/>
        <v>#N/A</v>
      </c>
      <c r="AN134" s="4" t="e">
        <f t="shared" si="146"/>
        <v>#N/A</v>
      </c>
      <c r="AP134" s="5"/>
      <c r="AQ134" s="5"/>
      <c r="AR134" s="5"/>
      <c r="AS134" s="5">
        <f t="shared" si="114"/>
        <v>34.000142991494869</v>
      </c>
      <c r="AT134" s="5">
        <f t="shared" si="115"/>
        <v>33.999857007903756</v>
      </c>
      <c r="AU134" s="5">
        <f t="shared" si="116"/>
        <v>-33.999857007903756</v>
      </c>
      <c r="AV134" s="5">
        <f t="shared" si="117"/>
        <v>34.000142991494869</v>
      </c>
      <c r="AW134" s="5">
        <v>1</v>
      </c>
      <c r="AX134" s="5">
        <v>1</v>
      </c>
      <c r="AY134" s="5">
        <f t="shared" si="147"/>
        <v>4.0893307192779758E-8</v>
      </c>
      <c r="AZ134" s="5">
        <f t="shared" si="148"/>
        <v>9.2691496303092235E-7</v>
      </c>
      <c r="BA134" s="5">
        <f t="shared" si="149"/>
        <v>-5.5099505222943289E-2</v>
      </c>
      <c r="BB134" s="5">
        <f t="shared" si="150"/>
        <v>1.5757554371621052E-5</v>
      </c>
      <c r="BC134" s="5">
        <f t="shared" si="151"/>
        <v>1.5757554373355054E-5</v>
      </c>
    </row>
    <row r="135" spans="1:81" x14ac:dyDescent="0.25">
      <c r="A135" t="s">
        <v>72</v>
      </c>
      <c r="B135" s="4">
        <f t="shared" si="118"/>
        <v>-33.999857007903756</v>
      </c>
      <c r="C135" s="4">
        <f t="shared" si="118"/>
        <v>34.000142991494869</v>
      </c>
      <c r="D135" s="4">
        <f t="shared" si="111"/>
        <v>-34.000142991494869</v>
      </c>
      <c r="E135" s="4">
        <f t="shared" si="111"/>
        <v>-33.999857007903756</v>
      </c>
      <c r="F135" s="4">
        <f t="shared" si="112"/>
        <v>1.7616449479451088</v>
      </c>
      <c r="G135" s="4">
        <f t="shared" si="113"/>
        <v>-5.7142404036283088</v>
      </c>
      <c r="H135" s="4">
        <f t="shared" si="119"/>
        <v>237775.87984992584</v>
      </c>
      <c r="I135" s="4">
        <f t="shared" si="120"/>
        <v>8084379.914968974</v>
      </c>
      <c r="J135" s="4">
        <f t="shared" si="121"/>
        <v>-33.999857007903756</v>
      </c>
      <c r="K135" s="4">
        <f t="shared" si="122"/>
        <v>34.000142991494869</v>
      </c>
      <c r="L135" s="4">
        <f t="shared" si="123"/>
        <v>-33.99992439812241</v>
      </c>
      <c r="M135" s="4">
        <f t="shared" si="124"/>
        <v>17.976374457645441</v>
      </c>
      <c r="N135" s="4">
        <f t="shared" si="125"/>
        <v>1.7616449479451088</v>
      </c>
      <c r="O135" s="4">
        <f t="shared" si="126"/>
        <v>0</v>
      </c>
      <c r="P135" s="4">
        <f t="shared" si="127"/>
        <v>479.87754388642537</v>
      </c>
      <c r="Q135" s="4">
        <f t="shared" si="128"/>
        <v>13752.755367878673</v>
      </c>
      <c r="R135" s="4">
        <f t="shared" si="129"/>
        <v>8157.889326565145</v>
      </c>
      <c r="U135">
        <f t="shared" si="130"/>
        <v>-33.999857007903756</v>
      </c>
      <c r="V135">
        <f t="shared" si="131"/>
        <v>34.000142991494869</v>
      </c>
      <c r="W135" s="9" t="str">
        <f t="shared" si="132"/>
        <v>1.7616 ksi</v>
      </c>
      <c r="X135">
        <f t="shared" si="133"/>
        <v>-33.999999999999993</v>
      </c>
      <c r="Y135">
        <f t="shared" si="134"/>
        <v>34</v>
      </c>
      <c r="AA135" s="4">
        <f t="shared" si="135"/>
        <v>0</v>
      </c>
      <c r="AB135" s="4">
        <f t="shared" si="136"/>
        <v>68</v>
      </c>
      <c r="AD135">
        <f t="shared" si="137"/>
        <v>-33.99992439812241</v>
      </c>
      <c r="AE135">
        <f t="shared" si="138"/>
        <v>17.976374457645441</v>
      </c>
      <c r="AF135" s="9" t="str">
        <f t="shared" si="139"/>
        <v>0 ksi</v>
      </c>
      <c r="AG135">
        <f t="shared" si="140"/>
        <v>-33.99992439812241</v>
      </c>
      <c r="AH135">
        <f t="shared" si="141"/>
        <v>17.976374457645441</v>
      </c>
      <c r="AI135" t="str">
        <f t="shared" si="142"/>
        <v>0 ksi</v>
      </c>
      <c r="AJ135">
        <f t="shared" si="143"/>
        <v>-33.999999999999993</v>
      </c>
      <c r="AK135">
        <f t="shared" si="144"/>
        <v>17.976231466008866</v>
      </c>
      <c r="AM135" s="4">
        <f t="shared" si="145"/>
        <v>0</v>
      </c>
      <c r="AN135" s="4">
        <f t="shared" si="146"/>
        <v>51.976231466008869</v>
      </c>
      <c r="AP135" s="5"/>
      <c r="AQ135" s="5"/>
      <c r="AR135" s="5"/>
      <c r="AS135" s="5">
        <f t="shared" si="114"/>
        <v>-33.999857007903756</v>
      </c>
      <c r="AT135" s="5">
        <f t="shared" si="115"/>
        <v>34.000142991494869</v>
      </c>
      <c r="AU135" s="5">
        <f t="shared" si="116"/>
        <v>-33.99992439812241</v>
      </c>
      <c r="AV135" s="5">
        <f t="shared" si="117"/>
        <v>17.976374457645441</v>
      </c>
      <c r="AW135" s="5">
        <f t="shared" ref="AW135" si="152">IF(N135=0,0,1)</f>
        <v>1</v>
      </c>
      <c r="AX135" s="5">
        <v>1</v>
      </c>
      <c r="AY135" s="5">
        <f t="shared" si="147"/>
        <v>544.80637880126062</v>
      </c>
      <c r="AZ135" s="5">
        <f t="shared" si="148"/>
        <v>14158.567685150787</v>
      </c>
      <c r="BA135" s="5">
        <f t="shared" si="149"/>
        <v>9261.6786667766373</v>
      </c>
      <c r="BB135" s="5">
        <f t="shared" si="150"/>
        <v>379613.57575781859</v>
      </c>
      <c r="BC135" s="5">
        <f t="shared" si="151"/>
        <v>209930.70826469327</v>
      </c>
    </row>
    <row r="136" spans="1:81" x14ac:dyDescent="0.25">
      <c r="A136" t="s">
        <v>73</v>
      </c>
      <c r="B136" s="4">
        <f t="shared" si="118"/>
        <v>-34.000142991494869</v>
      </c>
      <c r="C136" s="4">
        <f t="shared" si="118"/>
        <v>-33.999857007903756</v>
      </c>
      <c r="D136" s="4">
        <f t="shared" si="111"/>
        <v>-34.000142991494869</v>
      </c>
      <c r="E136" s="4">
        <f t="shared" si="111"/>
        <v>-33.999857007903756</v>
      </c>
      <c r="F136" s="4">
        <f t="shared" si="112"/>
        <v>-5.7142404036283088</v>
      </c>
      <c r="G136" s="4">
        <f t="shared" si="113"/>
        <v>-5.7142404036283088</v>
      </c>
      <c r="H136" s="4" t="str">
        <f t="shared" si="119"/>
        <v>V</v>
      </c>
      <c r="I136" s="4">
        <f t="shared" si="120"/>
        <v>0</v>
      </c>
      <c r="J136" s="4">
        <f t="shared" si="121"/>
        <v>0</v>
      </c>
      <c r="K136" s="4">
        <f t="shared" si="122"/>
        <v>0</v>
      </c>
      <c r="L136" s="4">
        <f t="shared" si="123"/>
        <v>0</v>
      </c>
      <c r="M136" s="4">
        <f t="shared" si="124"/>
        <v>0</v>
      </c>
      <c r="N136" s="4">
        <f t="shared" si="125"/>
        <v>0</v>
      </c>
      <c r="O136" s="4">
        <f t="shared" si="126"/>
        <v>0</v>
      </c>
      <c r="P136" s="4">
        <f t="shared" si="127"/>
        <v>0</v>
      </c>
      <c r="Q136" s="4">
        <f t="shared" si="128"/>
        <v>0</v>
      </c>
      <c r="R136" s="4">
        <f t="shared" si="129"/>
        <v>0</v>
      </c>
      <c r="U136" t="e">
        <f t="shared" si="130"/>
        <v>#N/A</v>
      </c>
      <c r="V136" t="e">
        <f t="shared" si="131"/>
        <v>#N/A</v>
      </c>
      <c r="W136" s="9" t="str">
        <f t="shared" si="132"/>
        <v/>
      </c>
      <c r="X136" t="e">
        <f t="shared" si="133"/>
        <v>#N/A</v>
      </c>
      <c r="Y136" t="e">
        <f t="shared" si="134"/>
        <v>#N/A</v>
      </c>
      <c r="AA136" s="4" t="e">
        <f t="shared" si="135"/>
        <v>#N/A</v>
      </c>
      <c r="AB136" s="4" t="e">
        <f t="shared" si="136"/>
        <v>#N/A</v>
      </c>
      <c r="AD136" t="e">
        <f t="shared" si="137"/>
        <v>#N/A</v>
      </c>
      <c r="AE136" t="e">
        <f t="shared" si="138"/>
        <v>#N/A</v>
      </c>
      <c r="AF136" s="9" t="str">
        <f t="shared" si="139"/>
        <v/>
      </c>
      <c r="AG136" t="e">
        <f t="shared" si="140"/>
        <v>#N/A</v>
      </c>
      <c r="AH136" t="e">
        <f t="shared" si="141"/>
        <v>#N/A</v>
      </c>
      <c r="AI136" t="str">
        <f t="shared" si="142"/>
        <v/>
      </c>
      <c r="AJ136" t="e">
        <f t="shared" si="143"/>
        <v>#N/A</v>
      </c>
      <c r="AK136" t="e">
        <f t="shared" si="144"/>
        <v>#N/A</v>
      </c>
      <c r="AM136" s="4" t="e">
        <f t="shared" si="145"/>
        <v>#N/A</v>
      </c>
      <c r="AN136" s="4" t="e">
        <f t="shared" si="146"/>
        <v>#N/A</v>
      </c>
      <c r="AP136" s="5"/>
      <c r="AQ136" s="5"/>
      <c r="AR136" s="5"/>
      <c r="AS136" s="5">
        <f t="shared" si="114"/>
        <v>0</v>
      </c>
      <c r="AT136" s="5">
        <f t="shared" si="115"/>
        <v>0</v>
      </c>
      <c r="AU136" s="5">
        <f t="shared" si="116"/>
        <v>0</v>
      </c>
      <c r="AV136" s="5">
        <f t="shared" si="117"/>
        <v>0</v>
      </c>
      <c r="AW136" s="5">
        <v>1</v>
      </c>
      <c r="AX136" s="5">
        <v>1</v>
      </c>
      <c r="AY136" s="5">
        <f t="shared" si="147"/>
        <v>0</v>
      </c>
      <c r="AZ136" s="5">
        <f t="shared" si="148"/>
        <v>0</v>
      </c>
      <c r="BA136" s="5">
        <f t="shared" si="149"/>
        <v>0</v>
      </c>
      <c r="BB136" s="5">
        <f t="shared" si="150"/>
        <v>0</v>
      </c>
      <c r="BC136" s="5">
        <f t="shared" si="151"/>
        <v>0</v>
      </c>
    </row>
    <row r="137" spans="1:81" x14ac:dyDescent="0.25">
      <c r="A137" t="s">
        <v>74</v>
      </c>
      <c r="B137" s="4">
        <f t="shared" si="118"/>
        <v>-34.000142991494869</v>
      </c>
      <c r="C137" s="4">
        <f t="shared" si="118"/>
        <v>-33.999857007903756</v>
      </c>
      <c r="D137" s="4">
        <f t="shared" si="111"/>
        <v>-34.000142991494869</v>
      </c>
      <c r="E137" s="4">
        <f t="shared" si="111"/>
        <v>-33.999857007903756</v>
      </c>
      <c r="F137" s="4">
        <f t="shared" si="112"/>
        <v>-5.7142404036283088</v>
      </c>
      <c r="G137" s="4">
        <f t="shared" si="113"/>
        <v>-5.7142404036283088</v>
      </c>
      <c r="H137" s="4" t="str">
        <f t="shared" si="119"/>
        <v>V</v>
      </c>
      <c r="I137" s="4">
        <f t="shared" si="120"/>
        <v>0</v>
      </c>
      <c r="J137" s="4">
        <f t="shared" si="121"/>
        <v>0</v>
      </c>
      <c r="K137" s="4">
        <f t="shared" si="122"/>
        <v>0</v>
      </c>
      <c r="L137" s="4">
        <f t="shared" si="123"/>
        <v>0</v>
      </c>
      <c r="M137" s="4">
        <f t="shared" si="124"/>
        <v>0</v>
      </c>
      <c r="N137" s="4">
        <f t="shared" si="125"/>
        <v>0</v>
      </c>
      <c r="O137" s="4">
        <f t="shared" si="126"/>
        <v>0</v>
      </c>
      <c r="P137" s="4">
        <f t="shared" si="127"/>
        <v>0</v>
      </c>
      <c r="Q137" s="4">
        <f t="shared" si="128"/>
        <v>0</v>
      </c>
      <c r="R137" s="4">
        <f t="shared" si="129"/>
        <v>0</v>
      </c>
      <c r="U137" t="e">
        <f t="shared" si="130"/>
        <v>#N/A</v>
      </c>
      <c r="V137" t="e">
        <f t="shared" si="131"/>
        <v>#N/A</v>
      </c>
      <c r="W137" s="9" t="str">
        <f t="shared" si="132"/>
        <v/>
      </c>
      <c r="X137" t="e">
        <f t="shared" si="133"/>
        <v>#N/A</v>
      </c>
      <c r="Y137" t="e">
        <f t="shared" si="134"/>
        <v>#N/A</v>
      </c>
      <c r="AA137" s="4" t="e">
        <f t="shared" si="135"/>
        <v>#N/A</v>
      </c>
      <c r="AB137" s="4" t="e">
        <f t="shared" si="136"/>
        <v>#N/A</v>
      </c>
      <c r="AD137" t="e">
        <f t="shared" si="137"/>
        <v>#N/A</v>
      </c>
      <c r="AE137" t="e">
        <f t="shared" si="138"/>
        <v>#N/A</v>
      </c>
      <c r="AF137" s="9" t="str">
        <f t="shared" si="139"/>
        <v/>
      </c>
      <c r="AG137" t="e">
        <f t="shared" si="140"/>
        <v>#N/A</v>
      </c>
      <c r="AH137" t="e">
        <f t="shared" si="141"/>
        <v>#N/A</v>
      </c>
      <c r="AI137" t="str">
        <f t="shared" si="142"/>
        <v/>
      </c>
      <c r="AJ137" t="e">
        <f t="shared" si="143"/>
        <v>#N/A</v>
      </c>
      <c r="AK137" t="e">
        <f t="shared" si="144"/>
        <v>#N/A</v>
      </c>
      <c r="AM137" s="4" t="e">
        <f t="shared" si="145"/>
        <v>#N/A</v>
      </c>
      <c r="AN137" s="4" t="e">
        <f t="shared" si="146"/>
        <v>#N/A</v>
      </c>
      <c r="AP137" s="5"/>
      <c r="AQ137" s="5"/>
      <c r="AR137" s="5"/>
      <c r="AS137" s="5">
        <f t="shared" si="114"/>
        <v>0</v>
      </c>
      <c r="AT137" s="5">
        <f t="shared" si="115"/>
        <v>0</v>
      </c>
      <c r="AU137" s="5">
        <f t="shared" si="116"/>
        <v>0</v>
      </c>
      <c r="AV137" s="5">
        <f t="shared" si="117"/>
        <v>0</v>
      </c>
      <c r="AW137" s="5">
        <v>1</v>
      </c>
      <c r="AX137" s="5">
        <v>1</v>
      </c>
      <c r="AY137" s="5">
        <f t="shared" si="147"/>
        <v>0</v>
      </c>
      <c r="AZ137" s="5">
        <f t="shared" si="148"/>
        <v>0</v>
      </c>
      <c r="BA137" s="5">
        <f t="shared" si="149"/>
        <v>0</v>
      </c>
      <c r="BB137" s="5">
        <f t="shared" si="150"/>
        <v>0</v>
      </c>
      <c r="BC137" s="5">
        <f t="shared" si="151"/>
        <v>0</v>
      </c>
    </row>
    <row r="138" spans="1:81" x14ac:dyDescent="0.25">
      <c r="A138" t="s">
        <v>75</v>
      </c>
      <c r="B138" s="4">
        <f t="shared" si="118"/>
        <v>-34.000142991494869</v>
      </c>
      <c r="C138" s="4">
        <f t="shared" si="118"/>
        <v>-33.999857007903756</v>
      </c>
      <c r="D138" s="4">
        <f t="shared" si="111"/>
        <v>-34.000142991494869</v>
      </c>
      <c r="E138" s="4">
        <f t="shared" si="111"/>
        <v>-33.999857007903756</v>
      </c>
      <c r="F138" s="4">
        <f t="shared" si="112"/>
        <v>-5.7142404036283088</v>
      </c>
      <c r="G138" s="4">
        <f t="shared" si="113"/>
        <v>-5.7142404036283088</v>
      </c>
      <c r="H138" s="4" t="str">
        <f t="shared" si="119"/>
        <v>V</v>
      </c>
      <c r="I138" s="4">
        <f t="shared" si="120"/>
        <v>0</v>
      </c>
      <c r="J138" s="4">
        <f t="shared" si="121"/>
        <v>0</v>
      </c>
      <c r="K138" s="4">
        <f t="shared" si="122"/>
        <v>0</v>
      </c>
      <c r="L138" s="4">
        <f t="shared" si="123"/>
        <v>0</v>
      </c>
      <c r="M138" s="4">
        <f t="shared" si="124"/>
        <v>0</v>
      </c>
      <c r="N138" s="4">
        <f t="shared" si="125"/>
        <v>0</v>
      </c>
      <c r="O138" s="4">
        <f t="shared" si="126"/>
        <v>0</v>
      </c>
      <c r="P138" s="30">
        <f t="shared" si="127"/>
        <v>0</v>
      </c>
      <c r="Q138" s="30">
        <f t="shared" si="128"/>
        <v>0</v>
      </c>
      <c r="R138" s="30">
        <f t="shared" si="129"/>
        <v>0</v>
      </c>
      <c r="U138" t="e">
        <f t="shared" si="130"/>
        <v>#N/A</v>
      </c>
      <c r="V138" t="e">
        <f t="shared" si="131"/>
        <v>#N/A</v>
      </c>
      <c r="W138" s="9" t="str">
        <f t="shared" si="132"/>
        <v/>
      </c>
      <c r="X138" t="e">
        <f t="shared" si="133"/>
        <v>#N/A</v>
      </c>
      <c r="Y138" t="e">
        <f t="shared" si="134"/>
        <v>#N/A</v>
      </c>
      <c r="AA138" s="4" t="e">
        <f t="shared" si="135"/>
        <v>#N/A</v>
      </c>
      <c r="AB138" s="4" t="e">
        <f t="shared" si="136"/>
        <v>#N/A</v>
      </c>
      <c r="AD138" t="e">
        <f t="shared" si="137"/>
        <v>#N/A</v>
      </c>
      <c r="AE138" t="e">
        <f t="shared" si="138"/>
        <v>#N/A</v>
      </c>
      <c r="AF138" s="9" t="str">
        <f t="shared" si="139"/>
        <v/>
      </c>
      <c r="AG138" t="e">
        <f t="shared" si="140"/>
        <v>#N/A</v>
      </c>
      <c r="AH138" t="e">
        <f t="shared" si="141"/>
        <v>#N/A</v>
      </c>
      <c r="AI138" t="str">
        <f t="shared" si="142"/>
        <v/>
      </c>
      <c r="AJ138" t="e">
        <f t="shared" si="143"/>
        <v>#N/A</v>
      </c>
      <c r="AK138" t="e">
        <f t="shared" si="144"/>
        <v>#N/A</v>
      </c>
      <c r="AM138" s="4" t="e">
        <f t="shared" si="145"/>
        <v>#N/A</v>
      </c>
      <c r="AN138" s="4" t="e">
        <f t="shared" si="146"/>
        <v>#N/A</v>
      </c>
      <c r="AP138" s="5"/>
      <c r="AQ138" s="5"/>
      <c r="AR138" s="5"/>
      <c r="AS138" s="5">
        <f t="shared" si="114"/>
        <v>0</v>
      </c>
      <c r="AT138" s="5">
        <f t="shared" si="115"/>
        <v>0</v>
      </c>
      <c r="AU138" s="5">
        <f t="shared" si="116"/>
        <v>0</v>
      </c>
      <c r="AV138" s="5">
        <f t="shared" si="117"/>
        <v>0</v>
      </c>
      <c r="AW138" s="5">
        <v>1</v>
      </c>
      <c r="AX138" s="5">
        <v>1</v>
      </c>
      <c r="AY138" s="5">
        <f t="shared" si="147"/>
        <v>0</v>
      </c>
      <c r="AZ138" s="5">
        <f t="shared" si="148"/>
        <v>0</v>
      </c>
      <c r="BA138" s="5">
        <f t="shared" si="149"/>
        <v>0</v>
      </c>
      <c r="BB138" s="5">
        <f t="shared" si="150"/>
        <v>0</v>
      </c>
      <c r="BC138" s="5">
        <f t="shared" si="151"/>
        <v>0</v>
      </c>
    </row>
    <row r="139" spans="1:81" ht="15.75" thickBot="1" x14ac:dyDescent="0.3">
      <c r="A139" t="s">
        <v>134</v>
      </c>
      <c r="B139" s="4">
        <f>D138</f>
        <v>-34.000142991494869</v>
      </c>
      <c r="C139" s="4">
        <f>E138</f>
        <v>-33.999857007903756</v>
      </c>
      <c r="D139" s="4">
        <f t="shared" si="111"/>
        <v>-34.000142991494869</v>
      </c>
      <c r="E139" s="4">
        <f t="shared" si="111"/>
        <v>-33.999857007903756</v>
      </c>
      <c r="F139" s="4">
        <f t="shared" si="112"/>
        <v>-5.7142404036283088</v>
      </c>
      <c r="G139" s="4">
        <f t="shared" si="113"/>
        <v>-5.7142404036283088</v>
      </c>
      <c r="H139" s="4" t="str">
        <f t="shared" si="119"/>
        <v>V</v>
      </c>
      <c r="I139" s="4">
        <f t="shared" si="120"/>
        <v>0</v>
      </c>
      <c r="J139" s="4">
        <f t="shared" si="121"/>
        <v>0</v>
      </c>
      <c r="K139" s="4">
        <f t="shared" si="122"/>
        <v>0</v>
      </c>
      <c r="L139" s="4">
        <f t="shared" si="123"/>
        <v>0</v>
      </c>
      <c r="M139" s="4">
        <f t="shared" si="124"/>
        <v>0</v>
      </c>
      <c r="N139" s="4">
        <f t="shared" si="125"/>
        <v>0</v>
      </c>
      <c r="O139" s="4">
        <f>IF(G139&lt;0,IF($I$54="Linear",0,$B$66),IF($I$54="Linear",G139,$B$66))</f>
        <v>0</v>
      </c>
      <c r="P139" s="31">
        <f t="shared" si="127"/>
        <v>0</v>
      </c>
      <c r="Q139" s="31">
        <f t="shared" si="128"/>
        <v>0</v>
      </c>
      <c r="R139" s="31">
        <f t="shared" si="129"/>
        <v>0</v>
      </c>
      <c r="U139" t="e">
        <f t="shared" si="130"/>
        <v>#N/A</v>
      </c>
      <c r="V139" t="e">
        <f t="shared" si="131"/>
        <v>#N/A</v>
      </c>
      <c r="W139" s="9" t="str">
        <f t="shared" si="132"/>
        <v/>
      </c>
      <c r="X139" t="e">
        <f t="shared" si="133"/>
        <v>#N/A</v>
      </c>
      <c r="Y139" t="e">
        <f t="shared" si="134"/>
        <v>#N/A</v>
      </c>
      <c r="AA139" s="4" t="e">
        <f t="shared" si="135"/>
        <v>#N/A</v>
      </c>
      <c r="AB139" s="4" t="e">
        <f t="shared" si="136"/>
        <v>#N/A</v>
      </c>
      <c r="AD139" t="e">
        <f t="shared" si="137"/>
        <v>#N/A</v>
      </c>
      <c r="AE139" t="e">
        <f t="shared" si="138"/>
        <v>#N/A</v>
      </c>
      <c r="AF139" s="9" t="str">
        <f t="shared" si="139"/>
        <v/>
      </c>
      <c r="AG139" t="e">
        <f t="shared" si="140"/>
        <v>#N/A</v>
      </c>
      <c r="AH139" t="e">
        <f t="shared" si="141"/>
        <v>#N/A</v>
      </c>
      <c r="AI139" t="str">
        <f t="shared" si="142"/>
        <v/>
      </c>
      <c r="AJ139" t="e">
        <f t="shared" si="143"/>
        <v>#N/A</v>
      </c>
      <c r="AK139" t="e">
        <f t="shared" si="144"/>
        <v>#N/A</v>
      </c>
      <c r="AM139" s="4" t="e">
        <f t="shared" si="145"/>
        <v>#N/A</v>
      </c>
      <c r="AN139" s="4" t="e">
        <f t="shared" si="146"/>
        <v>#N/A</v>
      </c>
      <c r="AP139" s="5"/>
      <c r="AQ139" s="5"/>
      <c r="AR139" s="5"/>
      <c r="AS139" s="5">
        <f t="shared" si="114"/>
        <v>0</v>
      </c>
      <c r="AT139" s="5">
        <f t="shared" si="115"/>
        <v>0</v>
      </c>
      <c r="AU139" s="5">
        <f t="shared" si="116"/>
        <v>0</v>
      </c>
      <c r="AV139" s="5">
        <f t="shared" si="117"/>
        <v>0</v>
      </c>
      <c r="AW139" s="5">
        <v>1</v>
      </c>
      <c r="AX139" s="5">
        <v>1</v>
      </c>
      <c r="AY139" s="5">
        <f t="shared" si="147"/>
        <v>0</v>
      </c>
      <c r="AZ139" s="5">
        <f t="shared" si="148"/>
        <v>0</v>
      </c>
      <c r="BA139" s="5">
        <f t="shared" si="149"/>
        <v>0</v>
      </c>
      <c r="BB139" s="5">
        <f t="shared" si="150"/>
        <v>0</v>
      </c>
      <c r="BC139" s="5">
        <f t="shared" si="151"/>
        <v>0</v>
      </c>
    </row>
    <row r="140" spans="1:81" ht="15.75" thickTop="1" x14ac:dyDescent="0.25">
      <c r="P140" s="4">
        <f>SUM(P132:P139)</f>
        <v>959.74136093746392</v>
      </c>
      <c r="Q140" s="4">
        <f>SUM(Q132:Q139)</f>
        <v>27505.027543835124</v>
      </c>
      <c r="R140" s="4">
        <f>SUM(R132:R139)</f>
        <v>7.8453524836731958E-2</v>
      </c>
      <c r="T140" t="str">
        <f>ROUND(P140,4)&amp;" kips"</f>
        <v>959.7414 kips</v>
      </c>
      <c r="W140" s="9" t="str">
        <f t="shared" si="132"/>
        <v/>
      </c>
      <c r="AA140" s="4"/>
      <c r="AB140" s="4"/>
      <c r="AF140" s="9"/>
      <c r="AM140" s="4"/>
      <c r="AN140" s="4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f>SUM(AY132:AY139)</f>
        <v>1089.6065368692991</v>
      </c>
      <c r="AZ140" s="5">
        <f>SUM(AZ132:AZ139)</f>
        <v>28316.89868597639</v>
      </c>
      <c r="BA140" s="5">
        <f t="shared" ref="BA140" si="153">SUM(BA132:BA139)</f>
        <v>-8.8917009579745354E-3</v>
      </c>
      <c r="BB140" s="5">
        <f>SUM(BB132:BB139)</f>
        <v>759218.50171807059</v>
      </c>
      <c r="BC140" s="5">
        <f>SUM(BC132:BC139)</f>
        <v>419861.71886297647</v>
      </c>
    </row>
    <row r="141" spans="1:81" x14ac:dyDescent="0.25">
      <c r="W141" s="9" t="str">
        <f t="shared" si="132"/>
        <v/>
      </c>
      <c r="AA141" s="4"/>
      <c r="AB141" s="4"/>
      <c r="AF141" s="9"/>
      <c r="AM141" s="4"/>
      <c r="AN141" s="4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</row>
    <row r="142" spans="1:81" x14ac:dyDescent="0.25">
      <c r="O142" t="s">
        <v>96</v>
      </c>
      <c r="P142" s="1">
        <f>-1*R140/P140</f>
        <v>-8.1744444940978154E-5</v>
      </c>
      <c r="W142" s="9" t="str">
        <f t="shared" si="132"/>
        <v/>
      </c>
      <c r="AA142" s="4"/>
      <c r="AB142" s="4"/>
      <c r="AF142" s="9"/>
      <c r="AM142" s="4"/>
      <c r="AN142" s="4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</row>
    <row r="143" spans="1:81" x14ac:dyDescent="0.25">
      <c r="O143" t="s">
        <v>97</v>
      </c>
      <c r="P143" s="1">
        <f>Q140/P140</f>
        <v>28.658791486248482</v>
      </c>
      <c r="W143" s="9" t="str">
        <f t="shared" si="132"/>
        <v/>
      </c>
      <c r="AA143" s="4"/>
      <c r="AB143" s="4"/>
      <c r="AF143" s="9"/>
      <c r="AM143" s="4"/>
      <c r="AN143" s="4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</row>
    <row r="144" spans="1:81" x14ac:dyDescent="0.25">
      <c r="A144" t="s">
        <v>140</v>
      </c>
      <c r="P144" s="1"/>
      <c r="W144" s="9" t="str">
        <f t="shared" si="132"/>
        <v/>
      </c>
      <c r="AA144" s="4"/>
      <c r="AB144" s="4"/>
      <c r="AF144" s="9"/>
      <c r="AM144" s="4"/>
      <c r="AN144" s="4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</row>
    <row r="145" spans="1:55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30"/>
        <v>xi' (in)</v>
      </c>
      <c r="V145" t="str">
        <f t="shared" si="131"/>
        <v>yi' (in)</v>
      </c>
      <c r="W145" s="9"/>
      <c r="AA145" s="4"/>
      <c r="AB145" s="4"/>
      <c r="AF145" s="9"/>
      <c r="AM145" s="4"/>
      <c r="AN145" s="4"/>
      <c r="AS145" s="1" t="str">
        <f>J145</f>
        <v>xi' (in)</v>
      </c>
      <c r="AT145" s="1" t="str">
        <f t="shared" ref="AT145:AT153" si="154">K145</f>
        <v>yi' (in)</v>
      </c>
      <c r="AU145" s="1" t="str">
        <f t="shared" ref="AU145:AU153" si="155">L145</f>
        <v>xj' (in)</v>
      </c>
      <c r="AV145" s="1" t="str">
        <f t="shared" ref="AV145:AV153" si="156">M145</f>
        <v>yj' (in)</v>
      </c>
      <c r="AW145" s="1" t="str">
        <f t="shared" ref="AW145" si="157">N145</f>
        <v>σi' (ksi)</v>
      </c>
      <c r="AX145" s="1" t="str">
        <f t="shared" ref="AX145" si="158">O145</f>
        <v>σj' (ksi)</v>
      </c>
      <c r="AZ145" s="1" t="s">
        <v>240</v>
      </c>
      <c r="BA145" s="1" t="s">
        <v>241</v>
      </c>
      <c r="BB145" s="1" t="s">
        <v>242</v>
      </c>
      <c r="BC145" s="1" t="s">
        <v>243</v>
      </c>
    </row>
    <row r="146" spans="1:55" x14ac:dyDescent="0.25">
      <c r="A146" t="s">
        <v>69</v>
      </c>
      <c r="B146" s="9">
        <f>I84</f>
        <v>-28.999999999743533</v>
      </c>
      <c r="C146" s="9">
        <f>J84</f>
        <v>1.219635903243289E-4</v>
      </c>
      <c r="D146" s="9">
        <f t="shared" ref="D146:E153" si="159">I85</f>
        <v>-20.506013758943368</v>
      </c>
      <c r="E146">
        <f t="shared" si="159"/>
        <v>20.506086241114499</v>
      </c>
      <c r="F146" s="4">
        <f>($B$66/$B$65)*(C146-$B$125)</f>
        <v>-1.9763000396717685</v>
      </c>
      <c r="G146" s="4">
        <f>($B$66/$B$65)*(E146-$B$125)</f>
        <v>0.27811522449862119</v>
      </c>
      <c r="H146" s="4">
        <f>IF(B146=D146,"V",(C146-E146)/(B146-D146))</f>
        <v>2.4141744166037684</v>
      </c>
      <c r="I146" s="4">
        <f>IF(H146="V",0,(-1*B146*H146)+C146)</f>
        <v>70.011180044480454</v>
      </c>
      <c r="J146" s="4">
        <f>IF($F146&gt;=0,B146,IF(AND($F146&lt;0,$G146&gt;=0),IF(H146="V",B146,($B$125-I146)/H146),0))</f>
        <v>-21.553871679262077</v>
      </c>
      <c r="K146" s="4">
        <f>IF($F146&gt;=0,C146,IF(AND($F146&lt;0,$G146&gt;=0),$B$125,0))</f>
        <v>17.976374457645441</v>
      </c>
      <c r="L146" s="4">
        <f>IF($G146&gt;=0,D146,IF(AND($G146&lt;0,$F146&gt;=0),IF(H146="V",D146,($B$125-I146)/H146),0))</f>
        <v>-20.506013758943368</v>
      </c>
      <c r="M146" s="4">
        <f>IF($G146&gt;=0,E146,IF(AND($G146&lt;0,$F146&gt;=0),$B$125,0))</f>
        <v>20.506086241114499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0.27811522449862119</v>
      </c>
      <c r="P146" s="4">
        <f>(1/6)*(M146-K146)*((N146*((2*J146)+L146))+(O146*(J146+(2*L146))))</f>
        <v>-7.3363872509723249</v>
      </c>
      <c r="Q146" s="4">
        <f>((1/12)*(M146-K146)*(N146*J146*((3*K146)+M146)+N146*L146*(K146+M146)+O146*J146*(K146+M146)+O146*L146*(K146+(3*M146))))</f>
        <v>-144.20247016212954</v>
      </c>
      <c r="R146" s="4">
        <f>((-1/24)*(M146-K146)*(J146*J146*((3*N146)+O146)+2*J146*L146*(N146+O146)+L146*L146*(N146+(3*O146))))</f>
        <v>-76.512006754969647</v>
      </c>
      <c r="U146">
        <f t="shared" si="130"/>
        <v>-21.553871679262077</v>
      </c>
      <c r="V146">
        <f t="shared" si="131"/>
        <v>17.976374457645441</v>
      </c>
      <c r="W146" s="9" t="str">
        <f>IF($D$34=0,"",IF(AND(J146=0,K146=0,L146=0,M146=0),"",CHAR(10)&amp;CHAR(10)&amp;-1*ROUND(N146,4)&amp;" ksi"))</f>
        <v xml:space="preserve">
0 ksi</v>
      </c>
      <c r="X146">
        <f t="shared" ref="X146:X153" si="160">(U146*COS(-1*$B$64))+(V146*SIN(-1*$B$64))</f>
        <v>-21.55394728124973</v>
      </c>
      <c r="Y146">
        <f t="shared" ref="Y146:Y153" si="161">(-1*U146*SIN(-1*$B$64))+(V146*COS(-1*$B$64))</f>
        <v>17.976283809639039</v>
      </c>
      <c r="AA146" s="4">
        <f t="shared" ref="AA146:AA153" si="162">X146+$B$9</f>
        <v>12.44605271875027</v>
      </c>
      <c r="AB146" s="4">
        <f t="shared" ref="AB146:AB153" si="163">Y146+$C$9</f>
        <v>51.976283809639042</v>
      </c>
      <c r="AD146">
        <f t="shared" ref="AD146:AD153" si="164">IF(AND(J146=0,K146=0,L146=0,M146=0),NA(),L146)</f>
        <v>-20.506013758943368</v>
      </c>
      <c r="AE146">
        <f t="shared" ref="AE146:AE153" si="165">IF(AND(J146=0,K146=0,L146=0,M146=0),NA(),M146)</f>
        <v>20.506086241114499</v>
      </c>
      <c r="AF146" s="9" t="str">
        <f>IF(AND(J146=0,K146=0,L146=0,M146=0),"",CHAR(10)&amp;CHAR(10)&amp;-1*ROUND(O146,4)&amp;" ksi")</f>
        <v xml:space="preserve">
-0.2781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66">(AG146*COS(-1*$B$64))+(AH146*SIN(-1*$B$64))</f>
        <v>#N/A</v>
      </c>
      <c r="AK146" t="e">
        <f t="shared" ref="AK146:AK153" si="167">(-1*AG146*SIN(-1*$B$64))+(AH146*COS(-1*$B$64))</f>
        <v>#N/A</v>
      </c>
      <c r="AM146" s="4" t="e">
        <f t="shared" ref="AM146:AM153" si="168">AJ146+$B$9</f>
        <v>#N/A</v>
      </c>
      <c r="AN146" s="4" t="e">
        <f t="shared" ref="AN146:AN153" si="169">AK146+$C$9</f>
        <v>#N/A</v>
      </c>
      <c r="AS146" s="5">
        <f t="shared" ref="AS146:AS153" si="170">J146</f>
        <v>-21.553871679262077</v>
      </c>
      <c r="AT146" s="5">
        <f t="shared" si="154"/>
        <v>17.976374457645441</v>
      </c>
      <c r="AU146" s="5">
        <f t="shared" si="155"/>
        <v>-20.506013758943368</v>
      </c>
      <c r="AV146" s="5">
        <f t="shared" si="156"/>
        <v>20.506086241114499</v>
      </c>
      <c r="AW146" s="5">
        <v>1</v>
      </c>
      <c r="AX146" s="5">
        <v>1</v>
      </c>
      <c r="AY146" s="5">
        <f>(1/6)*(AV146-AT146)*((AW146*((2*AS146)+AU146))+(AX146*(AS146+(2*AU146))))</f>
        <v>-53.199693902193459</v>
      </c>
      <c r="AZ146" s="5">
        <f>((1/12)*(AV146-AT146)*(AW146*AS146*((3*AT146)+AV146)+AW146*AU146*(AT146+AV146)+AX146*AS146*(AT146+AV146)+AX146*AU146*(AT146+(3*AV146))))</f>
        <v>-1023.0687560820476</v>
      </c>
      <c r="BA146" s="5">
        <f>((-1/24)*(AV146-AT146)*(AS146*AS146*((3*AW146)+AX146)+2*AS146*AU146*(AW146+AX146)+AU146*AU146*(AW146+(3*AX146))))</f>
        <v>-559.50899268829801</v>
      </c>
      <c r="BB146" s="5">
        <f>((AV146-AT146)*((12*AX146*AU146*POWER(AV146,2))+(3*AW146*AU146*POWER(AV146,2))+(3*AX146*AS146*POWER(AV146,2))+(2*AW146*AS146*POWER(AV146,2))+(6*AX146*AU146*AT146*AV146)+(4*AW146*AU146*AT146*AV146)+(4*AX146*AS146*AT146*AV146)+(6*AW146*AS146*AT146*AV146)+(2*AX146*AU146*POWER(AT146,2))+(3*AW146*AU146*POWER(AT146,2))+(3*AX146*AS146*POWER(AT146,2))+(12*AW146*AS146*POWER(AT146,2))))/60</f>
        <v>-19702.720125058313</v>
      </c>
      <c r="BC146" s="5">
        <f>(((4*AX146*POWER(AU146,3))+(AW146*POWER(AU146,3))+(15*AX146*AS146*POWER(AU146,2))+(5*AW146*AS146*POWER(AU146,2))+(-12*AS146*AX146*POWER(AU146,2))+(-3*AS146*AW146*POWER(AU146,2))+(20*AX146*POWER(AS146,2)*AU146)+(10*AW146*POWER(AS146,2)*AU146)+(-30*AS146*AX146*AS146*AU146)+(-10*AS146*AW146*AS146*AU146)+(12*POWER(AS146,2)*AX146*AU146)+(3*POWER(AS146,2)*AW146*AU146)+(10*AX146*POWER(AS146,3))+(10*AW146*POWER(AS146,3))+(-20*POWER(AS146,3)*AX146)+(-10*POWER(AS146,3)*AW146)+(15*POWER(AS146,3)*AX146)+(5*POWER(AS146,3)*AW146)+(-4*POWER(AS146,3)*AX146)+(-1*POWER(AS146,3)*AW146))*(AV146-AT146))/60</f>
        <v>-7847.5399110867993</v>
      </c>
    </row>
    <row r="147" spans="1:55" x14ac:dyDescent="0.25">
      <c r="A147" t="s">
        <v>70</v>
      </c>
      <c r="B147" s="9">
        <f t="shared" ref="B147:C153" si="171">D146</f>
        <v>-20.506013758943368</v>
      </c>
      <c r="C147">
        <f t="shared" si="171"/>
        <v>20.506086241114499</v>
      </c>
      <c r="D147" s="9">
        <f t="shared" si="159"/>
        <v>1.219635903243289E-4</v>
      </c>
      <c r="E147">
        <f t="shared" si="159"/>
        <v>28.999999999743533</v>
      </c>
      <c r="F147" s="4">
        <f t="shared" ref="F147:F153" si="172">($B$66/$B$65)*(C147-$B$125)</f>
        <v>0.27811522449862119</v>
      </c>
      <c r="G147" s="4">
        <f t="shared" ref="G147:G153" si="173">($B$66/$B$65)*(E147-$B$125)</f>
        <v>1.21193177517839</v>
      </c>
      <c r="H147" s="4">
        <f t="shared" ref="H147:H153" si="174">IF(B147=D147,"V",(C147-E147)/(B147-D147))</f>
        <v>0.41421328101789945</v>
      </c>
      <c r="I147" s="4">
        <f t="shared" ref="I147:I153" si="175">IF(H147="V",0,(-1*B147*H147)+C147)</f>
        <v>28.99994948080462</v>
      </c>
      <c r="J147" s="4">
        <f t="shared" ref="J147:J153" si="176">IF($F147&gt;=0,B147,IF(AND($F147&lt;0,$G147&gt;=0),IF(H147="V",B147,($B$125-I147)/H147),0))</f>
        <v>-20.506013758943368</v>
      </c>
      <c r="K147" s="4">
        <f t="shared" ref="K147:K153" si="177">IF($F147&gt;=0,C147,IF(AND($F147&lt;0,$G147&gt;=0),$B$125,0))</f>
        <v>20.506086241114499</v>
      </c>
      <c r="L147" s="4">
        <f t="shared" ref="L147:L153" si="178">IF($G147&gt;=0,D147,IF(AND($G147&lt;0,$F147&gt;=0),IF(H147="V",D147,($B$125-I147)/H147),0))</f>
        <v>1.219635903243289E-4</v>
      </c>
      <c r="M147" s="4">
        <f t="shared" ref="M147:M153" si="179">IF($G147&gt;=0,E147,IF(AND($G147&lt;0,$F147&gt;=0),$B$125,0))</f>
        <v>28.999999999743533</v>
      </c>
      <c r="N147" s="4">
        <f t="shared" ref="N147:N153" si="180">IF(F147&lt;0,IF($I$54="Linear",0,$B$66),IF($I$54="Linear",F147,$B$66))</f>
        <v>0.27811522449862119</v>
      </c>
      <c r="O147" s="4">
        <f t="shared" ref="O147:O153" si="181">IF(G147&lt;0,IF($I$54="Linear",0,$B$66),IF($I$54="Linear",G147,$B$66))</f>
        <v>1.21193177517839</v>
      </c>
      <c r="P147" s="4">
        <f t="shared" ref="P147:P153" si="182">(1/6)*(M147-K147)*((N147*((2*J147)+L147))+(O147*(J147+(2*L147))))</f>
        <v>-51.328196137474642</v>
      </c>
      <c r="Q147" s="4">
        <f t="shared" ref="Q147:Q153" si="183">((1/12)*(M147-K147)*(N147*J147*((3*K147)+M147)+N147*L147*(K147+M147)+O147*J147*(K147+M147)+O147*L147*(K147+(3*M147))))</f>
        <v>-1236.2402976275644</v>
      </c>
      <c r="R147" s="4">
        <f t="shared" ref="R147:R153" si="184">((-1/24)*(M147-K147)*(J147*J147*((3*N147)+O147)+2*J147*L147*(N147+O147)+L147*L147*(N147+(3*O147))))</f>
        <v>-304.52282539092403</v>
      </c>
      <c r="U147">
        <f t="shared" si="130"/>
        <v>-20.506013758943368</v>
      </c>
      <c r="V147">
        <f t="shared" si="131"/>
        <v>20.506086241114499</v>
      </c>
      <c r="W147" s="9" t="str">
        <f t="shared" ref="W147:W153" si="185">IF($D$34=0,"",IF(AND(J147=0,K147=0,L147=0,M147=0),"",CHAR(10)&amp;CHAR(10)&amp;-1*ROUND(N147,4)&amp;" ksi"))</f>
        <v xml:space="preserve">
-0.2781 ksi</v>
      </c>
      <c r="X147">
        <f t="shared" si="160"/>
        <v>-20.5061</v>
      </c>
      <c r="Y147">
        <f t="shared" si="161"/>
        <v>20.506000000000004</v>
      </c>
      <c r="AA147" s="4">
        <f t="shared" si="162"/>
        <v>13.4939</v>
      </c>
      <c r="AB147" s="4">
        <f t="shared" si="163"/>
        <v>54.506</v>
      </c>
      <c r="AD147">
        <f t="shared" si="164"/>
        <v>1.219635903243289E-4</v>
      </c>
      <c r="AE147">
        <f t="shared" si="165"/>
        <v>28.999999999743533</v>
      </c>
      <c r="AF147" s="9" t="str">
        <f t="shared" ref="AF147:AF153" si="186">IF(AND(J147=0,K147=0,L147=0,M147=0),"",CHAR(10)&amp;CHAR(10)&amp;-1*ROUND(O147,4)&amp;" ksi")</f>
        <v xml:space="preserve">
-1.2119 ksi</v>
      </c>
      <c r="AG147" t="e">
        <f t="shared" ref="AG147:AG153" si="187">IF(COUNTIF($U$146:$U$153,AD147)&gt;0,NA(),AD147)</f>
        <v>#N/A</v>
      </c>
      <c r="AH147" t="e">
        <f t="shared" ref="AH147:AH153" si="188">IF(AND(COUNTIF($V$146:$V$153,AE147)&gt;0,AF147&lt;&gt;CHAR(10)&amp;CHAR(10)&amp;"0 ksi"),NA(),AE147)</f>
        <v>#N/A</v>
      </c>
      <c r="AI147" t="str">
        <f t="shared" ref="AI147:AI153" si="189">IF(COUNTIF($U$146:$U$153,AD147)&gt;0,"",AF147)</f>
        <v/>
      </c>
      <c r="AJ147" t="e">
        <f t="shared" si="166"/>
        <v>#N/A</v>
      </c>
      <c r="AK147" t="e">
        <f t="shared" si="167"/>
        <v>#N/A</v>
      </c>
      <c r="AM147" s="4" t="e">
        <f t="shared" si="168"/>
        <v>#N/A</v>
      </c>
      <c r="AN147" s="4" t="e">
        <f t="shared" si="169"/>
        <v>#N/A</v>
      </c>
      <c r="AS147" s="5">
        <f t="shared" si="170"/>
        <v>-20.506013758943368</v>
      </c>
      <c r="AT147" s="5">
        <f t="shared" si="154"/>
        <v>20.506086241114499</v>
      </c>
      <c r="AU147" s="5">
        <f t="shared" si="155"/>
        <v>1.219635903243289E-4</v>
      </c>
      <c r="AV147" s="5">
        <f t="shared" si="156"/>
        <v>28.999999999743533</v>
      </c>
      <c r="AW147" s="5">
        <v>1</v>
      </c>
      <c r="AX147" s="5">
        <v>1</v>
      </c>
      <c r="AY147" s="5">
        <f t="shared" ref="AY147:AY153" si="190">(1/6)*(AV147-AT147)*((AW147*((2*AS147)+AU147))+(AX147*(AS147+(2*AU147))))</f>
        <v>-87.087638226753725</v>
      </c>
      <c r="AZ147" s="5">
        <f t="shared" ref="AZ147:AZ153" si="191">((1/12)*(AV147-AT147)*(AW147*AS147*((3*AT147)+AV147)+AW147*AU147*(AT147+AV147)+AX147*AS147*(AT147+AV147)+AX147*AU147*(AT147+(3*AV147))))</f>
        <v>-2032.3967829838982</v>
      </c>
      <c r="BA147" s="5">
        <f t="shared" ref="BA147:BA153" si="192">((-1/24)*(AV147-AT147)*(AS147*AS147*((3*AW147)+AX147)+2*AS147*AU147*(AW147+AX147)+AU147*AU147*(AW147+(3*AX147))))</f>
        <v>-595.27343592495606</v>
      </c>
      <c r="BB147" s="5">
        <f t="shared" ref="BB147:BB153" si="193">((AV147-AT147)*((12*AX147*AU147*POWER(AV147,2))+(3*AW147*AU147*POWER(AV147,2))+(3*AX147*AS147*POWER(AV147,2))+(2*AW147*AS147*POWER(AV147,2))+(6*AX147*AU147*AT147*AV147)+(4*AW147*AU147*AT147*AV147)+(4*AX147*AS147*AT147*AV147)+(6*AW147*AS147*AT147*AV147)+(2*AX147*AU147*POWER(AT147,2))+(3*AW147*AU147*POWER(AT147,2))+(3*AX147*AS147*POWER(AT147,2))+(12*AW147*AS147*POWER(AT147,2))))/60</f>
        <v>-47779.85935592388</v>
      </c>
      <c r="BC147" s="5">
        <f t="shared" ref="BC147:BC153" si="194">(((4*AX147*POWER(AU147,3))+(AW147*POWER(AU147,3))+(15*AX147*AS147*POWER(AU147,2))+(5*AW147*AS147*POWER(AU147,2))+(-12*AS147*AX147*POWER(AU147,2))+(-3*AS147*AW147*POWER(AU147,2))+(20*AX147*POWER(AS147,2)*AU147)+(10*AW147*POWER(AS147,2)*AU147)+(-30*AS147*AX147*AS147*AU147)+(-10*AS147*AW147*AS147*AU147)+(12*POWER(AS147,2)*AX147*AU147)+(3*POWER(AS147,2)*AW147*AU147)+(10*AX147*POWER(AS147,3))+(10*AW147*POWER(AS147,3))+(-20*POWER(AS147,3)*AX147)+(-10*POWER(AS147,3)*AW147)+(15*POWER(AS147,3)*AX147)+(5*POWER(AS147,3)*AW147)+(-4*POWER(AS147,3)*AX147)+(-1*POWER(AS147,3)*AW147))*(AV147-AT147))/60</f>
        <v>-6103.3426337053206</v>
      </c>
    </row>
    <row r="148" spans="1:55" x14ac:dyDescent="0.25">
      <c r="A148" t="s">
        <v>71</v>
      </c>
      <c r="B148" s="9">
        <f t="shared" si="171"/>
        <v>1.219635903243289E-4</v>
      </c>
      <c r="C148">
        <f t="shared" si="171"/>
        <v>28.999999999743533</v>
      </c>
      <c r="D148" s="9">
        <f t="shared" si="159"/>
        <v>20.506086240693936</v>
      </c>
      <c r="E148">
        <f t="shared" si="159"/>
        <v>20.505913758943368</v>
      </c>
      <c r="F148" s="4">
        <f t="shared" si="172"/>
        <v>1.21193177517839</v>
      </c>
      <c r="G148" s="4">
        <f t="shared" si="173"/>
        <v>0.2780962618966128</v>
      </c>
      <c r="H148" s="4">
        <f t="shared" si="174"/>
        <v>-0.41422515547266531</v>
      </c>
      <c r="I148" s="4">
        <f t="shared" si="175"/>
        <v>29.000050520130696</v>
      </c>
      <c r="J148" s="4">
        <f t="shared" si="176"/>
        <v>1.219635903243289E-4</v>
      </c>
      <c r="K148" s="4">
        <f t="shared" si="177"/>
        <v>28.999999999743533</v>
      </c>
      <c r="L148" s="4">
        <f t="shared" si="178"/>
        <v>20.506086240693936</v>
      </c>
      <c r="M148" s="4">
        <f t="shared" si="179"/>
        <v>20.505913758943368</v>
      </c>
      <c r="N148" s="4">
        <f t="shared" si="180"/>
        <v>1.21193177517839</v>
      </c>
      <c r="O148" s="4">
        <f t="shared" si="181"/>
        <v>0.2780962618966128</v>
      </c>
      <c r="P148" s="4">
        <f t="shared" si="182"/>
        <v>-51.329251950304375</v>
      </c>
      <c r="Q148" s="4">
        <f t="shared" si="183"/>
        <v>-1236.2646070879434</v>
      </c>
      <c r="R148" s="4">
        <f t="shared" si="184"/>
        <v>304.52797144046053</v>
      </c>
      <c r="U148">
        <f t="shared" si="130"/>
        <v>1.219635903243289E-4</v>
      </c>
      <c r="V148">
        <f t="shared" si="131"/>
        <v>28.999999999743533</v>
      </c>
      <c r="W148" s="9" t="str">
        <f t="shared" si="185"/>
        <v xml:space="preserve">
-1.2119 ksi</v>
      </c>
      <c r="X148">
        <f t="shared" si="160"/>
        <v>0</v>
      </c>
      <c r="Y148">
        <f t="shared" si="161"/>
        <v>29</v>
      </c>
      <c r="AA148" s="4">
        <f t="shared" si="162"/>
        <v>34</v>
      </c>
      <c r="AB148" s="4">
        <f t="shared" si="163"/>
        <v>63</v>
      </c>
      <c r="AD148">
        <f t="shared" si="164"/>
        <v>20.506086240693936</v>
      </c>
      <c r="AE148">
        <f t="shared" si="165"/>
        <v>20.505913758943368</v>
      </c>
      <c r="AF148" s="9" t="str">
        <f t="shared" si="186"/>
        <v xml:space="preserve">
-0.2781 ksi</v>
      </c>
      <c r="AG148" t="e">
        <f t="shared" si="187"/>
        <v>#N/A</v>
      </c>
      <c r="AH148" t="e">
        <f t="shared" si="188"/>
        <v>#N/A</v>
      </c>
      <c r="AI148" t="str">
        <f t="shared" si="189"/>
        <v/>
      </c>
      <c r="AJ148" t="e">
        <f t="shared" si="166"/>
        <v>#N/A</v>
      </c>
      <c r="AK148" t="e">
        <f t="shared" si="167"/>
        <v>#N/A</v>
      </c>
      <c r="AM148" s="4" t="e">
        <f t="shared" si="168"/>
        <v>#N/A</v>
      </c>
      <c r="AN148" s="4" t="e">
        <f t="shared" si="169"/>
        <v>#N/A</v>
      </c>
      <c r="AS148" s="5">
        <f t="shared" si="170"/>
        <v>1.219635903243289E-4</v>
      </c>
      <c r="AT148" s="5">
        <f t="shared" si="154"/>
        <v>28.999999999743533</v>
      </c>
      <c r="AU148" s="5">
        <f t="shared" si="155"/>
        <v>20.506086240693936</v>
      </c>
      <c r="AV148" s="5">
        <f t="shared" si="156"/>
        <v>20.505913758943368</v>
      </c>
      <c r="AW148" s="5">
        <v>1</v>
      </c>
      <c r="AX148" s="5">
        <v>1</v>
      </c>
      <c r="AY148" s="5">
        <f t="shared" si="190"/>
        <v>-87.090750479497189</v>
      </c>
      <c r="AZ148" s="5">
        <f t="shared" si="191"/>
        <v>-2032.4623335858762</v>
      </c>
      <c r="BA148" s="5">
        <f t="shared" si="192"/>
        <v>595.29681338750049</v>
      </c>
      <c r="BB148" s="5">
        <f t="shared" si="193"/>
        <v>-47781.258834818676</v>
      </c>
      <c r="BC148" s="5">
        <f t="shared" si="194"/>
        <v>-6103.6038970671843</v>
      </c>
    </row>
    <row r="149" spans="1:55" x14ac:dyDescent="0.25">
      <c r="A149" t="s">
        <v>72</v>
      </c>
      <c r="B149" s="9">
        <f t="shared" si="171"/>
        <v>20.506086240693936</v>
      </c>
      <c r="C149">
        <f t="shared" si="171"/>
        <v>20.505913758943368</v>
      </c>
      <c r="D149" s="9">
        <f t="shared" si="159"/>
        <v>28.999999999743533</v>
      </c>
      <c r="E149">
        <f t="shared" si="159"/>
        <v>-1.219635903243289E-4</v>
      </c>
      <c r="F149" s="4">
        <f t="shared" si="172"/>
        <v>0.2780962618966128</v>
      </c>
      <c r="G149" s="4">
        <f t="shared" si="173"/>
        <v>-1.9763268569017196</v>
      </c>
      <c r="H149" s="4">
        <f t="shared" si="174"/>
        <v>-2.4142034289771455</v>
      </c>
      <c r="I149" s="4">
        <f t="shared" si="175"/>
        <v>70.011777476127733</v>
      </c>
      <c r="J149" s="4">
        <f t="shared" si="176"/>
        <v>20.506086240693936</v>
      </c>
      <c r="K149" s="4">
        <f t="shared" si="177"/>
        <v>20.505913758943368</v>
      </c>
      <c r="L149" s="4">
        <f t="shared" si="178"/>
        <v>21.553860123762956</v>
      </c>
      <c r="M149" s="4">
        <f t="shared" si="179"/>
        <v>17.976374457645441</v>
      </c>
      <c r="N149" s="4">
        <f t="shared" si="180"/>
        <v>0.2780962618966128</v>
      </c>
      <c r="O149" s="4">
        <f t="shared" si="181"/>
        <v>0</v>
      </c>
      <c r="P149" s="4">
        <f t="shared" si="182"/>
        <v>-7.3354024991625257</v>
      </c>
      <c r="Q149" s="4">
        <f t="shared" si="183"/>
        <v>-144.18227840147466</v>
      </c>
      <c r="R149" s="4">
        <f t="shared" si="184"/>
        <v>76.501898024439456</v>
      </c>
      <c r="U149">
        <f t="shared" si="130"/>
        <v>20.506086240693936</v>
      </c>
      <c r="V149">
        <f t="shared" si="131"/>
        <v>20.505913758943368</v>
      </c>
      <c r="W149" s="9" t="str">
        <f t="shared" si="185"/>
        <v xml:space="preserve">
-0.2781 ksi</v>
      </c>
      <c r="X149">
        <f t="shared" si="160"/>
        <v>20.506000000000004</v>
      </c>
      <c r="Y149">
        <f t="shared" si="161"/>
        <v>20.506</v>
      </c>
      <c r="AA149" s="4">
        <f t="shared" si="162"/>
        <v>54.506</v>
      </c>
      <c r="AB149" s="4">
        <f t="shared" si="163"/>
        <v>54.506</v>
      </c>
      <c r="AD149">
        <f t="shared" si="164"/>
        <v>21.553860123762956</v>
      </c>
      <c r="AE149">
        <f t="shared" si="165"/>
        <v>17.976374457645441</v>
      </c>
      <c r="AF149" s="9" t="str">
        <f t="shared" si="186"/>
        <v xml:space="preserve">
0 ksi</v>
      </c>
      <c r="AG149">
        <f t="shared" si="187"/>
        <v>21.553860123762956</v>
      </c>
      <c r="AH149">
        <f t="shared" si="188"/>
        <v>17.976374457645441</v>
      </c>
      <c r="AI149" t="str">
        <f t="shared" si="189"/>
        <v xml:space="preserve">
0 ksi</v>
      </c>
      <c r="AJ149">
        <f t="shared" si="166"/>
        <v>21.553784521394068</v>
      </c>
      <c r="AK149">
        <f t="shared" si="167"/>
        <v>17.976465105285293</v>
      </c>
      <c r="AM149" s="4">
        <f t="shared" si="168"/>
        <v>55.553784521394064</v>
      </c>
      <c r="AN149" s="4">
        <f t="shared" si="169"/>
        <v>51.976465105285293</v>
      </c>
      <c r="AS149" s="5">
        <f t="shared" si="170"/>
        <v>20.506086240693936</v>
      </c>
      <c r="AT149" s="5">
        <f t="shared" si="154"/>
        <v>20.505913758943368</v>
      </c>
      <c r="AU149" s="5">
        <f t="shared" si="155"/>
        <v>21.553860123762956</v>
      </c>
      <c r="AV149" s="5">
        <f t="shared" si="156"/>
        <v>17.976374457645441</v>
      </c>
      <c r="AW149" s="5">
        <f t="shared" ref="AW149" si="195">IF(N149=0,0,1)</f>
        <v>1</v>
      </c>
      <c r="AX149" s="5">
        <v>1</v>
      </c>
      <c r="AY149" s="5">
        <f t="shared" si="190"/>
        <v>-53.196143669688276</v>
      </c>
      <c r="AZ149" s="5">
        <f t="shared" si="191"/>
        <v>-1022.9959785566974</v>
      </c>
      <c r="BA149" s="5">
        <f t="shared" si="192"/>
        <v>559.47244590282037</v>
      </c>
      <c r="BB149" s="5">
        <f t="shared" si="193"/>
        <v>-19701.228186519726</v>
      </c>
      <c r="BC149" s="5">
        <f t="shared" si="194"/>
        <v>-7847.0381517024198</v>
      </c>
    </row>
    <row r="150" spans="1:55" x14ac:dyDescent="0.25">
      <c r="A150" t="s">
        <v>73</v>
      </c>
      <c r="B150" s="9">
        <f t="shared" si="171"/>
        <v>28.999999999743533</v>
      </c>
      <c r="C150">
        <f t="shared" si="171"/>
        <v>-1.219635903243289E-4</v>
      </c>
      <c r="D150" s="9">
        <f t="shared" si="159"/>
        <v>20.505913758522805</v>
      </c>
      <c r="E150">
        <f t="shared" si="159"/>
        <v>-20.506186240693935</v>
      </c>
      <c r="F150" s="4">
        <f t="shared" si="172"/>
        <v>-1.9763268569017196</v>
      </c>
      <c r="G150" s="4">
        <f t="shared" si="173"/>
        <v>-4.2307531149749193</v>
      </c>
      <c r="H150" s="4">
        <f t="shared" si="174"/>
        <v>2.4141577675053818</v>
      </c>
      <c r="I150" s="4">
        <f t="shared" si="175"/>
        <v>-70.01069722062725</v>
      </c>
      <c r="J150" s="4">
        <f t="shared" si="176"/>
        <v>0</v>
      </c>
      <c r="K150" s="4">
        <f t="shared" si="177"/>
        <v>0</v>
      </c>
      <c r="L150" s="4">
        <f t="shared" si="178"/>
        <v>0</v>
      </c>
      <c r="M150" s="4">
        <f t="shared" si="179"/>
        <v>0</v>
      </c>
      <c r="N150" s="4">
        <f t="shared" si="180"/>
        <v>0</v>
      </c>
      <c r="O150" s="4">
        <f t="shared" si="181"/>
        <v>0</v>
      </c>
      <c r="P150" s="4">
        <f t="shared" si="182"/>
        <v>0</v>
      </c>
      <c r="Q150" s="4">
        <f t="shared" si="183"/>
        <v>0</v>
      </c>
      <c r="R150" s="4">
        <f t="shared" si="184"/>
        <v>0</v>
      </c>
      <c r="U150" t="e">
        <f t="shared" si="130"/>
        <v>#N/A</v>
      </c>
      <c r="V150" t="e">
        <f t="shared" si="131"/>
        <v>#N/A</v>
      </c>
      <c r="W150" s="9" t="str">
        <f t="shared" si="185"/>
        <v/>
      </c>
      <c r="X150" t="e">
        <f t="shared" si="160"/>
        <v>#N/A</v>
      </c>
      <c r="Y150" t="e">
        <f t="shared" si="161"/>
        <v>#N/A</v>
      </c>
      <c r="AA150" s="4" t="e">
        <f t="shared" si="162"/>
        <v>#N/A</v>
      </c>
      <c r="AB150" s="4" t="e">
        <f t="shared" si="163"/>
        <v>#N/A</v>
      </c>
      <c r="AD150" t="e">
        <f t="shared" si="164"/>
        <v>#N/A</v>
      </c>
      <c r="AE150" t="e">
        <f t="shared" si="165"/>
        <v>#N/A</v>
      </c>
      <c r="AF150" s="9" t="str">
        <f t="shared" si="186"/>
        <v/>
      </c>
      <c r="AG150" t="e">
        <f t="shared" si="187"/>
        <v>#N/A</v>
      </c>
      <c r="AH150" t="e">
        <f t="shared" si="188"/>
        <v>#N/A</v>
      </c>
      <c r="AI150" t="str">
        <f t="shared" si="189"/>
        <v/>
      </c>
      <c r="AJ150" t="e">
        <f t="shared" si="166"/>
        <v>#N/A</v>
      </c>
      <c r="AK150" t="e">
        <f t="shared" si="167"/>
        <v>#N/A</v>
      </c>
      <c r="AM150" s="4" t="e">
        <f t="shared" si="168"/>
        <v>#N/A</v>
      </c>
      <c r="AN150" s="4" t="e">
        <f t="shared" si="169"/>
        <v>#N/A</v>
      </c>
      <c r="AS150" s="5">
        <f t="shared" si="170"/>
        <v>0</v>
      </c>
      <c r="AT150" s="5">
        <f t="shared" si="154"/>
        <v>0</v>
      </c>
      <c r="AU150" s="5">
        <f t="shared" si="155"/>
        <v>0</v>
      </c>
      <c r="AV150" s="5">
        <f t="shared" si="156"/>
        <v>0</v>
      </c>
      <c r="AW150" s="5">
        <v>1</v>
      </c>
      <c r="AX150" s="5">
        <v>1</v>
      </c>
      <c r="AY150" s="5">
        <f t="shared" si="190"/>
        <v>0</v>
      </c>
      <c r="AZ150" s="5">
        <f t="shared" si="191"/>
        <v>0</v>
      </c>
      <c r="BA150" s="5">
        <f t="shared" si="192"/>
        <v>0</v>
      </c>
      <c r="BB150" s="5">
        <f t="shared" si="193"/>
        <v>0</v>
      </c>
      <c r="BC150" s="5">
        <f t="shared" si="194"/>
        <v>0</v>
      </c>
    </row>
    <row r="151" spans="1:55" x14ac:dyDescent="0.25">
      <c r="A151" t="s">
        <v>74</v>
      </c>
      <c r="B151" s="9">
        <f t="shared" si="171"/>
        <v>20.505913758522805</v>
      </c>
      <c r="C151">
        <f t="shared" si="171"/>
        <v>-20.506186240693935</v>
      </c>
      <c r="D151" s="9">
        <f t="shared" si="159"/>
        <v>-1.219635903243289E-4</v>
      </c>
      <c r="E151">
        <f t="shared" si="159"/>
        <v>-28.999999999743533</v>
      </c>
      <c r="F151" s="4">
        <f t="shared" si="172"/>
        <v>-4.2307531149749193</v>
      </c>
      <c r="G151" s="4">
        <f t="shared" si="173"/>
        <v>-5.1645586717518777</v>
      </c>
      <c r="H151" s="4">
        <f t="shared" si="174"/>
        <v>0.41421042439178574</v>
      </c>
      <c r="I151" s="4">
        <f t="shared" si="175"/>
        <v>-28.999949481153024</v>
      </c>
      <c r="J151" s="4">
        <f t="shared" si="176"/>
        <v>0</v>
      </c>
      <c r="K151" s="4">
        <f t="shared" si="177"/>
        <v>0</v>
      </c>
      <c r="L151" s="4">
        <f t="shared" si="178"/>
        <v>0</v>
      </c>
      <c r="M151" s="4">
        <f t="shared" si="179"/>
        <v>0</v>
      </c>
      <c r="N151" s="4">
        <f t="shared" si="180"/>
        <v>0</v>
      </c>
      <c r="O151" s="4">
        <f t="shared" si="181"/>
        <v>0</v>
      </c>
      <c r="P151" s="4">
        <f t="shared" si="182"/>
        <v>0</v>
      </c>
      <c r="Q151" s="4">
        <f t="shared" si="183"/>
        <v>0</v>
      </c>
      <c r="R151" s="4">
        <f t="shared" si="184"/>
        <v>0</v>
      </c>
      <c r="U151" t="e">
        <f t="shared" si="130"/>
        <v>#N/A</v>
      </c>
      <c r="V151" t="e">
        <f t="shared" si="131"/>
        <v>#N/A</v>
      </c>
      <c r="W151" s="9" t="str">
        <f t="shared" si="185"/>
        <v/>
      </c>
      <c r="X151" t="e">
        <f t="shared" si="160"/>
        <v>#N/A</v>
      </c>
      <c r="Y151" t="e">
        <f t="shared" si="161"/>
        <v>#N/A</v>
      </c>
      <c r="AA151" s="4" t="e">
        <f t="shared" si="162"/>
        <v>#N/A</v>
      </c>
      <c r="AB151" s="4" t="e">
        <f t="shared" si="163"/>
        <v>#N/A</v>
      </c>
      <c r="AD151" t="e">
        <f t="shared" si="164"/>
        <v>#N/A</v>
      </c>
      <c r="AE151" t="e">
        <f t="shared" si="165"/>
        <v>#N/A</v>
      </c>
      <c r="AF151" s="9" t="str">
        <f t="shared" si="186"/>
        <v/>
      </c>
      <c r="AG151" t="e">
        <f t="shared" si="187"/>
        <v>#N/A</v>
      </c>
      <c r="AH151" t="e">
        <f t="shared" si="188"/>
        <v>#N/A</v>
      </c>
      <c r="AI151" t="str">
        <f t="shared" si="189"/>
        <v/>
      </c>
      <c r="AJ151" t="e">
        <f t="shared" si="166"/>
        <v>#N/A</v>
      </c>
      <c r="AK151" t="e">
        <f t="shared" si="167"/>
        <v>#N/A</v>
      </c>
      <c r="AM151" s="4" t="e">
        <f t="shared" si="168"/>
        <v>#N/A</v>
      </c>
      <c r="AN151" s="4" t="e">
        <f t="shared" si="169"/>
        <v>#N/A</v>
      </c>
      <c r="AS151" s="5">
        <f t="shared" si="170"/>
        <v>0</v>
      </c>
      <c r="AT151" s="5">
        <f t="shared" si="154"/>
        <v>0</v>
      </c>
      <c r="AU151" s="5">
        <f t="shared" si="155"/>
        <v>0</v>
      </c>
      <c r="AV151" s="5">
        <f t="shared" si="156"/>
        <v>0</v>
      </c>
      <c r="AW151" s="5">
        <v>1</v>
      </c>
      <c r="AX151" s="5">
        <v>1</v>
      </c>
      <c r="AY151" s="5">
        <f t="shared" si="190"/>
        <v>0</v>
      </c>
      <c r="AZ151" s="5">
        <f t="shared" si="191"/>
        <v>0</v>
      </c>
      <c r="BA151" s="5">
        <f t="shared" si="192"/>
        <v>0</v>
      </c>
      <c r="BB151" s="5">
        <f t="shared" si="193"/>
        <v>0</v>
      </c>
      <c r="BC151" s="5">
        <f t="shared" si="194"/>
        <v>0</v>
      </c>
    </row>
    <row r="152" spans="1:55" x14ac:dyDescent="0.25">
      <c r="A152" t="s">
        <v>75</v>
      </c>
      <c r="B152" s="9">
        <f t="shared" si="171"/>
        <v>-1.219635903243289E-4</v>
      </c>
      <c r="C152">
        <f t="shared" si="171"/>
        <v>-28.999999999743533</v>
      </c>
      <c r="D152" s="9">
        <f t="shared" si="159"/>
        <v>-20.506186241114499</v>
      </c>
      <c r="E152">
        <f t="shared" si="159"/>
        <v>-20.506013758522805</v>
      </c>
      <c r="F152" s="4">
        <f t="shared" si="172"/>
        <v>-5.1645586717518777</v>
      </c>
      <c r="G152" s="4">
        <f t="shared" si="173"/>
        <v>-4.2307341523729107</v>
      </c>
      <c r="H152" s="4">
        <f t="shared" si="174"/>
        <v>-0.4142182588655311</v>
      </c>
      <c r="I152" s="4">
        <f t="shared" si="175"/>
        <v>-29.000050519289562</v>
      </c>
      <c r="J152" s="4">
        <f t="shared" si="176"/>
        <v>0</v>
      </c>
      <c r="K152" s="4">
        <f t="shared" si="177"/>
        <v>0</v>
      </c>
      <c r="L152" s="4">
        <f t="shared" si="178"/>
        <v>0</v>
      </c>
      <c r="M152" s="4">
        <f t="shared" si="179"/>
        <v>0</v>
      </c>
      <c r="N152" s="4">
        <f t="shared" si="180"/>
        <v>0</v>
      </c>
      <c r="O152" s="4">
        <f t="shared" si="181"/>
        <v>0</v>
      </c>
      <c r="P152" s="4">
        <f t="shared" si="182"/>
        <v>0</v>
      </c>
      <c r="Q152" s="4">
        <f t="shared" si="183"/>
        <v>0</v>
      </c>
      <c r="R152" s="4">
        <f t="shared" si="184"/>
        <v>0</v>
      </c>
      <c r="U152" t="e">
        <f t="shared" si="130"/>
        <v>#N/A</v>
      </c>
      <c r="V152" t="e">
        <f t="shared" si="131"/>
        <v>#N/A</v>
      </c>
      <c r="W152" s="9" t="str">
        <f t="shared" si="185"/>
        <v/>
      </c>
      <c r="X152" t="e">
        <f t="shared" si="160"/>
        <v>#N/A</v>
      </c>
      <c r="Y152" t="e">
        <f t="shared" si="161"/>
        <v>#N/A</v>
      </c>
      <c r="AA152" s="4" t="e">
        <f t="shared" si="162"/>
        <v>#N/A</v>
      </c>
      <c r="AB152" s="4" t="e">
        <f t="shared" si="163"/>
        <v>#N/A</v>
      </c>
      <c r="AD152" t="e">
        <f t="shared" si="164"/>
        <v>#N/A</v>
      </c>
      <c r="AE152" t="e">
        <f t="shared" si="165"/>
        <v>#N/A</v>
      </c>
      <c r="AF152" s="9" t="str">
        <f t="shared" si="186"/>
        <v/>
      </c>
      <c r="AG152" t="e">
        <f t="shared" si="187"/>
        <v>#N/A</v>
      </c>
      <c r="AH152" t="e">
        <f t="shared" si="188"/>
        <v>#N/A</v>
      </c>
      <c r="AI152" t="str">
        <f t="shared" si="189"/>
        <v/>
      </c>
      <c r="AJ152" t="e">
        <f t="shared" si="166"/>
        <v>#N/A</v>
      </c>
      <c r="AK152" t="e">
        <f t="shared" si="167"/>
        <v>#N/A</v>
      </c>
      <c r="AM152" s="4" t="e">
        <f t="shared" si="168"/>
        <v>#N/A</v>
      </c>
      <c r="AN152" s="4" t="e">
        <f t="shared" si="169"/>
        <v>#N/A</v>
      </c>
      <c r="AS152" s="5">
        <f t="shared" si="170"/>
        <v>0</v>
      </c>
      <c r="AT152" s="5">
        <f t="shared" si="154"/>
        <v>0</v>
      </c>
      <c r="AU152" s="5">
        <f t="shared" si="155"/>
        <v>0</v>
      </c>
      <c r="AV152" s="5">
        <f t="shared" si="156"/>
        <v>0</v>
      </c>
      <c r="AW152" s="5">
        <v>1</v>
      </c>
      <c r="AX152" s="5">
        <v>1</v>
      </c>
      <c r="AY152" s="5">
        <f t="shared" si="190"/>
        <v>0</v>
      </c>
      <c r="AZ152" s="5">
        <f t="shared" si="191"/>
        <v>0</v>
      </c>
      <c r="BA152" s="5">
        <f t="shared" si="192"/>
        <v>0</v>
      </c>
      <c r="BB152" s="5">
        <f t="shared" si="193"/>
        <v>0</v>
      </c>
      <c r="BC152" s="5">
        <f t="shared" si="194"/>
        <v>0</v>
      </c>
    </row>
    <row r="153" spans="1:55" ht="15.75" thickBot="1" x14ac:dyDescent="0.3">
      <c r="A153" t="s">
        <v>134</v>
      </c>
      <c r="B153" s="9">
        <f t="shared" si="171"/>
        <v>-20.506186241114499</v>
      </c>
      <c r="C153">
        <f t="shared" si="171"/>
        <v>-20.506013758522805</v>
      </c>
      <c r="D153" s="9">
        <f t="shared" si="159"/>
        <v>-28.999999999743533</v>
      </c>
      <c r="E153">
        <f t="shared" si="159"/>
        <v>1.219635903243289E-4</v>
      </c>
      <c r="F153" s="4">
        <f t="shared" si="172"/>
        <v>-4.2307341523729107</v>
      </c>
      <c r="G153" s="4">
        <f t="shared" si="173"/>
        <v>-1.9763000396717685</v>
      </c>
      <c r="H153" s="4">
        <f t="shared" si="174"/>
        <v>-2.4142436254009616</v>
      </c>
      <c r="I153" s="4">
        <f t="shared" si="175"/>
        <v>-70.012943172418389</v>
      </c>
      <c r="J153" s="4">
        <f t="shared" si="176"/>
        <v>0</v>
      </c>
      <c r="K153" s="4">
        <f t="shared" si="177"/>
        <v>0</v>
      </c>
      <c r="L153" s="4">
        <f t="shared" si="178"/>
        <v>0</v>
      </c>
      <c r="M153" s="4">
        <f t="shared" si="179"/>
        <v>0</v>
      </c>
      <c r="N153" s="4">
        <f t="shared" si="180"/>
        <v>0</v>
      </c>
      <c r="O153" s="4">
        <f t="shared" si="181"/>
        <v>0</v>
      </c>
      <c r="P153" s="22">
        <f t="shared" si="182"/>
        <v>0</v>
      </c>
      <c r="Q153" s="22">
        <f t="shared" si="183"/>
        <v>0</v>
      </c>
      <c r="R153" s="22">
        <f t="shared" si="184"/>
        <v>0</v>
      </c>
      <c r="U153" t="e">
        <f t="shared" si="130"/>
        <v>#N/A</v>
      </c>
      <c r="V153" t="e">
        <f t="shared" si="131"/>
        <v>#N/A</v>
      </c>
      <c r="W153" s="9" t="str">
        <f t="shared" si="185"/>
        <v/>
      </c>
      <c r="X153" t="e">
        <f t="shared" si="160"/>
        <v>#N/A</v>
      </c>
      <c r="Y153" t="e">
        <f t="shared" si="161"/>
        <v>#N/A</v>
      </c>
      <c r="AA153" s="4" t="e">
        <f t="shared" si="162"/>
        <v>#N/A</v>
      </c>
      <c r="AB153" s="4" t="e">
        <f t="shared" si="163"/>
        <v>#N/A</v>
      </c>
      <c r="AD153" t="e">
        <f t="shared" si="164"/>
        <v>#N/A</v>
      </c>
      <c r="AE153" t="e">
        <f t="shared" si="165"/>
        <v>#N/A</v>
      </c>
      <c r="AF153" s="9" t="str">
        <f t="shared" si="186"/>
        <v/>
      </c>
      <c r="AG153" t="e">
        <f t="shared" si="187"/>
        <v>#N/A</v>
      </c>
      <c r="AH153" t="e">
        <f t="shared" si="188"/>
        <v>#N/A</v>
      </c>
      <c r="AI153" t="str">
        <f t="shared" si="189"/>
        <v/>
      </c>
      <c r="AJ153" t="e">
        <f t="shared" si="166"/>
        <v>#N/A</v>
      </c>
      <c r="AK153" t="e">
        <f t="shared" si="167"/>
        <v>#N/A</v>
      </c>
      <c r="AM153" s="4" t="e">
        <f t="shared" si="168"/>
        <v>#N/A</v>
      </c>
      <c r="AN153" s="4" t="e">
        <f t="shared" si="169"/>
        <v>#N/A</v>
      </c>
      <c r="AS153" s="5">
        <f t="shared" si="170"/>
        <v>0</v>
      </c>
      <c r="AT153" s="5">
        <f t="shared" si="154"/>
        <v>0</v>
      </c>
      <c r="AU153" s="5">
        <f t="shared" si="155"/>
        <v>0</v>
      </c>
      <c r="AV153" s="5">
        <f t="shared" si="156"/>
        <v>0</v>
      </c>
      <c r="AW153" s="5">
        <v>1</v>
      </c>
      <c r="AX153" s="5">
        <v>1</v>
      </c>
      <c r="AY153" s="5">
        <f t="shared" si="190"/>
        <v>0</v>
      </c>
      <c r="AZ153" s="5">
        <f t="shared" si="191"/>
        <v>0</v>
      </c>
      <c r="BA153" s="5">
        <f t="shared" si="192"/>
        <v>0</v>
      </c>
      <c r="BB153" s="5">
        <f t="shared" si="193"/>
        <v>0</v>
      </c>
      <c r="BC153" s="5">
        <f t="shared" si="194"/>
        <v>0</v>
      </c>
    </row>
    <row r="154" spans="1:55" ht="15.75" thickTop="1" x14ac:dyDescent="0.25">
      <c r="P154" s="4">
        <f>SUM(P146:P153)</f>
        <v>-117.32923783791387</v>
      </c>
      <c r="Q154" s="4">
        <f t="shared" ref="Q154:R154" si="196">SUM(Q146:Q153)</f>
        <v>-2760.8896532791123</v>
      </c>
      <c r="R154" s="4">
        <f t="shared" si="196"/>
        <v>-4.9626809936995642E-3</v>
      </c>
      <c r="T154" t="str">
        <f>IF(D34=0,"",ROUND(P154,4)&amp;" kips")</f>
        <v>-117.3292 kips</v>
      </c>
      <c r="AS154" s="5"/>
      <c r="AT154" s="5"/>
      <c r="AU154" s="5"/>
      <c r="AV154" s="5"/>
      <c r="AW154" s="5"/>
      <c r="AX154" s="5"/>
      <c r="AY154" s="5">
        <f>SUM(AY146:AY153)</f>
        <v>-280.57422627813264</v>
      </c>
      <c r="AZ154" s="5">
        <f>SUM(AZ146:AZ153)</f>
        <v>-6110.9238512085194</v>
      </c>
      <c r="BA154" s="5">
        <f t="shared" ref="BA154" si="197">SUM(BA146:BA153)</f>
        <v>-1.3169322933208605E-2</v>
      </c>
      <c r="BB154" s="5">
        <f>SUM(BB146:BB153)</f>
        <v>-134965.06650232061</v>
      </c>
      <c r="BC154" s="5">
        <f>SUM(BC146:BC153)</f>
        <v>-27901.52459356172</v>
      </c>
    </row>
    <row r="156" spans="1:55" x14ac:dyDescent="0.25">
      <c r="O156" t="s">
        <v>96</v>
      </c>
      <c r="P156" s="1">
        <f>IF($D$34=0,NA(),-1*R154/P154)</f>
        <v>-4.2297053020623297E-5</v>
      </c>
      <c r="AZ156" s="78">
        <f ca="1">AZ154+AZ140+AH122</f>
        <v>21767.926472263691</v>
      </c>
    </row>
    <row r="157" spans="1:55" x14ac:dyDescent="0.25">
      <c r="O157" t="s">
        <v>97</v>
      </c>
      <c r="P157" s="1">
        <f>IF($D$34=0,NA(),Q154/P154)</f>
        <v>23.531130894186685</v>
      </c>
      <c r="AZ157" s="79">
        <f ca="1">BB154+BB140+AK122</f>
        <v>798424.13429113152</v>
      </c>
    </row>
    <row r="158" spans="1:55" x14ac:dyDescent="0.25">
      <c r="A158" t="s">
        <v>108</v>
      </c>
      <c r="B158" s="9"/>
    </row>
    <row r="159" spans="1:55" x14ac:dyDescent="0.25">
      <c r="A159" s="1" t="s">
        <v>105</v>
      </c>
      <c r="B159" s="4">
        <f>P140+H122+P154-N122</f>
        <v>45.999999999999659</v>
      </c>
      <c r="C159" t="s">
        <v>36</v>
      </c>
      <c r="AZ159">
        <f ca="1">AZ157/AZ156</f>
        <v>36.67892462373343</v>
      </c>
    </row>
    <row r="160" spans="1:55" x14ac:dyDescent="0.25">
      <c r="A160" s="1" t="s">
        <v>106</v>
      </c>
      <c r="B160" s="4">
        <f>Q140+I122+Q154-O122</f>
        <v>42779.99999962165</v>
      </c>
      <c r="C160" t="s">
        <v>102</v>
      </c>
    </row>
    <row r="161" spans="1:9" x14ac:dyDescent="0.25">
      <c r="A161" s="1" t="s">
        <v>107</v>
      </c>
      <c r="B161" s="4">
        <f>R140+J122+R154-P122</f>
        <v>-0.17991732392421511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45.999999999999659</v>
      </c>
      <c r="C164" t="s">
        <v>36</v>
      </c>
      <c r="E164" s="8">
        <f>B2-B164</f>
        <v>3.4106051316484809E-13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42779.999999999985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9.3982877036324908E-12</v>
      </c>
      <c r="C166" t="s">
        <v>102</v>
      </c>
      <c r="E166" s="8">
        <f>B4+B166</f>
        <v>9.3982877036324908E-12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1.7616449479451088</v>
      </c>
      <c r="B169" s="1">
        <f ca="1">IF(E122=0,0,(MIN(H110:H121)*B65)/(B55*B56*E122))</f>
        <v>-1.7616449479451093</v>
      </c>
      <c r="C169" s="3">
        <f ca="1">A169+B169</f>
        <v>0</v>
      </c>
    </row>
    <row r="173" spans="1:9" x14ac:dyDescent="0.25">
      <c r="A173" s="44" t="s">
        <v>150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6.2379737520462731E-14</v>
      </c>
      <c r="C175" s="27">
        <f>B65*SQRT(I175)</f>
        <v>2.3767089591661043E-7</v>
      </c>
      <c r="D175" s="27">
        <f>B66*SQRT(I175)</f>
        <v>2.6129417195500468E-8</v>
      </c>
      <c r="E175" s="27">
        <f>IF(B67=0,SQRT(I175),B67*SQRT(I175))</f>
        <v>2.1196480167113964E-6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4.205641108058649E-6</v>
      </c>
      <c r="C176" s="3">
        <f>B65+C175</f>
        <v>16.023768771520324</v>
      </c>
      <c r="D176" s="3">
        <f>D175+B66</f>
        <v>1.7616449740745261</v>
      </c>
      <c r="E176" s="3">
        <f>B67+E175</f>
        <v>142.90664225337878</v>
      </c>
      <c r="F176" s="16" t="s">
        <v>125</v>
      </c>
    </row>
    <row r="177" spans="1:31" x14ac:dyDescent="0.25">
      <c r="B177" s="27">
        <f>B176-B64</f>
        <v>6.2379737165378212E-14</v>
      </c>
      <c r="C177" s="27">
        <f>C176-B65</f>
        <v>2.3767089629700422E-7</v>
      </c>
      <c r="D177" s="27">
        <f>D176-B66</f>
        <v>2.6129417296516522E-8</v>
      </c>
      <c r="E177" s="27">
        <f>E176-B67</f>
        <v>2.1196480304297438E-6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98">C177=C175</f>
        <v>0</v>
      </c>
      <c r="D178" t="b">
        <f t="shared" si="198"/>
        <v>0</v>
      </c>
      <c r="E178" t="b">
        <f>E177=E175</f>
        <v>0</v>
      </c>
      <c r="F178" s="16" t="s">
        <v>124</v>
      </c>
      <c r="G178" t="s">
        <v>205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-478.19631597606025</v>
      </c>
      <c r="B180" s="25">
        <f>(d_sigma_p!E165-d_sigma_m!E165)/(2*'Rigid Bearing Plate Analysis'!D177)</f>
        <v>14046.041506390311</v>
      </c>
      <c r="C180" s="25">
        <f>(d_sigma_p!E166-d_sigma_m!E166)/(2*'Rigid Bearing Plate Analysis'!D177)</f>
        <v>0.10079270363937098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2621.5469648684207</v>
      </c>
      <c r="B181" s="25">
        <f>(d_alpha_p!E165-d_alpha_m!E165)/(2*B177)</f>
        <v>-92320.370577362381</v>
      </c>
      <c r="C181" s="25">
        <f>(d_alpha_p!E166-d_alpha_m!E166)/(2*B177)</f>
        <v>56265.742401421849</v>
      </c>
      <c r="D181" s="25">
        <f ca="1">(d_alpha_p!C169-d_alpha_m!C169)/(2*B177)</f>
        <v>2.3724487454985907</v>
      </c>
    </row>
    <row r="182" spans="1:31" x14ac:dyDescent="0.25">
      <c r="A182" s="25">
        <f>(d_Y_p!E164-d_Y_m!E164)/(2*C177)</f>
        <v>-37.773057326773539</v>
      </c>
      <c r="B182" s="25">
        <f>(d_Y_p!E165-d_Y_m!E165)/(2*C177)</f>
        <v>868.64424215762381</v>
      </c>
      <c r="C182" s="25">
        <f>(d_Y_p!E166-d_Y_m!E166)/(2*C177)</f>
        <v>-7.5302740285606185E-4</v>
      </c>
      <c r="D182" s="25">
        <f ca="1">(d_Y_p!C169-d_Y_m!C169)/(2*C177)</f>
        <v>-0.1503845635120476</v>
      </c>
    </row>
    <row r="183" spans="1:31" x14ac:dyDescent="0.25">
      <c r="A183" s="25">
        <f>(d_T_p!E164-d_T_m!E164)/(2*E177)</f>
        <v>5.5729539692312065</v>
      </c>
      <c r="B183" s="25">
        <f>(d_T_p!E165-d_T_m!E165)/(2*E177)</f>
        <v>126.20730624924869</v>
      </c>
      <c r="C183" s="25">
        <f>(d_T_p!E166-d_T_m!E166)/(2*E177)</f>
        <v>-1.242490185266317E-3</v>
      </c>
      <c r="D183" s="25">
        <f ca="1">(d_T_p!C169-d_T_m!C169)/(2*E177)</f>
        <v>-1.2327243501007697E-2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-2.5948714356927759E-4</v>
      </c>
      <c r="B185" s="25">
        <f ca="1"/>
        <v>2.4042640314305614E-9</v>
      </c>
      <c r="C185" s="25">
        <f ca="1"/>
        <v>-9.3912582707238422E-3</v>
      </c>
      <c r="D185" s="25">
        <f ca="1"/>
        <v>9.3517973925101763E-2</v>
      </c>
      <c r="F185" s="8">
        <f>-1*E164</f>
        <v>-3.4106051316484809E-13</v>
      </c>
      <c r="H185">
        <f t="array" aca="1" ref="H185:H188" ca="1">MMULT(A185:D188,F185:F188)</f>
        <v>8.8350247945726234E-14</v>
      </c>
      <c r="J185" s="8">
        <f ca="1">$B$66+H185</f>
        <v>1.7616449479451972</v>
      </c>
      <c r="K185" s="11" t="s">
        <v>115</v>
      </c>
      <c r="L185" s="8">
        <f ca="1">J186</f>
        <v>4.2056410457598679E-6</v>
      </c>
      <c r="M185" s="11" t="s">
        <v>116</v>
      </c>
      <c r="N185" t="s">
        <v>143</v>
      </c>
    </row>
    <row r="186" spans="1:31" x14ac:dyDescent="0.25">
      <c r="A186" s="25">
        <f ca="1"/>
        <v>4.0900152750253599E-5</v>
      </c>
      <c r="B186" s="25">
        <f ca="1"/>
        <v>2.5848728671911861E-12</v>
      </c>
      <c r="C186" s="25">
        <f ca="1"/>
        <v>-1.0098126740718415E-5</v>
      </c>
      <c r="D186" s="25">
        <f ca="1"/>
        <v>3.4410581133938545E-3</v>
      </c>
      <c r="F186" s="8">
        <f>-1*E165</f>
        <v>0</v>
      </c>
      <c r="H186">
        <f ca="1"/>
        <v>8.0955673291494163E-17</v>
      </c>
      <c r="J186" s="8">
        <f ca="1">$B$64+H186</f>
        <v>4.2056410457598679E-6</v>
      </c>
      <c r="K186" s="11" t="s">
        <v>116</v>
      </c>
      <c r="L186" s="8">
        <f ca="1">J187</f>
        <v>16.02376853384942</v>
      </c>
      <c r="M186" s="1" t="s">
        <v>117</v>
      </c>
    </row>
    <row r="187" spans="1:31" x14ac:dyDescent="0.25">
      <c r="A187" s="25">
        <f ca="1"/>
        <v>6.6489234337386037E-5</v>
      </c>
      <c r="B187" s="25">
        <f ca="1"/>
        <v>1.777272460090504E-5</v>
      </c>
      <c r="C187" s="25">
        <f ca="1"/>
        <v>6.0437038789808335E-4</v>
      </c>
      <c r="D187" s="25">
        <f ca="1"/>
        <v>1.4412091020821198E-3</v>
      </c>
      <c r="F187" s="8">
        <f>-1*E166</f>
        <v>-9.3982877036324908E-12</v>
      </c>
      <c r="H187">
        <f ca="1"/>
        <v>-5.702723637405202E-15</v>
      </c>
      <c r="J187" s="8">
        <f ca="1">$B$65+H187</f>
        <v>16.02376853384942</v>
      </c>
      <c r="K187" s="1" t="s">
        <v>117</v>
      </c>
      <c r="L187" s="8">
        <f ca="1">J185</f>
        <v>1.7616449479451972</v>
      </c>
      <c r="M187" s="11" t="s">
        <v>115</v>
      </c>
    </row>
    <row r="188" spans="1:31" x14ac:dyDescent="0.25">
      <c r="A188" s="25">
        <f ca="1"/>
        <v>0.30142225912456277</v>
      </c>
      <c r="B188" s="25">
        <f ca="1"/>
        <v>-6.7795799267244547E-7</v>
      </c>
      <c r="C188" s="25">
        <f ca="1"/>
        <v>-4.3490873162283217</v>
      </c>
      <c r="D188" s="25">
        <f ca="1"/>
        <v>-3.6134397414642088</v>
      </c>
      <c r="F188">
        <f ca="1">-1*C169</f>
        <v>0</v>
      </c>
      <c r="H188">
        <f ca="1"/>
        <v>4.0771170615756339E-11</v>
      </c>
      <c r="J188" s="8">
        <f ca="1">$B$67+H188</f>
        <v>142.90664013377153</v>
      </c>
      <c r="K188" s="1" t="s">
        <v>118</v>
      </c>
      <c r="L188" s="8">
        <f ca="1">J188</f>
        <v>142.90664013377153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-478.19631597606025</v>
      </c>
      <c r="B190" s="25">
        <f>A181</f>
        <v>2621.5469648684207</v>
      </c>
      <c r="C190" s="25">
        <f>A182</f>
        <v>-37.773057326773539</v>
      </c>
      <c r="D190" s="25">
        <f>A183</f>
        <v>5.5729539692312065</v>
      </c>
      <c r="F190" t="s">
        <v>119</v>
      </c>
      <c r="W190" s="25">
        <f>A190</f>
        <v>-478.19631597606025</v>
      </c>
      <c r="X190" s="25">
        <f t="shared" ref="X190:Z190" si="199">B190</f>
        <v>2621.5469648684207</v>
      </c>
      <c r="Y190" s="25">
        <f t="shared" si="199"/>
        <v>-37.773057326773539</v>
      </c>
      <c r="Z190" s="25">
        <f t="shared" si="199"/>
        <v>5.5729539692312065</v>
      </c>
      <c r="AB190" s="25">
        <f>(d_sigma_p!E164-(2*'Rigid Bearing Plate Analysis'!E164)+d_sigma_m!E164)/POWER('Rigid Bearing Plate Analysis'!D177,2)</f>
        <v>145.69974440817333</v>
      </c>
      <c r="AC190" s="25">
        <f>(d_alpha_p!E164-(2*'Rigid Bearing Plate Analysis'!E164)+d_alpha_m!E164)/POWER('Rigid Bearing Plate Analysis'!B177,2)</f>
        <v>-62084335872155.922</v>
      </c>
      <c r="AD190" s="25">
        <f>(d_Y_p!E164-(2*'Rigid Bearing Plate Analysis'!E164)+d_Y_m!E164)/POWER('Rigid Bearing Plate Analysis'!C177,2)</f>
        <v>3.0189049363893128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14046.041506390311</v>
      </c>
      <c r="B191" s="25">
        <f>B181</f>
        <v>-92320.370577362381</v>
      </c>
      <c r="C191" s="25">
        <f>B182</f>
        <v>868.64424215762381</v>
      </c>
      <c r="D191" s="25">
        <f>B183</f>
        <v>126.20730624924869</v>
      </c>
      <c r="F191" t="s">
        <v>120</v>
      </c>
      <c r="W191" s="25">
        <f t="shared" ref="W191:W193" si="200">A191</f>
        <v>14046.041506390311</v>
      </c>
      <c r="X191" s="25">
        <f t="shared" ref="X191:X193" si="201">B191</f>
        <v>-92320.370577362381</v>
      </c>
      <c r="Y191" s="25">
        <f t="shared" ref="Y191:Y193" si="202">C191</f>
        <v>868.64424215762381</v>
      </c>
      <c r="Z191" s="25">
        <f t="shared" ref="Z191:Z193" si="203">D191</f>
        <v>126.20730624924869</v>
      </c>
      <c r="AB191" s="25">
        <f>(d_sigma_p!E165-(2*'Rigid Bearing Plate Analysis'!E165)+d_sigma_m!E165)/POWER('Rigid Bearing Plate Analysis'!D177,2)</f>
        <v>-42627.582363991285</v>
      </c>
      <c r="AC191" s="25">
        <f>(d_alpha_p!E165-(2*'Rigid Bearing Plate Analysis'!E165)+d_alpha_m!E165)/POWER('Rigid Bearing Plate Analysis'!B177,2)</f>
        <v>-5609502347037147</v>
      </c>
      <c r="AD191" s="25">
        <f>(d_Y_p!E165-(2*'Rigid Bearing Plate Analysis'!E165)+d_Y_m!E165)/POWER('Rigid Bearing Plate Analysis'!C177,2)</f>
        <v>-772.83966371566407</v>
      </c>
      <c r="AE191" s="25">
        <f>(d_T_p!E165-(2*'Rigid Bearing Plate Analysis'!E165)+d_T_m!E165)/POWER('Rigid Bearing Plate Analysis'!E177,2)</f>
        <v>-6.4777271040927467</v>
      </c>
    </row>
    <row r="192" spans="1:31" x14ac:dyDescent="0.25">
      <c r="A192" s="25">
        <f>C180</f>
        <v>0.10079270363937098</v>
      </c>
      <c r="B192" s="25">
        <f>C181</f>
        <v>56265.742401421849</v>
      </c>
      <c r="C192" s="25">
        <f>C182</f>
        <v>-7.5302740285606185E-4</v>
      </c>
      <c r="D192" s="25">
        <f>C183</f>
        <v>-1.242490185266317E-3</v>
      </c>
      <c r="F192" t="s">
        <v>121</v>
      </c>
      <c r="W192" s="25">
        <f t="shared" si="200"/>
        <v>0.10079270363937098</v>
      </c>
      <c r="X192" s="25">
        <f t="shared" si="201"/>
        <v>56265.742401421849</v>
      </c>
      <c r="Y192" s="25">
        <f t="shared" si="202"/>
        <v>-7.5302740285606185E-4</v>
      </c>
      <c r="Z192" s="25">
        <f t="shared" si="203"/>
        <v>-1.242490185266317E-3</v>
      </c>
      <c r="AB192" s="25">
        <f>(d_sigma_p!E166-(2*'Rigid Bearing Plate Analysis'!E166)+d_sigma_m!E166)/POWER('Rigid Bearing Plate Analysis'!D177,2)</f>
        <v>-3892.2239477878738</v>
      </c>
      <c r="AC192" s="25">
        <f>(d_alpha_p!E166-(2*'Rigid Bearing Plate Analysis'!E166)+d_alpha_m!E166)/POWER('Rigid Bearing Plate Analysis'!B177,2)</f>
        <v>-2757260650972983.5</v>
      </c>
      <c r="AD192" s="25">
        <f>(d_Y_p!E166-(2*'Rigid Bearing Plate Analysis'!E166)+d_Y_m!E166)/POWER('Rigid Bearing Plate Analysis'!C177,2)</f>
        <v>50.56567496807034</v>
      </c>
      <c r="AE192" s="25">
        <f>(d_T_p!E166-(2*'Rigid Bearing Plate Analysis'!E166)+d_T_m!E166)/POWER('Rigid Bearing Plate Analysis'!E177,2)</f>
        <v>-0.1012083083594813</v>
      </c>
    </row>
    <row r="193" spans="1:38" x14ac:dyDescent="0.25">
      <c r="A193" s="25">
        <f ca="1">D180</f>
        <v>1</v>
      </c>
      <c r="B193" s="25">
        <f ca="1">D181</f>
        <v>2.3724487454985907</v>
      </c>
      <c r="C193" s="25">
        <f ca="1">D182</f>
        <v>-0.1503845635120476</v>
      </c>
      <c r="D193" s="25">
        <f ca="1">D183</f>
        <v>-1.2327243501007697E-2</v>
      </c>
      <c r="W193" s="25">
        <f t="shared" ca="1" si="200"/>
        <v>1</v>
      </c>
      <c r="X193" s="25">
        <f t="shared" ca="1" si="201"/>
        <v>2.3724487454985907</v>
      </c>
      <c r="Y193" s="25">
        <f t="shared" ca="1" si="202"/>
        <v>-0.1503845635120476</v>
      </c>
      <c r="Z193" s="25">
        <f t="shared" ca="1" si="203"/>
        <v>-1.2327243501007697E-2</v>
      </c>
      <c r="AB193" s="25">
        <f ca="1">(d_sigma_p!C169-(2*'Rigid Bearing Plate Analysis'!C169)+d_sigma_m!C169)/POWER('Rigid Bearing Plate Analysis'!D177,2)</f>
        <v>-1.3008905750729762</v>
      </c>
      <c r="AC193" s="25">
        <f ca="1">(d_alpha_p!C169-(2*'Rigid Bearing Plate Analysis'!C169)+d_alpha_m!C169)/POWER('Rigid Bearing Plate Analysis'!B177,2)</f>
        <v>-285314043530.1283</v>
      </c>
      <c r="AD193" s="25">
        <f ca="1">(d_Y_p!C169-(2*'Rigid Bearing Plate Analysis'!C169)+d_Y_m!C169)/POWER('Rigid Bearing Plate Analysis'!C177,2)</f>
        <v>-7.8617316051805015E-3</v>
      </c>
      <c r="AE193" s="25">
        <f ca="1">(d_T_p!C169-(2*'Rigid Bearing Plate Analysis'!C169)+d_T_m!C169)/POWER('Rigid Bearing Plate Analysis'!E177,2)</f>
        <v>-1.482634072286853E-4</v>
      </c>
    </row>
    <row r="194" spans="1:38" ht="15.75" thickBot="1" x14ac:dyDescent="0.3">
      <c r="A194" s="25"/>
      <c r="B194" s="25"/>
      <c r="C194" s="25"/>
      <c r="D194" s="25"/>
      <c r="S194" t="s">
        <v>229</v>
      </c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-2.5948714356928046E-4</v>
      </c>
      <c r="B195" s="25">
        <f ca="1"/>
        <v>4.090015275025347E-5</v>
      </c>
      <c r="C195" s="25">
        <f ca="1"/>
        <v>6.6489234337385969E-5</v>
      </c>
      <c r="D195" s="25">
        <f ca="1"/>
        <v>0.30142225912456289</v>
      </c>
      <c r="H195">
        <f t="array" aca="1" ref="H195:H198" ca="1">MMULT(A195:D198,F185:F188)</f>
        <v>-5.3638413515157439E-16</v>
      </c>
      <c r="J195" s="8">
        <f ca="1">$B$66+H195</f>
        <v>1.7616449479451084</v>
      </c>
      <c r="K195" s="11" t="s">
        <v>115</v>
      </c>
      <c r="L195" s="36">
        <f ca="1">J196</f>
        <v>4.2056410455118778E-6</v>
      </c>
      <c r="M195" s="37" t="s">
        <v>116</v>
      </c>
      <c r="N195" t="s">
        <v>146</v>
      </c>
      <c r="S195">
        <f ca="1">0.5*H195</f>
        <v>-2.681920675757872E-16</v>
      </c>
      <c r="U195" s="8">
        <f ca="1">$B$66+S195</f>
        <v>1.7616449479451086</v>
      </c>
      <c r="V195" s="11" t="s">
        <v>115</v>
      </c>
      <c r="W195" s="36">
        <f ca="1">U196</f>
        <v>4.2056410455953953E-6</v>
      </c>
      <c r="X195" s="37" t="s">
        <v>116</v>
      </c>
      <c r="AB195">
        <f t="array" aca="1" ref="AB195:AE198" ca="1">MINVERSE(AB190:AE193)</f>
        <v>3.9185777868007395E-3</v>
      </c>
      <c r="AC195">
        <f ca="1"/>
        <v>2.3308828915931867E-5</v>
      </c>
      <c r="AD195">
        <f ca="1"/>
        <v>-3.257586997484827E-5</v>
      </c>
      <c r="AE195">
        <f ca="1"/>
        <v>-0.99614117131475954</v>
      </c>
      <c r="AG195">
        <f t="array" aca="1" ref="AG195:AJ198" ca="1">MMULT(W190:Z193,AB195:AE198)</f>
        <v>-193.26989246955085</v>
      </c>
      <c r="AH195">
        <f ca="1"/>
        <v>0.87881013013298737</v>
      </c>
      <c r="AI195">
        <f ca="1"/>
        <v>11.218992139262479</v>
      </c>
      <c r="AJ195">
        <f ca="1"/>
        <v>-83642.360689379202</v>
      </c>
      <c r="AL195">
        <f t="array" aca="1" ref="AL195:AL198" ca="1">MMULT(AG195:AJ198,H195:H198)</f>
        <v>3.8008001538192298E-9</v>
      </c>
    </row>
    <row r="196" spans="1:38" x14ac:dyDescent="0.25">
      <c r="A196" s="25">
        <f ca="1"/>
        <v>2.4042640318803206E-9</v>
      </c>
      <c r="B196" s="25">
        <f ca="1"/>
        <v>2.5848728818095872E-12</v>
      </c>
      <c r="C196" s="25">
        <f ca="1"/>
        <v>1.777272460090504E-5</v>
      </c>
      <c r="D196" s="25">
        <f ca="1"/>
        <v>-6.779579926709008E-7</v>
      </c>
      <c r="H196">
        <f ca="1"/>
        <v>-1.6703399907625699E-16</v>
      </c>
      <c r="J196" s="8">
        <f ca="1">$B$64+H196</f>
        <v>4.2056410455118778E-6</v>
      </c>
      <c r="K196" s="11" t="s">
        <v>116</v>
      </c>
      <c r="L196" s="38">
        <f ca="1">J197</f>
        <v>16.023768533849424</v>
      </c>
      <c r="M196" s="39" t="s">
        <v>117</v>
      </c>
      <c r="S196">
        <f t="shared" ref="S196:S198" ca="1" si="204">0.5*H196</f>
        <v>-8.3516999538128495E-17</v>
      </c>
      <c r="U196" s="8">
        <f ca="1">$B$64+S196</f>
        <v>4.2056410455953953E-6</v>
      </c>
      <c r="V196" s="11" t="s">
        <v>116</v>
      </c>
      <c r="W196" s="38">
        <f ca="1">U197</f>
        <v>16.023768533849427</v>
      </c>
      <c r="X196" s="39" t="s">
        <v>117</v>
      </c>
      <c r="AB196">
        <f ca="1"/>
        <v>-2.7068940496807328E-15</v>
      </c>
      <c r="AC196">
        <f ca="1"/>
        <v>-9.4137660935877907E-17</v>
      </c>
      <c r="AD196">
        <f ca="1"/>
        <v>-5.7653020462913922E-16</v>
      </c>
      <c r="AE196">
        <f ca="1"/>
        <v>4.5064910956640957E-12</v>
      </c>
      <c r="AG196">
        <f ca="1"/>
        <v>-4130.330061049789</v>
      </c>
      <c r="AH196">
        <f ca="1"/>
        <v>15.204499490703824</v>
      </c>
      <c r="AI196">
        <f ca="1"/>
        <v>235.5286077009477</v>
      </c>
      <c r="AJ196">
        <f ca="1"/>
        <v>-1676309.4906936456</v>
      </c>
      <c r="AL196">
        <f ca="1"/>
        <v>7.617344446827642E-8</v>
      </c>
    </row>
    <row r="197" spans="1:38" x14ac:dyDescent="0.25">
      <c r="A197" s="25">
        <f ca="1"/>
        <v>-9.3912582707238231E-3</v>
      </c>
      <c r="B197" s="25">
        <f ca="1"/>
        <v>-1.0098126740717395E-5</v>
      </c>
      <c r="C197" s="25">
        <f ca="1"/>
        <v>6.0437038789808368E-4</v>
      </c>
      <c r="D197" s="25">
        <f ca="1"/>
        <v>-4.3490873162283235</v>
      </c>
      <c r="H197">
        <f ca="1"/>
        <v>-2.4770594199454678E-15</v>
      </c>
      <c r="J197" s="8">
        <f ca="1">$B$65+H197</f>
        <v>16.023768533849424</v>
      </c>
      <c r="K197" s="1" t="s">
        <v>117</v>
      </c>
      <c r="L197" s="38">
        <f ca="1">J195</f>
        <v>1.7616449479451084</v>
      </c>
      <c r="M197" s="43" t="s">
        <v>115</v>
      </c>
      <c r="S197">
        <f t="shared" ca="1" si="204"/>
        <v>-1.2385297099727339E-15</v>
      </c>
      <c r="U197" s="8">
        <f ca="1">$B$65+S197</f>
        <v>16.023768533849427</v>
      </c>
      <c r="V197" s="1" t="s">
        <v>117</v>
      </c>
      <c r="W197" s="38">
        <f ca="1">U195</f>
        <v>1.7616449479451086</v>
      </c>
      <c r="X197" s="43" t="s">
        <v>115</v>
      </c>
      <c r="AB197">
        <f ca="1"/>
        <v>8.6458005193446291E-2</v>
      </c>
      <c r="AC197">
        <f ca="1"/>
        <v>-3.060899488381784E-3</v>
      </c>
      <c r="AD197">
        <f ca="1"/>
        <v>-1.0284258560510434E-2</v>
      </c>
      <c r="AE197">
        <f ca="1"/>
        <v>140.75303124692749</v>
      </c>
      <c r="AG197">
        <f ca="1"/>
        <v>4.2273503379734637E-2</v>
      </c>
      <c r="AH197">
        <f ca="1"/>
        <v>-1.679841061244567E-4</v>
      </c>
      <c r="AI197">
        <f ca="1"/>
        <v>-2.4067316460347314E-3</v>
      </c>
      <c r="AJ197">
        <f ca="1"/>
        <v>17.36252167175245</v>
      </c>
      <c r="AL197">
        <f ca="1"/>
        <v>-7.8897289865036908E-13</v>
      </c>
    </row>
    <row r="198" spans="1:38" ht="15.75" thickBot="1" x14ac:dyDescent="0.3">
      <c r="A198" s="25">
        <f ca="1"/>
        <v>9.3517973925101791E-2</v>
      </c>
      <c r="B198" s="25">
        <f ca="1"/>
        <v>3.4410581133938562E-3</v>
      </c>
      <c r="C198" s="25">
        <f ca="1"/>
        <v>1.4412091020821207E-3</v>
      </c>
      <c r="D198" s="25">
        <f ca="1"/>
        <v>-3.6134397414642088</v>
      </c>
      <c r="H198">
        <f ca="1"/>
        <v>-4.544018595949372E-14</v>
      </c>
      <c r="J198" s="8">
        <f ca="1">$B$67+H198</f>
        <v>142.90664013373069</v>
      </c>
      <c r="K198" s="1" t="s">
        <v>118</v>
      </c>
      <c r="L198" s="41">
        <f ca="1">J198</f>
        <v>142.90664013373069</v>
      </c>
      <c r="M198" s="42" t="s">
        <v>118</v>
      </c>
      <c r="S198">
        <f t="shared" ca="1" si="204"/>
        <v>-2.272009297974686E-14</v>
      </c>
      <c r="U198" s="8">
        <f ca="1">$B$67+S198</f>
        <v>142.90664013373072</v>
      </c>
      <c r="V198" s="1" t="s">
        <v>118</v>
      </c>
      <c r="W198" s="41">
        <f ca="1">U198</f>
        <v>142.90664013373072</v>
      </c>
      <c r="X198" s="42" t="s">
        <v>118</v>
      </c>
      <c r="AB198">
        <f ca="1"/>
        <v>-33.757727205389465</v>
      </c>
      <c r="AC198">
        <f ca="1"/>
        <v>0.13894548540676938</v>
      </c>
      <c r="AD198">
        <f ca="1"/>
        <v>1.9406129406044081</v>
      </c>
      <c r="AE198">
        <f ca="1"/>
        <v>-14140.084386946635</v>
      </c>
      <c r="AG198">
        <f ca="1"/>
        <v>0.40705635171508359</v>
      </c>
      <c r="AH198">
        <f ca="1"/>
        <v>-1.2291939695447049E-3</v>
      </c>
      <c r="AI198">
        <f ca="1"/>
        <v>-2.240839039534594E-2</v>
      </c>
      <c r="AJ198">
        <f ca="1"/>
        <v>152.14503902431744</v>
      </c>
      <c r="AL198">
        <f ca="1"/>
        <v>-6.9136614924168871E-12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-478.19631597606025</v>
      </c>
      <c r="B201" s="25">
        <f t="shared" ref="B201:C201" si="205">B190</f>
        <v>2621.5469648684207</v>
      </c>
      <c r="C201" s="25">
        <f t="shared" si="205"/>
        <v>-37.773057326773539</v>
      </c>
      <c r="D201" s="25"/>
    </row>
    <row r="202" spans="1:38" x14ac:dyDescent="0.25">
      <c r="A202" s="25">
        <f t="shared" ref="A202:C202" si="206">A191</f>
        <v>14046.041506390311</v>
      </c>
      <c r="B202" s="25">
        <f t="shared" si="206"/>
        <v>-92320.370577362381</v>
      </c>
      <c r="C202" s="25">
        <f t="shared" si="206"/>
        <v>868.64424215762381</v>
      </c>
      <c r="D202" s="25"/>
    </row>
    <row r="203" spans="1:38" x14ac:dyDescent="0.25">
      <c r="A203" s="25">
        <f t="shared" ref="A203:C203" si="207">A192</f>
        <v>0.10079270363937098</v>
      </c>
      <c r="B203" s="25">
        <f t="shared" si="207"/>
        <v>56265.742401421849</v>
      </c>
      <c r="C203" s="25">
        <f t="shared" si="207"/>
        <v>-7.5302740285606185E-4</v>
      </c>
      <c r="D203" s="25"/>
    </row>
    <row r="204" spans="1:38" ht="15.75" thickBot="1" x14ac:dyDescent="0.3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7.5415005540514562E-3</v>
      </c>
      <c r="B205" s="25">
        <v>3.2794285569506365E-4</v>
      </c>
      <c r="C205" s="25">
        <v>1.8671055654060235E-4</v>
      </c>
      <c r="D205" s="25"/>
      <c r="H205">
        <f t="array" ref="H205:H207">MMULT(A205:C207,F185:F187)</f>
        <v>-4.3268675766716977E-15</v>
      </c>
      <c r="J205" s="8">
        <f>$B$66+H205</f>
        <v>1.7616449479451046</v>
      </c>
      <c r="K205" s="11" t="s">
        <v>115</v>
      </c>
      <c r="L205" s="36">
        <f>J206</f>
        <v>4.2056410455118863E-6</v>
      </c>
      <c r="M205" s="37" t="s">
        <v>116</v>
      </c>
      <c r="N205" t="s">
        <v>145</v>
      </c>
      <c r="S205">
        <f>0.5*H205</f>
        <v>-2.1634337883358489E-15</v>
      </c>
      <c r="U205" s="8">
        <f>$B$66+S205</f>
        <v>1.7616449479451066</v>
      </c>
      <c r="V205" s="11" t="s">
        <v>115</v>
      </c>
      <c r="W205" s="36">
        <f>U206</f>
        <v>4.2056410455953995E-6</v>
      </c>
      <c r="X205" s="37" t="s">
        <v>116</v>
      </c>
    </row>
    <row r="206" spans="1:38" x14ac:dyDescent="0.25">
      <c r="A206" s="25">
        <v>-1.5141692844993099E-8</v>
      </c>
      <c r="B206" s="25">
        <v>-6.4303066747174292E-10</v>
      </c>
      <c r="C206" s="25">
        <v>1.7772454199487064E-5</v>
      </c>
      <c r="D206" s="25"/>
      <c r="H206">
        <v>-1.67025473532879E-16</v>
      </c>
      <c r="J206" s="8">
        <f>$B$64+H206</f>
        <v>4.2056410455118863E-6</v>
      </c>
      <c r="K206" s="11" t="s">
        <v>116</v>
      </c>
      <c r="L206" s="38">
        <f>J207</f>
        <v>16.023768533849481</v>
      </c>
      <c r="M206" s="39" t="s">
        <v>117</v>
      </c>
      <c r="N206" t="s">
        <v>147</v>
      </c>
      <c r="S206">
        <f t="shared" ref="S206:S207" si="208">0.5*H206</f>
        <v>-8.3512736766439502E-17</v>
      </c>
      <c r="U206" s="8">
        <f>$B$64+S206</f>
        <v>4.2056410455953995E-6</v>
      </c>
      <c r="V206" s="11" t="s">
        <v>116</v>
      </c>
      <c r="W206" s="38">
        <f>U207</f>
        <v>16.023768533849452</v>
      </c>
      <c r="X206" s="39" t="s">
        <v>117</v>
      </c>
    </row>
    <row r="207" spans="1:38" ht="15.75" thickBot="1" x14ac:dyDescent="0.3">
      <c r="A207" s="25">
        <v>-0.12194822983716382</v>
      </c>
      <c r="B207" s="25">
        <v>-4.1517092413906054E-3</v>
      </c>
      <c r="C207" s="25">
        <v>-1.1302494409518409E-3</v>
      </c>
      <c r="D207" s="25"/>
      <c r="H207">
        <v>5.2214135270743114E-14</v>
      </c>
      <c r="J207" s="8">
        <f>$B$65+H207</f>
        <v>16.023768533849481</v>
      </c>
      <c r="K207" s="1" t="s">
        <v>117</v>
      </c>
      <c r="L207" s="41">
        <f>J205</f>
        <v>1.7616449479451046</v>
      </c>
      <c r="M207" s="68" t="s">
        <v>115</v>
      </c>
      <c r="S207">
        <f t="shared" si="208"/>
        <v>2.6107067635371557E-14</v>
      </c>
      <c r="U207" s="8">
        <f>$B$65+S207</f>
        <v>16.023768533849452</v>
      </c>
      <c r="V207" s="1" t="s">
        <v>117</v>
      </c>
      <c r="W207" s="41">
        <f>U205</f>
        <v>1.7616449479451066</v>
      </c>
      <c r="X207" s="68" t="s">
        <v>115</v>
      </c>
    </row>
    <row r="208" spans="1:38" x14ac:dyDescent="0.25">
      <c r="A208" s="25"/>
      <c r="B208" s="25"/>
      <c r="C208" s="25"/>
      <c r="D208" s="25"/>
    </row>
    <row r="210" spans="1:24" x14ac:dyDescent="0.25">
      <c r="A210" t="s">
        <v>142</v>
      </c>
    </row>
    <row r="212" spans="1:24" x14ac:dyDescent="0.25">
      <c r="A212" s="25">
        <f>A181</f>
        <v>2621.5469648684207</v>
      </c>
      <c r="B212" s="25">
        <f>A182</f>
        <v>-37.773057326773539</v>
      </c>
      <c r="C212" s="25">
        <f>A183</f>
        <v>5.5729539692312065</v>
      </c>
    </row>
    <row r="213" spans="1:24" x14ac:dyDescent="0.25">
      <c r="A213" s="25">
        <f>B181</f>
        <v>-92320.370577362381</v>
      </c>
      <c r="B213" s="25">
        <f>B182</f>
        <v>868.64424215762381</v>
      </c>
      <c r="C213" s="25">
        <f>B183</f>
        <v>126.20730624924869</v>
      </c>
    </row>
    <row r="214" spans="1:24" x14ac:dyDescent="0.25">
      <c r="A214" s="25">
        <f>C181</f>
        <v>56265.742401421849</v>
      </c>
      <c r="B214" s="25">
        <f>C182</f>
        <v>-7.5302740285606185E-4</v>
      </c>
      <c r="C214" s="25">
        <f>C183</f>
        <v>-1.242490185266317E-3</v>
      </c>
    </row>
    <row r="215" spans="1:24" ht="15.75" thickBot="1" x14ac:dyDescent="0.3"/>
    <row r="216" spans="1:24" x14ac:dyDescent="0.25">
      <c r="A216">
        <f t="array" ref="A216:C218">MINVERSE(A212:C214)</f>
        <v>1.8206263685996977E-9</v>
      </c>
      <c r="B216">
        <v>9.4577367195569146E-11</v>
      </c>
      <c r="C216">
        <v>1.7772874148280798E-5</v>
      </c>
      <c r="H216" cm="1">
        <f t="array" ref="H216:H218">MMULT(A216:C218,F185:F187)</f>
        <v>-1.6703520550975876E-16</v>
      </c>
      <c r="J216" s="8">
        <f>$B$64+H216</f>
        <v>4.205641045511877E-6</v>
      </c>
      <c r="K216" s="11" t="s">
        <v>116</v>
      </c>
      <c r="L216" s="36">
        <f>J216</f>
        <v>4.205641045511877E-6</v>
      </c>
      <c r="M216" s="37" t="s">
        <v>116</v>
      </c>
      <c r="N216" t="s">
        <v>144</v>
      </c>
      <c r="S216">
        <f>0.5*H216</f>
        <v>-8.351760275487938E-17</v>
      </c>
      <c r="U216" s="8">
        <f>$B$64+S216</f>
        <v>4.2056410455953944E-6</v>
      </c>
      <c r="V216" s="11" t="s">
        <v>116</v>
      </c>
      <c r="W216" s="36">
        <f>U216</f>
        <v>4.2056410455953944E-6</v>
      </c>
      <c r="X216" s="37" t="s">
        <v>116</v>
      </c>
    </row>
    <row r="217" spans="1:24" x14ac:dyDescent="0.25">
      <c r="A217">
        <v>-1.3135282511332771E-2</v>
      </c>
      <c r="B217">
        <v>5.8003193224878821E-4</v>
      </c>
      <c r="C217">
        <v>1.5637138901407617E-3</v>
      </c>
      <c r="H217">
        <v>-1.0216306831828839E-14</v>
      </c>
      <c r="J217" s="8">
        <f>$B$65+H217</f>
        <v>16.023768533849417</v>
      </c>
      <c r="K217" s="1" t="s">
        <v>117</v>
      </c>
      <c r="L217" s="38">
        <f>J217</f>
        <v>16.023768533849417</v>
      </c>
      <c r="M217" s="39" t="s">
        <v>117</v>
      </c>
      <c r="S217">
        <f t="shared" ref="S217:S218" si="209">0.5*H217</f>
        <v>-5.1081534159144193E-15</v>
      </c>
      <c r="U217" s="8">
        <f>$B$65+S217</f>
        <v>16.023768533849424</v>
      </c>
      <c r="V217" s="1" t="s">
        <v>117</v>
      </c>
      <c r="W217" s="38">
        <f>U217</f>
        <v>16.023768533849424</v>
      </c>
      <c r="X217" s="39" t="s">
        <v>117</v>
      </c>
    </row>
    <row r="218" spans="1:24" x14ac:dyDescent="0.25">
      <c r="A218">
        <v>9.0407250915807424E-2</v>
      </c>
      <c r="B218">
        <v>3.9313677468262309E-3</v>
      </c>
      <c r="C218">
        <v>2.2382797710898527E-3</v>
      </c>
      <c r="H218">
        <v>-5.1870340641091568E-14</v>
      </c>
      <c r="J218" s="8">
        <f>$B$67+H218</f>
        <v>142.90664013373069</v>
      </c>
      <c r="K218" s="1" t="s">
        <v>118</v>
      </c>
      <c r="L218" s="38">
        <f>$B$66</f>
        <v>1.7616449479451088</v>
      </c>
      <c r="M218" s="40"/>
      <c r="S218">
        <f t="shared" si="209"/>
        <v>-2.5935170320545784E-14</v>
      </c>
      <c r="U218" s="8">
        <f>$B$67+S218</f>
        <v>142.90664013373072</v>
      </c>
      <c r="V218" s="1" t="s">
        <v>118</v>
      </c>
      <c r="W218" s="38">
        <f>$B$66</f>
        <v>1.7616449479451088</v>
      </c>
      <c r="X218" s="40"/>
    </row>
    <row r="219" spans="1:24" ht="15.75" thickBot="1" x14ac:dyDescent="0.3">
      <c r="L219" s="41">
        <f>J218</f>
        <v>142.90664013373069</v>
      </c>
      <c r="M219" s="42" t="s">
        <v>118</v>
      </c>
      <c r="W219" s="41">
        <f>U218</f>
        <v>142.90664013373072</v>
      </c>
      <c r="X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6">
    <dataValidation type="list" allowBlank="1" showInputMessage="1" showErrorMessage="1" sqref="E60 D37:D48 E53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  <dataValidation type="list" allowBlank="1" showInputMessage="1" showErrorMessage="1" sqref="I54" xr:uid="{EB691415-1D99-4ED4-A99A-88476B96B39B}">
      <formula1>"Linear,Rectangular"</formula1>
    </dataValidation>
    <dataValidation type="list" allowBlank="1" showInputMessage="1" showErrorMessage="1" sqref="S54" xr:uid="{B647B2A2-EF97-412E-9851-70E842A53ADD}">
      <formula1>"Load, Elastic_Analysis"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Load_at_Pl_Center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704850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0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6" x14ac:dyDescent="0.25">
      <c r="A51" s="10" t="s">
        <v>8</v>
      </c>
      <c r="B51" s="17">
        <f>'Rigid Bearing Plate Analysis'!B51</f>
        <v>3</v>
      </c>
      <c r="C51" t="s">
        <v>11</v>
      </c>
    </row>
    <row r="52" spans="1:16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6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6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/>
      <c r="H54" s="17" t="str">
        <f>'Rigid Bearing Plate Analysis'!H54</f>
        <v>Stress Block</v>
      </c>
      <c r="I54" s="17" t="str">
        <f>'Rigid Bearing Plate Analysis'!I54</f>
        <v>Linear</v>
      </c>
      <c r="J54" s="17"/>
      <c r="K54" s="17"/>
      <c r="L54" s="17"/>
      <c r="M54" s="17"/>
      <c r="N54" s="17"/>
      <c r="O54" s="17"/>
      <c r="P54" s="17"/>
    </row>
    <row r="55" spans="1:16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/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/>
      <c r="M55" s="17"/>
      <c r="N55" s="17"/>
      <c r="O55" s="17"/>
      <c r="P55" s="17"/>
    </row>
    <row r="56" spans="1:16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/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/>
      <c r="L56" s="17"/>
      <c r="M56" s="17"/>
      <c r="N56" s="17"/>
      <c r="O56" s="17"/>
      <c r="P56" s="17"/>
    </row>
    <row r="57" spans="1:16" x14ac:dyDescent="0.25">
      <c r="D57" s="17" t="str">
        <f>'Rigid Bearing Plate Analysis'!D57</f>
        <v>Hole</v>
      </c>
      <c r="E57" s="17" t="str">
        <f>'Rigid Bearing Plate Analysis'!E57</f>
        <v>STD</v>
      </c>
      <c r="F57" s="17"/>
      <c r="G57" s="17"/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/>
      <c r="L57" s="17"/>
      <c r="M57" s="17" t="str">
        <f ca="1">'Rigid Bearing Plate Analysis'!M57</f>
        <v>SOLUTION FOUND</v>
      </c>
      <c r="N57" s="17"/>
      <c r="O57" s="17"/>
      <c r="P57" s="17"/>
    </row>
    <row r="58" spans="1:16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1:16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/>
      <c r="H59" s="17" t="str">
        <f>'Rigid Bearing Plate Analysis'!H59</f>
        <v>Max Iterations:</v>
      </c>
      <c r="I59" s="17">
        <f>'Rigid Bearing Plate Analysis'!I59</f>
        <v>100</v>
      </c>
      <c r="J59" s="17"/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/>
      <c r="O59" s="17"/>
      <c r="P59" s="17"/>
    </row>
    <row r="60" spans="1:16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/>
      <c r="G60" s="17"/>
      <c r="H60" s="17" t="str">
        <f>'Rigid Bearing Plate Analysis'!H60</f>
        <v>Iterations Used:</v>
      </c>
      <c r="I60" s="17">
        <f>'Rigid Bearing Plate Analysis'!I60</f>
        <v>12</v>
      </c>
      <c r="J60" s="17"/>
      <c r="K60" s="17"/>
      <c r="L60" s="17">
        <f>'Rigid Bearing Plate Analysis'!L60</f>
        <v>0</v>
      </c>
      <c r="M60" s="17" t="str">
        <f>'Rigid Bearing Plate Analysis'!M60</f>
        <v/>
      </c>
      <c r="N60" s="17"/>
      <c r="O60" s="17"/>
      <c r="P60" s="17"/>
    </row>
    <row r="61" spans="1:16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6" x14ac:dyDescent="0.25">
      <c r="A63" s="16" t="s">
        <v>38</v>
      </c>
    </row>
    <row r="64" spans="1:16" x14ac:dyDescent="0.25">
      <c r="A64" s="11" t="s">
        <v>39</v>
      </c>
      <c r="B64" s="17">
        <f>'Rigid Bearing Plate Analysis'!B64</f>
        <v>4.2056410456789119E-6</v>
      </c>
      <c r="C64" t="s">
        <v>19</v>
      </c>
      <c r="D64" t="s">
        <v>34</v>
      </c>
      <c r="H64" s="17">
        <f>DEGREES(B64)</f>
        <v>2.4096548206438791E-4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16.023768533849427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1.7616449740745261</v>
      </c>
      <c r="C66" t="s">
        <v>11</v>
      </c>
      <c r="D66">
        <f>B66/B53</f>
        <v>5.5820255311452732E-4</v>
      </c>
      <c r="I66" s="20"/>
    </row>
    <row r="67" spans="1:18" x14ac:dyDescent="0.25">
      <c r="A67" s="1" t="s">
        <v>37</v>
      </c>
      <c r="B67" s="17">
        <f>'Rigid Bearing Plate Analysis'!B67</f>
        <v>142.90664013373075</v>
      </c>
      <c r="C67" t="s">
        <v>36</v>
      </c>
      <c r="D67" t="s">
        <v>122</v>
      </c>
      <c r="G67" s="20">
        <f ca="1">($B$56*$B$66*$B$55*$E$122)/$B$65</f>
        <v>142.90664225337875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-35.000142991494869</v>
      </c>
      <c r="R76">
        <f>Q76</f>
        <v>-35.000142991494869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35.000142991494869</v>
      </c>
      <c r="R77">
        <f>Q77</f>
        <v>35.000142991494869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-34.000142991494869</v>
      </c>
      <c r="C84" s="1">
        <f t="shared" ref="C84:C92" si="23">(-1*B73*SIN($B$64))+(C73*COS($B$64))</f>
        <v>-33.999857007903756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1.219635903243289E-4</v>
      </c>
    </row>
    <row r="85" spans="1:10" x14ac:dyDescent="0.25">
      <c r="A85" s="1">
        <f t="shared" si="21"/>
        <v>2</v>
      </c>
      <c r="B85" s="4">
        <f t="shared" si="22"/>
        <v>33.999857007903756</v>
      </c>
      <c r="C85" s="1">
        <f t="shared" si="23"/>
        <v>-34.000142991494869</v>
      </c>
      <c r="H85" s="1">
        <f t="shared" si="24"/>
        <v>2</v>
      </c>
      <c r="I85" s="4">
        <f t="shared" ref="I85:I92" si="25">(I74*COS($B$64))+(J74*SIN($B$64))</f>
        <v>-20.506013758943368</v>
      </c>
      <c r="J85" s="1">
        <f t="shared" ref="J85:J92" si="26">(-1*I74*SIN($B$64))+(J74*COS($B$64))</f>
        <v>20.506086241114499</v>
      </c>
    </row>
    <row r="86" spans="1:10" x14ac:dyDescent="0.25">
      <c r="A86" s="1">
        <f t="shared" si="21"/>
        <v>3</v>
      </c>
      <c r="B86" s="4">
        <f t="shared" si="22"/>
        <v>34.000142991494869</v>
      </c>
      <c r="C86" s="1">
        <f t="shared" si="23"/>
        <v>33.999857007903756</v>
      </c>
      <c r="H86" s="1">
        <f t="shared" si="24"/>
        <v>3</v>
      </c>
      <c r="I86" s="4">
        <f t="shared" si="25"/>
        <v>1.219635903243289E-4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-33.999857007903756</v>
      </c>
      <c r="C87" s="1">
        <f t="shared" si="23"/>
        <v>34.000142991494869</v>
      </c>
      <c r="H87" s="1">
        <f t="shared" si="24"/>
        <v>4</v>
      </c>
      <c r="I87" s="4">
        <f t="shared" si="25"/>
        <v>20.506086240693936</v>
      </c>
      <c r="J87" s="1">
        <f t="shared" si="26"/>
        <v>20.505913758943368</v>
      </c>
    </row>
    <row r="88" spans="1:10" x14ac:dyDescent="0.25">
      <c r="A88" s="1">
        <f t="shared" si="21"/>
        <v>5</v>
      </c>
      <c r="B88" s="4">
        <f t="shared" si="22"/>
        <v>-34.000142991494869</v>
      </c>
      <c r="C88" s="1">
        <f t="shared" si="23"/>
        <v>-33.999857007903756</v>
      </c>
      <c r="H88" s="1">
        <f t="shared" si="24"/>
        <v>5</v>
      </c>
      <c r="I88" s="4">
        <f t="shared" si="25"/>
        <v>28.999999999743533</v>
      </c>
      <c r="J88" s="1">
        <f t="shared" si="26"/>
        <v>-1.219635903243289E-4</v>
      </c>
    </row>
    <row r="89" spans="1:10" x14ac:dyDescent="0.25">
      <c r="A89" s="1">
        <f t="shared" si="21"/>
        <v>6</v>
      </c>
      <c r="B89" s="4">
        <f t="shared" si="22"/>
        <v>-34.000142991494869</v>
      </c>
      <c r="C89" s="1">
        <f t="shared" si="23"/>
        <v>-33.999857007903756</v>
      </c>
      <c r="H89" s="1">
        <f t="shared" si="24"/>
        <v>6</v>
      </c>
      <c r="I89" s="4">
        <f t="shared" si="25"/>
        <v>20.505913758522805</v>
      </c>
      <c r="J89" s="1">
        <f t="shared" si="26"/>
        <v>-20.506186240693935</v>
      </c>
    </row>
    <row r="90" spans="1:10" x14ac:dyDescent="0.25">
      <c r="A90" s="1">
        <f t="shared" si="21"/>
        <v>7</v>
      </c>
      <c r="B90" s="4">
        <f t="shared" si="22"/>
        <v>-34.000142991494869</v>
      </c>
      <c r="C90" s="1">
        <f t="shared" si="23"/>
        <v>-33.999857007903756</v>
      </c>
      <c r="H90" s="1">
        <f t="shared" si="24"/>
        <v>7</v>
      </c>
      <c r="I90" s="4">
        <f t="shared" si="25"/>
        <v>-1.219635903243289E-4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-34.000142991494869</v>
      </c>
      <c r="C91" s="1">
        <f t="shared" si="23"/>
        <v>-33.999857007903756</v>
      </c>
      <c r="H91" s="1">
        <f t="shared" si="24"/>
        <v>8</v>
      </c>
      <c r="I91" s="4">
        <f t="shared" si="25"/>
        <v>-20.506186241114499</v>
      </c>
      <c r="J91" s="1">
        <f t="shared" si="26"/>
        <v>-20.506013758522805</v>
      </c>
    </row>
    <row r="92" spans="1:10" x14ac:dyDescent="0.25">
      <c r="A92" s="1">
        <f t="shared" si="21"/>
        <v>9</v>
      </c>
      <c r="B92" s="4">
        <f t="shared" si="22"/>
        <v>-34.000142991494869</v>
      </c>
      <c r="C92" s="1">
        <f t="shared" si="23"/>
        <v>-33.999857007903756</v>
      </c>
      <c r="H92" s="1">
        <f t="shared" si="24"/>
        <v>9</v>
      </c>
      <c r="I92" s="4">
        <f t="shared" si="25"/>
        <v>-28.999999999743533</v>
      </c>
      <c r="J92" s="1">
        <f t="shared" si="26"/>
        <v>1.219635903243289E-4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27.040080874238175</v>
      </c>
      <c r="C110" s="1">
        <f>(-1*B95*SIN($B$64))+(C95*COS($B$64))</f>
        <v>19.229886279296057</v>
      </c>
      <c r="D110" t="str">
        <f t="shared" ref="D110" si="31">D95</f>
        <v>y</v>
      </c>
      <c r="E110" s="4">
        <f t="shared" ref="E110:E121" si="32">IF($D110="y",$B$125-C110,0)</f>
        <v>-1.2535118216506156</v>
      </c>
      <c r="F110" s="1">
        <f>IF($D110="y",B110,NA())</f>
        <v>27.040080874238175</v>
      </c>
      <c r="G110" s="1">
        <f>IF($D110="y",C110,NA())</f>
        <v>19.229886279296057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4.3667224581190444E-5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-27.042919125283529</v>
      </c>
      <c r="C111" s="1">
        <f t="shared" ref="C111:C121" si="37">(-1*B96*SIN($B$64))+(C96*COS($B$64))</f>
        <v>19.23011373298073</v>
      </c>
      <c r="D111" t="str">
        <f t="shared" si="35"/>
        <v>y</v>
      </c>
      <c r="E111" s="4">
        <f t="shared" si="32"/>
        <v>-1.2537392753352883</v>
      </c>
      <c r="F111" s="1">
        <f t="shared" ref="F111:G121" si="38">IF($D111="y",B111,NA())</f>
        <v>-27.042919125283529</v>
      </c>
      <c r="G111" s="1">
        <f t="shared" si="38"/>
        <v>19.23011373298073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4.3675148137202338E-5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27.039919125283557</v>
      </c>
      <c r="C112" s="1">
        <f t="shared" si="37"/>
        <v>-19.230113720363811</v>
      </c>
      <c r="D112" t="str">
        <f t="shared" si="35"/>
        <v>y</v>
      </c>
      <c r="E112" s="4">
        <f t="shared" si="32"/>
        <v>37.206488178009252</v>
      </c>
      <c r="F112" s="1">
        <f t="shared" si="38"/>
        <v>27.039919125283557</v>
      </c>
      <c r="G112" s="1">
        <f t="shared" si="38"/>
        <v>-19.230113720363811</v>
      </c>
      <c r="H112">
        <f t="shared" si="33"/>
        <v>-122.07263849574174</v>
      </c>
      <c r="I112">
        <f t="shared" si="39"/>
        <v>2347.4707204179749</v>
      </c>
      <c r="J112">
        <f t="shared" si="40"/>
        <v>3300.8342723348328</v>
      </c>
      <c r="K112">
        <f t="shared" ref="K112:K121" ca="1" si="45">H112/$B$55</f>
        <v>-37.587533413412565</v>
      </c>
      <c r="L112">
        <f t="shared" ca="1" si="41"/>
        <v>-1.2961218418418125E-3</v>
      </c>
      <c r="M112">
        <f t="shared" si="34"/>
        <v>-1.2961218610664064E-3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-27.043080874238147</v>
      </c>
      <c r="C113" s="1">
        <f t="shared" si="37"/>
        <v>-19.229886266679138</v>
      </c>
      <c r="D113" t="str">
        <f t="shared" si="35"/>
        <v>y</v>
      </c>
      <c r="E113" s="4">
        <f t="shared" si="32"/>
        <v>37.206260724324579</v>
      </c>
      <c r="F113" s="1">
        <f t="shared" si="38"/>
        <v>-27.043080874238147</v>
      </c>
      <c r="G113" s="1">
        <f t="shared" si="38"/>
        <v>-19.229886266679138</v>
      </c>
      <c r="H113">
        <f t="shared" si="33"/>
        <v>-122.07189223150711</v>
      </c>
      <c r="I113">
        <f t="shared" si="39"/>
        <v>2347.4286039701942</v>
      </c>
      <c r="J113">
        <f t="shared" si="40"/>
        <v>-3301.2000540879299</v>
      </c>
      <c r="K113">
        <f t="shared" ca="1" si="45"/>
        <v>-37.587303630291629</v>
      </c>
      <c r="L113">
        <f t="shared" ca="1" si="41"/>
        <v>-1.2961139182859182E-3</v>
      </c>
      <c r="M113">
        <f t="shared" si="34"/>
        <v>-1.2961139375103946E-3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25.866095173428111</v>
      </c>
      <c r="C114" s="1">
        <f t="shared" si="37"/>
        <v>22.629891216688584</v>
      </c>
      <c r="D114" t="str">
        <f t="shared" si="35"/>
        <v>y</v>
      </c>
      <c r="E114" s="4">
        <f t="shared" si="32"/>
        <v>-4.6535167590431428</v>
      </c>
      <c r="F114" s="1">
        <f t="shared" si="38"/>
        <v>25.866095173428111</v>
      </c>
      <c r="G114" s="1">
        <f t="shared" si="38"/>
        <v>22.629891216688584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1.6210948943575973E-4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-25.864904826114397</v>
      </c>
      <c r="C115" s="1">
        <f t="shared" si="37"/>
        <v>22.630108778705516</v>
      </c>
      <c r="D115" t="str">
        <f t="shared" si="35"/>
        <v>y</v>
      </c>
      <c r="E115" s="4">
        <f t="shared" si="32"/>
        <v>-4.6537343210600746</v>
      </c>
      <c r="F115" s="1">
        <f t="shared" si="38"/>
        <v>-25.864904826114397</v>
      </c>
      <c r="G115" s="1">
        <f t="shared" si="38"/>
        <v>22.630108778705516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1.6211706840652779E-4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25.865904826114384</v>
      </c>
      <c r="C116" s="1">
        <f t="shared" si="37"/>
        <v>-22.630108782911158</v>
      </c>
      <c r="D116" t="str">
        <f t="shared" si="35"/>
        <v>y</v>
      </c>
      <c r="E116" s="4">
        <f t="shared" si="32"/>
        <v>40.606483240556599</v>
      </c>
      <c r="F116" s="1">
        <f t="shared" si="38"/>
        <v>25.865904826114384</v>
      </c>
      <c r="G116" s="1">
        <f t="shared" si="38"/>
        <v>-22.630108782911158</v>
      </c>
      <c r="H116">
        <f t="shared" si="33"/>
        <v>-133.2278533112846</v>
      </c>
      <c r="I116">
        <f t="shared" si="39"/>
        <v>3014.9608133481011</v>
      </c>
      <c r="J116">
        <f t="shared" si="40"/>
        <v>3446.0589739372158</v>
      </c>
      <c r="K116">
        <f t="shared" ca="1" si="45"/>
        <v>-41.022349067271307</v>
      </c>
      <c r="L116">
        <f t="shared" ca="1" si="41"/>
        <v>-1.4145637609403899E-3</v>
      </c>
      <c r="M116">
        <f t="shared" si="34"/>
        <v>-1.414563781921761E-3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-25.865095173428124</v>
      </c>
      <c r="C117" s="1">
        <f t="shared" si="37"/>
        <v>-22.629891220894226</v>
      </c>
      <c r="D117" t="str">
        <f t="shared" si="35"/>
        <v>y</v>
      </c>
      <c r="E117" s="4">
        <f t="shared" si="32"/>
        <v>40.606265678539671</v>
      </c>
      <c r="F117" s="1">
        <f t="shared" si="38"/>
        <v>-25.865095173428124</v>
      </c>
      <c r="G117" s="1">
        <f t="shared" si="38"/>
        <v>-22.629891220894226</v>
      </c>
      <c r="H117">
        <f t="shared" si="33"/>
        <v>-133.22713950112021</v>
      </c>
      <c r="I117">
        <f t="shared" si="39"/>
        <v>3014.9156745812506</v>
      </c>
      <c r="J117">
        <f t="shared" si="40"/>
        <v>-3445.9326428800596</v>
      </c>
      <c r="K117">
        <f t="shared" ca="1" si="45"/>
        <v>-41.022129277122289</v>
      </c>
      <c r="L117">
        <f t="shared" ca="1" si="41"/>
        <v>-1.4145561819697342E-3</v>
      </c>
      <c r="M117">
        <f t="shared" si="34"/>
        <v>-1.4145562029509932E-3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24.666107580079803</v>
      </c>
      <c r="C118" s="1">
        <f t="shared" si="37"/>
        <v>25.579896263431742</v>
      </c>
      <c r="D118" t="str">
        <f t="shared" si="35"/>
        <v>y</v>
      </c>
      <c r="E118" s="4">
        <f t="shared" si="32"/>
        <v>-7.6035218057863005</v>
      </c>
      <c r="F118" s="1">
        <f t="shared" si="38"/>
        <v>24.666107580079803</v>
      </c>
      <c r="G118" s="1">
        <f t="shared" si="38"/>
        <v>25.579896263431742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2.6487559875106829E-4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-24.665892419483914</v>
      </c>
      <c r="C119" s="1">
        <f t="shared" si="37"/>
        <v>25.580103736115809</v>
      </c>
      <c r="D119" t="str">
        <f t="shared" si="35"/>
        <v>y</v>
      </c>
      <c r="E119" s="4">
        <f t="shared" si="32"/>
        <v>-7.6037292784703681</v>
      </c>
      <c r="F119" s="1">
        <f t="shared" si="38"/>
        <v>-24.665892419483914</v>
      </c>
      <c r="G119" s="1">
        <f t="shared" si="38"/>
        <v>25.580103736115809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2.6488282625074808E-4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24.66589241948391</v>
      </c>
      <c r="C120" s="1">
        <f t="shared" si="37"/>
        <v>-25.580103736115809</v>
      </c>
      <c r="D120" t="str">
        <f t="shared" si="35"/>
        <v>y</v>
      </c>
      <c r="E120" s="4">
        <f t="shared" si="32"/>
        <v>43.556478193761251</v>
      </c>
      <c r="F120" s="1">
        <f t="shared" si="38"/>
        <v>24.66589241948391</v>
      </c>
      <c r="G120" s="1">
        <f t="shared" si="38"/>
        <v>-25.580103736115809</v>
      </c>
      <c r="H120">
        <f t="shared" si="33"/>
        <v>-142.90664013373075</v>
      </c>
      <c r="I120">
        <f t="shared" si="39"/>
        <v>3655.5666792006032</v>
      </c>
      <c r="J120">
        <f t="shared" si="40"/>
        <v>3524.9198115685044</v>
      </c>
      <c r="K120">
        <f t="shared" ca="1" si="45"/>
        <v>-44.002555996301368</v>
      </c>
      <c r="L120">
        <f t="shared" ca="1" si="41"/>
        <v>-1.5173295171138402E-3</v>
      </c>
      <c r="M120">
        <f t="shared" si="34"/>
        <v>-1.5173295396194741E-3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-24.666107580079807</v>
      </c>
      <c r="C121" s="1">
        <f t="shared" si="37"/>
        <v>-25.579896263431742</v>
      </c>
      <c r="D121" t="str">
        <f t="shared" si="35"/>
        <v>y</v>
      </c>
      <c r="E121" s="4">
        <f t="shared" si="32"/>
        <v>43.556270721077183</v>
      </c>
      <c r="F121" s="1">
        <f t="shared" si="38"/>
        <v>-24.666107580079807</v>
      </c>
      <c r="G121" s="1">
        <f t="shared" si="38"/>
        <v>-25.579896263431742</v>
      </c>
      <c r="H121" s="23">
        <f t="shared" si="33"/>
        <v>-142.90595942616602</v>
      </c>
      <c r="I121" s="23">
        <f t="shared" si="39"/>
        <v>3655.5196175475121</v>
      </c>
      <c r="J121" s="23">
        <f t="shared" si="40"/>
        <v>-3524.9337690403308</v>
      </c>
      <c r="K121">
        <f t="shared" ca="1" si="45"/>
        <v>-44.002346398813764</v>
      </c>
      <c r="L121">
        <f t="shared" ca="1" si="41"/>
        <v>-1.5173222896142677E-3</v>
      </c>
      <c r="M121">
        <f t="shared" si="34"/>
        <v>-1.5173223121197942E-3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43.556478193761251</v>
      </c>
      <c r="H122">
        <f>SUM(H110:H121)</f>
        <v>-796.4121230995504</v>
      </c>
      <c r="I122">
        <f t="shared" ref="I122:J122" si="46">SUM(I110:I121)</f>
        <v>18035.862109065638</v>
      </c>
      <c r="J122">
        <f t="shared" si="46"/>
        <v>-0.25340816776724751</v>
      </c>
      <c r="L122">
        <f ca="1">MIN(L110:L121)</f>
        <v>-1.5173295171138402E-3</v>
      </c>
      <c r="M122">
        <f>MIN(M110:M121)</f>
        <v>-1.5173295396194741E-3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17.976374457645441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-35.000142991494869</v>
      </c>
      <c r="G126" s="4">
        <f>B125</f>
        <v>17.976374457645441</v>
      </c>
    </row>
    <row r="127" spans="1:16" x14ac:dyDescent="0.25">
      <c r="F127" s="4">
        <f>MAX(B84:B90)+1</f>
        <v>35.000142991494869</v>
      </c>
      <c r="G127" s="4">
        <f>G126</f>
        <v>17.976374457645441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-34.000142991494869</v>
      </c>
      <c r="C132" s="4">
        <f>C84</f>
        <v>-33.999857007903756</v>
      </c>
      <c r="D132" s="4">
        <f t="shared" ref="D132:E139" si="47">B85</f>
        <v>33.999857007903756</v>
      </c>
      <c r="E132" s="4">
        <f t="shared" si="47"/>
        <v>-34.000142991494869</v>
      </c>
      <c r="F132" s="4">
        <f t="shared" ref="F132:F139" si="48">($B$66/$B$65)*(C132-$B$125)</f>
        <v>-5.7142404883841911</v>
      </c>
      <c r="G132" s="4">
        <f t="shared" ref="G132:G139" si="49">($B$66/$B$65)*(E132-$B$125)</f>
        <v>-5.714271929274946</v>
      </c>
      <c r="H132" s="4">
        <f>IF(B132=D132,"V",(C132-E132)/(B132-D132))</f>
        <v>-4.2056410458081708E-6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33.999857007903756</v>
      </c>
      <c r="C133" s="4">
        <f t="shared" si="50"/>
        <v>-34.000142991494869</v>
      </c>
      <c r="D133" s="4">
        <f t="shared" si="47"/>
        <v>34.000142991494869</v>
      </c>
      <c r="E133" s="4">
        <f t="shared" si="47"/>
        <v>33.999857007903756</v>
      </c>
      <c r="F133" s="4">
        <f t="shared" si="48"/>
        <v>-5.714271929274946</v>
      </c>
      <c r="G133" s="4">
        <f t="shared" si="49"/>
        <v>1.7616135331837715</v>
      </c>
      <c r="H133" s="4">
        <f t="shared" ref="H133:H139" si="51">IF(B133=D133,"V",(C133-E133)/(B133-D133))</f>
        <v>237775.87984992584</v>
      </c>
      <c r="I133" s="4">
        <f t="shared" ref="I133:I139" si="52">IF(H133="V",0,(-1*B133*H133)+C133)</f>
        <v>-8084379.914968974</v>
      </c>
      <c r="J133" s="4">
        <f t="shared" ref="J133:J139" si="53">IF($F133&gt;=0,B133,IF(AND($F133&lt;0,$G133&gt;=0),IF(H133="V",B133,($B$125-I133)/H133),0))</f>
        <v>34.000075602478958</v>
      </c>
      <c r="K133" s="4">
        <f t="shared" ref="K133:K139" si="54">IF($F133&gt;=0,C133,IF(AND($F133&lt;0,$G133&gt;=0),$B$125,0))</f>
        <v>17.976374457645441</v>
      </c>
      <c r="L133" s="4">
        <f t="shared" ref="L133:L139" si="55">IF($G133&gt;=0,D133,IF(AND($G133&lt;0,$F133&gt;=0),IF(H133="V",D133,($B$125-I133)/H133),0))</f>
        <v>34.000142991494869</v>
      </c>
      <c r="M133" s="4">
        <f t="shared" ref="M133:M139" si="56">IF($G133&gt;=0,E133,IF(AND($G133&lt;0,$F133&gt;=0),$B$125,0))</f>
        <v>33.999857007903756</v>
      </c>
      <c r="N133" s="4">
        <f t="shared" ref="N133:O139" si="57">IF(F133&lt;0,IF($I$54="Linear",0,$B$66),IF($I$54="Linear",F133,$B$66))</f>
        <v>0</v>
      </c>
      <c r="O133" s="4">
        <f t="shared" si="57"/>
        <v>1.7616135331837715</v>
      </c>
      <c r="P133" s="4">
        <f t="shared" ref="P133:P139" si="58">(1/6)*(M133-K133)*((N133*((2*J133)+L133))+(O133*(J133+(2*L133))))</f>
        <v>479.8638241474826</v>
      </c>
      <c r="Q133" s="4">
        <f t="shared" ref="Q133:Q139" si="59">((1/12)*(M133-K133)*(N133*J133*((3*K133)+M133)+N133*L133*(K133+M133)+O133*J133*(K133+M133)+O133*L133*(K133+(3*M133))))</f>
        <v>13752.272380035109</v>
      </c>
      <c r="R133" s="4">
        <f t="shared" ref="R133:R139" si="60">((-1/24)*(M133-K133)*(J133*J133*((3*N133)+O133)+2*J133*L133*(N133+O133)+L133*L133*(N133+(3*O133))))</f>
        <v>-8157.7139291399453</v>
      </c>
    </row>
    <row r="134" spans="1:18" x14ac:dyDescent="0.25">
      <c r="A134" t="s">
        <v>71</v>
      </c>
      <c r="B134" s="4">
        <f t="shared" si="50"/>
        <v>34.000142991494869</v>
      </c>
      <c r="C134" s="4">
        <f t="shared" si="50"/>
        <v>33.999857007903756</v>
      </c>
      <c r="D134" s="4">
        <f t="shared" si="47"/>
        <v>-33.999857007903756</v>
      </c>
      <c r="E134" s="4">
        <f t="shared" si="47"/>
        <v>34.000142991494869</v>
      </c>
      <c r="F134" s="4">
        <f t="shared" si="48"/>
        <v>1.7616135331837715</v>
      </c>
      <c r="G134" s="4">
        <f t="shared" si="49"/>
        <v>1.7616449740745261</v>
      </c>
      <c r="H134" s="4">
        <f t="shared" si="51"/>
        <v>-4.2056410458081708E-6</v>
      </c>
      <c r="I134" s="4">
        <f t="shared" si="52"/>
        <v>34.000000000300687</v>
      </c>
      <c r="J134" s="4">
        <f t="shared" si="53"/>
        <v>34.000142991494869</v>
      </c>
      <c r="K134" s="4">
        <f t="shared" si="54"/>
        <v>33.999857007903756</v>
      </c>
      <c r="L134" s="4">
        <f t="shared" si="55"/>
        <v>-33.999857007903756</v>
      </c>
      <c r="M134" s="4">
        <f t="shared" si="56"/>
        <v>34.000142991494869</v>
      </c>
      <c r="N134" s="4">
        <f t="shared" si="57"/>
        <v>1.7616135331837715</v>
      </c>
      <c r="O134" s="4">
        <f t="shared" si="57"/>
        <v>1.7616449740745261</v>
      </c>
      <c r="P134" s="4">
        <f t="shared" si="58"/>
        <v>2.1086566102633655E-8</v>
      </c>
      <c r="Q134" s="4">
        <f t="shared" si="59"/>
        <v>-9.949700976213874E-8</v>
      </c>
      <c r="R134" s="4">
        <f t="shared" si="60"/>
        <v>-9.7064900253943209E-2</v>
      </c>
    </row>
    <row r="135" spans="1:18" x14ac:dyDescent="0.25">
      <c r="A135" t="s">
        <v>72</v>
      </c>
      <c r="B135" s="4">
        <f t="shared" si="50"/>
        <v>-33.999857007903756</v>
      </c>
      <c r="C135" s="4">
        <f t="shared" si="50"/>
        <v>34.000142991494869</v>
      </c>
      <c r="D135" s="4">
        <f t="shared" si="47"/>
        <v>-34.000142991494869</v>
      </c>
      <c r="E135" s="4">
        <f t="shared" si="47"/>
        <v>-33.999857007903756</v>
      </c>
      <c r="F135" s="4">
        <f t="shared" si="48"/>
        <v>1.7616449740745261</v>
      </c>
      <c r="G135" s="4">
        <f t="shared" si="49"/>
        <v>-5.7142404883841911</v>
      </c>
      <c r="H135" s="4">
        <f t="shared" si="51"/>
        <v>237775.87984992584</v>
      </c>
      <c r="I135" s="4">
        <f t="shared" si="52"/>
        <v>8084379.914968974</v>
      </c>
      <c r="J135" s="4">
        <f t="shared" si="53"/>
        <v>-33.999857007903756</v>
      </c>
      <c r="K135" s="4">
        <f t="shared" si="54"/>
        <v>34.000142991494869</v>
      </c>
      <c r="L135" s="4">
        <f t="shared" si="55"/>
        <v>-33.99992439812241</v>
      </c>
      <c r="M135" s="4">
        <f t="shared" si="56"/>
        <v>17.976374457645441</v>
      </c>
      <c r="N135" s="4">
        <f t="shared" si="57"/>
        <v>1.7616449740745261</v>
      </c>
      <c r="O135" s="4">
        <f t="shared" si="57"/>
        <v>0</v>
      </c>
      <c r="P135" s="4">
        <f t="shared" si="58"/>
        <v>479.87755100415967</v>
      </c>
      <c r="Q135" s="4">
        <f t="shared" si="59"/>
        <v>13752.755571865002</v>
      </c>
      <c r="R135" s="4">
        <f t="shared" si="60"/>
        <v>8157.8894475661982</v>
      </c>
    </row>
    <row r="136" spans="1:18" x14ac:dyDescent="0.25">
      <c r="A136" t="s">
        <v>73</v>
      </c>
      <c r="B136" s="4">
        <f t="shared" si="50"/>
        <v>-34.000142991494869</v>
      </c>
      <c r="C136" s="4">
        <f t="shared" si="50"/>
        <v>-33.999857007903756</v>
      </c>
      <c r="D136" s="4">
        <f t="shared" si="47"/>
        <v>-34.000142991494869</v>
      </c>
      <c r="E136" s="4">
        <f t="shared" si="47"/>
        <v>-33.999857007903756</v>
      </c>
      <c r="F136" s="4">
        <f t="shared" si="48"/>
        <v>-5.7142404883841911</v>
      </c>
      <c r="G136" s="4">
        <f t="shared" si="49"/>
        <v>-5.7142404883841911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-34.000142991494869</v>
      </c>
      <c r="C137" s="4">
        <f t="shared" si="50"/>
        <v>-33.999857007903756</v>
      </c>
      <c r="D137" s="4">
        <f t="shared" si="47"/>
        <v>-34.000142991494869</v>
      </c>
      <c r="E137" s="4">
        <f t="shared" si="47"/>
        <v>-33.999857007903756</v>
      </c>
      <c r="F137" s="4">
        <f t="shared" si="48"/>
        <v>-5.7142404883841911</v>
      </c>
      <c r="G137" s="4">
        <f t="shared" si="49"/>
        <v>-5.7142404883841911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-34.000142991494869</v>
      </c>
      <c r="C138" s="4">
        <f t="shared" si="50"/>
        <v>-33.999857007903756</v>
      </c>
      <c r="D138" s="4">
        <f t="shared" si="47"/>
        <v>-34.000142991494869</v>
      </c>
      <c r="E138" s="4">
        <f t="shared" si="47"/>
        <v>-33.999857007903756</v>
      </c>
      <c r="F138" s="4">
        <f t="shared" si="48"/>
        <v>-5.7142404883841911</v>
      </c>
      <c r="G138" s="4">
        <f t="shared" si="49"/>
        <v>-5.7142404883841911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-34.000142991494869</v>
      </c>
      <c r="C139" s="4">
        <f>E138</f>
        <v>-33.999857007903756</v>
      </c>
      <c r="D139" s="4">
        <f t="shared" si="47"/>
        <v>-34.000142991494869</v>
      </c>
      <c r="E139" s="4">
        <f t="shared" si="47"/>
        <v>-33.999857007903756</v>
      </c>
      <c r="F139" s="4">
        <f t="shared" si="48"/>
        <v>-5.7142404883841911</v>
      </c>
      <c r="G139" s="4">
        <f t="shared" si="49"/>
        <v>-5.7142404883841911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959.74137517272879</v>
      </c>
      <c r="Q140" s="4">
        <f>SUM(Q132:Q139)</f>
        <v>27505.027951800614</v>
      </c>
      <c r="R140" s="4">
        <f>SUM(R132:R139)</f>
        <v>7.8453525999066187E-2</v>
      </c>
    </row>
    <row r="142" spans="1:18" x14ac:dyDescent="0.25">
      <c r="O142" t="s">
        <v>96</v>
      </c>
      <c r="P142" s="1">
        <f>-1*R140/P140</f>
        <v>-8.1744444939603196E-5</v>
      </c>
    </row>
    <row r="143" spans="1:18" x14ac:dyDescent="0.25">
      <c r="O143" t="s">
        <v>97</v>
      </c>
      <c r="P143" s="1">
        <f>Q140/P140</f>
        <v>28.658791486248486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1.219635903243289E-4</v>
      </c>
      <c r="D146" s="9">
        <f t="shared" ref="D146:E153" si="61">I85</f>
        <v>-20.506013758943368</v>
      </c>
      <c r="E146">
        <f t="shared" si="61"/>
        <v>20.506086241114499</v>
      </c>
      <c r="F146" s="4">
        <f>($B$66/$B$65)*(C146-$B$125)</f>
        <v>-1.9763000689850354</v>
      </c>
      <c r="G146" s="4">
        <f>($B$66/$B$65)*(E146-$B$125)</f>
        <v>0.27811522862373667</v>
      </c>
      <c r="H146" s="4">
        <f>IF(B146=D146,"V",(C146-E146)/(B146-D146))</f>
        <v>2.4141744166037684</v>
      </c>
      <c r="I146" s="4">
        <f>IF(H146="V",0,(-1*B146*H146)+C146)</f>
        <v>70.011180044480454</v>
      </c>
      <c r="J146" s="4">
        <f>IF($F146&gt;=0,B146,IF(AND($F146&lt;0,$G146&gt;=0),IF(H146="V",B146,($B$125-I146)/H146),0))</f>
        <v>-21.553871679262077</v>
      </c>
      <c r="K146" s="4">
        <f>IF($F146&gt;=0,C146,IF(AND($F146&lt;0,$G146&gt;=0),$B$125,0))</f>
        <v>17.976374457645441</v>
      </c>
      <c r="L146" s="4">
        <f>IF($G146&gt;=0,D146,IF(AND($G146&lt;0,$F146&gt;=0),IF(H146="V",D146,($B$125-I146)/H146),0))</f>
        <v>-20.506013758943368</v>
      </c>
      <c r="M146" s="4">
        <f>IF($G146&gt;=0,E146,IF(AND($G146&lt;0,$F146&gt;=0),$B$125,0))</f>
        <v>20.506086241114499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0.27811522862373667</v>
      </c>
      <c r="P146" s="4">
        <f>(1/6)*(M146-K146)*((N146*((2*J146)+L146))+(O146*(J146+(2*L146))))</f>
        <v>-7.3363873597885343</v>
      </c>
      <c r="Q146" s="4">
        <f>((1/12)*(M146-K146)*(N146*J146*((3*K146)+M146)+N146*L146*(K146+M146)+O146*J146*(K146+M146)+O146*L146*(K146+(3*M146))))</f>
        <v>-144.20247230099787</v>
      </c>
      <c r="R146" s="4">
        <f>((-1/24)*(M146-K146)*(J146*J146*((3*N146)+O146)+2*J146*L146*(N146+O146)+L146*L146*(N146+(3*O146))))</f>
        <v>-76.512007889826123</v>
      </c>
    </row>
    <row r="147" spans="1:18" x14ac:dyDescent="0.25">
      <c r="A147" t="s">
        <v>70</v>
      </c>
      <c r="B147" s="9">
        <f t="shared" ref="B147:C153" si="62">D146</f>
        <v>-20.506013758943368</v>
      </c>
      <c r="C147">
        <f t="shared" si="62"/>
        <v>20.506086241114499</v>
      </c>
      <c r="D147" s="9">
        <f t="shared" si="61"/>
        <v>1.219635903243289E-4</v>
      </c>
      <c r="E147">
        <f t="shared" si="61"/>
        <v>28.999999999743533</v>
      </c>
      <c r="F147" s="4">
        <f t="shared" ref="F147:F153" si="63">($B$66/$B$65)*(C147-$B$125)</f>
        <v>0.27811522862373667</v>
      </c>
      <c r="G147" s="4">
        <f t="shared" ref="G147:G153" si="64">($B$66/$B$65)*(E147-$B$125)</f>
        <v>1.2119317931542433</v>
      </c>
      <c r="H147" s="4">
        <f t="shared" ref="H147:H153" si="65">IF(B147=D147,"V",(C147-E147)/(B147-D147))</f>
        <v>0.41421328101789945</v>
      </c>
      <c r="I147" s="4">
        <f t="shared" ref="I147:I153" si="66">IF(H147="V",0,(-1*B147*H147)+C147)</f>
        <v>28.99994948080462</v>
      </c>
      <c r="J147" s="4">
        <f t="shared" ref="J147:J153" si="67">IF($F147&gt;=0,B147,IF(AND($F147&lt;0,$G147&gt;=0),IF(H147="V",B147,($B$125-I147)/H147),0))</f>
        <v>-20.506013758943368</v>
      </c>
      <c r="K147" s="4">
        <f t="shared" ref="K147:K153" si="68">IF($F147&gt;=0,C147,IF(AND($F147&lt;0,$G147&gt;=0),$B$125,0))</f>
        <v>20.506086241114499</v>
      </c>
      <c r="L147" s="4">
        <f t="shared" ref="L147:L153" si="69">IF($G147&gt;=0,D147,IF(AND($G147&lt;0,$F147&gt;=0),IF(H147="V",D147,($B$125-I147)/H147),0))</f>
        <v>1.219635903243289E-4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0.27811522862373667</v>
      </c>
      <c r="O147" s="4">
        <f t="shared" si="71"/>
        <v>1.2119317931542433</v>
      </c>
      <c r="P147" s="4">
        <f t="shared" ref="P147:P153" si="72">(1/6)*(M147-K147)*((N147*((2*J147)+L147))+(O147*(J147+(2*L147))))</f>
        <v>-51.328196898794829</v>
      </c>
      <c r="Q147" s="4">
        <f t="shared" ref="Q147:Q153" si="73">((1/12)*(M147-K147)*(N147*J147*((3*K147)+M147)+N147*L147*(K147+M147)+O147*J147*(K147+M147)+O147*L147*(K147+(3*M147))))</f>
        <v>-1236.2403159639714</v>
      </c>
      <c r="R147" s="4">
        <f t="shared" ref="R147:R153" si="74">((-1/24)*(M147-K147)*(J147*J147*((3*N147)+O147)+2*J147*L147*(N147+O147)+L147*L147*(N147+(3*O147))))</f>
        <v>-304.52282990772744</v>
      </c>
    </row>
    <row r="148" spans="1:18" x14ac:dyDescent="0.25">
      <c r="A148" t="s">
        <v>71</v>
      </c>
      <c r="B148" s="9">
        <f t="shared" si="62"/>
        <v>1.219635903243289E-4</v>
      </c>
      <c r="C148">
        <f t="shared" si="62"/>
        <v>28.999999999743533</v>
      </c>
      <c r="D148" s="9">
        <f t="shared" si="61"/>
        <v>20.506086240693936</v>
      </c>
      <c r="E148">
        <f t="shared" si="61"/>
        <v>20.505913758943368</v>
      </c>
      <c r="F148" s="4">
        <f t="shared" si="63"/>
        <v>1.2119317931542433</v>
      </c>
      <c r="G148" s="4">
        <f t="shared" si="64"/>
        <v>0.27809626602144694</v>
      </c>
      <c r="H148" s="4">
        <f t="shared" si="65"/>
        <v>-0.41422515547266531</v>
      </c>
      <c r="I148" s="4">
        <f t="shared" si="66"/>
        <v>29.000050520130696</v>
      </c>
      <c r="J148" s="4">
        <f t="shared" si="67"/>
        <v>1.219635903243289E-4</v>
      </c>
      <c r="K148" s="4">
        <f t="shared" si="68"/>
        <v>28.999999999743533</v>
      </c>
      <c r="L148" s="4">
        <f t="shared" si="69"/>
        <v>20.506086240693936</v>
      </c>
      <c r="M148" s="4">
        <f t="shared" si="70"/>
        <v>20.505913758943368</v>
      </c>
      <c r="N148" s="4">
        <f t="shared" si="71"/>
        <v>1.2119317931542433</v>
      </c>
      <c r="O148" s="4">
        <f t="shared" si="71"/>
        <v>0.27809626602144694</v>
      </c>
      <c r="P148" s="4">
        <f t="shared" si="72"/>
        <v>-51.329252711640208</v>
      </c>
      <c r="Q148" s="4">
        <f t="shared" si="73"/>
        <v>-1236.2646254247109</v>
      </c>
      <c r="R148" s="4">
        <f t="shared" si="74"/>
        <v>304.52797595734035</v>
      </c>
    </row>
    <row r="149" spans="1:18" x14ac:dyDescent="0.25">
      <c r="A149" t="s">
        <v>72</v>
      </c>
      <c r="B149" s="9">
        <f t="shared" si="62"/>
        <v>20.506086240693936</v>
      </c>
      <c r="C149">
        <f t="shared" si="62"/>
        <v>20.505913758943368</v>
      </c>
      <c r="D149" s="9">
        <f t="shared" si="61"/>
        <v>28.999999999743533</v>
      </c>
      <c r="E149">
        <f t="shared" si="61"/>
        <v>-1.219635903243289E-4</v>
      </c>
      <c r="F149" s="4">
        <f t="shared" si="63"/>
        <v>0.27809626602144694</v>
      </c>
      <c r="G149" s="4">
        <f t="shared" si="64"/>
        <v>-1.9763268862153842</v>
      </c>
      <c r="H149" s="4">
        <f t="shared" si="65"/>
        <v>-2.4142034289771455</v>
      </c>
      <c r="I149" s="4">
        <f t="shared" si="66"/>
        <v>70.011777476127733</v>
      </c>
      <c r="J149" s="4">
        <f t="shared" si="67"/>
        <v>20.506086240693936</v>
      </c>
      <c r="K149" s="4">
        <f t="shared" si="68"/>
        <v>20.505913758943368</v>
      </c>
      <c r="L149" s="4">
        <f t="shared" si="69"/>
        <v>21.553860123762956</v>
      </c>
      <c r="M149" s="4">
        <f t="shared" si="70"/>
        <v>17.976374457645441</v>
      </c>
      <c r="N149" s="4">
        <f t="shared" si="71"/>
        <v>0.27809626602144694</v>
      </c>
      <c r="O149" s="4">
        <f t="shared" si="71"/>
        <v>0</v>
      </c>
      <c r="P149" s="4">
        <f t="shared" si="72"/>
        <v>-7.3354026079641272</v>
      </c>
      <c r="Q149" s="4">
        <f t="shared" si="73"/>
        <v>-144.18228054004345</v>
      </c>
      <c r="R149" s="4">
        <f t="shared" si="74"/>
        <v>76.501899159145978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-1.219635903243289E-4</v>
      </c>
      <c r="D150" s="9">
        <f t="shared" si="61"/>
        <v>20.505913758522805</v>
      </c>
      <c r="E150">
        <f t="shared" si="61"/>
        <v>-20.506186240693935</v>
      </c>
      <c r="F150" s="4">
        <f t="shared" si="63"/>
        <v>-1.9763268862153842</v>
      </c>
      <c r="G150" s="4">
        <f t="shared" si="64"/>
        <v>-4.230753177727129</v>
      </c>
      <c r="H150" s="4">
        <f t="shared" si="65"/>
        <v>2.4141577675053818</v>
      </c>
      <c r="I150" s="4">
        <f t="shared" si="66"/>
        <v>-70.01069722062725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20.505913758522805</v>
      </c>
      <c r="C151">
        <f t="shared" si="62"/>
        <v>-20.506186240693935</v>
      </c>
      <c r="D151" s="9">
        <f t="shared" si="61"/>
        <v>-1.219635903243289E-4</v>
      </c>
      <c r="E151">
        <f t="shared" si="61"/>
        <v>-28.999999999743533</v>
      </c>
      <c r="F151" s="4">
        <f t="shared" si="63"/>
        <v>-4.230753177727129</v>
      </c>
      <c r="G151" s="4">
        <f t="shared" si="64"/>
        <v>-5.1645587483546622</v>
      </c>
      <c r="H151" s="4">
        <f t="shared" si="65"/>
        <v>0.41421042439178574</v>
      </c>
      <c r="I151" s="4">
        <f t="shared" si="66"/>
        <v>-28.999949481153024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-1.219635903243289E-4</v>
      </c>
      <c r="C152">
        <f t="shared" si="62"/>
        <v>-28.999999999743533</v>
      </c>
      <c r="D152" s="9">
        <f t="shared" si="61"/>
        <v>-20.506186241114499</v>
      </c>
      <c r="E152">
        <f t="shared" si="61"/>
        <v>-20.506013758522805</v>
      </c>
      <c r="F152" s="4">
        <f t="shared" si="63"/>
        <v>-5.1645587483546622</v>
      </c>
      <c r="G152" s="4">
        <f t="shared" si="64"/>
        <v>-4.2307342151248397</v>
      </c>
      <c r="H152" s="4">
        <f t="shared" si="65"/>
        <v>-0.4142182588655311</v>
      </c>
      <c r="I152" s="4">
        <f t="shared" si="66"/>
        <v>-29.000050519289562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-20.506186241114499</v>
      </c>
      <c r="C153">
        <f t="shared" si="62"/>
        <v>-20.506013758522805</v>
      </c>
      <c r="D153" s="9">
        <f t="shared" si="61"/>
        <v>-28.999999999743533</v>
      </c>
      <c r="E153">
        <f t="shared" si="61"/>
        <v>1.219635903243289E-4</v>
      </c>
      <c r="F153" s="4">
        <f t="shared" si="63"/>
        <v>-4.2307342151248397</v>
      </c>
      <c r="G153" s="4">
        <f t="shared" si="64"/>
        <v>-1.9763000689850354</v>
      </c>
      <c r="H153" s="4">
        <f t="shared" si="65"/>
        <v>-2.4142436254009616</v>
      </c>
      <c r="I153" s="4">
        <f t="shared" si="66"/>
        <v>-70.012943172418389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-117.3292395781877</v>
      </c>
      <c r="Q154" s="4">
        <f t="shared" ref="Q154:R154" si="75">SUM(Q146:Q153)</f>
        <v>-2760.8896942297233</v>
      </c>
      <c r="R154" s="4">
        <f t="shared" si="75"/>
        <v>-4.9626810672407373E-3</v>
      </c>
    </row>
    <row r="156" spans="1:18" x14ac:dyDescent="0.25">
      <c r="O156" t="s">
        <v>96</v>
      </c>
      <c r="P156" s="1">
        <f>-1*R154/P154</f>
        <v>-4.2297053020049856E-5</v>
      </c>
    </row>
    <row r="157" spans="1:18" x14ac:dyDescent="0.25">
      <c r="O157" t="s">
        <v>97</v>
      </c>
      <c r="P157" s="1">
        <f>Q154/P154</f>
        <v>23.531130894186681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46.000012494990699</v>
      </c>
      <c r="C159" t="s">
        <v>36</v>
      </c>
    </row>
    <row r="160" spans="1:18" x14ac:dyDescent="0.25">
      <c r="A160" s="1" t="s">
        <v>106</v>
      </c>
      <c r="B160" s="4">
        <f>Q140+I122+Q154-O122</f>
        <v>42780.00036663653</v>
      </c>
      <c r="C160" t="s">
        <v>102</v>
      </c>
    </row>
    <row r="161" spans="1:9" x14ac:dyDescent="0.25">
      <c r="A161" s="1" t="s">
        <v>107</v>
      </c>
      <c r="B161" s="4">
        <f>R140+J122+R154-P122</f>
        <v>-0.17991732283542206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46.000012494990699</v>
      </c>
      <c r="C164" t="s">
        <v>36</v>
      </c>
      <c r="E164" s="8">
        <f>B2-B164</f>
        <v>-1.2494990698996844E-5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42780.000367014865</v>
      </c>
      <c r="C165" t="s">
        <v>102</v>
      </c>
      <c r="E165" s="8">
        <f>B3+B165</f>
        <v>3.6701486533274874E-4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2.641724200502793E-9</v>
      </c>
      <c r="C166" t="s">
        <v>102</v>
      </c>
      <c r="E166" s="8">
        <f>B4+B166</f>
        <v>2.641724200502793E-9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1.7616449740745261</v>
      </c>
      <c r="B169" s="1">
        <f ca="1">IF(E122=0,0,(MIN(H110:H121)*B65)/(B55*B56*E122))</f>
        <v>-1.7616449479451093</v>
      </c>
      <c r="C169" s="3">
        <f ca="1">A169+B169</f>
        <v>2.6129416852427312E-8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6.2379737520462731E-14</v>
      </c>
      <c r="C175" s="27">
        <f>B65*SQRT(I175)</f>
        <v>2.3767089591661043E-7</v>
      </c>
      <c r="D175" s="27">
        <f>B66*SQRT(I175)</f>
        <v>2.6129417583062358E-8</v>
      </c>
      <c r="E175" s="27">
        <f>B67*SQRT(I175)</f>
        <v>2.1196480167113964E-6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4.205641108058649E-6</v>
      </c>
      <c r="C176" s="3">
        <f>B65+C175</f>
        <v>16.023768771520324</v>
      </c>
      <c r="D176" s="3">
        <f>D175+B66</f>
        <v>1.7616450002039437</v>
      </c>
      <c r="E176" s="3">
        <f>B67+E175</f>
        <v>142.90664225337878</v>
      </c>
      <c r="F176" s="16" t="s">
        <v>125</v>
      </c>
    </row>
    <row r="177" spans="1:13" x14ac:dyDescent="0.25">
      <c r="B177" s="27">
        <f>B176-B64</f>
        <v>6.2379737165378212E-14</v>
      </c>
      <c r="C177" s="27">
        <f>C176-B65</f>
        <v>2.3767089629700422E-7</v>
      </c>
      <c r="D177" s="27">
        <f>D176-B66</f>
        <v>2.6129417518561127E-8</v>
      </c>
      <c r="E177" s="27">
        <f>E176-B67</f>
        <v>2.1196480304297438E-6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34.000945861969306</v>
      </c>
      <c r="B181" s="25">
        <f>(d_alpha_p!E136-d_alpha_m!E136)/(2*B177)</f>
        <v>34.000945861969306</v>
      </c>
      <c r="C181" s="25">
        <f>(d_alpha_p!E137-d_alpha_m!E137)/(2*B177)</f>
        <v>34.000945861969306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1.2494990698996844E-5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-3.6701486533274874E-4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-2.641724200502793E-9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-2.6129416852427312E-8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34.000945861969306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34.000945861969306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34.000945861969306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34.000945861969306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34.000945861969306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34.000945861969306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37" workbookViewId="0">
      <selection activeCell="M64" sqref="M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4" x14ac:dyDescent="0.25">
      <c r="A51" s="10" t="s">
        <v>8</v>
      </c>
      <c r="B51" s="17">
        <f>'Rigid Bearing Plate Analysis'!B51</f>
        <v>3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9.404474149780515E-12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4.2056410456789119E-6</v>
      </c>
      <c r="C64" t="s">
        <v>19</v>
      </c>
      <c r="D64" t="s">
        <v>34</v>
      </c>
      <c r="H64" s="17">
        <f>DEGREES(B64)</f>
        <v>2.4096548206438791E-4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16.023768533849427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1.7616449218156915</v>
      </c>
      <c r="C66" t="s">
        <v>11</v>
      </c>
      <c r="D66">
        <f>B66/B53</f>
        <v>5.582025365555637E-4</v>
      </c>
      <c r="I66" s="20"/>
    </row>
    <row r="67" spans="1:18" x14ac:dyDescent="0.25">
      <c r="A67" s="1" t="s">
        <v>37</v>
      </c>
      <c r="B67" s="17">
        <f>'Rigid Bearing Plate Analysis'!B67</f>
        <v>142.90664013373075</v>
      </c>
      <c r="C67" t="s">
        <v>36</v>
      </c>
      <c r="D67" t="s">
        <v>122</v>
      </c>
      <c r="G67" s="20">
        <f ca="1">($B$56*$B$66*$B$55*$E$122)/$B$65</f>
        <v>142.90663801408269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-35.000142991494869</v>
      </c>
      <c r="R76">
        <f>Q76</f>
        <v>-35.000142991494869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35.000142991494869</v>
      </c>
      <c r="R77">
        <f>Q77</f>
        <v>35.000142991494869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-34.000142991494869</v>
      </c>
      <c r="C84" s="1">
        <f t="shared" ref="C84:C92" si="23">(-1*B73*SIN($B$64))+(C73*COS($B$64))</f>
        <v>-33.999857007903756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1.219635903243289E-4</v>
      </c>
    </row>
    <row r="85" spans="1:10" x14ac:dyDescent="0.25">
      <c r="A85" s="1">
        <f t="shared" si="21"/>
        <v>2</v>
      </c>
      <c r="B85" s="4">
        <f t="shared" si="22"/>
        <v>33.999857007903756</v>
      </c>
      <c r="C85" s="1">
        <f t="shared" si="23"/>
        <v>-34.000142991494869</v>
      </c>
      <c r="H85" s="1">
        <f t="shared" si="24"/>
        <v>2</v>
      </c>
      <c r="I85" s="4">
        <f t="shared" ref="I85:I92" si="25">(I74*COS($B$64))+(J74*SIN($B$64))</f>
        <v>-20.506013758943368</v>
      </c>
      <c r="J85" s="1">
        <f t="shared" ref="J85:J92" si="26">(-1*I74*SIN($B$64))+(J74*COS($B$64))</f>
        <v>20.506086241114499</v>
      </c>
    </row>
    <row r="86" spans="1:10" x14ac:dyDescent="0.25">
      <c r="A86" s="1">
        <f t="shared" si="21"/>
        <v>3</v>
      </c>
      <c r="B86" s="4">
        <f t="shared" si="22"/>
        <v>34.000142991494869</v>
      </c>
      <c r="C86" s="1">
        <f t="shared" si="23"/>
        <v>33.999857007903756</v>
      </c>
      <c r="H86" s="1">
        <f t="shared" si="24"/>
        <v>3</v>
      </c>
      <c r="I86" s="4">
        <f t="shared" si="25"/>
        <v>1.219635903243289E-4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-33.999857007903756</v>
      </c>
      <c r="C87" s="1">
        <f t="shared" si="23"/>
        <v>34.000142991494869</v>
      </c>
      <c r="H87" s="1">
        <f t="shared" si="24"/>
        <v>4</v>
      </c>
      <c r="I87" s="4">
        <f t="shared" si="25"/>
        <v>20.506086240693936</v>
      </c>
      <c r="J87" s="1">
        <f t="shared" si="26"/>
        <v>20.505913758943368</v>
      </c>
    </row>
    <row r="88" spans="1:10" x14ac:dyDescent="0.25">
      <c r="A88" s="1">
        <f t="shared" si="21"/>
        <v>5</v>
      </c>
      <c r="B88" s="4">
        <f t="shared" si="22"/>
        <v>-34.000142991494869</v>
      </c>
      <c r="C88" s="1">
        <f t="shared" si="23"/>
        <v>-33.999857007903756</v>
      </c>
      <c r="H88" s="1">
        <f t="shared" si="24"/>
        <v>5</v>
      </c>
      <c r="I88" s="4">
        <f t="shared" si="25"/>
        <v>28.999999999743533</v>
      </c>
      <c r="J88" s="1">
        <f t="shared" si="26"/>
        <v>-1.219635903243289E-4</v>
      </c>
    </row>
    <row r="89" spans="1:10" x14ac:dyDescent="0.25">
      <c r="A89" s="1">
        <f t="shared" si="21"/>
        <v>6</v>
      </c>
      <c r="B89" s="4">
        <f t="shared" si="22"/>
        <v>-34.000142991494869</v>
      </c>
      <c r="C89" s="1">
        <f t="shared" si="23"/>
        <v>-33.999857007903756</v>
      </c>
      <c r="H89" s="1">
        <f t="shared" si="24"/>
        <v>6</v>
      </c>
      <c r="I89" s="4">
        <f t="shared" si="25"/>
        <v>20.505913758522805</v>
      </c>
      <c r="J89" s="1">
        <f t="shared" si="26"/>
        <v>-20.506186240693935</v>
      </c>
    </row>
    <row r="90" spans="1:10" x14ac:dyDescent="0.25">
      <c r="A90" s="1">
        <f t="shared" si="21"/>
        <v>7</v>
      </c>
      <c r="B90" s="4">
        <f t="shared" si="22"/>
        <v>-34.000142991494869</v>
      </c>
      <c r="C90" s="1">
        <f t="shared" si="23"/>
        <v>-33.999857007903756</v>
      </c>
      <c r="H90" s="1">
        <f t="shared" si="24"/>
        <v>7</v>
      </c>
      <c r="I90" s="4">
        <f t="shared" si="25"/>
        <v>-1.219635903243289E-4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-34.000142991494869</v>
      </c>
      <c r="C91" s="1">
        <f t="shared" si="23"/>
        <v>-33.999857007903756</v>
      </c>
      <c r="H91" s="1">
        <f t="shared" si="24"/>
        <v>8</v>
      </c>
      <c r="I91" s="4">
        <f t="shared" si="25"/>
        <v>-20.506186241114499</v>
      </c>
      <c r="J91" s="1">
        <f t="shared" si="26"/>
        <v>-20.506013758522805</v>
      </c>
    </row>
    <row r="92" spans="1:10" x14ac:dyDescent="0.25">
      <c r="A92" s="1">
        <f t="shared" si="21"/>
        <v>9</v>
      </c>
      <c r="B92" s="4">
        <f t="shared" si="22"/>
        <v>-34.000142991494869</v>
      </c>
      <c r="C92" s="1">
        <f t="shared" si="23"/>
        <v>-33.999857007903756</v>
      </c>
      <c r="H92" s="1">
        <f t="shared" si="24"/>
        <v>9</v>
      </c>
      <c r="I92" s="4">
        <f t="shared" si="25"/>
        <v>-28.999999999743533</v>
      </c>
      <c r="J92" s="1">
        <f t="shared" si="26"/>
        <v>1.219635903243289E-4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27.040080874238175</v>
      </c>
      <c r="C110" s="1">
        <f>(-1*B95*SIN($B$64))+(C95*COS($B$64))</f>
        <v>19.229886279296057</v>
      </c>
      <c r="D110" t="str">
        <f t="shared" ref="D110" si="31">D95</f>
        <v>y</v>
      </c>
      <c r="E110" s="4">
        <f t="shared" ref="E110:E121" si="32">IF($D110="y",$B$125-C110,0)</f>
        <v>-1.2535118216506156</v>
      </c>
      <c r="F110" s="1">
        <f>IF($D110="y",B110,NA())</f>
        <v>27.040080874238175</v>
      </c>
      <c r="G110" s="1">
        <f>IF($D110="y",C110,NA())</f>
        <v>19.229886279296057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4.3667223285811228E-5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-27.042919125283529</v>
      </c>
      <c r="C111" s="1">
        <f t="shared" ref="C111:C121" si="37">(-1*B96*SIN($B$64))+(C96*COS($B$64))</f>
        <v>19.23011373298073</v>
      </c>
      <c r="D111" t="str">
        <f t="shared" si="35"/>
        <v>y</v>
      </c>
      <c r="E111" s="4">
        <f t="shared" si="32"/>
        <v>-1.2537392753352883</v>
      </c>
      <c r="F111" s="1">
        <f t="shared" ref="F111:G121" si="38">IF($D111="y",B111,NA())</f>
        <v>-27.042919125283529</v>
      </c>
      <c r="G111" s="1">
        <f t="shared" si="38"/>
        <v>19.23011373298073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4.3675146841588074E-5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27.039919125283557</v>
      </c>
      <c r="C112" s="1">
        <f t="shared" si="37"/>
        <v>-19.230113720363811</v>
      </c>
      <c r="D112" t="str">
        <f t="shared" si="35"/>
        <v>y</v>
      </c>
      <c r="E112" s="4">
        <f t="shared" si="32"/>
        <v>37.206488178009252</v>
      </c>
      <c r="F112" s="1">
        <f t="shared" si="38"/>
        <v>27.039919125283557</v>
      </c>
      <c r="G112" s="1">
        <f t="shared" si="38"/>
        <v>-19.230113720363811</v>
      </c>
      <c r="H112">
        <f t="shared" si="33"/>
        <v>-122.07263849574174</v>
      </c>
      <c r="I112">
        <f t="shared" si="39"/>
        <v>2347.4707204179749</v>
      </c>
      <c r="J112">
        <f t="shared" si="40"/>
        <v>3300.8342723348328</v>
      </c>
      <c r="K112">
        <f t="shared" ref="K112:K121" ca="1" si="45">H112/$B$55</f>
        <v>-37.587533413412565</v>
      </c>
      <c r="L112">
        <f t="shared" ca="1" si="41"/>
        <v>-1.2961218418418125E-3</v>
      </c>
      <c r="M112">
        <f t="shared" si="34"/>
        <v>-1.2961218226172186E-3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-27.043080874238147</v>
      </c>
      <c r="C113" s="1">
        <f t="shared" si="37"/>
        <v>-19.229886266679138</v>
      </c>
      <c r="D113" t="str">
        <f t="shared" si="35"/>
        <v>y</v>
      </c>
      <c r="E113" s="4">
        <f t="shared" si="32"/>
        <v>37.206260724324579</v>
      </c>
      <c r="F113" s="1">
        <f t="shared" si="38"/>
        <v>-27.043080874238147</v>
      </c>
      <c r="G113" s="1">
        <f t="shared" si="38"/>
        <v>-19.229886266679138</v>
      </c>
      <c r="H113">
        <f t="shared" si="33"/>
        <v>-122.07189223150711</v>
      </c>
      <c r="I113">
        <f t="shared" si="39"/>
        <v>2347.4286039701942</v>
      </c>
      <c r="J113">
        <f t="shared" si="40"/>
        <v>-3301.2000540879299</v>
      </c>
      <c r="K113">
        <f t="shared" ca="1" si="45"/>
        <v>-37.587303630291629</v>
      </c>
      <c r="L113">
        <f t="shared" ca="1" si="41"/>
        <v>-1.2961139182859182E-3</v>
      </c>
      <c r="M113">
        <f t="shared" si="34"/>
        <v>-1.2961138990614418E-3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25.866095173428111</v>
      </c>
      <c r="C114" s="1">
        <f t="shared" si="37"/>
        <v>22.629891216688584</v>
      </c>
      <c r="D114" t="str">
        <f t="shared" si="35"/>
        <v>y</v>
      </c>
      <c r="E114" s="4">
        <f t="shared" si="32"/>
        <v>-4.6535167590431428</v>
      </c>
      <c r="F114" s="1">
        <f t="shared" si="38"/>
        <v>25.866095173428111</v>
      </c>
      <c r="G114" s="1">
        <f t="shared" si="38"/>
        <v>22.629891216688584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1.6210948462681515E-4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-25.864904826114397</v>
      </c>
      <c r="C115" s="1">
        <f t="shared" si="37"/>
        <v>22.630108778705516</v>
      </c>
      <c r="D115" t="str">
        <f t="shared" si="35"/>
        <v>y</v>
      </c>
      <c r="E115" s="4">
        <f t="shared" si="32"/>
        <v>-4.6537343210600746</v>
      </c>
      <c r="F115" s="1">
        <f t="shared" si="38"/>
        <v>-25.864904826114397</v>
      </c>
      <c r="G115" s="1">
        <f t="shared" si="38"/>
        <v>22.630108778705516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1.6211706359735837E-4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25.865904826114384</v>
      </c>
      <c r="C116" s="1">
        <f t="shared" si="37"/>
        <v>-22.630108782911158</v>
      </c>
      <c r="D116" t="str">
        <f t="shared" si="35"/>
        <v>y</v>
      </c>
      <c r="E116" s="4">
        <f t="shared" si="32"/>
        <v>40.606483240556599</v>
      </c>
      <c r="F116" s="1">
        <f t="shared" si="38"/>
        <v>25.865904826114384</v>
      </c>
      <c r="G116" s="1">
        <f t="shared" si="38"/>
        <v>-22.630108782911158</v>
      </c>
      <c r="H116">
        <f t="shared" si="33"/>
        <v>-133.2278533112846</v>
      </c>
      <c r="I116">
        <f t="shared" si="39"/>
        <v>3014.9608133481011</v>
      </c>
      <c r="J116">
        <f t="shared" si="40"/>
        <v>3446.0589739372158</v>
      </c>
      <c r="K116">
        <f t="shared" ca="1" si="45"/>
        <v>-41.022349067271307</v>
      </c>
      <c r="L116">
        <f t="shared" ca="1" si="41"/>
        <v>-1.4145637609403899E-3</v>
      </c>
      <c r="M116">
        <f t="shared" si="34"/>
        <v>-1.4145637399590183E-3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-25.865095173428124</v>
      </c>
      <c r="C117" s="1">
        <f t="shared" si="37"/>
        <v>-22.629891220894226</v>
      </c>
      <c r="D117" t="str">
        <f t="shared" si="35"/>
        <v>y</v>
      </c>
      <c r="E117" s="4">
        <f t="shared" si="32"/>
        <v>40.606265678539671</v>
      </c>
      <c r="F117" s="1">
        <f t="shared" si="38"/>
        <v>-25.865095173428124</v>
      </c>
      <c r="G117" s="1">
        <f t="shared" si="38"/>
        <v>-22.629891220894226</v>
      </c>
      <c r="H117">
        <f t="shared" si="33"/>
        <v>-133.22713950112021</v>
      </c>
      <c r="I117">
        <f t="shared" si="39"/>
        <v>3014.9156745812506</v>
      </c>
      <c r="J117">
        <f t="shared" si="40"/>
        <v>-3445.9326428800596</v>
      </c>
      <c r="K117">
        <f t="shared" ca="1" si="45"/>
        <v>-41.022129277122289</v>
      </c>
      <c r="L117">
        <f t="shared" ca="1" si="41"/>
        <v>-1.4145561819697342E-3</v>
      </c>
      <c r="M117">
        <f t="shared" si="34"/>
        <v>-1.4145561609884751E-3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24.666107580079803</v>
      </c>
      <c r="C118" s="1">
        <f t="shared" si="37"/>
        <v>25.579896263431742</v>
      </c>
      <c r="D118" t="str">
        <f t="shared" si="35"/>
        <v>y</v>
      </c>
      <c r="E118" s="4">
        <f t="shared" si="32"/>
        <v>-7.6035218057863005</v>
      </c>
      <c r="F118" s="1">
        <f t="shared" si="38"/>
        <v>24.666107580079803</v>
      </c>
      <c r="G118" s="1">
        <f t="shared" si="38"/>
        <v>25.579896263431742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2.6487559089358826E-4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-24.665892419483914</v>
      </c>
      <c r="C119" s="1">
        <f t="shared" si="37"/>
        <v>25.580103736115809</v>
      </c>
      <c r="D119" t="str">
        <f t="shared" si="35"/>
        <v>y</v>
      </c>
      <c r="E119" s="4">
        <f t="shared" si="32"/>
        <v>-7.6037292784703681</v>
      </c>
      <c r="F119" s="1">
        <f t="shared" si="38"/>
        <v>-24.665892419483914</v>
      </c>
      <c r="G119" s="1">
        <f t="shared" si="38"/>
        <v>25.580103736115809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2.6488281839305366E-4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24.66589241948391</v>
      </c>
      <c r="C120" s="1">
        <f t="shared" si="37"/>
        <v>-25.580103736115809</v>
      </c>
      <c r="D120" t="str">
        <f t="shared" si="35"/>
        <v>y</v>
      </c>
      <c r="E120" s="4">
        <f t="shared" si="32"/>
        <v>43.556478193761251</v>
      </c>
      <c r="F120" s="1">
        <f t="shared" si="38"/>
        <v>24.66589241948391</v>
      </c>
      <c r="G120" s="1">
        <f t="shared" si="38"/>
        <v>-25.580103736115809</v>
      </c>
      <c r="H120">
        <f t="shared" si="33"/>
        <v>-142.90664013373075</v>
      </c>
      <c r="I120">
        <f t="shared" si="39"/>
        <v>3655.5666792006032</v>
      </c>
      <c r="J120">
        <f t="shared" si="40"/>
        <v>3524.9198115685044</v>
      </c>
      <c r="K120">
        <f t="shared" ca="1" si="45"/>
        <v>-44.002555996301368</v>
      </c>
      <c r="L120">
        <f t="shared" ca="1" si="41"/>
        <v>-1.5173295171138402E-3</v>
      </c>
      <c r="M120">
        <f t="shared" si="34"/>
        <v>-1.5173294946082062E-3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-24.666107580079807</v>
      </c>
      <c r="C121" s="1">
        <f t="shared" si="37"/>
        <v>-25.579896263431742</v>
      </c>
      <c r="D121" t="str">
        <f t="shared" si="35"/>
        <v>y</v>
      </c>
      <c r="E121" s="4">
        <f t="shared" si="32"/>
        <v>43.556270721077183</v>
      </c>
      <c r="F121" s="1">
        <f t="shared" si="38"/>
        <v>-24.666107580079807</v>
      </c>
      <c r="G121" s="1">
        <f t="shared" si="38"/>
        <v>-25.579896263431742</v>
      </c>
      <c r="H121" s="23">
        <f t="shared" si="33"/>
        <v>-142.90595942616602</v>
      </c>
      <c r="I121" s="23">
        <f t="shared" si="39"/>
        <v>3655.5196175475121</v>
      </c>
      <c r="J121" s="23">
        <f t="shared" si="40"/>
        <v>-3524.9337690403308</v>
      </c>
      <c r="K121">
        <f t="shared" ca="1" si="45"/>
        <v>-44.002346398813764</v>
      </c>
      <c r="L121">
        <f t="shared" ca="1" si="41"/>
        <v>-1.5173222896142677E-3</v>
      </c>
      <c r="M121">
        <f t="shared" si="34"/>
        <v>-1.5173222671087407E-3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43.556478193761251</v>
      </c>
      <c r="H122">
        <f>SUM(H110:H121)</f>
        <v>-796.4121230995504</v>
      </c>
      <c r="I122">
        <f t="shared" ref="I122:J122" si="46">SUM(I110:I121)</f>
        <v>18035.862109065638</v>
      </c>
      <c r="J122">
        <f t="shared" si="46"/>
        <v>-0.25340816776724751</v>
      </c>
      <c r="L122">
        <f ca="1">MIN(L110:L121)</f>
        <v>-1.5173295171138402E-3</v>
      </c>
      <c r="M122">
        <f>MIN(M110:M121)</f>
        <v>-1.5173294946082062E-3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17.976374457645441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-35.000142991494869</v>
      </c>
      <c r="G126" s="4">
        <f>B125</f>
        <v>17.976374457645441</v>
      </c>
    </row>
    <row r="127" spans="1:16" x14ac:dyDescent="0.25">
      <c r="F127" s="4">
        <f>MAX(B84:B90)+1</f>
        <v>35.000142991494869</v>
      </c>
      <c r="G127" s="4">
        <f>G126</f>
        <v>17.976374457645441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-34.000142991494869</v>
      </c>
      <c r="C132" s="4">
        <f>C84</f>
        <v>-33.999857007903756</v>
      </c>
      <c r="D132" s="4">
        <f t="shared" ref="D132:E139" si="47">B85</f>
        <v>33.999857007903756</v>
      </c>
      <c r="E132" s="4">
        <f t="shared" si="47"/>
        <v>-34.000142991494869</v>
      </c>
      <c r="F132" s="4">
        <f t="shared" ref="F132:F139" si="48">($B$66/$B$65)*(C132-$B$125)</f>
        <v>-5.7142403188724264</v>
      </c>
      <c r="G132" s="4">
        <f t="shared" ref="G132:G139" si="49">($B$66/$B$65)*(E132-$B$125)</f>
        <v>-5.7142717597622479</v>
      </c>
      <c r="H132" s="4">
        <f>IF(B132=D132,"V",(C132-E132)/(B132-D132))</f>
        <v>-4.2056410458081708E-6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33.999857007903756</v>
      </c>
      <c r="C133" s="4">
        <f t="shared" si="50"/>
        <v>-34.000142991494869</v>
      </c>
      <c r="D133" s="4">
        <f t="shared" si="47"/>
        <v>34.000142991494869</v>
      </c>
      <c r="E133" s="4">
        <f t="shared" si="47"/>
        <v>33.999857007903756</v>
      </c>
      <c r="F133" s="4">
        <f t="shared" si="48"/>
        <v>-5.7142717597622479</v>
      </c>
      <c r="G133" s="4">
        <f t="shared" si="49"/>
        <v>1.7616134809258694</v>
      </c>
      <c r="H133" s="4">
        <f t="shared" ref="H133:H139" si="51">IF(B133=D133,"V",(C133-E133)/(B133-D133))</f>
        <v>237775.87984992584</v>
      </c>
      <c r="I133" s="4">
        <f t="shared" ref="I133:I139" si="52">IF(H133="V",0,(-1*B133*H133)+C133)</f>
        <v>-8084379.914968974</v>
      </c>
      <c r="J133" s="4">
        <f t="shared" ref="J133:J139" si="53">IF($F133&gt;=0,B133,IF(AND($F133&lt;0,$G133&gt;=0),IF(H133="V",B133,($B$125-I133)/H133),0))</f>
        <v>34.000075602478958</v>
      </c>
      <c r="K133" s="4">
        <f t="shared" ref="K133:K139" si="54">IF($F133&gt;=0,C133,IF(AND($F133&lt;0,$G133&gt;=0),$B$125,0))</f>
        <v>17.976374457645441</v>
      </c>
      <c r="L133" s="4">
        <f t="shared" ref="L133:L139" si="55">IF($G133&gt;=0,D133,IF(AND($G133&lt;0,$F133&gt;=0),IF(H133="V",D133,($B$125-I133)/H133),0))</f>
        <v>34.000142991494869</v>
      </c>
      <c r="M133" s="4">
        <f t="shared" ref="M133:M139" si="56">IF($G133&gt;=0,E133,IF(AND($G133&lt;0,$F133&gt;=0),$B$125,0))</f>
        <v>33.999857007903756</v>
      </c>
      <c r="N133" s="4">
        <f t="shared" ref="N133:O139" si="57">IF(F133&lt;0,IF($I$54="Linear",0,$B$66),IF($I$54="Linear",F133,$B$66))</f>
        <v>0</v>
      </c>
      <c r="O133" s="4">
        <f t="shared" si="57"/>
        <v>1.7616134809258694</v>
      </c>
      <c r="P133" s="4">
        <f t="shared" ref="P133:P139" si="58">(1/6)*(M133-K133)*((N133*((2*J133)+L133))+(O133*(J133+(2*L133))))</f>
        <v>479.86380991242123</v>
      </c>
      <c r="Q133" s="4">
        <f t="shared" ref="Q133:Q139" si="59">((1/12)*(M133-K133)*(N133*J133*((3*K133)+M133)+N133*L133*(K133+M133)+O133*J133*(K133+M133)+O133*L133*(K133+(3*M133))))</f>
        <v>13752.271972076785</v>
      </c>
      <c r="R133" s="4">
        <f t="shared" ref="R133:R139" si="60">((-1/24)*(M133-K133)*(J133*J133*((3*N133)+O133)+2*J133*L133*(N133+O133)+L133*L133*(N133+(3*O133))))</f>
        <v>-8157.7136871430439</v>
      </c>
    </row>
    <row r="134" spans="1:18" x14ac:dyDescent="0.25">
      <c r="A134" t="s">
        <v>71</v>
      </c>
      <c r="B134" s="4">
        <f t="shared" si="50"/>
        <v>34.000142991494869</v>
      </c>
      <c r="C134" s="4">
        <f t="shared" si="50"/>
        <v>33.999857007903756</v>
      </c>
      <c r="D134" s="4">
        <f t="shared" si="47"/>
        <v>-33.999857007903756</v>
      </c>
      <c r="E134" s="4">
        <f t="shared" si="47"/>
        <v>34.000142991494869</v>
      </c>
      <c r="F134" s="4">
        <f t="shared" si="48"/>
        <v>1.7616134809258694</v>
      </c>
      <c r="G134" s="4">
        <f t="shared" si="49"/>
        <v>1.7616449218156915</v>
      </c>
      <c r="H134" s="4">
        <f t="shared" si="51"/>
        <v>-4.2056410458081708E-6</v>
      </c>
      <c r="I134" s="4">
        <f t="shared" si="52"/>
        <v>34.000000000300687</v>
      </c>
      <c r="J134" s="4">
        <f t="shared" si="53"/>
        <v>34.000142991494869</v>
      </c>
      <c r="K134" s="4">
        <f t="shared" si="54"/>
        <v>33.999857007903756</v>
      </c>
      <c r="L134" s="4">
        <f t="shared" si="55"/>
        <v>-33.999857007903756</v>
      </c>
      <c r="M134" s="4">
        <f t="shared" si="56"/>
        <v>34.000142991494869</v>
      </c>
      <c r="N134" s="4">
        <f t="shared" si="57"/>
        <v>1.7616134809258694</v>
      </c>
      <c r="O134" s="4">
        <f t="shared" si="57"/>
        <v>1.7616449218156915</v>
      </c>
      <c r="P134" s="4">
        <f t="shared" si="58"/>
        <v>2.1086565477105352E-8</v>
      </c>
      <c r="Q134" s="4">
        <f t="shared" si="59"/>
        <v>-9.9497006814332383E-8</v>
      </c>
      <c r="R134" s="4">
        <f t="shared" si="60"/>
        <v>-9.7064897374532971E-2</v>
      </c>
    </row>
    <row r="135" spans="1:18" x14ac:dyDescent="0.25">
      <c r="A135" t="s">
        <v>72</v>
      </c>
      <c r="B135" s="4">
        <f t="shared" si="50"/>
        <v>-33.999857007903756</v>
      </c>
      <c r="C135" s="4">
        <f t="shared" si="50"/>
        <v>34.000142991494869</v>
      </c>
      <c r="D135" s="4">
        <f t="shared" si="47"/>
        <v>-34.000142991494869</v>
      </c>
      <c r="E135" s="4">
        <f t="shared" si="47"/>
        <v>-33.999857007903756</v>
      </c>
      <c r="F135" s="4">
        <f t="shared" si="48"/>
        <v>1.7616449218156915</v>
      </c>
      <c r="G135" s="4">
        <f t="shared" si="49"/>
        <v>-5.7142403188724264</v>
      </c>
      <c r="H135" s="4">
        <f t="shared" si="51"/>
        <v>237775.87984992584</v>
      </c>
      <c r="I135" s="4">
        <f t="shared" si="52"/>
        <v>8084379.914968974</v>
      </c>
      <c r="J135" s="4">
        <f t="shared" si="53"/>
        <v>-33.999857007903756</v>
      </c>
      <c r="K135" s="4">
        <f t="shared" si="54"/>
        <v>34.000142991494869</v>
      </c>
      <c r="L135" s="4">
        <f t="shared" si="55"/>
        <v>-33.99992439812241</v>
      </c>
      <c r="M135" s="4">
        <f t="shared" si="56"/>
        <v>17.976374457645441</v>
      </c>
      <c r="N135" s="4">
        <f t="shared" si="57"/>
        <v>1.7616449218156915</v>
      </c>
      <c r="O135" s="4">
        <f t="shared" si="57"/>
        <v>0</v>
      </c>
      <c r="P135" s="4">
        <f t="shared" si="58"/>
        <v>479.87753676869113</v>
      </c>
      <c r="Q135" s="4">
        <f t="shared" si="59"/>
        <v>13752.755163892345</v>
      </c>
      <c r="R135" s="4">
        <f t="shared" si="60"/>
        <v>8157.8892055640899</v>
      </c>
    </row>
    <row r="136" spans="1:18" x14ac:dyDescent="0.25">
      <c r="A136" t="s">
        <v>73</v>
      </c>
      <c r="B136" s="4">
        <f t="shared" si="50"/>
        <v>-34.000142991494869</v>
      </c>
      <c r="C136" s="4">
        <f t="shared" si="50"/>
        <v>-33.999857007903756</v>
      </c>
      <c r="D136" s="4">
        <f t="shared" si="47"/>
        <v>-34.000142991494869</v>
      </c>
      <c r="E136" s="4">
        <f t="shared" si="47"/>
        <v>-33.999857007903756</v>
      </c>
      <c r="F136" s="4">
        <f t="shared" si="48"/>
        <v>-5.7142403188724264</v>
      </c>
      <c r="G136" s="4">
        <f t="shared" si="49"/>
        <v>-5.7142403188724264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-34.000142991494869</v>
      </c>
      <c r="C137" s="4">
        <f t="shared" si="50"/>
        <v>-33.999857007903756</v>
      </c>
      <c r="D137" s="4">
        <f t="shared" si="47"/>
        <v>-34.000142991494869</v>
      </c>
      <c r="E137" s="4">
        <f t="shared" si="47"/>
        <v>-33.999857007903756</v>
      </c>
      <c r="F137" s="4">
        <f t="shared" si="48"/>
        <v>-5.7142403188724264</v>
      </c>
      <c r="G137" s="4">
        <f t="shared" si="49"/>
        <v>-5.7142403188724264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-34.000142991494869</v>
      </c>
      <c r="C138" s="4">
        <f t="shared" si="50"/>
        <v>-33.999857007903756</v>
      </c>
      <c r="D138" s="4">
        <f t="shared" si="47"/>
        <v>-34.000142991494869</v>
      </c>
      <c r="E138" s="4">
        <f t="shared" si="47"/>
        <v>-33.999857007903756</v>
      </c>
      <c r="F138" s="4">
        <f t="shared" si="48"/>
        <v>-5.7142403188724264</v>
      </c>
      <c r="G138" s="4">
        <f t="shared" si="49"/>
        <v>-5.7142403188724264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-34.000142991494869</v>
      </c>
      <c r="C139" s="4">
        <f>E138</f>
        <v>-33.999857007903756</v>
      </c>
      <c r="D139" s="4">
        <f t="shared" si="47"/>
        <v>-34.000142991494869</v>
      </c>
      <c r="E139" s="4">
        <f t="shared" si="47"/>
        <v>-33.999857007903756</v>
      </c>
      <c r="F139" s="4">
        <f t="shared" si="48"/>
        <v>-5.7142403188724264</v>
      </c>
      <c r="G139" s="4">
        <f t="shared" si="49"/>
        <v>-5.7142403188724264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959.74134670219894</v>
      </c>
      <c r="Q140" s="4">
        <f>SUM(Q132:Q139)</f>
        <v>27505.027135869634</v>
      </c>
      <c r="R140" s="4">
        <f>SUM(R132:R139)</f>
        <v>7.8453523671669245E-2</v>
      </c>
    </row>
    <row r="142" spans="1:18" x14ac:dyDescent="0.25">
      <c r="O142" t="s">
        <v>96</v>
      </c>
      <c r="P142" s="1">
        <f>-1*R140/P140</f>
        <v>-8.1744444939510171E-5</v>
      </c>
    </row>
    <row r="143" spans="1:18" x14ac:dyDescent="0.25">
      <c r="O143" t="s">
        <v>97</v>
      </c>
      <c r="P143" s="1">
        <f>Q140/P140</f>
        <v>28.658791486248486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1.219635903243289E-4</v>
      </c>
      <c r="D146" s="9">
        <f t="shared" ref="D146:E153" si="61">I85</f>
        <v>-20.506013758943368</v>
      </c>
      <c r="E146">
        <f t="shared" si="61"/>
        <v>20.506086241114499</v>
      </c>
      <c r="F146" s="4">
        <f>($B$66/$B$65)*(C146-$B$125)</f>
        <v>-1.9763000103585018</v>
      </c>
      <c r="G146" s="4">
        <f>($B$66/$B$65)*(E146-$B$125)</f>
        <v>0.27811522037350578</v>
      </c>
      <c r="H146" s="4">
        <f>IF(B146=D146,"V",(C146-E146)/(B146-D146))</f>
        <v>2.4141744166037684</v>
      </c>
      <c r="I146" s="4">
        <f>IF(H146="V",0,(-1*B146*H146)+C146)</f>
        <v>70.011180044480454</v>
      </c>
      <c r="J146" s="4">
        <f>IF($F146&gt;=0,B146,IF(AND($F146&lt;0,$G146&gt;=0),IF(H146="V",B146,($B$125-I146)/H146),0))</f>
        <v>-21.553871679262077</v>
      </c>
      <c r="K146" s="4">
        <f>IF($F146&gt;=0,C146,IF(AND($F146&lt;0,$G146&gt;=0),$B$125,0))</f>
        <v>17.976374457645441</v>
      </c>
      <c r="L146" s="4">
        <f>IF($G146&gt;=0,D146,IF(AND($G146&lt;0,$F146&gt;=0),IF(H146="V",D146,($B$125-I146)/H146),0))</f>
        <v>-20.506013758943368</v>
      </c>
      <c r="M146" s="4">
        <f>IF($G146&gt;=0,E146,IF(AND($G146&lt;0,$F146&gt;=0),$B$125,0))</f>
        <v>20.506086241114499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0.27811522037350578</v>
      </c>
      <c r="P146" s="4">
        <f>(1/6)*(M146-K146)*((N146*((2*J146)+L146))+(O146*(J146+(2*L146))))</f>
        <v>-7.3363871421561164</v>
      </c>
      <c r="Q146" s="4">
        <f>((1/12)*(M146-K146)*(N146*J146*((3*K146)+M146)+N146*L146*(K146+M146)+O146*J146*(K146+M146)+O146*L146*(K146+(3*M146))))</f>
        <v>-144.20246802326128</v>
      </c>
      <c r="R146" s="4">
        <f>((-1/24)*(M146-K146)*(J146*J146*((3*N146)+O146)+2*J146*L146*(N146+O146)+L146*L146*(N146+(3*O146))))</f>
        <v>-76.5120056201132</v>
      </c>
    </row>
    <row r="147" spans="1:18" x14ac:dyDescent="0.25">
      <c r="A147" t="s">
        <v>70</v>
      </c>
      <c r="B147" s="9">
        <f t="shared" ref="B147:C153" si="62">D146</f>
        <v>-20.506013758943368</v>
      </c>
      <c r="C147">
        <f t="shared" si="62"/>
        <v>20.506086241114499</v>
      </c>
      <c r="D147" s="9">
        <f t="shared" si="61"/>
        <v>1.219635903243289E-4</v>
      </c>
      <c r="E147">
        <f t="shared" si="61"/>
        <v>28.999999999743533</v>
      </c>
      <c r="F147" s="4">
        <f t="shared" ref="F147:F153" si="63">($B$66/$B$65)*(C147-$B$125)</f>
        <v>0.27811522037350578</v>
      </c>
      <c r="G147" s="4">
        <f t="shared" ref="G147:G153" si="64">($B$66/$B$65)*(E147-$B$125)</f>
        <v>1.2119317572025368</v>
      </c>
      <c r="H147" s="4">
        <f t="shared" ref="H147:H153" si="65">IF(B147=D147,"V",(C147-E147)/(B147-D147))</f>
        <v>0.41421328101789945</v>
      </c>
      <c r="I147" s="4">
        <f t="shared" ref="I147:I153" si="66">IF(H147="V",0,(-1*B147*H147)+C147)</f>
        <v>28.99994948080462</v>
      </c>
      <c r="J147" s="4">
        <f t="shared" ref="J147:J153" si="67">IF($F147&gt;=0,B147,IF(AND($F147&lt;0,$G147&gt;=0),IF(H147="V",B147,($B$125-I147)/H147),0))</f>
        <v>-20.506013758943368</v>
      </c>
      <c r="K147" s="4">
        <f t="shared" ref="K147:K153" si="68">IF($F147&gt;=0,C147,IF(AND($F147&lt;0,$G147&gt;=0),$B$125,0))</f>
        <v>20.506086241114499</v>
      </c>
      <c r="L147" s="4">
        <f t="shared" ref="L147:L153" si="69">IF($G147&gt;=0,D147,IF(AND($G147&lt;0,$F147&gt;=0),IF(H147="V",D147,($B$125-I147)/H147),0))</f>
        <v>1.219635903243289E-4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0.27811522037350578</v>
      </c>
      <c r="O147" s="4">
        <f t="shared" si="71"/>
        <v>1.2119317572025368</v>
      </c>
      <c r="P147" s="4">
        <f t="shared" ref="P147:P153" si="72">(1/6)*(M147-K147)*((N147*((2*J147)+L147))+(O147*(J147+(2*L147))))</f>
        <v>-51.328195376154461</v>
      </c>
      <c r="Q147" s="4">
        <f t="shared" ref="Q147:Q153" si="73">((1/12)*(M147-K147)*(N147*J147*((3*K147)+M147)+N147*L147*(K147+M147)+O147*J147*(K147+M147)+O147*L147*(K147+(3*M147))))</f>
        <v>-1236.2402792911575</v>
      </c>
      <c r="R147" s="4">
        <f t="shared" ref="R147:R153" si="74">((-1/24)*(M147-K147)*(J147*J147*((3*N147)+O147)+2*J147*L147*(N147+O147)+L147*L147*(N147+(3*O147))))</f>
        <v>-304.52282087412061</v>
      </c>
    </row>
    <row r="148" spans="1:18" x14ac:dyDescent="0.25">
      <c r="A148" t="s">
        <v>71</v>
      </c>
      <c r="B148" s="9">
        <f t="shared" si="62"/>
        <v>1.219635903243289E-4</v>
      </c>
      <c r="C148">
        <f t="shared" si="62"/>
        <v>28.999999999743533</v>
      </c>
      <c r="D148" s="9">
        <f t="shared" si="61"/>
        <v>20.506086240693936</v>
      </c>
      <c r="E148">
        <f t="shared" si="61"/>
        <v>20.505913758943368</v>
      </c>
      <c r="F148" s="4">
        <f t="shared" si="63"/>
        <v>1.2119317572025368</v>
      </c>
      <c r="G148" s="4">
        <f t="shared" si="64"/>
        <v>0.2780962577717786</v>
      </c>
      <c r="H148" s="4">
        <f t="shared" si="65"/>
        <v>-0.41422515547266531</v>
      </c>
      <c r="I148" s="4">
        <f t="shared" si="66"/>
        <v>29.000050520130696</v>
      </c>
      <c r="J148" s="4">
        <f t="shared" si="67"/>
        <v>1.219635903243289E-4</v>
      </c>
      <c r="K148" s="4">
        <f t="shared" si="68"/>
        <v>28.999999999743533</v>
      </c>
      <c r="L148" s="4">
        <f t="shared" si="69"/>
        <v>20.506086240693936</v>
      </c>
      <c r="M148" s="4">
        <f t="shared" si="70"/>
        <v>20.505913758943368</v>
      </c>
      <c r="N148" s="4">
        <f t="shared" si="71"/>
        <v>1.2119317572025368</v>
      </c>
      <c r="O148" s="4">
        <f t="shared" si="71"/>
        <v>0.2780962577717786</v>
      </c>
      <c r="P148" s="4">
        <f t="shared" si="72"/>
        <v>-51.32925118896852</v>
      </c>
      <c r="Q148" s="4">
        <f t="shared" si="73"/>
        <v>-1236.264588751176</v>
      </c>
      <c r="R148" s="4">
        <f t="shared" si="74"/>
        <v>304.52796692358078</v>
      </c>
    </row>
    <row r="149" spans="1:18" x14ac:dyDescent="0.25">
      <c r="A149" t="s">
        <v>72</v>
      </c>
      <c r="B149" s="9">
        <f t="shared" si="62"/>
        <v>20.506086240693936</v>
      </c>
      <c r="C149">
        <f t="shared" si="62"/>
        <v>20.505913758943368</v>
      </c>
      <c r="D149" s="9">
        <f t="shared" si="61"/>
        <v>28.999999999743533</v>
      </c>
      <c r="E149">
        <f t="shared" si="61"/>
        <v>-1.219635903243289E-4</v>
      </c>
      <c r="F149" s="4">
        <f t="shared" si="63"/>
        <v>0.2780962577717786</v>
      </c>
      <c r="G149" s="4">
        <f t="shared" si="64"/>
        <v>-1.976326827588055</v>
      </c>
      <c r="H149" s="4">
        <f t="shared" si="65"/>
        <v>-2.4142034289771455</v>
      </c>
      <c r="I149" s="4">
        <f t="shared" si="66"/>
        <v>70.011777476127733</v>
      </c>
      <c r="J149" s="4">
        <f t="shared" si="67"/>
        <v>20.506086240693936</v>
      </c>
      <c r="K149" s="4">
        <f t="shared" si="68"/>
        <v>20.505913758943368</v>
      </c>
      <c r="L149" s="4">
        <f t="shared" si="69"/>
        <v>21.553860123762956</v>
      </c>
      <c r="M149" s="4">
        <f t="shared" si="70"/>
        <v>17.976374457645441</v>
      </c>
      <c r="N149" s="4">
        <f t="shared" si="71"/>
        <v>0.2780962577717786</v>
      </c>
      <c r="O149" s="4">
        <f t="shared" si="71"/>
        <v>0</v>
      </c>
      <c r="P149" s="4">
        <f t="shared" si="72"/>
        <v>-7.3354023903609233</v>
      </c>
      <c r="Q149" s="4">
        <f t="shared" si="73"/>
        <v>-144.18227626290584</v>
      </c>
      <c r="R149" s="4">
        <f t="shared" si="74"/>
        <v>76.501896889732947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-1.219635903243289E-4</v>
      </c>
      <c r="D150" s="9">
        <f t="shared" si="61"/>
        <v>20.505913758522805</v>
      </c>
      <c r="E150">
        <f t="shared" si="61"/>
        <v>-20.506186240693935</v>
      </c>
      <c r="F150" s="4">
        <f t="shared" si="63"/>
        <v>-1.976326827588055</v>
      </c>
      <c r="G150" s="4">
        <f t="shared" si="64"/>
        <v>-4.2307530522227097</v>
      </c>
      <c r="H150" s="4">
        <f t="shared" si="65"/>
        <v>2.4141577675053818</v>
      </c>
      <c r="I150" s="4">
        <f t="shared" si="66"/>
        <v>-70.01069722062725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20.505913758522805</v>
      </c>
      <c r="C151">
        <f t="shared" si="62"/>
        <v>-20.506186240693935</v>
      </c>
      <c r="D151" s="9">
        <f t="shared" si="61"/>
        <v>-1.219635903243289E-4</v>
      </c>
      <c r="E151">
        <f t="shared" si="61"/>
        <v>-28.999999999743533</v>
      </c>
      <c r="F151" s="4">
        <f t="shared" si="63"/>
        <v>-4.2307530522227097</v>
      </c>
      <c r="G151" s="4">
        <f t="shared" si="64"/>
        <v>-5.1645585951490931</v>
      </c>
      <c r="H151" s="4">
        <f t="shared" si="65"/>
        <v>0.41421042439178574</v>
      </c>
      <c r="I151" s="4">
        <f t="shared" si="66"/>
        <v>-28.999949481153024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-1.219635903243289E-4</v>
      </c>
      <c r="C152">
        <f t="shared" si="62"/>
        <v>-28.999999999743533</v>
      </c>
      <c r="D152" s="9">
        <f t="shared" si="61"/>
        <v>-20.506186241114499</v>
      </c>
      <c r="E152">
        <f t="shared" si="61"/>
        <v>-20.506013758522805</v>
      </c>
      <c r="F152" s="4">
        <f t="shared" si="63"/>
        <v>-5.1645585951490931</v>
      </c>
      <c r="G152" s="4">
        <f t="shared" si="64"/>
        <v>-4.2307340896209826</v>
      </c>
      <c r="H152" s="4">
        <f t="shared" si="65"/>
        <v>-0.4142182588655311</v>
      </c>
      <c r="I152" s="4">
        <f t="shared" si="66"/>
        <v>-29.000050519289562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-20.506186241114499</v>
      </c>
      <c r="C153">
        <f t="shared" si="62"/>
        <v>-20.506013758522805</v>
      </c>
      <c r="D153" s="9">
        <f t="shared" si="61"/>
        <v>-28.999999999743533</v>
      </c>
      <c r="E153">
        <f t="shared" si="61"/>
        <v>1.219635903243289E-4</v>
      </c>
      <c r="F153" s="4">
        <f t="shared" si="63"/>
        <v>-4.2307340896209826</v>
      </c>
      <c r="G153" s="4">
        <f t="shared" si="64"/>
        <v>-1.9763000103585018</v>
      </c>
      <c r="H153" s="4">
        <f t="shared" si="65"/>
        <v>-2.4142436254009616</v>
      </c>
      <c r="I153" s="4">
        <f t="shared" si="66"/>
        <v>-70.012943172418389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-117.32923609764002</v>
      </c>
      <c r="Q154" s="4">
        <f t="shared" ref="Q154:R154" si="75">SUM(Q146:Q153)</f>
        <v>-2760.8896123285008</v>
      </c>
      <c r="R154" s="4">
        <f t="shared" si="75"/>
        <v>-4.9626809200873367E-3</v>
      </c>
    </row>
    <row r="156" spans="1:18" x14ac:dyDescent="0.25">
      <c r="O156" t="s">
        <v>96</v>
      </c>
      <c r="P156" s="1">
        <f>-1*R154/P154</f>
        <v>-4.2297053020591151E-5</v>
      </c>
    </row>
    <row r="157" spans="1:18" x14ac:dyDescent="0.25">
      <c r="O157" t="s">
        <v>97</v>
      </c>
      <c r="P157" s="1">
        <f>Q154/P154</f>
        <v>23.531130894186685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45.999987505008519</v>
      </c>
      <c r="C159" t="s">
        <v>36</v>
      </c>
    </row>
    <row r="160" spans="1:18" x14ac:dyDescent="0.25">
      <c r="A160" s="1" t="s">
        <v>106</v>
      </c>
      <c r="B160" s="4">
        <f>Q140+I122+Q154-O122</f>
        <v>42779.99963260677</v>
      </c>
      <c r="C160" t="s">
        <v>102</v>
      </c>
    </row>
    <row r="161" spans="1:9" x14ac:dyDescent="0.25">
      <c r="A161" s="1" t="s">
        <v>107</v>
      </c>
      <c r="B161" s="4">
        <f>R140+J122+R154-P122</f>
        <v>-0.1799173250156656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45.999987505008519</v>
      </c>
      <c r="C164" t="s">
        <v>36</v>
      </c>
      <c r="E164" s="8">
        <f>B2-B164</f>
        <v>1.2494991480593853E-5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42779.999632985106</v>
      </c>
      <c r="C165" t="s">
        <v>102</v>
      </c>
      <c r="E165" s="8">
        <f>B3+B165</f>
        <v>-3.670148944365792E-4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-2.6255850271716952E-9</v>
      </c>
      <c r="C166" t="s">
        <v>102</v>
      </c>
      <c r="E166" s="8">
        <f>B4+B166</f>
        <v>-2.6255850271716952E-9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1.7616449218156915</v>
      </c>
      <c r="B169" s="1">
        <f ca="1">IF(E122=0,0,(MIN(H110:H121)*B65)/(B55*B56*E122))</f>
        <v>-1.7616449479451093</v>
      </c>
      <c r="C169" s="3">
        <f ca="1">A169+B169</f>
        <v>-2.6129417740605732E-8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6.2379737520462731E-14</v>
      </c>
      <c r="C175" s="27">
        <f>B65*SQRT(I175)</f>
        <v>2.3767089591661043E-7</v>
      </c>
      <c r="D175" s="27">
        <f>B66*SQRT(I175)</f>
        <v>2.6129416807938577E-8</v>
      </c>
      <c r="E175" s="27">
        <f>B67*SQRT(I175)</f>
        <v>2.1196480167113964E-6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4.205641108058649E-6</v>
      </c>
      <c r="C176" s="3">
        <f>B65+C175</f>
        <v>16.023768771520324</v>
      </c>
      <c r="D176" s="3">
        <f>D175+B66</f>
        <v>1.7616449479451084</v>
      </c>
      <c r="E176" s="3">
        <f>B67+E175</f>
        <v>142.90664225337878</v>
      </c>
      <c r="F176" s="16" t="s">
        <v>125</v>
      </c>
    </row>
    <row r="177" spans="1:13" x14ac:dyDescent="0.25">
      <c r="B177" s="27">
        <f>B176-B64</f>
        <v>6.2379737165378212E-14</v>
      </c>
      <c r="C177" s="27">
        <f>C176-B65</f>
        <v>2.3767089629700422E-7</v>
      </c>
      <c r="D177" s="27">
        <f>D176-B66</f>
        <v>2.6129416852427312E-8</v>
      </c>
      <c r="E177" s="27">
        <f>E176-B67</f>
        <v>2.1196480304297438E-6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-478.19631597606025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34.000945861969306</v>
      </c>
      <c r="B181" s="25">
        <f>(d_alpha_p!E136-d_alpha_m!E136)/(2*B177)</f>
        <v>34.000945861969306</v>
      </c>
      <c r="C181" s="25">
        <f>(d_alpha_p!E137-d_alpha_m!E137)/(2*B177)</f>
        <v>34.000945861969306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-1.2494991480593853E-5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3.670148944365792E-4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2.6255850271716952E-9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2.6129417740605732E-8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-478.19631597606025</v>
      </c>
      <c r="B190" s="25">
        <f>A181</f>
        <v>34.000945861969306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34.000945861969306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34.000945861969306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-478.19631597606025</v>
      </c>
      <c r="B201" s="25">
        <f t="shared" ref="B201:C201" si="77">B190</f>
        <v>34.000945861969306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34.000945861969306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34.000945861969306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43" workbookViewId="0">
      <selection activeCell="L62" sqref="L6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5" x14ac:dyDescent="0.25">
      <c r="A51" s="10" t="s">
        <v>8</v>
      </c>
      <c r="B51" s="17">
        <f>'Rigid Bearing Plate Analysis'!B51</f>
        <v>3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9.404474149780515E-12</v>
      </c>
      <c r="M57" s="17" t="str">
        <f ca="1">'Rigid Bearing Plate Analysis'!M57</f>
        <v>SOLUTION FOUND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Analysis'!B64+'Rigid Bearing Plate Analysis'!B175</f>
        <v>4.205641108058649E-6</v>
      </c>
      <c r="C64" t="s">
        <v>19</v>
      </c>
      <c r="D64" t="s">
        <v>34</v>
      </c>
      <c r="H64" s="17">
        <f>DEGREES(B64)</f>
        <v>2.4096548563848358E-4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16.023768533849427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1.7616449479451088</v>
      </c>
      <c r="C66" t="s">
        <v>11</v>
      </c>
      <c r="D66">
        <f>B66/B53</f>
        <v>5.5820254483504551E-4</v>
      </c>
      <c r="I66" s="20"/>
    </row>
    <row r="67" spans="1:18" x14ac:dyDescent="0.25">
      <c r="A67" s="1" t="s">
        <v>37</v>
      </c>
      <c r="B67" s="17">
        <f>'Rigid Bearing Plate Analysis'!B67</f>
        <v>142.90664013373075</v>
      </c>
      <c r="C67" t="s">
        <v>36</v>
      </c>
      <c r="D67" t="s">
        <v>122</v>
      </c>
      <c r="G67" s="20">
        <f ca="1">($B$56*$B$66*$B$55*$E$122)/$B$65</f>
        <v>142.90664013374271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-35.000142991496986</v>
      </c>
      <c r="R76">
        <f>Q76</f>
        <v>-35.000142991496986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35.000142991496986</v>
      </c>
      <c r="R77">
        <f>Q77</f>
        <v>35.000142991496986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-34.000142991496986</v>
      </c>
      <c r="C84" s="1">
        <f t="shared" ref="C84:C92" si="23">(-1*B73*SIN($B$64))+(C73*COS($B$64))</f>
        <v>-33.999857007901639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1.2196359213334129E-4</v>
      </c>
    </row>
    <row r="85" spans="1:10" x14ac:dyDescent="0.25">
      <c r="A85" s="1">
        <f t="shared" si="21"/>
        <v>2</v>
      </c>
      <c r="B85" s="4">
        <f t="shared" si="22"/>
        <v>33.999857007901639</v>
      </c>
      <c r="C85" s="1">
        <f t="shared" si="23"/>
        <v>-34.000142991496986</v>
      </c>
      <c r="H85" s="1">
        <f t="shared" si="24"/>
        <v>2</v>
      </c>
      <c r="I85" s="4">
        <f t="shared" ref="I85:I92" si="25">(I74*COS($B$64))+(J74*SIN($B$64))</f>
        <v>-20.506013758942089</v>
      </c>
      <c r="J85" s="1">
        <f t="shared" ref="J85:J92" si="26">(-1*I74*SIN($B$64))+(J74*COS($B$64))</f>
        <v>20.506086241115778</v>
      </c>
    </row>
    <row r="86" spans="1:10" x14ac:dyDescent="0.25">
      <c r="A86" s="1">
        <f t="shared" si="21"/>
        <v>3</v>
      </c>
      <c r="B86" s="4">
        <f t="shared" si="22"/>
        <v>34.000142991496986</v>
      </c>
      <c r="C86" s="1">
        <f t="shared" si="23"/>
        <v>33.999857007901639</v>
      </c>
      <c r="H86" s="1">
        <f t="shared" si="24"/>
        <v>3</v>
      </c>
      <c r="I86" s="4">
        <f t="shared" si="25"/>
        <v>1.2196359213334129E-4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-33.999857007901639</v>
      </c>
      <c r="C87" s="1">
        <f t="shared" si="23"/>
        <v>34.000142991496986</v>
      </c>
      <c r="H87" s="1">
        <f t="shared" si="24"/>
        <v>4</v>
      </c>
      <c r="I87" s="4">
        <f t="shared" si="25"/>
        <v>20.506086240695215</v>
      </c>
      <c r="J87" s="1">
        <f t="shared" si="26"/>
        <v>20.505913758942089</v>
      </c>
    </row>
    <row r="88" spans="1:10" x14ac:dyDescent="0.25">
      <c r="A88" s="1">
        <f t="shared" si="21"/>
        <v>5</v>
      </c>
      <c r="B88" s="4">
        <f t="shared" si="22"/>
        <v>-34.000142991496986</v>
      </c>
      <c r="C88" s="1">
        <f t="shared" si="23"/>
        <v>-33.999857007901639</v>
      </c>
      <c r="H88" s="1">
        <f t="shared" si="24"/>
        <v>5</v>
      </c>
      <c r="I88" s="4">
        <f t="shared" si="25"/>
        <v>28.999999999743533</v>
      </c>
      <c r="J88" s="1">
        <f t="shared" si="26"/>
        <v>-1.2196359213334129E-4</v>
      </c>
    </row>
    <row r="89" spans="1:10" x14ac:dyDescent="0.25">
      <c r="A89" s="1">
        <f t="shared" si="21"/>
        <v>6</v>
      </c>
      <c r="B89" s="4">
        <f t="shared" si="22"/>
        <v>-34.000142991496986</v>
      </c>
      <c r="C89" s="1">
        <f t="shared" si="23"/>
        <v>-33.999857007901639</v>
      </c>
      <c r="H89" s="1">
        <f t="shared" si="24"/>
        <v>6</v>
      </c>
      <c r="I89" s="4">
        <f t="shared" si="25"/>
        <v>20.505913758521526</v>
      </c>
      <c r="J89" s="1">
        <f t="shared" si="26"/>
        <v>-20.506186240695214</v>
      </c>
    </row>
    <row r="90" spans="1:10" x14ac:dyDescent="0.25">
      <c r="A90" s="1">
        <f t="shared" si="21"/>
        <v>7</v>
      </c>
      <c r="B90" s="4">
        <f t="shared" si="22"/>
        <v>-34.000142991496986</v>
      </c>
      <c r="C90" s="1">
        <f t="shared" si="23"/>
        <v>-33.999857007901639</v>
      </c>
      <c r="H90" s="1">
        <f t="shared" si="24"/>
        <v>7</v>
      </c>
      <c r="I90" s="4">
        <f t="shared" si="25"/>
        <v>-1.2196359213334129E-4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-34.000142991496986</v>
      </c>
      <c r="C91" s="1">
        <f t="shared" si="23"/>
        <v>-33.999857007901639</v>
      </c>
      <c r="H91" s="1">
        <f t="shared" si="24"/>
        <v>8</v>
      </c>
      <c r="I91" s="4">
        <f t="shared" si="25"/>
        <v>-20.506186241115778</v>
      </c>
      <c r="J91" s="1">
        <f t="shared" si="26"/>
        <v>-20.506013758521526</v>
      </c>
    </row>
    <row r="92" spans="1:10" x14ac:dyDescent="0.25">
      <c r="A92" s="1">
        <f t="shared" si="21"/>
        <v>9</v>
      </c>
      <c r="B92" s="4">
        <f t="shared" si="22"/>
        <v>-34.000142991496986</v>
      </c>
      <c r="C92" s="1">
        <f t="shared" si="23"/>
        <v>-33.999857007901639</v>
      </c>
      <c r="H92" s="1">
        <f t="shared" si="24"/>
        <v>9</v>
      </c>
      <c r="I92" s="4">
        <f t="shared" si="25"/>
        <v>-28.999999999743533</v>
      </c>
      <c r="J92" s="1">
        <f t="shared" si="26"/>
        <v>1.2196359213334129E-4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27.040080874239372</v>
      </c>
      <c r="C110" s="1">
        <f>(-1*B95*SIN($B$64))+(C95*COS($B$64))</f>
        <v>19.229886279294369</v>
      </c>
      <c r="D110" t="str">
        <f t="shared" ref="D110" si="31">D95</f>
        <v>y</v>
      </c>
      <c r="E110" s="4">
        <f t="shared" ref="E110:E121" si="32">IF($D110="y",$B$125-C110,0)</f>
        <v>-1.2535118216468106</v>
      </c>
      <c r="F110" s="1">
        <f>IF($D110="y",B110,NA())</f>
        <v>27.040080874239372</v>
      </c>
      <c r="G110" s="1">
        <f>IF($D110="y",C110,NA())</f>
        <v>19.229886279294369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4.3667223933368289E-5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-27.042919125282332</v>
      </c>
      <c r="C111" s="1">
        <f t="shared" ref="C111:C121" si="37">(-1*B96*SIN($B$64))+(C96*COS($B$64))</f>
        <v>19.230113732982417</v>
      </c>
      <c r="D111" t="str">
        <f t="shared" si="35"/>
        <v>y</v>
      </c>
      <c r="E111" s="4">
        <f t="shared" si="32"/>
        <v>-1.2537392753348584</v>
      </c>
      <c r="F111" s="1">
        <f t="shared" ref="F111:G121" si="38">IF($D111="y",B111,NA())</f>
        <v>-27.042919125282332</v>
      </c>
      <c r="G111" s="1">
        <f t="shared" si="38"/>
        <v>19.230113732982417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4.3675147489380231E-5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27.03991912528236</v>
      </c>
      <c r="C112" s="1">
        <f t="shared" si="37"/>
        <v>-19.230113720365498</v>
      </c>
      <c r="D112" t="str">
        <f t="shared" si="35"/>
        <v>y</v>
      </c>
      <c r="E112" s="4">
        <f t="shared" si="32"/>
        <v>37.206488178013061</v>
      </c>
      <c r="F112" s="1">
        <f t="shared" si="38"/>
        <v>27.03991912528236</v>
      </c>
      <c r="G112" s="1">
        <f t="shared" si="38"/>
        <v>-19.230113720365498</v>
      </c>
      <c r="H112">
        <f t="shared" si="33"/>
        <v>-122.072638495744</v>
      </c>
      <c r="I112">
        <f t="shared" si="39"/>
        <v>2347.4707204182241</v>
      </c>
      <c r="J112">
        <f t="shared" si="40"/>
        <v>3300.8342723347478</v>
      </c>
      <c r="K112">
        <f t="shared" ref="K112:K121" ca="1" si="45">H112/$B$55</f>
        <v>-37.587533413413261</v>
      </c>
      <c r="L112">
        <f t="shared" ca="1" si="41"/>
        <v>-1.2961218418418366E-3</v>
      </c>
      <c r="M112">
        <f t="shared" si="34"/>
        <v>-1.2961218418419452E-3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-27.043080874239344</v>
      </c>
      <c r="C113" s="1">
        <f t="shared" si="37"/>
        <v>-19.22988626667745</v>
      </c>
      <c r="D113" t="str">
        <f t="shared" si="35"/>
        <v>y</v>
      </c>
      <c r="E113" s="4">
        <f t="shared" si="32"/>
        <v>37.206260724325006</v>
      </c>
      <c r="F113" s="1">
        <f t="shared" si="38"/>
        <v>-27.043080874239344</v>
      </c>
      <c r="G113" s="1">
        <f t="shared" si="38"/>
        <v>-19.22988626667745</v>
      </c>
      <c r="H113">
        <f t="shared" si="33"/>
        <v>-122.07189223149828</v>
      </c>
      <c r="I113">
        <f t="shared" si="39"/>
        <v>2347.4286039698186</v>
      </c>
      <c r="J113">
        <f t="shared" si="40"/>
        <v>-3301.2000540878375</v>
      </c>
      <c r="K113">
        <f t="shared" ca="1" si="45"/>
        <v>-37.587303630288915</v>
      </c>
      <c r="L113">
        <f t="shared" ca="1" si="41"/>
        <v>-1.2961139182858245E-3</v>
      </c>
      <c r="M113">
        <f t="shared" si="34"/>
        <v>-1.296113918285933E-3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25.866095173429521</v>
      </c>
      <c r="C114" s="1">
        <f t="shared" si="37"/>
        <v>22.629891216686971</v>
      </c>
      <c r="D114" t="str">
        <f t="shared" si="35"/>
        <v>y</v>
      </c>
      <c r="E114" s="4">
        <f t="shared" si="32"/>
        <v>-4.6535167590394124</v>
      </c>
      <c r="F114" s="1">
        <f t="shared" si="38"/>
        <v>25.866095173429521</v>
      </c>
      <c r="G114" s="1">
        <f t="shared" si="38"/>
        <v>22.629891216686971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1.621094870311575E-4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-25.864904826112987</v>
      </c>
      <c r="C115" s="1">
        <f t="shared" si="37"/>
        <v>22.630108778707132</v>
      </c>
      <c r="D115" t="str">
        <f t="shared" si="35"/>
        <v>y</v>
      </c>
      <c r="E115" s="4">
        <f t="shared" si="32"/>
        <v>-4.6537343210595736</v>
      </c>
      <c r="F115" s="1">
        <f t="shared" si="38"/>
        <v>-25.864904826112987</v>
      </c>
      <c r="G115" s="1">
        <f t="shared" si="38"/>
        <v>22.630108778707132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1.6211706600192564E-4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25.865904826112974</v>
      </c>
      <c r="C116" s="1">
        <f t="shared" si="37"/>
        <v>-22.630108782912771</v>
      </c>
      <c r="D116" t="str">
        <f t="shared" si="35"/>
        <v>y</v>
      </c>
      <c r="E116" s="4">
        <f t="shared" si="32"/>
        <v>40.60648324056033</v>
      </c>
      <c r="F116" s="1">
        <f t="shared" si="38"/>
        <v>25.865904826112974</v>
      </c>
      <c r="G116" s="1">
        <f t="shared" si="38"/>
        <v>-22.630108782912771</v>
      </c>
      <c r="H116">
        <f t="shared" si="33"/>
        <v>-133.22785331128568</v>
      </c>
      <c r="I116">
        <f t="shared" si="39"/>
        <v>3014.9608133483403</v>
      </c>
      <c r="J116">
        <f t="shared" si="40"/>
        <v>3446.0589739370557</v>
      </c>
      <c r="K116">
        <f t="shared" ca="1" si="45"/>
        <v>-41.022349067271634</v>
      </c>
      <c r="L116">
        <f t="shared" ca="1" si="41"/>
        <v>-1.4145637609404012E-3</v>
      </c>
      <c r="M116">
        <f t="shared" si="34"/>
        <v>-1.4145637609405196E-3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-25.865095173429534</v>
      </c>
      <c r="C117" s="1">
        <f t="shared" si="37"/>
        <v>-22.62989122089261</v>
      </c>
      <c r="D117" t="str">
        <f t="shared" si="35"/>
        <v>y</v>
      </c>
      <c r="E117" s="4">
        <f t="shared" si="32"/>
        <v>40.606265678540169</v>
      </c>
      <c r="F117" s="1">
        <f t="shared" si="38"/>
        <v>-25.865095173429534</v>
      </c>
      <c r="G117" s="1">
        <f t="shared" si="38"/>
        <v>-22.62989122089261</v>
      </c>
      <c r="H117">
        <f t="shared" si="33"/>
        <v>-133.22713950111068</v>
      </c>
      <c r="I117">
        <f t="shared" si="39"/>
        <v>3014.9156745808195</v>
      </c>
      <c r="J117">
        <f t="shared" si="40"/>
        <v>-3445.9326428800014</v>
      </c>
      <c r="K117">
        <f t="shared" ca="1" si="45"/>
        <v>-41.022129277119362</v>
      </c>
      <c r="L117">
        <f t="shared" ca="1" si="41"/>
        <v>-1.4145561819696331E-3</v>
      </c>
      <c r="M117">
        <f t="shared" si="34"/>
        <v>-1.4145561819697515E-3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24.666107580081402</v>
      </c>
      <c r="C118" s="1">
        <f t="shared" si="37"/>
        <v>25.579896263430204</v>
      </c>
      <c r="D118" t="str">
        <f t="shared" si="35"/>
        <v>y</v>
      </c>
      <c r="E118" s="4">
        <f t="shared" si="32"/>
        <v>-7.6035218057826448</v>
      </c>
      <c r="F118" s="1">
        <f t="shared" si="38"/>
        <v>24.666107580081402</v>
      </c>
      <c r="G118" s="1">
        <f t="shared" si="38"/>
        <v>25.579896263430204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2.6487559482220091E-4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-24.665892419482315</v>
      </c>
      <c r="C119" s="1">
        <f t="shared" si="37"/>
        <v>25.580103736117348</v>
      </c>
      <c r="D119" t="str">
        <f t="shared" si="35"/>
        <v>y</v>
      </c>
      <c r="E119" s="4">
        <f t="shared" si="32"/>
        <v>-7.603729278469789</v>
      </c>
      <c r="F119" s="1">
        <f t="shared" si="38"/>
        <v>-24.665892419482315</v>
      </c>
      <c r="G119" s="1">
        <f t="shared" si="38"/>
        <v>25.580103736117348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2.648828223218807E-4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24.665892419482311</v>
      </c>
      <c r="C120" s="1">
        <f t="shared" si="37"/>
        <v>-25.580103736117348</v>
      </c>
      <c r="D120" t="str">
        <f t="shared" si="35"/>
        <v>y</v>
      </c>
      <c r="E120" s="4">
        <f t="shared" si="32"/>
        <v>43.556478193764903</v>
      </c>
      <c r="F120" s="1">
        <f t="shared" si="38"/>
        <v>24.665892419482311</v>
      </c>
      <c r="G120" s="1">
        <f t="shared" si="38"/>
        <v>-25.580103736117348</v>
      </c>
      <c r="H120">
        <f t="shared" si="33"/>
        <v>-142.90664013373075</v>
      </c>
      <c r="I120">
        <f t="shared" si="39"/>
        <v>3655.5666792008233</v>
      </c>
      <c r="J120">
        <f t="shared" si="40"/>
        <v>3524.9198115682757</v>
      </c>
      <c r="K120">
        <f t="shared" ca="1" si="45"/>
        <v>-44.002555996301368</v>
      </c>
      <c r="L120">
        <f t="shared" ca="1" si="41"/>
        <v>-1.5173295171138402E-3</v>
      </c>
      <c r="M120">
        <f t="shared" si="34"/>
        <v>-1.5173295171139673E-3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-24.666107580081405</v>
      </c>
      <c r="C121" s="1">
        <f t="shared" si="37"/>
        <v>-25.579896263430204</v>
      </c>
      <c r="D121" t="str">
        <f t="shared" si="35"/>
        <v>y</v>
      </c>
      <c r="E121" s="4">
        <f t="shared" si="32"/>
        <v>43.556270721077766</v>
      </c>
      <c r="F121" s="1">
        <f t="shared" si="38"/>
        <v>-24.666107580081405</v>
      </c>
      <c r="G121" s="1">
        <f t="shared" si="38"/>
        <v>-25.579896263430204</v>
      </c>
      <c r="H121" s="23">
        <f t="shared" si="33"/>
        <v>-142.90595942615596</v>
      </c>
      <c r="I121" s="23">
        <f t="shared" si="39"/>
        <v>3655.5196175470351</v>
      </c>
      <c r="J121" s="23">
        <f t="shared" si="40"/>
        <v>-3524.9337690403113</v>
      </c>
      <c r="K121">
        <f t="shared" ca="1" si="45"/>
        <v>-44.002346398810666</v>
      </c>
      <c r="L121">
        <f t="shared" ca="1" si="41"/>
        <v>-1.517322289614161E-3</v>
      </c>
      <c r="M121">
        <f t="shared" si="34"/>
        <v>-1.5173222896142878E-3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43.556478193764903</v>
      </c>
      <c r="H122">
        <f>SUM(H110:H121)</f>
        <v>-796.41212309952539</v>
      </c>
      <c r="I122">
        <f t="shared" ref="I122:J122" si="46">SUM(I110:I121)</f>
        <v>18035.862109065059</v>
      </c>
      <c r="J122">
        <f t="shared" si="46"/>
        <v>-0.25340816807101874</v>
      </c>
      <c r="L122">
        <f ca="1">MIN(L110:L121)</f>
        <v>-1.5173295171138402E-3</v>
      </c>
      <c r="M122">
        <f>MIN(M110:M121)</f>
        <v>-1.5173295171139673E-3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17.976374457647559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-35.000142991496986</v>
      </c>
      <c r="G126" s="4">
        <f>B125</f>
        <v>17.976374457647559</v>
      </c>
    </row>
    <row r="127" spans="1:16" x14ac:dyDescent="0.25">
      <c r="F127" s="4">
        <f>MAX(B84:B90)+1</f>
        <v>35.000142991496986</v>
      </c>
      <c r="G127" s="4">
        <f>G126</f>
        <v>17.976374457647559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-34.000142991496986</v>
      </c>
      <c r="C132" s="4">
        <f>C84</f>
        <v>-33.999857007901639</v>
      </c>
      <c r="D132" s="4">
        <f t="shared" ref="D132:E139" si="47">B85</f>
        <v>33.999857007901639</v>
      </c>
      <c r="E132" s="4">
        <f t="shared" si="47"/>
        <v>-34.000142991496986</v>
      </c>
      <c r="F132" s="4">
        <f t="shared" ref="F132:F139" si="48">($B$66/$B$65)*(C132-$B$125)</f>
        <v>-5.7142404036283088</v>
      </c>
      <c r="G132" s="4">
        <f t="shared" ref="G132:G139" si="49">($B$66/$B$65)*(E132-$B$125)</f>
        <v>-5.7142718445190628</v>
      </c>
      <c r="H132" s="4">
        <f>IF(B132=D132,"V",(C132-E132)/(B132-D132))</f>
        <v>-4.2056411080851519E-6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33.999857007901639</v>
      </c>
      <c r="C133" s="4">
        <f t="shared" si="50"/>
        <v>-34.000142991496986</v>
      </c>
      <c r="D133" s="4">
        <f t="shared" si="47"/>
        <v>34.000142991496986</v>
      </c>
      <c r="E133" s="4">
        <f t="shared" si="47"/>
        <v>33.999857007901639</v>
      </c>
      <c r="F133" s="4">
        <f t="shared" si="48"/>
        <v>-5.7142718445190628</v>
      </c>
      <c r="G133" s="4">
        <f t="shared" si="49"/>
        <v>1.7616135070543548</v>
      </c>
      <c r="H133" s="4">
        <f t="shared" ref="H133:H139" si="51">IF(B133=D133,"V",(C133-E133)/(B133-D133))</f>
        <v>237775.87632894923</v>
      </c>
      <c r="I133" s="4">
        <f t="shared" ref="I133:I139" si="52">IF(H133="V",0,(-1*B133*H133)+C133)</f>
        <v>-8084379.79525577</v>
      </c>
      <c r="J133" s="4">
        <f t="shared" ref="J133:J139" si="53">IF($F133&gt;=0,B133,IF(AND($F133&lt;0,$G133&gt;=0),IF(H133="V",B133,($B$125-I133)/H133),0))</f>
        <v>34.000075602480081</v>
      </c>
      <c r="K133" s="4">
        <f t="shared" ref="K133:K139" si="54">IF($F133&gt;=0,C133,IF(AND($F133&lt;0,$G133&gt;=0),$B$125,0))</f>
        <v>17.976374457647559</v>
      </c>
      <c r="L133" s="4">
        <f t="shared" ref="L133:L139" si="55">IF($G133&gt;=0,D133,IF(AND($G133&lt;0,$F133&gt;=0),IF(H133="V",D133,($B$125-I133)/H133),0))</f>
        <v>34.000142991496986</v>
      </c>
      <c r="M133" s="4">
        <f t="shared" ref="M133:M139" si="56">IF($G133&gt;=0,E133,IF(AND($G133&lt;0,$F133&gt;=0),$B$125,0))</f>
        <v>33.999857007901639</v>
      </c>
      <c r="N133" s="4">
        <f t="shared" ref="N133:O139" si="57">IF(F133&lt;0,IF($I$54="Linear",0,$B$66),IF($I$54="Linear",F133,$B$66))</f>
        <v>0</v>
      </c>
      <c r="O133" s="4">
        <f t="shared" si="57"/>
        <v>1.7616135070543548</v>
      </c>
      <c r="P133" s="4">
        <f t="shared" ref="P133:P139" si="58">(1/6)*(M133-K133)*((N133*((2*J133)+L133))+(O133*(J133+(2*L133))))</f>
        <v>479.86381702972341</v>
      </c>
      <c r="Q133" s="4">
        <f t="shared" ref="Q133:Q139" si="59">((1/12)*(M133-K133)*(N133*J133*((3*K133)+M133)+N133*L133*(K133+M133)+O133*J133*(K133+M133)+O133*L133*(K133+(3*M133))))</f>
        <v>13752.272176049071</v>
      </c>
      <c r="R133" s="4">
        <f t="shared" ref="R133:R139" si="60">((-1/24)*(M133-K133)*(J133*J133*((3*N133)+O133)+2*J133*L133*(N133+O133)+L133*L133*(N133+(3*O133))))</f>
        <v>-8157.7138081380399</v>
      </c>
    </row>
    <row r="134" spans="1:18" x14ac:dyDescent="0.25">
      <c r="A134" t="s">
        <v>71</v>
      </c>
      <c r="B134" s="4">
        <f t="shared" si="50"/>
        <v>34.000142991496986</v>
      </c>
      <c r="C134" s="4">
        <f t="shared" si="50"/>
        <v>33.999857007901639</v>
      </c>
      <c r="D134" s="4">
        <f t="shared" si="47"/>
        <v>-33.999857007901639</v>
      </c>
      <c r="E134" s="4">
        <f t="shared" si="47"/>
        <v>34.000142991496986</v>
      </c>
      <c r="F134" s="4">
        <f t="shared" si="48"/>
        <v>1.7616135070543548</v>
      </c>
      <c r="G134" s="4">
        <f t="shared" si="49"/>
        <v>1.7616449479451088</v>
      </c>
      <c r="H134" s="4">
        <f t="shared" si="51"/>
        <v>-4.2056411080851519E-6</v>
      </c>
      <c r="I134" s="4">
        <f t="shared" si="52"/>
        <v>34.000000000300687</v>
      </c>
      <c r="J134" s="4">
        <f t="shared" si="53"/>
        <v>34.000142991496986</v>
      </c>
      <c r="K134" s="4">
        <f t="shared" si="54"/>
        <v>33.999857007901639</v>
      </c>
      <c r="L134" s="4">
        <f t="shared" si="55"/>
        <v>-33.999857007901639</v>
      </c>
      <c r="M134" s="4">
        <f t="shared" si="56"/>
        <v>34.000142991496986</v>
      </c>
      <c r="N134" s="4">
        <f t="shared" si="57"/>
        <v>1.7616135070543548</v>
      </c>
      <c r="O134" s="4">
        <f t="shared" si="57"/>
        <v>1.7616449479451088</v>
      </c>
      <c r="P134" s="4">
        <f t="shared" si="58"/>
        <v>2.1086566414205417E-8</v>
      </c>
      <c r="Q134" s="4">
        <f t="shared" si="59"/>
        <v>-9.9497011235486867E-8</v>
      </c>
      <c r="R134" s="4">
        <f t="shared" si="60"/>
        <v>-9.7064900251558783E-2</v>
      </c>
    </row>
    <row r="135" spans="1:18" x14ac:dyDescent="0.25">
      <c r="A135" t="s">
        <v>72</v>
      </c>
      <c r="B135" s="4">
        <f t="shared" si="50"/>
        <v>-33.999857007901639</v>
      </c>
      <c r="C135" s="4">
        <f t="shared" si="50"/>
        <v>34.000142991496986</v>
      </c>
      <c r="D135" s="4">
        <f t="shared" si="47"/>
        <v>-34.000142991496986</v>
      </c>
      <c r="E135" s="4">
        <f t="shared" si="47"/>
        <v>-33.999857007901639</v>
      </c>
      <c r="F135" s="4">
        <f t="shared" si="48"/>
        <v>1.7616449479451088</v>
      </c>
      <c r="G135" s="4">
        <f t="shared" si="49"/>
        <v>-5.7142404036283088</v>
      </c>
      <c r="H135" s="4">
        <f t="shared" si="51"/>
        <v>237775.87632894923</v>
      </c>
      <c r="I135" s="4">
        <f t="shared" si="52"/>
        <v>8084379.79525577</v>
      </c>
      <c r="J135" s="4">
        <f t="shared" si="53"/>
        <v>-33.999857007901639</v>
      </c>
      <c r="K135" s="4">
        <f t="shared" si="54"/>
        <v>34.000142991496986</v>
      </c>
      <c r="L135" s="4">
        <f t="shared" si="55"/>
        <v>-33.999924398121294</v>
      </c>
      <c r="M135" s="4">
        <f t="shared" si="56"/>
        <v>17.976374457647559</v>
      </c>
      <c r="N135" s="4">
        <f t="shared" si="57"/>
        <v>1.7616449479451088</v>
      </c>
      <c r="O135" s="4">
        <f t="shared" si="57"/>
        <v>0</v>
      </c>
      <c r="P135" s="4">
        <f t="shared" si="58"/>
        <v>479.87754388640025</v>
      </c>
      <c r="Q135" s="4">
        <f t="shared" si="59"/>
        <v>13752.755367878955</v>
      </c>
      <c r="R135" s="4">
        <f t="shared" si="60"/>
        <v>8157.8893265642873</v>
      </c>
    </row>
    <row r="136" spans="1:18" x14ac:dyDescent="0.25">
      <c r="A136" t="s">
        <v>73</v>
      </c>
      <c r="B136" s="4">
        <f t="shared" si="50"/>
        <v>-34.000142991496986</v>
      </c>
      <c r="C136" s="4">
        <f t="shared" si="50"/>
        <v>-33.999857007901639</v>
      </c>
      <c r="D136" s="4">
        <f t="shared" si="47"/>
        <v>-34.000142991496986</v>
      </c>
      <c r="E136" s="4">
        <f t="shared" si="47"/>
        <v>-33.999857007901639</v>
      </c>
      <c r="F136" s="4">
        <f t="shared" si="48"/>
        <v>-5.7142404036283088</v>
      </c>
      <c r="G136" s="4">
        <f t="shared" si="49"/>
        <v>-5.7142404036283088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-34.000142991496986</v>
      </c>
      <c r="C137" s="4">
        <f t="shared" si="50"/>
        <v>-33.999857007901639</v>
      </c>
      <c r="D137" s="4">
        <f t="shared" si="47"/>
        <v>-34.000142991496986</v>
      </c>
      <c r="E137" s="4">
        <f t="shared" si="47"/>
        <v>-33.999857007901639</v>
      </c>
      <c r="F137" s="4">
        <f t="shared" si="48"/>
        <v>-5.7142404036283088</v>
      </c>
      <c r="G137" s="4">
        <f t="shared" si="49"/>
        <v>-5.7142404036283088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-34.000142991496986</v>
      </c>
      <c r="C138" s="4">
        <f t="shared" si="50"/>
        <v>-33.999857007901639</v>
      </c>
      <c r="D138" s="4">
        <f t="shared" si="47"/>
        <v>-34.000142991496986</v>
      </c>
      <c r="E138" s="4">
        <f t="shared" si="47"/>
        <v>-33.999857007901639</v>
      </c>
      <c r="F138" s="4">
        <f t="shared" si="48"/>
        <v>-5.7142404036283088</v>
      </c>
      <c r="G138" s="4">
        <f t="shared" si="49"/>
        <v>-5.7142404036283088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-34.000142991496986</v>
      </c>
      <c r="C139" s="4">
        <f>E138</f>
        <v>-33.999857007901639</v>
      </c>
      <c r="D139" s="4">
        <f t="shared" si="47"/>
        <v>-34.000142991496986</v>
      </c>
      <c r="E139" s="4">
        <f t="shared" si="47"/>
        <v>-33.999857007901639</v>
      </c>
      <c r="F139" s="4">
        <f t="shared" si="48"/>
        <v>-5.7142404036283088</v>
      </c>
      <c r="G139" s="4">
        <f t="shared" si="49"/>
        <v>-5.7142404036283088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959.74136093721017</v>
      </c>
      <c r="Q140" s="4">
        <f>SUM(Q132:Q139)</f>
        <v>27505.027543828532</v>
      </c>
      <c r="R140" s="4">
        <f>SUM(R132:R139)</f>
        <v>7.8453525995428208E-2</v>
      </c>
    </row>
    <row r="142" spans="1:18" x14ac:dyDescent="0.25">
      <c r="O142" t="s">
        <v>96</v>
      </c>
      <c r="P142" s="1">
        <f>-1*R140/P140</f>
        <v>-8.1744446148300292E-5</v>
      </c>
    </row>
    <row r="143" spans="1:18" x14ac:dyDescent="0.25">
      <c r="O143" t="s">
        <v>97</v>
      </c>
      <c r="P143" s="1">
        <f>Q140/P140</f>
        <v>28.658791486249193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1.2196359213334129E-4</v>
      </c>
      <c r="D146" s="9">
        <f t="shared" ref="D146:E153" si="61">I85</f>
        <v>-20.506013758942089</v>
      </c>
      <c r="E146">
        <f t="shared" si="61"/>
        <v>20.506086241115778</v>
      </c>
      <c r="F146" s="4">
        <f>($B$66/$B$65)*(C146-$B$125)</f>
        <v>-1.9763000396718025</v>
      </c>
      <c r="G146" s="4">
        <f>($B$66/$B$65)*(E146-$B$125)</f>
        <v>0.27811522449852905</v>
      </c>
      <c r="H146" s="4">
        <f>IF(B146=D146,"V",(C146-E146)/(B146-D146))</f>
        <v>2.4141744166033425</v>
      </c>
      <c r="I146" s="4">
        <f>IF(H146="V",0,(-1*B146*H146)+C146)</f>
        <v>70.01118004446991</v>
      </c>
      <c r="J146" s="4">
        <f>IF($F146&gt;=0,B146,IF(AND($F146&lt;0,$G146&gt;=0),IF(H146="V",B146,($B$125-I146)/H146),0))</f>
        <v>-21.553871679260634</v>
      </c>
      <c r="K146" s="4">
        <f>IF($F146&gt;=0,C146,IF(AND($F146&lt;0,$G146&gt;=0),$B$125,0))</f>
        <v>17.976374457647559</v>
      </c>
      <c r="L146" s="4">
        <f>IF($G146&gt;=0,D146,IF(AND($G146&lt;0,$F146&gt;=0),IF(H146="V",D146,($B$125-I146)/H146),0))</f>
        <v>-20.506013758942089</v>
      </c>
      <c r="M146" s="4">
        <f>IF($G146&gt;=0,E146,IF(AND($G146&lt;0,$F146&gt;=0),$B$125,0))</f>
        <v>20.506086241115778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0.27811522449852905</v>
      </c>
      <c r="P146" s="4">
        <f>(1/6)*(M146-K146)*((N146*((2*J146)+L146))+(O146*(J146+(2*L146))))</f>
        <v>-7.3363872509669941</v>
      </c>
      <c r="Q146" s="4">
        <f>((1/12)*(M146-K146)*(N146*J146*((3*K146)+M146)+N146*L146*(K146+M146)+O146*J146*(K146+M146)+O146*L146*(K146+(3*M146))))</f>
        <v>-144.20247016203624</v>
      </c>
      <c r="R146" s="4">
        <f>((-1/24)*(M146-K146)*(J146*J146*((3*N146)+O146)+2*J146*L146*(N146+O146)+L146*L146*(N146+(3*O146))))</f>
        <v>-76.512006754909166</v>
      </c>
    </row>
    <row r="147" spans="1:18" x14ac:dyDescent="0.25">
      <c r="A147" t="s">
        <v>70</v>
      </c>
      <c r="B147" s="9">
        <f t="shared" ref="B147:C153" si="62">D146</f>
        <v>-20.506013758942089</v>
      </c>
      <c r="C147">
        <f t="shared" si="62"/>
        <v>20.506086241115778</v>
      </c>
      <c r="D147" s="9">
        <f t="shared" si="61"/>
        <v>1.2196359213334129E-4</v>
      </c>
      <c r="E147">
        <f t="shared" si="61"/>
        <v>28.999999999743533</v>
      </c>
      <c r="F147" s="4">
        <f t="shared" ref="F147:F153" si="63">($B$66/$B$65)*(C147-$B$125)</f>
        <v>0.27811522449852905</v>
      </c>
      <c r="G147" s="4">
        <f t="shared" ref="G147:G153" si="64">($B$66/$B$65)*(E147-$B$125)</f>
        <v>1.2119317751781573</v>
      </c>
      <c r="H147" s="4">
        <f t="shared" ref="H147:H153" si="65">IF(B147=D147,"V",(C147-E147)/(B147-D147))</f>
        <v>0.41421328101782634</v>
      </c>
      <c r="I147" s="4">
        <f t="shared" ref="I147:I153" si="66">IF(H147="V",0,(-1*B147*H147)+C147)</f>
        <v>28.99994948080387</v>
      </c>
      <c r="J147" s="4">
        <f t="shared" ref="J147:J153" si="67">IF($F147&gt;=0,B147,IF(AND($F147&lt;0,$G147&gt;=0),IF(H147="V",B147,($B$125-I147)/H147),0))</f>
        <v>-20.506013758942089</v>
      </c>
      <c r="K147" s="4">
        <f t="shared" ref="K147:K153" si="68">IF($F147&gt;=0,C147,IF(AND($F147&lt;0,$G147&gt;=0),$B$125,0))</f>
        <v>20.506086241115778</v>
      </c>
      <c r="L147" s="4">
        <f t="shared" ref="L147:L153" si="69">IF($G147&gt;=0,D147,IF(AND($G147&lt;0,$F147&gt;=0),IF(H147="V",D147,($B$125-I147)/H147),0))</f>
        <v>1.2196359213334129E-4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0.27811522449852905</v>
      </c>
      <c r="O147" s="4">
        <f t="shared" si="71"/>
        <v>1.2119317751781573</v>
      </c>
      <c r="P147" s="4">
        <f t="shared" ref="P147:P153" si="72">(1/6)*(M147-K147)*((N147*((2*J147)+L147))+(O147*(J147+(2*L147))))</f>
        <v>-51.328196137444678</v>
      </c>
      <c r="Q147" s="4">
        <f t="shared" ref="Q147:Q153" si="73">((1/12)*(M147-K147)*(N147*J147*((3*K147)+M147)+N147*L147*(K147+M147)+O147*J147*(K147+M147)+O147*L147*(K147+(3*M147))))</f>
        <v>-1236.2402976268663</v>
      </c>
      <c r="R147" s="4">
        <f t="shared" ref="R147:R153" si="74">((-1/24)*(M147-K147)*(J147*J147*((3*N147)+O147)+2*J147*L147*(N147+O147)+L147*L147*(N147+(3*O147))))</f>
        <v>-304.52282539072525</v>
      </c>
    </row>
    <row r="148" spans="1:18" x14ac:dyDescent="0.25">
      <c r="A148" t="s">
        <v>71</v>
      </c>
      <c r="B148" s="9">
        <f t="shared" si="62"/>
        <v>1.2196359213334129E-4</v>
      </c>
      <c r="C148">
        <f t="shared" si="62"/>
        <v>28.999999999743533</v>
      </c>
      <c r="D148" s="9">
        <f t="shared" si="61"/>
        <v>20.506086240695215</v>
      </c>
      <c r="E148">
        <f t="shared" si="61"/>
        <v>20.505913758942089</v>
      </c>
      <c r="F148" s="4">
        <f t="shared" si="63"/>
        <v>1.2119317751781573</v>
      </c>
      <c r="G148" s="4">
        <f t="shared" si="64"/>
        <v>0.27809626189623937</v>
      </c>
      <c r="H148" s="4">
        <f t="shared" si="65"/>
        <v>-0.41422515547273842</v>
      </c>
      <c r="I148" s="4">
        <f t="shared" si="66"/>
        <v>29.000050520131445</v>
      </c>
      <c r="J148" s="4">
        <f t="shared" si="67"/>
        <v>1.2196359213334129E-4</v>
      </c>
      <c r="K148" s="4">
        <f t="shared" si="68"/>
        <v>28.999999999743533</v>
      </c>
      <c r="L148" s="4">
        <f t="shared" si="69"/>
        <v>20.506086240695215</v>
      </c>
      <c r="M148" s="4">
        <f t="shared" si="70"/>
        <v>20.505913758942089</v>
      </c>
      <c r="N148" s="4">
        <f t="shared" si="71"/>
        <v>1.2119317751781573</v>
      </c>
      <c r="O148" s="4">
        <f t="shared" si="71"/>
        <v>0.27809626189623937</v>
      </c>
      <c r="P148" s="4">
        <f t="shared" si="72"/>
        <v>-51.329251950293781</v>
      </c>
      <c r="Q148" s="4">
        <f t="shared" si="73"/>
        <v>-1236.2646070876954</v>
      </c>
      <c r="R148" s="4">
        <f t="shared" si="74"/>
        <v>304.5279714403822</v>
      </c>
    </row>
    <row r="149" spans="1:18" x14ac:dyDescent="0.25">
      <c r="A149" t="s">
        <v>72</v>
      </c>
      <c r="B149" s="9">
        <f t="shared" si="62"/>
        <v>20.506086240695215</v>
      </c>
      <c r="C149">
        <f t="shared" si="62"/>
        <v>20.505913758942089</v>
      </c>
      <c r="D149" s="9">
        <f t="shared" si="61"/>
        <v>28.999999999743533</v>
      </c>
      <c r="E149">
        <f t="shared" si="61"/>
        <v>-1.2196359213334129E-4</v>
      </c>
      <c r="F149" s="4">
        <f t="shared" si="63"/>
        <v>0.27809626189623937</v>
      </c>
      <c r="G149" s="4">
        <f t="shared" si="64"/>
        <v>-1.9763268569021513</v>
      </c>
      <c r="H149" s="4">
        <f t="shared" si="65"/>
        <v>-2.4142034289775713</v>
      </c>
      <c r="I149" s="4">
        <f t="shared" si="66"/>
        <v>70.011777476138278</v>
      </c>
      <c r="J149" s="4">
        <f t="shared" si="67"/>
        <v>20.506086240695215</v>
      </c>
      <c r="K149" s="4">
        <f t="shared" si="68"/>
        <v>20.505913758942089</v>
      </c>
      <c r="L149" s="4">
        <f t="shared" si="69"/>
        <v>21.553860123762647</v>
      </c>
      <c r="M149" s="4">
        <f t="shared" si="70"/>
        <v>17.976374457647559</v>
      </c>
      <c r="N149" s="4">
        <f t="shared" si="71"/>
        <v>0.27809626189623937</v>
      </c>
      <c r="O149" s="4">
        <f t="shared" si="71"/>
        <v>0</v>
      </c>
      <c r="P149" s="4">
        <f t="shared" si="72"/>
        <v>-7.3354024991430915</v>
      </c>
      <c r="Q149" s="4">
        <f t="shared" si="73"/>
        <v>-144.18227840109174</v>
      </c>
      <c r="R149" s="4">
        <f t="shared" si="74"/>
        <v>76.501898024239495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-1.2196359213334129E-4</v>
      </c>
      <c r="D150" s="9">
        <f t="shared" si="61"/>
        <v>20.505913758521526</v>
      </c>
      <c r="E150">
        <f t="shared" si="61"/>
        <v>-20.506186240695214</v>
      </c>
      <c r="F150" s="4">
        <f t="shared" si="63"/>
        <v>-1.9763268569021513</v>
      </c>
      <c r="G150" s="4">
        <f t="shared" si="64"/>
        <v>-4.2307531149752924</v>
      </c>
      <c r="H150" s="4">
        <f t="shared" si="65"/>
        <v>2.4141577675049559</v>
      </c>
      <c r="I150" s="4">
        <f t="shared" si="66"/>
        <v>-70.010697220616706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20.505913758521526</v>
      </c>
      <c r="C151">
        <f t="shared" si="62"/>
        <v>-20.506186240695214</v>
      </c>
      <c r="D151" s="9">
        <f t="shared" si="61"/>
        <v>-1.2196359213334129E-4</v>
      </c>
      <c r="E151">
        <f t="shared" si="61"/>
        <v>-28.999999999743533</v>
      </c>
      <c r="F151" s="4">
        <f t="shared" si="63"/>
        <v>-4.2307531149752924</v>
      </c>
      <c r="G151" s="4">
        <f t="shared" si="64"/>
        <v>-5.1645586717521104</v>
      </c>
      <c r="H151" s="4">
        <f t="shared" si="65"/>
        <v>0.41421042439171268</v>
      </c>
      <c r="I151" s="4">
        <f t="shared" si="66"/>
        <v>-28.999949481152278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-1.2196359213334129E-4</v>
      </c>
      <c r="C152">
        <f t="shared" si="62"/>
        <v>-28.999999999743533</v>
      </c>
      <c r="D152" s="9">
        <f t="shared" si="61"/>
        <v>-20.506186241115778</v>
      </c>
      <c r="E152">
        <f t="shared" si="61"/>
        <v>-20.506013758521526</v>
      </c>
      <c r="F152" s="4">
        <f t="shared" si="63"/>
        <v>-5.1645586717521104</v>
      </c>
      <c r="G152" s="4">
        <f t="shared" si="64"/>
        <v>-4.2307341523730031</v>
      </c>
      <c r="H152" s="4">
        <f t="shared" si="65"/>
        <v>-0.41421825886560415</v>
      </c>
      <c r="I152" s="4">
        <f t="shared" si="66"/>
        <v>-29.000050519290312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-20.506186241115778</v>
      </c>
      <c r="C153">
        <f t="shared" si="62"/>
        <v>-20.506013758521526</v>
      </c>
      <c r="D153" s="9">
        <f t="shared" si="61"/>
        <v>-28.999999999743533</v>
      </c>
      <c r="E153">
        <f t="shared" si="61"/>
        <v>1.2196359213334129E-4</v>
      </c>
      <c r="F153" s="4">
        <f t="shared" si="63"/>
        <v>-4.2307341523730031</v>
      </c>
      <c r="G153" s="4">
        <f t="shared" si="64"/>
        <v>-1.9763000396718025</v>
      </c>
      <c r="H153" s="4">
        <f t="shared" si="65"/>
        <v>-2.4142436254013875</v>
      </c>
      <c r="I153" s="4">
        <f t="shared" si="66"/>
        <v>-70.012943172428933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-117.32923783784854</v>
      </c>
      <c r="Q154" s="4">
        <f t="shared" ref="Q154:R154" si="75">SUM(Q146:Q153)</f>
        <v>-2760.8896532776898</v>
      </c>
      <c r="R154" s="4">
        <f t="shared" si="75"/>
        <v>-4.9626810127278986E-3</v>
      </c>
    </row>
    <row r="156" spans="1:18" x14ac:dyDescent="0.25">
      <c r="O156" t="s">
        <v>96</v>
      </c>
      <c r="P156" s="1">
        <f>-1*R154/P154</f>
        <v>-4.2297053182825817E-5</v>
      </c>
    </row>
    <row r="157" spans="1:18" x14ac:dyDescent="0.25">
      <c r="O157" t="s">
        <v>97</v>
      </c>
      <c r="P157" s="1">
        <f>Q154/P154</f>
        <v>23.531130894187662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45.999999999836248</v>
      </c>
      <c r="C159" t="s">
        <v>36</v>
      </c>
    </row>
    <row r="160" spans="1:18" x14ac:dyDescent="0.25">
      <c r="A160" s="1" t="s">
        <v>106</v>
      </c>
      <c r="B160" s="4">
        <f>Q140+I122+Q154-O122</f>
        <v>42779.999999615895</v>
      </c>
      <c r="C160" t="s">
        <v>102</v>
      </c>
    </row>
    <row r="161" spans="1:9" x14ac:dyDescent="0.25">
      <c r="A161" s="1" t="s">
        <v>107</v>
      </c>
      <c r="B161" s="4">
        <f>R140+J122+R154-P122</f>
        <v>-0.17991732308831843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45.999999999836248</v>
      </c>
      <c r="C164" t="s">
        <v>36</v>
      </c>
      <c r="E164" s="8">
        <f>B2-B164</f>
        <v>1.6375167888327269E-10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42779.99999999423</v>
      </c>
      <c r="C165" t="s">
        <v>102</v>
      </c>
      <c r="E165" s="8">
        <f>B3+B165</f>
        <v>-5.7698343880474567E-9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3.5138759402197906E-9</v>
      </c>
      <c r="C166" t="s">
        <v>102</v>
      </c>
      <c r="E166" s="8">
        <f>B4+B166</f>
        <v>3.5138759402197906E-9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1.7616449479451088</v>
      </c>
      <c r="B169" s="1">
        <f ca="1">IF(E122=0,0,(MIN(H110:H121)*B65)/(B55*B56*E122))</f>
        <v>-1.7616449479449614</v>
      </c>
      <c r="C169" s="3">
        <f ca="1">A169+B169</f>
        <v>1.4743761767022079E-13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6.2379738445703765E-14</v>
      </c>
      <c r="C175" s="27">
        <f>B65*SQRT(I175)</f>
        <v>2.3767089591661043E-7</v>
      </c>
      <c r="D175" s="27">
        <f>B66*SQRT(I175)</f>
        <v>2.6129417195500468E-8</v>
      </c>
      <c r="E175" s="27">
        <f>B67*SQRT(I175)</f>
        <v>2.1196480167113964E-6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4.2056411704383879E-6</v>
      </c>
      <c r="C176" s="3">
        <f>B65+C175</f>
        <v>16.023768771520324</v>
      </c>
      <c r="D176" s="3">
        <f>D175+B66</f>
        <v>1.7616449740745261</v>
      </c>
      <c r="E176" s="3">
        <f>B67+E175</f>
        <v>142.90664225337878</v>
      </c>
      <c r="F176" s="16" t="s">
        <v>125</v>
      </c>
    </row>
    <row r="177" spans="1:13" x14ac:dyDescent="0.25">
      <c r="B177" s="27">
        <f>B176-B64</f>
        <v>6.2379738859444107E-14</v>
      </c>
      <c r="C177" s="27">
        <f>C176-B65</f>
        <v>2.3767089629700422E-7</v>
      </c>
      <c r="D177" s="27">
        <f>D176-B66</f>
        <v>2.6129417296516522E-8</v>
      </c>
      <c r="E177" s="27">
        <f>E176-B67</f>
        <v>2.1196480304297438E-6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-478.19631597606025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34.000944938595083</v>
      </c>
      <c r="B181" s="25">
        <f>(d_alpha_p!E136-d_alpha_m!E136)/(2*B177)</f>
        <v>34.000944938595083</v>
      </c>
      <c r="C181" s="25">
        <f>(d_alpha_p!E137-d_alpha_m!E137)/(2*B177)</f>
        <v>34.000944938595083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-1.6375167888327269E-10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5.7698343880474567E-9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-3.5138759402197906E-9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-1.4743761767022079E-13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-478.19631597606025</v>
      </c>
      <c r="B190" s="25">
        <f>A181</f>
        <v>34.000944938595083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34.000944938595083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34.000944938595083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-478.19631597606025</v>
      </c>
      <c r="B201" s="25">
        <f t="shared" ref="B201:C201" si="77">B190</f>
        <v>34.000944938595083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34.000944938595083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34.000944938595083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40" workbookViewId="0">
      <selection activeCell="M63" sqref="M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5" x14ac:dyDescent="0.25">
      <c r="A51" s="10" t="s">
        <v>8</v>
      </c>
      <c r="B51" s="17">
        <f>'Rigid Bearing Plate Analysis'!B51</f>
        <v>3</v>
      </c>
      <c r="C51" t="s">
        <v>11</v>
      </c>
    </row>
    <row r="52" spans="1:15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5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5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  <c r="O54" s="17">
        <f>'Rigid Bearing Plate Analysis'!O54</f>
        <v>0</v>
      </c>
    </row>
    <row r="55" spans="1:15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  <c r="O55" s="17">
        <f>'Rigid Bearing Plate Analysis'!O55</f>
        <v>0</v>
      </c>
    </row>
    <row r="56" spans="1:15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  <c r="O56" s="17">
        <f>'Rigid Bearing Plate Analysis'!O56</f>
        <v>0</v>
      </c>
    </row>
    <row r="57" spans="1:15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9.404474149780515E-12</v>
      </c>
      <c r="M57" s="17" t="str">
        <f ca="1">'Rigid Bearing Plate Analysis'!M57</f>
        <v>SOLUTION FOUND</v>
      </c>
      <c r="N57" s="17">
        <f>'Rigid Bearing Plate Analysis'!N57</f>
        <v>0</v>
      </c>
      <c r="O57" s="17">
        <f>'Rigid Bearing Plate Analysis'!O57</f>
        <v>0</v>
      </c>
    </row>
    <row r="58" spans="1:15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  <c r="O58" s="17">
        <f>'Rigid Bearing Plate Analysis'!O58</f>
        <v>0</v>
      </c>
    </row>
    <row r="59" spans="1:15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  <c r="O59" s="17">
        <f>'Rigid Bearing Plate Analysis'!O59</f>
        <v>0</v>
      </c>
    </row>
    <row r="60" spans="1:15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  <c r="O60" s="17">
        <f>'Rigid Bearing Plate Analysis'!O60</f>
        <v>0</v>
      </c>
    </row>
    <row r="61" spans="1:15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5" ht="15.75" thickBot="1" x14ac:dyDescent="0.3">
      <c r="A63" s="16" t="s">
        <v>38</v>
      </c>
    </row>
    <row r="64" spans="1:15" ht="15.75" thickBot="1" x14ac:dyDescent="0.3">
      <c r="A64" s="32" t="s">
        <v>39</v>
      </c>
      <c r="B64" s="33">
        <f>'Rigid Bearing Plate Analysis'!B64-'Rigid Bearing Plate Analysis'!B175</f>
        <v>4.2056409832991747E-6</v>
      </c>
      <c r="C64" t="s">
        <v>19</v>
      </c>
      <c r="D64" t="s">
        <v>34</v>
      </c>
      <c r="H64" s="17">
        <f>DEGREES(B64)</f>
        <v>2.4096547849029225E-4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16.023768533849427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1.7616449479451088</v>
      </c>
      <c r="C66" t="s">
        <v>11</v>
      </c>
      <c r="D66">
        <f>B66/B53</f>
        <v>5.5820254483504551E-4</v>
      </c>
      <c r="I66" s="20"/>
    </row>
    <row r="67" spans="1:18" x14ac:dyDescent="0.25">
      <c r="A67" s="1" t="s">
        <v>37</v>
      </c>
      <c r="B67" s="17">
        <f>'Rigid Bearing Plate Analysis'!B67</f>
        <v>142.90664013373075</v>
      </c>
      <c r="C67" t="s">
        <v>36</v>
      </c>
      <c r="D67" t="s">
        <v>122</v>
      </c>
      <c r="G67" s="20">
        <f ca="1">($B$56*$B$66*$B$55*$E$122)/$B$65</f>
        <v>142.90664013371872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-35.000142991492744</v>
      </c>
      <c r="R76">
        <f>Q76</f>
        <v>-35.000142991492744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35.000142991492744</v>
      </c>
      <c r="R77">
        <f>Q77</f>
        <v>35.000142991492744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-34.000142991492744</v>
      </c>
      <c r="C84" s="1">
        <f t="shared" ref="C84:C92" si="23">(-1*B73*SIN($B$64))+(C73*COS($B$64))</f>
        <v>-33.999857007905881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1.2196358851531653E-4</v>
      </c>
    </row>
    <row r="85" spans="1:10" x14ac:dyDescent="0.25">
      <c r="A85" s="1">
        <f t="shared" si="21"/>
        <v>2</v>
      </c>
      <c r="B85" s="4">
        <f t="shared" si="22"/>
        <v>33.999857007905881</v>
      </c>
      <c r="C85" s="1">
        <f t="shared" si="23"/>
        <v>-34.000142991492744</v>
      </c>
      <c r="H85" s="1">
        <f t="shared" si="24"/>
        <v>2</v>
      </c>
      <c r="I85" s="4">
        <f t="shared" ref="I85:I92" si="25">(I74*COS($B$64))+(J74*SIN($B$64))</f>
        <v>-20.506013758944647</v>
      </c>
      <c r="J85" s="1">
        <f t="shared" ref="J85:J92" si="26">(-1*I74*SIN($B$64))+(J74*COS($B$64))</f>
        <v>20.50608624111322</v>
      </c>
    </row>
    <row r="86" spans="1:10" x14ac:dyDescent="0.25">
      <c r="A86" s="1">
        <f t="shared" si="21"/>
        <v>3</v>
      </c>
      <c r="B86" s="4">
        <f t="shared" si="22"/>
        <v>34.000142991492744</v>
      </c>
      <c r="C86" s="1">
        <f t="shared" si="23"/>
        <v>33.999857007905881</v>
      </c>
      <c r="H86" s="1">
        <f t="shared" si="24"/>
        <v>3</v>
      </c>
      <c r="I86" s="4">
        <f t="shared" si="25"/>
        <v>1.2196358851531653E-4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-33.999857007905881</v>
      </c>
      <c r="C87" s="1">
        <f t="shared" si="23"/>
        <v>34.000142991492744</v>
      </c>
      <c r="H87" s="1">
        <f t="shared" si="24"/>
        <v>4</v>
      </c>
      <c r="I87" s="4">
        <f t="shared" si="25"/>
        <v>20.506086240692657</v>
      </c>
      <c r="J87" s="1">
        <f t="shared" si="26"/>
        <v>20.505913758944647</v>
      </c>
    </row>
    <row r="88" spans="1:10" x14ac:dyDescent="0.25">
      <c r="A88" s="1">
        <f t="shared" si="21"/>
        <v>5</v>
      </c>
      <c r="B88" s="4">
        <f t="shared" si="22"/>
        <v>-34.000142991492744</v>
      </c>
      <c r="C88" s="1">
        <f t="shared" si="23"/>
        <v>-33.999857007905881</v>
      </c>
      <c r="H88" s="1">
        <f t="shared" si="24"/>
        <v>5</v>
      </c>
      <c r="I88" s="4">
        <f t="shared" si="25"/>
        <v>28.999999999743533</v>
      </c>
      <c r="J88" s="1">
        <f t="shared" si="26"/>
        <v>-1.2196358851531653E-4</v>
      </c>
    </row>
    <row r="89" spans="1:10" x14ac:dyDescent="0.25">
      <c r="A89" s="1">
        <f t="shared" si="21"/>
        <v>6</v>
      </c>
      <c r="B89" s="4">
        <f t="shared" si="22"/>
        <v>-34.000142991492744</v>
      </c>
      <c r="C89" s="1">
        <f t="shared" si="23"/>
        <v>-33.999857007905881</v>
      </c>
      <c r="H89" s="1">
        <f t="shared" si="24"/>
        <v>6</v>
      </c>
      <c r="I89" s="4">
        <f t="shared" si="25"/>
        <v>20.505913758524084</v>
      </c>
      <c r="J89" s="1">
        <f t="shared" si="26"/>
        <v>-20.506186240692656</v>
      </c>
    </row>
    <row r="90" spans="1:10" x14ac:dyDescent="0.25">
      <c r="A90" s="1">
        <f t="shared" si="21"/>
        <v>7</v>
      </c>
      <c r="B90" s="4">
        <f t="shared" si="22"/>
        <v>-34.000142991492744</v>
      </c>
      <c r="C90" s="1">
        <f t="shared" si="23"/>
        <v>-33.999857007905881</v>
      </c>
      <c r="H90" s="1">
        <f t="shared" si="24"/>
        <v>7</v>
      </c>
      <c r="I90" s="4">
        <f t="shared" si="25"/>
        <v>-1.2196358851531653E-4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-34.000142991492744</v>
      </c>
      <c r="C91" s="1">
        <f t="shared" si="23"/>
        <v>-33.999857007905881</v>
      </c>
      <c r="H91" s="1">
        <f t="shared" si="24"/>
        <v>8</v>
      </c>
      <c r="I91" s="4">
        <f t="shared" si="25"/>
        <v>-20.50618624111322</v>
      </c>
      <c r="J91" s="1">
        <f t="shared" si="26"/>
        <v>-20.506013758524084</v>
      </c>
    </row>
    <row r="92" spans="1:10" x14ac:dyDescent="0.25">
      <c r="A92" s="1">
        <f t="shared" si="21"/>
        <v>9</v>
      </c>
      <c r="B92" s="4">
        <f t="shared" si="22"/>
        <v>-34.000142991492744</v>
      </c>
      <c r="C92" s="1">
        <f t="shared" si="23"/>
        <v>-33.999857007905881</v>
      </c>
      <c r="H92" s="1">
        <f t="shared" si="24"/>
        <v>9</v>
      </c>
      <c r="I92" s="4">
        <f t="shared" si="25"/>
        <v>-28.999999999743533</v>
      </c>
      <c r="J92" s="1">
        <f t="shared" si="26"/>
        <v>1.2196358851531653E-4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27.040080874236974</v>
      </c>
      <c r="C110" s="1">
        <f>(-1*B95*SIN($B$64))+(C95*COS($B$64))</f>
        <v>19.229886279297745</v>
      </c>
      <c r="D110" t="str">
        <f t="shared" ref="D110" si="31">D95</f>
        <v>y</v>
      </c>
      <c r="E110" s="4">
        <f t="shared" ref="E110:E121" si="32">IF($D110="y",$B$125-C110,0)</f>
        <v>-1.2535118216544276</v>
      </c>
      <c r="F110" s="1">
        <f>IF($D110="y",B110,NA())</f>
        <v>27.040080874236974</v>
      </c>
      <c r="G110" s="1">
        <f>IF($D110="y",C110,NA())</f>
        <v>19.229886279297745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4.3667223933633634E-5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-27.04291912528473</v>
      </c>
      <c r="C111" s="1">
        <f t="shared" ref="C111:C121" si="37">(-1*B96*SIN($B$64))+(C96*COS($B$64))</f>
        <v>19.230113732979042</v>
      </c>
      <c r="D111" t="str">
        <f t="shared" si="35"/>
        <v>y</v>
      </c>
      <c r="E111" s="4">
        <f t="shared" si="32"/>
        <v>-1.2537392753357253</v>
      </c>
      <c r="F111" s="1">
        <f t="shared" ref="F111:G121" si="38">IF($D111="y",B111,NA())</f>
        <v>-27.04291912528473</v>
      </c>
      <c r="G111" s="1">
        <f t="shared" si="38"/>
        <v>19.230113732979042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4.3675147489410433E-5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27.039919125284758</v>
      </c>
      <c r="C112" s="1">
        <f t="shared" si="37"/>
        <v>-19.230113720362123</v>
      </c>
      <c r="D112" t="str">
        <f t="shared" si="35"/>
        <v>y</v>
      </c>
      <c r="E112" s="4">
        <f t="shared" si="32"/>
        <v>37.206488178005444</v>
      </c>
      <c r="F112" s="1">
        <f t="shared" si="38"/>
        <v>27.039919125284758</v>
      </c>
      <c r="G112" s="1">
        <f t="shared" si="38"/>
        <v>-19.230113720362123</v>
      </c>
      <c r="H112">
        <f t="shared" si="33"/>
        <v>-122.07263849573953</v>
      </c>
      <c r="I112">
        <f t="shared" si="39"/>
        <v>2347.4707204177262</v>
      </c>
      <c r="J112">
        <f t="shared" si="40"/>
        <v>3300.8342723349197</v>
      </c>
      <c r="K112">
        <f t="shared" ref="K112:K121" ca="1" si="45">H112/$B$55</f>
        <v>-37.587533413411883</v>
      </c>
      <c r="L112">
        <f t="shared" ca="1" si="41"/>
        <v>-1.2961218418417891E-3</v>
      </c>
      <c r="M112">
        <f t="shared" si="34"/>
        <v>-1.2961218418416798E-3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-27.043080874236946</v>
      </c>
      <c r="C113" s="1">
        <f t="shared" si="37"/>
        <v>-19.229886266680825</v>
      </c>
      <c r="D113" t="str">
        <f t="shared" si="35"/>
        <v>y</v>
      </c>
      <c r="E113" s="4">
        <f t="shared" si="32"/>
        <v>37.206260724324139</v>
      </c>
      <c r="F113" s="1">
        <f t="shared" si="38"/>
        <v>-27.043080874236946</v>
      </c>
      <c r="G113" s="1">
        <f t="shared" si="38"/>
        <v>-19.229886266680825</v>
      </c>
      <c r="H113">
        <f t="shared" si="33"/>
        <v>-122.07189223151593</v>
      </c>
      <c r="I113">
        <f t="shared" si="39"/>
        <v>2347.4286039705698</v>
      </c>
      <c r="J113">
        <f t="shared" si="40"/>
        <v>-3301.2000540880222</v>
      </c>
      <c r="K113">
        <f t="shared" ca="1" si="45"/>
        <v>-37.58730363029435</v>
      </c>
      <c r="L113">
        <f t="shared" ca="1" si="41"/>
        <v>-1.2961139182860121E-3</v>
      </c>
      <c r="M113">
        <f t="shared" si="34"/>
        <v>-1.2961139182859028E-3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25.8660951734267</v>
      </c>
      <c r="C114" s="1">
        <f t="shared" si="37"/>
        <v>22.629891216690197</v>
      </c>
      <c r="D114" t="str">
        <f t="shared" si="35"/>
        <v>y</v>
      </c>
      <c r="E114" s="4">
        <f t="shared" si="32"/>
        <v>-4.6535167590468802</v>
      </c>
      <c r="F114" s="1">
        <f t="shared" si="38"/>
        <v>25.8660951734267</v>
      </c>
      <c r="G114" s="1">
        <f t="shared" si="38"/>
        <v>22.629891216690197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1.6210948703141765E-4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-25.864904826115808</v>
      </c>
      <c r="C115" s="1">
        <f t="shared" si="37"/>
        <v>22.630108778703903</v>
      </c>
      <c r="D115" t="str">
        <f t="shared" si="35"/>
        <v>y</v>
      </c>
      <c r="E115" s="4">
        <f t="shared" si="32"/>
        <v>-4.6537343210605862</v>
      </c>
      <c r="F115" s="1">
        <f t="shared" si="38"/>
        <v>-25.864904826115808</v>
      </c>
      <c r="G115" s="1">
        <f t="shared" si="38"/>
        <v>22.630108778703903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1.621170660019609E-4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25.865904826115795</v>
      </c>
      <c r="C116" s="1">
        <f t="shared" si="37"/>
        <v>-22.630108782909545</v>
      </c>
      <c r="D116" t="str">
        <f t="shared" si="35"/>
        <v>y</v>
      </c>
      <c r="E116" s="4">
        <f t="shared" si="32"/>
        <v>40.606483240552862</v>
      </c>
      <c r="F116" s="1">
        <f t="shared" si="38"/>
        <v>25.865904826115795</v>
      </c>
      <c r="G116" s="1">
        <f t="shared" si="38"/>
        <v>-22.630108782909545</v>
      </c>
      <c r="H116">
        <f t="shared" si="33"/>
        <v>-133.22785331128355</v>
      </c>
      <c r="I116">
        <f t="shared" si="39"/>
        <v>3014.9608133478623</v>
      </c>
      <c r="J116">
        <f t="shared" si="40"/>
        <v>3446.0589739373763</v>
      </c>
      <c r="K116">
        <f t="shared" ca="1" si="45"/>
        <v>-41.02234906727098</v>
      </c>
      <c r="L116">
        <f t="shared" ca="1" si="41"/>
        <v>-1.4145637609403786E-3</v>
      </c>
      <c r="M116">
        <f t="shared" si="34"/>
        <v>-1.4145637609402596E-3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-25.865095173426713</v>
      </c>
      <c r="C117" s="1">
        <f t="shared" si="37"/>
        <v>-22.629891220895839</v>
      </c>
      <c r="D117" t="str">
        <f t="shared" si="35"/>
        <v>y</v>
      </c>
      <c r="E117" s="4">
        <f t="shared" si="32"/>
        <v>40.60626567853916</v>
      </c>
      <c r="F117" s="1">
        <f t="shared" si="38"/>
        <v>-25.865095173426713</v>
      </c>
      <c r="G117" s="1">
        <f t="shared" si="38"/>
        <v>-22.629891220895839</v>
      </c>
      <c r="H117">
        <f t="shared" si="33"/>
        <v>-133.22713950112976</v>
      </c>
      <c r="I117">
        <f t="shared" si="39"/>
        <v>3014.9156745816817</v>
      </c>
      <c r="J117">
        <f t="shared" si="40"/>
        <v>-3445.9326428801187</v>
      </c>
      <c r="K117">
        <f t="shared" ca="1" si="45"/>
        <v>-41.022129277125231</v>
      </c>
      <c r="L117">
        <f t="shared" ca="1" si="41"/>
        <v>-1.4145561819698354E-3</v>
      </c>
      <c r="M117">
        <f t="shared" si="34"/>
        <v>-1.4145561819697164E-3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24.666107580078208</v>
      </c>
      <c r="C118" s="1">
        <f t="shared" si="37"/>
        <v>25.57989626343328</v>
      </c>
      <c r="D118" t="str">
        <f t="shared" si="35"/>
        <v>y</v>
      </c>
      <c r="E118" s="4">
        <f t="shared" si="32"/>
        <v>-7.6035218057899634</v>
      </c>
      <c r="F118" s="1">
        <f t="shared" si="38"/>
        <v>24.666107580078208</v>
      </c>
      <c r="G118" s="1">
        <f t="shared" si="38"/>
        <v>25.57989626343328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2.6487559482245586E-4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-24.665892419485509</v>
      </c>
      <c r="C119" s="1">
        <f t="shared" si="37"/>
        <v>25.580103736114271</v>
      </c>
      <c r="D119" t="str">
        <f t="shared" si="35"/>
        <v>y</v>
      </c>
      <c r="E119" s="4">
        <f t="shared" si="32"/>
        <v>-7.6037292784709543</v>
      </c>
      <c r="F119" s="1">
        <f t="shared" si="38"/>
        <v>-24.665892419485509</v>
      </c>
      <c r="G119" s="1">
        <f t="shared" si="38"/>
        <v>25.580103736114271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2.6488282232192131E-4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24.665892419485505</v>
      </c>
      <c r="C120" s="1">
        <f t="shared" si="37"/>
        <v>-25.580103736114271</v>
      </c>
      <c r="D120" t="str">
        <f t="shared" si="35"/>
        <v>y</v>
      </c>
      <c r="E120" s="4">
        <f t="shared" si="32"/>
        <v>43.556478193757584</v>
      </c>
      <c r="F120" s="1">
        <f t="shared" si="38"/>
        <v>24.665892419485505</v>
      </c>
      <c r="G120" s="1">
        <f t="shared" si="38"/>
        <v>-25.580103736114271</v>
      </c>
      <c r="H120">
        <f t="shared" si="33"/>
        <v>-142.90664013373075</v>
      </c>
      <c r="I120">
        <f t="shared" si="39"/>
        <v>3655.5666792003835</v>
      </c>
      <c r="J120">
        <f t="shared" si="40"/>
        <v>3524.9198115687323</v>
      </c>
      <c r="K120">
        <f t="shared" ca="1" si="45"/>
        <v>-44.002555996301368</v>
      </c>
      <c r="L120">
        <f t="shared" ca="1" si="41"/>
        <v>-1.5173295171138402E-3</v>
      </c>
      <c r="M120">
        <f t="shared" si="34"/>
        <v>-1.5173295171137123E-3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-24.666107580078211</v>
      </c>
      <c r="C121" s="1">
        <f t="shared" si="37"/>
        <v>-25.57989626343328</v>
      </c>
      <c r="D121" t="str">
        <f t="shared" si="35"/>
        <v>y</v>
      </c>
      <c r="E121" s="4">
        <f t="shared" si="32"/>
        <v>43.556270721076601</v>
      </c>
      <c r="F121" s="1">
        <f t="shared" si="38"/>
        <v>-24.666107580078211</v>
      </c>
      <c r="G121" s="1">
        <f t="shared" si="38"/>
        <v>-25.57989626343328</v>
      </c>
      <c r="H121" s="23">
        <f t="shared" si="33"/>
        <v>-142.90595942617614</v>
      </c>
      <c r="I121" s="23">
        <f t="shared" si="39"/>
        <v>3655.5196175479909</v>
      </c>
      <c r="J121" s="23">
        <f t="shared" si="40"/>
        <v>-3524.9337690403527</v>
      </c>
      <c r="K121">
        <f t="shared" ca="1" si="45"/>
        <v>-44.002346398816876</v>
      </c>
      <c r="L121">
        <f t="shared" ca="1" si="41"/>
        <v>-1.517322289614375E-3</v>
      </c>
      <c r="M121">
        <f t="shared" si="34"/>
        <v>-1.5173222896142473E-3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43.556478193757584</v>
      </c>
      <c r="H122">
        <f>SUM(H110:H121)</f>
        <v>-796.41212309957564</v>
      </c>
      <c r="I122">
        <f t="shared" ref="I122:J122" si="46">SUM(I110:I121)</f>
        <v>18035.862109066213</v>
      </c>
      <c r="J122">
        <f t="shared" si="46"/>
        <v>-0.25340816746529526</v>
      </c>
      <c r="L122">
        <f ca="1">MIN(L110:L121)</f>
        <v>-1.5173295171138402E-3</v>
      </c>
      <c r="M122">
        <f>MIN(M110:M121)</f>
        <v>-1.5173295171137123E-3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17.976374457643317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-35.000142991492744</v>
      </c>
      <c r="G126" s="4">
        <f>B125</f>
        <v>17.976374457643317</v>
      </c>
    </row>
    <row r="127" spans="1:16" x14ac:dyDescent="0.25">
      <c r="F127" s="4">
        <f>MAX(B84:B90)+1</f>
        <v>35.000142991492744</v>
      </c>
      <c r="G127" s="4">
        <f>G126</f>
        <v>17.976374457643317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-34.000142991492744</v>
      </c>
      <c r="C132" s="4">
        <f>C84</f>
        <v>-33.999857007905881</v>
      </c>
      <c r="D132" s="4">
        <f t="shared" ref="D132:E139" si="47">B85</f>
        <v>33.999857007905881</v>
      </c>
      <c r="E132" s="4">
        <f t="shared" si="47"/>
        <v>-34.000142991492744</v>
      </c>
      <c r="F132" s="4">
        <f t="shared" ref="F132:F139" si="48">($B$66/$B$65)*(C132-$B$125)</f>
        <v>-5.7142404036283088</v>
      </c>
      <c r="G132" s="4">
        <f t="shared" ref="G132:G139" si="49">($B$66/$B$65)*(E132-$B$125)</f>
        <v>-5.7142718445181302</v>
      </c>
      <c r="H132" s="4">
        <f>IF(B132=D132,"V",(C132-E132)/(B132-D132))</f>
        <v>-4.2056409833222064E-6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33.999857007905881</v>
      </c>
      <c r="C133" s="4">
        <f t="shared" si="50"/>
        <v>-34.000142991492744</v>
      </c>
      <c r="D133" s="4">
        <f t="shared" si="47"/>
        <v>34.000142991492744</v>
      </c>
      <c r="E133" s="4">
        <f t="shared" si="47"/>
        <v>33.999857007905881</v>
      </c>
      <c r="F133" s="4">
        <f t="shared" si="48"/>
        <v>-5.7142718445181302</v>
      </c>
      <c r="G133" s="4">
        <f t="shared" si="49"/>
        <v>1.7616135070552876</v>
      </c>
      <c r="H133" s="4">
        <f t="shared" ref="H133:H139" si="51">IF(B133=D133,"V",(C133-E133)/(B133-D133))</f>
        <v>237775.8833827179</v>
      </c>
      <c r="I133" s="4">
        <f t="shared" ref="I133:I139" si="52">IF(H133="V",0,(-1*B133*H133)+C133)</f>
        <v>-8084380.0350839039</v>
      </c>
      <c r="J133" s="4">
        <f t="shared" ref="J133:J139" si="53">IF($F133&gt;=0,B133,IF(AND($F133&lt;0,$G133&gt;=0),IF(H133="V",B133,($B$125-I133)/H133),0))</f>
        <v>34.000075602477835</v>
      </c>
      <c r="K133" s="4">
        <f t="shared" ref="K133:K139" si="54">IF($F133&gt;=0,C133,IF(AND($F133&lt;0,$G133&gt;=0),$B$125,0))</f>
        <v>17.976374457643317</v>
      </c>
      <c r="L133" s="4">
        <f t="shared" ref="L133:L139" si="55">IF($G133&gt;=0,D133,IF(AND($G133&lt;0,$F133&gt;=0),IF(H133="V",D133,($B$125-I133)/H133),0))</f>
        <v>34.000142991492744</v>
      </c>
      <c r="M133" s="4">
        <f t="shared" ref="M133:M139" si="56">IF($G133&gt;=0,E133,IF(AND($G133&lt;0,$F133&gt;=0),$B$125,0))</f>
        <v>33.999857007905881</v>
      </c>
      <c r="N133" s="4">
        <f t="shared" ref="N133:O139" si="57">IF(F133&lt;0,IF($I$54="Linear",0,$B$66),IF($I$54="Linear",F133,$B$66))</f>
        <v>0</v>
      </c>
      <c r="O133" s="4">
        <f t="shared" si="57"/>
        <v>1.7616135070552876</v>
      </c>
      <c r="P133" s="4">
        <f t="shared" ref="P133:P139" si="58">(1/6)*(M133-K133)*((N133*((2*J133)+L133))+(O133*(J133+(2*L133))))</f>
        <v>479.86381703018105</v>
      </c>
      <c r="Q133" s="4">
        <f t="shared" ref="Q133:Q139" si="59">((1/12)*(M133-K133)*(N133*J133*((3*K133)+M133)+N133*L133*(K133+M133)+O133*J133*(K133+M133)+O133*L133*(K133+(3*M133))))</f>
        <v>13752.272176062839</v>
      </c>
      <c r="R133" s="4">
        <f t="shared" ref="R133:R139" si="60">((-1/24)*(M133-K133)*(J133*J133*((3*N133)+O133)+2*J133*L133*(N133+O133)+L133*L133*(N133+(3*O133))))</f>
        <v>-8157.7138081449621</v>
      </c>
    </row>
    <row r="134" spans="1:18" x14ac:dyDescent="0.25">
      <c r="A134" t="s">
        <v>71</v>
      </c>
      <c r="B134" s="4">
        <f t="shared" si="50"/>
        <v>34.000142991492744</v>
      </c>
      <c r="C134" s="4">
        <f t="shared" si="50"/>
        <v>33.999857007905881</v>
      </c>
      <c r="D134" s="4">
        <f t="shared" si="47"/>
        <v>-33.999857007905881</v>
      </c>
      <c r="E134" s="4">
        <f t="shared" si="47"/>
        <v>34.000142991492744</v>
      </c>
      <c r="F134" s="4">
        <f t="shared" si="48"/>
        <v>1.7616135070552876</v>
      </c>
      <c r="G134" s="4">
        <f t="shared" si="49"/>
        <v>1.7616449479451088</v>
      </c>
      <c r="H134" s="4">
        <f t="shared" si="51"/>
        <v>-4.2056409833222064E-6</v>
      </c>
      <c r="I134" s="4">
        <f t="shared" si="52"/>
        <v>34.000000000300687</v>
      </c>
      <c r="J134" s="4">
        <f t="shared" si="53"/>
        <v>34.000142991492744</v>
      </c>
      <c r="K134" s="4">
        <f t="shared" si="54"/>
        <v>33.999857007905881</v>
      </c>
      <c r="L134" s="4">
        <f t="shared" si="55"/>
        <v>-33.999857007905881</v>
      </c>
      <c r="M134" s="4">
        <f t="shared" si="56"/>
        <v>34.000142991492744</v>
      </c>
      <c r="N134" s="4">
        <f t="shared" si="57"/>
        <v>1.7616135070552876</v>
      </c>
      <c r="O134" s="4">
        <f t="shared" si="57"/>
        <v>1.7616449479451088</v>
      </c>
      <c r="P134" s="4">
        <f t="shared" si="58"/>
        <v>2.1086565163131087E-8</v>
      </c>
      <c r="Q134" s="4">
        <f t="shared" si="59"/>
        <v>-9.9497005357715208E-8</v>
      </c>
      <c r="R134" s="4">
        <f t="shared" si="60"/>
        <v>-9.7064897372094158E-2</v>
      </c>
    </row>
    <row r="135" spans="1:18" x14ac:dyDescent="0.25">
      <c r="A135" t="s">
        <v>72</v>
      </c>
      <c r="B135" s="4">
        <f t="shared" si="50"/>
        <v>-33.999857007905881</v>
      </c>
      <c r="C135" s="4">
        <f t="shared" si="50"/>
        <v>34.000142991492744</v>
      </c>
      <c r="D135" s="4">
        <f t="shared" si="47"/>
        <v>-34.000142991492744</v>
      </c>
      <c r="E135" s="4">
        <f t="shared" si="47"/>
        <v>-33.999857007905881</v>
      </c>
      <c r="F135" s="4">
        <f t="shared" si="48"/>
        <v>1.7616449479451088</v>
      </c>
      <c r="G135" s="4">
        <f t="shared" si="49"/>
        <v>-5.7142404036283088</v>
      </c>
      <c r="H135" s="4">
        <f t="shared" si="51"/>
        <v>237775.8833827179</v>
      </c>
      <c r="I135" s="4">
        <f t="shared" si="52"/>
        <v>8084380.0350839039</v>
      </c>
      <c r="J135" s="4">
        <f t="shared" si="53"/>
        <v>-33.999857007905881</v>
      </c>
      <c r="K135" s="4">
        <f t="shared" si="54"/>
        <v>34.000142991492744</v>
      </c>
      <c r="L135" s="4">
        <f t="shared" si="55"/>
        <v>-33.999924398123532</v>
      </c>
      <c r="M135" s="4">
        <f t="shared" si="56"/>
        <v>17.976374457643317</v>
      </c>
      <c r="N135" s="4">
        <f t="shared" si="57"/>
        <v>1.7616449479451088</v>
      </c>
      <c r="O135" s="4">
        <f t="shared" si="57"/>
        <v>0</v>
      </c>
      <c r="P135" s="4">
        <f t="shared" si="58"/>
        <v>479.87754388645067</v>
      </c>
      <c r="Q135" s="4">
        <f t="shared" si="59"/>
        <v>13752.755367878392</v>
      </c>
      <c r="R135" s="4">
        <f t="shared" si="60"/>
        <v>8157.8893265660035</v>
      </c>
    </row>
    <row r="136" spans="1:18" x14ac:dyDescent="0.25">
      <c r="A136" t="s">
        <v>73</v>
      </c>
      <c r="B136" s="4">
        <f t="shared" si="50"/>
        <v>-34.000142991492744</v>
      </c>
      <c r="C136" s="4">
        <f t="shared" si="50"/>
        <v>-33.999857007905881</v>
      </c>
      <c r="D136" s="4">
        <f t="shared" si="47"/>
        <v>-34.000142991492744</v>
      </c>
      <c r="E136" s="4">
        <f t="shared" si="47"/>
        <v>-33.999857007905881</v>
      </c>
      <c r="F136" s="4">
        <f t="shared" si="48"/>
        <v>-5.7142404036283088</v>
      </c>
      <c r="G136" s="4">
        <f t="shared" si="49"/>
        <v>-5.7142404036283088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-34.000142991492744</v>
      </c>
      <c r="C137" s="4">
        <f t="shared" si="50"/>
        <v>-33.999857007905881</v>
      </c>
      <c r="D137" s="4">
        <f t="shared" si="47"/>
        <v>-34.000142991492744</v>
      </c>
      <c r="E137" s="4">
        <f t="shared" si="47"/>
        <v>-33.999857007905881</v>
      </c>
      <c r="F137" s="4">
        <f t="shared" si="48"/>
        <v>-5.7142404036283088</v>
      </c>
      <c r="G137" s="4">
        <f t="shared" si="49"/>
        <v>-5.7142404036283088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-34.000142991492744</v>
      </c>
      <c r="C138" s="4">
        <f t="shared" si="50"/>
        <v>-33.999857007905881</v>
      </c>
      <c r="D138" s="4">
        <f t="shared" si="47"/>
        <v>-34.000142991492744</v>
      </c>
      <c r="E138" s="4">
        <f t="shared" si="47"/>
        <v>-33.999857007905881</v>
      </c>
      <c r="F138" s="4">
        <f t="shared" si="48"/>
        <v>-5.7142404036283088</v>
      </c>
      <c r="G138" s="4">
        <f t="shared" si="49"/>
        <v>-5.7142404036283088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-34.000142991492744</v>
      </c>
      <c r="C139" s="4">
        <f>E138</f>
        <v>-33.999857007905881</v>
      </c>
      <c r="D139" s="4">
        <f t="shared" si="47"/>
        <v>-34.000142991492744</v>
      </c>
      <c r="E139" s="4">
        <f t="shared" si="47"/>
        <v>-33.999857007905881</v>
      </c>
      <c r="F139" s="4">
        <f t="shared" si="48"/>
        <v>-5.7142404036283088</v>
      </c>
      <c r="G139" s="4">
        <f t="shared" si="49"/>
        <v>-5.7142404036283088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959.74136093771835</v>
      </c>
      <c r="Q140" s="4">
        <f>SUM(Q132:Q139)</f>
        <v>27505.027543841734</v>
      </c>
      <c r="R140" s="4">
        <f>SUM(R132:R139)</f>
        <v>7.8453523668940761E-2</v>
      </c>
    </row>
    <row r="142" spans="1:18" x14ac:dyDescent="0.25">
      <c r="O142" t="s">
        <v>96</v>
      </c>
      <c r="P142" s="1">
        <f>-1*R140/P140</f>
        <v>-8.1744443724179492E-5</v>
      </c>
    </row>
    <row r="143" spans="1:18" x14ac:dyDescent="0.25">
      <c r="O143" t="s">
        <v>97</v>
      </c>
      <c r="P143" s="1">
        <f>Q140/P140</f>
        <v>28.658791486247772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1.2196358851531653E-4</v>
      </c>
      <c r="D146" s="9">
        <f t="shared" ref="D146:E153" si="61">I85</f>
        <v>-20.506013758944647</v>
      </c>
      <c r="E146">
        <f t="shared" si="61"/>
        <v>20.50608624111322</v>
      </c>
      <c r="F146" s="4">
        <f>($B$66/$B$65)*(C146-$B$125)</f>
        <v>-1.9763000396717338</v>
      </c>
      <c r="G146" s="4">
        <f>($B$66/$B$65)*(E146-$B$125)</f>
        <v>0.27811522449871418</v>
      </c>
      <c r="H146" s="4">
        <f>IF(B146=D146,"V",(C146-E146)/(B146-D146))</f>
        <v>2.4141744166041943</v>
      </c>
      <c r="I146" s="4">
        <f>IF(H146="V",0,(-1*B146*H146)+C146)</f>
        <v>70.011180044490985</v>
      </c>
      <c r="J146" s="4">
        <f>IF($F146&gt;=0,B146,IF(AND($F146&lt;0,$G146&gt;=0),IF(H146="V",B146,($B$125-I146)/H146),0))</f>
        <v>-21.553871679263516</v>
      </c>
      <c r="K146" s="4">
        <f>IF($F146&gt;=0,C146,IF(AND($F146&lt;0,$G146&gt;=0),$B$125,0))</f>
        <v>17.976374457643317</v>
      </c>
      <c r="L146" s="4">
        <f>IF($G146&gt;=0,D146,IF(AND($G146&lt;0,$F146&gt;=0),IF(H146="V",D146,($B$125-I146)/H146),0))</f>
        <v>-20.506013758944647</v>
      </c>
      <c r="M146" s="4">
        <f>IF($G146&gt;=0,E146,IF(AND($G146&lt;0,$F146&gt;=0),$B$125,0))</f>
        <v>20.50608624111322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0.27811522449871418</v>
      </c>
      <c r="P146" s="4">
        <f>(1/6)*(M146-K146)*((N146*((2*J146)+L146))+(O146*(J146+(2*L146))))</f>
        <v>-7.3363872509776984</v>
      </c>
      <c r="Q146" s="4">
        <f>((1/12)*(M146-K146)*(N146*J146*((3*K146)+M146)+N146*L146*(K146+M146)+O146*J146*(K146+M146)+O146*L146*(K146+(3*M146))))</f>
        <v>-144.20247016222373</v>
      </c>
      <c r="R146" s="4">
        <f>((-1/24)*(M146-K146)*(J146*J146*((3*N146)+O146)+2*J146*L146*(N146+O146)+L146*L146*(N146+(3*O146))))</f>
        <v>-76.512006755030583</v>
      </c>
    </row>
    <row r="147" spans="1:18" x14ac:dyDescent="0.25">
      <c r="A147" t="s">
        <v>70</v>
      </c>
      <c r="B147" s="9">
        <f t="shared" ref="B147:C153" si="62">D146</f>
        <v>-20.506013758944647</v>
      </c>
      <c r="C147">
        <f t="shared" si="62"/>
        <v>20.50608624111322</v>
      </c>
      <c r="D147" s="9">
        <f t="shared" si="61"/>
        <v>1.2196358851531653E-4</v>
      </c>
      <c r="E147">
        <f t="shared" si="61"/>
        <v>28.999999999743533</v>
      </c>
      <c r="F147" s="4">
        <f t="shared" ref="F147:F153" si="63">($B$66/$B$65)*(C147-$B$125)</f>
        <v>0.27811522449871418</v>
      </c>
      <c r="G147" s="4">
        <f t="shared" ref="G147:G153" si="64">($B$66/$B$65)*(E147-$B$125)</f>
        <v>1.2119317751786236</v>
      </c>
      <c r="H147" s="4">
        <f t="shared" ref="H147:H153" si="65">IF(B147=D147,"V",(C147-E147)/(B147-D147))</f>
        <v>0.4142132810179725</v>
      </c>
      <c r="I147" s="4">
        <f t="shared" ref="I147:I153" si="66">IF(H147="V",0,(-1*B147*H147)+C147)</f>
        <v>28.99994948080537</v>
      </c>
      <c r="J147" s="4">
        <f t="shared" ref="J147:J153" si="67">IF($F147&gt;=0,B147,IF(AND($F147&lt;0,$G147&gt;=0),IF(H147="V",B147,($B$125-I147)/H147),0))</f>
        <v>-20.506013758944647</v>
      </c>
      <c r="K147" s="4">
        <f t="shared" ref="K147:K153" si="68">IF($F147&gt;=0,C147,IF(AND($F147&lt;0,$G147&gt;=0),$B$125,0))</f>
        <v>20.50608624111322</v>
      </c>
      <c r="L147" s="4">
        <f t="shared" ref="L147:L153" si="69">IF($G147&gt;=0,D147,IF(AND($G147&lt;0,$F147&gt;=0),IF(H147="V",D147,($B$125-I147)/H147),0))</f>
        <v>1.2196358851531653E-4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0.27811522449871418</v>
      </c>
      <c r="O147" s="4">
        <f t="shared" si="71"/>
        <v>1.2119317751786236</v>
      </c>
      <c r="P147" s="4">
        <f t="shared" ref="P147:P153" si="72">(1/6)*(M147-K147)*((N147*((2*J147)+L147))+(O147*(J147+(2*L147))))</f>
        <v>-51.328196137504669</v>
      </c>
      <c r="Q147" s="4">
        <f t="shared" ref="Q147:Q153" si="73">((1/12)*(M147-K147)*(N147*J147*((3*K147)+M147)+N147*L147*(K147+M147)+O147*J147*(K147+M147)+O147*L147*(K147+(3*M147))))</f>
        <v>-1236.240297628264</v>
      </c>
      <c r="R147" s="4">
        <f t="shared" ref="R147:R153" si="74">((-1/24)*(M147-K147)*(J147*J147*((3*N147)+O147)+2*J147*L147*(N147+O147)+L147*L147*(N147+(3*O147))))</f>
        <v>-304.52282539112321</v>
      </c>
    </row>
    <row r="148" spans="1:18" x14ac:dyDescent="0.25">
      <c r="A148" t="s">
        <v>71</v>
      </c>
      <c r="B148" s="9">
        <f t="shared" si="62"/>
        <v>1.2196358851531653E-4</v>
      </c>
      <c r="C148">
        <f t="shared" si="62"/>
        <v>28.999999999743533</v>
      </c>
      <c r="D148" s="9">
        <f t="shared" si="61"/>
        <v>20.506086240692657</v>
      </c>
      <c r="E148">
        <f t="shared" si="61"/>
        <v>20.505913758944647</v>
      </c>
      <c r="F148" s="4">
        <f t="shared" si="63"/>
        <v>1.2119317751786236</v>
      </c>
      <c r="G148" s="4">
        <f t="shared" si="64"/>
        <v>0.27809626189698694</v>
      </c>
      <c r="H148" s="4">
        <f t="shared" si="65"/>
        <v>-0.41422515547259225</v>
      </c>
      <c r="I148" s="4">
        <f t="shared" si="66"/>
        <v>29.00005052012995</v>
      </c>
      <c r="J148" s="4">
        <f t="shared" si="67"/>
        <v>1.2196358851531653E-4</v>
      </c>
      <c r="K148" s="4">
        <f t="shared" si="68"/>
        <v>28.999999999743533</v>
      </c>
      <c r="L148" s="4">
        <f t="shared" si="69"/>
        <v>20.506086240692657</v>
      </c>
      <c r="M148" s="4">
        <f t="shared" si="70"/>
        <v>20.505913758944647</v>
      </c>
      <c r="N148" s="4">
        <f t="shared" si="71"/>
        <v>1.2119317751786236</v>
      </c>
      <c r="O148" s="4">
        <f t="shared" si="71"/>
        <v>0.27809626189698694</v>
      </c>
      <c r="P148" s="4">
        <f t="shared" si="72"/>
        <v>-51.329251950315019</v>
      </c>
      <c r="Q148" s="4">
        <f t="shared" si="73"/>
        <v>-1236.2646070881935</v>
      </c>
      <c r="R148" s="4">
        <f t="shared" si="74"/>
        <v>304.52797144053943</v>
      </c>
    </row>
    <row r="149" spans="1:18" x14ac:dyDescent="0.25">
      <c r="A149" t="s">
        <v>72</v>
      </c>
      <c r="B149" s="9">
        <f t="shared" si="62"/>
        <v>20.506086240692657</v>
      </c>
      <c r="C149">
        <f t="shared" si="62"/>
        <v>20.505913758944647</v>
      </c>
      <c r="D149" s="9">
        <f t="shared" si="61"/>
        <v>28.999999999743533</v>
      </c>
      <c r="E149">
        <f t="shared" si="61"/>
        <v>-1.2196358851531653E-4</v>
      </c>
      <c r="F149" s="4">
        <f t="shared" si="63"/>
        <v>0.27809626189698694</v>
      </c>
      <c r="G149" s="4">
        <f t="shared" si="64"/>
        <v>-1.9763268569012873</v>
      </c>
      <c r="H149" s="4">
        <f t="shared" si="65"/>
        <v>-2.4142034289767196</v>
      </c>
      <c r="I149" s="4">
        <f t="shared" si="66"/>
        <v>70.011777476117189</v>
      </c>
      <c r="J149" s="4">
        <f t="shared" si="67"/>
        <v>20.506086240692657</v>
      </c>
      <c r="K149" s="4">
        <f t="shared" si="68"/>
        <v>20.505913758944647</v>
      </c>
      <c r="L149" s="4">
        <f t="shared" si="69"/>
        <v>21.553860123763272</v>
      </c>
      <c r="M149" s="4">
        <f t="shared" si="70"/>
        <v>17.976374457643317</v>
      </c>
      <c r="N149" s="4">
        <f t="shared" si="71"/>
        <v>0.27809626189698694</v>
      </c>
      <c r="O149" s="4">
        <f t="shared" si="71"/>
        <v>0</v>
      </c>
      <c r="P149" s="4">
        <f t="shared" si="72"/>
        <v>-7.3354024991820026</v>
      </c>
      <c r="Q149" s="4">
        <f t="shared" si="73"/>
        <v>-144.18227840185841</v>
      </c>
      <c r="R149" s="4">
        <f t="shared" si="74"/>
        <v>76.501898024639885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-1.2196358851531653E-4</v>
      </c>
      <c r="D150" s="9">
        <f t="shared" si="61"/>
        <v>20.505913758524084</v>
      </c>
      <c r="E150">
        <f t="shared" si="61"/>
        <v>-20.506186240692656</v>
      </c>
      <c r="F150" s="4">
        <f t="shared" si="63"/>
        <v>-1.9763268569012873</v>
      </c>
      <c r="G150" s="4">
        <f t="shared" si="64"/>
        <v>-4.2307531149745454</v>
      </c>
      <c r="H150" s="4">
        <f t="shared" si="65"/>
        <v>2.4141577675058077</v>
      </c>
      <c r="I150" s="4">
        <f t="shared" si="66"/>
        <v>-70.01069722063778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20.505913758524084</v>
      </c>
      <c r="C151">
        <f t="shared" si="62"/>
        <v>-20.506186240692656</v>
      </c>
      <c r="D151" s="9">
        <f t="shared" si="61"/>
        <v>-1.2196358851531653E-4</v>
      </c>
      <c r="E151">
        <f t="shared" si="61"/>
        <v>-28.999999999743533</v>
      </c>
      <c r="F151" s="4">
        <f t="shared" si="63"/>
        <v>-4.2307531149745454</v>
      </c>
      <c r="G151" s="4">
        <f t="shared" si="64"/>
        <v>-5.164558671751645</v>
      </c>
      <c r="H151" s="4">
        <f t="shared" si="65"/>
        <v>0.41421042439185879</v>
      </c>
      <c r="I151" s="4">
        <f t="shared" si="66"/>
        <v>-28.999949481153774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-1.2196358851531653E-4</v>
      </c>
      <c r="C152">
        <f t="shared" si="62"/>
        <v>-28.999999999743533</v>
      </c>
      <c r="D152" s="9">
        <f t="shared" si="61"/>
        <v>-20.50618624111322</v>
      </c>
      <c r="E152">
        <f t="shared" si="61"/>
        <v>-20.506013758524084</v>
      </c>
      <c r="F152" s="4">
        <f t="shared" si="63"/>
        <v>-5.164558671751645</v>
      </c>
      <c r="G152" s="4">
        <f t="shared" si="64"/>
        <v>-4.2307341523728184</v>
      </c>
      <c r="H152" s="4">
        <f t="shared" si="65"/>
        <v>-0.41421825886545804</v>
      </c>
      <c r="I152" s="4">
        <f t="shared" si="66"/>
        <v>-29.000050519288813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-20.50618624111322</v>
      </c>
      <c r="C153">
        <f t="shared" si="62"/>
        <v>-20.506013758524084</v>
      </c>
      <c r="D153" s="9">
        <f t="shared" si="61"/>
        <v>-28.999999999743533</v>
      </c>
      <c r="E153">
        <f t="shared" si="61"/>
        <v>1.2196358851531653E-4</v>
      </c>
      <c r="F153" s="4">
        <f t="shared" si="63"/>
        <v>-4.2307341523728184</v>
      </c>
      <c r="G153" s="4">
        <f t="shared" si="64"/>
        <v>-1.9763000396717338</v>
      </c>
      <c r="H153" s="4">
        <f t="shared" si="65"/>
        <v>-2.4142436254005357</v>
      </c>
      <c r="I153" s="4">
        <f t="shared" si="66"/>
        <v>-70.012943172407844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-117.32923783797941</v>
      </c>
      <c r="Q154" s="4">
        <f t="shared" ref="Q154:R154" si="75">SUM(Q146:Q153)</f>
        <v>-2760.8896532805402</v>
      </c>
      <c r="R154" s="4">
        <f t="shared" si="75"/>
        <v>-4.9626809744864886E-3</v>
      </c>
    </row>
    <row r="156" spans="1:18" x14ac:dyDescent="0.25">
      <c r="O156" t="s">
        <v>96</v>
      </c>
      <c r="P156" s="1">
        <f>-1*R154/P154</f>
        <v>-4.229705285684615E-5</v>
      </c>
    </row>
    <row r="157" spans="1:18" x14ac:dyDescent="0.25">
      <c r="O157" t="s">
        <v>97</v>
      </c>
      <c r="P157" s="1">
        <f>Q154/P154</f>
        <v>23.531130894185711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46.000000000163311</v>
      </c>
      <c r="C159" t="s">
        <v>36</v>
      </c>
    </row>
    <row r="160" spans="1:18" x14ac:dyDescent="0.25">
      <c r="A160" s="1" t="s">
        <v>106</v>
      </c>
      <c r="B160" s="4">
        <f>Q140+I122+Q154-O122</f>
        <v>42779.999999627413</v>
      </c>
      <c r="C160" t="s">
        <v>102</v>
      </c>
    </row>
    <row r="161" spans="1:9" x14ac:dyDescent="0.25">
      <c r="A161" s="1" t="s">
        <v>107</v>
      </c>
      <c r="B161" s="4">
        <f>R140+J122+R154-P122</f>
        <v>-0.17991732477084099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46.000000000163311</v>
      </c>
      <c r="C164" t="s">
        <v>36</v>
      </c>
      <c r="E164" s="8">
        <f>B2-B164</f>
        <v>-1.6331114238710143E-10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42780.000000005748</v>
      </c>
      <c r="C165" t="s">
        <v>102</v>
      </c>
      <c r="E165" s="8">
        <f>B3+B165</f>
        <v>5.7480065152049065E-9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-3.5058085046113519E-9</v>
      </c>
      <c r="C166" t="s">
        <v>102</v>
      </c>
      <c r="E166" s="8">
        <f>B4+B166</f>
        <v>-3.5058085046113519E-9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1.7616449479451088</v>
      </c>
      <c r="B169" s="1">
        <f ca="1">IF(E122=0,0,(MIN(H110:H121)*B65)/(B55*B56*E122))</f>
        <v>-1.7616449479452574</v>
      </c>
      <c r="C169" s="3">
        <f ca="1">A169+B169</f>
        <v>-1.4854784069484595E-13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6.237973659522171E-14</v>
      </c>
      <c r="C175" s="27">
        <f>B65*SQRT(I175)</f>
        <v>2.3767089591661043E-7</v>
      </c>
      <c r="D175" s="27">
        <f>B66*SQRT(I175)</f>
        <v>2.6129417195500468E-8</v>
      </c>
      <c r="E175" s="27">
        <f>B67*SQRT(I175)</f>
        <v>2.1196480167113964E-6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4.205641045678911E-6</v>
      </c>
      <c r="C176" s="3">
        <f>B65+C175</f>
        <v>16.023768771520324</v>
      </c>
      <c r="D176" s="3">
        <f>D175+B66</f>
        <v>1.7616449740745261</v>
      </c>
      <c r="E176" s="3">
        <f>B67+E175</f>
        <v>142.90664225337878</v>
      </c>
      <c r="F176" s="16" t="s">
        <v>125</v>
      </c>
    </row>
    <row r="177" spans="1:13" x14ac:dyDescent="0.25">
      <c r="B177" s="27">
        <f>B176-B64</f>
        <v>6.2379736318345265E-14</v>
      </c>
      <c r="C177" s="27">
        <f>C176-B65</f>
        <v>2.3767089629700422E-7</v>
      </c>
      <c r="D177" s="27">
        <f>D176-B66</f>
        <v>2.6129417296516522E-8</v>
      </c>
      <c r="E177" s="27">
        <f>E176-B67</f>
        <v>2.1196480304297438E-6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-478.19631597606025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34.000946323656429</v>
      </c>
      <c r="B181" s="25">
        <f>(d_alpha_p!E136-d_alpha_m!E136)/(2*B177)</f>
        <v>34.000946323656429</v>
      </c>
      <c r="C181" s="25">
        <f>(d_alpha_p!E137-d_alpha_m!E137)/(2*B177)</f>
        <v>34.000946323656429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1.6331114238710143E-10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-5.7480065152049065E-9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3.5058085046113519E-9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1.4854784069484595E-13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-478.19631597606025</v>
      </c>
      <c r="B190" s="25">
        <f>A181</f>
        <v>34.000946323656429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34.000946323656429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34.000946323656429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-478.19631597606025</v>
      </c>
      <c r="B201" s="25">
        <f t="shared" ref="B201:C201" si="77">B190</f>
        <v>34.000946323656429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34.000946323656429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34.000946323656429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49" workbookViewId="0">
      <selection activeCell="L63" sqref="L6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3" x14ac:dyDescent="0.25">
      <c r="A51" s="10" t="s">
        <v>8</v>
      </c>
      <c r="B51" s="17">
        <f>'Rigid Bearing Plate Analysis'!B51</f>
        <v>3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9.404474149780515E-12</v>
      </c>
      <c r="M57" s="17" t="str">
        <f ca="1">'Rigid Bearing Plate Analysis'!M57</f>
        <v>SOLUTION FOUND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3" x14ac:dyDescent="0.25">
      <c r="A63" s="16" t="s">
        <v>38</v>
      </c>
    </row>
    <row r="64" spans="1:13" ht="15.75" thickBot="1" x14ac:dyDescent="0.3">
      <c r="A64" s="11" t="s">
        <v>39</v>
      </c>
      <c r="B64" s="17">
        <f>'Rigid Bearing Plate Analysis'!B64</f>
        <v>4.2056410456789119E-6</v>
      </c>
      <c r="C64" t="s">
        <v>19</v>
      </c>
      <c r="D64" t="s">
        <v>34</v>
      </c>
      <c r="H64" s="17">
        <f>DEGREES(B64)</f>
        <v>2.4096548206438791E-4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16.023768771520324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1.7616449479451088</v>
      </c>
      <c r="C66" t="s">
        <v>11</v>
      </c>
      <c r="D66">
        <f>B66/B53</f>
        <v>5.5820254483504551E-4</v>
      </c>
      <c r="I66" s="20"/>
    </row>
    <row r="67" spans="1:18" x14ac:dyDescent="0.25">
      <c r="A67" s="1" t="s">
        <v>37</v>
      </c>
      <c r="B67" s="17">
        <f>'Rigid Bearing Plate Analysis'!B67</f>
        <v>142.90664013373075</v>
      </c>
      <c r="C67" t="s">
        <v>36</v>
      </c>
      <c r="D67" t="s">
        <v>122</v>
      </c>
      <c r="G67" s="20">
        <f ca="1">($B$56*$B$66*$B$55*$E$122)/$B$65</f>
        <v>142.90663723429637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-35.000142991494869</v>
      </c>
      <c r="R76">
        <f>Q76</f>
        <v>-35.000142991494869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35.000142991494869</v>
      </c>
      <c r="R77">
        <f>Q77</f>
        <v>35.000142991494869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-34.000142991494869</v>
      </c>
      <c r="C84" s="1">
        <f t="shared" ref="C84:C92" si="23">(-1*B73*SIN($B$64))+(C73*COS($B$64))</f>
        <v>-33.999857007903756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1.219635903243289E-4</v>
      </c>
    </row>
    <row r="85" spans="1:10" x14ac:dyDescent="0.25">
      <c r="A85" s="1">
        <f t="shared" si="21"/>
        <v>2</v>
      </c>
      <c r="B85" s="4">
        <f t="shared" si="22"/>
        <v>33.999857007903756</v>
      </c>
      <c r="C85" s="1">
        <f t="shared" si="23"/>
        <v>-34.000142991494869</v>
      </c>
      <c r="H85" s="1">
        <f t="shared" si="24"/>
        <v>2</v>
      </c>
      <c r="I85" s="4">
        <f t="shared" ref="I85:I92" si="25">(I74*COS($B$64))+(J74*SIN($B$64))</f>
        <v>-20.506013758943368</v>
      </c>
      <c r="J85" s="1">
        <f t="shared" ref="J85:J92" si="26">(-1*I74*SIN($B$64))+(J74*COS($B$64))</f>
        <v>20.506086241114499</v>
      </c>
    </row>
    <row r="86" spans="1:10" x14ac:dyDescent="0.25">
      <c r="A86" s="1">
        <f t="shared" si="21"/>
        <v>3</v>
      </c>
      <c r="B86" s="4">
        <f t="shared" si="22"/>
        <v>34.000142991494869</v>
      </c>
      <c r="C86" s="1">
        <f t="shared" si="23"/>
        <v>33.999857007903756</v>
      </c>
      <c r="H86" s="1">
        <f t="shared" si="24"/>
        <v>3</v>
      </c>
      <c r="I86" s="4">
        <f t="shared" si="25"/>
        <v>1.219635903243289E-4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-33.999857007903756</v>
      </c>
      <c r="C87" s="1">
        <f t="shared" si="23"/>
        <v>34.000142991494869</v>
      </c>
      <c r="H87" s="1">
        <f t="shared" si="24"/>
        <v>4</v>
      </c>
      <c r="I87" s="4">
        <f t="shared" si="25"/>
        <v>20.506086240693936</v>
      </c>
      <c r="J87" s="1">
        <f t="shared" si="26"/>
        <v>20.505913758943368</v>
      </c>
    </row>
    <row r="88" spans="1:10" x14ac:dyDescent="0.25">
      <c r="A88" s="1">
        <f t="shared" si="21"/>
        <v>5</v>
      </c>
      <c r="B88" s="4">
        <f t="shared" si="22"/>
        <v>-34.000142991494869</v>
      </c>
      <c r="C88" s="1">
        <f t="shared" si="23"/>
        <v>-33.999857007903756</v>
      </c>
      <c r="H88" s="1">
        <f t="shared" si="24"/>
        <v>5</v>
      </c>
      <c r="I88" s="4">
        <f t="shared" si="25"/>
        <v>28.999999999743533</v>
      </c>
      <c r="J88" s="1">
        <f t="shared" si="26"/>
        <v>-1.219635903243289E-4</v>
      </c>
    </row>
    <row r="89" spans="1:10" x14ac:dyDescent="0.25">
      <c r="A89" s="1">
        <f t="shared" si="21"/>
        <v>6</v>
      </c>
      <c r="B89" s="4">
        <f t="shared" si="22"/>
        <v>-34.000142991494869</v>
      </c>
      <c r="C89" s="1">
        <f t="shared" si="23"/>
        <v>-33.999857007903756</v>
      </c>
      <c r="H89" s="1">
        <f t="shared" si="24"/>
        <v>6</v>
      </c>
      <c r="I89" s="4">
        <f t="shared" si="25"/>
        <v>20.505913758522805</v>
      </c>
      <c r="J89" s="1">
        <f t="shared" si="26"/>
        <v>-20.506186240693935</v>
      </c>
    </row>
    <row r="90" spans="1:10" x14ac:dyDescent="0.25">
      <c r="A90" s="1">
        <f t="shared" si="21"/>
        <v>7</v>
      </c>
      <c r="B90" s="4">
        <f t="shared" si="22"/>
        <v>-34.000142991494869</v>
      </c>
      <c r="C90" s="1">
        <f t="shared" si="23"/>
        <v>-33.999857007903756</v>
      </c>
      <c r="H90" s="1">
        <f t="shared" si="24"/>
        <v>7</v>
      </c>
      <c r="I90" s="4">
        <f t="shared" si="25"/>
        <v>-1.219635903243289E-4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-34.000142991494869</v>
      </c>
      <c r="C91" s="1">
        <f t="shared" si="23"/>
        <v>-33.999857007903756</v>
      </c>
      <c r="H91" s="1">
        <f t="shared" si="24"/>
        <v>8</v>
      </c>
      <c r="I91" s="4">
        <f t="shared" si="25"/>
        <v>-20.506186241114499</v>
      </c>
      <c r="J91" s="1">
        <f t="shared" si="26"/>
        <v>-20.506013758522805</v>
      </c>
    </row>
    <row r="92" spans="1:10" x14ac:dyDescent="0.25">
      <c r="A92" s="1">
        <f t="shared" si="21"/>
        <v>9</v>
      </c>
      <c r="B92" s="4">
        <f t="shared" si="22"/>
        <v>-34.000142991494869</v>
      </c>
      <c r="C92" s="1">
        <f t="shared" si="23"/>
        <v>-33.999857007903756</v>
      </c>
      <c r="H92" s="1">
        <f t="shared" si="24"/>
        <v>9</v>
      </c>
      <c r="I92" s="4">
        <f t="shared" si="25"/>
        <v>-28.999999999743533</v>
      </c>
      <c r="J92" s="1">
        <f t="shared" si="26"/>
        <v>1.219635903243289E-4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27.040080874238175</v>
      </c>
      <c r="C110" s="1">
        <f>(-1*B95*SIN($B$64))+(C95*COS($B$64))</f>
        <v>19.229886279296057</v>
      </c>
      <c r="D110" t="str">
        <f t="shared" ref="D110" si="31">D95</f>
        <v>y</v>
      </c>
      <c r="E110" s="4">
        <f t="shared" ref="E110:E121" si="32">IF($D110="y",$B$125-C110,0)</f>
        <v>-1.2535120593215119</v>
      </c>
      <c r="F110" s="1">
        <f>IF($D110="y",B110,NA())</f>
        <v>27.040080874238175</v>
      </c>
      <c r="G110" s="1">
        <f>IF($D110="y",C110,NA())</f>
        <v>19.229886279296057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4.3667231565292875E-5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-27.042919125283529</v>
      </c>
      <c r="C111" s="1">
        <f t="shared" ref="C111:C121" si="37">(-1*B96*SIN($B$64))+(C96*COS($B$64))</f>
        <v>19.23011373298073</v>
      </c>
      <c r="D111" t="str">
        <f t="shared" si="35"/>
        <v>y</v>
      </c>
      <c r="E111" s="4">
        <f t="shared" si="32"/>
        <v>-1.2537395130061846</v>
      </c>
      <c r="F111" s="1">
        <f t="shared" ref="F111:G121" si="38">IF($D111="y",B111,NA())</f>
        <v>-27.042919125283529</v>
      </c>
      <c r="G111" s="1">
        <f t="shared" si="38"/>
        <v>19.23011373298073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4.3675155121069721E-5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27.039919125283557</v>
      </c>
      <c r="C112" s="1">
        <f t="shared" si="37"/>
        <v>-19.230113720363811</v>
      </c>
      <c r="D112" t="str">
        <f t="shared" si="35"/>
        <v>y</v>
      </c>
      <c r="E112" s="4">
        <f t="shared" si="32"/>
        <v>37.206487940338356</v>
      </c>
      <c r="F112" s="1">
        <f t="shared" si="38"/>
        <v>27.039919125283557</v>
      </c>
      <c r="G112" s="1">
        <f t="shared" si="38"/>
        <v>-19.230113720363811</v>
      </c>
      <c r="H112">
        <f t="shared" si="33"/>
        <v>-122.07263838205863</v>
      </c>
      <c r="I112">
        <f t="shared" si="39"/>
        <v>2347.4707182318357</v>
      </c>
      <c r="J112">
        <f t="shared" si="40"/>
        <v>3300.8342692608508</v>
      </c>
      <c r="K112">
        <f t="shared" ref="K112:K121" ca="1" si="45">H112/$B$55</f>
        <v>-37.58753337840826</v>
      </c>
      <c r="L112">
        <f t="shared" ca="1" si="41"/>
        <v>-1.2961218406347676E-3</v>
      </c>
      <c r="M112">
        <f t="shared" si="34"/>
        <v>-1.2961218143377376E-3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-27.043080874238147</v>
      </c>
      <c r="C113" s="1">
        <f t="shared" si="37"/>
        <v>-19.229886266679138</v>
      </c>
      <c r="D113" t="str">
        <f t="shared" si="35"/>
        <v>y</v>
      </c>
      <c r="E113" s="4">
        <f t="shared" si="32"/>
        <v>37.206260486653683</v>
      </c>
      <c r="F113" s="1">
        <f t="shared" si="38"/>
        <v>-27.043080874238147</v>
      </c>
      <c r="G113" s="1">
        <f t="shared" si="38"/>
        <v>-19.229886266679138</v>
      </c>
      <c r="H113">
        <f t="shared" si="33"/>
        <v>-122.07189211781993</v>
      </c>
      <c r="I113">
        <f t="shared" si="39"/>
        <v>2347.4286017840027</v>
      </c>
      <c r="J113">
        <f t="shared" si="40"/>
        <v>-3301.2000510134785</v>
      </c>
      <c r="K113">
        <f t="shared" ca="1" si="45"/>
        <v>-37.587303595286073</v>
      </c>
      <c r="L113">
        <f t="shared" ca="1" si="41"/>
        <v>-1.2961139170788302E-3</v>
      </c>
      <c r="M113">
        <f t="shared" si="34"/>
        <v>-1.2961138907819608E-3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25.866095173428111</v>
      </c>
      <c r="C114" s="1">
        <f t="shared" si="37"/>
        <v>22.629891216688584</v>
      </c>
      <c r="D114" t="str">
        <f t="shared" si="35"/>
        <v>y</v>
      </c>
      <c r="E114" s="4">
        <f t="shared" si="32"/>
        <v>-4.6535169967140391</v>
      </c>
      <c r="F114" s="1">
        <f t="shared" si="38"/>
        <v>25.866095173428111</v>
      </c>
      <c r="G114" s="1">
        <f t="shared" si="38"/>
        <v>22.629891216688584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1.6210949290629685E-4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-25.864904826114397</v>
      </c>
      <c r="C115" s="1">
        <f t="shared" si="37"/>
        <v>22.630108778705516</v>
      </c>
      <c r="D115" t="str">
        <f t="shared" si="35"/>
        <v>y</v>
      </c>
      <c r="E115" s="4">
        <f t="shared" si="32"/>
        <v>-4.6537345587309709</v>
      </c>
      <c r="F115" s="1">
        <f t="shared" si="38"/>
        <v>-25.864904826114397</v>
      </c>
      <c r="G115" s="1">
        <f t="shared" si="38"/>
        <v>22.630108778705516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1.6211707187684007E-4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25.865904826114384</v>
      </c>
      <c r="C116" s="1">
        <f t="shared" si="37"/>
        <v>-22.630108782911158</v>
      </c>
      <c r="D116" t="str">
        <f t="shared" si="35"/>
        <v>y</v>
      </c>
      <c r="E116" s="4">
        <f t="shared" si="32"/>
        <v>40.606483002885703</v>
      </c>
      <c r="F116" s="1">
        <f t="shared" si="38"/>
        <v>25.865904826114384</v>
      </c>
      <c r="G116" s="1">
        <f t="shared" si="38"/>
        <v>-22.630108782911158</v>
      </c>
      <c r="H116">
        <f t="shared" si="33"/>
        <v>-133.22785325847119</v>
      </c>
      <c r="I116">
        <f t="shared" si="39"/>
        <v>3014.9608121529277</v>
      </c>
      <c r="J116">
        <f t="shared" si="40"/>
        <v>3446.0589725711488</v>
      </c>
      <c r="K116">
        <f t="shared" ca="1" si="45"/>
        <v>-41.022349051009463</v>
      </c>
      <c r="L116">
        <f t="shared" ca="1" si="41"/>
        <v>-1.4145637603796366E-3</v>
      </c>
      <c r="M116">
        <f t="shared" si="34"/>
        <v>-1.4145637316795372E-3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-25.865095173428124</v>
      </c>
      <c r="C117" s="1">
        <f t="shared" si="37"/>
        <v>-22.629891220894226</v>
      </c>
      <c r="D117" t="str">
        <f t="shared" si="35"/>
        <v>y</v>
      </c>
      <c r="E117" s="4">
        <f t="shared" si="32"/>
        <v>40.606265440868768</v>
      </c>
      <c r="F117" s="1">
        <f t="shared" si="38"/>
        <v>-25.865095173428124</v>
      </c>
      <c r="G117" s="1">
        <f t="shared" si="38"/>
        <v>-22.629891220894226</v>
      </c>
      <c r="H117">
        <f t="shared" si="33"/>
        <v>-133.22713944830289</v>
      </c>
      <c r="I117">
        <f t="shared" si="39"/>
        <v>3014.9156733860004</v>
      </c>
      <c r="J117">
        <f t="shared" si="40"/>
        <v>-3445.9326415139349</v>
      </c>
      <c r="K117">
        <f t="shared" ca="1" si="45"/>
        <v>-41.022129260859252</v>
      </c>
      <c r="L117">
        <f t="shared" ca="1" si="41"/>
        <v>-1.4145561814089397E-3</v>
      </c>
      <c r="M117">
        <f t="shared" si="34"/>
        <v>-1.4145561527089939E-3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24.666107580079803</v>
      </c>
      <c r="C118" s="1">
        <f t="shared" si="37"/>
        <v>25.579896263431742</v>
      </c>
      <c r="D118" t="str">
        <f t="shared" si="35"/>
        <v>y</v>
      </c>
      <c r="E118" s="4">
        <f t="shared" si="32"/>
        <v>-7.6035220434571968</v>
      </c>
      <c r="F118" s="1">
        <f t="shared" si="38"/>
        <v>24.666107580079803</v>
      </c>
      <c r="G118" s="1">
        <f t="shared" si="38"/>
        <v>25.579896263431742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2.6487559917306997E-4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-24.665892419483914</v>
      </c>
      <c r="C119" s="1">
        <f t="shared" si="37"/>
        <v>25.580103736115809</v>
      </c>
      <c r="D119" t="str">
        <f t="shared" si="35"/>
        <v>y</v>
      </c>
      <c r="E119" s="4">
        <f t="shared" si="32"/>
        <v>-7.6037295161412644</v>
      </c>
      <c r="F119" s="1">
        <f t="shared" si="38"/>
        <v>-24.665892419483914</v>
      </c>
      <c r="G119" s="1">
        <f t="shared" si="38"/>
        <v>25.580103736115809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2.6488282667253541E-4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24.66589241948391</v>
      </c>
      <c r="C120" s="1">
        <f t="shared" si="37"/>
        <v>-25.580103736115809</v>
      </c>
      <c r="D120" t="str">
        <f t="shared" si="35"/>
        <v>y</v>
      </c>
      <c r="E120" s="4">
        <f t="shared" si="32"/>
        <v>43.556477956090355</v>
      </c>
      <c r="F120" s="1">
        <f t="shared" si="38"/>
        <v>24.66589241948391</v>
      </c>
      <c r="G120" s="1">
        <f t="shared" si="38"/>
        <v>-25.580103736115809</v>
      </c>
      <c r="H120">
        <f t="shared" si="33"/>
        <v>-142.90664013373075</v>
      </c>
      <c r="I120">
        <f t="shared" si="39"/>
        <v>3655.5666792006032</v>
      </c>
      <c r="J120">
        <f t="shared" si="40"/>
        <v>3524.9198115685044</v>
      </c>
      <c r="K120">
        <f t="shared" ca="1" si="45"/>
        <v>-44.002555996301368</v>
      </c>
      <c r="L120">
        <f t="shared" ca="1" si="41"/>
        <v>-1.5173295171138402E-3</v>
      </c>
      <c r="M120">
        <f t="shared" si="34"/>
        <v>-1.5173294863287251E-3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-24.666107580079807</v>
      </c>
      <c r="C121" s="1">
        <f t="shared" si="37"/>
        <v>-25.579896263431742</v>
      </c>
      <c r="D121" t="str">
        <f t="shared" si="35"/>
        <v>y</v>
      </c>
      <c r="E121" s="4">
        <f t="shared" si="32"/>
        <v>43.556270483406287</v>
      </c>
      <c r="F121" s="1">
        <f t="shared" si="38"/>
        <v>-24.666107580079807</v>
      </c>
      <c r="G121" s="1">
        <f t="shared" si="38"/>
        <v>-25.579896263431742</v>
      </c>
      <c r="H121" s="23">
        <f t="shared" si="33"/>
        <v>-142.9059594261623</v>
      </c>
      <c r="I121" s="23">
        <f t="shared" si="39"/>
        <v>3655.5196175474171</v>
      </c>
      <c r="J121" s="23">
        <f t="shared" si="40"/>
        <v>-3524.933769040239</v>
      </c>
      <c r="K121">
        <f t="shared" ca="1" si="45"/>
        <v>-44.00234639881262</v>
      </c>
      <c r="L121">
        <f t="shared" ca="1" si="41"/>
        <v>-1.5173222896142282E-3</v>
      </c>
      <c r="M121">
        <f t="shared" si="34"/>
        <v>-1.5173222588292597E-3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43.556477956090355</v>
      </c>
      <c r="H122">
        <f>SUM(H110:H121)</f>
        <v>-796.41212276654574</v>
      </c>
      <c r="I122">
        <f t="shared" ref="I122:J122" si="46">SUM(I110:I121)</f>
        <v>18035.862102302784</v>
      </c>
      <c r="J122">
        <f t="shared" si="46"/>
        <v>-0.25340816714833636</v>
      </c>
      <c r="L122">
        <f ca="1">MIN(L110:L121)</f>
        <v>-1.5173295171138402E-3</v>
      </c>
      <c r="M122">
        <f>MIN(M110:M121)</f>
        <v>-1.5173294863287251E-3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17.976374219974545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-35.000142991494869</v>
      </c>
      <c r="G126" s="4">
        <f>B125</f>
        <v>17.976374219974545</v>
      </c>
    </row>
    <row r="127" spans="1:16" x14ac:dyDescent="0.25">
      <c r="F127" s="4">
        <f>MAX(B84:B90)+1</f>
        <v>35.000142991494869</v>
      </c>
      <c r="G127" s="4">
        <f>G126</f>
        <v>17.976374219974545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-34.000142991494869</v>
      </c>
      <c r="C132" s="4">
        <f>C84</f>
        <v>-33.999857007903756</v>
      </c>
      <c r="D132" s="4">
        <f t="shared" ref="D132:E139" si="47">B85</f>
        <v>33.999857007903756</v>
      </c>
      <c r="E132" s="4">
        <f t="shared" si="47"/>
        <v>-34.000142991494869</v>
      </c>
      <c r="F132" s="4">
        <f t="shared" ref="F132:F139" si="48">($B$66/$B$65)*(C132-$B$125)</f>
        <v>-5.7142402927430105</v>
      </c>
      <c r="G132" s="4">
        <f t="shared" ref="G132:G139" si="49">($B$66/$B$65)*(E132-$B$125)</f>
        <v>-5.7142717336328328</v>
      </c>
      <c r="H132" s="4">
        <f>IF(B132=D132,"V",(C132-E132)/(B132-D132))</f>
        <v>-4.2056410458081708E-6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33.999857007903756</v>
      </c>
      <c r="C133" s="4">
        <f t="shared" si="50"/>
        <v>-34.000142991494869</v>
      </c>
      <c r="D133" s="4">
        <f t="shared" si="47"/>
        <v>34.000142991494869</v>
      </c>
      <c r="E133" s="4">
        <f t="shared" si="47"/>
        <v>33.999857007903756</v>
      </c>
      <c r="F133" s="4">
        <f t="shared" si="48"/>
        <v>-5.7142717336328328</v>
      </c>
      <c r="G133" s="4">
        <f t="shared" si="49"/>
        <v>1.7616135070552867</v>
      </c>
      <c r="H133" s="4">
        <f t="shared" ref="H133:H139" si="51">IF(B133=D133,"V",(C133-E133)/(B133-D133))</f>
        <v>237775.87984992584</v>
      </c>
      <c r="I133" s="4">
        <f t="shared" ref="I133:I139" si="52">IF(H133="V",0,(-1*B133*H133)+C133)</f>
        <v>-8084379.914968974</v>
      </c>
      <c r="J133" s="4">
        <f t="shared" ref="J133:J139" si="53">IF($F133&gt;=0,B133,IF(AND($F133&lt;0,$G133&gt;=0),IF(H133="V",B133,($B$125-I133)/H133),0))</f>
        <v>34.000075602477956</v>
      </c>
      <c r="K133" s="4">
        <f t="shared" ref="K133:K139" si="54">IF($F133&gt;=0,C133,IF(AND($F133&lt;0,$G133&gt;=0),$B$125,0))</f>
        <v>17.976374219974545</v>
      </c>
      <c r="L133" s="4">
        <f t="shared" ref="L133:L139" si="55">IF($G133&gt;=0,D133,IF(AND($G133&lt;0,$F133&gt;=0),IF(H133="V",D133,($B$125-I133)/H133),0))</f>
        <v>34.000142991494869</v>
      </c>
      <c r="M133" s="4">
        <f t="shared" ref="M133:M139" si="56">IF($G133&gt;=0,E133,IF(AND($G133&lt;0,$F133&gt;=0),$B$125,0))</f>
        <v>33.999857007903756</v>
      </c>
      <c r="N133" s="4">
        <f t="shared" ref="N133:O139" si="57">IF(F133&lt;0,IF($I$54="Linear",0,$B$66),IF($I$54="Linear",F133,$B$66))</f>
        <v>0</v>
      </c>
      <c r="O133" s="4">
        <f t="shared" si="57"/>
        <v>1.7616135070552867</v>
      </c>
      <c r="P133" s="4">
        <f t="shared" ref="P133:P139" si="58">(1/6)*(M133-K133)*((N133*((2*J133)+L133))+(O133*(J133+(2*L133))))</f>
        <v>479.86382414773186</v>
      </c>
      <c r="Q133" s="4">
        <f t="shared" ref="Q133:Q139" si="59">((1/12)*(M133-K133)*(N133*J133*((3*K133)+M133)+N133*L133*(K133+M133)+O133*J133*(K133+M133)+O133*L133*(K133+(3*M133))))</f>
        <v>13752.272342025721</v>
      </c>
      <c r="R133" s="4">
        <f t="shared" ref="R133:R139" si="60">((-1/24)*(M133-K133)*(J133*J133*((3*N133)+O133)+2*J133*L133*(N133+O133)+L133*L133*(N133+(3*O133))))</f>
        <v>-8157.7139291441017</v>
      </c>
    </row>
    <row r="134" spans="1:18" x14ac:dyDescent="0.25">
      <c r="A134" t="s">
        <v>71</v>
      </c>
      <c r="B134" s="4">
        <f t="shared" si="50"/>
        <v>34.000142991494869</v>
      </c>
      <c r="C134" s="4">
        <f t="shared" si="50"/>
        <v>33.999857007903756</v>
      </c>
      <c r="D134" s="4">
        <f t="shared" si="47"/>
        <v>-33.999857007903756</v>
      </c>
      <c r="E134" s="4">
        <f t="shared" si="47"/>
        <v>34.000142991494869</v>
      </c>
      <c r="F134" s="4">
        <f t="shared" si="48"/>
        <v>1.7616135070552867</v>
      </c>
      <c r="G134" s="4">
        <f t="shared" si="49"/>
        <v>1.7616449479451088</v>
      </c>
      <c r="H134" s="4">
        <f t="shared" si="51"/>
        <v>-4.2056410458081708E-6</v>
      </c>
      <c r="I134" s="4">
        <f t="shared" si="52"/>
        <v>34.000000000300687</v>
      </c>
      <c r="J134" s="4">
        <f t="shared" si="53"/>
        <v>34.000142991494869</v>
      </c>
      <c r="K134" s="4">
        <f t="shared" si="54"/>
        <v>33.999857007903756</v>
      </c>
      <c r="L134" s="4">
        <f t="shared" si="55"/>
        <v>-33.999857007903756</v>
      </c>
      <c r="M134" s="4">
        <f t="shared" si="56"/>
        <v>34.000142991494869</v>
      </c>
      <c r="N134" s="4">
        <f t="shared" si="57"/>
        <v>1.7616135070552867</v>
      </c>
      <c r="O134" s="4">
        <f t="shared" si="57"/>
        <v>1.7616449479451088</v>
      </c>
      <c r="P134" s="4">
        <f t="shared" si="58"/>
        <v>2.1086566545617421E-8</v>
      </c>
      <c r="Q134" s="4">
        <f t="shared" si="59"/>
        <v>-9.9496982581630124E-8</v>
      </c>
      <c r="R134" s="4">
        <f t="shared" si="60"/>
        <v>-9.7064898814250941E-2</v>
      </c>
    </row>
    <row r="135" spans="1:18" x14ac:dyDescent="0.25">
      <c r="A135" t="s">
        <v>72</v>
      </c>
      <c r="B135" s="4">
        <f t="shared" si="50"/>
        <v>-33.999857007903756</v>
      </c>
      <c r="C135" s="4">
        <f t="shared" si="50"/>
        <v>34.000142991494869</v>
      </c>
      <c r="D135" s="4">
        <f t="shared" si="47"/>
        <v>-34.000142991494869</v>
      </c>
      <c r="E135" s="4">
        <f t="shared" si="47"/>
        <v>-33.999857007903756</v>
      </c>
      <c r="F135" s="4">
        <f t="shared" si="48"/>
        <v>1.7616449479451088</v>
      </c>
      <c r="G135" s="4">
        <f t="shared" si="49"/>
        <v>-5.7142402927430105</v>
      </c>
      <c r="H135" s="4">
        <f t="shared" si="51"/>
        <v>237775.87984992584</v>
      </c>
      <c r="I135" s="4">
        <f t="shared" si="52"/>
        <v>8084379.914968974</v>
      </c>
      <c r="J135" s="4">
        <f t="shared" si="53"/>
        <v>-33.999857007903756</v>
      </c>
      <c r="K135" s="4">
        <f t="shared" si="54"/>
        <v>34.000142991494869</v>
      </c>
      <c r="L135" s="4">
        <f t="shared" si="55"/>
        <v>-33.999924398123412</v>
      </c>
      <c r="M135" s="4">
        <f t="shared" si="56"/>
        <v>17.976374219974545</v>
      </c>
      <c r="N135" s="4">
        <f t="shared" si="57"/>
        <v>1.7616449479451088</v>
      </c>
      <c r="O135" s="4">
        <f t="shared" si="57"/>
        <v>0</v>
      </c>
      <c r="P135" s="4">
        <f t="shared" si="58"/>
        <v>479.87755100416439</v>
      </c>
      <c r="Q135" s="4">
        <f t="shared" si="59"/>
        <v>13752.755533847469</v>
      </c>
      <c r="R135" s="4">
        <f t="shared" si="60"/>
        <v>8157.8894475663583</v>
      </c>
    </row>
    <row r="136" spans="1:18" x14ac:dyDescent="0.25">
      <c r="A136" t="s">
        <v>73</v>
      </c>
      <c r="B136" s="4">
        <f t="shared" si="50"/>
        <v>-34.000142991494869</v>
      </c>
      <c r="C136" s="4">
        <f t="shared" si="50"/>
        <v>-33.999857007903756</v>
      </c>
      <c r="D136" s="4">
        <f t="shared" si="47"/>
        <v>-34.000142991494869</v>
      </c>
      <c r="E136" s="4">
        <f t="shared" si="47"/>
        <v>-33.999857007903756</v>
      </c>
      <c r="F136" s="4">
        <f t="shared" si="48"/>
        <v>-5.7142402927430105</v>
      </c>
      <c r="G136" s="4">
        <f t="shared" si="49"/>
        <v>-5.7142402927430105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-34.000142991494869</v>
      </c>
      <c r="C137" s="4">
        <f t="shared" si="50"/>
        <v>-33.999857007903756</v>
      </c>
      <c r="D137" s="4">
        <f t="shared" si="47"/>
        <v>-34.000142991494869</v>
      </c>
      <c r="E137" s="4">
        <f t="shared" si="47"/>
        <v>-33.999857007903756</v>
      </c>
      <c r="F137" s="4">
        <f t="shared" si="48"/>
        <v>-5.7142402927430105</v>
      </c>
      <c r="G137" s="4">
        <f t="shared" si="49"/>
        <v>-5.7142402927430105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-34.000142991494869</v>
      </c>
      <c r="C138" s="4">
        <f t="shared" si="50"/>
        <v>-33.999857007903756</v>
      </c>
      <c r="D138" s="4">
        <f t="shared" si="47"/>
        <v>-34.000142991494869</v>
      </c>
      <c r="E138" s="4">
        <f t="shared" si="47"/>
        <v>-33.999857007903756</v>
      </c>
      <c r="F138" s="4">
        <f t="shared" si="48"/>
        <v>-5.7142402927430105</v>
      </c>
      <c r="G138" s="4">
        <f t="shared" si="49"/>
        <v>-5.7142402927430105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-34.000142991494869</v>
      </c>
      <c r="C139" s="4">
        <f>E138</f>
        <v>-33.999857007903756</v>
      </c>
      <c r="D139" s="4">
        <f t="shared" si="47"/>
        <v>-34.000142991494869</v>
      </c>
      <c r="E139" s="4">
        <f t="shared" si="47"/>
        <v>-33.999857007903756</v>
      </c>
      <c r="F139" s="4">
        <f t="shared" si="48"/>
        <v>-5.7142402927430105</v>
      </c>
      <c r="G139" s="4">
        <f t="shared" si="49"/>
        <v>-5.7142402927430105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959.74137517298277</v>
      </c>
      <c r="Q140" s="4">
        <f>SUM(Q132:Q139)</f>
        <v>27505.027875773692</v>
      </c>
      <c r="R140" s="4">
        <f>SUM(R132:R139)</f>
        <v>7.845352344247658E-2</v>
      </c>
    </row>
    <row r="142" spans="1:18" x14ac:dyDescent="0.25">
      <c r="O142" t="s">
        <v>96</v>
      </c>
      <c r="P142" s="1">
        <f>-1*R140/P140</f>
        <v>-8.1744442275749751E-5</v>
      </c>
    </row>
    <row r="143" spans="1:18" x14ac:dyDescent="0.25">
      <c r="O143" t="s">
        <v>97</v>
      </c>
      <c r="P143" s="1">
        <f>Q140/P140</f>
        <v>28.65879140702485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1.219635903243289E-4</v>
      </c>
      <c r="D146" s="9">
        <f t="shared" ref="D146:E153" si="61">I85</f>
        <v>-20.506013758943368</v>
      </c>
      <c r="E146">
        <f t="shared" si="61"/>
        <v>20.506086241114499</v>
      </c>
      <c r="F146" s="4">
        <f>($B$66/$B$65)*(C146-$B$125)</f>
        <v>-1.9762999842290854</v>
      </c>
      <c r="G146" s="4">
        <f>($B$66/$B$65)*(E146-$B$125)</f>
        <v>0.27811524650292269</v>
      </c>
      <c r="H146" s="4">
        <f>IF(B146=D146,"V",(C146-E146)/(B146-D146))</f>
        <v>2.4141744166037684</v>
      </c>
      <c r="I146" s="4">
        <f>IF(H146="V",0,(-1*B146*H146)+C146)</f>
        <v>70.011180044480454</v>
      </c>
      <c r="J146" s="4">
        <f>IF($F146&gt;=0,B146,IF(AND($F146&lt;0,$G146&gt;=0),IF(H146="V",B146,($B$125-I146)/H146),0))</f>
        <v>-21.553871777710182</v>
      </c>
      <c r="K146" s="4">
        <f>IF($F146&gt;=0,C146,IF(AND($F146&lt;0,$G146&gt;=0),$B$125,0))</f>
        <v>17.976374219974545</v>
      </c>
      <c r="L146" s="4">
        <f>IF($G146&gt;=0,D146,IF(AND($G146&lt;0,$F146&gt;=0),IF(H146="V",D146,($B$125-I146)/H146),0))</f>
        <v>-20.506013758943368</v>
      </c>
      <c r="M146" s="4">
        <f>IF($G146&gt;=0,E146,IF(AND($G146&lt;0,$F146&gt;=0),$B$125,0))</f>
        <v>20.506086241114499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0.27811524650292269</v>
      </c>
      <c r="P146" s="4">
        <f>(1/6)*(M146-K146)*((N146*((2*J146)+L146))+(O146*(J146+(2*L146))))</f>
        <v>-7.3363885322331637</v>
      </c>
      <c r="Q146" s="4">
        <f>((1/12)*(M146-K146)*(N146*J146*((3*K146)+M146)+N146*L146*(K146+M146)+O146*J146*(K146+M146)+O146*L146*(K146+(3*M146))))</f>
        <v>-144.20249475545251</v>
      </c>
      <c r="R146" s="4">
        <f>((-1/24)*(M146-K146)*(J146*J146*((3*N146)+O146)+2*J146*L146*(N146+O146)+L146*L146*(N146+(3*O146))))</f>
        <v>-76.512020239757632</v>
      </c>
    </row>
    <row r="147" spans="1:18" x14ac:dyDescent="0.25">
      <c r="A147" t="s">
        <v>70</v>
      </c>
      <c r="B147" s="9">
        <f t="shared" ref="B147:C153" si="62">D146</f>
        <v>-20.506013758943368</v>
      </c>
      <c r="C147">
        <f t="shared" si="62"/>
        <v>20.506086241114499</v>
      </c>
      <c r="D147" s="9">
        <f t="shared" si="61"/>
        <v>1.219635903243289E-4</v>
      </c>
      <c r="E147">
        <f t="shared" si="61"/>
        <v>28.999999999743533</v>
      </c>
      <c r="F147" s="4">
        <f t="shared" ref="F147:F153" si="63">($B$66/$B$65)*(C147-$B$125)</f>
        <v>0.27811524650292269</v>
      </c>
      <c r="G147" s="4">
        <f t="shared" ref="G147:G153" si="64">($B$66/$B$65)*(E147-$B$125)</f>
        <v>1.2119317833319538</v>
      </c>
      <c r="H147" s="4">
        <f t="shared" ref="H147:H153" si="65">IF(B147=D147,"V",(C147-E147)/(B147-D147))</f>
        <v>0.41421328101789945</v>
      </c>
      <c r="I147" s="4">
        <f t="shared" ref="I147:I153" si="66">IF(H147="V",0,(-1*B147*H147)+C147)</f>
        <v>28.99994948080462</v>
      </c>
      <c r="J147" s="4">
        <f t="shared" ref="J147:J153" si="67">IF($F147&gt;=0,B147,IF(AND($F147&lt;0,$G147&gt;=0),IF(H147="V",B147,($B$125-I147)/H147),0))</f>
        <v>-20.506013758943368</v>
      </c>
      <c r="K147" s="4">
        <f t="shared" ref="K147:K153" si="68">IF($F147&gt;=0,C147,IF(AND($F147&lt;0,$G147&gt;=0),$B$125,0))</f>
        <v>20.506086241114499</v>
      </c>
      <c r="L147" s="4">
        <f t="shared" ref="L147:L153" si="69">IF($G147&gt;=0,D147,IF(AND($G147&lt;0,$F147&gt;=0),IF(H147="V",D147,($B$125-I147)/H147),0))</f>
        <v>1.219635903243289E-4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0.27811524650292269</v>
      </c>
      <c r="O147" s="4">
        <f t="shared" si="71"/>
        <v>1.2119317833319538</v>
      </c>
      <c r="P147" s="4">
        <f t="shared" ref="P147:P153" si="72">(1/6)*(M147-K147)*((N147*((2*J147)+L147))+(O147*(J147+(2*L147))))</f>
        <v>-51.328197651703661</v>
      </c>
      <c r="Q147" s="4">
        <f t="shared" ref="Q147:Q153" si="73">((1/12)*(M147-K147)*(N147*J147*((3*K147)+M147)+N147*L147*(K147+M147)+O147*J147*(K147+M147)+O147*L147*(K147+(3*M147))))</f>
        <v>-1236.2403323965004</v>
      </c>
      <c r="R147" s="4">
        <f t="shared" ref="R147:R153" si="74">((-1/24)*(M147-K147)*(J147*J147*((3*N147)+O147)+2*J147*L147*(N147+O147)+L147*L147*(N147+(3*O147))))</f>
        <v>-304.52283642826836</v>
      </c>
    </row>
    <row r="148" spans="1:18" x14ac:dyDescent="0.25">
      <c r="A148" t="s">
        <v>71</v>
      </c>
      <c r="B148" s="9">
        <f t="shared" si="62"/>
        <v>1.219635903243289E-4</v>
      </c>
      <c r="C148">
        <f t="shared" si="62"/>
        <v>28.999999999743533</v>
      </c>
      <c r="D148" s="9">
        <f t="shared" si="61"/>
        <v>20.506086240693936</v>
      </c>
      <c r="E148">
        <f t="shared" si="61"/>
        <v>20.505913758943368</v>
      </c>
      <c r="F148" s="4">
        <f t="shared" si="63"/>
        <v>1.2119317833319538</v>
      </c>
      <c r="G148" s="4">
        <f t="shared" si="64"/>
        <v>0.27809628390119551</v>
      </c>
      <c r="H148" s="4">
        <f t="shared" si="65"/>
        <v>-0.41422515547266531</v>
      </c>
      <c r="I148" s="4">
        <f t="shared" si="66"/>
        <v>29.000050520130696</v>
      </c>
      <c r="J148" s="4">
        <f t="shared" si="67"/>
        <v>1.219635903243289E-4</v>
      </c>
      <c r="K148" s="4">
        <f t="shared" si="68"/>
        <v>28.999999999743533</v>
      </c>
      <c r="L148" s="4">
        <f t="shared" si="69"/>
        <v>20.506086240693936</v>
      </c>
      <c r="M148" s="4">
        <f t="shared" si="70"/>
        <v>20.505913758943368</v>
      </c>
      <c r="N148" s="4">
        <f t="shared" si="71"/>
        <v>1.2119317833319538</v>
      </c>
      <c r="O148" s="4">
        <f t="shared" si="71"/>
        <v>0.27809628390119551</v>
      </c>
      <c r="P148" s="4">
        <f t="shared" si="72"/>
        <v>-51.329253464599049</v>
      </c>
      <c r="Q148" s="4">
        <f t="shared" si="73"/>
        <v>-1236.2646418582319</v>
      </c>
      <c r="R148" s="4">
        <f t="shared" si="74"/>
        <v>304.52798247833942</v>
      </c>
    </row>
    <row r="149" spans="1:18" x14ac:dyDescent="0.25">
      <c r="A149" t="s">
        <v>72</v>
      </c>
      <c r="B149" s="9">
        <f t="shared" si="62"/>
        <v>20.506086240693936</v>
      </c>
      <c r="C149">
        <f t="shared" si="62"/>
        <v>20.505913758943368</v>
      </c>
      <c r="D149" s="9">
        <f t="shared" si="61"/>
        <v>28.999999999743533</v>
      </c>
      <c r="E149">
        <f t="shared" si="61"/>
        <v>-1.219635903243289E-4</v>
      </c>
      <c r="F149" s="4">
        <f t="shared" si="63"/>
        <v>0.27809628390119551</v>
      </c>
      <c r="G149" s="4">
        <f t="shared" si="64"/>
        <v>-1.9763268014586386</v>
      </c>
      <c r="H149" s="4">
        <f t="shared" si="65"/>
        <v>-2.4142034289771455</v>
      </c>
      <c r="I149" s="4">
        <f t="shared" si="66"/>
        <v>70.011777476127733</v>
      </c>
      <c r="J149" s="4">
        <f t="shared" si="67"/>
        <v>20.506086240693936</v>
      </c>
      <c r="K149" s="4">
        <f t="shared" si="68"/>
        <v>20.505913758943368</v>
      </c>
      <c r="L149" s="4">
        <f t="shared" si="69"/>
        <v>21.553860222209877</v>
      </c>
      <c r="M149" s="4">
        <f t="shared" si="70"/>
        <v>17.976374219974545</v>
      </c>
      <c r="N149" s="4">
        <f t="shared" si="71"/>
        <v>0.27809628390119551</v>
      </c>
      <c r="O149" s="4">
        <f t="shared" si="71"/>
        <v>0</v>
      </c>
      <c r="P149" s="4">
        <f t="shared" si="72"/>
        <v>-7.3354037803452048</v>
      </c>
      <c r="Q149" s="4">
        <f t="shared" si="73"/>
        <v>-144.18230299319546</v>
      </c>
      <c r="R149" s="4">
        <f t="shared" si="74"/>
        <v>76.501911508422424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-1.219635903243289E-4</v>
      </c>
      <c r="D150" s="9">
        <f t="shared" si="61"/>
        <v>20.505913758522805</v>
      </c>
      <c r="E150">
        <f t="shared" si="61"/>
        <v>-20.506186240693935</v>
      </c>
      <c r="F150" s="4">
        <f t="shared" si="63"/>
        <v>-1.9763268014586386</v>
      </c>
      <c r="G150" s="4">
        <f t="shared" si="64"/>
        <v>-4.2307530260932937</v>
      </c>
      <c r="H150" s="4">
        <f t="shared" si="65"/>
        <v>2.4141577675053818</v>
      </c>
      <c r="I150" s="4">
        <f t="shared" si="66"/>
        <v>-70.01069722062725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20.505913758522805</v>
      </c>
      <c r="C151">
        <f t="shared" si="62"/>
        <v>-20.506186240693935</v>
      </c>
      <c r="D151" s="9">
        <f t="shared" si="61"/>
        <v>-1.219635903243289E-4</v>
      </c>
      <c r="E151">
        <f t="shared" si="61"/>
        <v>-28.999999999743533</v>
      </c>
      <c r="F151" s="4">
        <f t="shared" si="63"/>
        <v>-4.2307530260932937</v>
      </c>
      <c r="G151" s="4">
        <f t="shared" si="64"/>
        <v>-5.164558569019678</v>
      </c>
      <c r="H151" s="4">
        <f t="shared" si="65"/>
        <v>0.41421042439178574</v>
      </c>
      <c r="I151" s="4">
        <f t="shared" si="66"/>
        <v>-28.999949481153024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-1.219635903243289E-4</v>
      </c>
      <c r="C152">
        <f t="shared" si="62"/>
        <v>-28.999999999743533</v>
      </c>
      <c r="D152" s="9">
        <f t="shared" si="61"/>
        <v>-20.506186241114499</v>
      </c>
      <c r="E152">
        <f t="shared" si="61"/>
        <v>-20.506013758522805</v>
      </c>
      <c r="F152" s="4">
        <f t="shared" si="63"/>
        <v>-5.164558569019678</v>
      </c>
      <c r="G152" s="4">
        <f t="shared" si="64"/>
        <v>-4.2307340634915667</v>
      </c>
      <c r="H152" s="4">
        <f t="shared" si="65"/>
        <v>-0.4142182588655311</v>
      </c>
      <c r="I152" s="4">
        <f t="shared" si="66"/>
        <v>-29.000050519289562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-20.506186241114499</v>
      </c>
      <c r="C153">
        <f t="shared" si="62"/>
        <v>-20.506013758522805</v>
      </c>
      <c r="D153" s="9">
        <f t="shared" si="61"/>
        <v>-28.999999999743533</v>
      </c>
      <c r="E153">
        <f t="shared" si="61"/>
        <v>1.219635903243289E-4</v>
      </c>
      <c r="F153" s="4">
        <f t="shared" si="63"/>
        <v>-4.2307340634915667</v>
      </c>
      <c r="G153" s="4">
        <f t="shared" si="64"/>
        <v>-1.9762999842290854</v>
      </c>
      <c r="H153" s="4">
        <f t="shared" si="65"/>
        <v>-2.4142436254009616</v>
      </c>
      <c r="I153" s="4">
        <f t="shared" si="66"/>
        <v>-70.012943172418389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-117.32924342888107</v>
      </c>
      <c r="Q154" s="4">
        <f t="shared" ref="Q154:R154" si="75">SUM(Q146:Q153)</f>
        <v>-2760.8897720033806</v>
      </c>
      <c r="R154" s="4">
        <f t="shared" si="75"/>
        <v>-4.9626812641605511E-3</v>
      </c>
    </row>
    <row r="156" spans="1:18" x14ac:dyDescent="0.25">
      <c r="O156" t="s">
        <v>96</v>
      </c>
      <c r="P156" s="1">
        <f>-1*R154/P154</f>
        <v>-4.2297053310231838E-5</v>
      </c>
    </row>
    <row r="157" spans="1:18" x14ac:dyDescent="0.25">
      <c r="O157" t="s">
        <v>97</v>
      </c>
      <c r="P157" s="1">
        <f>Q154/P154</f>
        <v>23.531130784772248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46.000008977555964</v>
      </c>
      <c r="C159" t="s">
        <v>36</v>
      </c>
    </row>
    <row r="160" spans="1:18" x14ac:dyDescent="0.25">
      <c r="A160" s="1" t="s">
        <v>106</v>
      </c>
      <c r="B160" s="4">
        <f>Q140+I122+Q154-O122</f>
        <v>42780.000206073099</v>
      </c>
      <c r="C160" t="s">
        <v>102</v>
      </c>
    </row>
    <row r="161" spans="1:9" x14ac:dyDescent="0.25">
      <c r="A161" s="1" t="s">
        <v>107</v>
      </c>
      <c r="B161" s="4">
        <f>R140+J122+R154-P122</f>
        <v>-0.17991732497002033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46.000008977555964</v>
      </c>
      <c r="C164" t="s">
        <v>36</v>
      </c>
      <c r="E164" s="8">
        <f>B2-B164</f>
        <v>-8.9775559644067471E-6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42780.000206451434</v>
      </c>
      <c r="C165" t="s">
        <v>102</v>
      </c>
      <c r="E165" s="8">
        <f>B3+B165</f>
        <v>2.0645143376896158E-4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-1.6814624692607083E-10</v>
      </c>
      <c r="C166" t="s">
        <v>102</v>
      </c>
      <c r="E166" s="8">
        <f>B4+B166</f>
        <v>-1.6814624692607083E-10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1.7616449479451088</v>
      </c>
      <c r="B169" s="1">
        <f ca="1">IF(E122=0,0,(MIN(H110:H121)*B65)/(B55*B56*E122))</f>
        <v>-1.7616449836871431</v>
      </c>
      <c r="C169" s="3">
        <f ca="1">A169+B169</f>
        <v>-3.5742034221186714E-8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6.2379737520462731E-14</v>
      </c>
      <c r="C175" s="27">
        <f>B65*SQRT(I175)</f>
        <v>2.3767089944183951E-7</v>
      </c>
      <c r="D175" s="27">
        <f>B66*SQRT(I175)</f>
        <v>2.6129417195500468E-8</v>
      </c>
      <c r="E175" s="27">
        <f>B67*SQRT(I175)</f>
        <v>2.1196480167113964E-6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4.205641108058649E-6</v>
      </c>
      <c r="C176" s="3">
        <f>B65+C175</f>
        <v>16.023769009191223</v>
      </c>
      <c r="D176" s="3">
        <f>D175+B66</f>
        <v>1.7616449740745261</v>
      </c>
      <c r="E176" s="3">
        <f>B67+E175</f>
        <v>142.90664225337878</v>
      </c>
      <c r="F176" s="16" t="s">
        <v>125</v>
      </c>
    </row>
    <row r="177" spans="1:13" x14ac:dyDescent="0.25">
      <c r="B177" s="27">
        <f>B176-B64</f>
        <v>6.2379737165378212E-14</v>
      </c>
      <c r="C177" s="27">
        <f>C176-B65</f>
        <v>2.376708998497179E-7</v>
      </c>
      <c r="D177" s="27">
        <f>D176-B66</f>
        <v>2.6129417296516522E-8</v>
      </c>
      <c r="E177" s="27">
        <f>E176-B67</f>
        <v>2.1196480304297438E-6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-478.19631597606025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34.000945861969306</v>
      </c>
      <c r="B181" s="25">
        <f>(d_alpha_p!E136-d_alpha_m!E136)/(2*B177)</f>
        <v>34.000945861969306</v>
      </c>
      <c r="C181" s="25">
        <f>(d_alpha_p!E137-d_alpha_m!E137)/(2*B177)</f>
        <v>34.000945861969306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8.9775559644067471E-6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-2.0645143376896158E-4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1.6814624692607083E-10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3.5742034221186714E-8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-478.19631597606025</v>
      </c>
      <c r="B190" s="25">
        <f>A181</f>
        <v>34.000945861969306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34.000945861969306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34.000945861969306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-478.19631597606025</v>
      </c>
      <c r="B201" s="25">
        <f t="shared" ref="B201:C201" si="77">B190</f>
        <v>34.000945861969306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34.000945861969306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34.000945861969306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18" workbookViewId="0">
      <selection activeCell="K64" sqref="K6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4" x14ac:dyDescent="0.25">
      <c r="A51" s="10" t="s">
        <v>8</v>
      </c>
      <c r="B51" s="17">
        <f>'Rigid Bearing Plate Analysis'!B51</f>
        <v>3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9.404474149780515E-12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4" x14ac:dyDescent="0.25">
      <c r="A63" s="16" t="s">
        <v>38</v>
      </c>
    </row>
    <row r="64" spans="1:14" ht="15.75" thickBot="1" x14ac:dyDescent="0.3">
      <c r="A64" s="11" t="s">
        <v>39</v>
      </c>
      <c r="B64" s="17">
        <f>'Rigid Bearing Plate Analysis'!B64</f>
        <v>4.2056410456789119E-6</v>
      </c>
      <c r="C64" t="s">
        <v>19</v>
      </c>
      <c r="D64" t="s">
        <v>34</v>
      </c>
      <c r="H64" s="17">
        <f>DEGREES(B64)</f>
        <v>2.4096548206438791E-4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16.023768296178531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1.7616449479451088</v>
      </c>
      <c r="C66" t="s">
        <v>11</v>
      </c>
      <c r="D66">
        <f>B66/B53</f>
        <v>5.5820254483504551E-4</v>
      </c>
      <c r="I66" s="20"/>
    </row>
    <row r="67" spans="1:18" x14ac:dyDescent="0.25">
      <c r="A67" s="1" t="s">
        <v>37</v>
      </c>
      <c r="B67" s="17">
        <f>'Rigid Bearing Plate Analysis'!B67</f>
        <v>142.90664013373075</v>
      </c>
      <c r="C67" t="s">
        <v>36</v>
      </c>
      <c r="D67" t="s">
        <v>122</v>
      </c>
      <c r="G67" s="20">
        <f ca="1">($B$56*$B$66*$B$55*$E$122)/$B$65</f>
        <v>142.90664303316521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-35.000142991494869</v>
      </c>
      <c r="R76">
        <f>Q76</f>
        <v>-35.000142991494869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35.000142991494869</v>
      </c>
      <c r="R77">
        <f>Q77</f>
        <v>35.000142991494869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-34.000142991494869</v>
      </c>
      <c r="C84" s="1">
        <f t="shared" ref="C84:C92" si="23">(-1*B73*SIN($B$64))+(C73*COS($B$64))</f>
        <v>-33.999857007903756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1.219635903243289E-4</v>
      </c>
    </row>
    <row r="85" spans="1:10" x14ac:dyDescent="0.25">
      <c r="A85" s="1">
        <f t="shared" si="21"/>
        <v>2</v>
      </c>
      <c r="B85" s="4">
        <f t="shared" si="22"/>
        <v>33.999857007903756</v>
      </c>
      <c r="C85" s="1">
        <f t="shared" si="23"/>
        <v>-34.000142991494869</v>
      </c>
      <c r="H85" s="1">
        <f t="shared" si="24"/>
        <v>2</v>
      </c>
      <c r="I85" s="4">
        <f t="shared" ref="I85:I92" si="25">(I74*COS($B$64))+(J74*SIN($B$64))</f>
        <v>-20.506013758943368</v>
      </c>
      <c r="J85" s="1">
        <f t="shared" ref="J85:J92" si="26">(-1*I74*SIN($B$64))+(J74*COS($B$64))</f>
        <v>20.506086241114499</v>
      </c>
    </row>
    <row r="86" spans="1:10" x14ac:dyDescent="0.25">
      <c r="A86" s="1">
        <f t="shared" si="21"/>
        <v>3</v>
      </c>
      <c r="B86" s="4">
        <f t="shared" si="22"/>
        <v>34.000142991494869</v>
      </c>
      <c r="C86" s="1">
        <f t="shared" si="23"/>
        <v>33.999857007903756</v>
      </c>
      <c r="H86" s="1">
        <f t="shared" si="24"/>
        <v>3</v>
      </c>
      <c r="I86" s="4">
        <f t="shared" si="25"/>
        <v>1.219635903243289E-4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-33.999857007903756</v>
      </c>
      <c r="C87" s="1">
        <f t="shared" si="23"/>
        <v>34.000142991494869</v>
      </c>
      <c r="H87" s="1">
        <f t="shared" si="24"/>
        <v>4</v>
      </c>
      <c r="I87" s="4">
        <f t="shared" si="25"/>
        <v>20.506086240693936</v>
      </c>
      <c r="J87" s="1">
        <f t="shared" si="26"/>
        <v>20.505913758943368</v>
      </c>
    </row>
    <row r="88" spans="1:10" x14ac:dyDescent="0.25">
      <c r="A88" s="1">
        <f t="shared" si="21"/>
        <v>5</v>
      </c>
      <c r="B88" s="4">
        <f t="shared" si="22"/>
        <v>-34.000142991494869</v>
      </c>
      <c r="C88" s="1">
        <f t="shared" si="23"/>
        <v>-33.999857007903756</v>
      </c>
      <c r="H88" s="1">
        <f t="shared" si="24"/>
        <v>5</v>
      </c>
      <c r="I88" s="4">
        <f t="shared" si="25"/>
        <v>28.999999999743533</v>
      </c>
      <c r="J88" s="1">
        <f t="shared" si="26"/>
        <v>-1.219635903243289E-4</v>
      </c>
    </row>
    <row r="89" spans="1:10" x14ac:dyDescent="0.25">
      <c r="A89" s="1">
        <f t="shared" si="21"/>
        <v>6</v>
      </c>
      <c r="B89" s="4">
        <f t="shared" si="22"/>
        <v>-34.000142991494869</v>
      </c>
      <c r="C89" s="1">
        <f t="shared" si="23"/>
        <v>-33.999857007903756</v>
      </c>
      <c r="H89" s="1">
        <f t="shared" si="24"/>
        <v>6</v>
      </c>
      <c r="I89" s="4">
        <f t="shared" si="25"/>
        <v>20.505913758522805</v>
      </c>
      <c r="J89" s="1">
        <f t="shared" si="26"/>
        <v>-20.506186240693935</v>
      </c>
    </row>
    <row r="90" spans="1:10" x14ac:dyDescent="0.25">
      <c r="A90" s="1">
        <f t="shared" si="21"/>
        <v>7</v>
      </c>
      <c r="B90" s="4">
        <f t="shared" si="22"/>
        <v>-34.000142991494869</v>
      </c>
      <c r="C90" s="1">
        <f t="shared" si="23"/>
        <v>-33.999857007903756</v>
      </c>
      <c r="H90" s="1">
        <f t="shared" si="24"/>
        <v>7</v>
      </c>
      <c r="I90" s="4">
        <f t="shared" si="25"/>
        <v>-1.219635903243289E-4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-34.000142991494869</v>
      </c>
      <c r="C91" s="1">
        <f t="shared" si="23"/>
        <v>-33.999857007903756</v>
      </c>
      <c r="H91" s="1">
        <f t="shared" si="24"/>
        <v>8</v>
      </c>
      <c r="I91" s="4">
        <f t="shared" si="25"/>
        <v>-20.506186241114499</v>
      </c>
      <c r="J91" s="1">
        <f t="shared" si="26"/>
        <v>-20.506013758522805</v>
      </c>
    </row>
    <row r="92" spans="1:10" x14ac:dyDescent="0.25">
      <c r="A92" s="1">
        <f t="shared" si="21"/>
        <v>9</v>
      </c>
      <c r="B92" s="4">
        <f t="shared" si="22"/>
        <v>-34.000142991494869</v>
      </c>
      <c r="C92" s="1">
        <f t="shared" si="23"/>
        <v>-33.999857007903756</v>
      </c>
      <c r="H92" s="1">
        <f t="shared" si="24"/>
        <v>9</v>
      </c>
      <c r="I92" s="4">
        <f t="shared" si="25"/>
        <v>-28.999999999743533</v>
      </c>
      <c r="J92" s="1">
        <f t="shared" si="26"/>
        <v>1.219635903243289E-4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27.040080874238175</v>
      </c>
      <c r="C110" s="1">
        <f>(-1*B95*SIN($B$64))+(C95*COS($B$64))</f>
        <v>19.229886279296057</v>
      </c>
      <c r="D110" t="str">
        <f t="shared" ref="D110" si="31">D95</f>
        <v>y</v>
      </c>
      <c r="E110" s="4">
        <f t="shared" ref="E110:E121" si="32">IF($D110="y",$B$125-C110,0)</f>
        <v>-1.2535115839797193</v>
      </c>
      <c r="F110" s="1">
        <f>IF($D110="y",B110,NA())</f>
        <v>27.040080874238175</v>
      </c>
      <c r="G110" s="1">
        <f>IF($D110="y",C110,NA())</f>
        <v>19.229886279296057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4.3667216301708573E-5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-27.042919125283529</v>
      </c>
      <c r="C111" s="1">
        <f t="shared" ref="C111:C121" si="37">(-1*B96*SIN($B$64))+(C96*COS($B$64))</f>
        <v>19.23011373298073</v>
      </c>
      <c r="D111" t="str">
        <f t="shared" si="35"/>
        <v>y</v>
      </c>
      <c r="E111" s="4">
        <f t="shared" si="32"/>
        <v>-1.253739037664392</v>
      </c>
      <c r="F111" s="1">
        <f t="shared" ref="F111:G121" si="38">IF($D111="y",B111,NA())</f>
        <v>-27.042919125283529</v>
      </c>
      <c r="G111" s="1">
        <f t="shared" si="38"/>
        <v>19.23011373298073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4.3675139857720468E-5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27.039919125283557</v>
      </c>
      <c r="C112" s="1">
        <f t="shared" si="37"/>
        <v>-19.230113720363811</v>
      </c>
      <c r="D112" t="str">
        <f t="shared" si="35"/>
        <v>y</v>
      </c>
      <c r="E112" s="4">
        <f t="shared" si="32"/>
        <v>37.206488415680148</v>
      </c>
      <c r="F112" s="1">
        <f t="shared" si="38"/>
        <v>27.039919125283557</v>
      </c>
      <c r="G112" s="1">
        <f t="shared" si="38"/>
        <v>-19.230113720363811</v>
      </c>
      <c r="H112">
        <f t="shared" si="33"/>
        <v>-122.07263860942486</v>
      </c>
      <c r="I112">
        <f t="shared" si="39"/>
        <v>2347.4707226041141</v>
      </c>
      <c r="J112">
        <f t="shared" si="40"/>
        <v>3300.8342754088153</v>
      </c>
      <c r="K112">
        <f t="shared" ref="K112:K121" ca="1" si="45">H112/$B$55</f>
        <v>-37.58753344841687</v>
      </c>
      <c r="L112">
        <f t="shared" ca="1" si="41"/>
        <v>-1.2961218430488576E-3</v>
      </c>
      <c r="M112">
        <f t="shared" si="34"/>
        <v>-1.2961218693458884E-3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-27.043080874238147</v>
      </c>
      <c r="C113" s="1">
        <f t="shared" si="37"/>
        <v>-19.229886266679138</v>
      </c>
      <c r="D113" t="str">
        <f t="shared" si="35"/>
        <v>y</v>
      </c>
      <c r="E113" s="4">
        <f t="shared" si="32"/>
        <v>37.206260961995476</v>
      </c>
      <c r="F113" s="1">
        <f t="shared" si="38"/>
        <v>-27.043080874238147</v>
      </c>
      <c r="G113" s="1">
        <f t="shared" si="38"/>
        <v>-19.229886266679138</v>
      </c>
      <c r="H113">
        <f t="shared" si="33"/>
        <v>-122.07189234519429</v>
      </c>
      <c r="I113">
        <f t="shared" si="39"/>
        <v>2347.4286061563857</v>
      </c>
      <c r="J113">
        <f t="shared" si="40"/>
        <v>-3301.2000571623817</v>
      </c>
      <c r="K113">
        <f t="shared" ca="1" si="45"/>
        <v>-37.587303665297185</v>
      </c>
      <c r="L113">
        <f t="shared" ca="1" si="41"/>
        <v>-1.2961139194930065E-3</v>
      </c>
      <c r="M113">
        <f t="shared" si="34"/>
        <v>-1.2961139457898765E-3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25.866095173428111</v>
      </c>
      <c r="C114" s="1">
        <f t="shared" si="37"/>
        <v>22.629891216688584</v>
      </c>
      <c r="D114" t="str">
        <f t="shared" si="35"/>
        <v>y</v>
      </c>
      <c r="E114" s="4">
        <f t="shared" si="32"/>
        <v>-4.6535165213722465</v>
      </c>
      <c r="F114" s="1">
        <f t="shared" si="38"/>
        <v>25.866095173428111</v>
      </c>
      <c r="G114" s="1">
        <f t="shared" si="38"/>
        <v>22.629891216688584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1.6210948115627787E-4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-25.864904826114397</v>
      </c>
      <c r="C115" s="1">
        <f t="shared" si="37"/>
        <v>22.630108778705516</v>
      </c>
      <c r="D115" t="str">
        <f t="shared" si="35"/>
        <v>y</v>
      </c>
      <c r="E115" s="4">
        <f t="shared" si="32"/>
        <v>-4.6537340833891783</v>
      </c>
      <c r="F115" s="1">
        <f t="shared" si="38"/>
        <v>-25.864904826114397</v>
      </c>
      <c r="G115" s="1">
        <f t="shared" si="38"/>
        <v>22.630108778705516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1.6211706012704593E-4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25.865904826114384</v>
      </c>
      <c r="C116" s="1">
        <f t="shared" si="37"/>
        <v>-22.630108782911158</v>
      </c>
      <c r="D116" t="str">
        <f t="shared" si="35"/>
        <v>y</v>
      </c>
      <c r="E116" s="4">
        <f t="shared" si="32"/>
        <v>40.606483478227496</v>
      </c>
      <c r="F116" s="1">
        <f t="shared" si="38"/>
        <v>25.865904826114384</v>
      </c>
      <c r="G116" s="1">
        <f t="shared" si="38"/>
        <v>-22.630108782911158</v>
      </c>
      <c r="H116">
        <f t="shared" si="33"/>
        <v>-133.22785336409802</v>
      </c>
      <c r="I116">
        <f t="shared" si="39"/>
        <v>3014.9608145432744</v>
      </c>
      <c r="J116">
        <f t="shared" si="40"/>
        <v>3446.0589753032828</v>
      </c>
      <c r="K116">
        <f t="shared" ca="1" si="45"/>
        <v>-41.02234908353315</v>
      </c>
      <c r="L116">
        <f t="shared" ca="1" si="41"/>
        <v>-1.4145637615011432E-3</v>
      </c>
      <c r="M116">
        <f t="shared" si="34"/>
        <v>-1.414563790201243E-3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-25.865095173428124</v>
      </c>
      <c r="C117" s="1">
        <f t="shared" si="37"/>
        <v>-22.629891220894226</v>
      </c>
      <c r="D117" t="str">
        <f t="shared" si="35"/>
        <v>y</v>
      </c>
      <c r="E117" s="4">
        <f t="shared" si="32"/>
        <v>40.60626591621056</v>
      </c>
      <c r="F117" s="1">
        <f t="shared" si="38"/>
        <v>-25.865095173428124</v>
      </c>
      <c r="G117" s="1">
        <f t="shared" si="38"/>
        <v>-22.629891220894226</v>
      </c>
      <c r="H117">
        <f t="shared" si="33"/>
        <v>-133.22713955393749</v>
      </c>
      <c r="I117">
        <f t="shared" si="39"/>
        <v>3014.9156757764999</v>
      </c>
      <c r="J117">
        <f t="shared" si="40"/>
        <v>-3445.9326442461838</v>
      </c>
      <c r="K117">
        <f t="shared" ca="1" si="45"/>
        <v>-41.022129293385326</v>
      </c>
      <c r="L117">
        <f t="shared" ca="1" si="41"/>
        <v>-1.4145561825305284E-3</v>
      </c>
      <c r="M117">
        <f t="shared" si="34"/>
        <v>-1.4145562112304749E-3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24.666107580079803</v>
      </c>
      <c r="C118" s="1">
        <f t="shared" si="37"/>
        <v>25.579896263431742</v>
      </c>
      <c r="D118" t="str">
        <f t="shared" si="35"/>
        <v>y</v>
      </c>
      <c r="E118" s="4">
        <f t="shared" si="32"/>
        <v>-7.6035215681154042</v>
      </c>
      <c r="F118" s="1">
        <f t="shared" si="38"/>
        <v>24.666107580079803</v>
      </c>
      <c r="G118" s="1">
        <f t="shared" si="38"/>
        <v>25.579896263431742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2.6487559047158637E-4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-24.665892419483914</v>
      </c>
      <c r="C119" s="1">
        <f t="shared" si="37"/>
        <v>25.580103736115809</v>
      </c>
      <c r="D119" t="str">
        <f t="shared" si="35"/>
        <v>y</v>
      </c>
      <c r="E119" s="4">
        <f t="shared" si="32"/>
        <v>-7.6037290407994718</v>
      </c>
      <c r="F119" s="1">
        <f t="shared" si="38"/>
        <v>-24.665892419483914</v>
      </c>
      <c r="G119" s="1">
        <f t="shared" si="38"/>
        <v>25.580103736115809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2.6488281797126622E-4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24.66589241948391</v>
      </c>
      <c r="C120" s="1">
        <f t="shared" si="37"/>
        <v>-25.580103736115809</v>
      </c>
      <c r="D120" t="str">
        <f t="shared" si="35"/>
        <v>y</v>
      </c>
      <c r="E120" s="4">
        <f t="shared" si="32"/>
        <v>43.556478431432147</v>
      </c>
      <c r="F120" s="1">
        <f t="shared" si="38"/>
        <v>24.66589241948391</v>
      </c>
      <c r="G120" s="1">
        <f t="shared" si="38"/>
        <v>-25.580103736115809</v>
      </c>
      <c r="H120">
        <f t="shared" si="33"/>
        <v>-142.90664013373075</v>
      </c>
      <c r="I120">
        <f t="shared" si="39"/>
        <v>3655.5666792006032</v>
      </c>
      <c r="J120">
        <f t="shared" si="40"/>
        <v>3524.9198115685044</v>
      </c>
      <c r="K120">
        <f t="shared" ca="1" si="45"/>
        <v>-44.002555996301368</v>
      </c>
      <c r="L120">
        <f t="shared" ca="1" si="41"/>
        <v>-1.5173295171138402E-3</v>
      </c>
      <c r="M120">
        <f t="shared" si="34"/>
        <v>-1.517329547898956E-3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-24.666107580079807</v>
      </c>
      <c r="C121" s="1">
        <f t="shared" si="37"/>
        <v>-25.579896263431742</v>
      </c>
      <c r="D121" t="str">
        <f t="shared" si="35"/>
        <v>y</v>
      </c>
      <c r="E121" s="4">
        <f t="shared" si="32"/>
        <v>43.55627095874808</v>
      </c>
      <c r="F121" s="1">
        <f t="shared" si="38"/>
        <v>-24.666107580079807</v>
      </c>
      <c r="G121" s="1">
        <f t="shared" si="38"/>
        <v>-25.579896263431742</v>
      </c>
      <c r="H121" s="23">
        <f t="shared" si="33"/>
        <v>-142.90595942616972</v>
      </c>
      <c r="I121" s="23">
        <f t="shared" si="39"/>
        <v>3655.5196175476067</v>
      </c>
      <c r="J121" s="23">
        <f t="shared" si="40"/>
        <v>-3524.9337690404222</v>
      </c>
      <c r="K121">
        <f t="shared" ca="1" si="45"/>
        <v>-44.0023463988149</v>
      </c>
      <c r="L121">
        <f t="shared" ca="1" si="41"/>
        <v>-1.5173222896143069E-3</v>
      </c>
      <c r="M121">
        <f t="shared" si="34"/>
        <v>-1.5173223203992761E-3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43.556478431432147</v>
      </c>
      <c r="H122">
        <f>SUM(H110:H121)</f>
        <v>-796.41212343255518</v>
      </c>
      <c r="I122">
        <f t="shared" ref="I122:J122" si="46">SUM(I110:I121)</f>
        <v>18035.862115828484</v>
      </c>
      <c r="J122">
        <f t="shared" si="46"/>
        <v>-0.25340816838524916</v>
      </c>
      <c r="L122">
        <f ca="1">MIN(L110:L121)</f>
        <v>-1.5173295171138402E-3</v>
      </c>
      <c r="M122">
        <f>MIN(M110:M121)</f>
        <v>-1.517329547898956E-3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17.976374695316338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-35.000142991494869</v>
      </c>
      <c r="G126" s="4">
        <f>B125</f>
        <v>17.976374695316338</v>
      </c>
    </row>
    <row r="127" spans="1:16" x14ac:dyDescent="0.25">
      <c r="F127" s="4">
        <f>MAX(B84:B90)+1</f>
        <v>35.000142991494869</v>
      </c>
      <c r="G127" s="4">
        <f>G126</f>
        <v>17.976374695316338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-34.000142991494869</v>
      </c>
      <c r="C132" s="4">
        <f>C84</f>
        <v>-33.999857007903756</v>
      </c>
      <c r="D132" s="4">
        <f t="shared" ref="D132:E139" si="47">B85</f>
        <v>33.999857007903756</v>
      </c>
      <c r="E132" s="4">
        <f t="shared" si="47"/>
        <v>-34.000142991494869</v>
      </c>
      <c r="F132" s="4">
        <f t="shared" ref="F132:F139" si="48">($B$66/$B$65)*(C132-$B$125)</f>
        <v>-5.7142405145136097</v>
      </c>
      <c r="G132" s="4">
        <f t="shared" ref="G132:G139" si="49">($B$66/$B$65)*(E132-$B$125)</f>
        <v>-5.7142719554043646</v>
      </c>
      <c r="H132" s="4">
        <f>IF(B132=D132,"V",(C132-E132)/(B132-D132))</f>
        <v>-4.2056410458081708E-6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33.999857007903756</v>
      </c>
      <c r="C133" s="4">
        <f t="shared" si="50"/>
        <v>-34.000142991494869</v>
      </c>
      <c r="D133" s="4">
        <f t="shared" si="47"/>
        <v>34.000142991494869</v>
      </c>
      <c r="E133" s="4">
        <f t="shared" si="47"/>
        <v>33.999857007903756</v>
      </c>
      <c r="F133" s="4">
        <f t="shared" si="48"/>
        <v>-5.7142719554043646</v>
      </c>
      <c r="G133" s="4">
        <f t="shared" si="49"/>
        <v>1.7616135070543542</v>
      </c>
      <c r="H133" s="4">
        <f t="shared" ref="H133:H139" si="51">IF(B133=D133,"V",(C133-E133)/(B133-D133))</f>
        <v>237775.87984992584</v>
      </c>
      <c r="I133" s="4">
        <f t="shared" ref="I133:I139" si="52">IF(H133="V",0,(-1*B133*H133)+C133)</f>
        <v>-8084379.914968974</v>
      </c>
      <c r="J133" s="4">
        <f t="shared" ref="J133:J139" si="53">IF($F133&gt;=0,B133,IF(AND($F133&lt;0,$G133&gt;=0),IF(H133="V",B133,($B$125-I133)/H133),0))</f>
        <v>34.000075602479953</v>
      </c>
      <c r="K133" s="4">
        <f t="shared" ref="K133:K139" si="54">IF($F133&gt;=0,C133,IF(AND($F133&lt;0,$G133&gt;=0),$B$125,0))</f>
        <v>17.976374695316338</v>
      </c>
      <c r="L133" s="4">
        <f t="shared" ref="L133:L139" si="55">IF($G133&gt;=0,D133,IF(AND($G133&lt;0,$F133&gt;=0),IF(H133="V",D133,($B$125-I133)/H133),0))</f>
        <v>34.000142991494869</v>
      </c>
      <c r="M133" s="4">
        <f t="shared" ref="M133:M139" si="56">IF($G133&gt;=0,E133,IF(AND($G133&lt;0,$F133&gt;=0),$B$125,0))</f>
        <v>33.999857007903756</v>
      </c>
      <c r="N133" s="4">
        <f t="shared" ref="N133:O139" si="57">IF(F133&lt;0,IF($I$54="Linear",0,$B$66),IF($I$54="Linear",F133,$B$66))</f>
        <v>0</v>
      </c>
      <c r="O133" s="4">
        <f t="shared" si="57"/>
        <v>1.7616135070543542</v>
      </c>
      <c r="P133" s="4">
        <f t="shared" ref="P133:P139" si="58">(1/6)*(M133-K133)*((N133*((2*J133)+L133))+(O133*(J133+(2*L133))))</f>
        <v>479.86380991217192</v>
      </c>
      <c r="Q133" s="4">
        <f t="shared" ref="Q133:Q139" si="59">((1/12)*(M133-K133)*(N133*J133*((3*K133)+M133)+N133*L133*(K133+M133)+O133*J133*(K133+M133)+O133*L133*(K133+(3*M133))))</f>
        <v>13752.272010086166</v>
      </c>
      <c r="R133" s="4">
        <f t="shared" ref="R133:R139" si="60">((-1/24)*(M133-K133)*(J133*J133*((3*N133)+O133)+2*J133*L133*(N133+O133)+L133*L133*(N133+(3*O133))))</f>
        <v>-8157.7136871388848</v>
      </c>
    </row>
    <row r="134" spans="1:18" x14ac:dyDescent="0.25">
      <c r="A134" t="s">
        <v>71</v>
      </c>
      <c r="B134" s="4">
        <f t="shared" si="50"/>
        <v>34.000142991494869</v>
      </c>
      <c r="C134" s="4">
        <f t="shared" si="50"/>
        <v>33.999857007903756</v>
      </c>
      <c r="D134" s="4">
        <f t="shared" si="47"/>
        <v>-33.999857007903756</v>
      </c>
      <c r="E134" s="4">
        <f t="shared" si="47"/>
        <v>34.000142991494869</v>
      </c>
      <c r="F134" s="4">
        <f t="shared" si="48"/>
        <v>1.7616135070543542</v>
      </c>
      <c r="G134" s="4">
        <f t="shared" si="49"/>
        <v>1.7616449479451088</v>
      </c>
      <c r="H134" s="4">
        <f t="shared" si="51"/>
        <v>-4.2056410458081708E-6</v>
      </c>
      <c r="I134" s="4">
        <f t="shared" si="52"/>
        <v>34.000000000300687</v>
      </c>
      <c r="J134" s="4">
        <f t="shared" si="53"/>
        <v>34.000142991494869</v>
      </c>
      <c r="K134" s="4">
        <f t="shared" si="54"/>
        <v>33.999857007903756</v>
      </c>
      <c r="L134" s="4">
        <f t="shared" si="55"/>
        <v>-33.999857007903756</v>
      </c>
      <c r="M134" s="4">
        <f t="shared" si="56"/>
        <v>34.000142991494869</v>
      </c>
      <c r="N134" s="4">
        <f t="shared" si="57"/>
        <v>1.7616135070543542</v>
      </c>
      <c r="O134" s="4">
        <f t="shared" si="57"/>
        <v>1.7616449479451088</v>
      </c>
      <c r="P134" s="4">
        <f t="shared" si="58"/>
        <v>2.1086565034460257E-8</v>
      </c>
      <c r="Q134" s="4">
        <f t="shared" si="59"/>
        <v>-9.9497033951490898E-8</v>
      </c>
      <c r="R134" s="4">
        <f t="shared" si="60"/>
        <v>-9.7064898814225239E-2</v>
      </c>
    </row>
    <row r="135" spans="1:18" x14ac:dyDescent="0.25">
      <c r="A135" t="s">
        <v>72</v>
      </c>
      <c r="B135" s="4">
        <f t="shared" si="50"/>
        <v>-33.999857007903756</v>
      </c>
      <c r="C135" s="4">
        <f t="shared" si="50"/>
        <v>34.000142991494869</v>
      </c>
      <c r="D135" s="4">
        <f t="shared" si="47"/>
        <v>-34.000142991494869</v>
      </c>
      <c r="E135" s="4">
        <f t="shared" si="47"/>
        <v>-33.999857007903756</v>
      </c>
      <c r="F135" s="4">
        <f t="shared" si="48"/>
        <v>1.7616449479451088</v>
      </c>
      <c r="G135" s="4">
        <f t="shared" si="49"/>
        <v>-5.7142405145136097</v>
      </c>
      <c r="H135" s="4">
        <f t="shared" si="51"/>
        <v>237775.87984992584</v>
      </c>
      <c r="I135" s="4">
        <f t="shared" si="52"/>
        <v>8084379.914968974</v>
      </c>
      <c r="J135" s="4">
        <f t="shared" si="53"/>
        <v>-33.999857007903756</v>
      </c>
      <c r="K135" s="4">
        <f t="shared" si="54"/>
        <v>34.000142991494869</v>
      </c>
      <c r="L135" s="4">
        <f t="shared" si="55"/>
        <v>-33.999924398121408</v>
      </c>
      <c r="M135" s="4">
        <f t="shared" si="56"/>
        <v>17.976374695316338</v>
      </c>
      <c r="N135" s="4">
        <f t="shared" si="57"/>
        <v>1.7616449479451088</v>
      </c>
      <c r="O135" s="4">
        <f t="shared" si="57"/>
        <v>0</v>
      </c>
      <c r="P135" s="4">
        <f t="shared" si="58"/>
        <v>479.87753676868653</v>
      </c>
      <c r="Q135" s="4">
        <f t="shared" si="59"/>
        <v>13752.755201909878</v>
      </c>
      <c r="R135" s="4">
        <f t="shared" si="60"/>
        <v>8157.8892055639317</v>
      </c>
    </row>
    <row r="136" spans="1:18" x14ac:dyDescent="0.25">
      <c r="A136" t="s">
        <v>73</v>
      </c>
      <c r="B136" s="4">
        <f t="shared" si="50"/>
        <v>-34.000142991494869</v>
      </c>
      <c r="C136" s="4">
        <f t="shared" si="50"/>
        <v>-33.999857007903756</v>
      </c>
      <c r="D136" s="4">
        <f t="shared" si="47"/>
        <v>-34.000142991494869</v>
      </c>
      <c r="E136" s="4">
        <f t="shared" si="47"/>
        <v>-33.999857007903756</v>
      </c>
      <c r="F136" s="4">
        <f t="shared" si="48"/>
        <v>-5.7142405145136097</v>
      </c>
      <c r="G136" s="4">
        <f t="shared" si="49"/>
        <v>-5.7142405145136097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-34.000142991494869</v>
      </c>
      <c r="C137" s="4">
        <f t="shared" si="50"/>
        <v>-33.999857007903756</v>
      </c>
      <c r="D137" s="4">
        <f t="shared" si="47"/>
        <v>-34.000142991494869</v>
      </c>
      <c r="E137" s="4">
        <f t="shared" si="47"/>
        <v>-33.999857007903756</v>
      </c>
      <c r="F137" s="4">
        <f t="shared" si="48"/>
        <v>-5.7142405145136097</v>
      </c>
      <c r="G137" s="4">
        <f t="shared" si="49"/>
        <v>-5.7142405145136097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-34.000142991494869</v>
      </c>
      <c r="C138" s="4">
        <f t="shared" si="50"/>
        <v>-33.999857007903756</v>
      </c>
      <c r="D138" s="4">
        <f t="shared" si="47"/>
        <v>-34.000142991494869</v>
      </c>
      <c r="E138" s="4">
        <f t="shared" si="47"/>
        <v>-33.999857007903756</v>
      </c>
      <c r="F138" s="4">
        <f t="shared" si="48"/>
        <v>-5.7142405145136097</v>
      </c>
      <c r="G138" s="4">
        <f t="shared" si="49"/>
        <v>-5.7142405145136097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-34.000142991494869</v>
      </c>
      <c r="C139" s="4">
        <f>E138</f>
        <v>-33.999857007903756</v>
      </c>
      <c r="D139" s="4">
        <f t="shared" si="47"/>
        <v>-34.000142991494869</v>
      </c>
      <c r="E139" s="4">
        <f t="shared" si="47"/>
        <v>-33.999857007903756</v>
      </c>
      <c r="F139" s="4">
        <f t="shared" si="48"/>
        <v>-5.7142405145136097</v>
      </c>
      <c r="G139" s="4">
        <f t="shared" si="49"/>
        <v>-5.7142405145136097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959.74134670194508</v>
      </c>
      <c r="Q140" s="4">
        <f>SUM(Q132:Q139)</f>
        <v>27505.027211896548</v>
      </c>
      <c r="R140" s="4">
        <f>SUM(R132:R139)</f>
        <v>7.8453526232806325E-2</v>
      </c>
    </row>
    <row r="142" spans="1:18" x14ac:dyDescent="0.25">
      <c r="O142" t="s">
        <v>96</v>
      </c>
      <c r="P142" s="1">
        <f>-1*R140/P140</f>
        <v>-8.1744447608101919E-5</v>
      </c>
    </row>
    <row r="143" spans="1:18" x14ac:dyDescent="0.25">
      <c r="O143" t="s">
        <v>97</v>
      </c>
      <c r="P143" s="1">
        <f>Q140/P140</f>
        <v>28.658791565472111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1.219635903243289E-4</v>
      </c>
      <c r="D146" s="9">
        <f t="shared" ref="D146:E153" si="61">I85</f>
        <v>-20.506013758943368</v>
      </c>
      <c r="E146">
        <f t="shared" si="61"/>
        <v>20.506086241114499</v>
      </c>
      <c r="F146" s="4">
        <f>($B$66/$B$65)*(C146-$B$125)</f>
        <v>-1.9763000951144536</v>
      </c>
      <c r="G146" s="4">
        <f>($B$66/$B$65)*(E146-$B$125)</f>
        <v>0.27811520249431909</v>
      </c>
      <c r="H146" s="4">
        <f>IF(B146=D146,"V",(C146-E146)/(B146-D146))</f>
        <v>2.4141744166037684</v>
      </c>
      <c r="I146" s="4">
        <f>IF(H146="V",0,(-1*B146*H146)+C146)</f>
        <v>70.011180044480454</v>
      </c>
      <c r="J146" s="4">
        <f>IF($F146&gt;=0,B146,IF(AND($F146&lt;0,$G146&gt;=0),IF(H146="V",B146,($B$125-I146)/H146),0))</f>
        <v>-21.553871580813972</v>
      </c>
      <c r="K146" s="4">
        <f>IF($F146&gt;=0,C146,IF(AND($F146&lt;0,$G146&gt;=0),$B$125,0))</f>
        <v>17.976374695316338</v>
      </c>
      <c r="L146" s="4">
        <f>IF($G146&gt;=0,D146,IF(AND($G146&lt;0,$F146&gt;=0),IF(H146="V",D146,($B$125-I146)/H146),0))</f>
        <v>-20.506013758943368</v>
      </c>
      <c r="M146" s="4">
        <f>IF($G146&gt;=0,E146,IF(AND($G146&lt;0,$F146&gt;=0),$B$125,0))</f>
        <v>20.506086241114499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0.27811520249431909</v>
      </c>
      <c r="P146" s="4">
        <f>(1/6)*(M146-K146)*((N146*((2*J146)+L146))+(O146*(J146+(2*L146))))</f>
        <v>-7.3363859697115839</v>
      </c>
      <c r="Q146" s="4">
        <f>((1/12)*(M146-K146)*(N146*J146*((3*K146)+M146)+N146*L146*(K146+M146)+O146*J146*(K146+M146)+O146*L146*(K146+(3*M146))))</f>
        <v>-144.20244556880832</v>
      </c>
      <c r="R146" s="4">
        <f>((-1/24)*(M146-K146)*(J146*J146*((3*N146)+O146)+2*J146*L146*(N146+O146)+L146*L146*(N146+(3*O146))))</f>
        <v>-76.511993270182728</v>
      </c>
    </row>
    <row r="147" spans="1:18" x14ac:dyDescent="0.25">
      <c r="A147" t="s">
        <v>70</v>
      </c>
      <c r="B147" s="9">
        <f t="shared" ref="B147:C153" si="62">D146</f>
        <v>-20.506013758943368</v>
      </c>
      <c r="C147">
        <f t="shared" si="62"/>
        <v>20.506086241114499</v>
      </c>
      <c r="D147" s="9">
        <f t="shared" si="61"/>
        <v>1.219635903243289E-4</v>
      </c>
      <c r="E147">
        <f t="shared" si="61"/>
        <v>28.999999999743533</v>
      </c>
      <c r="F147" s="4">
        <f t="shared" ref="F147:F153" si="63">($B$66/$B$65)*(C147-$B$125)</f>
        <v>0.27811520249431909</v>
      </c>
      <c r="G147" s="4">
        <f t="shared" ref="G147:G153" si="64">($B$66/$B$65)*(E147-$B$125)</f>
        <v>1.211931767024826</v>
      </c>
      <c r="H147" s="4">
        <f t="shared" ref="H147:H153" si="65">IF(B147=D147,"V",(C147-E147)/(B147-D147))</f>
        <v>0.41421328101789945</v>
      </c>
      <c r="I147" s="4">
        <f t="shared" ref="I147:I153" si="66">IF(H147="V",0,(-1*B147*H147)+C147)</f>
        <v>28.99994948080462</v>
      </c>
      <c r="J147" s="4">
        <f t="shared" ref="J147:J153" si="67">IF($F147&gt;=0,B147,IF(AND($F147&lt;0,$G147&gt;=0),IF(H147="V",B147,($B$125-I147)/H147),0))</f>
        <v>-20.506013758943368</v>
      </c>
      <c r="K147" s="4">
        <f t="shared" ref="K147:K153" si="68">IF($F147&gt;=0,C147,IF(AND($F147&lt;0,$G147&gt;=0),$B$125,0))</f>
        <v>20.506086241114499</v>
      </c>
      <c r="L147" s="4">
        <f t="shared" ref="L147:L153" si="69">IF($G147&gt;=0,D147,IF(AND($G147&lt;0,$F147&gt;=0),IF(H147="V",D147,($B$125-I147)/H147),0))</f>
        <v>1.219635903243289E-4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0.27811520249431909</v>
      </c>
      <c r="O147" s="4">
        <f t="shared" si="71"/>
        <v>1.211931767024826</v>
      </c>
      <c r="P147" s="4">
        <f t="shared" ref="P147:P153" si="72">(1/6)*(M147-K147)*((N147*((2*J147)+L147))+(O147*(J147+(2*L147))))</f>
        <v>-51.328194623245572</v>
      </c>
      <c r="Q147" s="4">
        <f t="shared" ref="Q147:Q153" si="73">((1/12)*(M147-K147)*(N147*J147*((3*K147)+M147)+N147*L147*(K147+M147)+O147*J147*(K147+M147)+O147*L147*(K147+(3*M147))))</f>
        <v>-1236.2402628586271</v>
      </c>
      <c r="R147" s="4">
        <f t="shared" ref="R147:R153" si="74">((-1/24)*(M147-K147)*(J147*J147*((3*N147)+O147)+2*J147*L147*(N147+O147)+L147*L147*(N147+(3*O147))))</f>
        <v>-304.52281435357935</v>
      </c>
    </row>
    <row r="148" spans="1:18" x14ac:dyDescent="0.25">
      <c r="A148" t="s">
        <v>71</v>
      </c>
      <c r="B148" s="9">
        <f t="shared" si="62"/>
        <v>1.219635903243289E-4</v>
      </c>
      <c r="C148">
        <f t="shared" si="62"/>
        <v>28.999999999743533</v>
      </c>
      <c r="D148" s="9">
        <f t="shared" si="61"/>
        <v>20.506086240693936</v>
      </c>
      <c r="E148">
        <f t="shared" si="61"/>
        <v>20.505913758943368</v>
      </c>
      <c r="F148" s="4">
        <f t="shared" si="63"/>
        <v>1.211931767024826</v>
      </c>
      <c r="G148" s="4">
        <f t="shared" si="64"/>
        <v>0.27809623989202936</v>
      </c>
      <c r="H148" s="4">
        <f t="shared" si="65"/>
        <v>-0.41422515547266531</v>
      </c>
      <c r="I148" s="4">
        <f t="shared" si="66"/>
        <v>29.000050520130696</v>
      </c>
      <c r="J148" s="4">
        <f t="shared" si="67"/>
        <v>1.219635903243289E-4</v>
      </c>
      <c r="K148" s="4">
        <f t="shared" si="68"/>
        <v>28.999999999743533</v>
      </c>
      <c r="L148" s="4">
        <f t="shared" si="69"/>
        <v>20.506086240693936</v>
      </c>
      <c r="M148" s="4">
        <f t="shared" si="70"/>
        <v>20.505913758943368</v>
      </c>
      <c r="N148" s="4">
        <f t="shared" si="71"/>
        <v>1.211931767024826</v>
      </c>
      <c r="O148" s="4">
        <f t="shared" si="71"/>
        <v>0.27809623989202936</v>
      </c>
      <c r="P148" s="4">
        <f t="shared" si="72"/>
        <v>-51.32925043600963</v>
      </c>
      <c r="Q148" s="4">
        <f t="shared" si="73"/>
        <v>-1236.2645723176538</v>
      </c>
      <c r="R148" s="4">
        <f t="shared" si="74"/>
        <v>304.52796040258141</v>
      </c>
    </row>
    <row r="149" spans="1:18" x14ac:dyDescent="0.25">
      <c r="A149" t="s">
        <v>72</v>
      </c>
      <c r="B149" s="9">
        <f t="shared" si="62"/>
        <v>20.506086240693936</v>
      </c>
      <c r="C149">
        <f t="shared" si="62"/>
        <v>20.505913758943368</v>
      </c>
      <c r="D149" s="9">
        <f t="shared" si="61"/>
        <v>28.999999999743533</v>
      </c>
      <c r="E149">
        <f t="shared" si="61"/>
        <v>-1.219635903243289E-4</v>
      </c>
      <c r="F149" s="4">
        <f t="shared" si="63"/>
        <v>0.27809623989202936</v>
      </c>
      <c r="G149" s="4">
        <f t="shared" si="64"/>
        <v>-1.9763269123448024</v>
      </c>
      <c r="H149" s="4">
        <f t="shared" si="65"/>
        <v>-2.4142034289771455</v>
      </c>
      <c r="I149" s="4">
        <f t="shared" si="66"/>
        <v>70.011777476127733</v>
      </c>
      <c r="J149" s="4">
        <f t="shared" si="67"/>
        <v>20.506086240693936</v>
      </c>
      <c r="K149" s="4">
        <f t="shared" si="68"/>
        <v>20.505913758943368</v>
      </c>
      <c r="L149" s="4">
        <f t="shared" si="69"/>
        <v>21.553860025316034</v>
      </c>
      <c r="M149" s="4">
        <f t="shared" si="70"/>
        <v>17.976374695316338</v>
      </c>
      <c r="N149" s="4">
        <f t="shared" si="71"/>
        <v>0.27809623989202936</v>
      </c>
      <c r="O149" s="4">
        <f t="shared" si="71"/>
        <v>0</v>
      </c>
      <c r="P149" s="4">
        <f t="shared" si="72"/>
        <v>-7.3354012179799417</v>
      </c>
      <c r="Q149" s="4">
        <f t="shared" si="73"/>
        <v>-144.18225380975554</v>
      </c>
      <c r="R149" s="4">
        <f t="shared" si="74"/>
        <v>76.501884540457525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-1.219635903243289E-4</v>
      </c>
      <c r="D150" s="9">
        <f t="shared" si="61"/>
        <v>20.505913758522805</v>
      </c>
      <c r="E150">
        <f t="shared" si="61"/>
        <v>-20.506186240693935</v>
      </c>
      <c r="F150" s="4">
        <f t="shared" si="63"/>
        <v>-1.9763269123448024</v>
      </c>
      <c r="G150" s="4">
        <f t="shared" si="64"/>
        <v>-4.2307532038565476</v>
      </c>
      <c r="H150" s="4">
        <f t="shared" si="65"/>
        <v>2.4141577675053818</v>
      </c>
      <c r="I150" s="4">
        <f t="shared" si="66"/>
        <v>-70.01069722062725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20.505913758522805</v>
      </c>
      <c r="C151">
        <f t="shared" si="62"/>
        <v>-20.506186240693935</v>
      </c>
      <c r="D151" s="9">
        <f t="shared" si="61"/>
        <v>-1.219635903243289E-4</v>
      </c>
      <c r="E151">
        <f t="shared" si="61"/>
        <v>-28.999999999743533</v>
      </c>
      <c r="F151" s="4">
        <f t="shared" si="63"/>
        <v>-4.2307532038565476</v>
      </c>
      <c r="G151" s="4">
        <f t="shared" si="64"/>
        <v>-5.1645587744840826</v>
      </c>
      <c r="H151" s="4">
        <f t="shared" si="65"/>
        <v>0.41421042439178574</v>
      </c>
      <c r="I151" s="4">
        <f t="shared" si="66"/>
        <v>-28.999949481153024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-1.219635903243289E-4</v>
      </c>
      <c r="C152">
        <f t="shared" si="62"/>
        <v>-28.999999999743533</v>
      </c>
      <c r="D152" s="9">
        <f t="shared" si="61"/>
        <v>-20.506186241114499</v>
      </c>
      <c r="E152">
        <f t="shared" si="61"/>
        <v>-20.506013758522805</v>
      </c>
      <c r="F152" s="4">
        <f t="shared" si="63"/>
        <v>-5.1645587744840826</v>
      </c>
      <c r="G152" s="4">
        <f t="shared" si="64"/>
        <v>-4.2307342412542583</v>
      </c>
      <c r="H152" s="4">
        <f t="shared" si="65"/>
        <v>-0.4142182588655311</v>
      </c>
      <c r="I152" s="4">
        <f t="shared" si="66"/>
        <v>-29.000050519289562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-20.506186241114499</v>
      </c>
      <c r="C153">
        <f t="shared" si="62"/>
        <v>-20.506013758522805</v>
      </c>
      <c r="D153" s="9">
        <f t="shared" si="61"/>
        <v>-28.999999999743533</v>
      </c>
      <c r="E153">
        <f t="shared" si="61"/>
        <v>1.219635903243289E-4</v>
      </c>
      <c r="F153" s="4">
        <f t="shared" si="63"/>
        <v>-4.2307342412542583</v>
      </c>
      <c r="G153" s="4">
        <f t="shared" si="64"/>
        <v>-1.9763000951144536</v>
      </c>
      <c r="H153" s="4">
        <f t="shared" si="65"/>
        <v>-2.4142436254009616</v>
      </c>
      <c r="I153" s="4">
        <f t="shared" si="66"/>
        <v>-70.012943172418389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-117.32923224694672</v>
      </c>
      <c r="Q154" s="4">
        <f t="shared" ref="Q154:R154" si="75">SUM(Q146:Q153)</f>
        <v>-2760.8895345548449</v>
      </c>
      <c r="R154" s="4">
        <f t="shared" si="75"/>
        <v>-4.9626807231106795E-3</v>
      </c>
    </row>
    <row r="156" spans="1:18" x14ac:dyDescent="0.25">
      <c r="O156" t="s">
        <v>96</v>
      </c>
      <c r="P156" s="1">
        <f>-1*R154/P154</f>
        <v>-4.2297052729924639E-5</v>
      </c>
    </row>
    <row r="157" spans="1:18" x14ac:dyDescent="0.25">
      <c r="O157" t="s">
        <v>97</v>
      </c>
      <c r="P157" s="1">
        <f>Q154/P154</f>
        <v>23.531131003601125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45.999991022443183</v>
      </c>
      <c r="C159" t="s">
        <v>36</v>
      </c>
    </row>
    <row r="160" spans="1:18" x14ac:dyDescent="0.25">
      <c r="A160" s="1" t="s">
        <v>106</v>
      </c>
      <c r="B160" s="4">
        <f>Q140+I122+Q154-O122</f>
        <v>42779.999793170187</v>
      </c>
      <c r="C160" t="s">
        <v>102</v>
      </c>
    </row>
    <row r="161" spans="1:9" x14ac:dyDescent="0.25">
      <c r="A161" s="1" t="s">
        <v>107</v>
      </c>
      <c r="B161" s="4">
        <f>R140+J122+R154-P122</f>
        <v>-0.17991732287555351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45.999991022443183</v>
      </c>
      <c r="C164" t="s">
        <v>36</v>
      </c>
      <c r="E164" s="8">
        <f>B2-B164</f>
        <v>8.97755681705803E-6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42779.999793548523</v>
      </c>
      <c r="C165" t="s">
        <v>102</v>
      </c>
      <c r="E165" s="8">
        <f>B3+B165</f>
        <v>-2.0645147742470726E-4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1.8979914861994018E-10</v>
      </c>
      <c r="C166" t="s">
        <v>102</v>
      </c>
      <c r="E166" s="8">
        <f>B4+B166</f>
        <v>1.8979914861994018E-10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1.7616449479451088</v>
      </c>
      <c r="B169" s="1">
        <f ca="1">IF(E122=0,0,(MIN(H110:H121)*B65)/(B55*B56*E122))</f>
        <v>-1.7616449122030751</v>
      </c>
      <c r="C169" s="3">
        <f ca="1">A169+B169</f>
        <v>3.5742033777097504E-8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6.2379737520462731E-14</v>
      </c>
      <c r="C175" s="27">
        <f>B65*SQRT(I175)</f>
        <v>2.3767089239138133E-7</v>
      </c>
      <c r="D175" s="27">
        <f>B66*SQRT(I175)</f>
        <v>2.6129417195500468E-8</v>
      </c>
      <c r="E175" s="27">
        <f>B67*SQRT(I175)</f>
        <v>2.1196480167113964E-6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4.205641108058649E-6</v>
      </c>
      <c r="C176" s="3">
        <f>B65+C175</f>
        <v>16.023768533849424</v>
      </c>
      <c r="D176" s="3">
        <f>D175+B66</f>
        <v>1.7616449740745261</v>
      </c>
      <c r="E176" s="3">
        <f>B67+E175</f>
        <v>142.90664225337878</v>
      </c>
      <c r="F176" s="16" t="s">
        <v>125</v>
      </c>
    </row>
    <row r="177" spans="1:13" x14ac:dyDescent="0.25">
      <c r="B177" s="27">
        <f>B176-B64</f>
        <v>6.2379737165378212E-14</v>
      </c>
      <c r="C177" s="27">
        <f>C176-B65</f>
        <v>2.3767089274429054E-7</v>
      </c>
      <c r="D177" s="27">
        <f>D176-B66</f>
        <v>2.6129417296516522E-8</v>
      </c>
      <c r="E177" s="27">
        <f>E176-B67</f>
        <v>2.1196480304297438E-6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-478.19631597606025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34.000945861969306</v>
      </c>
      <c r="B181" s="25">
        <f>(d_alpha_p!E136-d_alpha_m!E136)/(2*B177)</f>
        <v>34.000945861969306</v>
      </c>
      <c r="C181" s="25">
        <f>(d_alpha_p!E137-d_alpha_m!E137)/(2*B177)</f>
        <v>34.000945861969306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-8.97755681705803E-6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2.0645147742470726E-4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-1.8979914861994018E-10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-3.5742033777097504E-8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-478.19631597606025</v>
      </c>
      <c r="B190" s="25">
        <f>A181</f>
        <v>34.000945861969306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34.000945861969306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34.000945861969306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-478.19631597606025</v>
      </c>
      <c r="B201" s="25">
        <f t="shared" ref="B201:C201" si="77">B190</f>
        <v>34.000945861969306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34.000945861969306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34.000945861969306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42" workbookViewId="0">
      <selection activeCell="B67" sqref="B67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3" x14ac:dyDescent="0.25">
      <c r="A51" s="10" t="s">
        <v>8</v>
      </c>
      <c r="B51" s="17">
        <f>'Rigid Bearing Plate Analysis'!B51</f>
        <v>3</v>
      </c>
      <c r="C51" t="s">
        <v>11</v>
      </c>
    </row>
    <row r="52" spans="1:13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3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3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</row>
    <row r="55" spans="1:13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</row>
    <row r="56" spans="1:13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</row>
    <row r="57" spans="1:13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9.404474149780515E-12</v>
      </c>
      <c r="M57" s="17" t="str">
        <f ca="1">'Rigid Bearing Plate Analysis'!M57</f>
        <v>SOLUTION FOUND</v>
      </c>
    </row>
    <row r="58" spans="1:13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</row>
    <row r="59" spans="1:13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</row>
    <row r="60" spans="1:13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</row>
    <row r="61" spans="1:13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3" x14ac:dyDescent="0.25">
      <c r="A63" s="16" t="s">
        <v>38</v>
      </c>
    </row>
    <row r="64" spans="1:13" x14ac:dyDescent="0.25">
      <c r="A64" s="11" t="s">
        <v>39</v>
      </c>
      <c r="B64" s="17">
        <f>'Rigid Bearing Plate Analysis'!B64</f>
        <v>4.2056410456789119E-6</v>
      </c>
      <c r="C64" t="s">
        <v>19</v>
      </c>
      <c r="D64" t="s">
        <v>34</v>
      </c>
      <c r="H64" s="17">
        <f>DEGREES(B64)</f>
        <v>2.4096548206438791E-4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16.023768533849427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1.7616449479451088</v>
      </c>
      <c r="C66" t="s">
        <v>11</v>
      </c>
      <c r="D66">
        <f>B66/B53</f>
        <v>5.5820254483504551E-4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142.90664225337878</v>
      </c>
      <c r="C67" t="s">
        <v>36</v>
      </c>
      <c r="D67" t="s">
        <v>122</v>
      </c>
      <c r="G67" s="20">
        <f ca="1">($B$56*$B$66*$B$55*$E$122)/$B$65</f>
        <v>142.90664013373075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-35.000142991494869</v>
      </c>
      <c r="R76">
        <f>Q76</f>
        <v>-35.000142991494869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35.000142991494869</v>
      </c>
      <c r="R77">
        <f>Q77</f>
        <v>35.000142991494869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-34.000142991494869</v>
      </c>
      <c r="C84" s="1">
        <f t="shared" ref="C84:C92" si="23">(-1*B73*SIN($B$64))+(C73*COS($B$64))</f>
        <v>-33.999857007903756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1.219635903243289E-4</v>
      </c>
    </row>
    <row r="85" spans="1:10" x14ac:dyDescent="0.25">
      <c r="A85" s="1">
        <f t="shared" si="21"/>
        <v>2</v>
      </c>
      <c r="B85" s="4">
        <f t="shared" si="22"/>
        <v>33.999857007903756</v>
      </c>
      <c r="C85" s="1">
        <f t="shared" si="23"/>
        <v>-34.000142991494869</v>
      </c>
      <c r="H85" s="1">
        <f t="shared" si="24"/>
        <v>2</v>
      </c>
      <c r="I85" s="4">
        <f t="shared" ref="I85:I92" si="25">(I74*COS($B$64))+(J74*SIN($B$64))</f>
        <v>-20.506013758943368</v>
      </c>
      <c r="J85" s="1">
        <f t="shared" ref="J85:J92" si="26">(-1*I74*SIN($B$64))+(J74*COS($B$64))</f>
        <v>20.506086241114499</v>
      </c>
    </row>
    <row r="86" spans="1:10" x14ac:dyDescent="0.25">
      <c r="A86" s="1">
        <f t="shared" si="21"/>
        <v>3</v>
      </c>
      <c r="B86" s="4">
        <f t="shared" si="22"/>
        <v>34.000142991494869</v>
      </c>
      <c r="C86" s="1">
        <f t="shared" si="23"/>
        <v>33.999857007903756</v>
      </c>
      <c r="H86" s="1">
        <f t="shared" si="24"/>
        <v>3</v>
      </c>
      <c r="I86" s="4">
        <f t="shared" si="25"/>
        <v>1.219635903243289E-4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-33.999857007903756</v>
      </c>
      <c r="C87" s="1">
        <f t="shared" si="23"/>
        <v>34.000142991494869</v>
      </c>
      <c r="H87" s="1">
        <f t="shared" si="24"/>
        <v>4</v>
      </c>
      <c r="I87" s="4">
        <f t="shared" si="25"/>
        <v>20.506086240693936</v>
      </c>
      <c r="J87" s="1">
        <f t="shared" si="26"/>
        <v>20.505913758943368</v>
      </c>
    </row>
    <row r="88" spans="1:10" x14ac:dyDescent="0.25">
      <c r="A88" s="1">
        <f t="shared" si="21"/>
        <v>5</v>
      </c>
      <c r="B88" s="4">
        <f t="shared" si="22"/>
        <v>-34.000142991494869</v>
      </c>
      <c r="C88" s="1">
        <f t="shared" si="23"/>
        <v>-33.999857007903756</v>
      </c>
      <c r="H88" s="1">
        <f t="shared" si="24"/>
        <v>5</v>
      </c>
      <c r="I88" s="4">
        <f t="shared" si="25"/>
        <v>28.999999999743533</v>
      </c>
      <c r="J88" s="1">
        <f t="shared" si="26"/>
        <v>-1.219635903243289E-4</v>
      </c>
    </row>
    <row r="89" spans="1:10" x14ac:dyDescent="0.25">
      <c r="A89" s="1">
        <f t="shared" si="21"/>
        <v>6</v>
      </c>
      <c r="B89" s="4">
        <f t="shared" si="22"/>
        <v>-34.000142991494869</v>
      </c>
      <c r="C89" s="1">
        <f t="shared" si="23"/>
        <v>-33.999857007903756</v>
      </c>
      <c r="H89" s="1">
        <f t="shared" si="24"/>
        <v>6</v>
      </c>
      <c r="I89" s="4">
        <f t="shared" si="25"/>
        <v>20.505913758522805</v>
      </c>
      <c r="J89" s="1">
        <f t="shared" si="26"/>
        <v>-20.506186240693935</v>
      </c>
    </row>
    <row r="90" spans="1:10" x14ac:dyDescent="0.25">
      <c r="A90" s="1">
        <f t="shared" si="21"/>
        <v>7</v>
      </c>
      <c r="B90" s="4">
        <f t="shared" si="22"/>
        <v>-34.000142991494869</v>
      </c>
      <c r="C90" s="1">
        <f t="shared" si="23"/>
        <v>-33.999857007903756</v>
      </c>
      <c r="H90" s="1">
        <f t="shared" si="24"/>
        <v>7</v>
      </c>
      <c r="I90" s="4">
        <f t="shared" si="25"/>
        <v>-1.219635903243289E-4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-34.000142991494869</v>
      </c>
      <c r="C91" s="1">
        <f t="shared" si="23"/>
        <v>-33.999857007903756</v>
      </c>
      <c r="H91" s="1">
        <f t="shared" si="24"/>
        <v>8</v>
      </c>
      <c r="I91" s="4">
        <f t="shared" si="25"/>
        <v>-20.506186241114499</v>
      </c>
      <c r="J91" s="1">
        <f t="shared" si="26"/>
        <v>-20.506013758522805</v>
      </c>
    </row>
    <row r="92" spans="1:10" x14ac:dyDescent="0.25">
      <c r="A92" s="1">
        <f t="shared" si="21"/>
        <v>9</v>
      </c>
      <c r="B92" s="4">
        <f t="shared" si="22"/>
        <v>-34.000142991494869</v>
      </c>
      <c r="C92" s="1">
        <f t="shared" si="23"/>
        <v>-33.999857007903756</v>
      </c>
      <c r="H92" s="1">
        <f t="shared" si="24"/>
        <v>9</v>
      </c>
      <c r="I92" s="4">
        <f t="shared" si="25"/>
        <v>-28.999999999743533</v>
      </c>
      <c r="J92" s="1">
        <f t="shared" si="26"/>
        <v>1.219635903243289E-4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27.040080874238175</v>
      </c>
      <c r="C110" s="1">
        <f>(-1*B95*SIN($B$64))+(C95*COS($B$64))</f>
        <v>19.229886279296057</v>
      </c>
      <c r="D110" t="str">
        <f t="shared" ref="D110" si="31">D95</f>
        <v>y</v>
      </c>
      <c r="E110" s="4">
        <f t="shared" ref="E110:E121" si="32">IF($D110="y",$B$125-C110,0)</f>
        <v>-1.2535118216506156</v>
      </c>
      <c r="F110" s="1">
        <f>IF($D110="y",B110,NA())</f>
        <v>27.040080874238175</v>
      </c>
      <c r="G110" s="1">
        <f>IF($D110="y",C110,NA())</f>
        <v>19.229886279296057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4.3667223933500839E-5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-27.042919125283529</v>
      </c>
      <c r="C111" s="1">
        <f t="shared" ref="C111:C121" si="37">(-1*B96*SIN($B$64))+(C96*COS($B$64))</f>
        <v>19.23011373298073</v>
      </c>
      <c r="D111" t="str">
        <f t="shared" si="35"/>
        <v>y</v>
      </c>
      <c r="E111" s="4">
        <f t="shared" si="32"/>
        <v>-1.2537392753352883</v>
      </c>
      <c r="F111" s="1">
        <f t="shared" ref="F111:G121" si="38">IF($D111="y",B111,NA())</f>
        <v>-27.042919125283529</v>
      </c>
      <c r="G111" s="1">
        <f t="shared" si="38"/>
        <v>19.23011373298073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4.3675147489395206E-5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27.039919125283557</v>
      </c>
      <c r="C112" s="1">
        <f t="shared" si="37"/>
        <v>-19.230113720363811</v>
      </c>
      <c r="D112" t="str">
        <f t="shared" si="35"/>
        <v>y</v>
      </c>
      <c r="E112" s="4">
        <f t="shared" si="32"/>
        <v>37.206488178009252</v>
      </c>
      <c r="F112" s="1">
        <f t="shared" si="38"/>
        <v>27.039919125283557</v>
      </c>
      <c r="G112" s="1">
        <f t="shared" si="38"/>
        <v>-19.230113720363811</v>
      </c>
      <c r="H112">
        <f t="shared" si="33"/>
        <v>-122.0726403063716</v>
      </c>
      <c r="I112">
        <f t="shared" si="39"/>
        <v>2347.4707552365926</v>
      </c>
      <c r="J112">
        <f t="shared" si="40"/>
        <v>3300.8343212941177</v>
      </c>
      <c r="K112">
        <f t="shared" ref="K112:K121" ca="1" si="45">H112/$B$55</f>
        <v>-37.58753397092579</v>
      </c>
      <c r="L112">
        <f t="shared" ca="1" si="41"/>
        <v>-1.2961218610664064E-3</v>
      </c>
      <c r="M112">
        <f t="shared" si="34"/>
        <v>-1.2961218418418125E-3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-27.043080874238147</v>
      </c>
      <c r="C113" s="1">
        <f t="shared" si="37"/>
        <v>-19.229886266679138</v>
      </c>
      <c r="D113" t="str">
        <f t="shared" si="35"/>
        <v>y</v>
      </c>
      <c r="E113" s="4">
        <f t="shared" si="32"/>
        <v>37.206260724324579</v>
      </c>
      <c r="F113" s="1">
        <f t="shared" si="38"/>
        <v>-27.043080874238147</v>
      </c>
      <c r="G113" s="1">
        <f t="shared" si="38"/>
        <v>-19.229886266679138</v>
      </c>
      <c r="H113">
        <f t="shared" si="33"/>
        <v>-122.07189404212589</v>
      </c>
      <c r="I113">
        <f t="shared" si="39"/>
        <v>2347.4286387881875</v>
      </c>
      <c r="J113">
        <f t="shared" si="40"/>
        <v>-3301.2001030526403</v>
      </c>
      <c r="K113">
        <f t="shared" ca="1" si="45"/>
        <v>-37.587304187801443</v>
      </c>
      <c r="L113">
        <f t="shared" ca="1" si="41"/>
        <v>-1.2961139375103946E-3</v>
      </c>
      <c r="M113">
        <f t="shared" si="34"/>
        <v>-1.2961139182859182E-3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25.866095173428111</v>
      </c>
      <c r="C114" s="1">
        <f t="shared" si="37"/>
        <v>22.629891216688584</v>
      </c>
      <c r="D114" t="str">
        <f t="shared" si="35"/>
        <v>y</v>
      </c>
      <c r="E114" s="4">
        <f t="shared" si="32"/>
        <v>-4.6535167590431428</v>
      </c>
      <c r="F114" s="1">
        <f t="shared" si="38"/>
        <v>25.866095173428111</v>
      </c>
      <c r="G114" s="1">
        <f t="shared" si="38"/>
        <v>22.629891216688584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1.6210948703128744E-4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-25.864904826114397</v>
      </c>
      <c r="C115" s="1">
        <f t="shared" si="37"/>
        <v>22.630108778705516</v>
      </c>
      <c r="D115" t="str">
        <f t="shared" si="35"/>
        <v>y</v>
      </c>
      <c r="E115" s="4">
        <f t="shared" si="32"/>
        <v>-4.6537343210600746</v>
      </c>
      <c r="F115" s="1">
        <f t="shared" si="38"/>
        <v>-25.864904826114397</v>
      </c>
      <c r="G115" s="1">
        <f t="shared" si="38"/>
        <v>22.630108778705516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1.6211706600194309E-4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25.865904826114384</v>
      </c>
      <c r="C116" s="1">
        <f t="shared" si="37"/>
        <v>-22.630108782911158</v>
      </c>
      <c r="D116" t="str">
        <f t="shared" si="35"/>
        <v>y</v>
      </c>
      <c r="E116" s="4">
        <f t="shared" si="32"/>
        <v>40.606483240556599</v>
      </c>
      <c r="F116" s="1">
        <f t="shared" si="38"/>
        <v>25.865904826114384</v>
      </c>
      <c r="G116" s="1">
        <f t="shared" si="38"/>
        <v>-22.630108782911158</v>
      </c>
      <c r="H116">
        <f t="shared" si="33"/>
        <v>-133.22785528737305</v>
      </c>
      <c r="I116">
        <f t="shared" si="39"/>
        <v>3014.9608580671975</v>
      </c>
      <c r="J116">
        <f t="shared" si="40"/>
        <v>3446.0590250505311</v>
      </c>
      <c r="K116">
        <f t="shared" ca="1" si="45"/>
        <v>-41.022349675731078</v>
      </c>
      <c r="L116">
        <f t="shared" ca="1" si="41"/>
        <v>-1.4145637819217613E-3</v>
      </c>
      <c r="M116">
        <f t="shared" si="34"/>
        <v>-1.4145637609403897E-3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-25.865095173428124</v>
      </c>
      <c r="C117" s="1">
        <f t="shared" si="37"/>
        <v>-22.629891220894226</v>
      </c>
      <c r="D117" t="str">
        <f t="shared" si="35"/>
        <v>y</v>
      </c>
      <c r="E117" s="4">
        <f t="shared" si="32"/>
        <v>40.606265678539671</v>
      </c>
      <c r="F117" s="1">
        <f t="shared" si="38"/>
        <v>-25.865095173428124</v>
      </c>
      <c r="G117" s="1">
        <f t="shared" si="38"/>
        <v>-22.629891220894226</v>
      </c>
      <c r="H117">
        <f t="shared" si="33"/>
        <v>-133.22714147719805</v>
      </c>
      <c r="I117">
        <f t="shared" si="39"/>
        <v>3014.9157192996772</v>
      </c>
      <c r="J117">
        <f t="shared" si="40"/>
        <v>-3445.9326939915009</v>
      </c>
      <c r="K117">
        <f t="shared" ca="1" si="45"/>
        <v>-41.022129885578806</v>
      </c>
      <c r="L117">
        <f t="shared" ca="1" si="41"/>
        <v>-1.4145562029509932E-3</v>
      </c>
      <c r="M117">
        <f t="shared" si="34"/>
        <v>-1.4145561819697342E-3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24.666107580079803</v>
      </c>
      <c r="C118" s="1">
        <f t="shared" si="37"/>
        <v>25.579896263431742</v>
      </c>
      <c r="D118" t="str">
        <f t="shared" si="35"/>
        <v>y</v>
      </c>
      <c r="E118" s="4">
        <f t="shared" si="32"/>
        <v>-7.6035218057863005</v>
      </c>
      <c r="F118" s="1">
        <f t="shared" si="38"/>
        <v>24.666107580079803</v>
      </c>
      <c r="G118" s="1">
        <f t="shared" si="38"/>
        <v>25.579896263431742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2.6487559482232825E-4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-24.665892419483914</v>
      </c>
      <c r="C119" s="1">
        <f t="shared" si="37"/>
        <v>25.580103736115809</v>
      </c>
      <c r="D119" t="str">
        <f t="shared" si="35"/>
        <v>y</v>
      </c>
      <c r="E119" s="4">
        <f t="shared" si="32"/>
        <v>-7.6037292784703681</v>
      </c>
      <c r="F119" s="1">
        <f t="shared" si="38"/>
        <v>-24.665892419483914</v>
      </c>
      <c r="G119" s="1">
        <f t="shared" si="38"/>
        <v>25.580103736115809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2.6488282232190087E-4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24.66589241948391</v>
      </c>
      <c r="C120" s="1">
        <f t="shared" si="37"/>
        <v>-25.580103736115809</v>
      </c>
      <c r="D120" t="str">
        <f t="shared" si="35"/>
        <v>y</v>
      </c>
      <c r="E120" s="4">
        <f t="shared" si="32"/>
        <v>43.556478193761251</v>
      </c>
      <c r="F120" s="1">
        <f t="shared" si="38"/>
        <v>24.66589241948391</v>
      </c>
      <c r="G120" s="1">
        <f t="shared" si="38"/>
        <v>-25.580103736115809</v>
      </c>
      <c r="H120">
        <f t="shared" si="33"/>
        <v>-142.90664225337878</v>
      </c>
      <c r="I120">
        <f t="shared" si="39"/>
        <v>3655.5667334214199</v>
      </c>
      <c r="J120">
        <f t="shared" si="40"/>
        <v>3524.9198638515145</v>
      </c>
      <c r="K120">
        <f t="shared" ca="1" si="45"/>
        <v>-44.002556648964749</v>
      </c>
      <c r="L120">
        <f t="shared" ca="1" si="41"/>
        <v>-1.5173295396194741E-3</v>
      </c>
      <c r="M120">
        <f t="shared" si="34"/>
        <v>-1.51732951711384E-3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-24.666107580079807</v>
      </c>
      <c r="C121" s="1">
        <f t="shared" si="37"/>
        <v>-25.579896263431742</v>
      </c>
      <c r="D121" t="str">
        <f t="shared" si="35"/>
        <v>y</v>
      </c>
      <c r="E121" s="4">
        <f t="shared" si="32"/>
        <v>43.556270721077183</v>
      </c>
      <c r="F121" s="1">
        <f t="shared" si="38"/>
        <v>-24.666107580079807</v>
      </c>
      <c r="G121" s="1">
        <f t="shared" si="38"/>
        <v>-25.579896263431742</v>
      </c>
      <c r="H121" s="23">
        <f t="shared" si="33"/>
        <v>-142.90596154580396</v>
      </c>
      <c r="I121" s="23">
        <f t="shared" si="39"/>
        <v>3655.5196717676308</v>
      </c>
      <c r="J121" s="23">
        <f t="shared" si="40"/>
        <v>-3524.9338213235483</v>
      </c>
      <c r="K121">
        <f t="shared" ca="1" si="45"/>
        <v>-44.00234705147404</v>
      </c>
      <c r="L121">
        <f t="shared" ca="1" si="41"/>
        <v>-1.5173223121197944E-3</v>
      </c>
      <c r="M121">
        <f t="shared" si="34"/>
        <v>-1.5173222896142674E-3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43.556478193761251</v>
      </c>
      <c r="H122">
        <f>SUM(H110:H121)</f>
        <v>-796.4121349122513</v>
      </c>
      <c r="I122">
        <f t="shared" ref="I122:J122" si="46">SUM(I110:I121)</f>
        <v>18035.862376580706</v>
      </c>
      <c r="J122">
        <f t="shared" si="46"/>
        <v>-0.25340817152618911</v>
      </c>
      <c r="L122">
        <f ca="1">MIN(L110:L121)</f>
        <v>-1.5173295396194741E-3</v>
      </c>
      <c r="M122">
        <f>MIN(M110:M121)</f>
        <v>-1.51732951711384E-3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17.976374457645441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-35.000142991494869</v>
      </c>
      <c r="G126" s="4">
        <f>B125</f>
        <v>17.976374457645441</v>
      </c>
    </row>
    <row r="127" spans="1:16" x14ac:dyDescent="0.25">
      <c r="F127" s="4">
        <f>MAX(B84:B90)+1</f>
        <v>35.000142991494869</v>
      </c>
      <c r="G127" s="4">
        <f>G126</f>
        <v>17.976374457645441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-34.000142991494869</v>
      </c>
      <c r="C132" s="4">
        <f>C84</f>
        <v>-33.999857007903756</v>
      </c>
      <c r="D132" s="4">
        <f t="shared" ref="D132:E139" si="47">B85</f>
        <v>33.999857007903756</v>
      </c>
      <c r="E132" s="4">
        <f t="shared" si="47"/>
        <v>-34.000142991494869</v>
      </c>
      <c r="F132" s="4">
        <f t="shared" ref="F132:F139" si="48">($B$66/$B$65)*(C132-$B$125)</f>
        <v>-5.7142404036283088</v>
      </c>
      <c r="G132" s="4">
        <f t="shared" ref="G132:G139" si="49">($B$66/$B$65)*(E132-$B$125)</f>
        <v>-5.7142718445185974</v>
      </c>
      <c r="H132" s="4">
        <f>IF(B132=D132,"V",(C132-E132)/(B132-D132))</f>
        <v>-4.2056410458081708E-6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33.999857007903756</v>
      </c>
      <c r="C133" s="4">
        <f t="shared" si="50"/>
        <v>-34.000142991494869</v>
      </c>
      <c r="D133" s="4">
        <f t="shared" si="47"/>
        <v>34.000142991494869</v>
      </c>
      <c r="E133" s="4">
        <f t="shared" si="47"/>
        <v>33.999857007903756</v>
      </c>
      <c r="F133" s="4">
        <f t="shared" si="48"/>
        <v>-5.7142718445185974</v>
      </c>
      <c r="G133" s="4">
        <f t="shared" si="49"/>
        <v>1.7616135070548204</v>
      </c>
      <c r="H133" s="4">
        <f t="shared" ref="H133:H139" si="51">IF(B133=D133,"V",(C133-E133)/(B133-D133))</f>
        <v>237775.87984992584</v>
      </c>
      <c r="I133" s="4">
        <f t="shared" ref="I133:I139" si="52">IF(H133="V",0,(-1*B133*H133)+C133)</f>
        <v>-8084379.914968974</v>
      </c>
      <c r="J133" s="4">
        <f t="shared" ref="J133:J139" si="53">IF($F133&gt;=0,B133,IF(AND($F133&lt;0,$G133&gt;=0),IF(H133="V",B133,($B$125-I133)/H133),0))</f>
        <v>34.000075602478958</v>
      </c>
      <c r="K133" s="4">
        <f t="shared" ref="K133:K139" si="54">IF($F133&gt;=0,C133,IF(AND($F133&lt;0,$G133&gt;=0),$B$125,0))</f>
        <v>17.976374457645441</v>
      </c>
      <c r="L133" s="4">
        <f t="shared" ref="L133:L139" si="55">IF($G133&gt;=0,D133,IF(AND($G133&lt;0,$F133&gt;=0),IF(H133="V",D133,($B$125-I133)/H133),0))</f>
        <v>34.000142991494869</v>
      </c>
      <c r="M133" s="4">
        <f t="shared" ref="M133:M139" si="56">IF($G133&gt;=0,E133,IF(AND($G133&lt;0,$F133&gt;=0),$B$125,0))</f>
        <v>33.999857007903756</v>
      </c>
      <c r="N133" s="4">
        <f t="shared" ref="N133:O139" si="57">IF(F133&lt;0,IF($I$54="Linear",0,$B$66),IF($I$54="Linear",F133,$B$66))</f>
        <v>0</v>
      </c>
      <c r="O133" s="4">
        <f t="shared" si="57"/>
        <v>1.7616135070548204</v>
      </c>
      <c r="P133" s="4">
        <f t="shared" ref="P133:P139" si="58">(1/6)*(M133-K133)*((N133*((2*J133)+L133))+(O133*(J133+(2*L133))))</f>
        <v>479.86381702995192</v>
      </c>
      <c r="Q133" s="4">
        <f t="shared" ref="Q133:Q139" si="59">((1/12)*(M133-K133)*(N133*J133*((3*K133)+M133)+N133*L133*(K133+M133)+O133*J133*(K133+M133)+O133*L133*(K133+(3*M133))))</f>
        <v>13752.272176055945</v>
      </c>
      <c r="R133" s="4">
        <f t="shared" ref="R133:R139" si="60">((-1/24)*(M133-K133)*(J133*J133*((3*N133)+O133)+2*J133*L133*(N133+O133)+L133*L133*(N133+(3*O133))))</f>
        <v>-8157.7138081414942</v>
      </c>
    </row>
    <row r="134" spans="1:18" x14ac:dyDescent="0.25">
      <c r="A134" t="s">
        <v>71</v>
      </c>
      <c r="B134" s="4">
        <f t="shared" si="50"/>
        <v>34.000142991494869</v>
      </c>
      <c r="C134" s="4">
        <f t="shared" si="50"/>
        <v>33.999857007903756</v>
      </c>
      <c r="D134" s="4">
        <f t="shared" si="47"/>
        <v>-33.999857007903756</v>
      </c>
      <c r="E134" s="4">
        <f t="shared" si="47"/>
        <v>34.000142991494869</v>
      </c>
      <c r="F134" s="4">
        <f t="shared" si="48"/>
        <v>1.7616135070548204</v>
      </c>
      <c r="G134" s="4">
        <f t="shared" si="49"/>
        <v>1.7616449479451088</v>
      </c>
      <c r="H134" s="4">
        <f t="shared" si="51"/>
        <v>-4.2056410458081708E-6</v>
      </c>
      <c r="I134" s="4">
        <f t="shared" si="52"/>
        <v>34.000000000300687</v>
      </c>
      <c r="J134" s="4">
        <f t="shared" si="53"/>
        <v>34.000142991494869</v>
      </c>
      <c r="K134" s="4">
        <f t="shared" si="54"/>
        <v>33.999857007903756</v>
      </c>
      <c r="L134" s="4">
        <f t="shared" si="55"/>
        <v>-33.999857007903756</v>
      </c>
      <c r="M134" s="4">
        <f t="shared" si="56"/>
        <v>34.000142991494869</v>
      </c>
      <c r="N134" s="4">
        <f t="shared" si="57"/>
        <v>1.7616135070548204</v>
      </c>
      <c r="O134" s="4">
        <f t="shared" si="57"/>
        <v>1.7616449479451088</v>
      </c>
      <c r="P134" s="4">
        <f t="shared" si="58"/>
        <v>2.1086565790038839E-8</v>
      </c>
      <c r="Q134" s="4">
        <f t="shared" si="59"/>
        <v>-9.9497008244885467E-8</v>
      </c>
      <c r="R134" s="4">
        <f t="shared" si="60"/>
        <v>-9.706489881423809E-2</v>
      </c>
    </row>
    <row r="135" spans="1:18" x14ac:dyDescent="0.25">
      <c r="A135" t="s">
        <v>72</v>
      </c>
      <c r="B135" s="4">
        <f t="shared" si="50"/>
        <v>-33.999857007903756</v>
      </c>
      <c r="C135" s="4">
        <f t="shared" si="50"/>
        <v>34.000142991494869</v>
      </c>
      <c r="D135" s="4">
        <f t="shared" si="47"/>
        <v>-34.000142991494869</v>
      </c>
      <c r="E135" s="4">
        <f t="shared" si="47"/>
        <v>-33.999857007903756</v>
      </c>
      <c r="F135" s="4">
        <f t="shared" si="48"/>
        <v>1.7616449479451088</v>
      </c>
      <c r="G135" s="4">
        <f t="shared" si="49"/>
        <v>-5.7142404036283088</v>
      </c>
      <c r="H135" s="4">
        <f t="shared" si="51"/>
        <v>237775.87984992584</v>
      </c>
      <c r="I135" s="4">
        <f t="shared" si="52"/>
        <v>8084379.914968974</v>
      </c>
      <c r="J135" s="4">
        <f t="shared" si="53"/>
        <v>-33.999857007903756</v>
      </c>
      <c r="K135" s="4">
        <f t="shared" si="54"/>
        <v>34.000142991494869</v>
      </c>
      <c r="L135" s="4">
        <f t="shared" si="55"/>
        <v>-33.99992439812241</v>
      </c>
      <c r="M135" s="4">
        <f t="shared" si="56"/>
        <v>17.976374457645441</v>
      </c>
      <c r="N135" s="4">
        <f t="shared" si="57"/>
        <v>1.7616449479451088</v>
      </c>
      <c r="O135" s="4">
        <f t="shared" si="57"/>
        <v>0</v>
      </c>
      <c r="P135" s="4">
        <f t="shared" si="58"/>
        <v>479.87754388642537</v>
      </c>
      <c r="Q135" s="4">
        <f t="shared" si="59"/>
        <v>13752.755367878673</v>
      </c>
      <c r="R135" s="4">
        <f t="shared" si="60"/>
        <v>8157.889326565145</v>
      </c>
    </row>
    <row r="136" spans="1:18" x14ac:dyDescent="0.25">
      <c r="A136" t="s">
        <v>73</v>
      </c>
      <c r="B136" s="4">
        <f t="shared" si="50"/>
        <v>-34.000142991494869</v>
      </c>
      <c r="C136" s="4">
        <f t="shared" si="50"/>
        <v>-33.999857007903756</v>
      </c>
      <c r="D136" s="4">
        <f t="shared" si="47"/>
        <v>-34.000142991494869</v>
      </c>
      <c r="E136" s="4">
        <f t="shared" si="47"/>
        <v>-33.999857007903756</v>
      </c>
      <c r="F136" s="4">
        <f t="shared" si="48"/>
        <v>-5.7142404036283088</v>
      </c>
      <c r="G136" s="4">
        <f t="shared" si="49"/>
        <v>-5.7142404036283088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-34.000142991494869</v>
      </c>
      <c r="C137" s="4">
        <f t="shared" si="50"/>
        <v>-33.999857007903756</v>
      </c>
      <c r="D137" s="4">
        <f t="shared" si="47"/>
        <v>-34.000142991494869</v>
      </c>
      <c r="E137" s="4">
        <f t="shared" si="47"/>
        <v>-33.999857007903756</v>
      </c>
      <c r="F137" s="4">
        <f t="shared" si="48"/>
        <v>-5.7142404036283088</v>
      </c>
      <c r="G137" s="4">
        <f t="shared" si="49"/>
        <v>-5.7142404036283088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-34.000142991494869</v>
      </c>
      <c r="C138" s="4">
        <f t="shared" si="50"/>
        <v>-33.999857007903756</v>
      </c>
      <c r="D138" s="4">
        <f t="shared" si="47"/>
        <v>-34.000142991494869</v>
      </c>
      <c r="E138" s="4">
        <f t="shared" si="47"/>
        <v>-33.999857007903756</v>
      </c>
      <c r="F138" s="4">
        <f t="shared" si="48"/>
        <v>-5.7142404036283088</v>
      </c>
      <c r="G138" s="4">
        <f t="shared" si="49"/>
        <v>-5.7142404036283088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-34.000142991494869</v>
      </c>
      <c r="C139" s="4">
        <f>E138</f>
        <v>-33.999857007903756</v>
      </c>
      <c r="D139" s="4">
        <f t="shared" si="47"/>
        <v>-34.000142991494869</v>
      </c>
      <c r="E139" s="4">
        <f t="shared" si="47"/>
        <v>-33.999857007903756</v>
      </c>
      <c r="F139" s="4">
        <f t="shared" si="48"/>
        <v>-5.7142404036283088</v>
      </c>
      <c r="G139" s="4">
        <f t="shared" si="49"/>
        <v>-5.7142404036283088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959.74136093746392</v>
      </c>
      <c r="Q140" s="4">
        <f>SUM(Q132:Q139)</f>
        <v>27505.027543835124</v>
      </c>
      <c r="R140" s="4">
        <f>SUM(R132:R139)</f>
        <v>7.8453524836731958E-2</v>
      </c>
    </row>
    <row r="142" spans="1:18" x14ac:dyDescent="0.25">
      <c r="O142" t="s">
        <v>96</v>
      </c>
      <c r="P142" s="1">
        <f>-1*R140/P140</f>
        <v>-8.1744444940978154E-5</v>
      </c>
    </row>
    <row r="143" spans="1:18" x14ac:dyDescent="0.25">
      <c r="O143" t="s">
        <v>97</v>
      </c>
      <c r="P143" s="1">
        <f>Q140/P140</f>
        <v>28.658791486248482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1.219635903243289E-4</v>
      </c>
      <c r="D146" s="9">
        <f t="shared" ref="D146:E153" si="61">I85</f>
        <v>-20.506013758943368</v>
      </c>
      <c r="E146">
        <f t="shared" si="61"/>
        <v>20.506086241114499</v>
      </c>
      <c r="F146" s="4">
        <f>($B$66/$B$65)*(C146-$B$125)</f>
        <v>-1.9763000396717685</v>
      </c>
      <c r="G146" s="4">
        <f>($B$66/$B$65)*(E146-$B$125)</f>
        <v>0.27811522449862119</v>
      </c>
      <c r="H146" s="4">
        <f>IF(B146=D146,"V",(C146-E146)/(B146-D146))</f>
        <v>2.4141744166037684</v>
      </c>
      <c r="I146" s="4">
        <f>IF(H146="V",0,(-1*B146*H146)+C146)</f>
        <v>70.011180044480454</v>
      </c>
      <c r="J146" s="4">
        <f>IF($F146&gt;=0,B146,IF(AND($F146&lt;0,$G146&gt;=0),IF(H146="V",B146,($B$125-I146)/H146),0))</f>
        <v>-21.553871679262077</v>
      </c>
      <c r="K146" s="4">
        <f>IF($F146&gt;=0,C146,IF(AND($F146&lt;0,$G146&gt;=0),$B$125,0))</f>
        <v>17.976374457645441</v>
      </c>
      <c r="L146" s="4">
        <f>IF($G146&gt;=0,D146,IF(AND($G146&lt;0,$F146&gt;=0),IF(H146="V",D146,($B$125-I146)/H146),0))</f>
        <v>-20.506013758943368</v>
      </c>
      <c r="M146" s="4">
        <f>IF($G146&gt;=0,E146,IF(AND($G146&lt;0,$F146&gt;=0),$B$125,0))</f>
        <v>20.506086241114499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0.27811522449862119</v>
      </c>
      <c r="P146" s="4">
        <f>(1/6)*(M146-K146)*((N146*((2*J146)+L146))+(O146*(J146+(2*L146))))</f>
        <v>-7.3363872509723249</v>
      </c>
      <c r="Q146" s="4">
        <f>((1/12)*(M146-K146)*(N146*J146*((3*K146)+M146)+N146*L146*(K146+M146)+O146*J146*(K146+M146)+O146*L146*(K146+(3*M146))))</f>
        <v>-144.20247016212954</v>
      </c>
      <c r="R146" s="4">
        <f>((-1/24)*(M146-K146)*(J146*J146*((3*N146)+O146)+2*J146*L146*(N146+O146)+L146*L146*(N146+(3*O146))))</f>
        <v>-76.512006754969647</v>
      </c>
    </row>
    <row r="147" spans="1:18" x14ac:dyDescent="0.25">
      <c r="A147" t="s">
        <v>70</v>
      </c>
      <c r="B147" s="9">
        <f t="shared" ref="B147:C153" si="62">D146</f>
        <v>-20.506013758943368</v>
      </c>
      <c r="C147">
        <f t="shared" si="62"/>
        <v>20.506086241114499</v>
      </c>
      <c r="D147" s="9">
        <f t="shared" si="61"/>
        <v>1.219635903243289E-4</v>
      </c>
      <c r="E147">
        <f t="shared" si="61"/>
        <v>28.999999999743533</v>
      </c>
      <c r="F147" s="4">
        <f t="shared" ref="F147:F153" si="63">($B$66/$B$65)*(C147-$B$125)</f>
        <v>0.27811522449862119</v>
      </c>
      <c r="G147" s="4">
        <f t="shared" ref="G147:G153" si="64">($B$66/$B$65)*(E147-$B$125)</f>
        <v>1.21193177517839</v>
      </c>
      <c r="H147" s="4">
        <f t="shared" ref="H147:H153" si="65">IF(B147=D147,"V",(C147-E147)/(B147-D147))</f>
        <v>0.41421328101789945</v>
      </c>
      <c r="I147" s="4">
        <f t="shared" ref="I147:I153" si="66">IF(H147="V",0,(-1*B147*H147)+C147)</f>
        <v>28.99994948080462</v>
      </c>
      <c r="J147" s="4">
        <f t="shared" ref="J147:J153" si="67">IF($F147&gt;=0,B147,IF(AND($F147&lt;0,$G147&gt;=0),IF(H147="V",B147,($B$125-I147)/H147),0))</f>
        <v>-20.506013758943368</v>
      </c>
      <c r="K147" s="4">
        <f t="shared" ref="K147:K153" si="68">IF($F147&gt;=0,C147,IF(AND($F147&lt;0,$G147&gt;=0),$B$125,0))</f>
        <v>20.506086241114499</v>
      </c>
      <c r="L147" s="4">
        <f t="shared" ref="L147:L153" si="69">IF($G147&gt;=0,D147,IF(AND($G147&lt;0,$F147&gt;=0),IF(H147="V",D147,($B$125-I147)/H147),0))</f>
        <v>1.219635903243289E-4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0.27811522449862119</v>
      </c>
      <c r="O147" s="4">
        <f t="shared" si="71"/>
        <v>1.21193177517839</v>
      </c>
      <c r="P147" s="4">
        <f t="shared" ref="P147:P153" si="72">(1/6)*(M147-K147)*((N147*((2*J147)+L147))+(O147*(J147+(2*L147))))</f>
        <v>-51.328196137474642</v>
      </c>
      <c r="Q147" s="4">
        <f t="shared" ref="Q147:Q153" si="73">((1/12)*(M147-K147)*(N147*J147*((3*K147)+M147)+N147*L147*(K147+M147)+O147*J147*(K147+M147)+O147*L147*(K147+(3*M147))))</f>
        <v>-1236.2402976275644</v>
      </c>
      <c r="R147" s="4">
        <f t="shared" ref="R147:R153" si="74">((-1/24)*(M147-K147)*(J147*J147*((3*N147)+O147)+2*J147*L147*(N147+O147)+L147*L147*(N147+(3*O147))))</f>
        <v>-304.52282539092403</v>
      </c>
    </row>
    <row r="148" spans="1:18" x14ac:dyDescent="0.25">
      <c r="A148" t="s">
        <v>71</v>
      </c>
      <c r="B148" s="9">
        <f t="shared" si="62"/>
        <v>1.219635903243289E-4</v>
      </c>
      <c r="C148">
        <f t="shared" si="62"/>
        <v>28.999999999743533</v>
      </c>
      <c r="D148" s="9">
        <f t="shared" si="61"/>
        <v>20.506086240693936</v>
      </c>
      <c r="E148">
        <f t="shared" si="61"/>
        <v>20.505913758943368</v>
      </c>
      <c r="F148" s="4">
        <f t="shared" si="63"/>
        <v>1.21193177517839</v>
      </c>
      <c r="G148" s="4">
        <f t="shared" si="64"/>
        <v>0.2780962618966128</v>
      </c>
      <c r="H148" s="4">
        <f t="shared" si="65"/>
        <v>-0.41422515547266531</v>
      </c>
      <c r="I148" s="4">
        <f t="shared" si="66"/>
        <v>29.000050520130696</v>
      </c>
      <c r="J148" s="4">
        <f t="shared" si="67"/>
        <v>1.219635903243289E-4</v>
      </c>
      <c r="K148" s="4">
        <f t="shared" si="68"/>
        <v>28.999999999743533</v>
      </c>
      <c r="L148" s="4">
        <f t="shared" si="69"/>
        <v>20.506086240693936</v>
      </c>
      <c r="M148" s="4">
        <f t="shared" si="70"/>
        <v>20.505913758943368</v>
      </c>
      <c r="N148" s="4">
        <f t="shared" si="71"/>
        <v>1.21193177517839</v>
      </c>
      <c r="O148" s="4">
        <f t="shared" si="71"/>
        <v>0.2780962618966128</v>
      </c>
      <c r="P148" s="4">
        <f t="shared" si="72"/>
        <v>-51.329251950304375</v>
      </c>
      <c r="Q148" s="4">
        <f t="shared" si="73"/>
        <v>-1236.2646070879434</v>
      </c>
      <c r="R148" s="4">
        <f t="shared" si="74"/>
        <v>304.52797144046053</v>
      </c>
    </row>
    <row r="149" spans="1:18" x14ac:dyDescent="0.25">
      <c r="A149" t="s">
        <v>72</v>
      </c>
      <c r="B149" s="9">
        <f t="shared" si="62"/>
        <v>20.506086240693936</v>
      </c>
      <c r="C149">
        <f t="shared" si="62"/>
        <v>20.505913758943368</v>
      </c>
      <c r="D149" s="9">
        <f t="shared" si="61"/>
        <v>28.999999999743533</v>
      </c>
      <c r="E149">
        <f t="shared" si="61"/>
        <v>-1.219635903243289E-4</v>
      </c>
      <c r="F149" s="4">
        <f t="shared" si="63"/>
        <v>0.2780962618966128</v>
      </c>
      <c r="G149" s="4">
        <f t="shared" si="64"/>
        <v>-1.9763268569017196</v>
      </c>
      <c r="H149" s="4">
        <f t="shared" si="65"/>
        <v>-2.4142034289771455</v>
      </c>
      <c r="I149" s="4">
        <f t="shared" si="66"/>
        <v>70.011777476127733</v>
      </c>
      <c r="J149" s="4">
        <f t="shared" si="67"/>
        <v>20.506086240693936</v>
      </c>
      <c r="K149" s="4">
        <f t="shared" si="68"/>
        <v>20.505913758943368</v>
      </c>
      <c r="L149" s="4">
        <f t="shared" si="69"/>
        <v>21.553860123762956</v>
      </c>
      <c r="M149" s="4">
        <f t="shared" si="70"/>
        <v>17.976374457645441</v>
      </c>
      <c r="N149" s="4">
        <f t="shared" si="71"/>
        <v>0.2780962618966128</v>
      </c>
      <c r="O149" s="4">
        <f t="shared" si="71"/>
        <v>0</v>
      </c>
      <c r="P149" s="4">
        <f t="shared" si="72"/>
        <v>-7.3354024991625257</v>
      </c>
      <c r="Q149" s="4">
        <f t="shared" si="73"/>
        <v>-144.18227840147466</v>
      </c>
      <c r="R149" s="4">
        <f t="shared" si="74"/>
        <v>76.501898024439456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-1.219635903243289E-4</v>
      </c>
      <c r="D150" s="9">
        <f t="shared" si="61"/>
        <v>20.505913758522805</v>
      </c>
      <c r="E150">
        <f t="shared" si="61"/>
        <v>-20.506186240693935</v>
      </c>
      <c r="F150" s="4">
        <f t="shared" si="63"/>
        <v>-1.9763268569017196</v>
      </c>
      <c r="G150" s="4">
        <f t="shared" si="64"/>
        <v>-4.2307531149749193</v>
      </c>
      <c r="H150" s="4">
        <f t="shared" si="65"/>
        <v>2.4141577675053818</v>
      </c>
      <c r="I150" s="4">
        <f t="shared" si="66"/>
        <v>-70.01069722062725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20.505913758522805</v>
      </c>
      <c r="C151">
        <f t="shared" si="62"/>
        <v>-20.506186240693935</v>
      </c>
      <c r="D151" s="9">
        <f t="shared" si="61"/>
        <v>-1.219635903243289E-4</v>
      </c>
      <c r="E151">
        <f t="shared" si="61"/>
        <v>-28.999999999743533</v>
      </c>
      <c r="F151" s="4">
        <f t="shared" si="63"/>
        <v>-4.2307531149749193</v>
      </c>
      <c r="G151" s="4">
        <f t="shared" si="64"/>
        <v>-5.1645586717518777</v>
      </c>
      <c r="H151" s="4">
        <f t="shared" si="65"/>
        <v>0.41421042439178574</v>
      </c>
      <c r="I151" s="4">
        <f t="shared" si="66"/>
        <v>-28.999949481153024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-1.219635903243289E-4</v>
      </c>
      <c r="C152">
        <f t="shared" si="62"/>
        <v>-28.999999999743533</v>
      </c>
      <c r="D152" s="9">
        <f t="shared" si="61"/>
        <v>-20.506186241114499</v>
      </c>
      <c r="E152">
        <f t="shared" si="61"/>
        <v>-20.506013758522805</v>
      </c>
      <c r="F152" s="4">
        <f t="shared" si="63"/>
        <v>-5.1645586717518777</v>
      </c>
      <c r="G152" s="4">
        <f t="shared" si="64"/>
        <v>-4.2307341523729107</v>
      </c>
      <c r="H152" s="4">
        <f t="shared" si="65"/>
        <v>-0.4142182588655311</v>
      </c>
      <c r="I152" s="4">
        <f t="shared" si="66"/>
        <v>-29.000050519289562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-20.506186241114499</v>
      </c>
      <c r="C153">
        <f t="shared" si="62"/>
        <v>-20.506013758522805</v>
      </c>
      <c r="D153" s="9">
        <f t="shared" si="61"/>
        <v>-28.999999999743533</v>
      </c>
      <c r="E153">
        <f t="shared" si="61"/>
        <v>1.219635903243289E-4</v>
      </c>
      <c r="F153" s="4">
        <f t="shared" si="63"/>
        <v>-4.2307341523729107</v>
      </c>
      <c r="G153" s="4">
        <f t="shared" si="64"/>
        <v>-1.9763000396717685</v>
      </c>
      <c r="H153" s="4">
        <f t="shared" si="65"/>
        <v>-2.4142436254009616</v>
      </c>
      <c r="I153" s="4">
        <f t="shared" si="66"/>
        <v>-70.012943172418389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-117.32923783791387</v>
      </c>
      <c r="Q154" s="4">
        <f t="shared" ref="Q154:R154" si="75">SUM(Q146:Q153)</f>
        <v>-2760.8896532791123</v>
      </c>
      <c r="R154" s="4">
        <f t="shared" si="75"/>
        <v>-4.9626809936995642E-3</v>
      </c>
    </row>
    <row r="156" spans="1:18" x14ac:dyDescent="0.25">
      <c r="O156" t="s">
        <v>96</v>
      </c>
      <c r="P156" s="1">
        <f>-1*R154/P154</f>
        <v>-4.2297053020623297E-5</v>
      </c>
    </row>
    <row r="157" spans="1:18" x14ac:dyDescent="0.25">
      <c r="O157" t="s">
        <v>97</v>
      </c>
      <c r="P157" s="1">
        <f>Q154/P154</f>
        <v>23.531130894186685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45.999988187298754</v>
      </c>
      <c r="C159" t="s">
        <v>36</v>
      </c>
    </row>
    <row r="160" spans="1:18" x14ac:dyDescent="0.25">
      <c r="A160" s="1" t="s">
        <v>106</v>
      </c>
      <c r="B160" s="4">
        <f>Q140+I122+Q154-O122</f>
        <v>42780.000267136718</v>
      </c>
      <c r="C160" t="s">
        <v>102</v>
      </c>
    </row>
    <row r="161" spans="1:9" x14ac:dyDescent="0.25">
      <c r="A161" s="1" t="s">
        <v>107</v>
      </c>
      <c r="B161" s="4">
        <f>R140+J122+R154-P122</f>
        <v>-0.17991732768315671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45.999988187298754</v>
      </c>
      <c r="C164" t="s">
        <v>36</v>
      </c>
      <c r="E164" s="8">
        <f>B2-B164</f>
        <v>1.1812701245617063E-5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42780.000267515054</v>
      </c>
      <c r="C165" t="s">
        <v>102</v>
      </c>
      <c r="E165" s="8">
        <f>B3+B165</f>
        <v>2.6751505356514826E-4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-2.6244709461220594E-9</v>
      </c>
      <c r="C166" t="s">
        <v>102</v>
      </c>
      <c r="E166" s="8">
        <f>B4+B166</f>
        <v>-2.6244709461220594E-9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1.7616449479451088</v>
      </c>
      <c r="B169" s="1">
        <f ca="1">IF(E122=0,0,(MIN(H110:H121)*B65)/(B55*B56*E122))</f>
        <v>-1.7616449740745266</v>
      </c>
      <c r="C169" s="3">
        <f ca="1">A169+B169</f>
        <v>-2.6129417740605732E-8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6.2379737520462731E-14</v>
      </c>
      <c r="C175" s="27">
        <f>B65*SQRT(I175)</f>
        <v>2.3767089591661043E-7</v>
      </c>
      <c r="D175" s="27">
        <f>B66*SQRT(I175)</f>
        <v>2.6129417195500468E-8</v>
      </c>
      <c r="E175" s="27">
        <f>B67*SQRT(I175)</f>
        <v>2.1196480481508576E-6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4.205641108058649E-6</v>
      </c>
      <c r="C176" s="3">
        <f>B65+C175</f>
        <v>16.023768771520324</v>
      </c>
      <c r="D176" s="3">
        <f>D175+B66</f>
        <v>1.7616449740745261</v>
      </c>
      <c r="E176" s="3">
        <f>B67+E175</f>
        <v>142.90664437302684</v>
      </c>
      <c r="F176" s="16" t="s">
        <v>125</v>
      </c>
    </row>
    <row r="177" spans="1:13" x14ac:dyDescent="0.25">
      <c r="B177" s="27">
        <f>B176-B64</f>
        <v>6.2379737165378212E-14</v>
      </c>
      <c r="C177" s="27">
        <f>C176-B65</f>
        <v>2.3767089629700422E-7</v>
      </c>
      <c r="D177" s="27">
        <f>D176-B66</f>
        <v>2.6129417296516522E-8</v>
      </c>
      <c r="E177" s="27">
        <f>E176-B67</f>
        <v>2.1196480588514532E-6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-478.19631597606025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34.000945861969306</v>
      </c>
      <c r="B181" s="25">
        <f>(d_alpha_p!E136-d_alpha_m!E136)/(2*B177)</f>
        <v>34.000945861969306</v>
      </c>
      <c r="C181" s="25">
        <f>(d_alpha_p!E137-d_alpha_m!E137)/(2*B177)</f>
        <v>34.000945861969306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-1.1812701245617063E-5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-2.6751505356514826E-4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2.6244709461220594E-9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2.6129417740605732E-8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-478.19631597606025</v>
      </c>
      <c r="B190" s="25">
        <f>A181</f>
        <v>34.000945861969306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34.000945861969306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34.000945861969306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-478.19631597606025</v>
      </c>
      <c r="B201" s="25">
        <f t="shared" ref="B201:C201" si="77">B190</f>
        <v>34.000945861969306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34.000945861969306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34.000945861969306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3" workbookViewId="0">
      <selection activeCell="B68" sqref="B68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46</v>
      </c>
      <c r="C2" t="s">
        <v>36</v>
      </c>
      <c r="D2" t="s">
        <v>103</v>
      </c>
      <c r="H2" t="s">
        <v>110</v>
      </c>
      <c r="I2">
        <f>B2/D22</f>
        <v>9.9480968858131485E-3</v>
      </c>
      <c r="J2" t="s">
        <v>11</v>
      </c>
    </row>
    <row r="3" spans="1:29" x14ac:dyDescent="0.25">
      <c r="A3" s="10" t="s">
        <v>79</v>
      </c>
      <c r="B3" s="17">
        <f>'Rigid Bearing Plate Analysis'!B3</f>
        <v>-42780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-0.8163291268064321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-0.806381029920619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34</v>
      </c>
      <c r="C9" s="17">
        <f>'Rigid Bearing Plate Analysis'!C9</f>
        <v>34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39.259818304894551</v>
      </c>
      <c r="L13" s="4">
        <f>SQRT(H22/D22)</f>
        <v>39.259818304894551</v>
      </c>
      <c r="M13" s="4">
        <f>SQRT(J22/D22)</f>
        <v>55.521767503085371</v>
      </c>
      <c r="N13" s="19">
        <f>G22-(D22*C9*C9)</f>
        <v>1781781.333333333</v>
      </c>
      <c r="O13" s="19">
        <f>H22-(D22*B9*B9)</f>
        <v>1781781.333333333</v>
      </c>
      <c r="P13" s="19">
        <f>I22-(D22*B9*C9)</f>
        <v>0</v>
      </c>
      <c r="Q13" s="19">
        <f>N13+O13</f>
        <v>3563562.666666666</v>
      </c>
      <c r="R13" s="19">
        <f>SQRT(ABS(N13/D22))</f>
        <v>19.629909152447276</v>
      </c>
      <c r="S13" s="19">
        <f>SQRT(O13/D22)</f>
        <v>19.629909152447276</v>
      </c>
      <c r="T13" s="19">
        <f>SQRT(Q13/D22)</f>
        <v>27.760883751542682</v>
      </c>
      <c r="U13" s="19">
        <f>N13/(MAX(C13:C20)-C9)</f>
        <v>52405.333333333321</v>
      </c>
      <c r="V13" s="19">
        <f>N13/(MIN(C13:C20)-C9)</f>
        <v>-52405.333333333321</v>
      </c>
      <c r="W13" s="19">
        <f>O13/(MIN(B13:B20)-B9)</f>
        <v>-52405.333333333321</v>
      </c>
      <c r="X13" s="19">
        <f>O13/(MAX(B13:B20)-B9)</f>
        <v>52405.333333333321</v>
      </c>
    </row>
    <row r="14" spans="1:29" x14ac:dyDescent="0.25">
      <c r="A14">
        <v>2</v>
      </c>
      <c r="B14" s="17">
        <f>'Rigid Bearing Plate Analysis'!B14</f>
        <v>68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-52405.333333333321</v>
      </c>
      <c r="Z14">
        <f>$O$13/(B14-$B$9)</f>
        <v>52405.333333333321</v>
      </c>
      <c r="AA14">
        <f>$B$3/Y14</f>
        <v>0.8163291268064321</v>
      </c>
      <c r="AB14">
        <f>$B$4/Z14</f>
        <v>0</v>
      </c>
      <c r="AC14">
        <f>$I$2+AA14+AB14</f>
        <v>0.82627722369224521</v>
      </c>
    </row>
    <row r="15" spans="1:29" x14ac:dyDescent="0.25">
      <c r="A15">
        <v>3</v>
      </c>
      <c r="B15" s="17">
        <f>'Rigid Bearing Plate Analysis'!B15</f>
        <v>68</v>
      </c>
      <c r="C15" s="17">
        <f>'Rigid Bearing Plate Analysis'!C15</f>
        <v>68</v>
      </c>
      <c r="D15" s="5">
        <f t="shared" ref="D15:D21" si="0">((B14*C15)-(B15*C14))*0.5</f>
        <v>2312</v>
      </c>
      <c r="E15" s="5">
        <f t="shared" ref="E15:E21" si="1">(B15+B14)*((B14*C15)-(B15*C14))*(1/6)</f>
        <v>104810.66666666666</v>
      </c>
      <c r="F15" s="5">
        <f t="shared" ref="F15:F21" si="2">(C15+C14)*((B14*C15)-(B15*C14))*(1/6)</f>
        <v>52405.333333333328</v>
      </c>
      <c r="G15" s="5">
        <f t="shared" ref="G15:G21" si="3">(((C14*C14)+(C14*C15)+(C15*C15))*((B14*C15)-(B15*C14)))/12</f>
        <v>1781781.3333333333</v>
      </c>
      <c r="H15" s="5">
        <f t="shared" ref="H15:H21" si="4">(((B14*B14)+(B14*B15)+(B15*B15))*((B14*C15)-(B15*C14)))/12</f>
        <v>5345344</v>
      </c>
      <c r="I15" s="5">
        <f t="shared" ref="I15:I21" si="5">(((B14*C15)+(2*B14*C14)+(2*B15*C15)+(B15*C14))*((B14*C15)-(B15*C14)))/24</f>
        <v>2672672</v>
      </c>
      <c r="J15" s="5">
        <f t="shared" ref="J15:J21" si="6">G15+H15</f>
        <v>7127125.333333333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52405.333333333321</v>
      </c>
      <c r="Z15">
        <f t="shared" ref="Z15:Z21" si="9">$O$13/(B15-$B$9)</f>
        <v>52405.333333333321</v>
      </c>
      <c r="AA15">
        <f t="shared" ref="AA15:AA20" si="10">$B$3/Y15</f>
        <v>-0.8163291268064321</v>
      </c>
      <c r="AB15">
        <f t="shared" ref="AB15:AB21" si="11">$B$4/Z15</f>
        <v>0</v>
      </c>
      <c r="AC15">
        <f t="shared" ref="AC15:AC20" si="12">$I$2+AA15+AB15</f>
        <v>-0.806381029920619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68</v>
      </c>
      <c r="D16" s="5">
        <f t="shared" si="0"/>
        <v>2312</v>
      </c>
      <c r="E16" s="5">
        <f t="shared" si="1"/>
        <v>52405.333333333328</v>
      </c>
      <c r="F16" s="5">
        <f t="shared" si="2"/>
        <v>104810.66666666666</v>
      </c>
      <c r="G16" s="5">
        <f t="shared" si="3"/>
        <v>5345344</v>
      </c>
      <c r="H16" s="5">
        <f t="shared" si="4"/>
        <v>1781781.3333333333</v>
      </c>
      <c r="I16" s="5">
        <f t="shared" si="5"/>
        <v>2672672</v>
      </c>
      <c r="J16" s="5">
        <f t="shared" si="6"/>
        <v>7127125.333333333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52405.333333333321</v>
      </c>
      <c r="Z16">
        <f t="shared" si="9"/>
        <v>-52405.333333333321</v>
      </c>
      <c r="AA16">
        <f t="shared" si="10"/>
        <v>-0.8163291268064321</v>
      </c>
      <c r="AB16">
        <f t="shared" si="11"/>
        <v>0</v>
      </c>
      <c r="AC16">
        <f t="shared" si="12"/>
        <v>-0.806381029920619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-52405.333333333321</v>
      </c>
      <c r="Z17">
        <f t="shared" si="9"/>
        <v>-52405.333333333321</v>
      </c>
      <c r="AA17">
        <f t="shared" si="10"/>
        <v>0.8163291268064321</v>
      </c>
      <c r="AB17">
        <f t="shared" si="11"/>
        <v>0</v>
      </c>
      <c r="AC17">
        <f t="shared" si="12"/>
        <v>0.82627722369224521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-52405.333333333321</v>
      </c>
      <c r="Z18">
        <f t="shared" si="9"/>
        <v>-52405.333333333321</v>
      </c>
      <c r="AA18">
        <f t="shared" si="10"/>
        <v>0.8163291268064321</v>
      </c>
      <c r="AB18">
        <f t="shared" si="11"/>
        <v>0</v>
      </c>
      <c r="AC18">
        <f t="shared" si="12"/>
        <v>0.82627722369224521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37.061467458920717</v>
      </c>
      <c r="O19">
        <f>F22+(O16*SIN(O17))</f>
        <v>30.938532541079283</v>
      </c>
      <c r="Q19">
        <f>E22+(R16*COS(R17))</f>
        <v>40.010407640085653</v>
      </c>
      <c r="R19">
        <f>F22+(R16*SIN(R17))</f>
        <v>27.989592359914344</v>
      </c>
      <c r="Y19" s="1">
        <f t="shared" si="8"/>
        <v>-52405.333333333321</v>
      </c>
      <c r="Z19">
        <f t="shared" si="9"/>
        <v>-52405.333333333321</v>
      </c>
      <c r="AA19">
        <f t="shared" si="10"/>
        <v>0.8163291268064321</v>
      </c>
      <c r="AB19">
        <f t="shared" si="11"/>
        <v>0</v>
      </c>
      <c r="AC19">
        <f t="shared" si="12"/>
        <v>0.82627722369224521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-52405.333333333321</v>
      </c>
      <c r="Z20">
        <f t="shared" si="9"/>
        <v>-52405.333333333321</v>
      </c>
      <c r="AA20">
        <f t="shared" si="10"/>
        <v>0.8163291268064321</v>
      </c>
      <c r="AB20">
        <f t="shared" si="11"/>
        <v>0</v>
      </c>
      <c r="AC20">
        <f t="shared" si="12"/>
        <v>0.82627722369224521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-52405.333333333321</v>
      </c>
      <c r="AB21">
        <f t="shared" si="11"/>
        <v>0</v>
      </c>
    </row>
    <row r="22" spans="1:29" x14ac:dyDescent="0.25">
      <c r="D22" s="5">
        <f>SUM(D13:D21)</f>
        <v>4624</v>
      </c>
      <c r="E22" s="5">
        <f>SUM(E14:E21)/D22</f>
        <v>34</v>
      </c>
      <c r="F22" s="5">
        <f>SUM(F14:F21)/D22</f>
        <v>34</v>
      </c>
      <c r="G22" s="5">
        <f>SUM(G14:G21)</f>
        <v>7127125.333333333</v>
      </c>
      <c r="H22" s="5">
        <f>SUM(H14:H21)</f>
        <v>7127125.333333333</v>
      </c>
      <c r="I22" s="5">
        <f>SUM(I14:I21)</f>
        <v>5345344</v>
      </c>
      <c r="J22" s="5">
        <f>SUM(J14:J21)</f>
        <v>14254250.666666666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34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13.4939</v>
      </c>
      <c r="C26" s="17">
        <f>'Rigid Bearing Plate Analysis'!C26</f>
        <v>54.506</v>
      </c>
      <c r="D26" s="5">
        <f>((B25*C26)-(B26*C25))*0.5</f>
        <v>-93.13130000000001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34</v>
      </c>
      <c r="C27" s="17">
        <f>'Rigid Bearing Plate Analysis'!C27</f>
        <v>63</v>
      </c>
      <c r="D27" s="5">
        <f t="shared" ref="D27:D33" si="13">((B26*C27)-(B27*C26))*0.5</f>
        <v>-501.54415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54.506</v>
      </c>
      <c r="C28" s="17">
        <f>'Rigid Bearing Plate Analysis'!C28</f>
        <v>54.506</v>
      </c>
      <c r="D28" s="5">
        <f t="shared" si="13"/>
        <v>-790.3370000000001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63</v>
      </c>
      <c r="C29" s="17">
        <f>'Rigid Bearing Plate Analysis'!C29</f>
        <v>34</v>
      </c>
      <c r="D29" s="5">
        <f t="shared" si="13"/>
        <v>-790.3370000000001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54.506</v>
      </c>
      <c r="C30" s="17">
        <f>'Rigid Bearing Plate Analysis'!C30</f>
        <v>13.4939</v>
      </c>
      <c r="D30" s="5">
        <f t="shared" si="13"/>
        <v>-501.54415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34</v>
      </c>
      <c r="C31" s="17">
        <f>'Rigid Bearing Plate Analysis'!C31</f>
        <v>5</v>
      </c>
      <c r="D31" s="5">
        <f t="shared" si="13"/>
        <v>-93.13130000000001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13.4939</v>
      </c>
      <c r="C32" s="17">
        <f>'Rigid Bearing Plate Analysis'!C32</f>
        <v>13.4939</v>
      </c>
      <c r="D32" s="5">
        <f t="shared" si="13"/>
        <v>195.66155000000001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34</v>
      </c>
      <c r="D33" s="5">
        <f t="shared" si="13"/>
        <v>195.66155000000001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-2378.7018000000007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61.04</v>
      </c>
      <c r="C37" s="17">
        <f>'Rigid Bearing Plate Analysis'!C37</f>
        <v>53.23</v>
      </c>
      <c r="D37" s="17" t="str">
        <f>'Rigid Bearing Plate Analysis'!D37</f>
        <v>y</v>
      </c>
      <c r="Q37" s="12">
        <f>IF($D37="y",B37,NA())</f>
        <v>61.04</v>
      </c>
      <c r="R37" s="12">
        <f>IF($D37="y",C37,NA())</f>
        <v>53.23</v>
      </c>
      <c r="T37" s="1">
        <f>MAX(MAX(B13:B20),MAX(C13:C20))</f>
        <v>68</v>
      </c>
      <c r="U37" s="1">
        <f>T37</f>
        <v>68</v>
      </c>
    </row>
    <row r="38" spans="1:21" x14ac:dyDescent="0.25">
      <c r="A38">
        <v>2</v>
      </c>
      <c r="B38" s="17">
        <f>'Rigid Bearing Plate Analysis'!B38</f>
        <v>6.9569999999999999</v>
      </c>
      <c r="C38" s="17">
        <f>'Rigid Bearing Plate Analysis'!C38</f>
        <v>53.23</v>
      </c>
      <c r="D38" s="17" t="str">
        <f>'Rigid Bearing Plate Analysis'!D38</f>
        <v>y</v>
      </c>
      <c r="Q38" s="12">
        <f t="shared" ref="Q38:R48" si="14">IF($D38="y",B38,NA())</f>
        <v>6.9569999999999999</v>
      </c>
      <c r="R38" s="12">
        <f t="shared" si="14"/>
        <v>53.23</v>
      </c>
    </row>
    <row r="39" spans="1:21" x14ac:dyDescent="0.25">
      <c r="A39">
        <v>3</v>
      </c>
      <c r="B39" s="17">
        <f>'Rigid Bearing Plate Analysis'!B39</f>
        <v>61.04</v>
      </c>
      <c r="C39" s="17">
        <f>'Rigid Bearing Plate Analysis'!C39</f>
        <v>14.77</v>
      </c>
      <c r="D39" s="17" t="str">
        <f>'Rigid Bearing Plate Analysis'!D39</f>
        <v>y</v>
      </c>
      <c r="Q39" s="12">
        <f t="shared" si="14"/>
        <v>61.04</v>
      </c>
      <c r="R39" s="12">
        <f t="shared" si="14"/>
        <v>14.77</v>
      </c>
    </row>
    <row r="40" spans="1:21" x14ac:dyDescent="0.25">
      <c r="A40">
        <v>4</v>
      </c>
      <c r="B40" s="17">
        <f>'Rigid Bearing Plate Analysis'!B40</f>
        <v>6.9569999999999999</v>
      </c>
      <c r="C40" s="17">
        <f>'Rigid Bearing Plate Analysis'!C40</f>
        <v>14.77</v>
      </c>
      <c r="D40" s="17" t="str">
        <f>'Rigid Bearing Plate Analysis'!D40</f>
        <v>y</v>
      </c>
      <c r="Q40" s="12">
        <f t="shared" si="14"/>
        <v>6.9569999999999999</v>
      </c>
      <c r="R40" s="12">
        <f t="shared" si="14"/>
        <v>14.77</v>
      </c>
    </row>
    <row r="41" spans="1:21" x14ac:dyDescent="0.25">
      <c r="A41">
        <v>5</v>
      </c>
      <c r="B41" s="17">
        <f>'Rigid Bearing Plate Analysis'!B41</f>
        <v>59.866</v>
      </c>
      <c r="C41" s="17">
        <f>'Rigid Bearing Plate Analysis'!C41</f>
        <v>56.63</v>
      </c>
      <c r="D41" s="17" t="str">
        <f>'Rigid Bearing Plate Analysis'!D41</f>
        <v>y</v>
      </c>
      <c r="Q41" s="12">
        <f t="shared" si="14"/>
        <v>59.866</v>
      </c>
      <c r="R41" s="12">
        <f t="shared" si="14"/>
        <v>56.63</v>
      </c>
    </row>
    <row r="42" spans="1:21" x14ac:dyDescent="0.25">
      <c r="A42">
        <v>6</v>
      </c>
      <c r="B42" s="17">
        <f>'Rigid Bearing Plate Analysis'!B42</f>
        <v>8.1349999999999998</v>
      </c>
      <c r="C42" s="17">
        <f>'Rigid Bearing Plate Analysis'!C42</f>
        <v>56.63</v>
      </c>
      <c r="D42" s="17" t="str">
        <f>'Rigid Bearing Plate Analysis'!D42</f>
        <v>y</v>
      </c>
      <c r="Q42" s="12">
        <f t="shared" si="14"/>
        <v>8.1349999999999998</v>
      </c>
      <c r="R42" s="12">
        <f t="shared" si="14"/>
        <v>56.63</v>
      </c>
    </row>
    <row r="43" spans="1:21" x14ac:dyDescent="0.25">
      <c r="A43">
        <v>7</v>
      </c>
      <c r="B43" s="17">
        <f>'Rigid Bearing Plate Analysis'!B43</f>
        <v>59.866</v>
      </c>
      <c r="C43" s="17">
        <f>'Rigid Bearing Plate Analysis'!C43</f>
        <v>11.37</v>
      </c>
      <c r="D43" s="17" t="str">
        <f>'Rigid Bearing Plate Analysis'!D43</f>
        <v>y</v>
      </c>
      <c r="Q43" s="12">
        <f t="shared" si="14"/>
        <v>59.866</v>
      </c>
      <c r="R43" s="12">
        <f t="shared" si="14"/>
        <v>11.37</v>
      </c>
    </row>
    <row r="44" spans="1:21" x14ac:dyDescent="0.25">
      <c r="A44">
        <v>8</v>
      </c>
      <c r="B44" s="17">
        <f>'Rigid Bearing Plate Analysis'!B44</f>
        <v>8.1349999999999998</v>
      </c>
      <c r="C44" s="17">
        <f>'Rigid Bearing Plate Analysis'!C44</f>
        <v>11.37</v>
      </c>
      <c r="D44" s="17" t="str">
        <f>'Rigid Bearing Plate Analysis'!D44</f>
        <v>y</v>
      </c>
      <c r="Q44" s="12">
        <f t="shared" si="14"/>
        <v>8.1349999999999998</v>
      </c>
      <c r="R44" s="12">
        <f t="shared" si="14"/>
        <v>11.37</v>
      </c>
    </row>
    <row r="45" spans="1:21" x14ac:dyDescent="0.25">
      <c r="A45">
        <v>9</v>
      </c>
      <c r="B45" s="17">
        <f>'Rigid Bearing Plate Analysis'!B45</f>
        <v>58.665999999999997</v>
      </c>
      <c r="C45" s="17">
        <f>'Rigid Bearing Plate Analysis'!C45</f>
        <v>59.58</v>
      </c>
      <c r="D45" s="17" t="str">
        <f>'Rigid Bearing Plate Analysis'!D45</f>
        <v>y</v>
      </c>
      <c r="Q45" s="12">
        <f t="shared" si="14"/>
        <v>58.665999999999997</v>
      </c>
      <c r="R45" s="12">
        <f t="shared" si="14"/>
        <v>59.58</v>
      </c>
    </row>
    <row r="46" spans="1:21" x14ac:dyDescent="0.25">
      <c r="A46">
        <v>10</v>
      </c>
      <c r="B46" s="17">
        <f>'Rigid Bearing Plate Analysis'!B46</f>
        <v>9.3339999999999996</v>
      </c>
      <c r="C46" s="17">
        <f>'Rigid Bearing Plate Analysis'!C46</f>
        <v>59.58</v>
      </c>
      <c r="D46" s="17" t="str">
        <f>'Rigid Bearing Plate Analysis'!D46</f>
        <v>y</v>
      </c>
      <c r="Q46" s="12">
        <f t="shared" si="14"/>
        <v>9.3339999999999996</v>
      </c>
      <c r="R46" s="12">
        <f t="shared" si="14"/>
        <v>59.58</v>
      </c>
    </row>
    <row r="47" spans="1:21" x14ac:dyDescent="0.25">
      <c r="A47">
        <v>11</v>
      </c>
      <c r="B47" s="17">
        <f>'Rigid Bearing Plate Analysis'!B47</f>
        <v>58.665999999999997</v>
      </c>
      <c r="C47" s="17">
        <f>'Rigid Bearing Plate Analysis'!C47</f>
        <v>8.42</v>
      </c>
      <c r="D47" s="17" t="str">
        <f>'Rigid Bearing Plate Analysis'!D47</f>
        <v>y</v>
      </c>
      <c r="Q47" s="12">
        <f t="shared" si="14"/>
        <v>58.665999999999997</v>
      </c>
      <c r="R47" s="12">
        <f t="shared" si="14"/>
        <v>8.42</v>
      </c>
    </row>
    <row r="48" spans="1:21" x14ac:dyDescent="0.25">
      <c r="A48">
        <v>12</v>
      </c>
      <c r="B48" s="17">
        <f>'Rigid Bearing Plate Analysis'!B48</f>
        <v>9.3339999999999996</v>
      </c>
      <c r="C48" s="17">
        <f>'Rigid Bearing Plate Analysis'!C48</f>
        <v>8.42</v>
      </c>
      <c r="D48" s="17" t="str">
        <f>'Rigid Bearing Plate Analysis'!D48</f>
        <v>y</v>
      </c>
      <c r="Q48" s="12">
        <f t="shared" si="14"/>
        <v>9.3339999999999996</v>
      </c>
      <c r="R48" s="12">
        <f t="shared" si="14"/>
        <v>8.42</v>
      </c>
    </row>
    <row r="51" spans="1:14" x14ac:dyDescent="0.25">
      <c r="A51" s="10" t="s">
        <v>8</v>
      </c>
      <c r="B51" s="17">
        <f>'Rigid Bearing Plate Analysis'!B51</f>
        <v>3</v>
      </c>
      <c r="C51" t="s">
        <v>11</v>
      </c>
    </row>
    <row r="52" spans="1:14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14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14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2.25</v>
      </c>
      <c r="F54" s="17" t="str">
        <f>'Rigid Bearing Plate Analysis'!F54</f>
        <v>in</v>
      </c>
      <c r="G54" s="17">
        <f>'Rigid Bearing Plate Analysis'!G54</f>
        <v>0</v>
      </c>
      <c r="H54" s="17" t="str">
        <f>'Rigid Bearing Plate Analysis'!H54</f>
        <v>Stress Block</v>
      </c>
      <c r="I54" s="17" t="str">
        <f>'Rigid Bearing Plate Analysis'!I54</f>
        <v>Linear</v>
      </c>
      <c r="J54" s="17">
        <f>'Rigid Bearing Plate Analysis'!J54</f>
        <v>0</v>
      </c>
      <c r="K54" s="17">
        <f>'Rigid Bearing Plate Analysis'!K54</f>
        <v>0</v>
      </c>
      <c r="L54" s="17">
        <f>'Rigid Bearing Plate Analysis'!L54</f>
        <v>0</v>
      </c>
      <c r="M54" s="17">
        <f>'Rigid Bearing Plate Analysis'!M54</f>
        <v>0</v>
      </c>
      <c r="N54" s="17">
        <f>'Rigid Bearing Plate Analysis'!N54</f>
        <v>0</v>
      </c>
    </row>
    <row r="55" spans="1:14" x14ac:dyDescent="0.25">
      <c r="A55" s="10" t="s">
        <v>5</v>
      </c>
      <c r="B55" s="17">
        <f ca="1">'Rigid Bearing Plate Analysis'!B55</f>
        <v>3.2476895238936292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  <c r="F55" s="17">
        <f>'Rigid Bearing Plate Analysis'!F55</f>
        <v>0</v>
      </c>
      <c r="G55" s="17" t="str">
        <f>'Rigid Bearing Plate Analysis'!G55</f>
        <v>n overide</v>
      </c>
      <c r="H55" s="17" t="str">
        <f>'Rigid Bearing Plate Analysis'!H55</f>
        <v>Sum P</v>
      </c>
      <c r="I55" s="17">
        <f>'Rigid Bearing Plate Analysis'!I55</f>
        <v>3.4106051316484809E-13</v>
      </c>
      <c r="J55" s="17" t="str">
        <f>'Rigid Bearing Plate Analysis'!J55</f>
        <v>kips</v>
      </c>
      <c r="K55" s="17" t="str">
        <f>'Rigid Bearing Plate Analysis'!K55</f>
        <v>Solution Found when these all are very nearly 0</v>
      </c>
      <c r="L55" s="17">
        <f>'Rigid Bearing Plate Analysis'!L55</f>
        <v>0</v>
      </c>
      <c r="M55" s="17">
        <f>'Rigid Bearing Plate Analysis'!M55</f>
        <v>0</v>
      </c>
      <c r="N55" s="17">
        <f>'Rigid Bearing Plate Analysis'!N55</f>
        <v>0</v>
      </c>
    </row>
    <row r="56" spans="1:14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3.2476895238936292</v>
      </c>
      <c r="F56" s="17" t="str">
        <f>'Rigid Bearing Plate Analysis'!F56</f>
        <v>in2</v>
      </c>
      <c r="G56" s="17">
        <f>'Rigid Bearing Plate Analysis'!G56</f>
        <v>0</v>
      </c>
      <c r="H56" s="17" t="str">
        <f>'Rigid Bearing Plate Analysis'!H56</f>
        <v>Sum Mx</v>
      </c>
      <c r="I56" s="17">
        <f>'Rigid Bearing Plate Analysis'!I56</f>
        <v>0</v>
      </c>
      <c r="J56" s="17" t="str">
        <f>'Rigid Bearing Plate Analysis'!J56</f>
        <v>kip-in</v>
      </c>
      <c r="K56" s="17">
        <f>'Rigid Bearing Plate Analysis'!K56</f>
        <v>0</v>
      </c>
      <c r="L56" s="17">
        <f>'Rigid Bearing Plate Analysis'!L56</f>
        <v>0</v>
      </c>
      <c r="M56" s="17">
        <f>'Rigid Bearing Plate Analysis'!M56</f>
        <v>0</v>
      </c>
      <c r="N56" s="17">
        <f>'Rigid Bearing Plate Analysis'!N56</f>
        <v>0</v>
      </c>
    </row>
    <row r="57" spans="1:14" x14ac:dyDescent="0.25">
      <c r="D57" s="17" t="str">
        <f>'Rigid Bearing Plate Analysis'!D57</f>
        <v>Hole</v>
      </c>
      <c r="E57" s="17" t="str">
        <f>'Rigid Bearing Plate Analysis'!E57</f>
        <v>STD</v>
      </c>
      <c r="F57" s="17">
        <f>'Rigid Bearing Plate Analysis'!F57</f>
        <v>0</v>
      </c>
      <c r="G57" s="17">
        <f>'Rigid Bearing Plate Analysis'!G57</f>
        <v>0</v>
      </c>
      <c r="H57" s="17" t="str">
        <f>'Rigid Bearing Plate Analysis'!H57</f>
        <v>Sum My</v>
      </c>
      <c r="I57" s="17">
        <f>'Rigid Bearing Plate Analysis'!I57</f>
        <v>9.3982877036324908E-12</v>
      </c>
      <c r="J57" s="17" t="str">
        <f>'Rigid Bearing Plate Analysis'!J57</f>
        <v>kip-in</v>
      </c>
      <c r="K57" s="17">
        <f>'Rigid Bearing Plate Analysis'!K57</f>
        <v>0</v>
      </c>
      <c r="L57" s="17">
        <f>'Rigid Bearing Plate Analysis'!L57</f>
        <v>9.404474149780515E-12</v>
      </c>
      <c r="M57" s="17" t="str">
        <f ca="1">'Rigid Bearing Plate Analysis'!M57</f>
        <v>SOLUTION FOUND</v>
      </c>
      <c r="N57" s="17">
        <f>'Rigid Bearing Plate Analysis'!N57</f>
        <v>0</v>
      </c>
    </row>
    <row r="58" spans="1:14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2.3125</v>
      </c>
      <c r="F58" s="17" t="str">
        <f>'Rigid Bearing Plate Analysis'!F58</f>
        <v>in</v>
      </c>
      <c r="G58" s="17">
        <f>'Rigid Bearing Plate Analysis'!G58</f>
        <v>0</v>
      </c>
      <c r="H58" s="17">
        <f>'Rigid Bearing Plate Analysis'!H58</f>
        <v>0</v>
      </c>
      <c r="I58" s="17">
        <f>'Rigid Bearing Plate Analysis'!I58</f>
        <v>0</v>
      </c>
      <c r="J58" s="17">
        <f>'Rigid Bearing Plate Analysis'!J58</f>
        <v>0</v>
      </c>
      <c r="K58" s="17">
        <f>'Rigid Bearing Plate Analysis'!K58</f>
        <v>0</v>
      </c>
      <c r="L58" s="17">
        <f>'Rigid Bearing Plate Analysis'!L58</f>
        <v>0</v>
      </c>
      <c r="M58" s="17">
        <f>'Rigid Bearing Plate Analysis'!M58</f>
        <v>0</v>
      </c>
      <c r="N58" s="17">
        <f>'Rigid Bearing Plate Analysis'!N58</f>
        <v>0</v>
      </c>
    </row>
    <row r="59" spans="1:14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4.2000393972308858</v>
      </c>
      <c r="F59" s="17" t="str">
        <f>'Rigid Bearing Plate Analysis'!F59</f>
        <v>in2</v>
      </c>
      <c r="G59" s="17">
        <f>'Rigid Bearing Plate Analysis'!G59</f>
        <v>0</v>
      </c>
      <c r="H59" s="17" t="str">
        <f>'Rigid Bearing Plate Analysis'!H59</f>
        <v>Max Iterations:</v>
      </c>
      <c r="I59" s="17">
        <f>'Rigid Bearing Plate Analysis'!I59</f>
        <v>100</v>
      </c>
      <c r="J59" s="17">
        <f>'Rigid Bearing Plate Analysis'!J59</f>
        <v>0</v>
      </c>
      <c r="K59" s="17" t="str">
        <f>'Rigid Bearing Plate Analysis'!K59</f>
        <v>Tolerance:</v>
      </c>
      <c r="L59" s="17">
        <f>'Rigid Bearing Plate Analysis'!L59</f>
        <v>1E-10</v>
      </c>
      <c r="M59" s="17" t="b">
        <f ca="1">'Rigid Bearing Plate Analysis'!M59</f>
        <v>0</v>
      </c>
      <c r="N59" s="17">
        <f>'Rigid Bearing Plate Analysis'!N59</f>
        <v>0</v>
      </c>
    </row>
    <row r="60" spans="1:14" x14ac:dyDescent="0.25">
      <c r="D60" s="17" t="str">
        <f>'Rigid Bearing Plate Analysis'!D60</f>
        <v>Consider Bolt Hole?</v>
      </c>
      <c r="E60" s="17" t="str">
        <f>'Rigid Bearing Plate Analysis'!E60</f>
        <v>n</v>
      </c>
      <c r="F60" s="17">
        <f>'Rigid Bearing Plate Analysis'!F60</f>
        <v>0</v>
      </c>
      <c r="G60" s="17">
        <f>'Rigid Bearing Plate Analysis'!G60</f>
        <v>0</v>
      </c>
      <c r="H60" s="17" t="str">
        <f>'Rigid Bearing Plate Analysis'!H60</f>
        <v>Iterations Used:</v>
      </c>
      <c r="I60" s="17">
        <f>'Rigid Bearing Plate Analysis'!I60</f>
        <v>12</v>
      </c>
      <c r="J60" s="17">
        <f>'Rigid Bearing Plate Analysis'!J60</f>
        <v>0</v>
      </c>
      <c r="K60" s="17">
        <f>'Rigid Bearing Plate Analysis'!K60</f>
        <v>0</v>
      </c>
      <c r="L60" s="17">
        <f>'Rigid Bearing Plate Analysis'!L60</f>
        <v>0</v>
      </c>
      <c r="M60" s="17" t="str">
        <f>'Rigid Bearing Plate Analysis'!M60</f>
        <v/>
      </c>
      <c r="N60" s="17">
        <f>'Rigid Bearing Plate Analysis'!N60</f>
        <v>0</v>
      </c>
    </row>
    <row r="61" spans="1:14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14" x14ac:dyDescent="0.25">
      <c r="A63" s="16" t="s">
        <v>38</v>
      </c>
    </row>
    <row r="64" spans="1:14" x14ac:dyDescent="0.25">
      <c r="A64" s="11" t="s">
        <v>39</v>
      </c>
      <c r="B64" s="17">
        <f>'Rigid Bearing Plate Analysis'!B64</f>
        <v>4.2056410456789119E-6</v>
      </c>
      <c r="C64" t="s">
        <v>19</v>
      </c>
      <c r="D64" t="s">
        <v>34</v>
      </c>
      <c r="H64" s="17">
        <f>DEGREES(B64)</f>
        <v>2.4096548206438791E-4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16.023768533849427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1.7616449479451088</v>
      </c>
      <c r="C66" t="s">
        <v>11</v>
      </c>
      <c r="D66">
        <f>B66/B53</f>
        <v>5.5820254483504551E-4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142.90663801408272</v>
      </c>
      <c r="C67" t="s">
        <v>36</v>
      </c>
      <c r="D67" t="s">
        <v>122</v>
      </c>
      <c r="G67" s="20">
        <f ca="1">($B$56*$B$66*$B$55*$E$122)/$B$65</f>
        <v>142.90664013373075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-34</v>
      </c>
      <c r="C73" s="4">
        <f t="shared" ref="C73:C81" si="17">C13-$C$9</f>
        <v>-34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-29</v>
      </c>
      <c r="J73" s="4">
        <f>C25-$C$9</f>
        <v>0</v>
      </c>
    </row>
    <row r="74" spans="1:18" x14ac:dyDescent="0.25">
      <c r="A74" s="1">
        <f t="shared" si="15"/>
        <v>2</v>
      </c>
      <c r="B74" s="4">
        <f t="shared" si="16"/>
        <v>34</v>
      </c>
      <c r="C74" s="4">
        <f t="shared" si="17"/>
        <v>-34</v>
      </c>
      <c r="H74" s="1">
        <f t="shared" si="18"/>
        <v>2</v>
      </c>
      <c r="I74" s="4">
        <f t="shared" ref="I74:I81" si="19">B26-$B$9</f>
        <v>-20.5061</v>
      </c>
      <c r="J74" s="4">
        <f t="shared" ref="J74:J81" si="20">C26-$C$9</f>
        <v>20.506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34</v>
      </c>
      <c r="C75" s="4">
        <f t="shared" si="17"/>
        <v>34</v>
      </c>
      <c r="H75" s="1">
        <f t="shared" si="18"/>
        <v>3</v>
      </c>
      <c r="I75" s="4">
        <f t="shared" si="19"/>
        <v>0</v>
      </c>
      <c r="J75" s="4">
        <f t="shared" si="20"/>
        <v>29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-34</v>
      </c>
      <c r="C76" s="4">
        <f t="shared" si="17"/>
        <v>34</v>
      </c>
      <c r="H76" s="1">
        <f t="shared" si="18"/>
        <v>4</v>
      </c>
      <c r="I76" s="4">
        <f t="shared" si="19"/>
        <v>20.506</v>
      </c>
      <c r="J76" s="4">
        <f t="shared" si="20"/>
        <v>20.506</v>
      </c>
      <c r="Q76" cm="1">
        <f t="array" ref="Q76">(-1*MAX(ABS(B84:C91)))-1</f>
        <v>-35.000142991494869</v>
      </c>
      <c r="R76">
        <f>Q76</f>
        <v>-35.000142991494869</v>
      </c>
    </row>
    <row r="77" spans="1:18" x14ac:dyDescent="0.25">
      <c r="A77" s="1">
        <f t="shared" si="15"/>
        <v>5</v>
      </c>
      <c r="B77" s="4">
        <f t="shared" si="16"/>
        <v>-34</v>
      </c>
      <c r="C77" s="4">
        <f t="shared" si="17"/>
        <v>-34</v>
      </c>
      <c r="H77" s="1">
        <f t="shared" si="18"/>
        <v>5</v>
      </c>
      <c r="I77" s="4">
        <f t="shared" si="19"/>
        <v>29</v>
      </c>
      <c r="J77" s="4">
        <f t="shared" si="20"/>
        <v>0</v>
      </c>
      <c r="Q77">
        <f>-1*Q76</f>
        <v>35.000142991494869</v>
      </c>
      <c r="R77">
        <f>Q77</f>
        <v>35.000142991494869</v>
      </c>
    </row>
    <row r="78" spans="1:18" x14ac:dyDescent="0.25">
      <c r="A78" s="1">
        <f t="shared" si="15"/>
        <v>6</v>
      </c>
      <c r="B78" s="4">
        <f t="shared" si="16"/>
        <v>-34</v>
      </c>
      <c r="C78" s="4">
        <f t="shared" si="17"/>
        <v>-34</v>
      </c>
      <c r="H78" s="1">
        <f t="shared" si="18"/>
        <v>6</v>
      </c>
      <c r="I78" s="4">
        <f t="shared" si="19"/>
        <v>20.506</v>
      </c>
      <c r="J78" s="4">
        <f t="shared" si="20"/>
        <v>-20.5061</v>
      </c>
    </row>
    <row r="79" spans="1:18" x14ac:dyDescent="0.25">
      <c r="A79" s="1">
        <f t="shared" si="15"/>
        <v>7</v>
      </c>
      <c r="B79" s="4">
        <f t="shared" si="16"/>
        <v>-34</v>
      </c>
      <c r="C79" s="4">
        <f t="shared" si="17"/>
        <v>-34</v>
      </c>
      <c r="H79" s="1">
        <f t="shared" si="18"/>
        <v>7</v>
      </c>
      <c r="I79" s="4">
        <f t="shared" si="19"/>
        <v>0</v>
      </c>
      <c r="J79" s="4">
        <f t="shared" si="20"/>
        <v>-29</v>
      </c>
    </row>
    <row r="80" spans="1:18" x14ac:dyDescent="0.25">
      <c r="A80" s="1">
        <f t="shared" si="15"/>
        <v>8</v>
      </c>
      <c r="B80" s="4">
        <f t="shared" si="16"/>
        <v>-34</v>
      </c>
      <c r="C80" s="4">
        <f t="shared" si="17"/>
        <v>-34</v>
      </c>
      <c r="H80" s="1">
        <f t="shared" si="18"/>
        <v>8</v>
      </c>
      <c r="I80" s="4">
        <f t="shared" si="19"/>
        <v>-20.5061</v>
      </c>
      <c r="J80" s="4">
        <f t="shared" si="20"/>
        <v>-20.5061</v>
      </c>
    </row>
    <row r="81" spans="1:10" x14ac:dyDescent="0.25">
      <c r="A81" s="1">
        <f t="shared" si="15"/>
        <v>9</v>
      </c>
      <c r="B81" s="4">
        <f t="shared" si="16"/>
        <v>-34</v>
      </c>
      <c r="C81" s="4">
        <f t="shared" si="17"/>
        <v>-34</v>
      </c>
      <c r="H81" s="1">
        <f t="shared" si="18"/>
        <v>9</v>
      </c>
      <c r="I81" s="4">
        <f t="shared" si="19"/>
        <v>-29</v>
      </c>
      <c r="J81" s="4">
        <f t="shared" si="20"/>
        <v>0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-34.000142991494869</v>
      </c>
      <c r="C84" s="1">
        <f t="shared" ref="C84:C92" si="23">(-1*B73*SIN($B$64))+(C73*COS($B$64))</f>
        <v>-33.999857007903756</v>
      </c>
      <c r="H84" s="1">
        <f t="shared" ref="H84:H92" si="24">H73</f>
        <v>1</v>
      </c>
      <c r="I84" s="4">
        <f>(I73*COS($B$64))+(J73*SIN($B$64))</f>
        <v>-28.999999999743533</v>
      </c>
      <c r="J84" s="1">
        <f>(-1*I73*SIN($B$64))+(J73*COS($B$64))</f>
        <v>1.219635903243289E-4</v>
      </c>
    </row>
    <row r="85" spans="1:10" x14ac:dyDescent="0.25">
      <c r="A85" s="1">
        <f t="shared" si="21"/>
        <v>2</v>
      </c>
      <c r="B85" s="4">
        <f t="shared" si="22"/>
        <v>33.999857007903756</v>
      </c>
      <c r="C85" s="1">
        <f t="shared" si="23"/>
        <v>-34.000142991494869</v>
      </c>
      <c r="H85" s="1">
        <f t="shared" si="24"/>
        <v>2</v>
      </c>
      <c r="I85" s="4">
        <f t="shared" ref="I85:I92" si="25">(I74*COS($B$64))+(J74*SIN($B$64))</f>
        <v>-20.506013758943368</v>
      </c>
      <c r="J85" s="1">
        <f t="shared" ref="J85:J92" si="26">(-1*I74*SIN($B$64))+(J74*COS($B$64))</f>
        <v>20.506086241114499</v>
      </c>
    </row>
    <row r="86" spans="1:10" x14ac:dyDescent="0.25">
      <c r="A86" s="1">
        <f t="shared" si="21"/>
        <v>3</v>
      </c>
      <c r="B86" s="4">
        <f t="shared" si="22"/>
        <v>34.000142991494869</v>
      </c>
      <c r="C86" s="1">
        <f t="shared" si="23"/>
        <v>33.999857007903756</v>
      </c>
      <c r="H86" s="1">
        <f t="shared" si="24"/>
        <v>3</v>
      </c>
      <c r="I86" s="4">
        <f t="shared" si="25"/>
        <v>1.219635903243289E-4</v>
      </c>
      <c r="J86" s="1">
        <f t="shared" si="26"/>
        <v>28.999999999743533</v>
      </c>
    </row>
    <row r="87" spans="1:10" x14ac:dyDescent="0.25">
      <c r="A87" s="1">
        <f t="shared" si="21"/>
        <v>4</v>
      </c>
      <c r="B87" s="4">
        <f t="shared" si="22"/>
        <v>-33.999857007903756</v>
      </c>
      <c r="C87" s="1">
        <f t="shared" si="23"/>
        <v>34.000142991494869</v>
      </c>
      <c r="H87" s="1">
        <f t="shared" si="24"/>
        <v>4</v>
      </c>
      <c r="I87" s="4">
        <f t="shared" si="25"/>
        <v>20.506086240693936</v>
      </c>
      <c r="J87" s="1">
        <f t="shared" si="26"/>
        <v>20.505913758943368</v>
      </c>
    </row>
    <row r="88" spans="1:10" x14ac:dyDescent="0.25">
      <c r="A88" s="1">
        <f t="shared" si="21"/>
        <v>5</v>
      </c>
      <c r="B88" s="4">
        <f t="shared" si="22"/>
        <v>-34.000142991494869</v>
      </c>
      <c r="C88" s="1">
        <f t="shared" si="23"/>
        <v>-33.999857007903756</v>
      </c>
      <c r="H88" s="1">
        <f t="shared" si="24"/>
        <v>5</v>
      </c>
      <c r="I88" s="4">
        <f t="shared" si="25"/>
        <v>28.999999999743533</v>
      </c>
      <c r="J88" s="1">
        <f t="shared" si="26"/>
        <v>-1.219635903243289E-4</v>
      </c>
    </row>
    <row r="89" spans="1:10" x14ac:dyDescent="0.25">
      <c r="A89" s="1">
        <f t="shared" si="21"/>
        <v>6</v>
      </c>
      <c r="B89" s="4">
        <f t="shared" si="22"/>
        <v>-34.000142991494869</v>
      </c>
      <c r="C89" s="1">
        <f t="shared" si="23"/>
        <v>-33.999857007903756</v>
      </c>
      <c r="H89" s="1">
        <f t="shared" si="24"/>
        <v>6</v>
      </c>
      <c r="I89" s="4">
        <f t="shared" si="25"/>
        <v>20.505913758522805</v>
      </c>
      <c r="J89" s="1">
        <f t="shared" si="26"/>
        <v>-20.506186240693935</v>
      </c>
    </row>
    <row r="90" spans="1:10" x14ac:dyDescent="0.25">
      <c r="A90" s="1">
        <f t="shared" si="21"/>
        <v>7</v>
      </c>
      <c r="B90" s="4">
        <f t="shared" si="22"/>
        <v>-34.000142991494869</v>
      </c>
      <c r="C90" s="1">
        <f t="shared" si="23"/>
        <v>-33.999857007903756</v>
      </c>
      <c r="H90" s="1">
        <f t="shared" si="24"/>
        <v>7</v>
      </c>
      <c r="I90" s="4">
        <f t="shared" si="25"/>
        <v>-1.219635903243289E-4</v>
      </c>
      <c r="J90" s="1">
        <f t="shared" si="26"/>
        <v>-28.999999999743533</v>
      </c>
    </row>
    <row r="91" spans="1:10" x14ac:dyDescent="0.25">
      <c r="A91" s="1">
        <f t="shared" si="21"/>
        <v>8</v>
      </c>
      <c r="B91" s="4">
        <f t="shared" si="22"/>
        <v>-34.000142991494869</v>
      </c>
      <c r="C91" s="1">
        <f t="shared" si="23"/>
        <v>-33.999857007903756</v>
      </c>
      <c r="H91" s="1">
        <f t="shared" si="24"/>
        <v>8</v>
      </c>
      <c r="I91" s="4">
        <f t="shared" si="25"/>
        <v>-20.506186241114499</v>
      </c>
      <c r="J91" s="1">
        <f t="shared" si="26"/>
        <v>-20.506013758522805</v>
      </c>
    </row>
    <row r="92" spans="1:10" x14ac:dyDescent="0.25">
      <c r="A92" s="1">
        <f t="shared" si="21"/>
        <v>9</v>
      </c>
      <c r="B92" s="4">
        <f t="shared" si="22"/>
        <v>-34.000142991494869</v>
      </c>
      <c r="C92" s="1">
        <f t="shared" si="23"/>
        <v>-33.999857007903756</v>
      </c>
      <c r="H92" s="1">
        <f t="shared" si="24"/>
        <v>9</v>
      </c>
      <c r="I92" s="4">
        <f t="shared" si="25"/>
        <v>-28.999999999743533</v>
      </c>
      <c r="J92" s="1">
        <f t="shared" si="26"/>
        <v>1.219635903243289E-4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27.04</v>
      </c>
      <c r="C95" s="4">
        <f t="shared" ref="C95:C106" si="29">C37-$C$9</f>
        <v>19.229999999999997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-27.042999999999999</v>
      </c>
      <c r="C96" s="4">
        <f t="shared" si="29"/>
        <v>19.229999999999997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27.04</v>
      </c>
      <c r="C97" s="4">
        <f t="shared" si="29"/>
        <v>-19.23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-27.042999999999999</v>
      </c>
      <c r="C98" s="4">
        <f t="shared" si="29"/>
        <v>-19.23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25.866</v>
      </c>
      <c r="C99" s="4">
        <f t="shared" si="29"/>
        <v>22.630000000000003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-25.865000000000002</v>
      </c>
      <c r="C100" s="4">
        <f t="shared" si="29"/>
        <v>22.630000000000003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25.866</v>
      </c>
      <c r="C101" s="4">
        <f t="shared" si="29"/>
        <v>-22.630000000000003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-25.865000000000002</v>
      </c>
      <c r="C102" s="4">
        <f t="shared" si="29"/>
        <v>-22.630000000000003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24.665999999999997</v>
      </c>
      <c r="C103" s="4">
        <f t="shared" si="29"/>
        <v>25.58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-24.666</v>
      </c>
      <c r="C104" s="4">
        <f t="shared" si="29"/>
        <v>25.58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24.665999999999997</v>
      </c>
      <c r="C105" s="4">
        <f t="shared" si="29"/>
        <v>-25.58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-24.666</v>
      </c>
      <c r="C106" s="4">
        <f t="shared" si="29"/>
        <v>-25.58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155</v>
      </c>
      <c r="O109" t="s">
        <v>153</v>
      </c>
      <c r="P109" t="s">
        <v>154</v>
      </c>
    </row>
    <row r="110" spans="1:16" x14ac:dyDescent="0.25">
      <c r="A110">
        <f>A95</f>
        <v>1</v>
      </c>
      <c r="B110" s="1">
        <f>(B95*COS($B$64))+(C95*SIN($B$64))</f>
        <v>27.040080874238175</v>
      </c>
      <c r="C110" s="1">
        <f>(-1*B95*SIN($B$64))+(C95*COS($B$64))</f>
        <v>19.229886279296057</v>
      </c>
      <c r="D110" t="str">
        <f t="shared" ref="D110" si="31">D95</f>
        <v>y</v>
      </c>
      <c r="E110" s="4">
        <f t="shared" ref="E110:E121" si="32">IF($D110="y",$B$125-C110,0)</f>
        <v>-1.2535118216506156</v>
      </c>
      <c r="F110" s="1">
        <f>IF($D110="y",B110,NA())</f>
        <v>27.040080874238175</v>
      </c>
      <c r="G110" s="1">
        <f>IF($D110="y",C110,NA())</f>
        <v>19.229886279296057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4.3667223933500839E-5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-27.042919125283529</v>
      </c>
      <c r="C111" s="1">
        <f t="shared" ref="C111:C121" si="37">(-1*B96*SIN($B$64))+(C96*COS($B$64))</f>
        <v>19.23011373298073</v>
      </c>
      <c r="D111" t="str">
        <f t="shared" si="35"/>
        <v>y</v>
      </c>
      <c r="E111" s="4">
        <f t="shared" si="32"/>
        <v>-1.2537392753352883</v>
      </c>
      <c r="F111" s="1">
        <f t="shared" ref="F111:G121" si="38">IF($D111="y",B111,NA())</f>
        <v>-27.042919125283529</v>
      </c>
      <c r="G111" s="1">
        <f t="shared" si="38"/>
        <v>19.23011373298073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4.3675147489395206E-5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27.039919125283557</v>
      </c>
      <c r="C112" s="1">
        <f t="shared" si="37"/>
        <v>-19.230113720363811</v>
      </c>
      <c r="D112" t="str">
        <f t="shared" si="35"/>
        <v>y</v>
      </c>
      <c r="E112" s="4">
        <f t="shared" si="32"/>
        <v>37.206488178009252</v>
      </c>
      <c r="F112" s="1">
        <f t="shared" si="38"/>
        <v>27.039919125283557</v>
      </c>
      <c r="G112" s="1">
        <f t="shared" si="38"/>
        <v>-19.230113720363811</v>
      </c>
      <c r="H112">
        <f t="shared" si="33"/>
        <v>-122.0726366851119</v>
      </c>
      <c r="I112">
        <f t="shared" si="39"/>
        <v>2347.4706855993572</v>
      </c>
      <c r="J112">
        <f t="shared" si="40"/>
        <v>3300.8342233755484</v>
      </c>
      <c r="K112">
        <f t="shared" ref="K112:K121" ca="1" si="45">H112/$B$55</f>
        <v>-37.587532855899347</v>
      </c>
      <c r="L112">
        <f t="shared" ca="1" si="41"/>
        <v>-1.2961218226172188E-3</v>
      </c>
      <c r="M112">
        <f t="shared" si="34"/>
        <v>-1.2961218418418125E-3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-27.043080874238147</v>
      </c>
      <c r="C113" s="1">
        <f t="shared" si="37"/>
        <v>-19.229886266679138</v>
      </c>
      <c r="D113" t="str">
        <f t="shared" si="35"/>
        <v>y</v>
      </c>
      <c r="E113" s="4">
        <f t="shared" si="32"/>
        <v>37.206260724324579</v>
      </c>
      <c r="F113" s="1">
        <f t="shared" si="38"/>
        <v>-27.043080874238147</v>
      </c>
      <c r="G113" s="1">
        <f t="shared" si="38"/>
        <v>-19.229886266679138</v>
      </c>
      <c r="H113">
        <f t="shared" si="33"/>
        <v>-122.07189042088834</v>
      </c>
      <c r="I113">
        <f t="shared" si="39"/>
        <v>2347.4285691522014</v>
      </c>
      <c r="J113">
        <f t="shared" si="40"/>
        <v>-3301.2000051232203</v>
      </c>
      <c r="K113">
        <f t="shared" ca="1" si="45"/>
        <v>-37.587303072781822</v>
      </c>
      <c r="L113">
        <f t="shared" ca="1" si="41"/>
        <v>-1.296113899061442E-3</v>
      </c>
      <c r="M113">
        <f t="shared" si="34"/>
        <v>-1.2961139182859182E-3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25.866095173428111</v>
      </c>
      <c r="C114" s="1">
        <f t="shared" si="37"/>
        <v>22.629891216688584</v>
      </c>
      <c r="D114" t="str">
        <f t="shared" si="35"/>
        <v>y</v>
      </c>
      <c r="E114" s="4">
        <f t="shared" si="32"/>
        <v>-4.6535167590431428</v>
      </c>
      <c r="F114" s="1">
        <f t="shared" si="38"/>
        <v>25.866095173428111</v>
      </c>
      <c r="G114" s="1">
        <f t="shared" si="38"/>
        <v>22.629891216688584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1.6210948703128744E-4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-25.864904826114397</v>
      </c>
      <c r="C115" s="1">
        <f t="shared" si="37"/>
        <v>22.630108778705516</v>
      </c>
      <c r="D115" t="str">
        <f t="shared" si="35"/>
        <v>y</v>
      </c>
      <c r="E115" s="4">
        <f t="shared" si="32"/>
        <v>-4.6537343210600746</v>
      </c>
      <c r="F115" s="1">
        <f t="shared" si="38"/>
        <v>-25.864904826114397</v>
      </c>
      <c r="G115" s="1">
        <f t="shared" si="38"/>
        <v>22.630108778705516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1.6211706600194309E-4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25.865904826114384</v>
      </c>
      <c r="C116" s="1">
        <f t="shared" si="37"/>
        <v>-22.630108782911158</v>
      </c>
      <c r="D116" t="str">
        <f t="shared" si="35"/>
        <v>y</v>
      </c>
      <c r="E116" s="4">
        <f t="shared" si="32"/>
        <v>40.606483240556599</v>
      </c>
      <c r="F116" s="1">
        <f t="shared" si="38"/>
        <v>25.865904826114384</v>
      </c>
      <c r="G116" s="1">
        <f t="shared" si="38"/>
        <v>-22.630108782911158</v>
      </c>
      <c r="H116">
        <f t="shared" si="33"/>
        <v>-133.22785133519619</v>
      </c>
      <c r="I116">
        <f t="shared" si="39"/>
        <v>3014.9607686290055</v>
      </c>
      <c r="J116">
        <f t="shared" si="40"/>
        <v>3446.058922823901</v>
      </c>
      <c r="K116">
        <f t="shared" ca="1" si="45"/>
        <v>-41.022348458811535</v>
      </c>
      <c r="L116">
        <f t="shared" ca="1" si="41"/>
        <v>-1.4145637399590185E-3</v>
      </c>
      <c r="M116">
        <f t="shared" si="34"/>
        <v>-1.4145637609403897E-3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-25.865095173428124</v>
      </c>
      <c r="C117" s="1">
        <f t="shared" si="37"/>
        <v>-22.629891220894226</v>
      </c>
      <c r="D117" t="str">
        <f t="shared" si="35"/>
        <v>y</v>
      </c>
      <c r="E117" s="4">
        <f t="shared" si="32"/>
        <v>40.606265678539671</v>
      </c>
      <c r="F117" s="1">
        <f t="shared" si="38"/>
        <v>-25.865095173428124</v>
      </c>
      <c r="G117" s="1">
        <f t="shared" si="38"/>
        <v>-22.629891220894226</v>
      </c>
      <c r="H117">
        <f t="shared" si="33"/>
        <v>-133.22713752504237</v>
      </c>
      <c r="I117">
        <f t="shared" si="39"/>
        <v>3014.9156298628241</v>
      </c>
      <c r="J117">
        <f t="shared" si="40"/>
        <v>-3445.9325917686183</v>
      </c>
      <c r="K117">
        <f t="shared" ca="1" si="45"/>
        <v>-41.022128668665779</v>
      </c>
      <c r="L117">
        <f t="shared" ca="1" si="41"/>
        <v>-1.4145561609884751E-3</v>
      </c>
      <c r="M117">
        <f t="shared" si="34"/>
        <v>-1.4145561819697342E-3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24.666107580079803</v>
      </c>
      <c r="C118" s="1">
        <f t="shared" si="37"/>
        <v>25.579896263431742</v>
      </c>
      <c r="D118" t="str">
        <f t="shared" si="35"/>
        <v>y</v>
      </c>
      <c r="E118" s="4">
        <f t="shared" si="32"/>
        <v>-7.6035218057863005</v>
      </c>
      <c r="F118" s="1">
        <f t="shared" si="38"/>
        <v>24.666107580079803</v>
      </c>
      <c r="G118" s="1">
        <f t="shared" si="38"/>
        <v>25.579896263431742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2.6487559482232825E-4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-24.665892419483914</v>
      </c>
      <c r="C119" s="1">
        <f t="shared" si="37"/>
        <v>25.580103736115809</v>
      </c>
      <c r="D119" t="str">
        <f t="shared" si="35"/>
        <v>y</v>
      </c>
      <c r="E119" s="4">
        <f t="shared" si="32"/>
        <v>-7.6037292784703681</v>
      </c>
      <c r="F119" s="1">
        <f t="shared" si="38"/>
        <v>-24.665892419483914</v>
      </c>
      <c r="G119" s="1">
        <f t="shared" si="38"/>
        <v>25.580103736115809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2.6488282232190087E-4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24.66589241948391</v>
      </c>
      <c r="C120" s="1">
        <f t="shared" si="37"/>
        <v>-25.580103736115809</v>
      </c>
      <c r="D120" t="str">
        <f t="shared" si="35"/>
        <v>y</v>
      </c>
      <c r="E120" s="4">
        <f t="shared" si="32"/>
        <v>43.556478193761251</v>
      </c>
      <c r="F120" s="1">
        <f t="shared" si="38"/>
        <v>24.66589241948391</v>
      </c>
      <c r="G120" s="1">
        <f t="shared" si="38"/>
        <v>-25.580103736115809</v>
      </c>
      <c r="H120">
        <f t="shared" si="33"/>
        <v>-142.90663801408272</v>
      </c>
      <c r="I120">
        <f t="shared" si="39"/>
        <v>3655.5666249797869</v>
      </c>
      <c r="J120">
        <f t="shared" si="40"/>
        <v>3524.9197592854939</v>
      </c>
      <c r="K120">
        <f t="shared" ca="1" si="45"/>
        <v>-44.002555343637987</v>
      </c>
      <c r="L120">
        <f t="shared" ca="1" si="41"/>
        <v>-1.5173294946082064E-3</v>
      </c>
      <c r="M120">
        <f t="shared" si="34"/>
        <v>-1.51732951711384E-3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-24.666107580079807</v>
      </c>
      <c r="C121" s="1">
        <f t="shared" si="37"/>
        <v>-25.579896263431742</v>
      </c>
      <c r="D121" t="str">
        <f t="shared" si="35"/>
        <v>y</v>
      </c>
      <c r="E121" s="4">
        <f t="shared" si="32"/>
        <v>43.556270721077183</v>
      </c>
      <c r="F121" s="1">
        <f t="shared" si="38"/>
        <v>-24.666107580079807</v>
      </c>
      <c r="G121" s="1">
        <f t="shared" si="38"/>
        <v>-25.579896263431742</v>
      </c>
      <c r="H121" s="23">
        <f t="shared" si="33"/>
        <v>-142.90595730652808</v>
      </c>
      <c r="I121" s="23">
        <f t="shared" si="39"/>
        <v>3655.5195633273938</v>
      </c>
      <c r="J121" s="23">
        <f t="shared" si="40"/>
        <v>-3524.9337167571134</v>
      </c>
      <c r="K121">
        <f t="shared" ca="1" si="45"/>
        <v>-44.002345746153487</v>
      </c>
      <c r="L121">
        <f t="shared" ca="1" si="41"/>
        <v>-1.5173222671087409E-3</v>
      </c>
      <c r="M121">
        <f t="shared" si="34"/>
        <v>-1.5173222896142674E-3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43.556478193761251</v>
      </c>
      <c r="H122">
        <f>SUM(H110:H121)</f>
        <v>-796.41211128684949</v>
      </c>
      <c r="I122">
        <f t="shared" ref="I122:J122" si="46">SUM(I110:I121)</f>
        <v>18035.86184155057</v>
      </c>
      <c r="J122">
        <f t="shared" si="46"/>
        <v>-0.25340816400876065</v>
      </c>
      <c r="L122">
        <f ca="1">MIN(L110:L121)</f>
        <v>-1.5173294946082064E-3</v>
      </c>
      <c r="M122">
        <f>MIN(M110:M121)</f>
        <v>-1.51732951711384E-3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17.976374457645441</v>
      </c>
      <c r="F125" s="1" t="s">
        <v>27</v>
      </c>
      <c r="G125" s="1" t="s">
        <v>28</v>
      </c>
    </row>
    <row r="126" spans="1:16" x14ac:dyDescent="0.25">
      <c r="F126" s="4">
        <f>MIN(B84:B90)-1</f>
        <v>-35.000142991494869</v>
      </c>
      <c r="G126" s="4">
        <f>B125</f>
        <v>17.976374457645441</v>
      </c>
    </row>
    <row r="127" spans="1:16" x14ac:dyDescent="0.25">
      <c r="F127" s="4">
        <f>MAX(B84:B90)+1</f>
        <v>35.000142991494869</v>
      </c>
      <c r="G127" s="4">
        <f>G126</f>
        <v>17.976374457645441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-34.000142991494869</v>
      </c>
      <c r="C132" s="4">
        <f>C84</f>
        <v>-33.999857007903756</v>
      </c>
      <c r="D132" s="4">
        <f t="shared" ref="D132:E139" si="47">B85</f>
        <v>33.999857007903756</v>
      </c>
      <c r="E132" s="4">
        <f t="shared" si="47"/>
        <v>-34.000142991494869</v>
      </c>
      <c r="F132" s="4">
        <f t="shared" ref="F132:F139" si="48">($B$66/$B$65)*(C132-$B$125)</f>
        <v>-5.7142404036283088</v>
      </c>
      <c r="G132" s="4">
        <f t="shared" ref="G132:G139" si="49">($B$66/$B$65)*(E132-$B$125)</f>
        <v>-5.7142718445185974</v>
      </c>
      <c r="H132" s="4">
        <f>IF(B132=D132,"V",(C132-E132)/(B132-D132))</f>
        <v>-4.2056410458081708E-6</v>
      </c>
      <c r="I132" s="4">
        <f>IF(H132="V",0,(-1*B132*H132)+C132)</f>
        <v>-34.000000000300687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IF(F132&lt;0,IF($I$54="Linear",0,$B$66),IF($I$54="Linear",F132,$B$66))</f>
        <v>0</v>
      </c>
      <c r="O132" s="4">
        <f>IF(G132&lt;0,IF($I$54="Linear",0,$B$66),IF($I$54="Linear",G132,$B$66))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33.999857007903756</v>
      </c>
      <c r="C133" s="4">
        <f t="shared" si="50"/>
        <v>-34.000142991494869</v>
      </c>
      <c r="D133" s="4">
        <f t="shared" si="47"/>
        <v>34.000142991494869</v>
      </c>
      <c r="E133" s="4">
        <f t="shared" si="47"/>
        <v>33.999857007903756</v>
      </c>
      <c r="F133" s="4">
        <f t="shared" si="48"/>
        <v>-5.7142718445185974</v>
      </c>
      <c r="G133" s="4">
        <f t="shared" si="49"/>
        <v>1.7616135070548204</v>
      </c>
      <c r="H133" s="4">
        <f t="shared" ref="H133:H139" si="51">IF(B133=D133,"V",(C133-E133)/(B133-D133))</f>
        <v>237775.87984992584</v>
      </c>
      <c r="I133" s="4">
        <f t="shared" ref="I133:I139" si="52">IF(H133="V",0,(-1*B133*H133)+C133)</f>
        <v>-8084379.914968974</v>
      </c>
      <c r="J133" s="4">
        <f t="shared" ref="J133:J139" si="53">IF($F133&gt;=0,B133,IF(AND($F133&lt;0,$G133&gt;=0),IF(H133="V",B133,($B$125-I133)/H133),0))</f>
        <v>34.000075602478958</v>
      </c>
      <c r="K133" s="4">
        <f t="shared" ref="K133:K139" si="54">IF($F133&gt;=0,C133,IF(AND($F133&lt;0,$G133&gt;=0),$B$125,0))</f>
        <v>17.976374457645441</v>
      </c>
      <c r="L133" s="4">
        <f t="shared" ref="L133:L139" si="55">IF($G133&gt;=0,D133,IF(AND($G133&lt;0,$F133&gt;=0),IF(H133="V",D133,($B$125-I133)/H133),0))</f>
        <v>34.000142991494869</v>
      </c>
      <c r="M133" s="4">
        <f t="shared" ref="M133:M139" si="56">IF($G133&gt;=0,E133,IF(AND($G133&lt;0,$F133&gt;=0),$B$125,0))</f>
        <v>33.999857007903756</v>
      </c>
      <c r="N133" s="4">
        <f t="shared" ref="N133:O139" si="57">IF(F133&lt;0,IF($I$54="Linear",0,$B$66),IF($I$54="Linear",F133,$B$66))</f>
        <v>0</v>
      </c>
      <c r="O133" s="4">
        <f t="shared" si="57"/>
        <v>1.7616135070548204</v>
      </c>
      <c r="P133" s="4">
        <f t="shared" ref="P133:P139" si="58">(1/6)*(M133-K133)*((N133*((2*J133)+L133))+(O133*(J133+(2*L133))))</f>
        <v>479.86381702995192</v>
      </c>
      <c r="Q133" s="4">
        <f t="shared" ref="Q133:Q139" si="59">((1/12)*(M133-K133)*(N133*J133*((3*K133)+M133)+N133*L133*(K133+M133)+O133*J133*(K133+M133)+O133*L133*(K133+(3*M133))))</f>
        <v>13752.272176055945</v>
      </c>
      <c r="R133" s="4">
        <f t="shared" ref="R133:R139" si="60">((-1/24)*(M133-K133)*(J133*J133*((3*N133)+O133)+2*J133*L133*(N133+O133)+L133*L133*(N133+(3*O133))))</f>
        <v>-8157.7138081414942</v>
      </c>
    </row>
    <row r="134" spans="1:18" x14ac:dyDescent="0.25">
      <c r="A134" t="s">
        <v>71</v>
      </c>
      <c r="B134" s="4">
        <f t="shared" si="50"/>
        <v>34.000142991494869</v>
      </c>
      <c r="C134" s="4">
        <f t="shared" si="50"/>
        <v>33.999857007903756</v>
      </c>
      <c r="D134" s="4">
        <f t="shared" si="47"/>
        <v>-33.999857007903756</v>
      </c>
      <c r="E134" s="4">
        <f t="shared" si="47"/>
        <v>34.000142991494869</v>
      </c>
      <c r="F134" s="4">
        <f t="shared" si="48"/>
        <v>1.7616135070548204</v>
      </c>
      <c r="G134" s="4">
        <f t="shared" si="49"/>
        <v>1.7616449479451088</v>
      </c>
      <c r="H134" s="4">
        <f t="shared" si="51"/>
        <v>-4.2056410458081708E-6</v>
      </c>
      <c r="I134" s="4">
        <f t="shared" si="52"/>
        <v>34.000000000300687</v>
      </c>
      <c r="J134" s="4">
        <f t="shared" si="53"/>
        <v>34.000142991494869</v>
      </c>
      <c r="K134" s="4">
        <f t="shared" si="54"/>
        <v>33.999857007903756</v>
      </c>
      <c r="L134" s="4">
        <f t="shared" si="55"/>
        <v>-33.999857007903756</v>
      </c>
      <c r="M134" s="4">
        <f t="shared" si="56"/>
        <v>34.000142991494869</v>
      </c>
      <c r="N134" s="4">
        <f t="shared" si="57"/>
        <v>1.7616135070548204</v>
      </c>
      <c r="O134" s="4">
        <f t="shared" si="57"/>
        <v>1.7616449479451088</v>
      </c>
      <c r="P134" s="4">
        <f t="shared" si="58"/>
        <v>2.1086565790038839E-8</v>
      </c>
      <c r="Q134" s="4">
        <f t="shared" si="59"/>
        <v>-9.9497008244885467E-8</v>
      </c>
      <c r="R134" s="4">
        <f t="shared" si="60"/>
        <v>-9.706489881423809E-2</v>
      </c>
    </row>
    <row r="135" spans="1:18" x14ac:dyDescent="0.25">
      <c r="A135" t="s">
        <v>72</v>
      </c>
      <c r="B135" s="4">
        <f t="shared" si="50"/>
        <v>-33.999857007903756</v>
      </c>
      <c r="C135" s="4">
        <f t="shared" si="50"/>
        <v>34.000142991494869</v>
      </c>
      <c r="D135" s="4">
        <f t="shared" si="47"/>
        <v>-34.000142991494869</v>
      </c>
      <c r="E135" s="4">
        <f t="shared" si="47"/>
        <v>-33.999857007903756</v>
      </c>
      <c r="F135" s="4">
        <f t="shared" si="48"/>
        <v>1.7616449479451088</v>
      </c>
      <c r="G135" s="4">
        <f t="shared" si="49"/>
        <v>-5.7142404036283088</v>
      </c>
      <c r="H135" s="4">
        <f t="shared" si="51"/>
        <v>237775.87984992584</v>
      </c>
      <c r="I135" s="4">
        <f t="shared" si="52"/>
        <v>8084379.914968974</v>
      </c>
      <c r="J135" s="4">
        <f t="shared" si="53"/>
        <v>-33.999857007903756</v>
      </c>
      <c r="K135" s="4">
        <f t="shared" si="54"/>
        <v>34.000142991494869</v>
      </c>
      <c r="L135" s="4">
        <f t="shared" si="55"/>
        <v>-33.99992439812241</v>
      </c>
      <c r="M135" s="4">
        <f t="shared" si="56"/>
        <v>17.976374457645441</v>
      </c>
      <c r="N135" s="4">
        <f t="shared" si="57"/>
        <v>1.7616449479451088</v>
      </c>
      <c r="O135" s="4">
        <f t="shared" si="57"/>
        <v>0</v>
      </c>
      <c r="P135" s="4">
        <f t="shared" si="58"/>
        <v>479.87754388642537</v>
      </c>
      <c r="Q135" s="4">
        <f t="shared" si="59"/>
        <v>13752.755367878673</v>
      </c>
      <c r="R135" s="4">
        <f t="shared" si="60"/>
        <v>8157.889326565145</v>
      </c>
    </row>
    <row r="136" spans="1:18" x14ac:dyDescent="0.25">
      <c r="A136" t="s">
        <v>73</v>
      </c>
      <c r="B136" s="4">
        <f t="shared" si="50"/>
        <v>-34.000142991494869</v>
      </c>
      <c r="C136" s="4">
        <f t="shared" si="50"/>
        <v>-33.999857007903756</v>
      </c>
      <c r="D136" s="4">
        <f t="shared" si="47"/>
        <v>-34.000142991494869</v>
      </c>
      <c r="E136" s="4">
        <f t="shared" si="47"/>
        <v>-33.999857007903756</v>
      </c>
      <c r="F136" s="4">
        <f t="shared" si="48"/>
        <v>-5.7142404036283088</v>
      </c>
      <c r="G136" s="4">
        <f t="shared" si="49"/>
        <v>-5.7142404036283088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-34.000142991494869</v>
      </c>
      <c r="C137" s="4">
        <f t="shared" si="50"/>
        <v>-33.999857007903756</v>
      </c>
      <c r="D137" s="4">
        <f t="shared" si="47"/>
        <v>-34.000142991494869</v>
      </c>
      <c r="E137" s="4">
        <f t="shared" si="47"/>
        <v>-33.999857007903756</v>
      </c>
      <c r="F137" s="4">
        <f t="shared" si="48"/>
        <v>-5.7142404036283088</v>
      </c>
      <c r="G137" s="4">
        <f t="shared" si="49"/>
        <v>-5.7142404036283088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-34.000142991494869</v>
      </c>
      <c r="C138" s="4">
        <f t="shared" si="50"/>
        <v>-33.999857007903756</v>
      </c>
      <c r="D138" s="4">
        <f t="shared" si="47"/>
        <v>-34.000142991494869</v>
      </c>
      <c r="E138" s="4">
        <f t="shared" si="47"/>
        <v>-33.999857007903756</v>
      </c>
      <c r="F138" s="4">
        <f t="shared" si="48"/>
        <v>-5.7142404036283088</v>
      </c>
      <c r="G138" s="4">
        <f t="shared" si="49"/>
        <v>-5.7142404036283088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-34.000142991494869</v>
      </c>
      <c r="C139" s="4">
        <f>E138</f>
        <v>-33.999857007903756</v>
      </c>
      <c r="D139" s="4">
        <f t="shared" si="47"/>
        <v>-34.000142991494869</v>
      </c>
      <c r="E139" s="4">
        <f t="shared" si="47"/>
        <v>-33.999857007903756</v>
      </c>
      <c r="F139" s="4">
        <f t="shared" si="48"/>
        <v>-5.7142404036283088</v>
      </c>
      <c r="G139" s="4">
        <f t="shared" si="49"/>
        <v>-5.7142404036283088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>IF(G139&lt;0,IF($I$54="Linear",0,$B$66),IF($I$54="Linear",G139,$B$66))</f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959.74136093746392</v>
      </c>
      <c r="Q140" s="4">
        <f>SUM(Q132:Q139)</f>
        <v>27505.027543835124</v>
      </c>
      <c r="R140" s="4">
        <f>SUM(R132:R139)</f>
        <v>7.8453524836731958E-2</v>
      </c>
    </row>
    <row r="142" spans="1:18" x14ac:dyDescent="0.25">
      <c r="O142" t="s">
        <v>96</v>
      </c>
      <c r="P142" s="1">
        <f>-1*R140/P140</f>
        <v>-8.1744444940978154E-5</v>
      </c>
    </row>
    <row r="143" spans="1:18" x14ac:dyDescent="0.25">
      <c r="O143" t="s">
        <v>97</v>
      </c>
      <c r="P143" s="1">
        <f>Q140/P140</f>
        <v>28.658791486248482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-28.999999999743533</v>
      </c>
      <c r="C146" s="9">
        <f>J84</f>
        <v>1.219635903243289E-4</v>
      </c>
      <c r="D146" s="9">
        <f t="shared" ref="D146:E153" si="61">I85</f>
        <v>-20.506013758943368</v>
      </c>
      <c r="E146">
        <f t="shared" si="61"/>
        <v>20.506086241114499</v>
      </c>
      <c r="F146" s="4">
        <f>($B$66/$B$65)*(C146-$B$125)</f>
        <v>-1.9763000396717685</v>
      </c>
      <c r="G146" s="4">
        <f>($B$66/$B$65)*(E146-$B$125)</f>
        <v>0.27811522449862119</v>
      </c>
      <c r="H146" s="4">
        <f>IF(B146=D146,"V",(C146-E146)/(B146-D146))</f>
        <v>2.4141744166037684</v>
      </c>
      <c r="I146" s="4">
        <f>IF(H146="V",0,(-1*B146*H146)+C146)</f>
        <v>70.011180044480454</v>
      </c>
      <c r="J146" s="4">
        <f>IF($F146&gt;=0,B146,IF(AND($F146&lt;0,$G146&gt;=0),IF(H146="V",B146,($B$125-I146)/H146),0))</f>
        <v>-21.553871679262077</v>
      </c>
      <c r="K146" s="4">
        <f>IF($F146&gt;=0,C146,IF(AND($F146&lt;0,$G146&gt;=0),$B$125,0))</f>
        <v>17.976374457645441</v>
      </c>
      <c r="L146" s="4">
        <f>IF($G146&gt;=0,D146,IF(AND($G146&lt;0,$F146&gt;=0),IF(H146="V",D146,($B$125-I146)/H146),0))</f>
        <v>-20.506013758943368</v>
      </c>
      <c r="M146" s="4">
        <f>IF($G146&gt;=0,E146,IF(AND($G146&lt;0,$F146&gt;=0),$B$125,0))</f>
        <v>20.506086241114499</v>
      </c>
      <c r="N146" s="4">
        <f>IF(F146&lt;0,IF($I$54="Linear",0,$B$66),IF($I$54="Linear",F146,$B$66))</f>
        <v>0</v>
      </c>
      <c r="O146" s="4">
        <f>IF(G146&lt;0,IF($I$54="Linear",0,$B$66),IF($I$54="Linear",G146,$B$66))</f>
        <v>0.27811522449862119</v>
      </c>
      <c r="P146" s="4">
        <f>(1/6)*(M146-K146)*((N146*((2*J146)+L146))+(O146*(J146+(2*L146))))</f>
        <v>-7.3363872509723249</v>
      </c>
      <c r="Q146" s="4">
        <f>((1/12)*(M146-K146)*(N146*J146*((3*K146)+M146)+N146*L146*(K146+M146)+O146*J146*(K146+M146)+O146*L146*(K146+(3*M146))))</f>
        <v>-144.20247016212954</v>
      </c>
      <c r="R146" s="4">
        <f>((-1/24)*(M146-K146)*(J146*J146*((3*N146)+O146)+2*J146*L146*(N146+O146)+L146*L146*(N146+(3*O146))))</f>
        <v>-76.512006754969647</v>
      </c>
    </row>
    <row r="147" spans="1:18" x14ac:dyDescent="0.25">
      <c r="A147" t="s">
        <v>70</v>
      </c>
      <c r="B147" s="9">
        <f t="shared" ref="B147:C153" si="62">D146</f>
        <v>-20.506013758943368</v>
      </c>
      <c r="C147">
        <f t="shared" si="62"/>
        <v>20.506086241114499</v>
      </c>
      <c r="D147" s="9">
        <f t="shared" si="61"/>
        <v>1.219635903243289E-4</v>
      </c>
      <c r="E147">
        <f t="shared" si="61"/>
        <v>28.999999999743533</v>
      </c>
      <c r="F147" s="4">
        <f t="shared" ref="F147:F153" si="63">($B$66/$B$65)*(C147-$B$125)</f>
        <v>0.27811522449862119</v>
      </c>
      <c r="G147" s="4">
        <f t="shared" ref="G147:G153" si="64">($B$66/$B$65)*(E147-$B$125)</f>
        <v>1.21193177517839</v>
      </c>
      <c r="H147" s="4">
        <f t="shared" ref="H147:H153" si="65">IF(B147=D147,"V",(C147-E147)/(B147-D147))</f>
        <v>0.41421328101789945</v>
      </c>
      <c r="I147" s="4">
        <f t="shared" ref="I147:I153" si="66">IF(H147="V",0,(-1*B147*H147)+C147)</f>
        <v>28.99994948080462</v>
      </c>
      <c r="J147" s="4">
        <f t="shared" ref="J147:J153" si="67">IF($F147&gt;=0,B147,IF(AND($F147&lt;0,$G147&gt;=0),IF(H147="V",B147,($B$125-I147)/H147),0))</f>
        <v>-20.506013758943368</v>
      </c>
      <c r="K147" s="4">
        <f t="shared" ref="K147:K153" si="68">IF($F147&gt;=0,C147,IF(AND($F147&lt;0,$G147&gt;=0),$B$125,0))</f>
        <v>20.506086241114499</v>
      </c>
      <c r="L147" s="4">
        <f t="shared" ref="L147:L153" si="69">IF($G147&gt;=0,D147,IF(AND($G147&lt;0,$F147&gt;=0),IF(H147="V",D147,($B$125-I147)/H147),0))</f>
        <v>1.219635903243289E-4</v>
      </c>
      <c r="M147" s="4">
        <f t="shared" ref="M147:M153" si="70">IF($G147&gt;=0,E147,IF(AND($G147&lt;0,$F147&gt;=0),$B$125,0))</f>
        <v>28.999999999743533</v>
      </c>
      <c r="N147" s="4">
        <f t="shared" ref="N147:O153" si="71">IF(F147&lt;0,IF($I$54="Linear",0,$B$66),IF($I$54="Linear",F147,$B$66))</f>
        <v>0.27811522449862119</v>
      </c>
      <c r="O147" s="4">
        <f t="shared" si="71"/>
        <v>1.21193177517839</v>
      </c>
      <c r="P147" s="4">
        <f t="shared" ref="P147:P153" si="72">(1/6)*(M147-K147)*((N147*((2*J147)+L147))+(O147*(J147+(2*L147))))</f>
        <v>-51.328196137474642</v>
      </c>
      <c r="Q147" s="4">
        <f t="shared" ref="Q147:Q153" si="73">((1/12)*(M147-K147)*(N147*J147*((3*K147)+M147)+N147*L147*(K147+M147)+O147*J147*(K147+M147)+O147*L147*(K147+(3*M147))))</f>
        <v>-1236.2402976275644</v>
      </c>
      <c r="R147" s="4">
        <f t="shared" ref="R147:R153" si="74">((-1/24)*(M147-K147)*(J147*J147*((3*N147)+O147)+2*J147*L147*(N147+O147)+L147*L147*(N147+(3*O147))))</f>
        <v>-304.52282539092403</v>
      </c>
    </row>
    <row r="148" spans="1:18" x14ac:dyDescent="0.25">
      <c r="A148" t="s">
        <v>71</v>
      </c>
      <c r="B148" s="9">
        <f t="shared" si="62"/>
        <v>1.219635903243289E-4</v>
      </c>
      <c r="C148">
        <f t="shared" si="62"/>
        <v>28.999999999743533</v>
      </c>
      <c r="D148" s="9">
        <f t="shared" si="61"/>
        <v>20.506086240693936</v>
      </c>
      <c r="E148">
        <f t="shared" si="61"/>
        <v>20.505913758943368</v>
      </c>
      <c r="F148" s="4">
        <f t="shared" si="63"/>
        <v>1.21193177517839</v>
      </c>
      <c r="G148" s="4">
        <f t="shared" si="64"/>
        <v>0.2780962618966128</v>
      </c>
      <c r="H148" s="4">
        <f t="shared" si="65"/>
        <v>-0.41422515547266531</v>
      </c>
      <c r="I148" s="4">
        <f t="shared" si="66"/>
        <v>29.000050520130696</v>
      </c>
      <c r="J148" s="4">
        <f t="shared" si="67"/>
        <v>1.219635903243289E-4</v>
      </c>
      <c r="K148" s="4">
        <f t="shared" si="68"/>
        <v>28.999999999743533</v>
      </c>
      <c r="L148" s="4">
        <f t="shared" si="69"/>
        <v>20.506086240693936</v>
      </c>
      <c r="M148" s="4">
        <f t="shared" si="70"/>
        <v>20.505913758943368</v>
      </c>
      <c r="N148" s="4">
        <f t="shared" si="71"/>
        <v>1.21193177517839</v>
      </c>
      <c r="O148" s="4">
        <f t="shared" si="71"/>
        <v>0.2780962618966128</v>
      </c>
      <c r="P148" s="4">
        <f t="shared" si="72"/>
        <v>-51.329251950304375</v>
      </c>
      <c r="Q148" s="4">
        <f t="shared" si="73"/>
        <v>-1236.2646070879434</v>
      </c>
      <c r="R148" s="4">
        <f t="shared" si="74"/>
        <v>304.52797144046053</v>
      </c>
    </row>
    <row r="149" spans="1:18" x14ac:dyDescent="0.25">
      <c r="A149" t="s">
        <v>72</v>
      </c>
      <c r="B149" s="9">
        <f t="shared" si="62"/>
        <v>20.506086240693936</v>
      </c>
      <c r="C149">
        <f t="shared" si="62"/>
        <v>20.505913758943368</v>
      </c>
      <c r="D149" s="9">
        <f t="shared" si="61"/>
        <v>28.999999999743533</v>
      </c>
      <c r="E149">
        <f t="shared" si="61"/>
        <v>-1.219635903243289E-4</v>
      </c>
      <c r="F149" s="4">
        <f t="shared" si="63"/>
        <v>0.2780962618966128</v>
      </c>
      <c r="G149" s="4">
        <f t="shared" si="64"/>
        <v>-1.9763268569017196</v>
      </c>
      <c r="H149" s="4">
        <f t="shared" si="65"/>
        <v>-2.4142034289771455</v>
      </c>
      <c r="I149" s="4">
        <f t="shared" si="66"/>
        <v>70.011777476127733</v>
      </c>
      <c r="J149" s="4">
        <f t="shared" si="67"/>
        <v>20.506086240693936</v>
      </c>
      <c r="K149" s="4">
        <f t="shared" si="68"/>
        <v>20.505913758943368</v>
      </c>
      <c r="L149" s="4">
        <f t="shared" si="69"/>
        <v>21.553860123762956</v>
      </c>
      <c r="M149" s="4">
        <f t="shared" si="70"/>
        <v>17.976374457645441</v>
      </c>
      <c r="N149" s="4">
        <f t="shared" si="71"/>
        <v>0.2780962618966128</v>
      </c>
      <c r="O149" s="4">
        <f t="shared" si="71"/>
        <v>0</v>
      </c>
      <c r="P149" s="4">
        <f t="shared" si="72"/>
        <v>-7.3354024991625257</v>
      </c>
      <c r="Q149" s="4">
        <f t="shared" si="73"/>
        <v>-144.18227840147466</v>
      </c>
      <c r="R149" s="4">
        <f t="shared" si="74"/>
        <v>76.501898024439456</v>
      </c>
    </row>
    <row r="150" spans="1:18" x14ac:dyDescent="0.25">
      <c r="A150" t="s">
        <v>73</v>
      </c>
      <c r="B150" s="9">
        <f t="shared" si="62"/>
        <v>28.999999999743533</v>
      </c>
      <c r="C150">
        <f t="shared" si="62"/>
        <v>-1.219635903243289E-4</v>
      </c>
      <c r="D150" s="9">
        <f t="shared" si="61"/>
        <v>20.505913758522805</v>
      </c>
      <c r="E150">
        <f t="shared" si="61"/>
        <v>-20.506186240693935</v>
      </c>
      <c r="F150" s="4">
        <f t="shared" si="63"/>
        <v>-1.9763268569017196</v>
      </c>
      <c r="G150" s="4">
        <f t="shared" si="64"/>
        <v>-4.2307531149749193</v>
      </c>
      <c r="H150" s="4">
        <f t="shared" si="65"/>
        <v>2.4141577675053818</v>
      </c>
      <c r="I150" s="4">
        <f t="shared" si="66"/>
        <v>-70.01069722062725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20.505913758522805</v>
      </c>
      <c r="C151">
        <f t="shared" si="62"/>
        <v>-20.506186240693935</v>
      </c>
      <c r="D151" s="9">
        <f t="shared" si="61"/>
        <v>-1.219635903243289E-4</v>
      </c>
      <c r="E151">
        <f t="shared" si="61"/>
        <v>-28.999999999743533</v>
      </c>
      <c r="F151" s="4">
        <f t="shared" si="63"/>
        <v>-4.2307531149749193</v>
      </c>
      <c r="G151" s="4">
        <f t="shared" si="64"/>
        <v>-5.1645586717518777</v>
      </c>
      <c r="H151" s="4">
        <f t="shared" si="65"/>
        <v>0.41421042439178574</v>
      </c>
      <c r="I151" s="4">
        <f t="shared" si="66"/>
        <v>-28.999949481153024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-1.219635903243289E-4</v>
      </c>
      <c r="C152">
        <f t="shared" si="62"/>
        <v>-28.999999999743533</v>
      </c>
      <c r="D152" s="9">
        <f t="shared" si="61"/>
        <v>-20.506186241114499</v>
      </c>
      <c r="E152">
        <f t="shared" si="61"/>
        <v>-20.506013758522805</v>
      </c>
      <c r="F152" s="4">
        <f t="shared" si="63"/>
        <v>-5.1645586717518777</v>
      </c>
      <c r="G152" s="4">
        <f t="shared" si="64"/>
        <v>-4.2307341523729107</v>
      </c>
      <c r="H152" s="4">
        <f t="shared" si="65"/>
        <v>-0.4142182588655311</v>
      </c>
      <c r="I152" s="4">
        <f t="shared" si="66"/>
        <v>-29.000050519289562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-20.506186241114499</v>
      </c>
      <c r="C153">
        <f t="shared" si="62"/>
        <v>-20.506013758522805</v>
      </c>
      <c r="D153" s="9">
        <f t="shared" si="61"/>
        <v>-28.999999999743533</v>
      </c>
      <c r="E153">
        <f t="shared" si="61"/>
        <v>1.219635903243289E-4</v>
      </c>
      <c r="F153" s="4">
        <f t="shared" si="63"/>
        <v>-4.2307341523729107</v>
      </c>
      <c r="G153" s="4">
        <f t="shared" si="64"/>
        <v>-1.9763000396717685</v>
      </c>
      <c r="H153" s="4">
        <f t="shared" si="65"/>
        <v>-2.4142436254009616</v>
      </c>
      <c r="I153" s="4">
        <f t="shared" si="66"/>
        <v>-70.012943172418389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-117.32923783791387</v>
      </c>
      <c r="Q154" s="4">
        <f t="shared" ref="Q154:R154" si="75">SUM(Q146:Q153)</f>
        <v>-2760.8896532791123</v>
      </c>
      <c r="R154" s="4">
        <f t="shared" si="75"/>
        <v>-4.9626809936995642E-3</v>
      </c>
    </row>
    <row r="156" spans="1:18" x14ac:dyDescent="0.25">
      <c r="O156" t="s">
        <v>96</v>
      </c>
      <c r="P156" s="1">
        <f>-1*R154/P154</f>
        <v>-4.2297053020623297E-5</v>
      </c>
    </row>
    <row r="157" spans="1:18" x14ac:dyDescent="0.25">
      <c r="O157" t="s">
        <v>97</v>
      </c>
      <c r="P157" s="1">
        <f>Q154/P154</f>
        <v>23.531130894186685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46.000011812700563</v>
      </c>
      <c r="C159" t="s">
        <v>36</v>
      </c>
    </row>
    <row r="160" spans="1:18" x14ac:dyDescent="0.25">
      <c r="A160" s="1" t="s">
        <v>106</v>
      </c>
      <c r="B160" s="4">
        <f>Q140+I122+Q154-O122</f>
        <v>42779.999732106582</v>
      </c>
      <c r="C160" t="s">
        <v>102</v>
      </c>
    </row>
    <row r="161" spans="1:9" x14ac:dyDescent="0.25">
      <c r="A161" s="1" t="s">
        <v>107</v>
      </c>
      <c r="B161" s="4">
        <f>R140+J122+R154-P122</f>
        <v>-0.17991732016572826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46.000011812700563</v>
      </c>
      <c r="C164" t="s">
        <v>36</v>
      </c>
      <c r="E164" s="8">
        <f>B2-B164</f>
        <v>-1.1812700563496037E-5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42779.999732484917</v>
      </c>
      <c r="C165" t="s">
        <v>102</v>
      </c>
      <c r="E165" s="8">
        <f>B3+B165</f>
        <v>-2.6751508266897872E-4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2.6428128019340136E-9</v>
      </c>
      <c r="C166" t="s">
        <v>102</v>
      </c>
      <c r="E166" s="8">
        <f>B4+B166</f>
        <v>2.6428128019340136E-9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1.7616449479451088</v>
      </c>
      <c r="B169" s="1">
        <f ca="1">IF(E122=0,0,(MIN(H110:H121)*B65)/(B55*B56*E122))</f>
        <v>-1.7616449218156918</v>
      </c>
      <c r="C169" s="3">
        <f ca="1">A169+B169</f>
        <v>2.6129417074471917E-8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6.2379737520462731E-14</v>
      </c>
      <c r="C175" s="27">
        <f>B65*SQRT(I175)</f>
        <v>2.3767089591661043E-7</v>
      </c>
      <c r="D175" s="27">
        <f>B66*SQRT(I175)</f>
        <v>2.6129417195500468E-8</v>
      </c>
      <c r="E175" s="27">
        <f>B67*SQRT(I175)</f>
        <v>2.1196479852719356E-6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4.205641108058649E-6</v>
      </c>
      <c r="C176" s="3">
        <f>B65+C175</f>
        <v>16.023768771520324</v>
      </c>
      <c r="D176" s="3">
        <f>D175+B66</f>
        <v>1.7616449740745261</v>
      </c>
      <c r="E176" s="3">
        <f>B67+E175</f>
        <v>142.90664013373069</v>
      </c>
      <c r="F176" s="16" t="s">
        <v>125</v>
      </c>
    </row>
    <row r="177" spans="1:13" x14ac:dyDescent="0.25">
      <c r="B177" s="27">
        <f>B176-B64</f>
        <v>6.2379737165378212E-14</v>
      </c>
      <c r="C177" s="27">
        <f>C176-B65</f>
        <v>2.3767089629700422E-7</v>
      </c>
      <c r="D177" s="27">
        <f>D176-B66</f>
        <v>2.6129417296516522E-8</v>
      </c>
      <c r="E177" s="27">
        <f>E176-B67</f>
        <v>2.119647973586325E-6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-478.19631597606025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34.000945861969306</v>
      </c>
      <c r="B181" s="25">
        <f>(d_alpha_p!E136-d_alpha_m!E136)/(2*B177)</f>
        <v>34.000945861969306</v>
      </c>
      <c r="C181" s="25">
        <f>(d_alpha_p!E137-d_alpha_m!E137)/(2*B177)</f>
        <v>34.000945861969306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1.1812700563496037E-5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2.6751508266897872E-4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-2.6428128019340136E-9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-2.6129417074471917E-8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-478.19631597606025</v>
      </c>
      <c r="B190" s="25">
        <f>A181</f>
        <v>34.000945861969306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34.000945861969306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34.000945861969306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-478.19631597606025</v>
      </c>
      <c r="B201" s="25">
        <f t="shared" ref="B201:C201" si="77">B190</f>
        <v>34.000945861969306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34.000945861969306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34.000945861969306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2020-11-23T21:21:12Z</dcterms:modified>
</cp:coreProperties>
</file>