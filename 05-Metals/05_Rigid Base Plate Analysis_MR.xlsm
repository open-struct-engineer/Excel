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BCB24F79-58AA-48AD-8652-755CBF0104E6}" xr6:coauthVersionLast="45" xr6:coauthVersionMax="45" xr10:uidLastSave="{00000000-0000-0000-0000-000000000000}"/>
  <bookViews>
    <workbookView xWindow="-120" yWindow="-120" windowWidth="27930" windowHeight="18240" xr2:uid="{6AEE646E-04EC-4C95-872D-5F2912EB63C3}"/>
  </bookViews>
  <sheets>
    <sheet name="LICENSE" sheetId="12" r:id="rId1"/>
    <sheet name="Results_Chart" sheetId="11" r:id="rId2"/>
    <sheet name="Rigid Bearing Plate Analysis" sheetId="1" r:id="rId3"/>
    <sheet name="d_sigma_p" sheetId="2" r:id="rId4"/>
    <sheet name="d_sigma_m" sheetId="6" r:id="rId5"/>
    <sheet name="d_alpha_p" sheetId="3" r:id="rId6"/>
    <sheet name="d_alpha_m" sheetId="7" r:id="rId7"/>
    <sheet name="d_Y_p" sheetId="4" r:id="rId8"/>
    <sheet name="d_Y_m" sheetId="8" r:id="rId9"/>
    <sheet name="d_T_p" sheetId="5" r:id="rId10"/>
    <sheet name="d_T_m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7" i="5"/>
  <c r="Q47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Q46" i="3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H88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D100" i="7" l="1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F118" i="9"/>
  <c r="E118" i="9"/>
  <c r="G120" i="9"/>
  <c r="F120" i="9"/>
  <c r="G118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21" i="8"/>
  <c r="F121" i="8"/>
  <c r="G119" i="8"/>
  <c r="F121" i="4"/>
  <c r="F14" i="4"/>
  <c r="F120" i="4"/>
  <c r="E120" i="4"/>
  <c r="G120" i="4"/>
  <c r="I14" i="4"/>
  <c r="E121" i="4"/>
  <c r="F119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F119" i="3"/>
  <c r="E119" i="3"/>
  <c r="G119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19" i="6"/>
  <c r="E119" i="6"/>
  <c r="G119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G118" i="2"/>
  <c r="F118" i="2"/>
  <c r="E118" i="2"/>
  <c r="F120" i="2"/>
  <c r="E120" i="2"/>
  <c r="J81" i="1"/>
  <c r="D32" i="1"/>
  <c r="G119" i="2" l="1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76" i="4"/>
  <c r="C80" i="4"/>
  <c r="B76" i="4"/>
  <c r="D16" i="4"/>
  <c r="B79" i="4"/>
  <c r="B79" i="3"/>
  <c r="J15" i="2"/>
  <c r="G21" i="1"/>
  <c r="F175" i="1"/>
  <c r="J15" i="9" l="1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H20" i="8" s="1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C79" i="5"/>
  <c r="I21" i="5"/>
  <c r="E21" i="5"/>
  <c r="F20" i="5"/>
  <c r="I20" i="5"/>
  <c r="B77" i="6"/>
  <c r="I21" i="1"/>
  <c r="H21" i="1"/>
  <c r="J21" i="1" s="1"/>
  <c r="D21" i="1"/>
  <c r="E21" i="1"/>
  <c r="B5" i="1"/>
  <c r="J64" i="1" s="1"/>
  <c r="Q64" i="1" s="1"/>
  <c r="H21" i="5" l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J20" i="3" s="1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C91" i="5" s="1"/>
  <c r="E138" i="5" s="1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J20" i="5" l="1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E135" i="6"/>
  <c r="D22" i="8" l="1"/>
  <c r="J19" i="3"/>
  <c r="G22" i="3"/>
  <c r="J19" i="5"/>
  <c r="D22" i="2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P13" i="2" s="1"/>
  <c r="I22" i="9"/>
  <c r="B89" i="4"/>
  <c r="Q76" i="4" s="1" a="1"/>
  <c r="Q76" i="4" s="1"/>
  <c r="H22" i="7"/>
  <c r="I22" i="3"/>
  <c r="D22" i="7"/>
  <c r="I2" i="7" s="1"/>
  <c r="K13" i="3"/>
  <c r="H22" i="4"/>
  <c r="J19" i="4"/>
  <c r="J18" i="4"/>
  <c r="J18" i="9"/>
  <c r="F22" i="3"/>
  <c r="J19" i="7"/>
  <c r="I2" i="2"/>
  <c r="E22" i="2"/>
  <c r="F22" i="2"/>
  <c r="R19" i="2" s="1"/>
  <c r="H139" i="6"/>
  <c r="I139" i="6" s="1"/>
  <c r="O13" i="2"/>
  <c r="W13" i="2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M13" i="2" s="1"/>
  <c r="H22" i="9"/>
  <c r="L13" i="9" s="1"/>
  <c r="F22" i="9"/>
  <c r="R19" i="9" s="1"/>
  <c r="I2" i="9"/>
  <c r="O13" i="8"/>
  <c r="W13" i="8" s="1"/>
  <c r="F22" i="8"/>
  <c r="E22" i="8"/>
  <c r="I2" i="8"/>
  <c r="L13" i="8"/>
  <c r="L13" i="2"/>
  <c r="I22" i="7"/>
  <c r="P13" i="9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Q76" i="8" l="1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R13" i="2"/>
  <c r="Y18" i="2"/>
  <c r="AA18" i="2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V13" i="2"/>
  <c r="Y16" i="2"/>
  <c r="AA16" i="2" s="1"/>
  <c r="U13" i="2"/>
  <c r="F22" i="6"/>
  <c r="K15" i="6" s="1"/>
  <c r="Y15" i="2"/>
  <c r="AA15" i="2" s="1"/>
  <c r="Y17" i="2"/>
  <c r="AA17" i="2" s="1"/>
  <c r="Y20" i="2"/>
  <c r="AA20" i="2" s="1"/>
  <c r="Y19" i="2"/>
  <c r="AA19" i="2" s="1"/>
  <c r="K13" i="5"/>
  <c r="K14" i="3"/>
  <c r="O17" i="3" s="1"/>
  <c r="O19" i="3" s="1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Q13" i="2"/>
  <c r="T13" i="2" s="1"/>
  <c r="Z14" i="2"/>
  <c r="AB14" i="2" s="1"/>
  <c r="AC14" i="2" s="1"/>
  <c r="Z19" i="2"/>
  <c r="AB19" i="2" s="1"/>
  <c r="K21" i="3"/>
  <c r="I2" i="6"/>
  <c r="P13" i="7"/>
  <c r="F22" i="7"/>
  <c r="R19" i="7" s="1"/>
  <c r="L13" i="7"/>
  <c r="Z16" i="3"/>
  <c r="AB16" i="3" s="1"/>
  <c r="O13" i="7"/>
  <c r="Z21" i="7" s="1"/>
  <c r="AB21" i="7" s="1"/>
  <c r="Z17" i="3"/>
  <c r="AB17" i="3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Z18" i="3"/>
  <c r="AB18" i="3" s="1"/>
  <c r="S13" i="3"/>
  <c r="I2" i="4"/>
  <c r="J22" i="4"/>
  <c r="Z20" i="3"/>
  <c r="AB20" i="3" s="1"/>
  <c r="P13" i="4"/>
  <c r="K21" i="2"/>
  <c r="Z19" i="3"/>
  <c r="AB19" i="3" s="1"/>
  <c r="K15" i="2"/>
  <c r="Q19" i="2"/>
  <c r="Z14" i="3"/>
  <c r="AB14" i="3" s="1"/>
  <c r="K19" i="3"/>
  <c r="K17" i="2"/>
  <c r="X13" i="3"/>
  <c r="K15" i="8"/>
  <c r="K16" i="2"/>
  <c r="W13" i="3"/>
  <c r="Z15" i="3"/>
  <c r="AB15" i="3" s="1"/>
  <c r="AC15" i="3" s="1"/>
  <c r="L13" i="4"/>
  <c r="R19" i="8"/>
  <c r="K18" i="3"/>
  <c r="K15" i="3"/>
  <c r="R19" i="3"/>
  <c r="Q19" i="3"/>
  <c r="K17" i="3"/>
  <c r="K20" i="3"/>
  <c r="K16" i="3"/>
  <c r="J22" i="9"/>
  <c r="M13" i="9" s="1"/>
  <c r="Y16" i="3"/>
  <c r="AA16" i="3" s="1"/>
  <c r="M13" i="6"/>
  <c r="K21" i="9"/>
  <c r="Y14" i="3"/>
  <c r="AA14" i="3" s="1"/>
  <c r="Y18" i="3"/>
  <c r="AA18" i="3" s="1"/>
  <c r="K18" i="9"/>
  <c r="Y17" i="3"/>
  <c r="AA17" i="3" s="1"/>
  <c r="Y19" i="3"/>
  <c r="AA19" i="3" s="1"/>
  <c r="E22" i="5"/>
  <c r="Q19" i="5" s="1"/>
  <c r="U13" i="3"/>
  <c r="S13" i="8"/>
  <c r="M13" i="5"/>
  <c r="V13" i="3"/>
  <c r="Z21" i="8"/>
  <c r="AB21" i="8" s="1"/>
  <c r="Y20" i="3"/>
  <c r="AA20" i="3" s="1"/>
  <c r="Q13" i="3"/>
  <c r="T13" i="3" s="1"/>
  <c r="R13" i="3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M13" i="4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R76" i="8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H136" i="8"/>
  <c r="I136" i="8" s="1"/>
  <c r="Q77" i="4"/>
  <c r="R77" i="4" s="1"/>
  <c r="R76" i="4"/>
  <c r="B137" i="3"/>
  <c r="H136" i="3"/>
  <c r="I136" i="3" s="1"/>
  <c r="C137" i="3"/>
  <c r="R76" i="9" l="1"/>
  <c r="AC18" i="2"/>
  <c r="AC15" i="2"/>
  <c r="Q13" i="9"/>
  <c r="T13" i="9" s="1"/>
  <c r="Z14" i="9"/>
  <c r="AB14" i="9" s="1"/>
  <c r="AC14" i="9" s="1"/>
  <c r="AC17" i="2"/>
  <c r="S13" i="9"/>
  <c r="Z17" i="9"/>
  <c r="AB17" i="9" s="1"/>
  <c r="AC17" i="9" s="1"/>
  <c r="I3" i="2" a="1"/>
  <c r="I3" i="2" s="1"/>
  <c r="I5" i="2" s="1"/>
  <c r="X13" i="9"/>
  <c r="K18" i="7"/>
  <c r="Z21" i="9"/>
  <c r="AB21" i="9" s="1"/>
  <c r="Y18" i="5"/>
  <c r="AA18" i="5" s="1"/>
  <c r="Z19" i="9"/>
  <c r="AB19" i="9" s="1"/>
  <c r="AC19" i="9" s="1"/>
  <c r="AC16" i="2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AC19" i="2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AC16" i="3"/>
  <c r="Z15" i="7"/>
  <c r="AB15" i="7" s="1"/>
  <c r="Z17" i="7"/>
  <c r="AB17" i="7" s="1"/>
  <c r="W13" i="7"/>
  <c r="Z20" i="7"/>
  <c r="AB20" i="7" s="1"/>
  <c r="N19" i="2"/>
  <c r="AC17" i="3"/>
  <c r="X13" i="7"/>
  <c r="W13" i="6"/>
  <c r="I3" i="3" a="1"/>
  <c r="I3" i="3" s="1"/>
  <c r="Z17" i="6"/>
  <c r="AB17" i="6" s="1"/>
  <c r="AC19" i="3"/>
  <c r="AC18" i="8"/>
  <c r="K14" i="7"/>
  <c r="O17" i="7" s="1"/>
  <c r="N19" i="7" s="1"/>
  <c r="K20" i="7"/>
  <c r="K19" i="7"/>
  <c r="K21" i="7"/>
  <c r="K16" i="7"/>
  <c r="Q19" i="7"/>
  <c r="K17" i="7"/>
  <c r="K15" i="7"/>
  <c r="AC18" i="3"/>
  <c r="AC14" i="8"/>
  <c r="AC20" i="3"/>
  <c r="AC20" i="8"/>
  <c r="AC14" i="3"/>
  <c r="I4" i="3" a="1"/>
  <c r="I4" i="3" s="1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9" i="5" l="1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I5" i="3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5" l="1"/>
  <c r="I5" i="6"/>
  <c r="I5" i="7"/>
  <c r="I5" i="4"/>
  <c r="Q19" i="1"/>
  <c r="H139" i="1"/>
  <c r="I139" i="1" s="1"/>
  <c r="F22" i="1"/>
  <c r="K21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O13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P13" i="1"/>
  <c r="N13" i="1"/>
  <c r="Y21" i="1" s="1"/>
  <c r="AA21" i="1" s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C132" i="1" l="1"/>
  <c r="K20" i="1"/>
  <c r="R19" i="1"/>
  <c r="K16" i="1"/>
  <c r="K19" i="1"/>
  <c r="K15" i="1"/>
  <c r="K14" i="1"/>
  <c r="O17" i="1" s="1"/>
  <c r="N19" i="1" s="1"/>
  <c r="K17" i="1"/>
  <c r="K18" i="1"/>
  <c r="W13" i="1"/>
  <c r="Z21" i="1"/>
  <c r="AB21" i="1" s="1"/>
  <c r="AC21" i="1" s="1"/>
  <c r="X13" i="1"/>
  <c r="S13" i="1"/>
  <c r="Y18" i="1"/>
  <c r="AA18" i="1" s="1"/>
  <c r="Y19" i="1"/>
  <c r="AA19" i="1" s="1"/>
  <c r="Y20" i="1"/>
  <c r="AA20" i="1" s="1"/>
  <c r="U13" i="1"/>
  <c r="Y14" i="1"/>
  <c r="AA14" i="1" s="1"/>
  <c r="Y16" i="1"/>
  <c r="AA16" i="1" s="1"/>
  <c r="Y17" i="1"/>
  <c r="AA17" i="1" s="1"/>
  <c r="Y15" i="1"/>
  <c r="AA15" i="1" s="1"/>
  <c r="Z17" i="1"/>
  <c r="AB17" i="1" s="1"/>
  <c r="Z19" i="1"/>
  <c r="AB19" i="1" s="1"/>
  <c r="Z20" i="1"/>
  <c r="AB20" i="1" s="1"/>
  <c r="Z18" i="1"/>
  <c r="AB18" i="1" s="1"/>
  <c r="Z14" i="1"/>
  <c r="AB14" i="1" s="1"/>
  <c r="Z15" i="1"/>
  <c r="AB15" i="1" s="1"/>
  <c r="Z16" i="1"/>
  <c r="AB16" i="1" s="1"/>
  <c r="B132" i="1"/>
  <c r="Q13" i="1"/>
  <c r="T13" i="1" s="1"/>
  <c r="V13" i="1"/>
  <c r="R13" i="1"/>
  <c r="AC19" i="1" l="1"/>
  <c r="I4" i="1" a="1"/>
  <c r="I4" i="1" s="1"/>
  <c r="AC20" i="1"/>
  <c r="O19" i="1"/>
  <c r="AC16" i="1"/>
  <c r="AC18" i="1"/>
  <c r="AC14" i="1"/>
  <c r="AC15" i="1"/>
  <c r="AC17" i="1"/>
  <c r="I3" i="1" a="1"/>
  <c r="I3" i="1" s="1"/>
  <c r="Q66" i="1" l="1"/>
  <c r="AC24" i="1"/>
  <c r="AC23" i="1"/>
  <c r="AC22" i="1"/>
  <c r="I5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Q24" i="1" s="1"/>
  <c r="T37" i="1"/>
  <c r="U37" i="1" s="1"/>
  <c r="B53" i="1"/>
  <c r="J66" i="1" l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E132" i="1" l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F127" i="1"/>
  <c r="F126" i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W151" i="1" l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E175" i="1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K146" i="3" l="1"/>
  <c r="F137" i="4"/>
  <c r="G148" i="4"/>
  <c r="M121" i="4"/>
  <c r="N121" i="4" s="1"/>
  <c r="G134" i="4"/>
  <c r="M117" i="4"/>
  <c r="N117" i="4" s="1"/>
  <c r="O117" i="4" s="1"/>
  <c r="F149" i="4"/>
  <c r="N149" i="4" s="1"/>
  <c r="G151" i="4"/>
  <c r="E110" i="4"/>
  <c r="F139" i="4"/>
  <c r="G137" i="4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K148" i="4" s="1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39" i="4" s="1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N137" i="4"/>
  <c r="K137" i="4"/>
  <c r="J137" i="4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O134" i="4"/>
  <c r="P117" i="3"/>
  <c r="O117" i="3"/>
  <c r="P113" i="3"/>
  <c r="O113" i="3"/>
  <c r="P121" i="4"/>
  <c r="O121" i="4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O148" i="4"/>
  <c r="P119" i="5"/>
  <c r="O119" i="5"/>
  <c r="N139" i="4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O137" i="4"/>
  <c r="M137" i="4"/>
  <c r="L137" i="4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J135" i="4" l="1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7" i="4"/>
  <c r="R137" i="4"/>
  <c r="P137" i="4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Q134" i="4" l="1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P156" i="4" s="1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4"/>
  <c r="P143" i="6"/>
  <c r="P157" i="5"/>
  <c r="P142" i="4"/>
  <c r="E164" i="1"/>
  <c r="B159" i="4" l="1"/>
  <c r="B164" i="4" s="1"/>
  <c r="E164" i="4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B165" i="2" s="1"/>
  <c r="E165" i="2" s="1"/>
  <c r="F186" i="2" s="1"/>
  <c r="H205" i="2" s="1" a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2" i="1"/>
  <c r="B212" i="1" s="1"/>
  <c r="F185" i="4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6" i="3" l="1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C212" i="1"/>
  <c r="D190" i="1"/>
  <c r="C205" i="4"/>
  <c r="B206" i="4"/>
  <c r="B205" i="4"/>
  <c r="C207" i="4"/>
  <c r="A205" i="4"/>
  <c r="H205" i="4" s="1" a="1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H205" i="2"/>
  <c r="J205" i="2" s="1"/>
  <c r="L207" i="2" s="1"/>
  <c r="H206" i="2"/>
  <c r="J206" i="2" s="1"/>
  <c r="L205" i="2" s="1"/>
  <c r="H207" i="2"/>
  <c r="J207" i="2" s="1"/>
  <c r="L206" i="2" s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9" i="1" l="1"/>
  <c r="M57" i="1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/>
  <c r="J205" i="4" s="1"/>
  <c r="L207" i="4" s="1"/>
  <c r="H206" i="4"/>
  <c r="J206" i="4" s="1"/>
  <c r="L205" i="4" s="1"/>
  <c r="H207" i="4"/>
  <c r="J207" i="4" s="1"/>
  <c r="L206" i="4" s="1"/>
  <c r="B192" i="1" l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<sst xmlns="http://schemas.openxmlformats.org/spreadsheetml/2006/main" count="2375" uniqueCount="199">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</sst>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4" borderId="4" xfId="0" applyFont="1" applyFill="1" applyBorder="1" applyAlignment="1">
      <alignment vertical="top" wrapText="1" indent="1"/>
    </xf>
    <xf numFmtId="0" fontId="1" fillId="4" borderId="5" xfId="0" applyFont="1" applyFill="1" applyBorder="1"/>
    <xf numFmtId="0" fontId="9" fillId="4" borderId="6" xfId="0" applyFont="1" applyFill="1" applyBorder="1" applyAlignment="1">
      <alignment horizontal="right" vertical="top" indent="1"/>
    </xf>
    <xf numFmtId="0" fontId="9" fillId="4" borderId="7" xfId="0" applyFont="1" applyFill="1" applyBorder="1" applyAlignment="1">
      <alignment vertical="top" wrapText="1" indent="1"/>
    </xf>
    <xf numFmtId="0" fontId="1" fillId="4" borderId="8" xfId="0" applyFont="1" applyFill="1" applyBorder="1"/>
    <xf numFmtId="0" fontId="1" fillId="4" borderId="9" xfId="0" applyFont="1" applyFill="1" applyBorder="1"/>
  </cellXfs>
  <cellStyles count="1">
    <cellStyle name="Normal" xfId="0" builtinId="0"/>
  </cellStyles>
  <dxfs count="2"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eetMetadata" Target="metadata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487F19-150B-44EE-9AC9-163EA52DBB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F72AA6-2CE8-45BE-AB97-F83356242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D1D270-588B-4907-87B7-D0464766C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D23EFA-50FE-44EF-9AA7-BE53750F7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3.3412 kips</c:v>
                  </c:pt>
                  <c:pt idx="1">
                    <c:v>
7.9008 kips</c:v>
                  </c:pt>
                  <c:pt idx="2">
                    <c:v>
7.9008 kips</c:v>
                  </c:pt>
                  <c:pt idx="3">
                    <c:v>
3.3412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 baseline="0">
                        <a:latin typeface="Calibri" panose="020F0502020204030204" pitchFamily="34" charset="0"/>
                      </a:defRPr>
                    </a:pPr>
                    <a:fld id="{4603707F-76F1-4BF7-A286-E8120171F89A}" type="CELLRANGE">
                      <a:rPr lang="en-US"/>
                      <a:pPr>
                        <a:defRPr sz="800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88197472863818"/>
                      <c:h val="0.104615893297556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OK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-1.8063026211148525</c:v>
                </c:pt>
                <c:pt idx="1">
                  <c:v>11.607910941258238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0.3920890587417567</c:v>
                </c:pt>
                <c:pt idx="1">
                  <c:v>13.806302621114853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003920-4F3C-466D-A2F3-A8B60B144E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2.4504020800358459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9.5495979199641514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52.4841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1.5000000000000009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1.5000000000000009</c:v>
                </c:pt>
                <c:pt idx="2">
                  <c:v>7.5000000000000009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BF00D2-1EFB-4211-B89A-B2A0F77A06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9F559A-B514-4094-897A-C08E7A86B5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9.8016083201433837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11.999999999999998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4">
                    <c:v>0 ksi</c:v>
                  </c:pt>
                  <c:pt idx="5">
                    <c:v>3.2778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DA7C5D-C5A9-43B0-AFF2-623199FDF4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2.1983916798566101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5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1710227-CBC7-45ED-8792-1F5E187B9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OK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-1.8063026211148525</c:v>
                </c:pt>
                <c:pt idx="1">
                  <c:v>11.607910941258238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0.3920890587417567</c:v>
                </c:pt>
                <c:pt idx="1">
                  <c:v>13.806302621114853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2.4504020800358459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9.5495979199641514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1.5000000000000009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1.5000000000000009</c:v>
                </c:pt>
                <c:pt idx="2">
                  <c:v>7.5000000000000009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-8.4852813742385713</c:v>
                </c:pt>
                <c:pt idx="1">
                  <c:v>-4.2426406871192874</c:v>
                </c:pt>
                <c:pt idx="2">
                  <c:v>0</c:v>
                </c:pt>
                <c:pt idx="3">
                  <c:v>4.242640687119283</c:v>
                </c:pt>
                <c:pt idx="4">
                  <c:v>8.4852813742385678</c:v>
                </c:pt>
                <c:pt idx="5">
                  <c:v>0</c:v>
                </c:pt>
                <c:pt idx="6">
                  <c:v>-8.4852813742385713</c:v>
                </c:pt>
                <c:pt idx="7">
                  <c:v>-8.4852813742385713</c:v>
                </c:pt>
                <c:pt idx="8">
                  <c:v>-8.4852813742385713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-4.242640687119283</c:v>
                </c:pt>
                <c:pt idx="1">
                  <c:v>-8.4852813742385678</c:v>
                </c:pt>
                <c:pt idx="2">
                  <c:v>-4.2426406871192848</c:v>
                </c:pt>
                <c:pt idx="3">
                  <c:v>-8.4852813742385713</c:v>
                </c:pt>
                <c:pt idx="4">
                  <c:v>-4.2426406871192874</c:v>
                </c:pt>
                <c:pt idx="5">
                  <c:v>4.2426406871192848</c:v>
                </c:pt>
                <c:pt idx="6">
                  <c:v>-4.242640687119283</c:v>
                </c:pt>
                <c:pt idx="7">
                  <c:v>-4.242640687119283</c:v>
                </c:pt>
                <c:pt idx="8">
                  <c:v>-4.242640687119283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-6.3639610306789285</c:v>
                </c:pt>
                <c:pt idx="1">
                  <c:v>-4.2426406871192865</c:v>
                </c:pt>
                <c:pt idx="2">
                  <c:v>4.2426406871192839</c:v>
                </c:pt>
                <c:pt idx="3">
                  <c:v>6.3639610306789258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-4.2426406871192839</c:v>
                </c:pt>
                <c:pt idx="1">
                  <c:v>-6.3639610306789258</c:v>
                </c:pt>
                <c:pt idx="2">
                  <c:v>-6.3639610306789285</c:v>
                </c:pt>
                <c:pt idx="3">
                  <c:v>-4.2426406871192865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-9.4852813742385713</c:v>
                </c:pt>
                <c:pt idx="1">
                  <c:v>9.4852813742385678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-2.6881430225885889</c:v>
                </c:pt>
                <c:pt idx="1">
                  <c:v>-2.6881430225885889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6.9307837097078702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-2.6881430225885889</c:v>
                </c:pt>
                <c:pt idx="5">
                  <c:v>4.2426406871192848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-6.9307837097078764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4.2426406871192848</c:v>
                </c:pt>
                <c:pt idx="5">
                  <c:v>-2.6881430225885889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-1.4892064973363404E-15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0.77724883226534791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-9.4852813742385713</c:v>
                </c:pt>
                <c:pt idx="1">
                  <c:v>9.4852813742385713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-9.4852813742385713</c:v>
                </c:pt>
                <c:pt idx="1">
                  <c:v>9.4852813742385713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-8.4852813742385713</c:v>
                </c:pt>
                <c:pt idx="1">
                  <c:v>-8.4852813742385713</c:v>
                </c:pt>
                <c:pt idx="2">
                  <c:v>-8.4852813742385713</c:v>
                </c:pt>
                <c:pt idx="3">
                  <c:v>-8.4852813742385713</c:v>
                </c:pt>
                <c:pt idx="4">
                  <c:v>-8.4852813742385713</c:v>
                </c:pt>
                <c:pt idx="5">
                  <c:v>-8.4852813742385713</c:v>
                </c:pt>
                <c:pt idx="6">
                  <c:v>-8.4852813742385713</c:v>
                </c:pt>
                <c:pt idx="7">
                  <c:v>-8.4852813742385713</c:v>
                </c:pt>
                <c:pt idx="8">
                  <c:v>-8.4852813742385713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-4.242640687119283</c:v>
                </c:pt>
                <c:pt idx="1">
                  <c:v>-4.242640687119283</c:v>
                </c:pt>
                <c:pt idx="2">
                  <c:v>-4.242640687119283</c:v>
                </c:pt>
                <c:pt idx="3">
                  <c:v>-4.242640687119283</c:v>
                </c:pt>
                <c:pt idx="4">
                  <c:v>-4.242640687119283</c:v>
                </c:pt>
                <c:pt idx="5">
                  <c:v>-4.242640687119283</c:v>
                </c:pt>
                <c:pt idx="6">
                  <c:v>-4.242640687119283</c:v>
                </c:pt>
                <c:pt idx="7">
                  <c:v>-4.242640687119283</c:v>
                </c:pt>
                <c:pt idx="8">
                  <c:v>-4.242640687119283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-6.3639610306789285</c:v>
                </c:pt>
                <c:pt idx="1">
                  <c:v>-4.2426406871192865</c:v>
                </c:pt>
                <c:pt idx="2">
                  <c:v>4.2426406871192839</c:v>
                </c:pt>
                <c:pt idx="3">
                  <c:v>6.3639610306789258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-4.2426406871192839</c:v>
                </c:pt>
                <c:pt idx="1">
                  <c:v>-6.3639610306789258</c:v>
                </c:pt>
                <c:pt idx="2">
                  <c:v>-6.3639610306789285</c:v>
                </c:pt>
                <c:pt idx="3">
                  <c:v>-4.2426406871192865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491F-5650-40A6-B3AA-B764417E6A48}">
  <dimension ref="A1:B30"/>
  <sheetViews>
    <sheetView tabSelected="1" workbookViewId="0">
      <selection activeCell="B30" sqref="B30"/>
    </sheetView>
  </sheetViews>
  <sheetFormatPr defaultRowHeight="15" x14ac:dyDescent="0.25"/>
  <cols>
    <col min="1" max="1" width="24" customWidth="1"/>
    <col min="2" max="2" width="58.7109375" customWidth="1"/>
  </cols>
  <sheetData>
    <row r="1" spans="1:2" ht="24.95" customHeight="1" x14ac:dyDescent="0.25">
      <c r="A1" s="59" t="s">
        <v>176</v>
      </c>
      <c r="B1" s="60"/>
    </row>
    <row r="2" spans="1:2" ht="24.95" customHeight="1" x14ac:dyDescent="0.25">
      <c r="A2" s="61"/>
      <c r="B2" s="62"/>
    </row>
    <row r="3" spans="1:2" ht="24.95" customHeight="1" x14ac:dyDescent="0.25">
      <c r="A3" s="61"/>
      <c r="B3" s="62" t="s">
        <v>177</v>
      </c>
    </row>
    <row r="4" spans="1:2" ht="24.95" customHeight="1" x14ac:dyDescent="0.25">
      <c r="A4" s="61"/>
      <c r="B4" s="62" t="s">
        <v>178</v>
      </c>
    </row>
    <row r="5" spans="1:2" ht="24.95" customHeight="1" x14ac:dyDescent="0.25">
      <c r="A5" s="61"/>
      <c r="B5" s="62"/>
    </row>
    <row r="6" spans="1:2" ht="24.95" customHeight="1" x14ac:dyDescent="0.25">
      <c r="A6" s="61"/>
      <c r="B6" s="62" t="s">
        <v>179</v>
      </c>
    </row>
    <row r="7" spans="1:2" ht="24.95" customHeight="1" x14ac:dyDescent="0.25">
      <c r="A7" s="61"/>
      <c r="B7" s="62" t="s">
        <v>180</v>
      </c>
    </row>
    <row r="8" spans="1:2" ht="24.95" customHeight="1" x14ac:dyDescent="0.25">
      <c r="A8" s="61"/>
      <c r="B8" s="62"/>
    </row>
    <row r="9" spans="1:2" ht="24.95" customHeight="1" x14ac:dyDescent="0.25">
      <c r="A9" s="61"/>
      <c r="B9" s="62" t="s">
        <v>181</v>
      </c>
    </row>
    <row r="10" spans="1:2" ht="24.95" customHeight="1" x14ac:dyDescent="0.25">
      <c r="A10" s="61"/>
      <c r="B10" s="62" t="s">
        <v>182</v>
      </c>
    </row>
    <row r="11" spans="1:2" ht="24.95" customHeight="1" x14ac:dyDescent="0.25">
      <c r="A11" s="61"/>
      <c r="B11" s="62"/>
    </row>
    <row r="12" spans="1:2" ht="24.95" customHeight="1" x14ac:dyDescent="0.25">
      <c r="A12" s="61"/>
      <c r="B12" s="62" t="s">
        <v>183</v>
      </c>
    </row>
    <row r="13" spans="1:2" ht="24.95" customHeight="1" x14ac:dyDescent="0.25">
      <c r="A13" s="61"/>
      <c r="B13" s="62" t="s">
        <v>184</v>
      </c>
    </row>
    <row r="14" spans="1:2" ht="24.95" customHeight="1" x14ac:dyDescent="0.25">
      <c r="A14" s="61"/>
      <c r="B14" s="62" t="s">
        <v>185</v>
      </c>
    </row>
    <row r="15" spans="1:2" ht="24.95" customHeight="1" x14ac:dyDescent="0.25">
      <c r="A15" s="61"/>
      <c r="B15" s="62"/>
    </row>
    <row r="16" spans="1:2" ht="24.95" customHeight="1" x14ac:dyDescent="0.25">
      <c r="A16" s="61"/>
      <c r="B16" s="62" t="s">
        <v>186</v>
      </c>
    </row>
    <row r="17" spans="1:2" ht="24.95" customHeight="1" x14ac:dyDescent="0.25">
      <c r="A17" s="61"/>
      <c r="B17" s="62" t="s">
        <v>187</v>
      </c>
    </row>
    <row r="18" spans="1:2" ht="24.95" customHeight="1" x14ac:dyDescent="0.25">
      <c r="A18" s="61"/>
      <c r="B18" s="62" t="s">
        <v>188</v>
      </c>
    </row>
    <row r="19" spans="1:2" ht="24.95" customHeight="1" x14ac:dyDescent="0.25">
      <c r="A19" s="61"/>
      <c r="B19" s="62"/>
    </row>
    <row r="20" spans="1:2" ht="24.95" customHeight="1" x14ac:dyDescent="0.25">
      <c r="A20" s="61"/>
      <c r="B20" s="62" t="s">
        <v>189</v>
      </c>
    </row>
    <row r="21" spans="1:2" ht="24.95" customHeight="1" x14ac:dyDescent="0.25">
      <c r="A21" s="61"/>
      <c r="B21" s="62" t="s">
        <v>190</v>
      </c>
    </row>
    <row r="22" spans="1:2" ht="24.95" customHeight="1" x14ac:dyDescent="0.25">
      <c r="A22" s="61"/>
      <c r="B22" s="62" t="s">
        <v>191</v>
      </c>
    </row>
    <row r="23" spans="1:2" ht="24.95" customHeight="1" x14ac:dyDescent="0.25">
      <c r="A23" s="61"/>
      <c r="B23" s="62" t="s">
        <v>192</v>
      </c>
    </row>
    <row r="24" spans="1:2" ht="24.95" customHeight="1" x14ac:dyDescent="0.25">
      <c r="A24" s="61"/>
      <c r="B24" s="62" t="s">
        <v>193</v>
      </c>
    </row>
    <row r="25" spans="1:2" ht="24.95" customHeight="1" x14ac:dyDescent="0.25">
      <c r="A25" s="61"/>
      <c r="B25" s="62" t="s">
        <v>194</v>
      </c>
    </row>
    <row r="26" spans="1:2" ht="24.95" customHeight="1" x14ac:dyDescent="0.25">
      <c r="A26" s="61"/>
      <c r="B26" s="62" t="s">
        <v>195</v>
      </c>
    </row>
    <row r="27" spans="1:2" ht="24.95" customHeight="1" x14ac:dyDescent="0.25">
      <c r="A27" s="61"/>
      <c r="B27" s="62" t="s">
        <v>196</v>
      </c>
    </row>
    <row r="28" spans="1:2" ht="24.95" customHeight="1" x14ac:dyDescent="0.25">
      <c r="A28" s="61"/>
      <c r="B28" s="62" t="s">
        <v>197</v>
      </c>
    </row>
    <row r="29" spans="1:2" ht="24.95" customHeight="1" x14ac:dyDescent="0.25">
      <c r="A29" s="61"/>
      <c r="B29" s="62" t="s">
        <v>198</v>
      </c>
    </row>
    <row r="30" spans="1:2" ht="24.95" customHeight="1" thickBot="1" x14ac:dyDescent="0.3">
      <c r="A30" s="63"/>
      <c r="B30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opLeftCell="A35" zoomScale="85" zoomScaleNormal="85" workbookViewId="0">
      <selection activeCell="C51" sqref="C5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2"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2">
        <v>-120</v>
      </c>
      <c r="C3" t="s">
        <v>102</v>
      </c>
      <c r="D3" t="str">
        <f>"- Mx puts compression on +y"</f>
        <v>-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2">
        <v>-120</v>
      </c>
      <c r="C4" t="s">
        <v>102</v>
      </c>
      <c r="D4" t="str">
        <f>"- My puts compression on -x"</f>
        <v>-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2">
        <v>3</v>
      </c>
      <c r="C9" s="2"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-1*$B$3/Y14</f>
        <v>0.47619047619047616</v>
      </c>
      <c r="AB14">
        <f>-1*$B$4/Z14</f>
        <v>0.12345679012345678</v>
      </c>
      <c r="AC14">
        <f>$I$2+AA14+AB14</f>
        <v>0.87742504409171074</v>
      </c>
    </row>
    <row r="15" spans="1:29" x14ac:dyDescent="0.25">
      <c r="A15">
        <v>3</v>
      </c>
      <c r="B15" s="7">
        <v>6</v>
      </c>
      <c r="C15" s="7">
        <v>6</v>
      </c>
      <c r="D15" s="5">
        <f t="shared" ref="D15:D18" si="0">((B14*C15)-(B15*C14))*0.5</f>
        <v>18</v>
      </c>
      <c r="E15" s="5">
        <f t="shared" ref="E15:E18" si="1">(B15+B14)*((B14*C15)-(B15*C14))*(1/6)</f>
        <v>72</v>
      </c>
      <c r="F15" s="5">
        <f t="shared" ref="F15:F18" si="2">(C15+C14)*((B14*C15)-(B15*C14))*(1/6)</f>
        <v>36</v>
      </c>
      <c r="G15" s="5">
        <f t="shared" ref="G15:G18" si="3">(((C14*C14)+(C14*C15)+(C15*C15))*((B14*C15)-(B15*C14)))/12</f>
        <v>108</v>
      </c>
      <c r="H15" s="5">
        <f t="shared" ref="H15:H18" si="4">(((B14*B14)+(B14*B15)+(B15*B15))*((B14*C15)-(B15*C14)))/12</f>
        <v>324</v>
      </c>
      <c r="I15" s="5">
        <f t="shared" ref="I15:I18" si="5">(((B14*C15)+(2*B14*C14)+(2*B15*C15)+(B15*C14))*((B14*C15)-(B15*C14)))/24</f>
        <v>162</v>
      </c>
      <c r="J15" s="5">
        <f t="shared" ref="J15:J18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$N$13/(C15-$C$9)</f>
        <v>756</v>
      </c>
      <c r="Z15">
        <f t="shared" ref="Z15:Z21" si="9">$O$13/(B15-$B$9)</f>
        <v>972</v>
      </c>
      <c r="AA15">
        <f t="shared" ref="AA15:AA21" si="10">-1*$B$3/Y15</f>
        <v>0.15873015873015872</v>
      </c>
      <c r="AB15">
        <f t="shared" ref="AB15:AB21" si="11">-1*$B$4/Z15</f>
        <v>0.12345679012345678</v>
      </c>
      <c r="AC15">
        <f t="shared" ref="AC15:AC21" si="12">$I$2+AA15+AB15</f>
        <v>0.55996472663139329</v>
      </c>
    </row>
    <row r="16" spans="1:29" x14ac:dyDescent="0.25">
      <c r="A16">
        <v>4</v>
      </c>
      <c r="B16" s="7">
        <v>12</v>
      </c>
      <c r="C16" s="7"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0.15873015873015872</v>
      </c>
      <c r="AB16">
        <f t="shared" si="11"/>
        <v>0.37037037037037035</v>
      </c>
      <c r="AC16">
        <f t="shared" si="12"/>
        <v>0.80687830687830686</v>
      </c>
    </row>
    <row r="17" spans="1:29" x14ac:dyDescent="0.25">
      <c r="A17">
        <v>5</v>
      </c>
      <c r="B17" s="7">
        <v>12</v>
      </c>
      <c r="C17" s="7"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-0.15873015873015872</v>
      </c>
      <c r="AB17">
        <f t="shared" si="11"/>
        <v>0.37037037037037035</v>
      </c>
      <c r="AC17">
        <f t="shared" si="12"/>
        <v>0.48941798941798942</v>
      </c>
    </row>
    <row r="18" spans="1:29" x14ac:dyDescent="0.25">
      <c r="A18">
        <v>6</v>
      </c>
      <c r="B18" s="7">
        <v>0</v>
      </c>
      <c r="C18" s="7"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-0.15873015873015872</v>
      </c>
      <c r="AB18">
        <f t="shared" si="11"/>
        <v>-0.12345679012345678</v>
      </c>
      <c r="AC18">
        <f t="shared" si="12"/>
        <v>-4.4091710758377145E-3</v>
      </c>
    </row>
    <row r="19" spans="1:29" x14ac:dyDescent="0.25">
      <c r="A19">
        <v>7</v>
      </c>
      <c r="B19" s="7">
        <v>0</v>
      </c>
      <c r="C19" s="7">
        <v>0</v>
      </c>
      <c r="D19" s="5">
        <f t="shared" ref="D19" si="13">((B18*C19)-(B19*C18))*0.5</f>
        <v>0</v>
      </c>
      <c r="E19" s="5">
        <f t="shared" ref="E19" si="14">(B19+B18)*((B18*C19)-(B19*C18))*(1/6)</f>
        <v>0</v>
      </c>
      <c r="F19" s="5">
        <f t="shared" ref="F19" si="15">(C19+C18)*((B18*C19)-(B19*C18))*(1/6)</f>
        <v>0</v>
      </c>
      <c r="G19" s="5">
        <f t="shared" ref="G19" si="16">(((C18*C18)+(C18*C19)+(C19*C19))*((B18*C19)-(B19*C18)))/12</f>
        <v>0</v>
      </c>
      <c r="H19" s="5">
        <f t="shared" ref="H19" si="17">(((B18*B18)+(B18*B19)+(B19*B19))*((B18*C19)-(B19*C18)))/12</f>
        <v>0</v>
      </c>
      <c r="I19" s="5">
        <f t="shared" ref="I19" si="18">(((B18*C19)+(2*B18*C18)+(2*B19*C19)+(B19*C18))*((B18*C19)-(B19*C18)))/24</f>
        <v>0</v>
      </c>
      <c r="J19" s="5">
        <f t="shared" ref="J19" si="19">G19+H19</f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0.47619047619047616</v>
      </c>
      <c r="AB19">
        <f t="shared" si="11"/>
        <v>-0.12345679012345678</v>
      </c>
      <c r="AC19">
        <f t="shared" si="12"/>
        <v>0.63051146384479717</v>
      </c>
    </row>
    <row r="20" spans="1:29" x14ac:dyDescent="0.25">
      <c r="A20">
        <v>8</v>
      </c>
      <c r="B20" s="7">
        <v>0</v>
      </c>
      <c r="C20" s="7">
        <v>0</v>
      </c>
      <c r="D20" s="5">
        <f t="shared" ref="D20" si="20">((B19*C20)-(B20*C19))*0.5</f>
        <v>0</v>
      </c>
      <c r="E20" s="5">
        <f t="shared" ref="E20" si="21">(B20+B19)*((B19*C20)-(B20*C19))*(1/6)</f>
        <v>0</v>
      </c>
      <c r="F20" s="5">
        <f t="shared" ref="F20" si="22">(C20+C19)*((B19*C20)-(B20*C19))*(1/6)</f>
        <v>0</v>
      </c>
      <c r="G20" s="5">
        <f t="shared" ref="G20" si="23">(((C19*C19)+(C19*C20)+(C20*C20))*((B19*C20)-(B20*C19)))/12</f>
        <v>0</v>
      </c>
      <c r="H20" s="5">
        <f t="shared" ref="H20" si="24">(((B19*B19)+(B19*B20)+(B20*B20))*((B19*C20)-(B20*C19)))/12</f>
        <v>0</v>
      </c>
      <c r="I20" s="5">
        <f t="shared" ref="I20" si="25">(((B19*C20)+(2*B19*C19)+(2*B20*C20)+(B20*C19))*((B19*C20)-(B20*C19)))/24</f>
        <v>0</v>
      </c>
      <c r="J20" s="5">
        <f t="shared" ref="J20" si="26">G20+H20</f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0.47619047619047616</v>
      </c>
      <c r="AB20">
        <f t="shared" si="11"/>
        <v>-0.12345679012345678</v>
      </c>
      <c r="AC20">
        <f t="shared" si="12"/>
        <v>0.63051146384479717</v>
      </c>
    </row>
    <row r="21" spans="1:29" x14ac:dyDescent="0.25">
      <c r="A21">
        <v>9</v>
      </c>
      <c r="B21" s="4">
        <v>0</v>
      </c>
      <c r="C21" s="4">
        <v>0</v>
      </c>
      <c r="D21" s="5">
        <f t="shared" ref="D21" si="27">((B20*C21)-(B21*C20))*0.5</f>
        <v>0</v>
      </c>
      <c r="E21" s="5">
        <f t="shared" ref="E21" si="28">(B21+B20)*((B20*C21)-(B21*C20))*(1/6)</f>
        <v>0</v>
      </c>
      <c r="F21" s="5">
        <f t="shared" ref="F21" si="29">(C21+C20)*((B20*C21)-(B21*C20))*(1/6)</f>
        <v>0</v>
      </c>
      <c r="G21" s="5">
        <f t="shared" ref="G21" si="30">(((C20*C20)+(C20*C21)+(C21*C21))*((B20*C21)-(B21*C20)))/12</f>
        <v>0</v>
      </c>
      <c r="H21" s="5">
        <f t="shared" ref="H21" si="31">(((B20*B20)+(B20*B21)+(B21*B21))*((B20*C21)-(B21*C20)))/12</f>
        <v>0</v>
      </c>
      <c r="I21" s="5">
        <f t="shared" ref="I21" si="32">(((B20*C21)+(2*B20*C20)+(2*B21*C21)+(B21*C20))*((B20*C21)-(B21*C20)))/24</f>
        <v>0</v>
      </c>
      <c r="J21" s="5">
        <f t="shared" ref="J21" si="33">G21+H21</f>
        <v>0</v>
      </c>
      <c r="K21">
        <f t="shared" si="7"/>
        <v>-2.1910458127777179</v>
      </c>
      <c r="Y21" s="1">
        <f t="shared" si="8"/>
        <v>252</v>
      </c>
      <c r="Z21">
        <f t="shared" si="9"/>
        <v>-972</v>
      </c>
      <c r="AA21">
        <f t="shared" si="10"/>
        <v>0.47619047619047616</v>
      </c>
      <c r="AB21">
        <f t="shared" si="11"/>
        <v>-0.12345679012345678</v>
      </c>
      <c r="AC21">
        <f t="shared" si="12"/>
        <v>0.63051146384479717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  <c r="AC22">
        <f>COUNTIF(AC14:AC21,"&gt;0")</f>
        <v>7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1</v>
      </c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>A61&amp;"= 0.65*0.85*F'c*√A2/A1"&amp;CHAR(10)&amp;"= "&amp;ROUND(B61,4)&amp;" "&amp;C61&amp;CHAR(10)&amp;IF(B66&lt;=B61,"OK","NG")</f>
        <v>φfp,max= 0.65*0.85*F'c*√A2/A1
= 4.9725 ksi
OK</v>
      </c>
      <c r="AC24">
        <f>COUNTIF(AC14:AC21,"=0")</f>
        <v>0</v>
      </c>
    </row>
    <row r="25" spans="1:29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2">
        <v>0</v>
      </c>
      <c r="C27" s="2">
        <v>0</v>
      </c>
      <c r="D27" s="5">
        <f t="shared" ref="D27:D33" si="34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2">
        <v>0</v>
      </c>
      <c r="C28" s="2">
        <v>0</v>
      </c>
      <c r="D28" s="5">
        <f t="shared" si="34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2">
        <v>0</v>
      </c>
      <c r="C29" s="2">
        <v>0</v>
      </c>
      <c r="D29" s="5">
        <f t="shared" si="34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2">
        <v>0</v>
      </c>
      <c r="C30" s="2">
        <v>0</v>
      </c>
      <c r="D30" s="5">
        <f t="shared" si="34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2">
        <v>0</v>
      </c>
      <c r="C31" s="2">
        <v>0</v>
      </c>
      <c r="D31" s="5">
        <f t="shared" si="34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2">
        <v>0</v>
      </c>
      <c r="C32" s="2">
        <v>0</v>
      </c>
      <c r="D32" s="5">
        <f t="shared" si="34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34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7">
        <v>4.5</v>
      </c>
      <c r="C38" s="7">
        <v>1.5</v>
      </c>
      <c r="D38" s="13" t="s">
        <v>2</v>
      </c>
      <c r="Q38" s="12">
        <f t="shared" ref="Q38:Q48" si="35">IF($D38="y",B38,NA())</f>
        <v>4.5</v>
      </c>
      <c r="R38" s="12">
        <f t="shared" ref="R38:R48" si="36">IF($D38="y",C38,NA())</f>
        <v>1.5</v>
      </c>
    </row>
    <row r="39" spans="1:21" x14ac:dyDescent="0.25">
      <c r="A39">
        <v>3</v>
      </c>
      <c r="B39" s="7">
        <v>10.5</v>
      </c>
      <c r="C39" s="7">
        <v>7.5</v>
      </c>
      <c r="D39" s="13" t="s">
        <v>2</v>
      </c>
      <c r="Q39" s="12">
        <f t="shared" si="35"/>
        <v>10.5</v>
      </c>
      <c r="R39" s="12">
        <f t="shared" si="36"/>
        <v>7.5</v>
      </c>
    </row>
    <row r="40" spans="1:21" x14ac:dyDescent="0.25">
      <c r="A40">
        <v>4</v>
      </c>
      <c r="B40" s="7">
        <v>10.5</v>
      </c>
      <c r="C40" s="7">
        <v>10.5</v>
      </c>
      <c r="D40" s="13" t="s">
        <v>2</v>
      </c>
      <c r="Q40" s="12">
        <f t="shared" si="35"/>
        <v>10.5</v>
      </c>
      <c r="R40" s="12">
        <f t="shared" si="36"/>
        <v>10.5</v>
      </c>
    </row>
    <row r="41" spans="1:21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35"/>
        <v>#N/A</v>
      </c>
      <c r="R41" s="12" t="e">
        <f t="shared" si="36"/>
        <v>#N/A</v>
      </c>
    </row>
    <row r="42" spans="1:21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35"/>
        <v>#N/A</v>
      </c>
      <c r="R42" s="12" t="e">
        <f t="shared" si="36"/>
        <v>#N/A</v>
      </c>
    </row>
    <row r="43" spans="1:21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35"/>
        <v>#N/A</v>
      </c>
      <c r="R43" s="12" t="e">
        <f t="shared" si="36"/>
        <v>#N/A</v>
      </c>
    </row>
    <row r="44" spans="1:21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35"/>
        <v>#N/A</v>
      </c>
      <c r="R44" s="12" t="e">
        <f t="shared" si="36"/>
        <v>#N/A</v>
      </c>
    </row>
    <row r="45" spans="1:21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35"/>
        <v>#N/A</v>
      </c>
      <c r="R45" s="12" t="e">
        <f t="shared" si="36"/>
        <v>#N/A</v>
      </c>
    </row>
    <row r="46" spans="1:21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35"/>
        <v>#N/A</v>
      </c>
      <c r="R46" s="12" t="e">
        <f t="shared" si="36"/>
        <v>#N/A</v>
      </c>
    </row>
    <row r="47" spans="1:21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35"/>
        <v>#N/A</v>
      </c>
      <c r="R47" s="12" t="e">
        <f t="shared" si="36"/>
        <v>#N/A</v>
      </c>
    </row>
    <row r="48" spans="1:21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35"/>
        <v>#N/A</v>
      </c>
      <c r="R48" s="12" t="e">
        <f t="shared" si="36"/>
        <v>#N/A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(POWER(B52,1.5)*33*SQRT(1000*B51))/1000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1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0.60574540107571861</v>
      </c>
      <c r="C55" t="s">
        <v>67</v>
      </c>
      <c r="D55" s="54" t="s">
        <v>165</v>
      </c>
      <c r="E55" s="1">
        <f ca="1">OFFSET(X52,MATCH(E54,X53:X73,0),1)</f>
        <v>8</v>
      </c>
      <c r="F55" s="7">
        <v>0</v>
      </c>
      <c r="G55" t="s">
        <v>175</v>
      </c>
      <c r="H55" s="48" t="s">
        <v>160</v>
      </c>
      <c r="I55" s="55">
        <f>E164</f>
        <v>1.7053025658242404E-13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154</v>
      </c>
      <c r="E56" s="46">
        <f ca="1">IF(F55=0,0.7854*POWER(E54-(0.9743/E55),2),0.7854*POWER(E54-(0.9743/F55),2))</f>
        <v>0.60574540107571861</v>
      </c>
      <c r="F56" t="s">
        <v>67</v>
      </c>
      <c r="H56" s="50" t="s">
        <v>161</v>
      </c>
      <c r="I56" s="56">
        <f t="shared" ref="I56:J57" si="37">E165</f>
        <v>4.6895820560166612E-13</v>
      </c>
      <c r="J56" s="51" t="str">
        <f t="shared" si="3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37"/>
        <v>6.9633188104489818E-13</v>
      </c>
      <c r="J57" s="53" t="str">
        <f t="shared" si="37"/>
        <v>kip-in</v>
      </c>
      <c r="L57" s="1">
        <f>SQRT(POWER(I57,2)+POWER(I56,2)+POWER(I55,2))</f>
        <v>8.5666822957941435E-13</v>
      </c>
      <c r="M57" s="44" t="str">
        <f>IF(M59=TRUE,"NOT A SOLUTION","SOLUTION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1.0625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0.8866408953979007</v>
      </c>
      <c r="F59" t="s">
        <v>67</v>
      </c>
      <c r="H59" s="10" t="s">
        <v>169</v>
      </c>
      <c r="I59" s="2">
        <v>30</v>
      </c>
      <c r="K59" t="s">
        <v>171</v>
      </c>
      <c r="L59" s="58">
        <v>9.9999999999999998E-13</v>
      </c>
      <c r="M59" t="b">
        <f>OR(ABS(L57)&gt;L59,B66&lt;0)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6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  <c r="J64" s="3">
        <f>B5-PI()</f>
        <v>-5.497787143782138</v>
      </c>
      <c r="Q64" s="8">
        <f>J64</f>
        <v>-5.497787143782138</v>
      </c>
      <c r="X64">
        <v>1.75</v>
      </c>
      <c r="Y64">
        <v>5</v>
      </c>
    </row>
    <row r="65" spans="1:25" x14ac:dyDescent="0.25">
      <c r="A65" s="1" t="s">
        <v>40</v>
      </c>
      <c r="B65" s="24">
        <v>6.9307837097078737</v>
      </c>
      <c r="C65" t="s">
        <v>22</v>
      </c>
      <c r="D65" t="s">
        <v>29</v>
      </c>
      <c r="J65" s="1">
        <f>MAX(C13:C21)*0.5</f>
        <v>6</v>
      </c>
      <c r="Q65">
        <f>MAX(C84:C92)-MIN(C84:C92)</f>
        <v>12.727922061357855</v>
      </c>
      <c r="X65">
        <v>2</v>
      </c>
      <c r="Y65">
        <v>4.5</v>
      </c>
    </row>
    <row r="66" spans="1:25" x14ac:dyDescent="0.25">
      <c r="A66" s="11" t="s">
        <v>42</v>
      </c>
      <c r="B66" s="24">
        <v>3.2778156874934372</v>
      </c>
      <c r="C66" t="s">
        <v>11</v>
      </c>
      <c r="D66">
        <f>B66/B53</f>
        <v>8.4803217355784006E-4</v>
      </c>
      <c r="I66" s="20"/>
      <c r="J66" s="1">
        <f>B61*0.5</f>
        <v>2.4862500000000001</v>
      </c>
      <c r="Q66">
        <f>MAX(AC14:AC21)</f>
        <v>0.87742504409171074</v>
      </c>
      <c r="X66">
        <v>2.25</v>
      </c>
      <c r="Y66">
        <v>4.5</v>
      </c>
    </row>
    <row r="67" spans="1:25" x14ac:dyDescent="0.25">
      <c r="A67" s="1" t="s">
        <v>37</v>
      </c>
      <c r="B67" s="24">
        <v>7.9008189136968694</v>
      </c>
      <c r="C67" t="s">
        <v>36</v>
      </c>
      <c r="D67" t="s">
        <v>122</v>
      </c>
      <c r="G67" s="20">
        <f ca="1">($B$56*$B$66*$B$55*$E$122)/$B$65</f>
        <v>7.9008189136968054</v>
      </c>
      <c r="H67" t="s">
        <v>36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3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38"/>
        <v>1</v>
      </c>
      <c r="B73" s="4">
        <f t="shared" ref="B73:B81" si="39">B13-$B$9</f>
        <v>-3</v>
      </c>
      <c r="C73" s="4">
        <f t="shared" ref="C73:C81" si="40">C13-$C$9</f>
        <v>-9</v>
      </c>
      <c r="E73" s="1">
        <v>0</v>
      </c>
      <c r="F73" s="1">
        <v>0</v>
      </c>
      <c r="H73" s="1">
        <f t="shared" ref="H73:H81" si="41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-9.4852813742385713</v>
      </c>
      <c r="R73">
        <f>Q73</f>
        <v>-9.4852813742385713</v>
      </c>
      <c r="X73">
        <v>4</v>
      </c>
      <c r="Y73">
        <v>4</v>
      </c>
    </row>
    <row r="74" spans="1:25" x14ac:dyDescent="0.25">
      <c r="A74" s="1">
        <f t="shared" si="38"/>
        <v>2</v>
      </c>
      <c r="B74" s="4">
        <f t="shared" si="39"/>
        <v>3</v>
      </c>
      <c r="C74" s="4">
        <f t="shared" si="40"/>
        <v>-9</v>
      </c>
      <c r="H74" s="1">
        <f t="shared" si="41"/>
        <v>2</v>
      </c>
      <c r="I74" s="4">
        <f t="shared" ref="I74:I81" si="42">B26-$B$9</f>
        <v>-3</v>
      </c>
      <c r="J74" s="4">
        <f t="shared" ref="J74:J81" si="43">C26-$C$9</f>
        <v>-9</v>
      </c>
      <c r="Q74">
        <f>-1*Q73</f>
        <v>9.4852813742385713</v>
      </c>
      <c r="R74">
        <f>Q74</f>
        <v>9.4852813742385713</v>
      </c>
    </row>
    <row r="75" spans="1:25" x14ac:dyDescent="0.25">
      <c r="A75" s="1">
        <f t="shared" si="38"/>
        <v>3</v>
      </c>
      <c r="B75" s="4">
        <f t="shared" si="39"/>
        <v>3</v>
      </c>
      <c r="C75" s="4">
        <f t="shared" si="40"/>
        <v>-3</v>
      </c>
      <c r="H75" s="1">
        <f t="shared" si="41"/>
        <v>3</v>
      </c>
      <c r="I75" s="4">
        <f t="shared" si="42"/>
        <v>-3</v>
      </c>
      <c r="J75" s="4">
        <f t="shared" si="43"/>
        <v>-9</v>
      </c>
    </row>
    <row r="76" spans="1:25" x14ac:dyDescent="0.25">
      <c r="A76" s="1">
        <f t="shared" si="38"/>
        <v>4</v>
      </c>
      <c r="B76" s="4">
        <f t="shared" si="39"/>
        <v>9</v>
      </c>
      <c r="C76" s="4">
        <f t="shared" si="40"/>
        <v>-3</v>
      </c>
      <c r="H76" s="1">
        <f t="shared" si="41"/>
        <v>4</v>
      </c>
      <c r="I76" s="4">
        <f t="shared" si="42"/>
        <v>-3</v>
      </c>
      <c r="J76" s="4">
        <f t="shared" si="43"/>
        <v>-9</v>
      </c>
    </row>
    <row r="77" spans="1:25" x14ac:dyDescent="0.25">
      <c r="A77" s="1">
        <f t="shared" si="38"/>
        <v>5</v>
      </c>
      <c r="B77" s="4">
        <f t="shared" si="39"/>
        <v>9</v>
      </c>
      <c r="C77" s="4">
        <f t="shared" si="40"/>
        <v>3</v>
      </c>
      <c r="H77" s="1">
        <f t="shared" si="41"/>
        <v>5</v>
      </c>
      <c r="I77" s="4">
        <f t="shared" si="42"/>
        <v>-3</v>
      </c>
      <c r="J77" s="4">
        <f t="shared" si="43"/>
        <v>-9</v>
      </c>
      <c r="Q77" t="s">
        <v>148</v>
      </c>
    </row>
    <row r="78" spans="1:25" x14ac:dyDescent="0.25">
      <c r="A78" s="1">
        <f t="shared" si="38"/>
        <v>6</v>
      </c>
      <c r="B78" s="4">
        <f t="shared" si="39"/>
        <v>-3</v>
      </c>
      <c r="C78" s="4">
        <f t="shared" si="40"/>
        <v>3</v>
      </c>
      <c r="H78" s="1">
        <f t="shared" si="41"/>
        <v>6</v>
      </c>
      <c r="I78" s="4">
        <f t="shared" si="42"/>
        <v>-3</v>
      </c>
      <c r="J78" s="4">
        <f t="shared" si="43"/>
        <v>-9</v>
      </c>
      <c r="Q78" t="s">
        <v>27</v>
      </c>
      <c r="R78" t="s">
        <v>28</v>
      </c>
    </row>
    <row r="79" spans="1:25" x14ac:dyDescent="0.25">
      <c r="A79" s="1">
        <f t="shared" si="38"/>
        <v>7</v>
      </c>
      <c r="B79" s="4">
        <f t="shared" si="39"/>
        <v>-3</v>
      </c>
      <c r="C79" s="4">
        <f t="shared" si="40"/>
        <v>-9</v>
      </c>
      <c r="H79" s="1">
        <f t="shared" si="41"/>
        <v>7</v>
      </c>
      <c r="I79" s="4">
        <f t="shared" si="42"/>
        <v>-3</v>
      </c>
      <c r="J79" s="4">
        <f t="shared" si="43"/>
        <v>-9</v>
      </c>
      <c r="Q79">
        <f>(F126*COS(-1*$B$64))+(G126*SIN(-1*$B$64))</f>
        <v>-4.8063026211148525</v>
      </c>
      <c r="R79">
        <f>(-1*F126*SIN(-1*$B$64))+(G126*COS(-1*$B$64))</f>
        <v>-8.6079109412582433</v>
      </c>
    </row>
    <row r="80" spans="1:25" x14ac:dyDescent="0.25">
      <c r="A80" s="1">
        <f t="shared" si="38"/>
        <v>8</v>
      </c>
      <c r="B80" s="4">
        <f t="shared" si="39"/>
        <v>-3</v>
      </c>
      <c r="C80" s="4">
        <f t="shared" si="40"/>
        <v>-9</v>
      </c>
      <c r="H80" s="1">
        <f t="shared" si="41"/>
        <v>8</v>
      </c>
      <c r="I80" s="4">
        <f t="shared" si="42"/>
        <v>-3</v>
      </c>
      <c r="J80" s="4">
        <f t="shared" si="43"/>
        <v>-9</v>
      </c>
      <c r="Q80">
        <f>(F127*COS(-1*$B$64))+(G127*SIN(-1*$B$64))</f>
        <v>8.607910941258238</v>
      </c>
      <c r="R80">
        <f>(-1*F127*SIN(-1*$B$64))+(G127*COS(-1*$B$64))</f>
        <v>4.8063026211148534</v>
      </c>
    </row>
    <row r="81" spans="1:18" x14ac:dyDescent="0.25">
      <c r="A81" s="1">
        <f t="shared" si="38"/>
        <v>9</v>
      </c>
      <c r="B81" s="4">
        <f t="shared" si="39"/>
        <v>-3</v>
      </c>
      <c r="C81" s="4">
        <f t="shared" si="40"/>
        <v>-9</v>
      </c>
      <c r="H81" s="1">
        <f t="shared" si="41"/>
        <v>9</v>
      </c>
      <c r="I81" s="4">
        <f t="shared" si="42"/>
        <v>-3</v>
      </c>
      <c r="J81" s="4">
        <f t="shared" si="43"/>
        <v>-9</v>
      </c>
    </row>
    <row r="82" spans="1:18" x14ac:dyDescent="0.25">
      <c r="A82" t="s">
        <v>30</v>
      </c>
      <c r="B82" s="9"/>
      <c r="H82" t="s">
        <v>139</v>
      </c>
      <c r="Q82" s="4">
        <f>Q79+$B$9</f>
        <v>-1.8063026211148525</v>
      </c>
      <c r="R82" s="4">
        <f>R79+$C$9</f>
        <v>0.3920890587417567</v>
      </c>
    </row>
    <row r="83" spans="1:18" x14ac:dyDescent="0.25">
      <c r="A83" s="1" t="str">
        <f t="shared" ref="A83:A92" si="4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11.607910941258238</v>
      </c>
      <c r="R83" s="4">
        <f>R80+$C$9</f>
        <v>13.806302621114853</v>
      </c>
    </row>
    <row r="84" spans="1:18" x14ac:dyDescent="0.25">
      <c r="A84" s="1">
        <f t="shared" si="44"/>
        <v>1</v>
      </c>
      <c r="B84" s="4">
        <f t="shared" ref="B84:B92" si="45">(B73*COS($B$64))+(C73*SIN($B$64))</f>
        <v>-8.4852813742385713</v>
      </c>
      <c r="C84" s="1">
        <f t="shared" ref="C84:C92" si="46">(-1*B73*SIN($B$64))+(C73*COS($B$64))</f>
        <v>-4.242640687119283</v>
      </c>
      <c r="H84" s="1">
        <f t="shared" ref="H84:H92" si="47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8" x14ac:dyDescent="0.25">
      <c r="A85" s="1">
        <f t="shared" si="44"/>
        <v>2</v>
      </c>
      <c r="B85" s="4">
        <f t="shared" si="45"/>
        <v>-4.2426406871192874</v>
      </c>
      <c r="C85" s="1">
        <f t="shared" si="46"/>
        <v>-8.4852813742385678</v>
      </c>
      <c r="H85" s="1">
        <f t="shared" si="47"/>
        <v>2</v>
      </c>
      <c r="I85" s="4">
        <f t="shared" ref="I85:I92" si="48">(I74*COS($B$64))+(J74*SIN($B$64))</f>
        <v>-8.4852813742385713</v>
      </c>
      <c r="J85" s="1">
        <f t="shared" ref="J85:J92" si="49">(-1*I74*SIN($B$64))+(J74*COS($B$64))</f>
        <v>-4.242640687119283</v>
      </c>
      <c r="Q85" t="s">
        <v>149</v>
      </c>
    </row>
    <row r="86" spans="1:18" x14ac:dyDescent="0.25">
      <c r="A86" s="1">
        <f t="shared" si="44"/>
        <v>3</v>
      </c>
      <c r="B86" s="4">
        <f t="shared" si="45"/>
        <v>0</v>
      </c>
      <c r="C86" s="1">
        <f t="shared" si="46"/>
        <v>-4.2426406871192848</v>
      </c>
      <c r="H86" s="1">
        <f t="shared" si="47"/>
        <v>3</v>
      </c>
      <c r="I86" s="4">
        <f t="shared" si="48"/>
        <v>-8.4852813742385713</v>
      </c>
      <c r="J86" s="1">
        <f t="shared" si="49"/>
        <v>-4.242640687119283</v>
      </c>
      <c r="Q86" t="s">
        <v>27</v>
      </c>
      <c r="R86" t="s">
        <v>28</v>
      </c>
    </row>
    <row r="87" spans="1:18" x14ac:dyDescent="0.25">
      <c r="A87" s="1">
        <f t="shared" si="44"/>
        <v>4</v>
      </c>
      <c r="B87" s="4">
        <f t="shared" si="45"/>
        <v>4.242640687119283</v>
      </c>
      <c r="C87" s="1">
        <f t="shared" si="46"/>
        <v>-8.4852813742385713</v>
      </c>
      <c r="H87" s="1">
        <f t="shared" si="47"/>
        <v>4</v>
      </c>
      <c r="I87" s="4">
        <f t="shared" si="48"/>
        <v>-8.4852813742385713</v>
      </c>
      <c r="J87" s="1">
        <f t="shared" si="49"/>
        <v>-4.242640687119283</v>
      </c>
      <c r="Q87">
        <f>(P142*COS(-1*$B$64))+(P143*SIN(-1*$B$64))</f>
        <v>-0.54959791996415408</v>
      </c>
      <c r="R87">
        <f>(-1*P142*SIN(-1*$B$64))+(P143*COS(-1*$B$64))</f>
        <v>0.54959791996415186</v>
      </c>
    </row>
    <row r="88" spans="1:18" x14ac:dyDescent="0.25">
      <c r="A88" s="1">
        <f t="shared" si="44"/>
        <v>5</v>
      </c>
      <c r="B88" s="4">
        <f t="shared" si="45"/>
        <v>8.4852813742385678</v>
      </c>
      <c r="C88" s="1">
        <f t="shared" si="46"/>
        <v>-4.2426406871192874</v>
      </c>
      <c r="H88" s="1">
        <f t="shared" si="47"/>
        <v>5</v>
      </c>
      <c r="I88" s="4">
        <f t="shared" si="48"/>
        <v>-8.4852813742385713</v>
      </c>
      <c r="J88" s="1">
        <f t="shared" si="49"/>
        <v>-4.242640687119283</v>
      </c>
    </row>
    <row r="89" spans="1:18" x14ac:dyDescent="0.25">
      <c r="A89" s="1">
        <f t="shared" si="44"/>
        <v>6</v>
      </c>
      <c r="B89" s="4">
        <f t="shared" si="45"/>
        <v>0</v>
      </c>
      <c r="C89" s="1">
        <f t="shared" si="46"/>
        <v>4.2426406871192848</v>
      </c>
      <c r="H89" s="1">
        <f t="shared" si="47"/>
        <v>6</v>
      </c>
      <c r="I89" s="4">
        <f t="shared" si="48"/>
        <v>-8.4852813742385713</v>
      </c>
      <c r="J89" s="1">
        <f t="shared" si="49"/>
        <v>-4.242640687119283</v>
      </c>
    </row>
    <row r="90" spans="1:18" x14ac:dyDescent="0.25">
      <c r="A90" s="1">
        <f t="shared" si="44"/>
        <v>7</v>
      </c>
      <c r="B90" s="4">
        <f t="shared" si="45"/>
        <v>-8.4852813742385713</v>
      </c>
      <c r="C90" s="1">
        <f t="shared" si="46"/>
        <v>-4.242640687119283</v>
      </c>
      <c r="H90" s="1">
        <f t="shared" si="47"/>
        <v>7</v>
      </c>
      <c r="I90" s="4">
        <f t="shared" si="48"/>
        <v>-8.4852813742385713</v>
      </c>
      <c r="J90" s="1">
        <f t="shared" si="49"/>
        <v>-4.242640687119283</v>
      </c>
      <c r="Q90" s="4">
        <f>Q87+$B$9</f>
        <v>2.4504020800358459</v>
      </c>
      <c r="R90" s="4">
        <f>R87+$C$9</f>
        <v>9.5495979199641514</v>
      </c>
    </row>
    <row r="91" spans="1:18" x14ac:dyDescent="0.25">
      <c r="A91" s="1">
        <f t="shared" si="44"/>
        <v>8</v>
      </c>
      <c r="B91" s="4">
        <f t="shared" si="45"/>
        <v>-8.4852813742385713</v>
      </c>
      <c r="C91" s="1">
        <f t="shared" si="46"/>
        <v>-4.242640687119283</v>
      </c>
      <c r="H91" s="1">
        <f t="shared" si="47"/>
        <v>8</v>
      </c>
      <c r="I91" s="4">
        <f t="shared" si="48"/>
        <v>-8.4852813742385713</v>
      </c>
      <c r="J91" s="1">
        <f t="shared" si="49"/>
        <v>-4.242640687119283</v>
      </c>
    </row>
    <row r="92" spans="1:18" x14ac:dyDescent="0.25">
      <c r="A92" s="1">
        <f t="shared" si="44"/>
        <v>9</v>
      </c>
      <c r="B92" s="4">
        <f t="shared" si="45"/>
        <v>-8.4852813742385713</v>
      </c>
      <c r="C92" s="1">
        <f t="shared" si="46"/>
        <v>-4.242640687119283</v>
      </c>
      <c r="H92" s="1">
        <f t="shared" si="47"/>
        <v>9</v>
      </c>
      <c r="I92" s="4">
        <f t="shared" si="48"/>
        <v>-8.4852813742385713</v>
      </c>
      <c r="J92" s="1">
        <f t="shared" si="49"/>
        <v>-4.242640687119283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50">A37</f>
        <v>1</v>
      </c>
      <c r="B95" s="4">
        <f t="shared" ref="B95:B106" si="51">B37-$B$9</f>
        <v>-1.5</v>
      </c>
      <c r="C95" s="4">
        <f t="shared" ref="C95:C106" si="52">C37-$C$9</f>
        <v>-7.5</v>
      </c>
      <c r="D95" t="str">
        <f t="shared" ref="D95:D106" si="53">D37</f>
        <v>y</v>
      </c>
    </row>
    <row r="96" spans="1:18" x14ac:dyDescent="0.25">
      <c r="A96">
        <f t="shared" si="50"/>
        <v>2</v>
      </c>
      <c r="B96" s="4">
        <f t="shared" si="51"/>
        <v>1.5</v>
      </c>
      <c r="C96" s="4">
        <f t="shared" si="52"/>
        <v>-7.5</v>
      </c>
      <c r="D96" t="str">
        <f t="shared" si="53"/>
        <v>y</v>
      </c>
    </row>
    <row r="97" spans="1:28" x14ac:dyDescent="0.25">
      <c r="A97">
        <f t="shared" si="50"/>
        <v>3</v>
      </c>
      <c r="B97" s="4">
        <f t="shared" si="51"/>
        <v>7.5</v>
      </c>
      <c r="C97" s="4">
        <f t="shared" si="52"/>
        <v>-1.5</v>
      </c>
      <c r="D97" t="str">
        <f t="shared" si="5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50"/>
        <v>4</v>
      </c>
      <c r="B98" s="4">
        <f t="shared" si="51"/>
        <v>7.5</v>
      </c>
      <c r="C98" s="4">
        <f t="shared" si="52"/>
        <v>1.5</v>
      </c>
      <c r="D98" t="str">
        <f t="shared" si="53"/>
        <v>y</v>
      </c>
    </row>
    <row r="99" spans="1:28" x14ac:dyDescent="0.25">
      <c r="A99">
        <f t="shared" si="50"/>
        <v>5</v>
      </c>
      <c r="B99" s="4">
        <f t="shared" si="51"/>
        <v>-3</v>
      </c>
      <c r="C99" s="4">
        <f t="shared" si="52"/>
        <v>-9</v>
      </c>
      <c r="D99" t="str">
        <f t="shared" si="53"/>
        <v>n</v>
      </c>
    </row>
    <row r="100" spans="1:28" x14ac:dyDescent="0.25">
      <c r="A100">
        <f t="shared" si="50"/>
        <v>6</v>
      </c>
      <c r="B100" s="4">
        <f t="shared" si="51"/>
        <v>-3</v>
      </c>
      <c r="C100" s="4">
        <f t="shared" si="52"/>
        <v>-9</v>
      </c>
      <c r="D100" t="str">
        <f t="shared" si="53"/>
        <v>n</v>
      </c>
    </row>
    <row r="101" spans="1:28" x14ac:dyDescent="0.25">
      <c r="A101">
        <f t="shared" si="50"/>
        <v>7</v>
      </c>
      <c r="B101" s="4">
        <f t="shared" si="51"/>
        <v>-3</v>
      </c>
      <c r="C101" s="4">
        <f t="shared" si="52"/>
        <v>-9</v>
      </c>
      <c r="D101" t="str">
        <f t="shared" si="53"/>
        <v>n</v>
      </c>
    </row>
    <row r="102" spans="1:28" x14ac:dyDescent="0.25">
      <c r="A102">
        <f t="shared" si="50"/>
        <v>8</v>
      </c>
      <c r="B102" s="4">
        <f t="shared" si="51"/>
        <v>-3</v>
      </c>
      <c r="C102" s="4">
        <f t="shared" si="52"/>
        <v>-9</v>
      </c>
      <c r="D102" t="str">
        <f t="shared" si="53"/>
        <v>n</v>
      </c>
    </row>
    <row r="103" spans="1:28" x14ac:dyDescent="0.25">
      <c r="A103">
        <f t="shared" si="50"/>
        <v>9</v>
      </c>
      <c r="B103" s="4">
        <f t="shared" si="51"/>
        <v>-3</v>
      </c>
      <c r="C103" s="4">
        <f t="shared" si="52"/>
        <v>-9</v>
      </c>
      <c r="D103" t="str">
        <f t="shared" si="53"/>
        <v>n</v>
      </c>
    </row>
    <row r="104" spans="1:28" x14ac:dyDescent="0.25">
      <c r="A104">
        <f t="shared" si="50"/>
        <v>10</v>
      </c>
      <c r="B104" s="4">
        <f t="shared" si="51"/>
        <v>-3</v>
      </c>
      <c r="C104" s="4">
        <f t="shared" si="52"/>
        <v>-9</v>
      </c>
      <c r="D104" t="str">
        <f t="shared" si="53"/>
        <v>n</v>
      </c>
    </row>
    <row r="105" spans="1:28" x14ac:dyDescent="0.25">
      <c r="A105">
        <f t="shared" si="50"/>
        <v>11</v>
      </c>
      <c r="B105" s="4">
        <f t="shared" si="51"/>
        <v>-3</v>
      </c>
      <c r="C105" s="4">
        <f t="shared" si="52"/>
        <v>-9</v>
      </c>
      <c r="D105" t="str">
        <f t="shared" si="53"/>
        <v>n</v>
      </c>
    </row>
    <row r="106" spans="1:28" x14ac:dyDescent="0.25">
      <c r="A106">
        <f t="shared" si="50"/>
        <v>12</v>
      </c>
      <c r="B106" s="4">
        <f t="shared" si="51"/>
        <v>-3</v>
      </c>
      <c r="C106" s="4">
        <f t="shared" si="52"/>
        <v>-9</v>
      </c>
      <c r="D106" t="str">
        <f t="shared" si="5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54">D95</f>
        <v>y</v>
      </c>
      <c r="E110" s="4">
        <f t="shared" ref="E110:E121" si="55">IF($D110="y",$B$125-C110,0)</f>
        <v>1.5544976645306949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56">IF($E$122=0,0,-1*MAX(($B$67/$E$122)*(E110),0))</f>
        <v>-3.341243914195406</v>
      </c>
      <c r="I110">
        <f>H110*C110</f>
        <v>14.175697375955123</v>
      </c>
      <c r="J110">
        <f>H110*B110*-1</f>
        <v>-21.263546063932694</v>
      </c>
      <c r="K110">
        <f ca="1">H110/$B$55</f>
        <v>-5.515921224101457</v>
      </c>
      <c r="L110">
        <f ca="1">K110/$B$54</f>
        <v>-1.9020418014142955E-4</v>
      </c>
      <c r="M110">
        <f t="shared" ref="M110:M121" si="57">IFERROR(($D$66/$B$65)*(G110-$B$125),0)</f>
        <v>-1.9020418014142803E-4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-6.3639610306789285</v>
      </c>
      <c r="R110">
        <f>IF($H110&lt;0,G110,NA())</f>
        <v>-4.2426406871192839</v>
      </c>
      <c r="T110">
        <f>(Q110*COS(-1*$B$64))+(R110*SIN(-1*$B$64))</f>
        <v>-1.4999999999999991</v>
      </c>
      <c r="U110">
        <f>(-1*Q110*SIN(-1*$B$64))+(R110*COS(-1*$B$64))</f>
        <v>-7.5</v>
      </c>
      <c r="W110" s="4">
        <f>T110+$B$9</f>
        <v>1.5000000000000009</v>
      </c>
      <c r="X110" s="4">
        <f>U110+$C$9</f>
        <v>1.5</v>
      </c>
      <c r="Y110">
        <f>IF(AND($E$60="n",M110&gt;0,D110="y"),M110*$B$53*$E$59,0)</f>
        <v>0</v>
      </c>
      <c r="AB110" t="str">
        <f>IF(H110&lt;&gt;0,CHAR(10)&amp;CHAR(10)&amp;ROUND(ABS(H110),4)&amp;" kips",IF(AND($E$60="n",D110="y"),CHAR(10)&amp;CHAR(10)&amp;ROUND(ABS(Y110),4)&amp;" kips",""))</f>
        <v xml:space="preserve">
3.3412 kips</v>
      </c>
    </row>
    <row r="111" spans="1:28" x14ac:dyDescent="0.25">
      <c r="A111">
        <f t="shared" ref="A111:D111" si="58">A96</f>
        <v>2</v>
      </c>
      <c r="B111" s="1">
        <f t="shared" ref="B111:B121" si="59">(B96*COS($B$64))+(C96*SIN($B$64))</f>
        <v>-4.2426406871192865</v>
      </c>
      <c r="C111" s="1">
        <f t="shared" ref="C111:C121" si="60">(-1*B96*SIN($B$64))+(C96*COS($B$64))</f>
        <v>-6.3639610306789258</v>
      </c>
      <c r="D111" t="str">
        <f t="shared" si="58"/>
        <v>y</v>
      </c>
      <c r="E111" s="4">
        <f t="shared" si="55"/>
        <v>3.6758180080903369</v>
      </c>
      <c r="F111" s="1">
        <f t="shared" ref="F111:F121" si="61">IF($D111="y",B111,NA())</f>
        <v>-4.2426406871192865</v>
      </c>
      <c r="G111" s="1">
        <f t="shared" ref="G111:G121" si="62">IF($D111="y",C111,NA())</f>
        <v>-6.3639610306789258</v>
      </c>
      <c r="H111">
        <f t="shared" si="56"/>
        <v>-7.9008189136968641</v>
      </c>
      <c r="I111">
        <f t="shared" ref="I111:I121" si="63">H111*C111</f>
        <v>50.280503677217844</v>
      </c>
      <c r="J111">
        <f t="shared" ref="J111:J121" si="64">H111*B111*-1</f>
        <v>-33.52033578481192</v>
      </c>
      <c r="K111">
        <f ca="1">H111/$B$55</f>
        <v>-13.043134788421209</v>
      </c>
      <c r="L111">
        <f t="shared" ref="L111:L121" ca="1" si="65">K111/$B$54</f>
        <v>-4.4976326856624861E-4</v>
      </c>
      <c r="M111">
        <f t="shared" si="57"/>
        <v>-4.4976326856624503E-4</v>
      </c>
      <c r="N111">
        <f t="shared" ref="N111:N121" si="66">IF(AND(M111&gt;0,D111="y",$E$60="y"),$B$53*M111*$E$59,0)</f>
        <v>0</v>
      </c>
      <c r="O111">
        <f t="shared" ref="O111:O121" si="67">N111*C111</f>
        <v>0</v>
      </c>
      <c r="P111">
        <f t="shared" ref="P111:P121" si="68">N111*B111*-1</f>
        <v>0</v>
      </c>
      <c r="Q111">
        <f t="shared" ref="Q111:Q121" si="69">IF($H111&lt;0,F111,NA())</f>
        <v>-4.2426406871192865</v>
      </c>
      <c r="R111">
        <f t="shared" ref="R111:R121" si="70">IF($H111&lt;0,G111,NA())</f>
        <v>-6.3639610306789258</v>
      </c>
      <c r="T111">
        <f t="shared" ref="T111:T121" si="71">(Q111*COS(-1*$B$64))+(R111*SIN(-1*$B$64))</f>
        <v>1.4999999999999996</v>
      </c>
      <c r="U111">
        <f t="shared" ref="U111:U121" si="72">(-1*Q111*SIN(-1*$B$64))+(R111*COS(-1*$B$64))</f>
        <v>-7.4999999999999991</v>
      </c>
      <c r="W111" s="4">
        <f t="shared" ref="W111:W121" si="73">T111+$B$9</f>
        <v>4.5</v>
      </c>
      <c r="X111" s="4">
        <f t="shared" ref="X111:X121" si="74">U111+$C$9</f>
        <v>1.5000000000000009</v>
      </c>
      <c r="Y111">
        <f t="shared" ref="Y111:Y121" si="75">IF(AND($E$60="n",M111&gt;0,D111="y"),M111*$B$53*$E$59,0)</f>
        <v>0</v>
      </c>
      <c r="AB111" t="str">
        <f t="shared" ref="AB111:AB121" si="76">IF(H111&lt;&gt;0,CHAR(10)&amp;CHAR(10)&amp;ROUND(ABS(H111),4)&amp;" kips",IF(AND($E$60="n",D111="y"),CHAR(10)&amp;CHAR(10)&amp;ROUND(ABS(Y111),4)&amp;" kips",""))</f>
        <v xml:space="preserve">
7.9008 kips</v>
      </c>
    </row>
    <row r="112" spans="1:28" x14ac:dyDescent="0.25">
      <c r="A112">
        <f t="shared" ref="A112:D112" si="77">A97</f>
        <v>3</v>
      </c>
      <c r="B112" s="1">
        <f t="shared" si="59"/>
        <v>4.2426406871192839</v>
      </c>
      <c r="C112" s="1">
        <f t="shared" si="60"/>
        <v>-6.3639610306789285</v>
      </c>
      <c r="D112" t="str">
        <f t="shared" si="77"/>
        <v>y</v>
      </c>
      <c r="E112" s="4">
        <f t="shared" si="55"/>
        <v>3.6758180080903395</v>
      </c>
      <c r="F112" s="1">
        <f t="shared" si="61"/>
        <v>4.2426406871192839</v>
      </c>
      <c r="G112" s="1">
        <f t="shared" si="62"/>
        <v>-6.3639610306789285</v>
      </c>
      <c r="H112">
        <f t="shared" si="56"/>
        <v>-7.9008189136968703</v>
      </c>
      <c r="I112">
        <f t="shared" si="63"/>
        <v>50.280503677217908</v>
      </c>
      <c r="J112">
        <f t="shared" si="64"/>
        <v>33.520335784811927</v>
      </c>
      <c r="K112">
        <f t="shared" ref="K112:K121" ca="1" si="78">H112/$B$55</f>
        <v>-13.04313478842122</v>
      </c>
      <c r="L112">
        <f t="shared" ca="1" si="65"/>
        <v>-4.4976326856624899E-4</v>
      </c>
      <c r="M112">
        <f t="shared" si="57"/>
        <v>-4.4976326856624536E-4</v>
      </c>
      <c r="N112">
        <f t="shared" si="66"/>
        <v>0</v>
      </c>
      <c r="O112">
        <f t="shared" si="67"/>
        <v>0</v>
      </c>
      <c r="P112">
        <f t="shared" si="68"/>
        <v>0</v>
      </c>
      <c r="Q112">
        <f t="shared" si="69"/>
        <v>4.2426406871192839</v>
      </c>
      <c r="R112">
        <f t="shared" si="70"/>
        <v>-6.3639610306789285</v>
      </c>
      <c r="T112">
        <f t="shared" si="71"/>
        <v>7.5</v>
      </c>
      <c r="U112">
        <f t="shared" si="72"/>
        <v>-1.4999999999999991</v>
      </c>
      <c r="W112" s="4">
        <f t="shared" si="73"/>
        <v>10.5</v>
      </c>
      <c r="X112" s="4">
        <f t="shared" si="74"/>
        <v>7.5000000000000009</v>
      </c>
      <c r="Y112">
        <f t="shared" si="75"/>
        <v>0</v>
      </c>
      <c r="AB112" t="str">
        <f t="shared" si="76"/>
        <v xml:space="preserve">
7.9008 kips</v>
      </c>
    </row>
    <row r="113" spans="1:28" x14ac:dyDescent="0.25">
      <c r="A113">
        <f t="shared" ref="A113:D113" si="79">A98</f>
        <v>4</v>
      </c>
      <c r="B113" s="1">
        <f t="shared" si="59"/>
        <v>6.3639610306789258</v>
      </c>
      <c r="C113" s="1">
        <f t="shared" si="60"/>
        <v>-4.2426406871192865</v>
      </c>
      <c r="D113" t="str">
        <f t="shared" si="79"/>
        <v>y</v>
      </c>
      <c r="E113" s="4">
        <f t="shared" si="55"/>
        <v>1.5544976645306976</v>
      </c>
      <c r="F113" s="1">
        <f t="shared" si="61"/>
        <v>6.3639610306789258</v>
      </c>
      <c r="G113" s="1">
        <f t="shared" si="62"/>
        <v>-4.2426406871192865</v>
      </c>
      <c r="H113">
        <f t="shared" si="56"/>
        <v>-3.3412439141954118</v>
      </c>
      <c r="I113">
        <f t="shared" si="63"/>
        <v>14.175697375955156</v>
      </c>
      <c r="J113">
        <f t="shared" si="64"/>
        <v>21.263546063932722</v>
      </c>
      <c r="K113">
        <f t="shared" ca="1" si="78"/>
        <v>-5.5159212241014668</v>
      </c>
      <c r="L113">
        <f t="shared" ca="1" si="65"/>
        <v>-1.902041801414299E-4</v>
      </c>
      <c r="M113">
        <f t="shared" si="57"/>
        <v>-1.9020418014142836E-4</v>
      </c>
      <c r="N113">
        <f t="shared" si="66"/>
        <v>0</v>
      </c>
      <c r="O113">
        <f t="shared" si="67"/>
        <v>0</v>
      </c>
      <c r="P113">
        <f t="shared" si="68"/>
        <v>0</v>
      </c>
      <c r="Q113">
        <f t="shared" si="69"/>
        <v>6.3639610306789258</v>
      </c>
      <c r="R113">
        <f t="shared" si="70"/>
        <v>-4.2426406871192865</v>
      </c>
      <c r="T113">
        <f t="shared" si="71"/>
        <v>7.4999999999999991</v>
      </c>
      <c r="U113">
        <f t="shared" si="72"/>
        <v>1.4999999999999996</v>
      </c>
      <c r="W113" s="4">
        <f t="shared" si="73"/>
        <v>10.5</v>
      </c>
      <c r="X113" s="4">
        <f t="shared" si="74"/>
        <v>10.5</v>
      </c>
      <c r="Y113">
        <f t="shared" si="75"/>
        <v>0</v>
      </c>
      <c r="AB113" t="str">
        <f t="shared" si="76"/>
        <v xml:space="preserve">
3.3412 kips</v>
      </c>
    </row>
    <row r="114" spans="1:28" x14ac:dyDescent="0.25">
      <c r="A114">
        <f t="shared" ref="A114:D114" si="80">A99</f>
        <v>5</v>
      </c>
      <c r="B114" s="1">
        <f t="shared" si="59"/>
        <v>-8.4852813742385713</v>
      </c>
      <c r="C114" s="1">
        <f t="shared" si="60"/>
        <v>-4.242640687119283</v>
      </c>
      <c r="D114" t="str">
        <f t="shared" si="80"/>
        <v>n</v>
      </c>
      <c r="E114" s="4">
        <f t="shared" si="55"/>
        <v>0</v>
      </c>
      <c r="F114" s="1" t="e">
        <f t="shared" si="61"/>
        <v>#N/A</v>
      </c>
      <c r="G114" s="1" t="e">
        <f t="shared" si="62"/>
        <v>#N/A</v>
      </c>
      <c r="H114">
        <f t="shared" si="56"/>
        <v>0</v>
      </c>
      <c r="I114">
        <f t="shared" si="63"/>
        <v>0</v>
      </c>
      <c r="J114">
        <f t="shared" si="64"/>
        <v>0</v>
      </c>
      <c r="K114">
        <f t="shared" ca="1" si="78"/>
        <v>0</v>
      </c>
      <c r="L114">
        <f t="shared" ca="1" si="65"/>
        <v>0</v>
      </c>
      <c r="M114">
        <f t="shared" si="57"/>
        <v>0</v>
      </c>
      <c r="N114">
        <f t="shared" si="66"/>
        <v>0</v>
      </c>
      <c r="O114">
        <f t="shared" si="67"/>
        <v>0</v>
      </c>
      <c r="P114">
        <f t="shared" si="68"/>
        <v>0</v>
      </c>
      <c r="Q114" t="e">
        <f t="shared" si="69"/>
        <v>#N/A</v>
      </c>
      <c r="R114" t="e">
        <f t="shared" si="70"/>
        <v>#N/A</v>
      </c>
      <c r="T114" t="e">
        <f t="shared" si="71"/>
        <v>#N/A</v>
      </c>
      <c r="U114" t="e">
        <f t="shared" si="72"/>
        <v>#N/A</v>
      </c>
      <c r="W114" s="4" t="e">
        <f t="shared" si="73"/>
        <v>#N/A</v>
      </c>
      <c r="X114" s="4" t="e">
        <f t="shared" si="74"/>
        <v>#N/A</v>
      </c>
      <c r="Y114">
        <f t="shared" si="75"/>
        <v>0</v>
      </c>
      <c r="AB114" t="str">
        <f t="shared" si="76"/>
        <v/>
      </c>
    </row>
    <row r="115" spans="1:28" x14ac:dyDescent="0.25">
      <c r="A115">
        <f t="shared" ref="A115:D115" si="81">A100</f>
        <v>6</v>
      </c>
      <c r="B115" s="1">
        <f t="shared" si="59"/>
        <v>-8.4852813742385713</v>
      </c>
      <c r="C115" s="1">
        <f t="shared" si="60"/>
        <v>-4.242640687119283</v>
      </c>
      <c r="D115" t="str">
        <f t="shared" si="81"/>
        <v>n</v>
      </c>
      <c r="E115" s="4">
        <f t="shared" si="55"/>
        <v>0</v>
      </c>
      <c r="F115" s="1" t="e">
        <f t="shared" si="61"/>
        <v>#N/A</v>
      </c>
      <c r="G115" s="1" t="e">
        <f t="shared" si="62"/>
        <v>#N/A</v>
      </c>
      <c r="H115">
        <f t="shared" si="56"/>
        <v>0</v>
      </c>
      <c r="I115">
        <f t="shared" si="63"/>
        <v>0</v>
      </c>
      <c r="J115">
        <f t="shared" si="64"/>
        <v>0</v>
      </c>
      <c r="K115">
        <f t="shared" ca="1" si="78"/>
        <v>0</v>
      </c>
      <c r="L115">
        <f t="shared" ca="1" si="65"/>
        <v>0</v>
      </c>
      <c r="M115">
        <f t="shared" si="57"/>
        <v>0</v>
      </c>
      <c r="N115">
        <f t="shared" si="66"/>
        <v>0</v>
      </c>
      <c r="O115">
        <f t="shared" si="67"/>
        <v>0</v>
      </c>
      <c r="P115">
        <f t="shared" si="68"/>
        <v>0</v>
      </c>
      <c r="Q115" t="e">
        <f t="shared" si="69"/>
        <v>#N/A</v>
      </c>
      <c r="R115" t="e">
        <f t="shared" si="70"/>
        <v>#N/A</v>
      </c>
      <c r="T115" t="e">
        <f t="shared" si="71"/>
        <v>#N/A</v>
      </c>
      <c r="U115" t="e">
        <f t="shared" si="72"/>
        <v>#N/A</v>
      </c>
      <c r="W115" s="4" t="e">
        <f t="shared" si="73"/>
        <v>#N/A</v>
      </c>
      <c r="X115" s="4" t="e">
        <f t="shared" si="74"/>
        <v>#N/A</v>
      </c>
      <c r="Y115">
        <f t="shared" si="75"/>
        <v>0</v>
      </c>
      <c r="AB115" t="str">
        <f t="shared" si="76"/>
        <v/>
      </c>
    </row>
    <row r="116" spans="1:28" x14ac:dyDescent="0.25">
      <c r="A116">
        <f t="shared" ref="A116:D116" si="82">A101</f>
        <v>7</v>
      </c>
      <c r="B116" s="1">
        <f t="shared" si="59"/>
        <v>-8.4852813742385713</v>
      </c>
      <c r="C116" s="1">
        <f t="shared" si="60"/>
        <v>-4.242640687119283</v>
      </c>
      <c r="D116" t="str">
        <f t="shared" si="82"/>
        <v>n</v>
      </c>
      <c r="E116" s="4">
        <f t="shared" si="55"/>
        <v>0</v>
      </c>
      <c r="F116" s="1" t="e">
        <f t="shared" si="61"/>
        <v>#N/A</v>
      </c>
      <c r="G116" s="1" t="e">
        <f t="shared" si="62"/>
        <v>#N/A</v>
      </c>
      <c r="H116">
        <f t="shared" si="56"/>
        <v>0</v>
      </c>
      <c r="I116">
        <f t="shared" si="63"/>
        <v>0</v>
      </c>
      <c r="J116">
        <f t="shared" si="64"/>
        <v>0</v>
      </c>
      <c r="K116">
        <f t="shared" ca="1" si="78"/>
        <v>0</v>
      </c>
      <c r="L116">
        <f t="shared" ca="1" si="65"/>
        <v>0</v>
      </c>
      <c r="M116">
        <f t="shared" si="57"/>
        <v>0</v>
      </c>
      <c r="N116">
        <f t="shared" si="66"/>
        <v>0</v>
      </c>
      <c r="O116">
        <f t="shared" si="67"/>
        <v>0</v>
      </c>
      <c r="P116">
        <f t="shared" si="68"/>
        <v>0</v>
      </c>
      <c r="Q116" t="e">
        <f t="shared" si="69"/>
        <v>#N/A</v>
      </c>
      <c r="R116" t="e">
        <f t="shared" si="70"/>
        <v>#N/A</v>
      </c>
      <c r="T116" t="e">
        <f t="shared" si="71"/>
        <v>#N/A</v>
      </c>
      <c r="U116" t="e">
        <f t="shared" si="72"/>
        <v>#N/A</v>
      </c>
      <c r="W116" s="4" t="e">
        <f t="shared" si="73"/>
        <v>#N/A</v>
      </c>
      <c r="X116" s="4" t="e">
        <f t="shared" si="74"/>
        <v>#N/A</v>
      </c>
      <c r="Y116">
        <f t="shared" si="75"/>
        <v>0</v>
      </c>
      <c r="AB116" t="str">
        <f t="shared" si="76"/>
        <v/>
      </c>
    </row>
    <row r="117" spans="1:28" x14ac:dyDescent="0.25">
      <c r="A117">
        <f t="shared" ref="A117:D117" si="83">A102</f>
        <v>8</v>
      </c>
      <c r="B117" s="1">
        <f t="shared" si="59"/>
        <v>-8.4852813742385713</v>
      </c>
      <c r="C117" s="1">
        <f t="shared" si="60"/>
        <v>-4.242640687119283</v>
      </c>
      <c r="D117" t="str">
        <f t="shared" si="83"/>
        <v>n</v>
      </c>
      <c r="E117" s="4">
        <f t="shared" si="55"/>
        <v>0</v>
      </c>
      <c r="F117" s="1" t="e">
        <f t="shared" si="61"/>
        <v>#N/A</v>
      </c>
      <c r="G117" s="1" t="e">
        <f t="shared" si="62"/>
        <v>#N/A</v>
      </c>
      <c r="H117">
        <f t="shared" si="56"/>
        <v>0</v>
      </c>
      <c r="I117">
        <f t="shared" si="63"/>
        <v>0</v>
      </c>
      <c r="J117">
        <f t="shared" si="64"/>
        <v>0</v>
      </c>
      <c r="K117">
        <f t="shared" ca="1" si="78"/>
        <v>0</v>
      </c>
      <c r="L117">
        <f t="shared" ca="1" si="65"/>
        <v>0</v>
      </c>
      <c r="M117">
        <f t="shared" si="57"/>
        <v>0</v>
      </c>
      <c r="N117">
        <f t="shared" si="66"/>
        <v>0</v>
      </c>
      <c r="O117">
        <f t="shared" si="67"/>
        <v>0</v>
      </c>
      <c r="P117">
        <f t="shared" si="68"/>
        <v>0</v>
      </c>
      <c r="Q117" t="e">
        <f t="shared" si="69"/>
        <v>#N/A</v>
      </c>
      <c r="R117" t="e">
        <f t="shared" si="70"/>
        <v>#N/A</v>
      </c>
      <c r="T117" t="e">
        <f t="shared" si="71"/>
        <v>#N/A</v>
      </c>
      <c r="U117" t="e">
        <f t="shared" si="72"/>
        <v>#N/A</v>
      </c>
      <c r="W117" s="4" t="e">
        <f t="shared" si="73"/>
        <v>#N/A</v>
      </c>
      <c r="X117" s="4" t="e">
        <f t="shared" si="74"/>
        <v>#N/A</v>
      </c>
      <c r="Y117">
        <f t="shared" si="75"/>
        <v>0</v>
      </c>
      <c r="AB117" t="str">
        <f t="shared" si="76"/>
        <v/>
      </c>
    </row>
    <row r="118" spans="1:28" x14ac:dyDescent="0.25">
      <c r="A118">
        <f t="shared" ref="A118:D118" si="84">A103</f>
        <v>9</v>
      </c>
      <c r="B118" s="1">
        <f t="shared" si="59"/>
        <v>-8.4852813742385713</v>
      </c>
      <c r="C118" s="1">
        <f t="shared" si="60"/>
        <v>-4.242640687119283</v>
      </c>
      <c r="D118" t="str">
        <f t="shared" si="84"/>
        <v>n</v>
      </c>
      <c r="E118" s="4">
        <f t="shared" si="55"/>
        <v>0</v>
      </c>
      <c r="F118" s="1" t="e">
        <f t="shared" si="61"/>
        <v>#N/A</v>
      </c>
      <c r="G118" s="1" t="e">
        <f t="shared" si="62"/>
        <v>#N/A</v>
      </c>
      <c r="H118">
        <f t="shared" si="56"/>
        <v>0</v>
      </c>
      <c r="I118">
        <f t="shared" si="63"/>
        <v>0</v>
      </c>
      <c r="J118">
        <f t="shared" si="64"/>
        <v>0</v>
      </c>
      <c r="K118">
        <f t="shared" ca="1" si="78"/>
        <v>0</v>
      </c>
      <c r="L118">
        <f t="shared" ca="1" si="65"/>
        <v>0</v>
      </c>
      <c r="M118">
        <f t="shared" si="57"/>
        <v>0</v>
      </c>
      <c r="N118">
        <f t="shared" si="66"/>
        <v>0</v>
      </c>
      <c r="O118">
        <f t="shared" si="67"/>
        <v>0</v>
      </c>
      <c r="P118">
        <f t="shared" si="68"/>
        <v>0</v>
      </c>
      <c r="Q118" t="e">
        <f t="shared" si="69"/>
        <v>#N/A</v>
      </c>
      <c r="R118" t="e">
        <f t="shared" si="70"/>
        <v>#N/A</v>
      </c>
      <c r="T118" t="e">
        <f t="shared" si="71"/>
        <v>#N/A</v>
      </c>
      <c r="U118" t="e">
        <f t="shared" si="72"/>
        <v>#N/A</v>
      </c>
      <c r="W118" s="4" t="e">
        <f t="shared" si="73"/>
        <v>#N/A</v>
      </c>
      <c r="X118" s="4" t="e">
        <f t="shared" si="74"/>
        <v>#N/A</v>
      </c>
      <c r="Y118">
        <f t="shared" si="75"/>
        <v>0</v>
      </c>
      <c r="AB118" t="str">
        <f t="shared" si="76"/>
        <v/>
      </c>
    </row>
    <row r="119" spans="1:28" x14ac:dyDescent="0.25">
      <c r="A119">
        <f t="shared" ref="A119:D119" si="85">A104</f>
        <v>10</v>
      </c>
      <c r="B119" s="1">
        <f t="shared" si="59"/>
        <v>-8.4852813742385713</v>
      </c>
      <c r="C119" s="1">
        <f t="shared" si="60"/>
        <v>-4.242640687119283</v>
      </c>
      <c r="D119" t="str">
        <f t="shared" si="85"/>
        <v>n</v>
      </c>
      <c r="E119" s="4">
        <f t="shared" si="55"/>
        <v>0</v>
      </c>
      <c r="F119" s="1" t="e">
        <f t="shared" si="61"/>
        <v>#N/A</v>
      </c>
      <c r="G119" s="1" t="e">
        <f t="shared" si="62"/>
        <v>#N/A</v>
      </c>
      <c r="H119">
        <f t="shared" si="56"/>
        <v>0</v>
      </c>
      <c r="I119">
        <f t="shared" si="63"/>
        <v>0</v>
      </c>
      <c r="J119">
        <f t="shared" si="64"/>
        <v>0</v>
      </c>
      <c r="K119">
        <f t="shared" ca="1" si="78"/>
        <v>0</v>
      </c>
      <c r="L119">
        <f t="shared" ca="1" si="65"/>
        <v>0</v>
      </c>
      <c r="M119">
        <f t="shared" si="57"/>
        <v>0</v>
      </c>
      <c r="N119">
        <f t="shared" si="66"/>
        <v>0</v>
      </c>
      <c r="O119">
        <f t="shared" si="67"/>
        <v>0</v>
      </c>
      <c r="P119">
        <f t="shared" si="68"/>
        <v>0</v>
      </c>
      <c r="Q119" t="e">
        <f t="shared" si="69"/>
        <v>#N/A</v>
      </c>
      <c r="R119" t="e">
        <f t="shared" si="70"/>
        <v>#N/A</v>
      </c>
      <c r="T119" t="e">
        <f t="shared" si="71"/>
        <v>#N/A</v>
      </c>
      <c r="U119" t="e">
        <f t="shared" si="72"/>
        <v>#N/A</v>
      </c>
      <c r="W119" s="4" t="e">
        <f t="shared" si="73"/>
        <v>#N/A</v>
      </c>
      <c r="X119" s="4" t="e">
        <f t="shared" si="74"/>
        <v>#N/A</v>
      </c>
      <c r="Y119">
        <f t="shared" si="75"/>
        <v>0</v>
      </c>
      <c r="AB119" t="str">
        <f t="shared" si="76"/>
        <v/>
      </c>
    </row>
    <row r="120" spans="1:28" x14ac:dyDescent="0.25">
      <c r="A120">
        <f t="shared" ref="A120:D120" si="86">A105</f>
        <v>11</v>
      </c>
      <c r="B120" s="1">
        <f t="shared" si="59"/>
        <v>-8.4852813742385713</v>
      </c>
      <c r="C120" s="1">
        <f t="shared" si="60"/>
        <v>-4.242640687119283</v>
      </c>
      <c r="D120" t="str">
        <f t="shared" si="86"/>
        <v>n</v>
      </c>
      <c r="E120" s="4">
        <f t="shared" si="55"/>
        <v>0</v>
      </c>
      <c r="F120" s="1" t="e">
        <f t="shared" si="61"/>
        <v>#N/A</v>
      </c>
      <c r="G120" s="1" t="e">
        <f t="shared" si="62"/>
        <v>#N/A</v>
      </c>
      <c r="H120">
        <f t="shared" si="56"/>
        <v>0</v>
      </c>
      <c r="I120">
        <f t="shared" si="63"/>
        <v>0</v>
      </c>
      <c r="J120">
        <f t="shared" si="64"/>
        <v>0</v>
      </c>
      <c r="K120">
        <f t="shared" ca="1" si="78"/>
        <v>0</v>
      </c>
      <c r="L120">
        <f t="shared" ca="1" si="65"/>
        <v>0</v>
      </c>
      <c r="M120">
        <f t="shared" si="57"/>
        <v>0</v>
      </c>
      <c r="N120">
        <f t="shared" si="66"/>
        <v>0</v>
      </c>
      <c r="O120">
        <f t="shared" si="67"/>
        <v>0</v>
      </c>
      <c r="P120">
        <f t="shared" si="68"/>
        <v>0</v>
      </c>
      <c r="Q120" t="e">
        <f t="shared" si="69"/>
        <v>#N/A</v>
      </c>
      <c r="R120" t="e">
        <f t="shared" si="70"/>
        <v>#N/A</v>
      </c>
      <c r="T120" t="e">
        <f t="shared" si="71"/>
        <v>#N/A</v>
      </c>
      <c r="U120" t="e">
        <f t="shared" si="72"/>
        <v>#N/A</v>
      </c>
      <c r="W120" s="4" t="e">
        <f t="shared" si="73"/>
        <v>#N/A</v>
      </c>
      <c r="X120" s="4" t="e">
        <f t="shared" si="74"/>
        <v>#N/A</v>
      </c>
      <c r="Y120">
        <f t="shared" si="75"/>
        <v>0</v>
      </c>
      <c r="AB120" t="str">
        <f t="shared" si="76"/>
        <v/>
      </c>
    </row>
    <row r="121" spans="1:28" ht="15.75" thickBot="1" x14ac:dyDescent="0.3">
      <c r="A121">
        <f t="shared" ref="A121:D121" si="87">A106</f>
        <v>12</v>
      </c>
      <c r="B121" s="1">
        <f t="shared" si="59"/>
        <v>-8.4852813742385713</v>
      </c>
      <c r="C121" s="1">
        <f t="shared" si="60"/>
        <v>-4.242640687119283</v>
      </c>
      <c r="D121" t="str">
        <f t="shared" si="87"/>
        <v>n</v>
      </c>
      <c r="E121" s="4">
        <f t="shared" si="55"/>
        <v>0</v>
      </c>
      <c r="F121" s="1" t="e">
        <f t="shared" si="61"/>
        <v>#N/A</v>
      </c>
      <c r="G121" s="1" t="e">
        <f t="shared" si="62"/>
        <v>#N/A</v>
      </c>
      <c r="H121" s="23">
        <f t="shared" si="56"/>
        <v>0</v>
      </c>
      <c r="I121" s="23">
        <f t="shared" si="63"/>
        <v>0</v>
      </c>
      <c r="J121" s="23">
        <f t="shared" si="64"/>
        <v>0</v>
      </c>
      <c r="K121">
        <f t="shared" ca="1" si="78"/>
        <v>0</v>
      </c>
      <c r="L121">
        <f t="shared" ca="1" si="65"/>
        <v>0</v>
      </c>
      <c r="M121">
        <f t="shared" si="57"/>
        <v>0</v>
      </c>
      <c r="N121" s="23">
        <f t="shared" si="66"/>
        <v>0</v>
      </c>
      <c r="O121" s="23">
        <f t="shared" si="67"/>
        <v>0</v>
      </c>
      <c r="P121" s="23">
        <f t="shared" si="68"/>
        <v>0</v>
      </c>
      <c r="Q121" t="e">
        <f t="shared" si="69"/>
        <v>#N/A</v>
      </c>
      <c r="R121" t="e">
        <f t="shared" si="70"/>
        <v>#N/A</v>
      </c>
      <c r="T121" t="e">
        <f t="shared" si="71"/>
        <v>#N/A</v>
      </c>
      <c r="U121" t="e">
        <f t="shared" si="72"/>
        <v>#N/A</v>
      </c>
      <c r="W121" s="4" t="e">
        <f t="shared" si="73"/>
        <v>#N/A</v>
      </c>
      <c r="X121" s="4" t="e">
        <f t="shared" si="74"/>
        <v>#N/A</v>
      </c>
      <c r="Y121">
        <f t="shared" si="75"/>
        <v>0</v>
      </c>
      <c r="AB121" t="str">
        <f t="shared" si="76"/>
        <v/>
      </c>
    </row>
    <row r="122" spans="1:28" ht="15.75" thickTop="1" x14ac:dyDescent="0.25">
      <c r="D122" s="10" t="s">
        <v>44</v>
      </c>
      <c r="E122" s="4">
        <f>MAX(E110:E121)</f>
        <v>3.6758180080903395</v>
      </c>
      <c r="H122">
        <f>SUM(H110:H121)</f>
        <v>-22.484125655784553</v>
      </c>
      <c r="I122">
        <f t="shared" ref="I122:J122" si="88">SUM(I110:I121)</f>
        <v>128.91240210634604</v>
      </c>
      <c r="J122">
        <f t="shared" si="88"/>
        <v>3.5527136788005009E-14</v>
      </c>
      <c r="L122">
        <f ca="1">MIN(L110:L121)</f>
        <v>-4.4976326856624899E-4</v>
      </c>
      <c r="M122">
        <f>MIN(M110:M121)</f>
        <v>-4.4976326856624536E-4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-2.6881430225885889</v>
      </c>
      <c r="F125" s="1" t="s">
        <v>27</v>
      </c>
      <c r="G125" s="1" t="s">
        <v>28</v>
      </c>
    </row>
    <row r="126" spans="1:28" x14ac:dyDescent="0.25">
      <c r="F126" s="4">
        <f>MIN(B84:B90)-1</f>
        <v>-9.4852813742385713</v>
      </c>
      <c r="G126" s="4">
        <f>B125</f>
        <v>-2.6881430225885889</v>
      </c>
    </row>
    <row r="127" spans="1:28" x14ac:dyDescent="0.25">
      <c r="F127" s="4">
        <f>MAX(B84:B90)+1</f>
        <v>9.4852813742385678</v>
      </c>
      <c r="G127" s="4">
        <f>G126</f>
        <v>-2.6881430225885889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89">B85</f>
        <v>-4.2426406871192874</v>
      </c>
      <c r="E132" s="4">
        <f t="shared" si="89"/>
        <v>-8.4852813742385678</v>
      </c>
      <c r="F132" s="4">
        <f t="shared" ref="F132:F139" si="90">($B$66/$B$65)*(C132-$B$125)</f>
        <v>-0.73517758516019027</v>
      </c>
      <c r="G132" s="4">
        <f t="shared" ref="G132:G139" si="91">($B$66/$B$65)*(E132-$B$125)</f>
        <v>-2.7416742214870045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92">D132</f>
        <v>-4.2426406871192874</v>
      </c>
      <c r="C133" s="4">
        <f t="shared" si="92"/>
        <v>-8.4852813742385678</v>
      </c>
      <c r="D133" s="4">
        <f t="shared" si="89"/>
        <v>0</v>
      </c>
      <c r="E133" s="4">
        <f t="shared" si="89"/>
        <v>-4.2426406871192848</v>
      </c>
      <c r="F133" s="4">
        <f t="shared" si="90"/>
        <v>-2.7416742214870045</v>
      </c>
      <c r="G133" s="4">
        <f t="shared" si="91"/>
        <v>-0.73517758516019105</v>
      </c>
      <c r="H133" s="4">
        <f t="shared" ref="H133:H139" si="93">IF(B133=D133,"V",(C133-E133)/(B133-D133))</f>
        <v>0.999999999999999</v>
      </c>
      <c r="I133" s="4">
        <f t="shared" ref="I133:I139" si="94">IF(H133="V",0,(-1*B133*H133)+C133)</f>
        <v>-4.2426406871192848</v>
      </c>
      <c r="J133" s="4">
        <f t="shared" ref="J133:J139" si="95">IF($F133&gt;=0,B133,IF(AND($F133&lt;0,$G133&gt;=0),IF(H133="V",B133,($B$125-I133)/H133),0))</f>
        <v>0</v>
      </c>
      <c r="K133" s="4">
        <f t="shared" ref="K133:K139" si="96">IF($F133&gt;=0,C133,IF(AND($F133&lt;0,$G133&gt;=0),$B$125,0))</f>
        <v>0</v>
      </c>
      <c r="L133" s="4">
        <f t="shared" ref="L133:L139" si="97">IF($G133&gt;=0,D133,IF(AND($G133&lt;0,$F133&gt;=0),IF(H133="V",D133,($B$125-I133)/H133),0))</f>
        <v>0</v>
      </c>
      <c r="M133" s="4">
        <f t="shared" ref="M133:M139" si="98">IF($G133&gt;=0,E133,IF(AND($G133&lt;0,$F133&gt;=0),$B$125,0))</f>
        <v>0</v>
      </c>
      <c r="N133" s="4">
        <f t="shared" ref="N133:N139" si="99">IF(F133&lt;0,0,F133)</f>
        <v>0</v>
      </c>
      <c r="O133" s="4">
        <f t="shared" ref="O133:O139" si="100">IF(G133&lt;0,0,G133)</f>
        <v>0</v>
      </c>
      <c r="P133" s="4">
        <f t="shared" ref="P133:P139" si="101">(1/6)*(M133-K133)*((N133*((2*J133)+L133))+(O133*(J133+(2*L133))))</f>
        <v>0</v>
      </c>
      <c r="Q133" s="4">
        <f t="shared" ref="Q133:Q139" si="102">((1/12)*(M133-K133)*(N133*J133*((3*K133)+M133)+N133*L133*(K133+M133)+O133*J133*(K133+M133)+O133*L133*(K133+(3*M133))))</f>
        <v>0</v>
      </c>
      <c r="R133" s="4">
        <f t="shared" ref="R133:R139" si="103">((-1/24)*(M133-K133)*(J133*J133*((3*N133)+O133)+2*J133*L133*(N133+O133)+L133*L133*(N133+(3*O133))))</f>
        <v>0</v>
      </c>
      <c r="U133" t="e">
        <f t="shared" ref="U133:U153" si="104">IF(AND(J133=0,K133=0,L133=0,M133=0),NA(),J133)</f>
        <v>#N/A</v>
      </c>
      <c r="V133" t="e">
        <f t="shared" ref="V133:V153" si="105">IF(AND(J133=0,K133=0,L133=0,M133=0),NA(),K133)</f>
        <v>#N/A</v>
      </c>
      <c r="W133" s="9" t="str">
        <f t="shared" ref="W133:W144" si="106">IF(AND(J133=0,K133=0,L133=0,M133=0),"",ROUND(N133,4)&amp;" ksi")</f>
        <v/>
      </c>
      <c r="X133" t="e">
        <f t="shared" ref="X133:X139" si="107">(U133*COS(-1*$B$64))+(V133*SIN(-1*$B$64))</f>
        <v>#N/A</v>
      </c>
      <c r="Y133" t="e">
        <f t="shared" ref="Y133:Y139" si="108">(-1*U133*SIN(-1*$B$64))+(V133*COS(-1*$B$64))</f>
        <v>#N/A</v>
      </c>
      <c r="AA133" s="4" t="e">
        <f t="shared" ref="AA133:AA139" si="109">X133+$B$9</f>
        <v>#N/A</v>
      </c>
      <c r="AB133" s="4" t="e">
        <f t="shared" ref="AB133:AB139" si="110">Y133+$C$9</f>
        <v>#N/A</v>
      </c>
      <c r="AD133" t="e">
        <f t="shared" ref="AD133:AD139" si="111">IF(AND(J133=0,K133=0,L133=0,M133=0),NA(),L133)</f>
        <v>#N/A</v>
      </c>
      <c r="AE133" t="e">
        <f t="shared" ref="AE133:AE139" si="112">IF(AND(J133=0,K133=0,L133=0,M133=0),NA(),M133)</f>
        <v>#N/A</v>
      </c>
      <c r="AF133" s="9" t="str">
        <f t="shared" ref="AF133:AF139" si="113">IF(AND(J133=0,K133=0,L133=0,M133=0),"",ROUND(O133,4)&amp;" ksi")</f>
        <v/>
      </c>
      <c r="AG133" t="e">
        <f t="shared" ref="AG133:AG139" si="114">IF(COUNTIF($U$132:$U$139,AD133)&gt;0,NA(),AD133)</f>
        <v>#N/A</v>
      </c>
      <c r="AH133" t="e">
        <f t="shared" ref="AH133:AH139" si="115">IF(AND(COUNTIF($V$132:$V$139,AE133)&gt;0,AF133&lt;&gt;"0 ksi"),NA(),AE133)</f>
        <v>#N/A</v>
      </c>
      <c r="AI133" t="str">
        <f t="shared" ref="AI133:AI139" si="116">IF(COUNTIF($U$132:$U$139,AD133)&gt;0,"",AF133)</f>
        <v/>
      </c>
      <c r="AJ133" t="e">
        <f t="shared" ref="AJ133:AJ139" si="117">(AG133*COS(-1*$B$64))+(AH133*SIN(-1*$B$64))</f>
        <v>#N/A</v>
      </c>
      <c r="AK133" t="e">
        <f t="shared" ref="AK133:AK139" si="118">(-1*AG133*SIN(-1*$B$64))+(AH133*COS(-1*$B$64))</f>
        <v>#N/A</v>
      </c>
      <c r="AM133" s="4" t="e">
        <f t="shared" ref="AM133:AM139" si="119">AJ133+$B$9</f>
        <v>#N/A</v>
      </c>
      <c r="AN133" s="4" t="e">
        <f t="shared" ref="AN133:AN139" si="120">AK133+$C$9</f>
        <v>#N/A</v>
      </c>
    </row>
    <row r="134" spans="1:40" x14ac:dyDescent="0.25">
      <c r="A134" t="s">
        <v>71</v>
      </c>
      <c r="B134" s="4">
        <f t="shared" si="92"/>
        <v>0</v>
      </c>
      <c r="C134" s="4">
        <f t="shared" si="92"/>
        <v>-4.2426406871192848</v>
      </c>
      <c r="D134" s="4">
        <f t="shared" si="89"/>
        <v>4.242640687119283</v>
      </c>
      <c r="E134" s="4">
        <f t="shared" si="89"/>
        <v>-8.4852813742385713</v>
      </c>
      <c r="F134" s="4">
        <f t="shared" si="90"/>
        <v>-0.73517758516019105</v>
      </c>
      <c r="G134" s="4">
        <f t="shared" si="91"/>
        <v>-2.7416742214870062</v>
      </c>
      <c r="H134" s="4">
        <f t="shared" si="93"/>
        <v>-1.0000000000000009</v>
      </c>
      <c r="I134" s="4">
        <f t="shared" si="94"/>
        <v>-4.2426406871192848</v>
      </c>
      <c r="J134" s="4">
        <f t="shared" si="95"/>
        <v>0</v>
      </c>
      <c r="K134" s="4">
        <f t="shared" si="96"/>
        <v>0</v>
      </c>
      <c r="L134" s="4">
        <f t="shared" si="97"/>
        <v>0</v>
      </c>
      <c r="M134" s="4">
        <f t="shared" si="98"/>
        <v>0</v>
      </c>
      <c r="N134" s="4">
        <f t="shared" si="99"/>
        <v>0</v>
      </c>
      <c r="O134" s="4">
        <f t="shared" si="100"/>
        <v>0</v>
      </c>
      <c r="P134" s="4">
        <f t="shared" si="101"/>
        <v>0</v>
      </c>
      <c r="Q134" s="4">
        <f t="shared" si="102"/>
        <v>0</v>
      </c>
      <c r="R134" s="4">
        <f t="shared" si="103"/>
        <v>0</v>
      </c>
      <c r="U134" t="e">
        <f t="shared" si="104"/>
        <v>#N/A</v>
      </c>
      <c r="V134" t="e">
        <f t="shared" si="105"/>
        <v>#N/A</v>
      </c>
      <c r="W134" s="9" t="str">
        <f t="shared" si="106"/>
        <v/>
      </c>
      <c r="X134" t="e">
        <f t="shared" si="107"/>
        <v>#N/A</v>
      </c>
      <c r="Y134" t="e">
        <f t="shared" si="108"/>
        <v>#N/A</v>
      </c>
      <c r="AA134" s="4" t="e">
        <f t="shared" si="109"/>
        <v>#N/A</v>
      </c>
      <c r="AB134" s="4" t="e">
        <f t="shared" si="110"/>
        <v>#N/A</v>
      </c>
      <c r="AD134" t="e">
        <f t="shared" si="111"/>
        <v>#N/A</v>
      </c>
      <c r="AE134" t="e">
        <f t="shared" si="112"/>
        <v>#N/A</v>
      </c>
      <c r="AF134" s="9" t="str">
        <f t="shared" si="113"/>
        <v/>
      </c>
      <c r="AG134" t="e">
        <f t="shared" si="114"/>
        <v>#N/A</v>
      </c>
      <c r="AH134" t="e">
        <f t="shared" si="115"/>
        <v>#N/A</v>
      </c>
      <c r="AI134" t="str">
        <f t="shared" si="116"/>
        <v/>
      </c>
      <c r="AJ134" t="e">
        <f t="shared" si="117"/>
        <v>#N/A</v>
      </c>
      <c r="AK134" t="e">
        <f t="shared" si="118"/>
        <v>#N/A</v>
      </c>
      <c r="AM134" s="4" t="e">
        <f t="shared" si="119"/>
        <v>#N/A</v>
      </c>
      <c r="AN134" s="4" t="e">
        <f t="shared" si="120"/>
        <v>#N/A</v>
      </c>
    </row>
    <row r="135" spans="1:40" x14ac:dyDescent="0.25">
      <c r="A135" t="s">
        <v>72</v>
      </c>
      <c r="B135" s="4">
        <f t="shared" si="92"/>
        <v>4.242640687119283</v>
      </c>
      <c r="C135" s="4">
        <f t="shared" si="92"/>
        <v>-8.4852813742385713</v>
      </c>
      <c r="D135" s="4">
        <f t="shared" si="89"/>
        <v>8.4852813742385678</v>
      </c>
      <c r="E135" s="4">
        <f t="shared" si="89"/>
        <v>-4.2426406871192874</v>
      </c>
      <c r="F135" s="4">
        <f t="shared" si="90"/>
        <v>-2.7416742214870062</v>
      </c>
      <c r="G135" s="4">
        <f t="shared" si="91"/>
        <v>-0.73517758516019227</v>
      </c>
      <c r="H135" s="4">
        <f t="shared" si="93"/>
        <v>0.99999999999999978</v>
      </c>
      <c r="I135" s="4">
        <f t="shared" si="94"/>
        <v>-12.727922061357853</v>
      </c>
      <c r="J135" s="4">
        <f t="shared" si="95"/>
        <v>0</v>
      </c>
      <c r="K135" s="4">
        <f t="shared" si="96"/>
        <v>0</v>
      </c>
      <c r="L135" s="4">
        <f t="shared" si="97"/>
        <v>0</v>
      </c>
      <c r="M135" s="4">
        <f t="shared" si="98"/>
        <v>0</v>
      </c>
      <c r="N135" s="4">
        <f t="shared" si="99"/>
        <v>0</v>
      </c>
      <c r="O135" s="4">
        <f t="shared" si="100"/>
        <v>0</v>
      </c>
      <c r="P135" s="4">
        <f t="shared" si="101"/>
        <v>0</v>
      </c>
      <c r="Q135" s="4">
        <f t="shared" si="102"/>
        <v>0</v>
      </c>
      <c r="R135" s="4">
        <f t="shared" si="103"/>
        <v>0</v>
      </c>
      <c r="U135" t="e">
        <f t="shared" si="104"/>
        <v>#N/A</v>
      </c>
      <c r="V135" t="e">
        <f t="shared" si="105"/>
        <v>#N/A</v>
      </c>
      <c r="W135" s="9" t="str">
        <f t="shared" si="106"/>
        <v/>
      </c>
      <c r="X135" t="e">
        <f t="shared" si="107"/>
        <v>#N/A</v>
      </c>
      <c r="Y135" t="e">
        <f t="shared" si="108"/>
        <v>#N/A</v>
      </c>
      <c r="AA135" s="4" t="e">
        <f t="shared" si="109"/>
        <v>#N/A</v>
      </c>
      <c r="AB135" s="4" t="e">
        <f t="shared" si="110"/>
        <v>#N/A</v>
      </c>
      <c r="AD135" t="e">
        <f t="shared" si="111"/>
        <v>#N/A</v>
      </c>
      <c r="AE135" t="e">
        <f t="shared" si="112"/>
        <v>#N/A</v>
      </c>
      <c r="AF135" s="9" t="str">
        <f t="shared" si="113"/>
        <v/>
      </c>
      <c r="AG135" t="e">
        <f t="shared" si="114"/>
        <v>#N/A</v>
      </c>
      <c r="AH135" t="e">
        <f t="shared" si="115"/>
        <v>#N/A</v>
      </c>
      <c r="AI135" t="str">
        <f t="shared" si="116"/>
        <v/>
      </c>
      <c r="AJ135" t="e">
        <f t="shared" si="117"/>
        <v>#N/A</v>
      </c>
      <c r="AK135" t="e">
        <f t="shared" si="118"/>
        <v>#N/A</v>
      </c>
      <c r="AM135" s="4" t="e">
        <f t="shared" si="119"/>
        <v>#N/A</v>
      </c>
      <c r="AN135" s="4" t="e">
        <f t="shared" si="120"/>
        <v>#N/A</v>
      </c>
    </row>
    <row r="136" spans="1:40" x14ac:dyDescent="0.25">
      <c r="A136" t="s">
        <v>73</v>
      </c>
      <c r="B136" s="4">
        <f t="shared" si="92"/>
        <v>8.4852813742385678</v>
      </c>
      <c r="C136" s="4">
        <f t="shared" si="92"/>
        <v>-4.2426406871192874</v>
      </c>
      <c r="D136" s="4">
        <f t="shared" si="89"/>
        <v>0</v>
      </c>
      <c r="E136" s="4">
        <f t="shared" si="89"/>
        <v>4.2426406871192848</v>
      </c>
      <c r="F136" s="4">
        <f t="shared" si="90"/>
        <v>-0.73517758516019227</v>
      </c>
      <c r="G136" s="4">
        <f t="shared" si="91"/>
        <v>3.2778156874934372</v>
      </c>
      <c r="H136" s="4">
        <f t="shared" si="93"/>
        <v>-1.0000000000000004</v>
      </c>
      <c r="I136" s="4">
        <f t="shared" si="94"/>
        <v>4.2426406871192839</v>
      </c>
      <c r="J136" s="4">
        <f t="shared" si="95"/>
        <v>6.9307837097078702</v>
      </c>
      <c r="K136" s="4">
        <f t="shared" si="96"/>
        <v>-2.6881430225885889</v>
      </c>
      <c r="L136" s="4">
        <f t="shared" si="97"/>
        <v>0</v>
      </c>
      <c r="M136" s="4">
        <f t="shared" si="98"/>
        <v>4.2426406871192848</v>
      </c>
      <c r="N136" s="4">
        <f t="shared" si="99"/>
        <v>0</v>
      </c>
      <c r="O136" s="4">
        <f t="shared" si="100"/>
        <v>3.2778156874934372</v>
      </c>
      <c r="P136" s="4">
        <f t="shared" si="101"/>
        <v>26.24206282789218</v>
      </c>
      <c r="Q136" s="4">
        <f t="shared" si="102"/>
        <v>20.396612689213093</v>
      </c>
      <c r="R136" s="4">
        <f t="shared" si="103"/>
        <v>-45.469515389171391</v>
      </c>
      <c r="U136">
        <f t="shared" si="104"/>
        <v>6.9307837097078702</v>
      </c>
      <c r="V136">
        <f t="shared" si="105"/>
        <v>-2.6881430225885889</v>
      </c>
      <c r="W136" s="9" t="str">
        <f t="shared" si="106"/>
        <v>0 ksi</v>
      </c>
      <c r="X136">
        <f t="shared" si="107"/>
        <v>6.8016083201433846</v>
      </c>
      <c r="Y136">
        <f t="shared" si="108"/>
        <v>2.9999999999999982</v>
      </c>
      <c r="AA136" s="4">
        <f t="shared" si="109"/>
        <v>9.8016083201433837</v>
      </c>
      <c r="AB136" s="4">
        <f t="shared" si="110"/>
        <v>11.999999999999998</v>
      </c>
      <c r="AD136">
        <f t="shared" si="111"/>
        <v>0</v>
      </c>
      <c r="AE136">
        <f t="shared" si="112"/>
        <v>4.2426406871192848</v>
      </c>
      <c r="AF136" s="9" t="str">
        <f t="shared" si="113"/>
        <v>3.2778 ksi</v>
      </c>
      <c r="AG136" t="e">
        <f t="shared" si="114"/>
        <v>#N/A</v>
      </c>
      <c r="AH136" t="e">
        <f t="shared" si="115"/>
        <v>#N/A</v>
      </c>
      <c r="AI136" t="str">
        <f t="shared" si="116"/>
        <v/>
      </c>
      <c r="AJ136" t="e">
        <f t="shared" si="117"/>
        <v>#N/A</v>
      </c>
      <c r="AK136" t="e">
        <f t="shared" si="118"/>
        <v>#N/A</v>
      </c>
      <c r="AM136" s="4" t="e">
        <f t="shared" si="119"/>
        <v>#N/A</v>
      </c>
      <c r="AN136" s="4" t="e">
        <f t="shared" si="120"/>
        <v>#N/A</v>
      </c>
    </row>
    <row r="137" spans="1:40" x14ac:dyDescent="0.25">
      <c r="A137" t="s">
        <v>74</v>
      </c>
      <c r="B137" s="4">
        <f t="shared" si="92"/>
        <v>0</v>
      </c>
      <c r="C137" s="4">
        <f t="shared" si="92"/>
        <v>4.2426406871192848</v>
      </c>
      <c r="D137" s="4">
        <f t="shared" si="89"/>
        <v>-8.4852813742385713</v>
      </c>
      <c r="E137" s="4">
        <f t="shared" si="89"/>
        <v>-4.242640687119283</v>
      </c>
      <c r="F137" s="4">
        <f t="shared" si="90"/>
        <v>3.2778156874934372</v>
      </c>
      <c r="G137" s="4">
        <f t="shared" si="91"/>
        <v>-0.73517758516019027</v>
      </c>
      <c r="H137" s="4">
        <f t="shared" si="93"/>
        <v>0.99999999999999956</v>
      </c>
      <c r="I137" s="4">
        <f t="shared" si="94"/>
        <v>4.2426406871192848</v>
      </c>
      <c r="J137" s="4">
        <f t="shared" si="95"/>
        <v>0</v>
      </c>
      <c r="K137" s="4">
        <f t="shared" si="96"/>
        <v>4.2426406871192848</v>
      </c>
      <c r="L137" s="4">
        <f t="shared" si="97"/>
        <v>-6.9307837097078764</v>
      </c>
      <c r="M137" s="4">
        <f t="shared" si="98"/>
        <v>-2.6881430225885889</v>
      </c>
      <c r="N137" s="4">
        <f t="shared" si="99"/>
        <v>3.2778156874934372</v>
      </c>
      <c r="O137" s="4">
        <f t="shared" si="100"/>
        <v>0</v>
      </c>
      <c r="P137" s="4">
        <f t="shared" si="101"/>
        <v>26.242062827892202</v>
      </c>
      <c r="Q137" s="4">
        <f t="shared" si="102"/>
        <v>20.396612689213107</v>
      </c>
      <c r="R137" s="4">
        <f t="shared" si="103"/>
        <v>45.46951538917147</v>
      </c>
      <c r="U137">
        <f t="shared" si="104"/>
        <v>0</v>
      </c>
      <c r="V137">
        <f t="shared" si="105"/>
        <v>4.2426406871192848</v>
      </c>
      <c r="W137" s="9" t="str">
        <f t="shared" si="106"/>
        <v>3.2778 ksi</v>
      </c>
      <c r="X137">
        <f t="shared" si="107"/>
        <v>-3.0000000000000004</v>
      </c>
      <c r="Y137">
        <f t="shared" si="108"/>
        <v>2.9999999999999991</v>
      </c>
      <c r="AA137" s="4">
        <f t="shared" si="109"/>
        <v>0</v>
      </c>
      <c r="AB137" s="4">
        <f t="shared" si="110"/>
        <v>12</v>
      </c>
      <c r="AD137">
        <f t="shared" si="111"/>
        <v>-6.9307837097078764</v>
      </c>
      <c r="AE137">
        <f t="shared" si="112"/>
        <v>-2.6881430225885889</v>
      </c>
      <c r="AF137" s="9" t="str">
        <f t="shared" si="113"/>
        <v>0 ksi</v>
      </c>
      <c r="AG137">
        <f t="shared" si="114"/>
        <v>-6.9307837097078764</v>
      </c>
      <c r="AH137">
        <f t="shared" si="115"/>
        <v>-2.6881430225885889</v>
      </c>
      <c r="AI137" t="str">
        <f t="shared" si="116"/>
        <v>0 ksi</v>
      </c>
      <c r="AJ137">
        <f t="shared" si="117"/>
        <v>-3</v>
      </c>
      <c r="AK137">
        <f t="shared" si="118"/>
        <v>-6.8016083201433899</v>
      </c>
      <c r="AM137" s="4">
        <f t="shared" si="119"/>
        <v>0</v>
      </c>
      <c r="AN137" s="4">
        <f t="shared" si="120"/>
        <v>2.1983916798566101</v>
      </c>
    </row>
    <row r="138" spans="1:40" x14ac:dyDescent="0.25">
      <c r="A138" t="s">
        <v>75</v>
      </c>
      <c r="B138" s="4">
        <f t="shared" si="92"/>
        <v>-8.4852813742385713</v>
      </c>
      <c r="C138" s="4">
        <f t="shared" si="92"/>
        <v>-4.242640687119283</v>
      </c>
      <c r="D138" s="4">
        <f t="shared" si="89"/>
        <v>-8.4852813742385713</v>
      </c>
      <c r="E138" s="4">
        <f t="shared" si="89"/>
        <v>-4.242640687119283</v>
      </c>
      <c r="F138" s="4">
        <f t="shared" si="90"/>
        <v>-0.73517758516019027</v>
      </c>
      <c r="G138" s="4">
        <f t="shared" si="91"/>
        <v>-0.73517758516019027</v>
      </c>
      <c r="H138" s="4" t="str">
        <f t="shared" si="93"/>
        <v>V</v>
      </c>
      <c r="I138" s="4">
        <f t="shared" si="94"/>
        <v>0</v>
      </c>
      <c r="J138" s="4">
        <f t="shared" si="95"/>
        <v>0</v>
      </c>
      <c r="K138" s="4">
        <f t="shared" si="96"/>
        <v>0</v>
      </c>
      <c r="L138" s="4">
        <f t="shared" si="97"/>
        <v>0</v>
      </c>
      <c r="M138" s="4">
        <f t="shared" si="98"/>
        <v>0</v>
      </c>
      <c r="N138" s="4">
        <f t="shared" si="99"/>
        <v>0</v>
      </c>
      <c r="O138" s="4">
        <f t="shared" si="100"/>
        <v>0</v>
      </c>
      <c r="P138" s="30">
        <f t="shared" si="101"/>
        <v>0</v>
      </c>
      <c r="Q138" s="30">
        <f t="shared" si="102"/>
        <v>0</v>
      </c>
      <c r="R138" s="30">
        <f t="shared" si="103"/>
        <v>0</v>
      </c>
      <c r="U138" t="e">
        <f t="shared" si="104"/>
        <v>#N/A</v>
      </c>
      <c r="V138" t="e">
        <f t="shared" si="105"/>
        <v>#N/A</v>
      </c>
      <c r="W138" s="9" t="str">
        <f t="shared" si="106"/>
        <v/>
      </c>
      <c r="X138" t="e">
        <f t="shared" si="107"/>
        <v>#N/A</v>
      </c>
      <c r="Y138" t="e">
        <f t="shared" si="108"/>
        <v>#N/A</v>
      </c>
      <c r="AA138" s="4" t="e">
        <f t="shared" si="109"/>
        <v>#N/A</v>
      </c>
      <c r="AB138" s="4" t="e">
        <f t="shared" si="110"/>
        <v>#N/A</v>
      </c>
      <c r="AD138" t="e">
        <f t="shared" si="111"/>
        <v>#N/A</v>
      </c>
      <c r="AE138" t="e">
        <f t="shared" si="112"/>
        <v>#N/A</v>
      </c>
      <c r="AF138" s="9" t="str">
        <f t="shared" si="113"/>
        <v/>
      </c>
      <c r="AG138" t="e">
        <f t="shared" si="114"/>
        <v>#N/A</v>
      </c>
      <c r="AH138" t="e">
        <f t="shared" si="115"/>
        <v>#N/A</v>
      </c>
      <c r="AI138" t="str">
        <f t="shared" si="116"/>
        <v/>
      </c>
      <c r="AJ138" t="e">
        <f t="shared" si="117"/>
        <v>#N/A</v>
      </c>
      <c r="AK138" t="e">
        <f t="shared" si="118"/>
        <v>#N/A</v>
      </c>
      <c r="AM138" s="4" t="e">
        <f t="shared" si="119"/>
        <v>#N/A</v>
      </c>
      <c r="AN138" s="4" t="e">
        <f t="shared" si="120"/>
        <v>#N/A</v>
      </c>
    </row>
    <row r="139" spans="1:40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89"/>
        <v>-8.4852813742385713</v>
      </c>
      <c r="E139" s="4">
        <f t="shared" si="89"/>
        <v>-4.242640687119283</v>
      </c>
      <c r="F139" s="4">
        <f t="shared" si="90"/>
        <v>-0.73517758516019027</v>
      </c>
      <c r="G139" s="4">
        <f t="shared" si="91"/>
        <v>-0.73517758516019027</v>
      </c>
      <c r="H139" s="4" t="str">
        <f t="shared" si="93"/>
        <v>V</v>
      </c>
      <c r="I139" s="4">
        <f t="shared" si="94"/>
        <v>0</v>
      </c>
      <c r="J139" s="4">
        <f t="shared" si="95"/>
        <v>0</v>
      </c>
      <c r="K139" s="4">
        <f t="shared" si="96"/>
        <v>0</v>
      </c>
      <c r="L139" s="4">
        <f t="shared" si="97"/>
        <v>0</v>
      </c>
      <c r="M139" s="4">
        <f t="shared" si="98"/>
        <v>0</v>
      </c>
      <c r="N139" s="4">
        <f t="shared" si="99"/>
        <v>0</v>
      </c>
      <c r="O139" s="4">
        <f t="shared" si="100"/>
        <v>0</v>
      </c>
      <c r="P139" s="31">
        <f t="shared" si="101"/>
        <v>0</v>
      </c>
      <c r="Q139" s="31">
        <f t="shared" si="102"/>
        <v>0</v>
      </c>
      <c r="R139" s="31">
        <f t="shared" si="103"/>
        <v>0</v>
      </c>
      <c r="U139" t="e">
        <f t="shared" si="104"/>
        <v>#N/A</v>
      </c>
      <c r="V139" t="e">
        <f t="shared" si="105"/>
        <v>#N/A</v>
      </c>
      <c r="W139" s="9" t="str">
        <f t="shared" si="106"/>
        <v/>
      </c>
      <c r="X139" t="e">
        <f t="shared" si="107"/>
        <v>#N/A</v>
      </c>
      <c r="Y139" t="e">
        <f t="shared" si="108"/>
        <v>#N/A</v>
      </c>
      <c r="AA139" s="4" t="e">
        <f t="shared" si="109"/>
        <v>#N/A</v>
      </c>
      <c r="AB139" s="4" t="e">
        <f t="shared" si="110"/>
        <v>#N/A</v>
      </c>
      <c r="AD139" t="e">
        <f t="shared" si="111"/>
        <v>#N/A</v>
      </c>
      <c r="AE139" t="e">
        <f t="shared" si="112"/>
        <v>#N/A</v>
      </c>
      <c r="AF139" s="9" t="str">
        <f t="shared" si="113"/>
        <v/>
      </c>
      <c r="AG139" t="e">
        <f t="shared" si="114"/>
        <v>#N/A</v>
      </c>
      <c r="AH139" t="e">
        <f t="shared" si="115"/>
        <v>#N/A</v>
      </c>
      <c r="AI139" t="str">
        <f t="shared" si="116"/>
        <v/>
      </c>
      <c r="AJ139" t="e">
        <f t="shared" si="117"/>
        <v>#N/A</v>
      </c>
      <c r="AK139" t="e">
        <f t="shared" si="118"/>
        <v>#N/A</v>
      </c>
      <c r="AM139" s="4" t="e">
        <f t="shared" si="119"/>
        <v>#N/A</v>
      </c>
      <c r="AN139" s="4" t="e">
        <f t="shared" si="120"/>
        <v>#N/A</v>
      </c>
    </row>
    <row r="140" spans="1:40" ht="15.75" thickTop="1" x14ac:dyDescent="0.25">
      <c r="P140" s="4">
        <f>SUM(P132:P139)</f>
        <v>52.484125655784382</v>
      </c>
      <c r="Q140" s="4">
        <f>SUM(Q132:Q139)</f>
        <v>40.7932253784262</v>
      </c>
      <c r="R140" s="4">
        <f>SUM(R132:R139)</f>
        <v>7.815970093361102E-14</v>
      </c>
      <c r="T140" t="str">
        <f>ROUND(P140,4)&amp;" kips"</f>
        <v>52.4841 kips</v>
      </c>
      <c r="W140" s="9" t="str">
        <f t="shared" si="10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0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-1.4892064973363404E-15</v>
      </c>
      <c r="W142" s="9" t="str">
        <f t="shared" si="10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0.77724883226534791</v>
      </c>
      <c r="W143" s="9" t="str">
        <f t="shared" si="10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0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04"/>
        <v>xi' (in)</v>
      </c>
      <c r="V145" t="str">
        <f t="shared" si="10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121">I85</f>
        <v>-8.4852813742385713</v>
      </c>
      <c r="E146">
        <f t="shared" si="121"/>
        <v>-4.242640687119283</v>
      </c>
      <c r="F146" s="4">
        <f>($B$66/$B$65)*(C146-$B$125)</f>
        <v>-0.73517758516019027</v>
      </c>
      <c r="G146" s="4">
        <f>($B$66/$B$65)*(E146-$B$125)</f>
        <v>-0.73517758516019027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04"/>
        <v>#N/A</v>
      </c>
      <c r="V146" t="e">
        <f t="shared" si="10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22">(U146*COS(-1*$B$64))+(V146*SIN(-1*$B$64))</f>
        <v>#N/A</v>
      </c>
      <c r="Y146" t="e">
        <f t="shared" ref="Y146:Y153" si="123">(-1*U146*SIN(-1*$B$64))+(V146*COS(-1*$B$64))</f>
        <v>#N/A</v>
      </c>
      <c r="AA146" s="4" t="e">
        <f t="shared" ref="AA146:AA153" si="124">X146+$B$9</f>
        <v>#N/A</v>
      </c>
      <c r="AB146" s="4" t="e">
        <f t="shared" ref="AB146:AB153" si="125">Y146+$C$9</f>
        <v>#N/A</v>
      </c>
      <c r="AD146" t="e">
        <f t="shared" ref="AD146:AD153" si="126">IF(AND(J146=0,K146=0,L146=0,M146=0),NA(),L146)</f>
        <v>#N/A</v>
      </c>
      <c r="AE146" t="e">
        <f t="shared" ref="AE146:AE153" si="12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28">(AG146*COS(-1*$B$64))+(AH146*SIN(-1*$B$64))</f>
        <v>#N/A</v>
      </c>
      <c r="AK146" t="e">
        <f t="shared" ref="AK146:AK153" si="129">(-1*AG146*SIN(-1*$B$64))+(AH146*COS(-1*$B$64))</f>
        <v>#N/A</v>
      </c>
      <c r="AM146" s="4" t="e">
        <f t="shared" ref="AM146:AM153" si="130">AJ146+$B$9</f>
        <v>#N/A</v>
      </c>
      <c r="AN146" s="4" t="e">
        <f t="shared" ref="AN146:AN153" si="131">AK146+$C$9</f>
        <v>#N/A</v>
      </c>
    </row>
    <row r="147" spans="1:40" x14ac:dyDescent="0.25">
      <c r="A147" t="s">
        <v>70</v>
      </c>
      <c r="B147" s="9">
        <f t="shared" ref="B147:C153" si="132">D146</f>
        <v>-8.4852813742385713</v>
      </c>
      <c r="C147">
        <f t="shared" si="132"/>
        <v>-4.242640687119283</v>
      </c>
      <c r="D147" s="9">
        <f t="shared" si="121"/>
        <v>-8.4852813742385713</v>
      </c>
      <c r="E147">
        <f t="shared" si="121"/>
        <v>-4.242640687119283</v>
      </c>
      <c r="F147" s="4">
        <f t="shared" ref="F147:F153" si="133">($B$66/$B$65)*(C147-$B$125)</f>
        <v>-0.73517758516019027</v>
      </c>
      <c r="G147" s="4">
        <f t="shared" ref="G147:G153" si="134">($B$66/$B$65)*(E147-$B$125)</f>
        <v>-0.73517758516019027</v>
      </c>
      <c r="H147" s="4" t="str">
        <f t="shared" ref="H147:H153" si="135">IF(B147=D147,"V",(C147-E147)/(B147-D147))</f>
        <v>V</v>
      </c>
      <c r="I147" s="4">
        <f t="shared" ref="I147:I153" si="136">IF(H147="V",0,(-1*B147*H147)+C147)</f>
        <v>0</v>
      </c>
      <c r="J147" s="4">
        <f t="shared" ref="J147:J153" si="137">IF($F147&gt;=0,B147,IF(AND($F147&lt;0,$G147&gt;=0),IF(H147="V",B147,($B$125-I147)/H147),0))</f>
        <v>0</v>
      </c>
      <c r="K147" s="4">
        <f t="shared" ref="K147:K153" si="138">IF($F147&gt;=0,C147,IF(AND($F147&lt;0,$G147&gt;=0),$B$125,0))</f>
        <v>0</v>
      </c>
      <c r="L147" s="4">
        <f t="shared" ref="L147:L153" si="139">IF($G147&gt;=0,D147,IF(AND($G147&lt;0,$F147&gt;=0),IF(H147="V",D147,($B$125-I147)/H147),0))</f>
        <v>0</v>
      </c>
      <c r="M147" s="4">
        <f t="shared" ref="M147:M153" si="140">IF($G147&gt;=0,E147,IF(AND($G147&lt;0,$F147&gt;=0),$B$125,0))</f>
        <v>0</v>
      </c>
      <c r="N147" s="4">
        <f t="shared" ref="N147:N153" si="141">IF(F147&lt;0,0,F147)</f>
        <v>0</v>
      </c>
      <c r="O147" s="4">
        <f t="shared" ref="O147:O153" si="142">IF(G147&lt;0,0,G147)</f>
        <v>0</v>
      </c>
      <c r="P147" s="4">
        <f t="shared" ref="P147:P153" si="143">(1/6)*(M147-K147)*((N147*((2*J147)+L147))+(O147*(J147+(2*L147))))</f>
        <v>0</v>
      </c>
      <c r="Q147" s="4">
        <f t="shared" ref="Q147:Q153" si="144">((1/12)*(M147-K147)*(N147*J147*((3*K147)+M147)+N147*L147*(K147+M147)+O147*J147*(K147+M147)+O147*L147*(K147+(3*M147))))</f>
        <v>0</v>
      </c>
      <c r="R147" s="4">
        <f t="shared" ref="R147:R153" si="145">((-1/24)*(M147-K147)*(J147*J147*((3*N147)+O147)+2*J147*L147*(N147+O147)+L147*L147*(N147+(3*O147))))</f>
        <v>0</v>
      </c>
      <c r="U147" t="e">
        <f t="shared" si="104"/>
        <v>#N/A</v>
      </c>
      <c r="V147" t="e">
        <f t="shared" si="105"/>
        <v>#N/A</v>
      </c>
      <c r="W147" s="9" t="str">
        <f t="shared" ref="W147:W153" si="146">IF($D$34=0,"",IF(AND(J147=0,K147=0,L147=0,M147=0),"",CHAR(10)&amp;CHAR(10)&amp;-1*ROUND(N147,4)&amp;" ksi"))</f>
        <v/>
      </c>
      <c r="X147" t="e">
        <f t="shared" si="122"/>
        <v>#N/A</v>
      </c>
      <c r="Y147" t="e">
        <f t="shared" si="123"/>
        <v>#N/A</v>
      </c>
      <c r="AA147" s="4" t="e">
        <f t="shared" si="124"/>
        <v>#N/A</v>
      </c>
      <c r="AB147" s="4" t="e">
        <f t="shared" si="125"/>
        <v>#N/A</v>
      </c>
      <c r="AD147" t="e">
        <f t="shared" si="126"/>
        <v>#N/A</v>
      </c>
      <c r="AE147" t="e">
        <f t="shared" si="127"/>
        <v>#N/A</v>
      </c>
      <c r="AF147" s="9" t="str">
        <f t="shared" ref="AF147:AF153" si="147">IF(AND(J147=0,K147=0,L147=0,M147=0),"",CHAR(10)&amp;CHAR(10)&amp;-1*ROUND(O147,4)&amp;" ksi")</f>
        <v/>
      </c>
      <c r="AG147" t="e">
        <f t="shared" ref="AG147:AG153" si="148">IF(COUNTIF($U$146:$U$153,AD147)&gt;0,NA(),AD147)</f>
        <v>#N/A</v>
      </c>
      <c r="AH147" t="e">
        <f t="shared" ref="AH147:AH153" si="149">IF(AND(COUNTIF($V$146:$V$153,AE147)&gt;0,AF147&lt;&gt;CHAR(10)&amp;CHAR(10)&amp;"0 ksi"),NA(),AE147)</f>
        <v>#N/A</v>
      </c>
      <c r="AI147" t="str">
        <f t="shared" ref="AI147:AI153" si="150">IF(COUNTIF($U$146:$U$153,AD147)&gt;0,"",AF147)</f>
        <v/>
      </c>
      <c r="AJ147" t="e">
        <f t="shared" si="128"/>
        <v>#N/A</v>
      </c>
      <c r="AK147" t="e">
        <f t="shared" si="129"/>
        <v>#N/A</v>
      </c>
      <c r="AM147" s="4" t="e">
        <f t="shared" si="130"/>
        <v>#N/A</v>
      </c>
      <c r="AN147" s="4" t="e">
        <f t="shared" si="131"/>
        <v>#N/A</v>
      </c>
    </row>
    <row r="148" spans="1:40" x14ac:dyDescent="0.25">
      <c r="A148" t="s">
        <v>71</v>
      </c>
      <c r="B148" s="9">
        <f t="shared" si="132"/>
        <v>-8.4852813742385713</v>
      </c>
      <c r="C148">
        <f t="shared" si="132"/>
        <v>-4.242640687119283</v>
      </c>
      <c r="D148" s="9">
        <f t="shared" si="121"/>
        <v>-8.4852813742385713</v>
      </c>
      <c r="E148">
        <f t="shared" si="121"/>
        <v>-4.242640687119283</v>
      </c>
      <c r="F148" s="4">
        <f t="shared" si="133"/>
        <v>-0.73517758516019027</v>
      </c>
      <c r="G148" s="4">
        <f t="shared" si="134"/>
        <v>-0.73517758516019027</v>
      </c>
      <c r="H148" s="4" t="str">
        <f t="shared" si="135"/>
        <v>V</v>
      </c>
      <c r="I148" s="4">
        <f t="shared" si="136"/>
        <v>0</v>
      </c>
      <c r="J148" s="4">
        <f t="shared" si="137"/>
        <v>0</v>
      </c>
      <c r="K148" s="4">
        <f t="shared" si="138"/>
        <v>0</v>
      </c>
      <c r="L148" s="4">
        <f t="shared" si="139"/>
        <v>0</v>
      </c>
      <c r="M148" s="4">
        <f t="shared" si="140"/>
        <v>0</v>
      </c>
      <c r="N148" s="4">
        <f t="shared" si="141"/>
        <v>0</v>
      </c>
      <c r="O148" s="4">
        <f t="shared" si="142"/>
        <v>0</v>
      </c>
      <c r="P148" s="4">
        <f t="shared" si="143"/>
        <v>0</v>
      </c>
      <c r="Q148" s="4">
        <f t="shared" si="144"/>
        <v>0</v>
      </c>
      <c r="R148" s="4">
        <f t="shared" si="145"/>
        <v>0</v>
      </c>
      <c r="U148" t="e">
        <f t="shared" si="104"/>
        <v>#N/A</v>
      </c>
      <c r="V148" t="e">
        <f t="shared" si="105"/>
        <v>#N/A</v>
      </c>
      <c r="W148" s="9" t="str">
        <f t="shared" si="146"/>
        <v/>
      </c>
      <c r="X148" t="e">
        <f t="shared" si="122"/>
        <v>#N/A</v>
      </c>
      <c r="Y148" t="e">
        <f t="shared" si="123"/>
        <v>#N/A</v>
      </c>
      <c r="AA148" s="4" t="e">
        <f t="shared" si="124"/>
        <v>#N/A</v>
      </c>
      <c r="AB148" s="4" t="e">
        <f t="shared" si="125"/>
        <v>#N/A</v>
      </c>
      <c r="AD148" t="e">
        <f t="shared" si="126"/>
        <v>#N/A</v>
      </c>
      <c r="AE148" t="e">
        <f t="shared" si="127"/>
        <v>#N/A</v>
      </c>
      <c r="AF148" s="9" t="str">
        <f t="shared" si="147"/>
        <v/>
      </c>
      <c r="AG148" t="e">
        <f t="shared" si="148"/>
        <v>#N/A</v>
      </c>
      <c r="AH148" t="e">
        <f t="shared" si="149"/>
        <v>#N/A</v>
      </c>
      <c r="AI148" t="str">
        <f t="shared" si="150"/>
        <v/>
      </c>
      <c r="AJ148" t="e">
        <f t="shared" si="128"/>
        <v>#N/A</v>
      </c>
      <c r="AK148" t="e">
        <f t="shared" si="129"/>
        <v>#N/A</v>
      </c>
      <c r="AM148" s="4" t="e">
        <f t="shared" si="130"/>
        <v>#N/A</v>
      </c>
      <c r="AN148" s="4" t="e">
        <f t="shared" si="131"/>
        <v>#N/A</v>
      </c>
    </row>
    <row r="149" spans="1:40" x14ac:dyDescent="0.25">
      <c r="A149" t="s">
        <v>72</v>
      </c>
      <c r="B149" s="9">
        <f t="shared" si="132"/>
        <v>-8.4852813742385713</v>
      </c>
      <c r="C149">
        <f t="shared" si="132"/>
        <v>-4.242640687119283</v>
      </c>
      <c r="D149" s="9">
        <f t="shared" si="121"/>
        <v>-8.4852813742385713</v>
      </c>
      <c r="E149">
        <f t="shared" si="121"/>
        <v>-4.242640687119283</v>
      </c>
      <c r="F149" s="4">
        <f t="shared" si="133"/>
        <v>-0.73517758516019027</v>
      </c>
      <c r="G149" s="4">
        <f t="shared" si="134"/>
        <v>-0.73517758516019027</v>
      </c>
      <c r="H149" s="4" t="str">
        <f t="shared" si="135"/>
        <v>V</v>
      </c>
      <c r="I149" s="4">
        <f t="shared" si="136"/>
        <v>0</v>
      </c>
      <c r="J149" s="4">
        <f t="shared" si="137"/>
        <v>0</v>
      </c>
      <c r="K149" s="4">
        <f t="shared" si="138"/>
        <v>0</v>
      </c>
      <c r="L149" s="4">
        <f t="shared" si="139"/>
        <v>0</v>
      </c>
      <c r="M149" s="4">
        <f t="shared" si="140"/>
        <v>0</v>
      </c>
      <c r="N149" s="4">
        <f t="shared" si="141"/>
        <v>0</v>
      </c>
      <c r="O149" s="4">
        <f t="shared" si="142"/>
        <v>0</v>
      </c>
      <c r="P149" s="4">
        <f t="shared" si="143"/>
        <v>0</v>
      </c>
      <c r="Q149" s="4">
        <f t="shared" si="144"/>
        <v>0</v>
      </c>
      <c r="R149" s="4">
        <f t="shared" si="145"/>
        <v>0</v>
      </c>
      <c r="U149" t="e">
        <f t="shared" si="104"/>
        <v>#N/A</v>
      </c>
      <c r="V149" t="e">
        <f t="shared" si="105"/>
        <v>#N/A</v>
      </c>
      <c r="W149" s="9" t="str">
        <f t="shared" si="146"/>
        <v/>
      </c>
      <c r="X149" t="e">
        <f t="shared" si="122"/>
        <v>#N/A</v>
      </c>
      <c r="Y149" t="e">
        <f t="shared" si="123"/>
        <v>#N/A</v>
      </c>
      <c r="AA149" s="4" t="e">
        <f t="shared" si="124"/>
        <v>#N/A</v>
      </c>
      <c r="AB149" s="4" t="e">
        <f t="shared" si="125"/>
        <v>#N/A</v>
      </c>
      <c r="AD149" t="e">
        <f t="shared" si="126"/>
        <v>#N/A</v>
      </c>
      <c r="AE149" t="e">
        <f t="shared" si="127"/>
        <v>#N/A</v>
      </c>
      <c r="AF149" s="9" t="str">
        <f t="shared" si="147"/>
        <v/>
      </c>
      <c r="AG149" t="e">
        <f t="shared" si="148"/>
        <v>#N/A</v>
      </c>
      <c r="AH149" t="e">
        <f t="shared" si="149"/>
        <v>#N/A</v>
      </c>
      <c r="AI149" t="str">
        <f t="shared" si="150"/>
        <v/>
      </c>
      <c r="AJ149" t="e">
        <f t="shared" si="128"/>
        <v>#N/A</v>
      </c>
      <c r="AK149" t="e">
        <f t="shared" si="129"/>
        <v>#N/A</v>
      </c>
      <c r="AM149" s="4" t="e">
        <f t="shared" si="130"/>
        <v>#N/A</v>
      </c>
      <c r="AN149" s="4" t="e">
        <f t="shared" si="131"/>
        <v>#N/A</v>
      </c>
    </row>
    <row r="150" spans="1:40" x14ac:dyDescent="0.25">
      <c r="A150" t="s">
        <v>73</v>
      </c>
      <c r="B150" s="9">
        <f t="shared" si="132"/>
        <v>-8.4852813742385713</v>
      </c>
      <c r="C150">
        <f t="shared" si="132"/>
        <v>-4.242640687119283</v>
      </c>
      <c r="D150" s="9">
        <f t="shared" si="121"/>
        <v>-8.4852813742385713</v>
      </c>
      <c r="E150">
        <f t="shared" si="121"/>
        <v>-4.242640687119283</v>
      </c>
      <c r="F150" s="4">
        <f t="shared" si="133"/>
        <v>-0.73517758516019027</v>
      </c>
      <c r="G150" s="4">
        <f t="shared" si="134"/>
        <v>-0.73517758516019027</v>
      </c>
      <c r="H150" s="4" t="str">
        <f t="shared" si="135"/>
        <v>V</v>
      </c>
      <c r="I150" s="4">
        <f t="shared" si="136"/>
        <v>0</v>
      </c>
      <c r="J150" s="4">
        <f t="shared" si="137"/>
        <v>0</v>
      </c>
      <c r="K150" s="4">
        <f t="shared" si="138"/>
        <v>0</v>
      </c>
      <c r="L150" s="4">
        <f t="shared" si="139"/>
        <v>0</v>
      </c>
      <c r="M150" s="4">
        <f t="shared" si="140"/>
        <v>0</v>
      </c>
      <c r="N150" s="4">
        <f t="shared" si="141"/>
        <v>0</v>
      </c>
      <c r="O150" s="4">
        <f t="shared" si="142"/>
        <v>0</v>
      </c>
      <c r="P150" s="4">
        <f t="shared" si="143"/>
        <v>0</v>
      </c>
      <c r="Q150" s="4">
        <f t="shared" si="144"/>
        <v>0</v>
      </c>
      <c r="R150" s="4">
        <f t="shared" si="145"/>
        <v>0</v>
      </c>
      <c r="U150" t="e">
        <f t="shared" si="104"/>
        <v>#N/A</v>
      </c>
      <c r="V150" t="e">
        <f t="shared" si="105"/>
        <v>#N/A</v>
      </c>
      <c r="W150" s="9" t="str">
        <f t="shared" si="146"/>
        <v/>
      </c>
      <c r="X150" t="e">
        <f t="shared" si="122"/>
        <v>#N/A</v>
      </c>
      <c r="Y150" t="e">
        <f t="shared" si="123"/>
        <v>#N/A</v>
      </c>
      <c r="AA150" s="4" t="e">
        <f t="shared" si="124"/>
        <v>#N/A</v>
      </c>
      <c r="AB150" s="4" t="e">
        <f t="shared" si="125"/>
        <v>#N/A</v>
      </c>
      <c r="AD150" t="e">
        <f t="shared" si="126"/>
        <v>#N/A</v>
      </c>
      <c r="AE150" t="e">
        <f t="shared" si="127"/>
        <v>#N/A</v>
      </c>
      <c r="AF150" s="9" t="str">
        <f t="shared" si="147"/>
        <v/>
      </c>
      <c r="AG150" t="e">
        <f t="shared" si="148"/>
        <v>#N/A</v>
      </c>
      <c r="AH150" t="e">
        <f t="shared" si="149"/>
        <v>#N/A</v>
      </c>
      <c r="AI150" t="str">
        <f t="shared" si="150"/>
        <v/>
      </c>
      <c r="AJ150" t="e">
        <f t="shared" si="128"/>
        <v>#N/A</v>
      </c>
      <c r="AK150" t="e">
        <f t="shared" si="129"/>
        <v>#N/A</v>
      </c>
      <c r="AM150" s="4" t="e">
        <f t="shared" si="130"/>
        <v>#N/A</v>
      </c>
      <c r="AN150" s="4" t="e">
        <f t="shared" si="131"/>
        <v>#N/A</v>
      </c>
    </row>
    <row r="151" spans="1:40" x14ac:dyDescent="0.25">
      <c r="A151" t="s">
        <v>74</v>
      </c>
      <c r="B151" s="9">
        <f t="shared" si="132"/>
        <v>-8.4852813742385713</v>
      </c>
      <c r="C151">
        <f t="shared" si="132"/>
        <v>-4.242640687119283</v>
      </c>
      <c r="D151" s="9">
        <f t="shared" si="121"/>
        <v>-8.4852813742385713</v>
      </c>
      <c r="E151">
        <f t="shared" si="121"/>
        <v>-4.242640687119283</v>
      </c>
      <c r="F151" s="4">
        <f t="shared" si="133"/>
        <v>-0.73517758516019027</v>
      </c>
      <c r="G151" s="4">
        <f t="shared" si="134"/>
        <v>-0.73517758516019027</v>
      </c>
      <c r="H151" s="4" t="str">
        <f t="shared" si="135"/>
        <v>V</v>
      </c>
      <c r="I151" s="4">
        <f t="shared" si="136"/>
        <v>0</v>
      </c>
      <c r="J151" s="4">
        <f t="shared" si="137"/>
        <v>0</v>
      </c>
      <c r="K151" s="4">
        <f t="shared" si="138"/>
        <v>0</v>
      </c>
      <c r="L151" s="4">
        <f t="shared" si="139"/>
        <v>0</v>
      </c>
      <c r="M151" s="4">
        <f t="shared" si="140"/>
        <v>0</v>
      </c>
      <c r="N151" s="4">
        <f t="shared" si="141"/>
        <v>0</v>
      </c>
      <c r="O151" s="4">
        <f t="shared" si="142"/>
        <v>0</v>
      </c>
      <c r="P151" s="4">
        <f t="shared" si="143"/>
        <v>0</v>
      </c>
      <c r="Q151" s="4">
        <f t="shared" si="144"/>
        <v>0</v>
      </c>
      <c r="R151" s="4">
        <f t="shared" si="145"/>
        <v>0</v>
      </c>
      <c r="U151" t="e">
        <f t="shared" si="104"/>
        <v>#N/A</v>
      </c>
      <c r="V151" t="e">
        <f t="shared" si="105"/>
        <v>#N/A</v>
      </c>
      <c r="W151" s="9" t="str">
        <f t="shared" si="146"/>
        <v/>
      </c>
      <c r="X151" t="e">
        <f t="shared" si="122"/>
        <v>#N/A</v>
      </c>
      <c r="Y151" t="e">
        <f t="shared" si="123"/>
        <v>#N/A</v>
      </c>
      <c r="AA151" s="4" t="e">
        <f t="shared" si="124"/>
        <v>#N/A</v>
      </c>
      <c r="AB151" s="4" t="e">
        <f t="shared" si="125"/>
        <v>#N/A</v>
      </c>
      <c r="AD151" t="e">
        <f t="shared" si="126"/>
        <v>#N/A</v>
      </c>
      <c r="AE151" t="e">
        <f t="shared" si="127"/>
        <v>#N/A</v>
      </c>
      <c r="AF151" s="9" t="str">
        <f t="shared" si="147"/>
        <v/>
      </c>
      <c r="AG151" t="e">
        <f t="shared" si="148"/>
        <v>#N/A</v>
      </c>
      <c r="AH151" t="e">
        <f t="shared" si="149"/>
        <v>#N/A</v>
      </c>
      <c r="AI151" t="str">
        <f t="shared" si="150"/>
        <v/>
      </c>
      <c r="AJ151" t="e">
        <f t="shared" si="128"/>
        <v>#N/A</v>
      </c>
      <c r="AK151" t="e">
        <f t="shared" si="129"/>
        <v>#N/A</v>
      </c>
      <c r="AM151" s="4" t="e">
        <f t="shared" si="130"/>
        <v>#N/A</v>
      </c>
      <c r="AN151" s="4" t="e">
        <f t="shared" si="131"/>
        <v>#N/A</v>
      </c>
    </row>
    <row r="152" spans="1:40" x14ac:dyDescent="0.25">
      <c r="A152" t="s">
        <v>75</v>
      </c>
      <c r="B152" s="9">
        <f t="shared" si="132"/>
        <v>-8.4852813742385713</v>
      </c>
      <c r="C152">
        <f t="shared" si="132"/>
        <v>-4.242640687119283</v>
      </c>
      <c r="D152" s="9">
        <f t="shared" si="121"/>
        <v>-8.4852813742385713</v>
      </c>
      <c r="E152">
        <f t="shared" si="121"/>
        <v>-4.242640687119283</v>
      </c>
      <c r="F152" s="4">
        <f t="shared" si="133"/>
        <v>-0.73517758516019027</v>
      </c>
      <c r="G152" s="4">
        <f t="shared" si="134"/>
        <v>-0.73517758516019027</v>
      </c>
      <c r="H152" s="4" t="str">
        <f t="shared" si="135"/>
        <v>V</v>
      </c>
      <c r="I152" s="4">
        <f t="shared" si="136"/>
        <v>0</v>
      </c>
      <c r="J152" s="4">
        <f t="shared" si="137"/>
        <v>0</v>
      </c>
      <c r="K152" s="4">
        <f t="shared" si="138"/>
        <v>0</v>
      </c>
      <c r="L152" s="4">
        <f t="shared" si="139"/>
        <v>0</v>
      </c>
      <c r="M152" s="4">
        <f t="shared" si="140"/>
        <v>0</v>
      </c>
      <c r="N152" s="4">
        <f t="shared" si="141"/>
        <v>0</v>
      </c>
      <c r="O152" s="4">
        <f t="shared" si="142"/>
        <v>0</v>
      </c>
      <c r="P152" s="4">
        <f t="shared" si="143"/>
        <v>0</v>
      </c>
      <c r="Q152" s="4">
        <f t="shared" si="144"/>
        <v>0</v>
      </c>
      <c r="R152" s="4">
        <f t="shared" si="145"/>
        <v>0</v>
      </c>
      <c r="U152" t="e">
        <f t="shared" si="104"/>
        <v>#N/A</v>
      </c>
      <c r="V152" t="e">
        <f t="shared" si="105"/>
        <v>#N/A</v>
      </c>
      <c r="W152" s="9" t="str">
        <f t="shared" si="146"/>
        <v/>
      </c>
      <c r="X152" t="e">
        <f t="shared" si="122"/>
        <v>#N/A</v>
      </c>
      <c r="Y152" t="e">
        <f t="shared" si="123"/>
        <v>#N/A</v>
      </c>
      <c r="AA152" s="4" t="e">
        <f t="shared" si="124"/>
        <v>#N/A</v>
      </c>
      <c r="AB152" s="4" t="e">
        <f t="shared" si="125"/>
        <v>#N/A</v>
      </c>
      <c r="AD152" t="e">
        <f t="shared" si="126"/>
        <v>#N/A</v>
      </c>
      <c r="AE152" t="e">
        <f t="shared" si="127"/>
        <v>#N/A</v>
      </c>
      <c r="AF152" s="9" t="str">
        <f t="shared" si="147"/>
        <v/>
      </c>
      <c r="AG152" t="e">
        <f t="shared" si="148"/>
        <v>#N/A</v>
      </c>
      <c r="AH152" t="e">
        <f t="shared" si="149"/>
        <v>#N/A</v>
      </c>
      <c r="AI152" t="str">
        <f t="shared" si="150"/>
        <v/>
      </c>
      <c r="AJ152" t="e">
        <f t="shared" si="128"/>
        <v>#N/A</v>
      </c>
      <c r="AK152" t="e">
        <f t="shared" si="129"/>
        <v>#N/A</v>
      </c>
      <c r="AM152" s="4" t="e">
        <f t="shared" si="130"/>
        <v>#N/A</v>
      </c>
      <c r="AN152" s="4" t="e">
        <f t="shared" si="131"/>
        <v>#N/A</v>
      </c>
    </row>
    <row r="153" spans="1:40" ht="15.75" thickBot="1" x14ac:dyDescent="0.3">
      <c r="A153" t="s">
        <v>134</v>
      </c>
      <c r="B153" s="9">
        <f t="shared" si="132"/>
        <v>-8.4852813742385713</v>
      </c>
      <c r="C153">
        <f t="shared" si="132"/>
        <v>-4.242640687119283</v>
      </c>
      <c r="D153" s="9">
        <f t="shared" si="121"/>
        <v>-8.4852813742385713</v>
      </c>
      <c r="E153">
        <f t="shared" si="121"/>
        <v>-4.242640687119283</v>
      </c>
      <c r="F153" s="4">
        <f t="shared" si="133"/>
        <v>-0.73517758516019027</v>
      </c>
      <c r="G153" s="4">
        <f t="shared" si="134"/>
        <v>-0.73517758516019027</v>
      </c>
      <c r="H153" s="4" t="str">
        <f t="shared" si="135"/>
        <v>V</v>
      </c>
      <c r="I153" s="4">
        <f t="shared" si="136"/>
        <v>0</v>
      </c>
      <c r="J153" s="4">
        <f t="shared" si="137"/>
        <v>0</v>
      </c>
      <c r="K153" s="4">
        <f t="shared" si="138"/>
        <v>0</v>
      </c>
      <c r="L153" s="4">
        <f t="shared" si="139"/>
        <v>0</v>
      </c>
      <c r="M153" s="4">
        <f t="shared" si="140"/>
        <v>0</v>
      </c>
      <c r="N153" s="4">
        <f t="shared" si="141"/>
        <v>0</v>
      </c>
      <c r="O153" s="4">
        <f t="shared" si="142"/>
        <v>0</v>
      </c>
      <c r="P153" s="22">
        <f t="shared" si="143"/>
        <v>0</v>
      </c>
      <c r="Q153" s="22">
        <f t="shared" si="144"/>
        <v>0</v>
      </c>
      <c r="R153" s="22">
        <f t="shared" si="145"/>
        <v>0</v>
      </c>
      <c r="U153" t="e">
        <f t="shared" si="104"/>
        <v>#N/A</v>
      </c>
      <c r="V153" t="e">
        <f t="shared" si="105"/>
        <v>#N/A</v>
      </c>
      <c r="W153" s="9" t="str">
        <f t="shared" si="146"/>
        <v/>
      </c>
      <c r="X153" t="e">
        <f t="shared" si="122"/>
        <v>#N/A</v>
      </c>
      <c r="Y153" t="e">
        <f t="shared" si="123"/>
        <v>#N/A</v>
      </c>
      <c r="AA153" s="4" t="e">
        <f t="shared" si="124"/>
        <v>#N/A</v>
      </c>
      <c r="AB153" s="4" t="e">
        <f t="shared" si="125"/>
        <v>#N/A</v>
      </c>
      <c r="AD153" t="e">
        <f t="shared" si="126"/>
        <v>#N/A</v>
      </c>
      <c r="AE153" t="e">
        <f t="shared" si="127"/>
        <v>#N/A</v>
      </c>
      <c r="AF153" s="9" t="str">
        <f t="shared" si="147"/>
        <v/>
      </c>
      <c r="AG153" t="e">
        <f t="shared" si="148"/>
        <v>#N/A</v>
      </c>
      <c r="AH153" t="e">
        <f t="shared" si="149"/>
        <v>#N/A</v>
      </c>
      <c r="AI153" t="str">
        <f t="shared" si="150"/>
        <v/>
      </c>
      <c r="AJ153" t="e">
        <f t="shared" si="128"/>
        <v>#N/A</v>
      </c>
      <c r="AK153" t="e">
        <f t="shared" si="129"/>
        <v>#N/A</v>
      </c>
      <c r="AM153" s="4" t="e">
        <f t="shared" si="130"/>
        <v>#N/A</v>
      </c>
      <c r="AN153" s="4" t="e">
        <f t="shared" si="131"/>
        <v>#N/A</v>
      </c>
    </row>
    <row r="154" spans="1:40" ht="15.75" thickTop="1" x14ac:dyDescent="0.25">
      <c r="P154" s="4">
        <f>SUM(P146:P153)</f>
        <v>0</v>
      </c>
      <c r="Q154" s="4">
        <f t="shared" ref="Q154:R154" si="151">SUM(Q146:Q153)</f>
        <v>0</v>
      </c>
      <c r="R154" s="4">
        <f t="shared" si="15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29.999999999999829</v>
      </c>
      <c r="C159" t="s">
        <v>36</v>
      </c>
    </row>
    <row r="160" spans="1:40" x14ac:dyDescent="0.25">
      <c r="A160" s="1" t="s">
        <v>106</v>
      </c>
      <c r="B160" s="4">
        <f>Q140+I122+Q154-O122</f>
        <v>169.70562748477224</v>
      </c>
      <c r="C160" t="s">
        <v>102</v>
      </c>
    </row>
    <row r="161" spans="1:9" x14ac:dyDescent="0.25">
      <c r="A161" s="1" t="s">
        <v>107</v>
      </c>
      <c r="B161" s="4">
        <f>R140+J122+R154-P122</f>
        <v>1.1368683772161603E-13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29.999999999999829</v>
      </c>
      <c r="C164" t="s">
        <v>36</v>
      </c>
      <c r="E164" s="8">
        <f>B2-B164</f>
        <v>1.7053025658242404E-13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120.00000000000047</v>
      </c>
      <c r="C165" t="s">
        <v>102</v>
      </c>
      <c r="E165" s="8">
        <f>B3+B165</f>
        <v>4.6895820560166612E-13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120.0000000000007</v>
      </c>
      <c r="C166" t="s">
        <v>102</v>
      </c>
      <c r="E166" s="8">
        <f>B4+B166</f>
        <v>6.9633188104489818E-13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-3.2778156874934634</v>
      </c>
      <c r="C169" s="3">
        <f ca="1">A169+B169</f>
        <v>-2.6201263381153694E-14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1.0280013532464559E-7</v>
      </c>
      <c r="D175" s="27">
        <f>B66*SQRT(I175)</f>
        <v>4.8617863485134519E-8</v>
      </c>
      <c r="E175" s="27">
        <f>IF(B67=0,SQRT(I175),B67*SQRT(I175))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6.9307838125080092</v>
      </c>
      <c r="D176" s="3">
        <f>D175+B66</f>
        <v>3.2778157361113007</v>
      </c>
      <c r="E176" s="3">
        <f>B67+E175</f>
        <v>7.9008190308849517</v>
      </c>
      <c r="F176" s="16" t="s">
        <v>125</v>
      </c>
    </row>
    <row r="177" spans="1:14" x14ac:dyDescent="0.25">
      <c r="B177" s="27">
        <f>B176-B64</f>
        <v>-8.1545361574342223E-8</v>
      </c>
      <c r="C177" s="27">
        <f>C176-B65</f>
        <v>1.0280013551522416E-7</v>
      </c>
      <c r="D177" s="27">
        <f>D176-B66</f>
        <v>4.8617863512845361E-8</v>
      </c>
      <c r="E177" s="27">
        <f>E176-B67</f>
        <v>1.1718808234917333E-7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52">C177=C175</f>
        <v>0</v>
      </c>
      <c r="D178" t="b">
        <f t="shared" si="15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-16.011920966988562</v>
      </c>
      <c r="B180" s="25">
        <f>(d_sigma_p!E165-d_sigma_m!E165)/(2*'Rigid Bearing Plate Analysis'!D177)</f>
        <v>8.800118701803882</v>
      </c>
      <c r="C180" s="25">
        <f>(d_sigma_p!E166-d_sigma_m!E166)/(2*'Rigid Bearing Plate Analysis'!D177)</f>
        <v>8.800118701803882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-6.5350995020635399E-8</v>
      </c>
      <c r="B181" s="25">
        <f>(d_alpha_p!E165-d_alpha_m!E165)/(2*B177)</f>
        <v>-306.43061925023568</v>
      </c>
      <c r="C181" s="25">
        <f>(d_alpha_p!E166-d_alpha_m!E166)/(2*B177)</f>
        <v>306.43061881456237</v>
      </c>
      <c r="D181" s="25">
        <f ca="1">(d_alpha_p!C169-d_alpha_m!C169)/(2*B177)</f>
        <v>5.445916251719616E-9</v>
      </c>
    </row>
    <row r="182" spans="1:14" x14ac:dyDescent="0.25">
      <c r="A182" s="25">
        <f>(d_Y_p!E164-d_Y_m!E164)/(2*C177)</f>
        <v>-17.626070207145656</v>
      </c>
      <c r="B182" s="25">
        <f>(d_Y_p!E165-d_Y_m!E165)/(2*C177)</f>
        <v>-17.674705963867446</v>
      </c>
      <c r="C182" s="25">
        <f>(d_Y_p!E166-d_Y_m!E166)/(2*C177)</f>
        <v>-17.674705963867446</v>
      </c>
      <c r="D182" s="25">
        <f ca="1">(d_Y_p!C169-d_Y_m!C169)/(2*C177)</f>
        <v>-1.3646599439309599</v>
      </c>
    </row>
    <row r="183" spans="1:14" x14ac:dyDescent="0.25">
      <c r="A183" s="25">
        <f>(d_T_p!E164-d_T_m!E164)/(2*E177)</f>
        <v>2.8457968566821807</v>
      </c>
      <c r="B183" s="25">
        <f>(d_T_p!E165-d_T_m!E165)/(2*E177)</f>
        <v>11.537390698890984</v>
      </c>
      <c r="C183" s="25">
        <f>(d_T_p!E166-d_T_m!E166)/(2*E177)</f>
        <v>11.537390577625628</v>
      </c>
      <c r="D183" s="25">
        <f ca="1">(d_T_p!C169-d_T_m!C169)/(2*E177)</f>
        <v>-0.41487037176646585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-3.7155609830745458E-2</v>
      </c>
      <c r="B185" s="25">
        <f ca="1"/>
        <v>-1.8049054460178467E-12</v>
      </c>
      <c r="C185" s="25">
        <f ca="1"/>
        <v>-2.4453894719440133E-2</v>
      </c>
      <c r="D185" s="25">
        <f ca="1"/>
        <v>-9.1217871691038743E-3</v>
      </c>
      <c r="F185" s="8">
        <f>-1*E164</f>
        <v>-1.7053025658242404E-13</v>
      </c>
      <c r="H185">
        <f t="array" aca="1" ref="H185:H188" ca="1">MMULT(A185:D188,F185:F188)</f>
        <v>2.3125179839497014E-14</v>
      </c>
      <c r="J185" s="8">
        <f ca="1">$B$66+H185</f>
        <v>3.2778156874934603</v>
      </c>
      <c r="K185" s="11" t="s">
        <v>115</v>
      </c>
      <c r="L185" s="8">
        <f ca="1">J186</f>
        <v>-5.4977871437821362</v>
      </c>
      <c r="M185" s="11" t="s">
        <v>116</v>
      </c>
      <c r="N185" t="s">
        <v>143</v>
      </c>
    </row>
    <row r="186" spans="1:14" x14ac:dyDescent="0.25">
      <c r="A186" s="25">
        <f ca="1"/>
        <v>9.0131140140550323E-3</v>
      </c>
      <c r="B186" s="25">
        <f ca="1"/>
        <v>-1.6316907221997851E-3</v>
      </c>
      <c r="C186" s="25">
        <f ca="1"/>
        <v>-3.0567368048802753E-3</v>
      </c>
      <c r="D186" s="25">
        <f ca="1"/>
        <v>3.1779855056389229E-2</v>
      </c>
      <c r="F186" s="8">
        <f>-1*E165</f>
        <v>-4.6895820560166612E-13</v>
      </c>
      <c r="H186">
        <f ca="1"/>
        <v>2.1893617495050484E-15</v>
      </c>
      <c r="J186" s="8">
        <f ca="1">$B$64+H186</f>
        <v>-5.4977871437821362</v>
      </c>
      <c r="K186" s="11" t="s">
        <v>116</v>
      </c>
      <c r="L186" s="8">
        <f ca="1">J187</f>
        <v>6.9307837097078746</v>
      </c>
      <c r="M186" s="1" t="s">
        <v>117</v>
      </c>
    </row>
    <row r="187" spans="1:14" x14ac:dyDescent="0.25">
      <c r="A187" s="25">
        <f ca="1"/>
        <v>9.0131140145659362E-3</v>
      </c>
      <c r="B187" s="25">
        <f ca="1"/>
        <v>1.6316907347761892E-3</v>
      </c>
      <c r="C187" s="25">
        <f ca="1"/>
        <v>-3.0567368084388037E-3</v>
      </c>
      <c r="D187" s="25">
        <f ca="1"/>
        <v>3.1779855112163732E-2</v>
      </c>
      <c r="F187" s="8">
        <f>-1*E166</f>
        <v>-6.9633188104489818E-13</v>
      </c>
      <c r="H187">
        <f ca="1"/>
        <v>6.5897224109999951E-16</v>
      </c>
      <c r="J187" s="8">
        <f ca="1">$B$65+H187</f>
        <v>6.9307837097078746</v>
      </c>
      <c r="K187" s="1" t="s">
        <v>117</v>
      </c>
      <c r="L187" s="8">
        <f ca="1">J185</f>
        <v>3.2778156874934603</v>
      </c>
      <c r="M187" s="11" t="s">
        <v>115</v>
      </c>
    </row>
    <row r="188" spans="1:14" x14ac:dyDescent="0.25">
      <c r="A188" s="25">
        <f ca="1"/>
        <v>0.24643436551219169</v>
      </c>
      <c r="B188" s="25">
        <f ca="1"/>
        <v>-1.3957385781986121E-10</v>
      </c>
      <c r="C188" s="25">
        <f ca="1"/>
        <v>-0.33775453610518041</v>
      </c>
      <c r="D188" s="25">
        <f ca="1"/>
        <v>-0.70539032936489876</v>
      </c>
      <c r="F188">
        <f ca="1">-1*C169</f>
        <v>2.6201263381153694E-14</v>
      </c>
      <c r="H188">
        <f ca="1"/>
        <v>1.7468261813529218E-13</v>
      </c>
      <c r="J188" s="8">
        <f ca="1">$B$67+H188</f>
        <v>7.9008189136970444</v>
      </c>
      <c r="K188" s="1" t="s">
        <v>118</v>
      </c>
      <c r="L188" s="8">
        <f ca="1">J188</f>
        <v>7.9008189136970444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-16.011920966988562</v>
      </c>
      <c r="B190" s="25">
        <f>A181</f>
        <v>-6.5350995020635399E-8</v>
      </c>
      <c r="C190" s="25">
        <f>A182</f>
        <v>-17.626070207145656</v>
      </c>
      <c r="D190" s="25">
        <f>A183</f>
        <v>2.8457968566821807</v>
      </c>
      <c r="F190" t="s">
        <v>119</v>
      </c>
    </row>
    <row r="191" spans="1:14" x14ac:dyDescent="0.25">
      <c r="A191" s="25">
        <f>B180</f>
        <v>8.800118701803882</v>
      </c>
      <c r="B191" s="25">
        <f>B181</f>
        <v>-306.43061925023568</v>
      </c>
      <c r="C191" s="25">
        <f>B182</f>
        <v>-17.674705963867446</v>
      </c>
      <c r="D191" s="25">
        <f>B183</f>
        <v>11.537390698890984</v>
      </c>
      <c r="F191" t="s">
        <v>120</v>
      </c>
    </row>
    <row r="192" spans="1:14" x14ac:dyDescent="0.25">
      <c r="A192" s="25">
        <f>C180</f>
        <v>8.800118701803882</v>
      </c>
      <c r="B192" s="25">
        <f>C181</f>
        <v>306.43061881456237</v>
      </c>
      <c r="C192" s="25">
        <f>C182</f>
        <v>-17.674705963867446</v>
      </c>
      <c r="D192" s="25">
        <f>C183</f>
        <v>11.537390577625628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5.445916251719616E-9</v>
      </c>
      <c r="C193" s="25">
        <f ca="1">D182</f>
        <v>-1.3646599439309599</v>
      </c>
      <c r="D193" s="25">
        <f ca="1">D183</f>
        <v>-0.41487037176646585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-3.7155609830745465E-2</v>
      </c>
      <c r="B195" s="25">
        <f ca="1"/>
        <v>9.0131140140550341E-3</v>
      </c>
      <c r="C195" s="25">
        <f ca="1"/>
        <v>9.0131140145659379E-3</v>
      </c>
      <c r="D195" s="25">
        <f ca="1"/>
        <v>0.24643436551219167</v>
      </c>
      <c r="H195">
        <f t="array" aca="1" ref="H195:H198" ca="1">MMULT(A195:D198,F185:F188)</f>
        <v>2.2901549841165817E-15</v>
      </c>
      <c r="J195" s="8">
        <f ca="1">$B$66+H195</f>
        <v>3.2778156874934394</v>
      </c>
      <c r="K195" s="11" t="s">
        <v>115</v>
      </c>
      <c r="L195" s="36">
        <f ca="1">J196</f>
        <v>-5.497787143782138</v>
      </c>
      <c r="M195" s="37" t="s">
        <v>116</v>
      </c>
      <c r="N195" t="s">
        <v>146</v>
      </c>
    </row>
    <row r="196" spans="1:14" x14ac:dyDescent="0.25">
      <c r="A196" s="25">
        <f ca="1"/>
        <v>-1.8049059374116618E-12</v>
      </c>
      <c r="B196" s="25">
        <f ca="1"/>
        <v>-1.6316907221997849E-3</v>
      </c>
      <c r="C196" s="25">
        <f ca="1"/>
        <v>1.6316907347761894E-3</v>
      </c>
      <c r="D196" s="25">
        <f ca="1"/>
        <v>-1.395738653619848E-10</v>
      </c>
      <c r="H196">
        <f ca="1"/>
        <v>-3.710035287997588E-16</v>
      </c>
      <c r="J196" s="8">
        <f ca="1">$B$64+H196</f>
        <v>-5.497787143782138</v>
      </c>
      <c r="K196" s="11" t="s">
        <v>116</v>
      </c>
      <c r="L196" s="38">
        <f ca="1">J197</f>
        <v>6.9307837097078728</v>
      </c>
      <c r="M196" s="39" t="s">
        <v>117</v>
      </c>
    </row>
    <row r="197" spans="1:14" x14ac:dyDescent="0.25">
      <c r="A197" s="25">
        <f ca="1"/>
        <v>-2.4453894719440126E-2</v>
      </c>
      <c r="B197" s="25">
        <f ca="1"/>
        <v>-3.0567368048802766E-3</v>
      </c>
      <c r="C197" s="25">
        <f ca="1"/>
        <v>-3.0567368084388059E-3</v>
      </c>
      <c r="D197" s="25">
        <f ca="1"/>
        <v>-0.33775453610518041</v>
      </c>
      <c r="H197">
        <f ca="1"/>
        <v>-1.1174815190329116E-15</v>
      </c>
      <c r="J197" s="8">
        <f ca="1">$B$65+H197</f>
        <v>6.9307837097078728</v>
      </c>
      <c r="K197" s="1" t="s">
        <v>117</v>
      </c>
      <c r="L197" s="38">
        <f ca="1">J195</f>
        <v>3.2778156874934394</v>
      </c>
      <c r="M197" s="43" t="s">
        <v>115</v>
      </c>
    </row>
    <row r="198" spans="1:14" ht="15.75" thickBot="1" x14ac:dyDescent="0.3">
      <c r="A198" s="25">
        <f ca="1"/>
        <v>-9.1217871691038777E-3</v>
      </c>
      <c r="B198" s="25">
        <f ca="1"/>
        <v>3.1779855056389229E-2</v>
      </c>
      <c r="C198" s="25">
        <f ca="1"/>
        <v>3.1779855112163732E-2</v>
      </c>
      <c r="D198" s="25">
        <f ca="1"/>
        <v>-0.70539032936489887</v>
      </c>
      <c r="H198">
        <f ca="1"/>
        <v>-5.3959327190883544E-14</v>
      </c>
      <c r="J198" s="8">
        <f ca="1">$B$67+H198</f>
        <v>7.9008189136968152</v>
      </c>
      <c r="K198" s="1" t="s">
        <v>118</v>
      </c>
      <c r="L198" s="41">
        <f ca="1">J198</f>
        <v>7.9008189136968152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-16.011920966988562</v>
      </c>
      <c r="B201" s="25">
        <f t="shared" ref="B201:C201" si="153">B190</f>
        <v>-6.5350995020635399E-8</v>
      </c>
      <c r="C201" s="25">
        <f t="shared" si="153"/>
        <v>-17.626070207145656</v>
      </c>
      <c r="D201" s="25"/>
    </row>
    <row r="202" spans="1:14" x14ac:dyDescent="0.25">
      <c r="A202" s="25">
        <f t="shared" ref="A202:C202" si="154">A191</f>
        <v>8.800118701803882</v>
      </c>
      <c r="B202" s="25">
        <f t="shared" si="154"/>
        <v>-306.43061925023568</v>
      </c>
      <c r="C202" s="25">
        <f t="shared" si="154"/>
        <v>-17.674705963867446</v>
      </c>
      <c r="D202" s="25"/>
    </row>
    <row r="203" spans="1:14" x14ac:dyDescent="0.25">
      <c r="A203" s="25">
        <f t="shared" ref="A203:C203" si="155">A192</f>
        <v>8.800118701803882</v>
      </c>
      <c r="B203" s="25">
        <f t="shared" si="155"/>
        <v>306.43061881456237</v>
      </c>
      <c r="C203" s="25">
        <f t="shared" si="155"/>
        <v>-17.674705963867446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-4.0342387051492581E-2</v>
      </c>
      <c r="B205" s="25">
        <v>2.0115688136303003E-2</v>
      </c>
      <c r="C205" s="25">
        <v>2.0115688156299227E-2</v>
      </c>
      <c r="D205" s="25"/>
      <c r="H205">
        <f t="array" ref="H205:H207">MMULT(A205:C207,F185:F187)</f>
        <v>-1.6561014370193308E-14</v>
      </c>
      <c r="J205" s="8">
        <f>$B$66+H205</f>
        <v>3.2778156874934208</v>
      </c>
      <c r="K205" s="11" t="s">
        <v>115</v>
      </c>
      <c r="L205" s="8">
        <f>J206</f>
        <v>-5.497787143782138</v>
      </c>
      <c r="M205" s="11" t="s">
        <v>116</v>
      </c>
      <c r="N205" t="s">
        <v>145</v>
      </c>
    </row>
    <row r="206" spans="1:14" x14ac:dyDescent="0.25">
      <c r="A206" s="25">
        <v>0</v>
      </c>
      <c r="B206" s="25">
        <v>-1.6316907284879873E-3</v>
      </c>
      <c r="C206" s="25">
        <v>1.631690728487987E-3</v>
      </c>
      <c r="D206" s="25"/>
      <c r="H206">
        <v>-3.710035181229583E-16</v>
      </c>
      <c r="J206" s="8">
        <f>$B$64+H206</f>
        <v>-5.497787143782138</v>
      </c>
      <c r="K206" s="11" t="s">
        <v>116</v>
      </c>
      <c r="L206" s="8">
        <f>J207</f>
        <v>6.9307837097078986</v>
      </c>
      <c r="M206" s="1" t="s">
        <v>117</v>
      </c>
      <c r="N206" t="s">
        <v>147</v>
      </c>
    </row>
    <row r="207" spans="1:14" x14ac:dyDescent="0.25">
      <c r="A207" s="25">
        <v>-2.0086206553761997E-2</v>
      </c>
      <c r="B207" s="25">
        <v>-1.8273546215529315E-2</v>
      </c>
      <c r="C207" s="25">
        <v>-1.8273546245793755E-2</v>
      </c>
      <c r="D207" s="25"/>
      <c r="H207">
        <v>2.4719288231288849E-14</v>
      </c>
      <c r="J207" s="8">
        <f>$B$65+H207</f>
        <v>6.9307837097078986</v>
      </c>
      <c r="K207" s="1" t="s">
        <v>117</v>
      </c>
      <c r="L207" s="8">
        <f>J205</f>
        <v>3.2778156874934208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-6.5350995020635399E-8</v>
      </c>
      <c r="B212" s="25">
        <f>A182</f>
        <v>-17.626070207145656</v>
      </c>
      <c r="C212" s="25">
        <f>A183</f>
        <v>2.8457968566821807</v>
      </c>
    </row>
    <row r="213" spans="1:14" x14ac:dyDescent="0.25">
      <c r="A213" s="25">
        <f>B181</f>
        <v>-306.43061925023568</v>
      </c>
      <c r="B213" s="25">
        <f>B182</f>
        <v>-17.674705963867446</v>
      </c>
      <c r="C213" s="25">
        <f>B183</f>
        <v>11.537390698890984</v>
      </c>
    </row>
    <row r="214" spans="1:14" x14ac:dyDescent="0.25">
      <c r="A214" s="25">
        <f>C181</f>
        <v>306.43061881456237</v>
      </c>
      <c r="B214" s="25">
        <f>C182</f>
        <v>-17.674705963867446</v>
      </c>
      <c r="C214" s="25">
        <f>C183</f>
        <v>11.537390577625628</v>
      </c>
    </row>
    <row r="215" spans="1:14" ht="15.75" thickBot="1" x14ac:dyDescent="0.3"/>
    <row r="216" spans="1:14" x14ac:dyDescent="0.25">
      <c r="A216">
        <f t="array" ref="A216:C218">MINVERSE(A212:C214)</f>
        <v>-2.2848853078843968E-11</v>
      </c>
      <c r="B216">
        <v>-1.6316907170949968E-3</v>
      </c>
      <c r="C216">
        <v>1.6316907398809771E-3</v>
      </c>
      <c r="H216" cm="1">
        <f t="array" ref="H216:H218">MMULT(A216:C218,F185:F187)</f>
        <v>-3.7100352750267608E-16</v>
      </c>
      <c r="J216" s="8">
        <f>$B$64+H216</f>
        <v>-5.497787143782138</v>
      </c>
      <c r="K216" s="11" t="s">
        <v>116</v>
      </c>
      <c r="L216" s="36">
        <f>J216</f>
        <v>-5.497787143782138</v>
      </c>
      <c r="M216" s="37" t="s">
        <v>116</v>
      </c>
      <c r="N216" t="s">
        <v>144</v>
      </c>
    </row>
    <row r="217" spans="1:14" x14ac:dyDescent="0.25">
      <c r="A217">
        <v>-7.5378106267636968E-2</v>
      </c>
      <c r="B217">
        <v>9.2963298477885641E-3</v>
      </c>
      <c r="C217">
        <v>9.2963298449302654E-3</v>
      </c>
      <c r="H217">
        <v>2.0213267906831061E-15</v>
      </c>
      <c r="J217" s="8">
        <f>$B$65+H217</f>
        <v>6.9307837097078755</v>
      </c>
      <c r="K217" s="1" t="s">
        <v>117</v>
      </c>
      <c r="L217" s="38">
        <f>J217</f>
        <v>6.9307837097078755</v>
      </c>
      <c r="M217" s="39" t="s">
        <v>117</v>
      </c>
    </row>
    <row r="218" spans="1:14" x14ac:dyDescent="0.25">
      <c r="A218">
        <v>-0.11547549235056152</v>
      </c>
      <c r="B218">
        <v>5.7578868313990811E-2</v>
      </c>
      <c r="C218">
        <v>5.7578868371227714E-2</v>
      </c>
      <c r="H218">
        <v>-4.7404019146954343E-14</v>
      </c>
      <c r="J218" s="8">
        <f>$B$67+H218</f>
        <v>7.9008189136968223</v>
      </c>
      <c r="K218" s="1" t="s">
        <v>118</v>
      </c>
      <c r="L218" s="38">
        <f>B66</f>
        <v>3.2778156874934372</v>
      </c>
      <c r="M218" s="40"/>
    </row>
    <row r="219" spans="1:14" ht="15.75" thickBot="1" x14ac:dyDescent="0.3">
      <c r="L219" s="41">
        <f>J218</f>
        <v>7.9008189136968223</v>
      </c>
      <c r="M219" s="42" t="s">
        <v>118</v>
      </c>
    </row>
  </sheetData>
  <conditionalFormatting sqref="M57">
    <cfRule type="expression" dxfId="1" priority="1">
      <formula>IF($M$59=FALSE,TRUE,FALSE)</formula>
    </cfRule>
    <cfRule type="expression" dxfId="0" priority="2">
      <formula>IF($M$59=TRUE,TRUE,FALSE)</formula>
    </cfRule>
  </conditionalFormatting>
  <dataValidations disablePrompts="1" count="3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3.2778157361113007</v>
      </c>
      <c r="C66" t="s">
        <v>11</v>
      </c>
      <c r="D66">
        <f>B66/B53</f>
        <v>8.4803218613618988E-4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7.9008190308848896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1.5544976645306949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-3.341243914195406</v>
      </c>
      <c r="I110">
        <f>H110*C110</f>
        <v>14.175697375955123</v>
      </c>
      <c r="J110">
        <f>H110*B110*-1</f>
        <v>-21.263546063932694</v>
      </c>
      <c r="K110">
        <f ca="1">H110/$B$55</f>
        <v>-5.515921224101457</v>
      </c>
      <c r="L110">
        <f ca="1">K110/$B$54</f>
        <v>-1.9020418014142955E-4</v>
      </c>
      <c r="M110">
        <f t="shared" ref="M110:M121" si="34">IFERROR(($D$66/$B$65)*(G110-$B$125),0)</f>
        <v>-1.9020418296261196E-4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3.6758180080903369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-7.9008189136968641</v>
      </c>
      <c r="I111">
        <f t="shared" ref="I111:I121" si="39">H111*C111</f>
        <v>50.280503677217844</v>
      </c>
      <c r="J111">
        <f t="shared" ref="J111:J121" si="40">H111*B111*-1</f>
        <v>-33.52033578481192</v>
      </c>
      <c r="K111">
        <f ca="1">H111/$B$55</f>
        <v>-13.043134788421209</v>
      </c>
      <c r="L111">
        <f t="shared" ref="L111:L121" ca="1" si="41">K111/$B$54</f>
        <v>-4.4976326856624861E-4</v>
      </c>
      <c r="M111">
        <f t="shared" si="34"/>
        <v>-4.4976327523731243E-4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3.6758180080903395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-7.9008189136968703</v>
      </c>
      <c r="I112">
        <f t="shared" si="39"/>
        <v>50.280503677217908</v>
      </c>
      <c r="J112">
        <f t="shared" si="40"/>
        <v>33.520335784811927</v>
      </c>
      <c r="K112">
        <f t="shared" ref="K112:K121" ca="1" si="45">H112/$B$55</f>
        <v>-13.04313478842122</v>
      </c>
      <c r="L112">
        <f t="shared" ca="1" si="41"/>
        <v>-4.4976326856624899E-4</v>
      </c>
      <c r="M112">
        <f t="shared" si="34"/>
        <v>-4.4976327523731276E-4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1.5544976645306976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-3.3412439141954118</v>
      </c>
      <c r="I113">
        <f t="shared" si="39"/>
        <v>14.175697375955156</v>
      </c>
      <c r="J113">
        <f t="shared" si="40"/>
        <v>21.263546063932722</v>
      </c>
      <c r="K113">
        <f t="shared" ca="1" si="45"/>
        <v>-5.5159212241014668</v>
      </c>
      <c r="L113">
        <f t="shared" ca="1" si="41"/>
        <v>-1.902041801414299E-4</v>
      </c>
      <c r="M113">
        <f t="shared" si="34"/>
        <v>-1.9020418296261229E-4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3.6758180080903395</v>
      </c>
      <c r="H122">
        <f>SUM(H110:H121)</f>
        <v>-22.484125655784553</v>
      </c>
      <c r="I122">
        <f t="shared" ref="I122:J122" si="46">SUM(I110:I121)</f>
        <v>128.91240210634604</v>
      </c>
      <c r="J122">
        <f t="shared" si="46"/>
        <v>3.5527136788005009E-14</v>
      </c>
      <c r="L122">
        <f ca="1">MIN(L110:L121)</f>
        <v>-4.4976326856624899E-4</v>
      </c>
      <c r="M122">
        <f>MIN(M110:M121)</f>
        <v>-4.4976327523731276E-4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-2.6881430225885889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-2.6881430225885889</v>
      </c>
    </row>
    <row r="127" spans="1:16" x14ac:dyDescent="0.25">
      <c r="F127" s="4">
        <f>MAX(B84:B90)+1</f>
        <v>9.4852813742385678</v>
      </c>
      <c r="G127" s="4">
        <f>G126</f>
        <v>-2.6881430225885889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-0.73517759606463606</v>
      </c>
      <c r="G132" s="4">
        <f t="shared" ref="G132:G139" si="49">($B$66/$B$65)*(E132-$B$125)</f>
        <v>-2.7416742621526047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-2.7416742621526047</v>
      </c>
      <c r="G133" s="4">
        <f t="shared" si="49"/>
        <v>-0.73517759606463684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-0.73517759606463684</v>
      </c>
      <c r="G134" s="4">
        <f t="shared" si="49"/>
        <v>-2.7416742621526065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-2.7416742621526065</v>
      </c>
      <c r="G135" s="4">
        <f t="shared" si="49"/>
        <v>-0.73517759606463817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-0.73517759606463817</v>
      </c>
      <c r="G136" s="4">
        <f t="shared" si="49"/>
        <v>3.2778157361113007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6.9307837097078702</v>
      </c>
      <c r="K136" s="4">
        <f t="shared" si="54"/>
        <v>-2.6881430225885889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3.2778157361113007</v>
      </c>
      <c r="P136" s="4">
        <f t="shared" si="58"/>
        <v>26.242063217124876</v>
      </c>
      <c r="Q136" s="4">
        <f t="shared" si="59"/>
        <v>20.396612991743748</v>
      </c>
      <c r="R136" s="4">
        <f t="shared" si="60"/>
        <v>-45.469516063593289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3.2778157361113007</v>
      </c>
      <c r="G137" s="4">
        <f t="shared" si="49"/>
        <v>-0.73517759606463606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-6.9307837097078764</v>
      </c>
      <c r="M137" s="4">
        <f t="shared" si="56"/>
        <v>-2.6881430225885889</v>
      </c>
      <c r="N137" s="4">
        <f t="shared" si="57"/>
        <v>3.2778157361113007</v>
      </c>
      <c r="O137" s="4">
        <f t="shared" si="57"/>
        <v>0</v>
      </c>
      <c r="P137" s="4">
        <f t="shared" si="58"/>
        <v>26.242063217124898</v>
      </c>
      <c r="Q137" s="4">
        <f t="shared" si="59"/>
        <v>20.396612991743766</v>
      </c>
      <c r="R137" s="4">
        <f t="shared" si="60"/>
        <v>45.469516063593375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-0.73517759606463606</v>
      </c>
      <c r="G138" s="4">
        <f t="shared" si="49"/>
        <v>-0.73517759606463606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-0.73517759606463606</v>
      </c>
      <c r="G139" s="4">
        <f t="shared" si="49"/>
        <v>-0.73517759606463606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52.484126434249774</v>
      </c>
      <c r="Q140" s="4">
        <f>SUM(Q132:Q139)</f>
        <v>40.793225983487517</v>
      </c>
      <c r="R140" s="4">
        <f>SUM(R132:R139)</f>
        <v>8.5265128291212022E-14</v>
      </c>
    </row>
    <row r="142" spans="1:18" x14ac:dyDescent="0.25">
      <c r="O142" t="s">
        <v>96</v>
      </c>
      <c r="P142" s="1">
        <f>-1*R140/P140</f>
        <v>-1.6245888820885513E-15</v>
      </c>
    </row>
    <row r="143" spans="1:18" x14ac:dyDescent="0.25">
      <c r="O143" t="s">
        <v>97</v>
      </c>
      <c r="P143" s="1">
        <f>Q140/P140</f>
        <v>0.77724883226534791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-0.73517759606463606</v>
      </c>
      <c r="G146" s="4">
        <f>($B$66/$B$65)*(E146-$B$125)</f>
        <v>-0.73517759606463606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-0.73517759606463606</v>
      </c>
      <c r="G147" s="4">
        <f t="shared" ref="G147:G153" si="64">($B$66/$B$65)*(E147-$B$125)</f>
        <v>-0.73517759606463606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-0.73517759606463606</v>
      </c>
      <c r="G148" s="4">
        <f t="shared" si="64"/>
        <v>-0.73517759606463606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-0.73517759606463606</v>
      </c>
      <c r="G149" s="4">
        <f t="shared" si="64"/>
        <v>-0.73517759606463606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-0.73517759606463606</v>
      </c>
      <c r="G150" s="4">
        <f t="shared" si="64"/>
        <v>-0.73517759606463606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-0.73517759606463606</v>
      </c>
      <c r="G151" s="4">
        <f t="shared" si="64"/>
        <v>-0.73517759606463606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-0.73517759606463606</v>
      </c>
      <c r="G152" s="4">
        <f t="shared" si="64"/>
        <v>-0.73517759606463606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-0.73517759606463606</v>
      </c>
      <c r="G153" s="4">
        <f t="shared" si="64"/>
        <v>-0.73517759606463606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30.000000778465221</v>
      </c>
      <c r="C159" t="s">
        <v>36</v>
      </c>
    </row>
    <row r="160" spans="1:18" x14ac:dyDescent="0.25">
      <c r="A160" s="1" t="s">
        <v>106</v>
      </c>
      <c r="B160" s="4">
        <f>Q140+I122+Q154-O122</f>
        <v>169.70562808983357</v>
      </c>
      <c r="C160" t="s">
        <v>102</v>
      </c>
    </row>
    <row r="161" spans="1:9" x14ac:dyDescent="0.25">
      <c r="A161" s="1" t="s">
        <v>107</v>
      </c>
      <c r="B161" s="4">
        <f>R140+J122+R154-P122</f>
        <v>1.2079226507921703E-13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30.000000778465221</v>
      </c>
      <c r="C164" t="s">
        <v>36</v>
      </c>
      <c r="E164" s="8">
        <f>B2-B164</f>
        <v>-7.7846522117397399E-7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120.00000042784345</v>
      </c>
      <c r="C165" t="s">
        <v>102</v>
      </c>
      <c r="E165" s="8">
        <f>B3+B165</f>
        <v>4.2784344600477198E-7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120.00000042784367</v>
      </c>
      <c r="C166" t="s">
        <v>102</v>
      </c>
      <c r="E166" s="8">
        <f>B4+B166</f>
        <v>4.2784367337844742E-7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3.2778157361113007</v>
      </c>
      <c r="B169" s="1">
        <f ca="1">IF(E122=0,0,(MIN(H110:H121)*B65)/(B55*B56*E122))</f>
        <v>-3.2778156874934634</v>
      </c>
      <c r="C169" s="3">
        <f ca="1">A169+B169</f>
        <v>4.861783731158198E-8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1.0280013532464559E-7</v>
      </c>
      <c r="D175" s="27">
        <f>B66*SQRT(I175)</f>
        <v>4.8617864206253967E-8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6.9307838125080092</v>
      </c>
      <c r="D176" s="3">
        <f>D175+B66</f>
        <v>3.2778157847291651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1.0280013551522416E-7</v>
      </c>
      <c r="D177" s="27">
        <f>D176-B66</f>
        <v>4.861786440102378E-8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7.7846522117397399E-7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-4.2784344600477198E-7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-4.2784367337844742E-7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-4.861783731158198E-8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3.2778156388755737</v>
      </c>
      <c r="C66" t="s">
        <v>11</v>
      </c>
      <c r="D66">
        <f>B66/B53</f>
        <v>8.4803216097949024E-4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7.9008187965087249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1.5544976645306949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-3.341243914195406</v>
      </c>
      <c r="I110">
        <f>H110*C110</f>
        <v>14.175697375955123</v>
      </c>
      <c r="J110">
        <f>H110*B110*-1</f>
        <v>-21.263546063932694</v>
      </c>
      <c r="K110">
        <f ca="1">H110/$B$55</f>
        <v>-5.515921224101457</v>
      </c>
      <c r="L110">
        <f ca="1">K110/$B$54</f>
        <v>-1.9020418014142955E-4</v>
      </c>
      <c r="M110">
        <f t="shared" ref="M110:M121" si="34">IFERROR(($D$66/$B$65)*(G110-$B$125),0)</f>
        <v>-1.9020417732024415E-4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3.6758180080903369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-7.9008189136968641</v>
      </c>
      <c r="I111">
        <f t="shared" ref="I111:I121" si="39">H111*C111</f>
        <v>50.280503677217844</v>
      </c>
      <c r="J111">
        <f t="shared" ref="J111:J121" si="40">H111*B111*-1</f>
        <v>-33.52033578481192</v>
      </c>
      <c r="K111">
        <f ca="1">H111/$B$55</f>
        <v>-13.043134788421209</v>
      </c>
      <c r="L111">
        <f t="shared" ref="L111:L121" ca="1" si="41">K111/$B$54</f>
        <v>-4.4976326856624861E-4</v>
      </c>
      <c r="M111">
        <f t="shared" si="34"/>
        <v>-4.4976326189517774E-4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3.6758180080903395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-7.9008189136968703</v>
      </c>
      <c r="I112">
        <f t="shared" si="39"/>
        <v>50.280503677217908</v>
      </c>
      <c r="J112">
        <f t="shared" si="40"/>
        <v>33.520335784811927</v>
      </c>
      <c r="K112">
        <f t="shared" ref="K112:K121" ca="1" si="45">H112/$B$55</f>
        <v>-13.04313478842122</v>
      </c>
      <c r="L112">
        <f t="shared" ca="1" si="41"/>
        <v>-4.4976326856624899E-4</v>
      </c>
      <c r="M112">
        <f t="shared" si="34"/>
        <v>-4.4976326189517807E-4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1.5544976645306976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-3.3412439141954118</v>
      </c>
      <c r="I113">
        <f t="shared" si="39"/>
        <v>14.175697375955156</v>
      </c>
      <c r="J113">
        <f t="shared" si="40"/>
        <v>21.263546063932722</v>
      </c>
      <c r="K113">
        <f t="shared" ca="1" si="45"/>
        <v>-5.5159212241014668</v>
      </c>
      <c r="L113">
        <f t="shared" ca="1" si="41"/>
        <v>-1.902041801414299E-4</v>
      </c>
      <c r="M113">
        <f t="shared" si="34"/>
        <v>-1.9020417732024448E-4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3.6758180080903395</v>
      </c>
      <c r="H122">
        <f>SUM(H110:H121)</f>
        <v>-22.484125655784553</v>
      </c>
      <c r="I122">
        <f t="shared" ref="I122:J122" si="46">SUM(I110:I121)</f>
        <v>128.91240210634604</v>
      </c>
      <c r="J122">
        <f t="shared" si="46"/>
        <v>3.5527136788005009E-14</v>
      </c>
      <c r="L122">
        <f ca="1">MIN(L110:L121)</f>
        <v>-4.4976326856624899E-4</v>
      </c>
      <c r="M122">
        <f>MIN(M110:M121)</f>
        <v>-4.4976326189517807E-4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-2.6881430225885889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-2.6881430225885889</v>
      </c>
    </row>
    <row r="127" spans="1:16" x14ac:dyDescent="0.25">
      <c r="F127" s="4">
        <f>MAX(B84:B90)+1</f>
        <v>9.4852813742385678</v>
      </c>
      <c r="G127" s="4">
        <f>G126</f>
        <v>-2.6881430225885889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-0.73517757425574437</v>
      </c>
      <c r="G132" s="4">
        <f t="shared" ref="G132:G139" si="49">($B$66/$B$65)*(E132-$B$125)</f>
        <v>-2.7416741808214038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-2.7416741808214038</v>
      </c>
      <c r="G133" s="4">
        <f t="shared" si="49"/>
        <v>-0.73517757425574526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-0.73517757425574526</v>
      </c>
      <c r="G134" s="4">
        <f t="shared" si="49"/>
        <v>-2.7416741808214056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-2.7416741808214056</v>
      </c>
      <c r="G135" s="4">
        <f t="shared" si="49"/>
        <v>-0.73517757425574648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-0.73517757425574648</v>
      </c>
      <c r="G136" s="4">
        <f t="shared" si="49"/>
        <v>3.2778156388755737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6.9307837097078702</v>
      </c>
      <c r="K136" s="4">
        <f t="shared" si="54"/>
        <v>-2.6881430225885889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3.2778156388755737</v>
      </c>
      <c r="P136" s="4">
        <f t="shared" si="58"/>
        <v>26.242062438659488</v>
      </c>
      <c r="Q136" s="4">
        <f t="shared" si="59"/>
        <v>20.396612386682435</v>
      </c>
      <c r="R136" s="4">
        <f t="shared" si="60"/>
        <v>-45.469514714749486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3.2778156388755737</v>
      </c>
      <c r="G137" s="4">
        <f t="shared" si="49"/>
        <v>-0.73517757425574437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-6.9307837097078764</v>
      </c>
      <c r="M137" s="4">
        <f t="shared" si="56"/>
        <v>-2.6881430225885889</v>
      </c>
      <c r="N137" s="4">
        <f t="shared" si="57"/>
        <v>3.2778156388755737</v>
      </c>
      <c r="O137" s="4">
        <f t="shared" si="57"/>
        <v>0</v>
      </c>
      <c r="P137" s="4">
        <f t="shared" si="58"/>
        <v>26.242062438659509</v>
      </c>
      <c r="Q137" s="4">
        <f t="shared" si="59"/>
        <v>20.396612386682452</v>
      </c>
      <c r="R137" s="4">
        <f t="shared" si="60"/>
        <v>45.469514714749565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-0.73517757425574437</v>
      </c>
      <c r="G138" s="4">
        <f t="shared" si="49"/>
        <v>-0.73517757425574437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-0.73517757425574437</v>
      </c>
      <c r="G139" s="4">
        <f t="shared" si="49"/>
        <v>-0.73517757425574437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52.484124877318997</v>
      </c>
      <c r="Q140" s="4">
        <f>SUM(Q132:Q139)</f>
        <v>40.793224773364884</v>
      </c>
      <c r="R140" s="4">
        <f>SUM(R132:R139)</f>
        <v>7.815970093361102E-14</v>
      </c>
    </row>
    <row r="142" spans="1:18" x14ac:dyDescent="0.25">
      <c r="O142" t="s">
        <v>96</v>
      </c>
      <c r="P142" s="1">
        <f>-1*R140/P140</f>
        <v>-1.4892065194248427E-15</v>
      </c>
    </row>
    <row r="143" spans="1:18" x14ac:dyDescent="0.25">
      <c r="O143" t="s">
        <v>97</v>
      </c>
      <c r="P143" s="1">
        <f>Q140/P140</f>
        <v>0.7772488322653478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-0.73517757425574437</v>
      </c>
      <c r="G146" s="4">
        <f>($B$66/$B$65)*(E146-$B$125)</f>
        <v>-0.73517757425574437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-0.73517757425574437</v>
      </c>
      <c r="G147" s="4">
        <f t="shared" ref="G147:G153" si="64">($B$66/$B$65)*(E147-$B$125)</f>
        <v>-0.73517757425574437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-0.73517757425574437</v>
      </c>
      <c r="G148" s="4">
        <f t="shared" si="64"/>
        <v>-0.73517757425574437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-0.73517757425574437</v>
      </c>
      <c r="G149" s="4">
        <f t="shared" si="64"/>
        <v>-0.73517757425574437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-0.73517757425574437</v>
      </c>
      <c r="G150" s="4">
        <f t="shared" si="64"/>
        <v>-0.73517757425574437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-0.73517757425574437</v>
      </c>
      <c r="G151" s="4">
        <f t="shared" si="64"/>
        <v>-0.73517757425574437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-0.73517757425574437</v>
      </c>
      <c r="G152" s="4">
        <f t="shared" si="64"/>
        <v>-0.73517757425574437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-0.73517757425574437</v>
      </c>
      <c r="G153" s="4">
        <f t="shared" si="64"/>
        <v>-0.73517757425574437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29.999999221534445</v>
      </c>
      <c r="C159" t="s">
        <v>36</v>
      </c>
    </row>
    <row r="160" spans="1:18" x14ac:dyDescent="0.25">
      <c r="A160" s="1" t="s">
        <v>106</v>
      </c>
      <c r="B160" s="4">
        <f>Q140+I122+Q154-O122</f>
        <v>169.70562687971091</v>
      </c>
      <c r="C160" t="s">
        <v>102</v>
      </c>
    </row>
    <row r="161" spans="1:9" x14ac:dyDescent="0.25">
      <c r="A161" s="1" t="s">
        <v>107</v>
      </c>
      <c r="B161" s="4">
        <f>R140+J122+R154-P122</f>
        <v>1.1368683772161603E-13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29.999999221534445</v>
      </c>
      <c r="C164" t="s">
        <v>36</v>
      </c>
      <c r="E164" s="8">
        <f>B2-B164</f>
        <v>7.7846555512905979E-7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119.99999957215751</v>
      </c>
      <c r="C165" t="s">
        <v>102</v>
      </c>
      <c r="E165" s="8">
        <f>B3+B165</f>
        <v>-4.2784249387750606E-7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119.99999957215773</v>
      </c>
      <c r="C166" t="s">
        <v>102</v>
      </c>
      <c r="E166" s="8">
        <f>B4+B166</f>
        <v>-4.2784226650383061E-7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3.2778156388755737</v>
      </c>
      <c r="B169" s="1">
        <f ca="1">IF(E122=0,0,(MIN(H110:H121)*B65)/(B55*B56*E122))</f>
        <v>-3.2778156874934634</v>
      </c>
      <c r="C169" s="3">
        <f ca="1">A169+B169</f>
        <v>-4.8617889714108742E-8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1.0280013532464559E-7</v>
      </c>
      <c r="D175" s="27">
        <f>B66*SQRT(I175)</f>
        <v>4.8617862764015064E-8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6.9307838125080092</v>
      </c>
      <c r="D176" s="3">
        <f>D175+B66</f>
        <v>3.2778156874934363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1.0280013551522416E-7</v>
      </c>
      <c r="D177" s="27">
        <f>D176-B66</f>
        <v>4.8617862624666941E-8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-7.7846555512905979E-7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4.2784249387750606E-7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4.2784226650383061E-7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4.8617889714108742E-8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-5.4977872253274995</v>
      </c>
      <c r="C64" t="s">
        <v>19</v>
      </c>
      <c r="D64" t="s">
        <v>34</v>
      </c>
      <c r="H64" s="17">
        <f>DEGREES(B64)</f>
        <v>-315.00000467220508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7.9008196573211134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-9.4852817202062099</v>
      </c>
      <c r="R76">
        <f>Q76</f>
        <v>-9.4852817202062099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9.4852817202062099</v>
      </c>
      <c r="R77">
        <f>Q77</f>
        <v>9.4852817202062099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-8.4852810282708742</v>
      </c>
      <c r="C84" s="1">
        <f t="shared" ref="C84:C92" si="23">(-1*B73*SIN($B$64))+(C73*COS($B$64))</f>
        <v>-4.2426413790546071</v>
      </c>
      <c r="H84" s="1">
        <f t="shared" ref="H84:H92" si="24">H73</f>
        <v>1</v>
      </c>
      <c r="I84" s="4">
        <f>(I73*COS($B$64))+(J73*SIN($B$64))</f>
        <v>-8.4852810282708742</v>
      </c>
      <c r="J84" s="1">
        <f>(-1*I73*SIN($B$64))+(J73*COS($B$64))</f>
        <v>-4.2426413790546071</v>
      </c>
    </row>
    <row r="85" spans="1:10" x14ac:dyDescent="0.25">
      <c r="A85" s="1">
        <f t="shared" si="21"/>
        <v>2</v>
      </c>
      <c r="B85" s="4">
        <f t="shared" si="22"/>
        <v>-4.242639995183934</v>
      </c>
      <c r="C85" s="1">
        <f t="shared" si="23"/>
        <v>-8.4852817202062099</v>
      </c>
      <c r="H85" s="1">
        <f t="shared" si="24"/>
        <v>2</v>
      </c>
      <c r="I85" s="4">
        <f t="shared" ref="I85:I92" si="25">(I74*COS($B$64))+(J74*SIN($B$64))</f>
        <v>-8.4852810282708742</v>
      </c>
      <c r="J85" s="1">
        <f t="shared" ref="J85:J92" si="26">(-1*I74*SIN($B$64))+(J74*COS($B$64))</f>
        <v>-4.2426413790546071</v>
      </c>
    </row>
    <row r="86" spans="1:10" x14ac:dyDescent="0.25">
      <c r="A86" s="1">
        <f t="shared" si="21"/>
        <v>3</v>
      </c>
      <c r="B86" s="4">
        <f t="shared" si="22"/>
        <v>3.459676682915358E-7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-8.4852810282708742</v>
      </c>
      <c r="J86" s="1">
        <f t="shared" si="26"/>
        <v>-4.2426413790546071</v>
      </c>
    </row>
    <row r="87" spans="1:10" x14ac:dyDescent="0.25">
      <c r="A87" s="1">
        <f t="shared" si="21"/>
        <v>4</v>
      </c>
      <c r="B87" s="4">
        <f t="shared" si="22"/>
        <v>4.2426413790546071</v>
      </c>
      <c r="C87" s="1">
        <f t="shared" si="23"/>
        <v>-8.4852810282708742</v>
      </c>
      <c r="H87" s="1">
        <f t="shared" si="24"/>
        <v>4</v>
      </c>
      <c r="I87" s="4">
        <f t="shared" si="25"/>
        <v>-8.4852810282708742</v>
      </c>
      <c r="J87" s="1">
        <f t="shared" si="26"/>
        <v>-4.2426413790546071</v>
      </c>
    </row>
    <row r="88" spans="1:10" x14ac:dyDescent="0.25">
      <c r="A88" s="1">
        <f t="shared" si="21"/>
        <v>5</v>
      </c>
      <c r="B88" s="4">
        <f t="shared" si="22"/>
        <v>8.4852817202062099</v>
      </c>
      <c r="C88" s="1">
        <f t="shared" si="23"/>
        <v>-4.242639995183934</v>
      </c>
      <c r="H88" s="1">
        <f t="shared" si="24"/>
        <v>5</v>
      </c>
      <c r="I88" s="4">
        <f t="shared" si="25"/>
        <v>-8.4852810282708742</v>
      </c>
      <c r="J88" s="1">
        <f t="shared" si="26"/>
        <v>-4.2426413790546071</v>
      </c>
    </row>
    <row r="89" spans="1:10" x14ac:dyDescent="0.25">
      <c r="A89" s="1">
        <f t="shared" si="21"/>
        <v>6</v>
      </c>
      <c r="B89" s="4">
        <f t="shared" si="22"/>
        <v>-3.459676682915358E-7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-8.4852810282708742</v>
      </c>
      <c r="J89" s="1">
        <f t="shared" si="26"/>
        <v>-4.2426413790546071</v>
      </c>
    </row>
    <row r="90" spans="1:10" x14ac:dyDescent="0.25">
      <c r="A90" s="1">
        <f t="shared" si="21"/>
        <v>7</v>
      </c>
      <c r="B90" s="4">
        <f t="shared" si="22"/>
        <v>-8.4852810282708742</v>
      </c>
      <c r="C90" s="1">
        <f t="shared" si="23"/>
        <v>-4.2426413790546071</v>
      </c>
      <c r="H90" s="1">
        <f t="shared" si="24"/>
        <v>7</v>
      </c>
      <c r="I90" s="4">
        <f t="shared" si="25"/>
        <v>-8.4852810282708742</v>
      </c>
      <c r="J90" s="1">
        <f t="shared" si="26"/>
        <v>-4.2426413790546071</v>
      </c>
    </row>
    <row r="91" spans="1:10" x14ac:dyDescent="0.25">
      <c r="A91" s="1">
        <f t="shared" si="21"/>
        <v>8</v>
      </c>
      <c r="B91" s="4">
        <f t="shared" si="22"/>
        <v>-8.4852810282708742</v>
      </c>
      <c r="C91" s="1">
        <f t="shared" si="23"/>
        <v>-4.2426413790546071</v>
      </c>
      <c r="H91" s="1">
        <f t="shared" si="24"/>
        <v>8</v>
      </c>
      <c r="I91" s="4">
        <f t="shared" si="25"/>
        <v>-8.4852810282708742</v>
      </c>
      <c r="J91" s="1">
        <f t="shared" si="26"/>
        <v>-4.2426413790546071</v>
      </c>
    </row>
    <row r="92" spans="1:10" x14ac:dyDescent="0.25">
      <c r="A92" s="1">
        <f t="shared" si="21"/>
        <v>9</v>
      </c>
      <c r="B92" s="4">
        <f t="shared" si="22"/>
        <v>-8.4852810282708742</v>
      </c>
      <c r="C92" s="1">
        <f t="shared" si="23"/>
        <v>-4.2426413790546071</v>
      </c>
      <c r="H92" s="1">
        <f t="shared" si="24"/>
        <v>9</v>
      </c>
      <c r="I92" s="4">
        <f t="shared" si="25"/>
        <v>-8.4852810282708742</v>
      </c>
      <c r="J92" s="1">
        <f t="shared" si="26"/>
        <v>-4.2426413790546071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-6.3639606847112384</v>
      </c>
      <c r="C110" s="1">
        <f>(-1*B95*SIN($B$64))+(C95*COS($B$64))</f>
        <v>-4.2426412060707737</v>
      </c>
      <c r="D110" t="str">
        <f t="shared" ref="D110" si="31">D95</f>
        <v>y</v>
      </c>
      <c r="E110" s="4">
        <f t="shared" ref="E110:E121" si="32">IF($D110="y",$B$125-C110,0)</f>
        <v>1.5544981834821714</v>
      </c>
      <c r="F110" s="1">
        <f>IF($D110="y",B110,NA())</f>
        <v>-6.3639606847112384</v>
      </c>
      <c r="G110" s="1">
        <f>IF($D110="y",C110,NA())</f>
        <v>-4.2426412060707737</v>
      </c>
      <c r="H110">
        <f t="shared" ref="H110:H121" si="33">IF($E$122=0,0,-1*MAX(($B$67/$E$122)*(E110),0))</f>
        <v>-3.3412447151542963</v>
      </c>
      <c r="I110">
        <f>H110*C110</f>
        <v>14.175702508079823</v>
      </c>
      <c r="J110">
        <f>H110*B110*-1</f>
        <v>-21.263550005241143</v>
      </c>
      <c r="K110">
        <f ca="1">H110/$B$55</f>
        <v>-5.5159225463713231</v>
      </c>
      <c r="L110">
        <f ca="1">K110/$B$54</f>
        <v>-1.9020422573694218E-4</v>
      </c>
      <c r="M110">
        <f t="shared" ref="M110:M121" si="34">IFERROR(($D$66/$B$65)*(G110-$B$125),0)</f>
        <v>-1.902042436389439E-4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-4.2426401681677683</v>
      </c>
      <c r="C111" s="1">
        <f t="shared" ref="C111:C121" si="37">(-1*B96*SIN($B$64))+(C96*COS($B$64))</f>
        <v>-6.363961376646575</v>
      </c>
      <c r="D111" t="str">
        <f t="shared" si="35"/>
        <v>y</v>
      </c>
      <c r="E111" s="4">
        <f t="shared" si="32"/>
        <v>3.6758183540579727</v>
      </c>
      <c r="F111" s="1">
        <f t="shared" ref="F111:G121" si="38">IF($D111="y",B111,NA())</f>
        <v>-4.2426401681677683</v>
      </c>
      <c r="G111" s="1">
        <f t="shared" si="38"/>
        <v>-6.363961376646575</v>
      </c>
      <c r="H111">
        <f t="shared" si="33"/>
        <v>-7.9008189136968694</v>
      </c>
      <c r="I111">
        <f t="shared" ref="I111:I121" si="39">H111*C111</f>
        <v>50.280506410645629</v>
      </c>
      <c r="J111">
        <f t="shared" ref="J111:J121" si="40">H111*B111*-1</f>
        <v>-33.520331684669969</v>
      </c>
      <c r="K111">
        <f ca="1">H111/$B$55</f>
        <v>-13.043134788421218</v>
      </c>
      <c r="L111">
        <f t="shared" ref="L111:L121" ca="1" si="41">K111/$B$54</f>
        <v>-4.4976326856624888E-4</v>
      </c>
      <c r="M111">
        <f t="shared" si="34"/>
        <v>-4.4976331089792041E-4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4.2426412060707737</v>
      </c>
      <c r="C112" s="1">
        <f t="shared" si="37"/>
        <v>-6.3639606847112384</v>
      </c>
      <c r="D112" t="str">
        <f t="shared" si="35"/>
        <v>y</v>
      </c>
      <c r="E112" s="4">
        <f t="shared" si="32"/>
        <v>3.6758176621226362</v>
      </c>
      <c r="F112" s="1">
        <f t="shared" si="38"/>
        <v>4.2426412060707737</v>
      </c>
      <c r="G112" s="1">
        <f t="shared" si="38"/>
        <v>-6.3639606847112384</v>
      </c>
      <c r="H112">
        <f t="shared" si="33"/>
        <v>-7.9008174264482438</v>
      </c>
      <c r="I112">
        <f t="shared" si="39"/>
        <v>50.280491478998051</v>
      </c>
      <c r="J112">
        <f t="shared" si="40"/>
        <v>33.520333575091364</v>
      </c>
      <c r="K112">
        <f t="shared" ref="K112:K121" ca="1" si="45">H112/$B$55</f>
        <v>-13.043132333184047</v>
      </c>
      <c r="L112">
        <f t="shared" ca="1" si="41"/>
        <v>-4.4976318390289817E-4</v>
      </c>
      <c r="M112">
        <f t="shared" si="34"/>
        <v>-4.4976322623456168E-4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6.363961376646575</v>
      </c>
      <c r="C113" s="1">
        <f t="shared" si="37"/>
        <v>-4.2426401681677683</v>
      </c>
      <c r="D113" t="str">
        <f t="shared" si="35"/>
        <v>y</v>
      </c>
      <c r="E113" s="4">
        <f t="shared" si="32"/>
        <v>1.5544971455791661</v>
      </c>
      <c r="F113" s="1">
        <f t="shared" si="38"/>
        <v>6.363961376646575</v>
      </c>
      <c r="G113" s="1">
        <f t="shared" si="38"/>
        <v>-4.2426401681677683</v>
      </c>
      <c r="H113">
        <f t="shared" si="33"/>
        <v>-3.3412424842813575</v>
      </c>
      <c r="I113">
        <f t="shared" si="39"/>
        <v>14.175689575400751</v>
      </c>
      <c r="J113">
        <f t="shared" si="40"/>
        <v>21.263538119977209</v>
      </c>
      <c r="K113">
        <f t="shared" ca="1" si="45"/>
        <v>-5.515918863515564</v>
      </c>
      <c r="L113">
        <f t="shared" ca="1" si="41"/>
        <v>-1.9020409874191601E-4</v>
      </c>
      <c r="M113">
        <f t="shared" si="34"/>
        <v>-1.9020411664390577E-4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-8.4852810282708742</v>
      </c>
      <c r="C114" s="1">
        <f t="shared" si="37"/>
        <v>-4.2426413790546071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-8.4852810282708742</v>
      </c>
      <c r="C115" s="1">
        <f t="shared" si="37"/>
        <v>-4.2426413790546071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-8.4852810282708742</v>
      </c>
      <c r="C116" s="1">
        <f t="shared" si="37"/>
        <v>-4.2426413790546071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-8.4852810282708742</v>
      </c>
      <c r="C117" s="1">
        <f t="shared" si="37"/>
        <v>-4.2426413790546071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-8.4852810282708742</v>
      </c>
      <c r="C118" s="1">
        <f t="shared" si="37"/>
        <v>-4.2426413790546071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-8.4852810282708742</v>
      </c>
      <c r="C119" s="1">
        <f t="shared" si="37"/>
        <v>-4.2426413790546071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-8.4852810282708742</v>
      </c>
      <c r="C120" s="1">
        <f t="shared" si="37"/>
        <v>-4.2426413790546071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-8.4852810282708742</v>
      </c>
      <c r="C121" s="1">
        <f t="shared" si="37"/>
        <v>-4.2426413790546071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3.6758183540579727</v>
      </c>
      <c r="H122">
        <f>SUM(H110:H121)</f>
        <v>-22.484123539580771</v>
      </c>
      <c r="I122">
        <f t="shared" ref="I122:J122" si="46">SUM(I110:I121)</f>
        <v>128.91238997312425</v>
      </c>
      <c r="J122">
        <f t="shared" si="46"/>
        <v>-9.9948425393847629E-6</v>
      </c>
      <c r="L122">
        <f ca="1">MIN(L110:L121)</f>
        <v>-4.4976326856624888E-4</v>
      </c>
      <c r="M122">
        <f>MIN(M110:M121)</f>
        <v>-4.4976331089792041E-4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-2.6881430225886023</v>
      </c>
      <c r="F125" s="1" t="s">
        <v>27</v>
      </c>
      <c r="G125" s="1" t="s">
        <v>28</v>
      </c>
    </row>
    <row r="126" spans="1:16" x14ac:dyDescent="0.25">
      <c r="F126" s="4">
        <f>MIN(B84:B90)-1</f>
        <v>-9.4852810282708742</v>
      </c>
      <c r="G126" s="4">
        <f>B125</f>
        <v>-2.6881430225886023</v>
      </c>
    </row>
    <row r="127" spans="1:16" x14ac:dyDescent="0.25">
      <c r="F127" s="4">
        <f>MAX(B84:B90)+1</f>
        <v>9.4852817202062099</v>
      </c>
      <c r="G127" s="4">
        <f>G126</f>
        <v>-2.6881430225886023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-8.4852810282708742</v>
      </c>
      <c r="C132" s="4">
        <f>C84</f>
        <v>-4.2426413790546071</v>
      </c>
      <c r="D132" s="4">
        <f t="shared" ref="D132:E139" si="47">B85</f>
        <v>-4.242639995183934</v>
      </c>
      <c r="E132" s="4">
        <f t="shared" si="47"/>
        <v>-8.4852817202062099</v>
      </c>
      <c r="F132" s="4">
        <f t="shared" ref="F132:F139" si="48">($B$66/$B$65)*(C132-$B$125)</f>
        <v>-0.73517791240116492</v>
      </c>
      <c r="G132" s="4">
        <f t="shared" ref="G132:G139" si="49">($B$66/$B$65)*(E132-$B$125)</f>
        <v>-2.741674385107479</v>
      </c>
      <c r="H132" s="4">
        <f>IF(B132=D132,"V",(C132-E132)/(B132-D132))</f>
        <v>-0.99999983690929017</v>
      </c>
      <c r="I132" s="4">
        <f>IF(H132="V",0,(-1*B132*H132)+C132)</f>
        <v>-12.727921023454975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-4.242639995183934</v>
      </c>
      <c r="C133" s="4">
        <f t="shared" si="50"/>
        <v>-8.4852817202062099</v>
      </c>
      <c r="D133" s="4">
        <f t="shared" si="47"/>
        <v>3.459676682915358E-7</v>
      </c>
      <c r="E133" s="4">
        <f t="shared" si="47"/>
        <v>-4.2426406871192714</v>
      </c>
      <c r="F133" s="4">
        <f t="shared" si="48"/>
        <v>-2.741674385107479</v>
      </c>
      <c r="G133" s="4">
        <f t="shared" si="49"/>
        <v>-0.7351775851601785</v>
      </c>
      <c r="H133" s="4">
        <f t="shared" ref="H133:H139" si="51">IF(B133=D133,"V",(C133-E133)/(B133-D133))</f>
        <v>1.000000163090736</v>
      </c>
      <c r="I133" s="4">
        <f t="shared" ref="I133:I139" si="52">IF(H133="V",0,(-1*B133*H133)+C133)</f>
        <v>-4.2426410330869961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3.459676682915358E-7</v>
      </c>
      <c r="C134" s="4">
        <f t="shared" si="50"/>
        <v>-4.2426406871192714</v>
      </c>
      <c r="D134" s="4">
        <f t="shared" si="47"/>
        <v>4.2426413790546071</v>
      </c>
      <c r="E134" s="4">
        <f t="shared" si="47"/>
        <v>-8.4852810282708742</v>
      </c>
      <c r="F134" s="4">
        <f t="shared" si="48"/>
        <v>-0.7351775851601785</v>
      </c>
      <c r="G134" s="4">
        <f t="shared" si="49"/>
        <v>-2.7416740578664927</v>
      </c>
      <c r="H134" s="4">
        <f t="shared" si="51"/>
        <v>-0.99999983690929062</v>
      </c>
      <c r="I134" s="4">
        <f t="shared" si="52"/>
        <v>-4.2426403411516596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4.2426413790546071</v>
      </c>
      <c r="C135" s="4">
        <f t="shared" si="50"/>
        <v>-8.4852810282708742</v>
      </c>
      <c r="D135" s="4">
        <f t="shared" si="47"/>
        <v>8.4852817202062099</v>
      </c>
      <c r="E135" s="4">
        <f t="shared" si="47"/>
        <v>-4.242639995183934</v>
      </c>
      <c r="F135" s="4">
        <f t="shared" si="48"/>
        <v>-2.7416740578664927</v>
      </c>
      <c r="G135" s="4">
        <f t="shared" si="49"/>
        <v>-0.7351772579191912</v>
      </c>
      <c r="H135" s="4">
        <f t="shared" si="51"/>
        <v>1.0000001630907365</v>
      </c>
      <c r="I135" s="4">
        <f t="shared" si="52"/>
        <v>-12.727923099260988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8.4852817202062099</v>
      </c>
      <c r="C136" s="4">
        <f t="shared" si="50"/>
        <v>-4.242639995183934</v>
      </c>
      <c r="D136" s="4">
        <f t="shared" si="47"/>
        <v>-3.459676682915358E-7</v>
      </c>
      <c r="E136" s="4">
        <f t="shared" si="47"/>
        <v>4.2426406871192714</v>
      </c>
      <c r="F136" s="4">
        <f t="shared" si="48"/>
        <v>-0.7351772579191912</v>
      </c>
      <c r="G136" s="4">
        <f t="shared" si="49"/>
        <v>3.2778156874934372</v>
      </c>
      <c r="H136" s="4">
        <f t="shared" si="51"/>
        <v>-0.9999998369092904</v>
      </c>
      <c r="I136" s="4">
        <f t="shared" si="52"/>
        <v>4.2426403411516596</v>
      </c>
      <c r="J136" s="4">
        <f t="shared" si="53"/>
        <v>6.9307844940868231</v>
      </c>
      <c r="K136" s="4">
        <f t="shared" si="54"/>
        <v>-2.6881430225886023</v>
      </c>
      <c r="L136" s="4">
        <f t="shared" si="55"/>
        <v>-3.459676682915358E-7</v>
      </c>
      <c r="M136" s="4">
        <f t="shared" si="56"/>
        <v>4.2426406871192714</v>
      </c>
      <c r="N136" s="4">
        <f t="shared" si="57"/>
        <v>0</v>
      </c>
      <c r="O136" s="4">
        <f t="shared" si="57"/>
        <v>3.2778156874934372</v>
      </c>
      <c r="P136" s="4">
        <f t="shared" si="58"/>
        <v>26.24206317791193</v>
      </c>
      <c r="Q136" s="4">
        <f t="shared" si="59"/>
        <v>20.396608421812541</v>
      </c>
      <c r="R136" s="4">
        <f t="shared" si="60"/>
        <v>-45.469521141580032</v>
      </c>
    </row>
    <row r="137" spans="1:18" x14ac:dyDescent="0.25">
      <c r="A137" t="s">
        <v>74</v>
      </c>
      <c r="B137" s="4">
        <f t="shared" si="50"/>
        <v>-3.459676682915358E-7</v>
      </c>
      <c r="C137" s="4">
        <f t="shared" si="50"/>
        <v>4.2426406871192714</v>
      </c>
      <c r="D137" s="4">
        <f t="shared" si="47"/>
        <v>-8.4852810282708742</v>
      </c>
      <c r="E137" s="4">
        <f t="shared" si="47"/>
        <v>-4.2426413790546071</v>
      </c>
      <c r="F137" s="4">
        <f t="shared" si="48"/>
        <v>3.2778156874934372</v>
      </c>
      <c r="G137" s="4">
        <f t="shared" si="49"/>
        <v>-0.73517791240116492</v>
      </c>
      <c r="H137" s="4">
        <f t="shared" si="51"/>
        <v>1.0000001630907362</v>
      </c>
      <c r="I137" s="4">
        <f t="shared" si="52"/>
        <v>4.2426410330869961</v>
      </c>
      <c r="J137" s="4">
        <f t="shared" si="53"/>
        <v>-3.459676682915358E-7</v>
      </c>
      <c r="K137" s="4">
        <f t="shared" si="54"/>
        <v>4.2426406871192714</v>
      </c>
      <c r="L137" s="4">
        <f t="shared" si="55"/>
        <v>-6.9307829253291082</v>
      </c>
      <c r="M137" s="4">
        <f t="shared" si="56"/>
        <v>-2.6881430225886023</v>
      </c>
      <c r="N137" s="4">
        <f t="shared" si="57"/>
        <v>3.2778156874934372</v>
      </c>
      <c r="O137" s="4">
        <f t="shared" si="57"/>
        <v>0</v>
      </c>
      <c r="P137" s="4">
        <f t="shared" si="58"/>
        <v>26.242062477873151</v>
      </c>
      <c r="Q137" s="4">
        <f t="shared" si="59"/>
        <v>20.396616956613503</v>
      </c>
      <c r="R137" s="4">
        <f t="shared" si="60"/>
        <v>45.469509636766062</v>
      </c>
    </row>
    <row r="138" spans="1:18" x14ac:dyDescent="0.25">
      <c r="A138" t="s">
        <v>75</v>
      </c>
      <c r="B138" s="4">
        <f t="shared" si="50"/>
        <v>-8.4852810282708742</v>
      </c>
      <c r="C138" s="4">
        <f t="shared" si="50"/>
        <v>-4.2426413790546071</v>
      </c>
      <c r="D138" s="4">
        <f t="shared" si="47"/>
        <v>-8.4852810282708742</v>
      </c>
      <c r="E138" s="4">
        <f t="shared" si="47"/>
        <v>-4.2426413790546071</v>
      </c>
      <c r="F138" s="4">
        <f t="shared" si="48"/>
        <v>-0.73517791240116492</v>
      </c>
      <c r="G138" s="4">
        <f t="shared" si="49"/>
        <v>-0.73517791240116492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-8.4852810282708742</v>
      </c>
      <c r="C139" s="4">
        <f>E138</f>
        <v>-4.2426413790546071</v>
      </c>
      <c r="D139" s="4">
        <f t="shared" si="47"/>
        <v>-8.4852810282708742</v>
      </c>
      <c r="E139" s="4">
        <f t="shared" si="47"/>
        <v>-4.2426413790546071</v>
      </c>
      <c r="F139" s="4">
        <f t="shared" si="48"/>
        <v>-0.73517791240116492</v>
      </c>
      <c r="G139" s="4">
        <f t="shared" si="49"/>
        <v>-0.73517791240116492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52.484125655785078</v>
      </c>
      <c r="Q140" s="4">
        <f>SUM(Q132:Q139)</f>
        <v>40.793225378426044</v>
      </c>
      <c r="R140" s="4">
        <f>SUM(R132:R139)</f>
        <v>-1.1504813969054339E-5</v>
      </c>
    </row>
    <row r="142" spans="1:18" x14ac:dyDescent="0.25">
      <c r="O142" t="s">
        <v>96</v>
      </c>
      <c r="P142" s="1">
        <f>-1*R140/P140</f>
        <v>2.1920559455459307E-7</v>
      </c>
    </row>
    <row r="143" spans="1:18" x14ac:dyDescent="0.25">
      <c r="O143" t="s">
        <v>97</v>
      </c>
      <c r="P143" s="1">
        <f>Q140/P140</f>
        <v>0.7772488322653347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-8.4852810282708742</v>
      </c>
      <c r="C146" s="9">
        <f>J84</f>
        <v>-4.2426413790546071</v>
      </c>
      <c r="D146" s="9">
        <f t="shared" ref="D146:E153" si="61">I85</f>
        <v>-8.4852810282708742</v>
      </c>
      <c r="E146">
        <f t="shared" si="61"/>
        <v>-4.2426413790546071</v>
      </c>
      <c r="F146" s="4">
        <f>($B$66/$B$65)*(C146-$B$125)</f>
        <v>-0.73517791240116492</v>
      </c>
      <c r="G146" s="4">
        <f>($B$66/$B$65)*(E146-$B$125)</f>
        <v>-0.73517791240116492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-8.4852810282708742</v>
      </c>
      <c r="C147">
        <f t="shared" si="62"/>
        <v>-4.2426413790546071</v>
      </c>
      <c r="D147" s="9">
        <f t="shared" si="61"/>
        <v>-8.4852810282708742</v>
      </c>
      <c r="E147">
        <f t="shared" si="61"/>
        <v>-4.2426413790546071</v>
      </c>
      <c r="F147" s="4">
        <f t="shared" ref="F147:F153" si="63">($B$66/$B$65)*(C147-$B$125)</f>
        <v>-0.73517791240116492</v>
      </c>
      <c r="G147" s="4">
        <f t="shared" ref="G147:G153" si="64">($B$66/$B$65)*(E147-$B$125)</f>
        <v>-0.73517791240116492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-8.4852810282708742</v>
      </c>
      <c r="C148">
        <f t="shared" si="62"/>
        <v>-4.2426413790546071</v>
      </c>
      <c r="D148" s="9">
        <f t="shared" si="61"/>
        <v>-8.4852810282708742</v>
      </c>
      <c r="E148">
        <f t="shared" si="61"/>
        <v>-4.2426413790546071</v>
      </c>
      <c r="F148" s="4">
        <f t="shared" si="63"/>
        <v>-0.73517791240116492</v>
      </c>
      <c r="G148" s="4">
        <f t="shared" si="64"/>
        <v>-0.73517791240116492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-8.4852810282708742</v>
      </c>
      <c r="C149">
        <f t="shared" si="62"/>
        <v>-4.2426413790546071</v>
      </c>
      <c r="D149" s="9">
        <f t="shared" si="61"/>
        <v>-8.4852810282708742</v>
      </c>
      <c r="E149">
        <f t="shared" si="61"/>
        <v>-4.2426413790546071</v>
      </c>
      <c r="F149" s="4">
        <f t="shared" si="63"/>
        <v>-0.73517791240116492</v>
      </c>
      <c r="G149" s="4">
        <f t="shared" si="64"/>
        <v>-0.73517791240116492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-8.4852810282708742</v>
      </c>
      <c r="C150">
        <f t="shared" si="62"/>
        <v>-4.2426413790546071</v>
      </c>
      <c r="D150" s="9">
        <f t="shared" si="61"/>
        <v>-8.4852810282708742</v>
      </c>
      <c r="E150">
        <f t="shared" si="61"/>
        <v>-4.2426413790546071</v>
      </c>
      <c r="F150" s="4">
        <f t="shared" si="63"/>
        <v>-0.73517791240116492</v>
      </c>
      <c r="G150" s="4">
        <f t="shared" si="64"/>
        <v>-0.73517791240116492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-8.4852810282708742</v>
      </c>
      <c r="C151">
        <f t="shared" si="62"/>
        <v>-4.2426413790546071</v>
      </c>
      <c r="D151" s="9">
        <f t="shared" si="61"/>
        <v>-8.4852810282708742</v>
      </c>
      <c r="E151">
        <f t="shared" si="61"/>
        <v>-4.2426413790546071</v>
      </c>
      <c r="F151" s="4">
        <f t="shared" si="63"/>
        <v>-0.73517791240116492</v>
      </c>
      <c r="G151" s="4">
        <f t="shared" si="64"/>
        <v>-0.73517791240116492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-8.4852810282708742</v>
      </c>
      <c r="C152">
        <f t="shared" si="62"/>
        <v>-4.2426413790546071</v>
      </c>
      <c r="D152" s="9">
        <f t="shared" si="61"/>
        <v>-8.4852810282708742</v>
      </c>
      <c r="E152">
        <f t="shared" si="61"/>
        <v>-4.2426413790546071</v>
      </c>
      <c r="F152" s="4">
        <f t="shared" si="63"/>
        <v>-0.73517791240116492</v>
      </c>
      <c r="G152" s="4">
        <f t="shared" si="64"/>
        <v>-0.73517791240116492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-8.4852810282708742</v>
      </c>
      <c r="C153">
        <f t="shared" si="62"/>
        <v>-4.2426413790546071</v>
      </c>
      <c r="D153" s="9">
        <f t="shared" si="61"/>
        <v>-8.4852810282708742</v>
      </c>
      <c r="E153">
        <f t="shared" si="61"/>
        <v>-4.2426413790546071</v>
      </c>
      <c r="F153" s="4">
        <f t="shared" si="63"/>
        <v>-0.73517791240116492</v>
      </c>
      <c r="G153" s="4">
        <f t="shared" si="64"/>
        <v>-0.73517791240116492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30.000002116204307</v>
      </c>
      <c r="C159" t="s">
        <v>36</v>
      </c>
    </row>
    <row r="160" spans="1:18" x14ac:dyDescent="0.25">
      <c r="A160" s="1" t="s">
        <v>106</v>
      </c>
      <c r="B160" s="4">
        <f>Q140+I122+Q154-O122</f>
        <v>169.70561535155031</v>
      </c>
      <c r="C160" t="s">
        <v>102</v>
      </c>
    </row>
    <row r="161" spans="1:9" x14ac:dyDescent="0.25">
      <c r="A161" s="1" t="s">
        <v>107</v>
      </c>
      <c r="B161" s="4">
        <f>R140+J122+R154-P122</f>
        <v>-2.1499656508439102E-5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30.000002116204307</v>
      </c>
      <c r="C164" t="s">
        <v>36</v>
      </c>
      <c r="E164" s="8">
        <f>B2-B164</f>
        <v>-2.1162043069011816E-6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120.00001640851102</v>
      </c>
      <c r="C165" t="s">
        <v>102</v>
      </c>
      <c r="E165" s="8">
        <f>B3+B165</f>
        <v>1.6408511015697513E-5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119.99996643251987</v>
      </c>
      <c r="C166" t="s">
        <v>102</v>
      </c>
      <c r="E166" s="8">
        <f>B4+B166</f>
        <v>-3.3567480130614058E-5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-3.2778153789857987</v>
      </c>
      <c r="C169" s="3">
        <f ca="1">A169+B169</f>
        <v>3.0850763854672891E-7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-8.1545362605695324E-8</v>
      </c>
      <c r="C175" s="27">
        <f>B65*SQRT(I175)</f>
        <v>1.0280013532464559E-7</v>
      </c>
      <c r="D175" s="27">
        <f>B66*SQRT(I175)</f>
        <v>4.8617863485134519E-8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-5.497787306872862</v>
      </c>
      <c r="C176" s="3">
        <f>B65+C175</f>
        <v>6.9307838125080092</v>
      </c>
      <c r="D176" s="3">
        <f>D175+B66</f>
        <v>3.2778157361113007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-8.1545362462520643E-8</v>
      </c>
      <c r="C177" s="27">
        <f>C176-B65</f>
        <v>1.0280013551522416E-7</v>
      </c>
      <c r="D177" s="27">
        <f>D176-B66</f>
        <v>4.8617863512845361E-8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-8.4852812896312937</v>
      </c>
      <c r="B181" s="25">
        <f>(d_alpha_p!E136-d_alpha_m!E136)/(2*B177)</f>
        <v>0</v>
      </c>
      <c r="C181" s="25">
        <f>(d_alpha_p!E137-d_alpha_m!E137)/(2*B177)</f>
        <v>8.4852812787394605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2.1162043069011816E-6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-1.6408511015697513E-5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3.3567480130614058E-5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-3.0850763854672891E-7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-8.4852812896312937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8.4852812787394605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-8.4852812896312937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8.4852812787394605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-5.4977870622367764</v>
      </c>
      <c r="C64" t="s">
        <v>19</v>
      </c>
      <c r="D64" t="s">
        <v>34</v>
      </c>
      <c r="H64" s="17">
        <f>DEGREES(B64)</f>
        <v>-314.99999532779492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7.9008196573211178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-9.4852817202062116</v>
      </c>
      <c r="R76">
        <f>Q76</f>
        <v>-9.4852817202062116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9.4852817202062116</v>
      </c>
      <c r="R77">
        <f>Q77</f>
        <v>9.4852817202062116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-8.4852817202062116</v>
      </c>
      <c r="C84" s="1">
        <f t="shared" ref="C84:C92" si="23">(-1*B73*SIN($B$64))+(C73*COS($B$64))</f>
        <v>-4.2426399951839322</v>
      </c>
      <c r="H84" s="1">
        <f t="shared" ref="H84:H92" si="24">H73</f>
        <v>1</v>
      </c>
      <c r="I84" s="4">
        <f>(I73*COS($B$64))+(J73*SIN($B$64))</f>
        <v>-8.4852817202062116</v>
      </c>
      <c r="J84" s="1">
        <f>(-1*I73*SIN($B$64))+(J73*COS($B$64))</f>
        <v>-4.2426399951839322</v>
      </c>
    </row>
    <row r="85" spans="1:10" x14ac:dyDescent="0.25">
      <c r="A85" s="1">
        <f t="shared" si="21"/>
        <v>2</v>
      </c>
      <c r="B85" s="4">
        <f t="shared" si="22"/>
        <v>-4.2426413790546107</v>
      </c>
      <c r="C85" s="1">
        <f t="shared" si="23"/>
        <v>-8.4852810282708724</v>
      </c>
      <c r="H85" s="1">
        <f t="shared" si="24"/>
        <v>2</v>
      </c>
      <c r="I85" s="4">
        <f t="shared" ref="I85:I92" si="25">(I74*COS($B$64))+(J74*SIN($B$64))</f>
        <v>-8.4852817202062116</v>
      </c>
      <c r="J85" s="1">
        <f t="shared" ref="J85:J92" si="26">(-1*I74*SIN($B$64))+(J74*COS($B$64))</f>
        <v>-4.2426399951839322</v>
      </c>
    </row>
    <row r="86" spans="1:10" x14ac:dyDescent="0.25">
      <c r="A86" s="1">
        <f t="shared" si="21"/>
        <v>3</v>
      </c>
      <c r="B86" s="4">
        <f t="shared" si="22"/>
        <v>-3.4596766917971422E-7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-8.4852817202062116</v>
      </c>
      <c r="J86" s="1">
        <f t="shared" si="26"/>
        <v>-4.2426399951839322</v>
      </c>
    </row>
    <row r="87" spans="1:10" x14ac:dyDescent="0.25">
      <c r="A87" s="1">
        <f t="shared" si="21"/>
        <v>4</v>
      </c>
      <c r="B87" s="4">
        <f t="shared" si="22"/>
        <v>4.2426399951839322</v>
      </c>
      <c r="C87" s="1">
        <f t="shared" si="23"/>
        <v>-8.4852817202062116</v>
      </c>
      <c r="H87" s="1">
        <f t="shared" si="24"/>
        <v>4</v>
      </c>
      <c r="I87" s="4">
        <f t="shared" si="25"/>
        <v>-8.4852817202062116</v>
      </c>
      <c r="J87" s="1">
        <f t="shared" si="26"/>
        <v>-4.2426399951839322</v>
      </c>
    </row>
    <row r="88" spans="1:10" x14ac:dyDescent="0.25">
      <c r="A88" s="1">
        <f t="shared" si="21"/>
        <v>5</v>
      </c>
      <c r="B88" s="4">
        <f t="shared" si="22"/>
        <v>8.4852810282708724</v>
      </c>
      <c r="C88" s="1">
        <f t="shared" si="23"/>
        <v>-4.2426413790546107</v>
      </c>
      <c r="H88" s="1">
        <f t="shared" si="24"/>
        <v>5</v>
      </c>
      <c r="I88" s="4">
        <f t="shared" si="25"/>
        <v>-8.4852817202062116</v>
      </c>
      <c r="J88" s="1">
        <f t="shared" si="26"/>
        <v>-4.2426399951839322</v>
      </c>
    </row>
    <row r="89" spans="1:10" x14ac:dyDescent="0.25">
      <c r="A89" s="1">
        <f t="shared" si="21"/>
        <v>6</v>
      </c>
      <c r="B89" s="4">
        <f t="shared" si="22"/>
        <v>3.4596766917971422E-7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-8.4852817202062116</v>
      </c>
      <c r="J89" s="1">
        <f t="shared" si="26"/>
        <v>-4.2426399951839322</v>
      </c>
    </row>
    <row r="90" spans="1:10" x14ac:dyDescent="0.25">
      <c r="A90" s="1">
        <f t="shared" si="21"/>
        <v>7</v>
      </c>
      <c r="B90" s="4">
        <f t="shared" si="22"/>
        <v>-8.4852817202062116</v>
      </c>
      <c r="C90" s="1">
        <f t="shared" si="23"/>
        <v>-4.2426399951839322</v>
      </c>
      <c r="H90" s="1">
        <f t="shared" si="24"/>
        <v>7</v>
      </c>
      <c r="I90" s="4">
        <f t="shared" si="25"/>
        <v>-8.4852817202062116</v>
      </c>
      <c r="J90" s="1">
        <f t="shared" si="26"/>
        <v>-4.2426399951839322</v>
      </c>
    </row>
    <row r="91" spans="1:10" x14ac:dyDescent="0.25">
      <c r="A91" s="1">
        <f t="shared" si="21"/>
        <v>8</v>
      </c>
      <c r="B91" s="4">
        <f t="shared" si="22"/>
        <v>-8.4852817202062116</v>
      </c>
      <c r="C91" s="1">
        <f t="shared" si="23"/>
        <v>-4.2426399951839322</v>
      </c>
      <c r="H91" s="1">
        <f t="shared" si="24"/>
        <v>8</v>
      </c>
      <c r="I91" s="4">
        <f t="shared" si="25"/>
        <v>-8.4852817202062116</v>
      </c>
      <c r="J91" s="1">
        <f t="shared" si="26"/>
        <v>-4.2426399951839322</v>
      </c>
    </row>
    <row r="92" spans="1:10" x14ac:dyDescent="0.25">
      <c r="A92" s="1">
        <f t="shared" si="21"/>
        <v>9</v>
      </c>
      <c r="B92" s="4">
        <f t="shared" si="22"/>
        <v>-8.4852817202062116</v>
      </c>
      <c r="C92" s="1">
        <f t="shared" si="23"/>
        <v>-4.2426399951839322</v>
      </c>
      <c r="H92" s="1">
        <f t="shared" si="24"/>
        <v>9</v>
      </c>
      <c r="I92" s="4">
        <f t="shared" si="25"/>
        <v>-8.4852817202062116</v>
      </c>
      <c r="J92" s="1">
        <f t="shared" si="26"/>
        <v>-4.2426399951839322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-6.3639613766465768</v>
      </c>
      <c r="C110" s="1">
        <f>(-1*B95*SIN($B$64))+(C95*COS($B$64))</f>
        <v>-4.2426401681677666</v>
      </c>
      <c r="D110" t="str">
        <f t="shared" ref="D110" si="31">D95</f>
        <v>y</v>
      </c>
      <c r="E110" s="4">
        <f t="shared" ref="E110:E121" si="32">IF($D110="y",$B$125-C110,0)</f>
        <v>1.5544971455791643</v>
      </c>
      <c r="F110" s="1">
        <f>IF($D110="y",B110,NA())</f>
        <v>-6.3639613766465768</v>
      </c>
      <c r="G110" s="1">
        <f>IF($D110="y",C110,NA())</f>
        <v>-4.2426401681677666</v>
      </c>
      <c r="H110">
        <f t="shared" ref="H110:H121" si="33">IF($E$122=0,0,-1*MAX(($B$67/$E$122)*(E110),0))</f>
        <v>-3.3412424842813522</v>
      </c>
      <c r="I110">
        <f>H110*C110</f>
        <v>14.175689575400723</v>
      </c>
      <c r="J110">
        <f>H110*B110*-1</f>
        <v>-21.263538119977181</v>
      </c>
      <c r="K110">
        <f ca="1">H110/$B$55</f>
        <v>-5.5159188635155552</v>
      </c>
      <c r="L110">
        <f ca="1">K110/$B$54</f>
        <v>-1.9020409874191568E-4</v>
      </c>
      <c r="M110">
        <f t="shared" ref="M110:M121" si="34">IFERROR(($D$66/$B$65)*(G110-$B$125),0)</f>
        <v>-1.9020411664390555E-4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-4.2426412060707754</v>
      </c>
      <c r="C111" s="1">
        <f t="shared" ref="C111:C121" si="37">(-1*B96*SIN($B$64))+(C96*COS($B$64))</f>
        <v>-6.3639606847112367</v>
      </c>
      <c r="D111" t="str">
        <f t="shared" si="35"/>
        <v>y</v>
      </c>
      <c r="E111" s="4">
        <f t="shared" si="32"/>
        <v>3.6758176621226344</v>
      </c>
      <c r="F111" s="1">
        <f t="shared" ref="F111:G121" si="38">IF($D111="y",B111,NA())</f>
        <v>-4.2426412060707754</v>
      </c>
      <c r="G111" s="1">
        <f t="shared" si="38"/>
        <v>-6.3639606847112367</v>
      </c>
      <c r="H111">
        <f t="shared" si="33"/>
        <v>-7.9008174264482367</v>
      </c>
      <c r="I111">
        <f t="shared" ref="I111:I121" si="39">H111*C111</f>
        <v>50.280491478997995</v>
      </c>
      <c r="J111">
        <f t="shared" ref="J111:J121" si="40">H111*B111*-1</f>
        <v>-33.52033357509135</v>
      </c>
      <c r="K111">
        <f ca="1">H111/$B$55</f>
        <v>-13.043132333184035</v>
      </c>
      <c r="L111">
        <f t="shared" ref="L111:L121" ca="1" si="41">K111/$B$54</f>
        <v>-4.4976318390289774E-4</v>
      </c>
      <c r="M111">
        <f t="shared" si="34"/>
        <v>-4.4976322623456146E-4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4.2426401681677666</v>
      </c>
      <c r="C112" s="1">
        <f t="shared" si="37"/>
        <v>-6.3639613766465768</v>
      </c>
      <c r="D112" t="str">
        <f t="shared" si="35"/>
        <v>y</v>
      </c>
      <c r="E112" s="4">
        <f t="shared" si="32"/>
        <v>3.6758183540579745</v>
      </c>
      <c r="F112" s="1">
        <f t="shared" si="38"/>
        <v>4.2426401681677666</v>
      </c>
      <c r="G112" s="1">
        <f t="shared" si="38"/>
        <v>-6.3639613766465768</v>
      </c>
      <c r="H112">
        <f t="shared" si="33"/>
        <v>-7.9008189136968703</v>
      </c>
      <c r="I112">
        <f t="shared" si="39"/>
        <v>50.280506410645643</v>
      </c>
      <c r="J112">
        <f t="shared" si="40"/>
        <v>33.520331684669962</v>
      </c>
      <c r="K112">
        <f t="shared" ref="K112:K121" ca="1" si="45">H112/$B$55</f>
        <v>-13.04313478842122</v>
      </c>
      <c r="L112">
        <f t="shared" ca="1" si="41"/>
        <v>-4.4976326856624899E-4</v>
      </c>
      <c r="M112">
        <f t="shared" si="34"/>
        <v>-4.4976331089792063E-4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6.3639606847112367</v>
      </c>
      <c r="C113" s="1">
        <f t="shared" si="37"/>
        <v>-4.2426412060707754</v>
      </c>
      <c r="D113" t="str">
        <f t="shared" si="35"/>
        <v>y</v>
      </c>
      <c r="E113" s="4">
        <f t="shared" si="32"/>
        <v>1.5544981834821732</v>
      </c>
      <c r="F113" s="1">
        <f t="shared" si="38"/>
        <v>6.3639606847112367</v>
      </c>
      <c r="G113" s="1">
        <f t="shared" si="38"/>
        <v>-4.2426412060707754</v>
      </c>
      <c r="H113">
        <f t="shared" si="33"/>
        <v>-3.341244715154299</v>
      </c>
      <c r="I113">
        <f t="shared" si="39"/>
        <v>14.175702508079839</v>
      </c>
      <c r="J113">
        <f t="shared" si="40"/>
        <v>21.263550005241154</v>
      </c>
      <c r="K113">
        <f t="shared" ca="1" si="45"/>
        <v>-5.5159225463713275</v>
      </c>
      <c r="L113">
        <f t="shared" ca="1" si="41"/>
        <v>-1.9020422573694232E-4</v>
      </c>
      <c r="M113">
        <f t="shared" si="34"/>
        <v>-1.9020424363894411E-4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-8.4852817202062116</v>
      </c>
      <c r="C114" s="1">
        <f t="shared" si="37"/>
        <v>-4.2426399951839322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-8.4852817202062116</v>
      </c>
      <c r="C115" s="1">
        <f t="shared" si="37"/>
        <v>-4.2426399951839322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-8.4852817202062116</v>
      </c>
      <c r="C116" s="1">
        <f t="shared" si="37"/>
        <v>-4.2426399951839322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-8.4852817202062116</v>
      </c>
      <c r="C117" s="1">
        <f t="shared" si="37"/>
        <v>-4.2426399951839322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-8.4852817202062116</v>
      </c>
      <c r="C118" s="1">
        <f t="shared" si="37"/>
        <v>-4.2426399951839322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-8.4852817202062116</v>
      </c>
      <c r="C119" s="1">
        <f t="shared" si="37"/>
        <v>-4.2426399951839322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-8.4852817202062116</v>
      </c>
      <c r="C120" s="1">
        <f t="shared" si="37"/>
        <v>-4.2426399951839322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-8.4852817202062116</v>
      </c>
      <c r="C121" s="1">
        <f t="shared" si="37"/>
        <v>-4.2426399951839322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3.6758183540579745</v>
      </c>
      <c r="H122">
        <f>SUM(H110:H121)</f>
        <v>-22.484123539580761</v>
      </c>
      <c r="I122">
        <f t="shared" ref="I122:J122" si="46">SUM(I110:I121)</f>
        <v>128.91238997312419</v>
      </c>
      <c r="J122">
        <f t="shared" si="46"/>
        <v>9.9948425891227544E-6</v>
      </c>
      <c r="L122">
        <f ca="1">MIN(L110:L121)</f>
        <v>-4.4976326856624899E-4</v>
      </c>
      <c r="M122">
        <f>MIN(M110:M121)</f>
        <v>-4.4976331089792063E-4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-2.6881430225886023</v>
      </c>
      <c r="F125" s="1" t="s">
        <v>27</v>
      </c>
      <c r="G125" s="1" t="s">
        <v>28</v>
      </c>
    </row>
    <row r="126" spans="1:16" x14ac:dyDescent="0.25">
      <c r="F126" s="4">
        <f>MIN(B84:B90)-1</f>
        <v>-9.4852817202062116</v>
      </c>
      <c r="G126" s="4">
        <f>B125</f>
        <v>-2.6881430225886023</v>
      </c>
    </row>
    <row r="127" spans="1:16" x14ac:dyDescent="0.25">
      <c r="F127" s="4">
        <f>MAX(B84:B90)+1</f>
        <v>9.4852810282708724</v>
      </c>
      <c r="G127" s="4">
        <f>G126</f>
        <v>-2.6881430225886023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-8.4852817202062116</v>
      </c>
      <c r="C132" s="4">
        <f>C84</f>
        <v>-4.2426399951839322</v>
      </c>
      <c r="D132" s="4">
        <f t="shared" ref="D132:E139" si="47">B85</f>
        <v>-4.2426413790546107</v>
      </c>
      <c r="E132" s="4">
        <f t="shared" si="47"/>
        <v>-8.4852810282708724</v>
      </c>
      <c r="F132" s="4">
        <f t="shared" ref="F132:F139" si="48">($B$66/$B$65)*(C132-$B$125)</f>
        <v>-0.73517725791919031</v>
      </c>
      <c r="G132" s="4">
        <f t="shared" ref="G132:G139" si="49">($B$66/$B$65)*(E132-$B$125)</f>
        <v>-2.7416740578664918</v>
      </c>
      <c r="H132" s="4">
        <f>IF(B132=D132,"V",(C132-E132)/(B132-D132))</f>
        <v>-1.0000001630907369</v>
      </c>
      <c r="I132" s="4">
        <f>IF(H132="V",0,(-1*B132*H132)+C132)</f>
        <v>-12.727923099260993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-4.2426413790546107</v>
      </c>
      <c r="C133" s="4">
        <f t="shared" si="50"/>
        <v>-8.4852810282708724</v>
      </c>
      <c r="D133" s="4">
        <f t="shared" si="47"/>
        <v>-3.4596766917971422E-7</v>
      </c>
      <c r="E133" s="4">
        <f t="shared" si="47"/>
        <v>-4.2426406871192714</v>
      </c>
      <c r="F133" s="4">
        <f t="shared" si="48"/>
        <v>-2.7416740578664918</v>
      </c>
      <c r="G133" s="4">
        <f t="shared" si="49"/>
        <v>-0.7351775851601785</v>
      </c>
      <c r="H133" s="4">
        <f t="shared" ref="H133:H139" si="51">IF(B133=D133,"V",(C133-E133)/(B133-D133))</f>
        <v>0.9999998369092894</v>
      </c>
      <c r="I133" s="4">
        <f t="shared" ref="I133:I139" si="52">IF(H133="V",0,(-1*B133*H133)+C133)</f>
        <v>-4.2426403411516587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-3.4596766917971422E-7</v>
      </c>
      <c r="C134" s="4">
        <f t="shared" si="50"/>
        <v>-4.2426406871192714</v>
      </c>
      <c r="D134" s="4">
        <f t="shared" si="47"/>
        <v>4.2426399951839322</v>
      </c>
      <c r="E134" s="4">
        <f t="shared" si="47"/>
        <v>-8.4852817202062116</v>
      </c>
      <c r="F134" s="4">
        <f t="shared" si="48"/>
        <v>-0.7351775851601785</v>
      </c>
      <c r="G134" s="4">
        <f t="shared" si="49"/>
        <v>-2.7416743851074798</v>
      </c>
      <c r="H134" s="4">
        <f t="shared" si="51"/>
        <v>-1.0000001630907369</v>
      </c>
      <c r="I134" s="4">
        <f t="shared" si="52"/>
        <v>-4.242641033086997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4.2426399951839322</v>
      </c>
      <c r="C135" s="4">
        <f t="shared" si="50"/>
        <v>-8.4852817202062116</v>
      </c>
      <c r="D135" s="4">
        <f t="shared" si="47"/>
        <v>8.4852810282708724</v>
      </c>
      <c r="E135" s="4">
        <f t="shared" si="47"/>
        <v>-4.2426413790546107</v>
      </c>
      <c r="F135" s="4">
        <f t="shared" si="48"/>
        <v>-2.7416743851074798</v>
      </c>
      <c r="G135" s="4">
        <f t="shared" si="49"/>
        <v>-0.73517791240116659</v>
      </c>
      <c r="H135" s="4">
        <f t="shared" si="51"/>
        <v>0.99999983690928984</v>
      </c>
      <c r="I135" s="4">
        <f t="shared" si="52"/>
        <v>-12.727921023454975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8.4852810282708724</v>
      </c>
      <c r="C136" s="4">
        <f t="shared" si="50"/>
        <v>-4.2426413790546107</v>
      </c>
      <c r="D136" s="4">
        <f t="shared" si="47"/>
        <v>3.4596766917971422E-7</v>
      </c>
      <c r="E136" s="4">
        <f t="shared" si="47"/>
        <v>4.2426406871192714</v>
      </c>
      <c r="F136" s="4">
        <f t="shared" si="48"/>
        <v>-0.73517791240116659</v>
      </c>
      <c r="G136" s="4">
        <f t="shared" si="49"/>
        <v>3.2778156874934372</v>
      </c>
      <c r="H136" s="4">
        <f t="shared" si="51"/>
        <v>-1.0000001630907369</v>
      </c>
      <c r="I136" s="4">
        <f t="shared" si="52"/>
        <v>4.242641033086997</v>
      </c>
      <c r="J136" s="4">
        <f t="shared" si="53"/>
        <v>6.9307829253291047</v>
      </c>
      <c r="K136" s="4">
        <f t="shared" si="54"/>
        <v>-2.6881430225886023</v>
      </c>
      <c r="L136" s="4">
        <f t="shared" si="55"/>
        <v>3.4596766917971422E-7</v>
      </c>
      <c r="M136" s="4">
        <f t="shared" si="56"/>
        <v>4.2426406871192714</v>
      </c>
      <c r="N136" s="4">
        <f t="shared" si="57"/>
        <v>0</v>
      </c>
      <c r="O136" s="4">
        <f t="shared" si="57"/>
        <v>3.2778156874934372</v>
      </c>
      <c r="P136" s="4">
        <f t="shared" si="58"/>
        <v>26.242062477873148</v>
      </c>
      <c r="Q136" s="4">
        <f t="shared" si="59"/>
        <v>20.39661695661351</v>
      </c>
      <c r="R136" s="4">
        <f t="shared" si="60"/>
        <v>-45.469509636766034</v>
      </c>
    </row>
    <row r="137" spans="1:18" x14ac:dyDescent="0.25">
      <c r="A137" t="s">
        <v>74</v>
      </c>
      <c r="B137" s="4">
        <f t="shared" si="50"/>
        <v>3.4596766917971422E-7</v>
      </c>
      <c r="C137" s="4">
        <f t="shared" si="50"/>
        <v>4.2426406871192714</v>
      </c>
      <c r="D137" s="4">
        <f t="shared" si="47"/>
        <v>-8.4852817202062116</v>
      </c>
      <c r="E137" s="4">
        <f t="shared" si="47"/>
        <v>-4.2426399951839322</v>
      </c>
      <c r="F137" s="4">
        <f t="shared" si="48"/>
        <v>3.2778156874934372</v>
      </c>
      <c r="G137" s="4">
        <f t="shared" si="49"/>
        <v>-0.73517725791919031</v>
      </c>
      <c r="H137" s="4">
        <f t="shared" si="51"/>
        <v>0.99999983690928995</v>
      </c>
      <c r="I137" s="4">
        <f t="shared" si="52"/>
        <v>4.2426403411516587</v>
      </c>
      <c r="J137" s="4">
        <f t="shared" si="53"/>
        <v>3.4596766917971422E-7</v>
      </c>
      <c r="K137" s="4">
        <f t="shared" si="54"/>
        <v>4.2426406871192714</v>
      </c>
      <c r="L137" s="4">
        <f t="shared" si="55"/>
        <v>-6.9307844940868248</v>
      </c>
      <c r="M137" s="4">
        <f t="shared" si="56"/>
        <v>-2.6881430225886023</v>
      </c>
      <c r="N137" s="4">
        <f t="shared" si="57"/>
        <v>3.2778156874934372</v>
      </c>
      <c r="O137" s="4">
        <f t="shared" si="57"/>
        <v>0</v>
      </c>
      <c r="P137" s="4">
        <f t="shared" si="58"/>
        <v>26.24206317791193</v>
      </c>
      <c r="Q137" s="4">
        <f t="shared" si="59"/>
        <v>20.39660842181253</v>
      </c>
      <c r="R137" s="4">
        <f t="shared" si="60"/>
        <v>45.469521141580039</v>
      </c>
    </row>
    <row r="138" spans="1:18" x14ac:dyDescent="0.25">
      <c r="A138" t="s">
        <v>75</v>
      </c>
      <c r="B138" s="4">
        <f t="shared" si="50"/>
        <v>-8.4852817202062116</v>
      </c>
      <c r="C138" s="4">
        <f t="shared" si="50"/>
        <v>-4.2426399951839322</v>
      </c>
      <c r="D138" s="4">
        <f t="shared" si="47"/>
        <v>-8.4852817202062116</v>
      </c>
      <c r="E138" s="4">
        <f t="shared" si="47"/>
        <v>-4.2426399951839322</v>
      </c>
      <c r="F138" s="4">
        <f t="shared" si="48"/>
        <v>-0.73517725791919031</v>
      </c>
      <c r="G138" s="4">
        <f t="shared" si="49"/>
        <v>-0.73517725791919031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-8.4852817202062116</v>
      </c>
      <c r="C139" s="4">
        <f>E138</f>
        <v>-4.2426399951839322</v>
      </c>
      <c r="D139" s="4">
        <f t="shared" si="47"/>
        <v>-8.4852817202062116</v>
      </c>
      <c r="E139" s="4">
        <f t="shared" si="47"/>
        <v>-4.2426399951839322</v>
      </c>
      <c r="F139" s="4">
        <f t="shared" si="48"/>
        <v>-0.73517725791919031</v>
      </c>
      <c r="G139" s="4">
        <f t="shared" si="49"/>
        <v>-0.73517725791919031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52.484125655785078</v>
      </c>
      <c r="Q140" s="4">
        <f>SUM(Q132:Q139)</f>
        <v>40.793225378426044</v>
      </c>
      <c r="R140" s="4">
        <f>SUM(R132:R139)</f>
        <v>1.1504814004581476E-5</v>
      </c>
    </row>
    <row r="142" spans="1:18" x14ac:dyDescent="0.25">
      <c r="O142" t="s">
        <v>96</v>
      </c>
      <c r="P142" s="1">
        <f>-1*R140/P140</f>
        <v>-2.1920559523150511E-7</v>
      </c>
    </row>
    <row r="143" spans="1:18" x14ac:dyDescent="0.25">
      <c r="O143" t="s">
        <v>97</v>
      </c>
      <c r="P143" s="1">
        <f>Q140/P140</f>
        <v>0.7772488322653347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-8.4852817202062116</v>
      </c>
      <c r="C146" s="9">
        <f>J84</f>
        <v>-4.2426399951839322</v>
      </c>
      <c r="D146" s="9">
        <f t="shared" ref="D146:E153" si="61">I85</f>
        <v>-8.4852817202062116</v>
      </c>
      <c r="E146">
        <f t="shared" si="61"/>
        <v>-4.2426399951839322</v>
      </c>
      <c r="F146" s="4">
        <f>($B$66/$B$65)*(C146-$B$125)</f>
        <v>-0.73517725791919031</v>
      </c>
      <c r="G146" s="4">
        <f>($B$66/$B$65)*(E146-$B$125)</f>
        <v>-0.73517725791919031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-8.4852817202062116</v>
      </c>
      <c r="C147">
        <f t="shared" si="62"/>
        <v>-4.2426399951839322</v>
      </c>
      <c r="D147" s="9">
        <f t="shared" si="61"/>
        <v>-8.4852817202062116</v>
      </c>
      <c r="E147">
        <f t="shared" si="61"/>
        <v>-4.2426399951839322</v>
      </c>
      <c r="F147" s="4">
        <f t="shared" ref="F147:F153" si="63">($B$66/$B$65)*(C147-$B$125)</f>
        <v>-0.73517725791919031</v>
      </c>
      <c r="G147" s="4">
        <f t="shared" ref="G147:G153" si="64">($B$66/$B$65)*(E147-$B$125)</f>
        <v>-0.73517725791919031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-8.4852817202062116</v>
      </c>
      <c r="C148">
        <f t="shared" si="62"/>
        <v>-4.2426399951839322</v>
      </c>
      <c r="D148" s="9">
        <f t="shared" si="61"/>
        <v>-8.4852817202062116</v>
      </c>
      <c r="E148">
        <f t="shared" si="61"/>
        <v>-4.2426399951839322</v>
      </c>
      <c r="F148" s="4">
        <f t="shared" si="63"/>
        <v>-0.73517725791919031</v>
      </c>
      <c r="G148" s="4">
        <f t="shared" si="64"/>
        <v>-0.73517725791919031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-8.4852817202062116</v>
      </c>
      <c r="C149">
        <f t="shared" si="62"/>
        <v>-4.2426399951839322</v>
      </c>
      <c r="D149" s="9">
        <f t="shared" si="61"/>
        <v>-8.4852817202062116</v>
      </c>
      <c r="E149">
        <f t="shared" si="61"/>
        <v>-4.2426399951839322</v>
      </c>
      <c r="F149" s="4">
        <f t="shared" si="63"/>
        <v>-0.73517725791919031</v>
      </c>
      <c r="G149" s="4">
        <f t="shared" si="64"/>
        <v>-0.73517725791919031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-8.4852817202062116</v>
      </c>
      <c r="C150">
        <f t="shared" si="62"/>
        <v>-4.2426399951839322</v>
      </c>
      <c r="D150" s="9">
        <f t="shared" si="61"/>
        <v>-8.4852817202062116</v>
      </c>
      <c r="E150">
        <f t="shared" si="61"/>
        <v>-4.2426399951839322</v>
      </c>
      <c r="F150" s="4">
        <f t="shared" si="63"/>
        <v>-0.73517725791919031</v>
      </c>
      <c r="G150" s="4">
        <f t="shared" si="64"/>
        <v>-0.73517725791919031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-8.4852817202062116</v>
      </c>
      <c r="C151">
        <f t="shared" si="62"/>
        <v>-4.2426399951839322</v>
      </c>
      <c r="D151" s="9">
        <f t="shared" si="61"/>
        <v>-8.4852817202062116</v>
      </c>
      <c r="E151">
        <f t="shared" si="61"/>
        <v>-4.2426399951839322</v>
      </c>
      <c r="F151" s="4">
        <f t="shared" si="63"/>
        <v>-0.73517725791919031</v>
      </c>
      <c r="G151" s="4">
        <f t="shared" si="64"/>
        <v>-0.73517725791919031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-8.4852817202062116</v>
      </c>
      <c r="C152">
        <f t="shared" si="62"/>
        <v>-4.2426399951839322</v>
      </c>
      <c r="D152" s="9">
        <f t="shared" si="61"/>
        <v>-8.4852817202062116</v>
      </c>
      <c r="E152">
        <f t="shared" si="61"/>
        <v>-4.2426399951839322</v>
      </c>
      <c r="F152" s="4">
        <f t="shared" si="63"/>
        <v>-0.73517725791919031</v>
      </c>
      <c r="G152" s="4">
        <f t="shared" si="64"/>
        <v>-0.73517725791919031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-8.4852817202062116</v>
      </c>
      <c r="C153">
        <f t="shared" si="62"/>
        <v>-4.2426399951839322</v>
      </c>
      <c r="D153" s="9">
        <f t="shared" si="61"/>
        <v>-8.4852817202062116</v>
      </c>
      <c r="E153">
        <f t="shared" si="61"/>
        <v>-4.2426399951839322</v>
      </c>
      <c r="F153" s="4">
        <f t="shared" si="63"/>
        <v>-0.73517725791919031</v>
      </c>
      <c r="G153" s="4">
        <f t="shared" si="64"/>
        <v>-0.73517725791919031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30.000002116204318</v>
      </c>
      <c r="C159" t="s">
        <v>36</v>
      </c>
    </row>
    <row r="160" spans="1:18" x14ac:dyDescent="0.25">
      <c r="A160" s="1" t="s">
        <v>106</v>
      </c>
      <c r="B160" s="4">
        <f>Q140+I122+Q154-O122</f>
        <v>169.70561535155025</v>
      </c>
      <c r="C160" t="s">
        <v>102</v>
      </c>
    </row>
    <row r="161" spans="1:9" x14ac:dyDescent="0.25">
      <c r="A161" s="1" t="s">
        <v>107</v>
      </c>
      <c r="B161" s="4">
        <f>R140+J122+R154-P122</f>
        <v>2.1499656593704231E-5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30.000002116204318</v>
      </c>
      <c r="C164" t="s">
        <v>36</v>
      </c>
      <c r="E164" s="8">
        <f>B2-B164</f>
        <v>-2.1162043175593226E-6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119.99996643251973</v>
      </c>
      <c r="C165" t="s">
        <v>102</v>
      </c>
      <c r="E165" s="8">
        <f>B3+B165</f>
        <v>-3.3567480272722605E-5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120.00001640851109</v>
      </c>
      <c r="C166" t="s">
        <v>102</v>
      </c>
      <c r="E166" s="8">
        <f>B4+B166</f>
        <v>1.6408511086751787E-5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-3.2778153789857978</v>
      </c>
      <c r="C169" s="3">
        <f ca="1">A169+B169</f>
        <v>3.0850763943490733E-7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-8.1545360186668978E-8</v>
      </c>
      <c r="C175" s="27">
        <f>B65*SQRT(I175)</f>
        <v>1.0280013532464559E-7</v>
      </c>
      <c r="D175" s="27">
        <f>B66*SQRT(I175)</f>
        <v>4.8617863485134519E-8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-5.4977871437821362</v>
      </c>
      <c r="C176" s="3">
        <f>B65+C175</f>
        <v>6.9307838125080092</v>
      </c>
      <c r="D176" s="3">
        <f>D175+B66</f>
        <v>3.2778157361113007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-8.1545359797985384E-8</v>
      </c>
      <c r="C177" s="27">
        <f>C176-B65</f>
        <v>1.0280013551522416E-7</v>
      </c>
      <c r="D177" s="27">
        <f>D176-B66</f>
        <v>4.8617863512845361E-8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-8.4852815668920876</v>
      </c>
      <c r="B181" s="25">
        <f>(d_alpha_p!E136-d_alpha_m!E136)/(2*B177)</f>
        <v>0</v>
      </c>
      <c r="C181" s="25">
        <f>(d_alpha_p!E137-d_alpha_m!E137)/(2*B177)</f>
        <v>8.4852815560002544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2.1162043175593226E-6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3.3567480272722605E-5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-1.6408511086751787E-5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-3.0850763943490733E-7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-8.4852815668920876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8.4852815560002544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-8.4852815668920876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8.4852815560002544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6.9307838125080092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7.9008185755496791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1.5544975617305594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-3.3412437866795877</v>
      </c>
      <c r="I110">
        <f>H110*C110</f>
        <v>14.175696834951324</v>
      </c>
      <c r="J110">
        <f>H110*B110*-1</f>
        <v>-21.263545252426994</v>
      </c>
      <c r="K110">
        <f ca="1">H110/$B$55</f>
        <v>-5.5159210135908729</v>
      </c>
      <c r="L110">
        <f ca="1">K110/$B$54</f>
        <v>-1.902041728824439E-4</v>
      </c>
      <c r="M110">
        <f t="shared" ref="M110:M121" si="34">IFERROR(($D$66/$B$65)*(G110-$B$125),0)</f>
        <v>-1.9020416474189447E-4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3.6758179052902014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-7.9008189136968641</v>
      </c>
      <c r="I111">
        <f t="shared" ref="I111:I121" si="39">H111*C111</f>
        <v>50.280503677217844</v>
      </c>
      <c r="J111">
        <f t="shared" ref="J111:J121" si="40">H111*B111*-1</f>
        <v>-33.52033578481192</v>
      </c>
      <c r="K111">
        <f ca="1">H111/$B$55</f>
        <v>-13.043134788421209</v>
      </c>
      <c r="L111">
        <f t="shared" ref="L111:L121" ca="1" si="41">K111/$B$54</f>
        <v>-4.4976326856624861E-4</v>
      </c>
      <c r="M111">
        <f t="shared" si="34"/>
        <v>-4.4976324931682808E-4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3.675817905290204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-7.9008189136968694</v>
      </c>
      <c r="I112">
        <f t="shared" si="39"/>
        <v>50.280503677217901</v>
      </c>
      <c r="J112">
        <f t="shared" si="40"/>
        <v>33.52033578481192</v>
      </c>
      <c r="K112">
        <f t="shared" ref="K112:K121" ca="1" si="45">H112/$B$55</f>
        <v>-13.043134788421218</v>
      </c>
      <c r="L112">
        <f t="shared" ca="1" si="41"/>
        <v>-4.4976326856624888E-4</v>
      </c>
      <c r="M112">
        <f t="shared" si="34"/>
        <v>-4.4976324931682841E-4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1.5544975617305621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-3.3412437866795934</v>
      </c>
      <c r="I113">
        <f t="shared" si="39"/>
        <v>14.175696834951356</v>
      </c>
      <c r="J113">
        <f t="shared" si="40"/>
        <v>21.263545252427022</v>
      </c>
      <c r="K113">
        <f t="shared" ca="1" si="45"/>
        <v>-5.5159210135908827</v>
      </c>
      <c r="L113">
        <f t="shared" ca="1" si="41"/>
        <v>-1.9020417288244422E-4</v>
      </c>
      <c r="M113">
        <f t="shared" si="34"/>
        <v>-1.9020416474189479E-4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3.675817905290204</v>
      </c>
      <c r="H122">
        <f>SUM(H110:H121)</f>
        <v>-22.484125400752916</v>
      </c>
      <c r="I122">
        <f t="shared" ref="I122:J122" si="46">SUM(I110:I121)</f>
        <v>128.91240102433844</v>
      </c>
      <c r="J122">
        <f t="shared" si="46"/>
        <v>2.8421709430404007E-14</v>
      </c>
      <c r="L122">
        <f ca="1">MIN(L110:L121)</f>
        <v>-4.4976326856624888E-4</v>
      </c>
      <c r="M122">
        <f>MIN(M110:M121)</f>
        <v>-4.4976324931682841E-4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-2.6881431253887245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-2.6881431253887245</v>
      </c>
    </row>
    <row r="127" spans="1:16" x14ac:dyDescent="0.25">
      <c r="F127" s="4">
        <f>MAX(B84:B90)+1</f>
        <v>9.4852813742385678</v>
      </c>
      <c r="G127" s="4">
        <f>G126</f>
        <v>-2.6881431253887245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-0.73517752563788175</v>
      </c>
      <c r="G132" s="4">
        <f t="shared" ref="G132:G139" si="49">($B$66/$B$65)*(E132-$B$125)</f>
        <v>-2.7416741322035416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-2.7416741322035416</v>
      </c>
      <c r="G133" s="4">
        <f t="shared" si="49"/>
        <v>-0.73517752563788252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-0.73517752563788252</v>
      </c>
      <c r="G134" s="4">
        <f t="shared" si="49"/>
        <v>-2.7416741322035434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-2.7416741322035434</v>
      </c>
      <c r="G135" s="4">
        <f t="shared" si="49"/>
        <v>-0.73517752563788386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-0.73517752563788386</v>
      </c>
      <c r="G136" s="4">
        <f t="shared" si="49"/>
        <v>3.2778156874934372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6.9307838125080057</v>
      </c>
      <c r="K136" s="4">
        <f t="shared" si="54"/>
        <v>-2.6881431253887245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3.2778156874934372</v>
      </c>
      <c r="P136" s="4">
        <f t="shared" si="58"/>
        <v>26.242063606357579</v>
      </c>
      <c r="Q136" s="4">
        <f t="shared" si="59"/>
        <v>20.396611945430568</v>
      </c>
      <c r="R136" s="4">
        <f t="shared" si="60"/>
        <v>-45.469517412437142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3.2778156874934372</v>
      </c>
      <c r="G137" s="4">
        <f t="shared" si="49"/>
        <v>-0.73517752563788175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-6.9307838125080119</v>
      </c>
      <c r="M137" s="4">
        <f t="shared" si="56"/>
        <v>-2.6881431253887245</v>
      </c>
      <c r="N137" s="4">
        <f t="shared" si="57"/>
        <v>3.2778156874934372</v>
      </c>
      <c r="O137" s="4">
        <f t="shared" si="57"/>
        <v>0</v>
      </c>
      <c r="P137" s="4">
        <f t="shared" si="58"/>
        <v>26.2420636063576</v>
      </c>
      <c r="Q137" s="4">
        <f t="shared" si="59"/>
        <v>20.396611945430582</v>
      </c>
      <c r="R137" s="4">
        <f t="shared" si="60"/>
        <v>45.469517412437227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-0.73517752563788175</v>
      </c>
      <c r="G138" s="4">
        <f t="shared" si="49"/>
        <v>-0.73517752563788175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-0.73517752563788175</v>
      </c>
      <c r="G139" s="4">
        <f t="shared" si="49"/>
        <v>-0.73517752563788175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52.48412721271518</v>
      </c>
      <c r="Q140" s="4">
        <f>SUM(Q132:Q139)</f>
        <v>40.79322389086115</v>
      </c>
      <c r="R140" s="4">
        <f>SUM(R132:R139)</f>
        <v>8.5265128291212022E-14</v>
      </c>
    </row>
    <row r="142" spans="1:18" x14ac:dyDescent="0.25">
      <c r="O142" t="s">
        <v>96</v>
      </c>
      <c r="P142" s="1">
        <f>-1*R140/P140</f>
        <v>-1.6245888579920041E-15</v>
      </c>
    </row>
    <row r="143" spans="1:18" x14ac:dyDescent="0.25">
      <c r="O143" t="s">
        <v>97</v>
      </c>
      <c r="P143" s="1">
        <f>Q140/P140</f>
        <v>0.77724878086528015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-0.73517752563788175</v>
      </c>
      <c r="G146" s="4">
        <f>($B$66/$B$65)*(E146-$B$125)</f>
        <v>-0.73517752563788175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-0.73517752563788175</v>
      </c>
      <c r="G147" s="4">
        <f t="shared" ref="G147:G153" si="64">($B$66/$B$65)*(E147-$B$125)</f>
        <v>-0.73517752563788175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-0.73517752563788175</v>
      </c>
      <c r="G148" s="4">
        <f t="shared" si="64"/>
        <v>-0.73517752563788175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-0.73517752563788175</v>
      </c>
      <c r="G149" s="4">
        <f t="shared" si="64"/>
        <v>-0.73517752563788175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-0.73517752563788175</v>
      </c>
      <c r="G150" s="4">
        <f t="shared" si="64"/>
        <v>-0.73517752563788175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-0.73517752563788175</v>
      </c>
      <c r="G151" s="4">
        <f t="shared" si="64"/>
        <v>-0.73517752563788175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-0.73517752563788175</v>
      </c>
      <c r="G152" s="4">
        <f t="shared" si="64"/>
        <v>-0.73517752563788175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-0.73517752563788175</v>
      </c>
      <c r="G153" s="4">
        <f t="shared" si="64"/>
        <v>-0.73517752563788175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30.000001811962264</v>
      </c>
      <c r="C159" t="s">
        <v>36</v>
      </c>
    </row>
    <row r="160" spans="1:18" x14ac:dyDescent="0.25">
      <c r="A160" s="1" t="s">
        <v>106</v>
      </c>
      <c r="B160" s="4">
        <f>Q140+I122+Q154-O122</f>
        <v>169.70562491519959</v>
      </c>
      <c r="C160" t="s">
        <v>102</v>
      </c>
    </row>
    <row r="161" spans="1:9" x14ac:dyDescent="0.25">
      <c r="A161" s="1" t="s">
        <v>107</v>
      </c>
      <c r="B161" s="4">
        <f>R140+J122+R154-P122</f>
        <v>1.1368683772161603E-13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30.000001811962264</v>
      </c>
      <c r="C164" t="s">
        <v>36</v>
      </c>
      <c r="E164" s="8">
        <f>B2-B164</f>
        <v>-1.8119622637868815E-6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119.99999818303823</v>
      </c>
      <c r="C165" t="s">
        <v>102</v>
      </c>
      <c r="E165" s="8">
        <f>B3+B165</f>
        <v>-1.816961770373382E-6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119.99999818303846</v>
      </c>
      <c r="C166" t="s">
        <v>102</v>
      </c>
      <c r="E166" s="8">
        <f>B4+B166</f>
        <v>-1.8169615429997066E-6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-3.2778158277806941</v>
      </c>
      <c r="C169" s="3">
        <f ca="1">A169+B169</f>
        <v>-1.4028725692227795E-7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1.0280013684941802E-7</v>
      </c>
      <c r="D175" s="27">
        <f>B66*SQRT(I175)</f>
        <v>4.8617863485134519E-8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6.9307839153081465</v>
      </c>
      <c r="D176" s="3">
        <f>D175+B66</f>
        <v>3.2778157361113007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1.02800137291581E-7</v>
      </c>
      <c r="D177" s="27">
        <f>D176-B66</f>
        <v>4.8617863512845361E-8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1.8119622637868815E-6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1.816961770373382E-6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1.8169615429997066E-6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1.4028725692227795E-7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6.9307836069077382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x14ac:dyDescent="0.25">
      <c r="A67" s="1" t="s">
        <v>37</v>
      </c>
      <c r="B67" s="17">
        <f>'Rigid Bearing Plate Analysis'!B67</f>
        <v>7.9008189136968694</v>
      </c>
      <c r="C67" t="s">
        <v>36</v>
      </c>
      <c r="D67" t="s">
        <v>122</v>
      </c>
      <c r="G67" s="20">
        <f ca="1">($B$56*$B$66*$B$55*$E$122)/$B$65</f>
        <v>7.9008192518439442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1.5544977673308304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-3.3412440417112168</v>
      </c>
      <c r="I110">
        <f>H110*C110</f>
        <v>14.175697916958891</v>
      </c>
      <c r="J110">
        <f>H110*B110*-1</f>
        <v>-21.263546875438344</v>
      </c>
      <c r="K110">
        <f ca="1">H110/$B$55</f>
        <v>-5.5159214346120296</v>
      </c>
      <c r="L110">
        <f ca="1">K110/$B$54</f>
        <v>-1.9020418740041482E-4</v>
      </c>
      <c r="M110">
        <f t="shared" ref="M110:M121" si="34">IFERROR(($D$66/$B$65)*(G110-$B$125),0)</f>
        <v>-1.9020419554096205E-4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3.6758181108904724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-7.9008189136968641</v>
      </c>
      <c r="I111">
        <f t="shared" ref="I111:I121" si="39">H111*C111</f>
        <v>50.280503677217844</v>
      </c>
      <c r="J111">
        <f t="shared" ref="J111:J121" si="40">H111*B111*-1</f>
        <v>-33.52033578481192</v>
      </c>
      <c r="K111">
        <f ca="1">H111/$B$55</f>
        <v>-13.043134788421209</v>
      </c>
      <c r="L111">
        <f t="shared" ref="L111:L121" ca="1" si="41">K111/$B$54</f>
        <v>-4.4976326856624861E-4</v>
      </c>
      <c r="M111">
        <f t="shared" si="34"/>
        <v>-4.4976328781566258E-4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3.6758181108904751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-7.9008189136968694</v>
      </c>
      <c r="I112">
        <f t="shared" si="39"/>
        <v>50.280503677217901</v>
      </c>
      <c r="J112">
        <f t="shared" si="40"/>
        <v>33.52033578481192</v>
      </c>
      <c r="K112">
        <f t="shared" ref="K112:K121" ca="1" si="45">H112/$B$55</f>
        <v>-13.043134788421218</v>
      </c>
      <c r="L112">
        <f t="shared" ca="1" si="41"/>
        <v>-4.4976326856624888E-4</v>
      </c>
      <c r="M112">
        <f t="shared" si="34"/>
        <v>-4.497632878156629E-4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1.5544977673308331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-3.3412440417112226</v>
      </c>
      <c r="I113">
        <f t="shared" si="39"/>
        <v>14.175697916958924</v>
      </c>
      <c r="J113">
        <f t="shared" si="40"/>
        <v>21.263546875438372</v>
      </c>
      <c r="K113">
        <f t="shared" ca="1" si="45"/>
        <v>-5.5159214346120384</v>
      </c>
      <c r="L113">
        <f t="shared" ca="1" si="41"/>
        <v>-1.9020418740041512E-4</v>
      </c>
      <c r="M113">
        <f t="shared" si="34"/>
        <v>-1.9020419554096238E-4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3.6758181108904751</v>
      </c>
      <c r="H122">
        <f>SUM(H110:H121)</f>
        <v>-22.484125910816175</v>
      </c>
      <c r="I122">
        <f t="shared" ref="I122:J122" si="46">SUM(I110:I121)</f>
        <v>128.91240318835355</v>
      </c>
      <c r="J122">
        <f t="shared" si="46"/>
        <v>2.8421709430404007E-14</v>
      </c>
      <c r="L122">
        <f ca="1">MIN(L110:L121)</f>
        <v>-4.4976326856624888E-4</v>
      </c>
      <c r="M122">
        <f>MIN(M110:M121)</f>
        <v>-4.497632878156629E-4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-2.6881429197884534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-2.6881429197884534</v>
      </c>
    </row>
    <row r="127" spans="1:16" x14ac:dyDescent="0.25">
      <c r="F127" s="4">
        <f>MAX(B84:B90)+1</f>
        <v>9.4852813742385678</v>
      </c>
      <c r="G127" s="4">
        <f>G126</f>
        <v>-2.6881429197884534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-0.73517764468250046</v>
      </c>
      <c r="G132" s="4">
        <f t="shared" ref="G132:G139" si="49">($B$66/$B$65)*(E132-$B$125)</f>
        <v>-2.74167431077047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-2.74167431077047</v>
      </c>
      <c r="G133" s="4">
        <f t="shared" si="49"/>
        <v>-0.73517764468250135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-0.73517764468250135</v>
      </c>
      <c r="G134" s="4">
        <f t="shared" si="49"/>
        <v>-2.7416743107704713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-2.7416743107704713</v>
      </c>
      <c r="G135" s="4">
        <f t="shared" si="49"/>
        <v>-0.73517764468250257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-0.73517764468250257</v>
      </c>
      <c r="G136" s="4">
        <f t="shared" si="49"/>
        <v>3.2778156874934372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6.9307836069077347</v>
      </c>
      <c r="K136" s="4">
        <f t="shared" si="54"/>
        <v>-2.6881429197884534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3.2778156874934372</v>
      </c>
      <c r="P136" s="4">
        <f t="shared" si="58"/>
        <v>26.242062049426799</v>
      </c>
      <c r="Q136" s="4">
        <f t="shared" si="59"/>
        <v>20.396613432995547</v>
      </c>
      <c r="R136" s="4">
        <f t="shared" si="60"/>
        <v>-45.469513365905712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3.2778156874934372</v>
      </c>
      <c r="G137" s="4">
        <f t="shared" si="49"/>
        <v>-0.73517764468250046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-6.9307836069077409</v>
      </c>
      <c r="M137" s="4">
        <f t="shared" si="56"/>
        <v>-2.6881429197884534</v>
      </c>
      <c r="N137" s="4">
        <f t="shared" si="57"/>
        <v>3.2778156874934372</v>
      </c>
      <c r="O137" s="4">
        <f t="shared" si="57"/>
        <v>0</v>
      </c>
      <c r="P137" s="4">
        <f t="shared" si="58"/>
        <v>26.242062049426824</v>
      </c>
      <c r="Q137" s="4">
        <f t="shared" si="59"/>
        <v>20.396613432995569</v>
      </c>
      <c r="R137" s="4">
        <f t="shared" si="60"/>
        <v>45.469513365905797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-0.73517764468250046</v>
      </c>
      <c r="G138" s="4">
        <f t="shared" si="49"/>
        <v>-0.73517764468250046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-0.73517764468250046</v>
      </c>
      <c r="G139" s="4">
        <f t="shared" si="49"/>
        <v>-0.73517764468250046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52.484124098853627</v>
      </c>
      <c r="Q140" s="4">
        <f>SUM(Q132:Q139)</f>
        <v>40.793226865991116</v>
      </c>
      <c r="R140" s="4">
        <f>SUM(R132:R139)</f>
        <v>8.5265128291212022E-14</v>
      </c>
    </row>
    <row r="142" spans="1:18" x14ac:dyDescent="0.25">
      <c r="O142" t="s">
        <v>96</v>
      </c>
      <c r="P142" s="1">
        <f>-1*R140/P140</f>
        <v>-1.6245889543781946E-15</v>
      </c>
    </row>
    <row r="143" spans="1:18" x14ac:dyDescent="0.25">
      <c r="O143" t="s">
        <v>97</v>
      </c>
      <c r="P143" s="1">
        <f>Q140/P140</f>
        <v>0.77724888366541556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-0.73517764468250046</v>
      </c>
      <c r="G146" s="4">
        <f>($B$66/$B$65)*(E146-$B$125)</f>
        <v>-0.73517764468250046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-0.73517764468250046</v>
      </c>
      <c r="G147" s="4">
        <f t="shared" ref="G147:G153" si="64">($B$66/$B$65)*(E147-$B$125)</f>
        <v>-0.73517764468250046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-0.73517764468250046</v>
      </c>
      <c r="G148" s="4">
        <f t="shared" si="64"/>
        <v>-0.73517764468250046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-0.73517764468250046</v>
      </c>
      <c r="G149" s="4">
        <f t="shared" si="64"/>
        <v>-0.73517764468250046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-0.73517764468250046</v>
      </c>
      <c r="G150" s="4">
        <f t="shared" si="64"/>
        <v>-0.73517764468250046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-0.73517764468250046</v>
      </c>
      <c r="G151" s="4">
        <f t="shared" si="64"/>
        <v>-0.73517764468250046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-0.73517764468250046</v>
      </c>
      <c r="G152" s="4">
        <f t="shared" si="64"/>
        <v>-0.73517764468250046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-0.73517764468250046</v>
      </c>
      <c r="G153" s="4">
        <f t="shared" si="64"/>
        <v>-0.73517764468250046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29.999998188037452</v>
      </c>
      <c r="C159" t="s">
        <v>36</v>
      </c>
    </row>
    <row r="160" spans="1:18" x14ac:dyDescent="0.25">
      <c r="A160" s="1" t="s">
        <v>106</v>
      </c>
      <c r="B160" s="4">
        <f>Q140+I122+Q154-O122</f>
        <v>169.70563005434468</v>
      </c>
      <c r="C160" t="s">
        <v>102</v>
      </c>
    </row>
    <row r="161" spans="1:9" x14ac:dyDescent="0.25">
      <c r="A161" s="1" t="s">
        <v>107</v>
      </c>
      <c r="B161" s="4">
        <f>R140+J122+R154-P122</f>
        <v>1.1368683772161603E-13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29.999998188037452</v>
      </c>
      <c r="C164" t="s">
        <v>36</v>
      </c>
      <c r="E164" s="8">
        <f>B2-B164</f>
        <v>1.8119625480039758E-6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120.00000181696257</v>
      </c>
      <c r="C165" t="s">
        <v>102</v>
      </c>
      <c r="E165" s="8">
        <f>B3+B165</f>
        <v>1.8169625661812461E-6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120.00000181696279</v>
      </c>
      <c r="C166" t="s">
        <v>102</v>
      </c>
      <c r="E166" s="8">
        <f>B4+B166</f>
        <v>1.8169627935549215E-6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-3.2778155472062398</v>
      </c>
      <c r="C169" s="3">
        <f ca="1">A169+B169</f>
        <v>1.4028719741432383E-7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1.0280013379987318E-7</v>
      </c>
      <c r="D175" s="27">
        <f>B66*SQRT(I175)</f>
        <v>4.8617863485134519E-8</v>
      </c>
      <c r="E175" s="27">
        <f>B67*SQRT(I175)</f>
        <v>1.1718808254915104E-7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6.9307837097078719</v>
      </c>
      <c r="D176" s="3">
        <f>D175+B66</f>
        <v>3.2778157361113007</v>
      </c>
      <c r="E176" s="3">
        <f>B67+E175</f>
        <v>7.9008190308849517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1.0280013373886732E-7</v>
      </c>
      <c r="D177" s="27">
        <f>D176-B66</f>
        <v>4.8617863512845361E-8</v>
      </c>
      <c r="E177" s="27">
        <f>E176-B67</f>
        <v>1.1718808234917333E-7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-1.8119625480039758E-6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-1.8169625661812461E-6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-1.8169627935549215E-6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-1.4028719741432383E-7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7.9008190308849517</v>
      </c>
      <c r="C67" t="s">
        <v>36</v>
      </c>
      <c r="D67" t="s">
        <v>122</v>
      </c>
      <c r="G67" s="20">
        <f ca="1">($B$56*$B$66*$B$55*$E$122)/$B$65</f>
        <v>7.9008189136968054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1.5544976645306949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-3.3412439637540619</v>
      </c>
      <c r="I110">
        <f>H110*C110</f>
        <v>14.175697586214692</v>
      </c>
      <c r="J110">
        <f>H110*B110*-1</f>
        <v>-21.263546379322047</v>
      </c>
      <c r="K110">
        <f ca="1">H110/$B$55</f>
        <v>-5.5159213059157901</v>
      </c>
      <c r="L110">
        <f ca="1">K110/$B$54</f>
        <v>-1.9020418296261345E-4</v>
      </c>
      <c r="M110">
        <f t="shared" ref="M110:M121" si="34">IFERROR(($D$66/$B$65)*(G110-$B$125),0)</f>
        <v>-1.9020418014142803E-4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3.6758180080903369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-7.9008190308849455</v>
      </c>
      <c r="I111">
        <f t="shared" ref="I111:I121" si="39">H111*C111</f>
        <v>50.280504422998227</v>
      </c>
      <c r="J111">
        <f t="shared" ref="J111:J121" si="40">H111*B111*-1</f>
        <v>-33.520336281998844</v>
      </c>
      <c r="K111">
        <f ca="1">H111/$B$55</f>
        <v>-13.043134981882162</v>
      </c>
      <c r="L111">
        <f t="shared" ref="L111:L121" ca="1" si="41">K111/$B$54</f>
        <v>-4.497632752373159E-4</v>
      </c>
      <c r="M111">
        <f t="shared" si="34"/>
        <v>-4.4976326856624503E-4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3.6758180080903395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-7.9008190308849517</v>
      </c>
      <c r="I112">
        <f t="shared" si="39"/>
        <v>50.280504422998291</v>
      </c>
      <c r="J112">
        <f t="shared" si="40"/>
        <v>33.520336281998844</v>
      </c>
      <c r="K112">
        <f t="shared" ref="K112:K121" ca="1" si="45">H112/$B$55</f>
        <v>-13.043134981882172</v>
      </c>
      <c r="L112">
        <f t="shared" ca="1" si="41"/>
        <v>-4.4976327523731628E-4</v>
      </c>
      <c r="M112">
        <f t="shared" si="34"/>
        <v>-4.4976326856624536E-4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1.5544976645306976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-3.3412439637540676</v>
      </c>
      <c r="I113">
        <f t="shared" si="39"/>
        <v>14.175697586214726</v>
      </c>
      <c r="J113">
        <f t="shared" si="40"/>
        <v>21.263546379322076</v>
      </c>
      <c r="K113">
        <f t="shared" ca="1" si="45"/>
        <v>-5.5159213059157999</v>
      </c>
      <c r="L113">
        <f t="shared" ca="1" si="41"/>
        <v>-1.9020418296261378E-4</v>
      </c>
      <c r="M113">
        <f t="shared" si="34"/>
        <v>-1.9020418014142836E-4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3.6758180080903395</v>
      </c>
      <c r="H122">
        <f>SUM(H110:H121)</f>
        <v>-22.484125989278027</v>
      </c>
      <c r="I122">
        <f t="shared" ref="I122:J122" si="46">SUM(I110:I121)</f>
        <v>128.91240401842595</v>
      </c>
      <c r="J122">
        <f t="shared" si="46"/>
        <v>3.1974423109204508E-14</v>
      </c>
      <c r="L122">
        <f ca="1">MIN(L110:L121)</f>
        <v>-4.4976327523731628E-4</v>
      </c>
      <c r="M122">
        <f>MIN(M110:M121)</f>
        <v>-4.4976326856624536E-4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-2.6881430225885889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-2.6881430225885889</v>
      </c>
    </row>
    <row r="127" spans="1:16" x14ac:dyDescent="0.25">
      <c r="F127" s="4">
        <f>MAX(B84:B90)+1</f>
        <v>9.4852813742385678</v>
      </c>
      <c r="G127" s="4">
        <f>G126</f>
        <v>-2.6881430225885889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-0.73517758516019027</v>
      </c>
      <c r="G132" s="4">
        <f t="shared" ref="G132:G139" si="49">($B$66/$B$65)*(E132-$B$125)</f>
        <v>-2.7416742214870045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-2.7416742214870045</v>
      </c>
      <c r="G133" s="4">
        <f t="shared" si="49"/>
        <v>-0.73517758516019105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-0.73517758516019105</v>
      </c>
      <c r="G134" s="4">
        <f t="shared" si="49"/>
        <v>-2.7416742214870062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-2.7416742214870062</v>
      </c>
      <c r="G135" s="4">
        <f t="shared" si="49"/>
        <v>-0.73517758516019227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-0.73517758516019227</v>
      </c>
      <c r="G136" s="4">
        <f t="shared" si="49"/>
        <v>3.2778156874934372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6.9307837097078702</v>
      </c>
      <c r="K136" s="4">
        <f t="shared" si="54"/>
        <v>-2.6881430225885889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3.2778156874934372</v>
      </c>
      <c r="P136" s="4">
        <f t="shared" si="58"/>
        <v>26.24206282789218</v>
      </c>
      <c r="Q136" s="4">
        <f t="shared" si="59"/>
        <v>20.396612689213093</v>
      </c>
      <c r="R136" s="4">
        <f t="shared" si="60"/>
        <v>-45.469515389171391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3.2778156874934372</v>
      </c>
      <c r="G137" s="4">
        <f t="shared" si="49"/>
        <v>-0.73517758516019027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-6.9307837097078764</v>
      </c>
      <c r="M137" s="4">
        <f t="shared" si="56"/>
        <v>-2.6881430225885889</v>
      </c>
      <c r="N137" s="4">
        <f t="shared" si="57"/>
        <v>3.2778156874934372</v>
      </c>
      <c r="O137" s="4">
        <f t="shared" si="57"/>
        <v>0</v>
      </c>
      <c r="P137" s="4">
        <f t="shared" si="58"/>
        <v>26.242062827892202</v>
      </c>
      <c r="Q137" s="4">
        <f t="shared" si="59"/>
        <v>20.396612689213107</v>
      </c>
      <c r="R137" s="4">
        <f t="shared" si="60"/>
        <v>45.46951538917147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-0.73517758516019027</v>
      </c>
      <c r="G138" s="4">
        <f t="shared" si="49"/>
        <v>-0.73517758516019027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-0.73517758516019027</v>
      </c>
      <c r="G139" s="4">
        <f t="shared" si="49"/>
        <v>-0.73517758516019027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52.484125655784382</v>
      </c>
      <c r="Q140" s="4">
        <f>SUM(Q132:Q139)</f>
        <v>40.7932253784262</v>
      </c>
      <c r="R140" s="4">
        <f>SUM(R132:R139)</f>
        <v>7.815970093361102E-14</v>
      </c>
    </row>
    <row r="142" spans="1:18" x14ac:dyDescent="0.25">
      <c r="O142" t="s">
        <v>96</v>
      </c>
      <c r="P142" s="1">
        <f>-1*R140/P140</f>
        <v>-1.4892064973363404E-15</v>
      </c>
    </row>
    <row r="143" spans="1:18" x14ac:dyDescent="0.25">
      <c r="O143" t="s">
        <v>97</v>
      </c>
      <c r="P143" s="1">
        <f>Q140/P140</f>
        <v>0.77724883226534791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-0.73517758516019027</v>
      </c>
      <c r="G146" s="4">
        <f>($B$66/$B$65)*(E146-$B$125)</f>
        <v>-0.73517758516019027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-0.73517758516019027</v>
      </c>
      <c r="G147" s="4">
        <f t="shared" ref="G147:G153" si="64">($B$66/$B$65)*(E147-$B$125)</f>
        <v>-0.73517758516019027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-0.73517758516019027</v>
      </c>
      <c r="G148" s="4">
        <f t="shared" si="64"/>
        <v>-0.73517758516019027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-0.73517758516019027</v>
      </c>
      <c r="G149" s="4">
        <f t="shared" si="64"/>
        <v>-0.73517758516019027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-0.73517758516019027</v>
      </c>
      <c r="G150" s="4">
        <f t="shared" si="64"/>
        <v>-0.73517758516019027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-0.73517758516019027</v>
      </c>
      <c r="G151" s="4">
        <f t="shared" si="64"/>
        <v>-0.73517758516019027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-0.73517758516019027</v>
      </c>
      <c r="G152" s="4">
        <f t="shared" si="64"/>
        <v>-0.73517758516019027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-0.73517758516019027</v>
      </c>
      <c r="G153" s="4">
        <f t="shared" si="64"/>
        <v>-0.73517758516019027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29.999999666506355</v>
      </c>
      <c r="C159" t="s">
        <v>36</v>
      </c>
    </row>
    <row r="160" spans="1:18" x14ac:dyDescent="0.25">
      <c r="A160" s="1" t="s">
        <v>106</v>
      </c>
      <c r="B160" s="4">
        <f>Q140+I122+Q154-O122</f>
        <v>169.70562939685215</v>
      </c>
      <c r="C160" t="s">
        <v>102</v>
      </c>
    </row>
    <row r="161" spans="1:9" x14ac:dyDescent="0.25">
      <c r="A161" s="1" t="s">
        <v>107</v>
      </c>
      <c r="B161" s="4">
        <f>R140+J122+R154-P122</f>
        <v>1.1013412404281553E-13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29.999999666506355</v>
      </c>
      <c r="C164" t="s">
        <v>36</v>
      </c>
      <c r="E164" s="8">
        <f>B2-B164</f>
        <v>3.3349364514378976E-7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120.00000135204516</v>
      </c>
      <c r="C165" t="s">
        <v>102</v>
      </c>
      <c r="E165" s="8">
        <f>B3+B165</f>
        <v>1.3520451602744288E-6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120.00000135204536</v>
      </c>
      <c r="C166" t="s">
        <v>102</v>
      </c>
      <c r="E166" s="8">
        <f>B4+B166</f>
        <v>1.3520453592263948E-6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-3.2778157361113265</v>
      </c>
      <c r="C169" s="3">
        <f ca="1">A169+B169</f>
        <v>-4.8617889270019532E-8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1.0280013532464559E-7</v>
      </c>
      <c r="D175" s="27">
        <f>B66*SQRT(I175)</f>
        <v>4.8617863485134519E-8</v>
      </c>
      <c r="E175" s="27">
        <f>B67*SQRT(I175)</f>
        <v>1.171880842873312E-7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6.9307838125080092</v>
      </c>
      <c r="D176" s="3">
        <f>D175+B66</f>
        <v>3.2778157361113007</v>
      </c>
      <c r="E176" s="3">
        <f>B67+E175</f>
        <v>7.9008191480730359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1.0280013551522416E-7</v>
      </c>
      <c r="D177" s="27">
        <f>D176-B66</f>
        <v>4.8617863512845361E-8</v>
      </c>
      <c r="E177" s="27">
        <f>E176-B67</f>
        <v>1.1718808412553017E-7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-3.3349364514378976E-7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-1.3520451602744288E-6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-1.3520453592263948E-6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4.8617889270019532E-8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</row>
    <row r="55" spans="1:9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0.60574540107571861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</v>
      </c>
      <c r="C64" t="s">
        <v>19</v>
      </c>
      <c r="D64" t="s">
        <v>34</v>
      </c>
      <c r="H64" s="17">
        <f>DEGREES(B64)</f>
        <v>-315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6.9307837097078737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3.2778156874934372</v>
      </c>
      <c r="C66" t="s">
        <v>11</v>
      </c>
      <c r="D66">
        <f>B66/B53</f>
        <v>8.4803217355784006E-4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7.900818796508787</v>
      </c>
      <c r="C67" t="s">
        <v>36</v>
      </c>
      <c r="D67" t="s">
        <v>122</v>
      </c>
      <c r="G67" s="20">
        <f ca="1">($B$56*$B$66*$B$55*$E$122)/$B$65</f>
        <v>7.9008189136968054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-9.4852813742385713</v>
      </c>
      <c r="R76">
        <f>Q76</f>
        <v>-9.4852813742385713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9.4852813742385713</v>
      </c>
      <c r="R77">
        <f>Q77</f>
        <v>9.4852813742385713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-8.4852813742385713</v>
      </c>
      <c r="C84" s="1">
        <f t="shared" ref="C84:C92" si="23">(-1*B73*SIN($B$64))+(C73*COS($B$64))</f>
        <v>-4.242640687119283</v>
      </c>
      <c r="H84" s="1">
        <f t="shared" ref="H84:H92" si="24">H73</f>
        <v>1</v>
      </c>
      <c r="I84" s="4">
        <f>(I73*COS($B$64))+(J73*SIN($B$64))</f>
        <v>-8.4852813742385713</v>
      </c>
      <c r="J84" s="1">
        <f>(-1*I73*SIN($B$64))+(J73*COS($B$64))</f>
        <v>-4.242640687119283</v>
      </c>
    </row>
    <row r="85" spans="1:10" x14ac:dyDescent="0.25">
      <c r="A85" s="1">
        <f t="shared" si="21"/>
        <v>2</v>
      </c>
      <c r="B85" s="4">
        <f t="shared" si="22"/>
        <v>-4.2426406871192874</v>
      </c>
      <c r="C85" s="1">
        <f t="shared" si="23"/>
        <v>-8.4852813742385678</v>
      </c>
      <c r="H85" s="1">
        <f t="shared" si="24"/>
        <v>2</v>
      </c>
      <c r="I85" s="4">
        <f t="shared" ref="I85:I92" si="25">(I74*COS($B$64))+(J74*SIN($B$64))</f>
        <v>-8.4852813742385713</v>
      </c>
      <c r="J85" s="1">
        <f t="shared" ref="J85:J92" si="26">(-1*I74*SIN($B$64))+(J74*COS($B$64))</f>
        <v>-4.242640687119283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-4.2426406871192848</v>
      </c>
      <c r="H86" s="1">
        <f t="shared" si="24"/>
        <v>3</v>
      </c>
      <c r="I86" s="4">
        <f t="shared" si="25"/>
        <v>-8.4852813742385713</v>
      </c>
      <c r="J86" s="1">
        <f t="shared" si="26"/>
        <v>-4.242640687119283</v>
      </c>
    </row>
    <row r="87" spans="1:10" x14ac:dyDescent="0.25">
      <c r="A87" s="1">
        <f t="shared" si="21"/>
        <v>4</v>
      </c>
      <c r="B87" s="4">
        <f t="shared" si="22"/>
        <v>4.242640687119283</v>
      </c>
      <c r="C87" s="1">
        <f t="shared" si="23"/>
        <v>-8.4852813742385713</v>
      </c>
      <c r="H87" s="1">
        <f t="shared" si="24"/>
        <v>4</v>
      </c>
      <c r="I87" s="4">
        <f t="shared" si="25"/>
        <v>-8.4852813742385713</v>
      </c>
      <c r="J87" s="1">
        <f t="shared" si="26"/>
        <v>-4.242640687119283</v>
      </c>
    </row>
    <row r="88" spans="1:10" x14ac:dyDescent="0.25">
      <c r="A88" s="1">
        <f t="shared" si="21"/>
        <v>5</v>
      </c>
      <c r="B88" s="4">
        <f t="shared" si="22"/>
        <v>8.4852813742385678</v>
      </c>
      <c r="C88" s="1">
        <f t="shared" si="23"/>
        <v>-4.2426406871192874</v>
      </c>
      <c r="H88" s="1">
        <f t="shared" si="24"/>
        <v>5</v>
      </c>
      <c r="I88" s="4">
        <f t="shared" si="25"/>
        <v>-8.4852813742385713</v>
      </c>
      <c r="J88" s="1">
        <f t="shared" si="26"/>
        <v>-4.242640687119283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4.2426406871192848</v>
      </c>
      <c r="H89" s="1">
        <f t="shared" si="24"/>
        <v>6</v>
      </c>
      <c r="I89" s="4">
        <f t="shared" si="25"/>
        <v>-8.4852813742385713</v>
      </c>
      <c r="J89" s="1">
        <f t="shared" si="26"/>
        <v>-4.242640687119283</v>
      </c>
    </row>
    <row r="90" spans="1:10" x14ac:dyDescent="0.25">
      <c r="A90" s="1">
        <f t="shared" si="21"/>
        <v>7</v>
      </c>
      <c r="B90" s="4">
        <f t="shared" si="22"/>
        <v>-8.4852813742385713</v>
      </c>
      <c r="C90" s="1">
        <f t="shared" si="23"/>
        <v>-4.242640687119283</v>
      </c>
      <c r="H90" s="1">
        <f t="shared" si="24"/>
        <v>7</v>
      </c>
      <c r="I90" s="4">
        <f t="shared" si="25"/>
        <v>-8.4852813742385713</v>
      </c>
      <c r="J90" s="1">
        <f t="shared" si="26"/>
        <v>-4.242640687119283</v>
      </c>
    </row>
    <row r="91" spans="1:10" x14ac:dyDescent="0.25">
      <c r="A91" s="1">
        <f t="shared" si="21"/>
        <v>8</v>
      </c>
      <c r="B91" s="4">
        <f t="shared" si="22"/>
        <v>-8.4852813742385713</v>
      </c>
      <c r="C91" s="1">
        <f t="shared" si="23"/>
        <v>-4.242640687119283</v>
      </c>
      <c r="H91" s="1">
        <f t="shared" si="24"/>
        <v>8</v>
      </c>
      <c r="I91" s="4">
        <f t="shared" si="25"/>
        <v>-8.4852813742385713</v>
      </c>
      <c r="J91" s="1">
        <f t="shared" si="26"/>
        <v>-4.242640687119283</v>
      </c>
    </row>
    <row r="92" spans="1:10" x14ac:dyDescent="0.25">
      <c r="A92" s="1">
        <f t="shared" si="21"/>
        <v>9</v>
      </c>
      <c r="B92" s="4">
        <f t="shared" si="22"/>
        <v>-8.4852813742385713</v>
      </c>
      <c r="C92" s="1">
        <f t="shared" si="23"/>
        <v>-4.242640687119283</v>
      </c>
      <c r="H92" s="1">
        <f t="shared" si="24"/>
        <v>9</v>
      </c>
      <c r="I92" s="4">
        <f t="shared" si="25"/>
        <v>-8.4852813742385713</v>
      </c>
      <c r="J92" s="1">
        <f t="shared" si="26"/>
        <v>-4.242640687119283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-6.3639610306789285</v>
      </c>
      <c r="C110" s="1">
        <f>(-1*B95*SIN($B$64))+(C95*COS($B$64))</f>
        <v>-4.2426406871192839</v>
      </c>
      <c r="D110" t="str">
        <f t="shared" ref="D110" si="31">D95</f>
        <v>y</v>
      </c>
      <c r="E110" s="4">
        <f t="shared" ref="E110:E121" si="32">IF($D110="y",$B$125-C110,0)</f>
        <v>1.5544976645306949</v>
      </c>
      <c r="F110" s="1">
        <f>IF($D110="y",B110,NA())</f>
        <v>-6.3639610306789285</v>
      </c>
      <c r="G110" s="1">
        <f>IF($D110="y",C110,NA())</f>
        <v>-4.2426406871192839</v>
      </c>
      <c r="H110">
        <f t="shared" ref="H110:H121" si="33">IF($E$122=0,0,-1*MAX(($B$67/$E$122)*(E110),0))</f>
        <v>-3.3412438646367497</v>
      </c>
      <c r="I110">
        <f>H110*C110</f>
        <v>14.175697165695551</v>
      </c>
      <c r="J110">
        <f>H110*B110*-1</f>
        <v>-21.263545748543336</v>
      </c>
      <c r="K110">
        <f ca="1">H110/$B$55</f>
        <v>-5.5159211422871239</v>
      </c>
      <c r="L110">
        <f ca="1">K110/$B$54</f>
        <v>-1.9020417732024564E-4</v>
      </c>
      <c r="M110">
        <f t="shared" ref="M110:M121" si="34">IFERROR(($D$66/$B$65)*(G110-$B$125),0)</f>
        <v>-1.9020418014142803E-4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-4.2426406871192865</v>
      </c>
      <c r="C111" s="1">
        <f t="shared" ref="C111:C121" si="37">(-1*B96*SIN($B$64))+(C96*COS($B$64))</f>
        <v>-6.3639610306789258</v>
      </c>
      <c r="D111" t="str">
        <f t="shared" si="35"/>
        <v>y</v>
      </c>
      <c r="E111" s="4">
        <f t="shared" si="32"/>
        <v>3.6758180080903369</v>
      </c>
      <c r="F111" s="1">
        <f t="shared" ref="F111:G121" si="38">IF($D111="y",B111,NA())</f>
        <v>-4.2426406871192865</v>
      </c>
      <c r="G111" s="1">
        <f t="shared" si="38"/>
        <v>-6.3639610306789258</v>
      </c>
      <c r="H111">
        <f t="shared" si="33"/>
        <v>-7.9008187965087808</v>
      </c>
      <c r="I111">
        <f t="shared" ref="I111:I121" si="39">H111*C111</f>
        <v>50.280502931437454</v>
      </c>
      <c r="J111">
        <f t="shared" ref="J111:J121" si="40">H111*B111*-1</f>
        <v>-33.520335287624988</v>
      </c>
      <c r="K111">
        <f ca="1">H111/$B$55</f>
        <v>-13.043134594960256</v>
      </c>
      <c r="L111">
        <f t="shared" ref="L111:L121" ca="1" si="41">K111/$B$54</f>
        <v>-4.4976326189518121E-4</v>
      </c>
      <c r="M111">
        <f t="shared" si="34"/>
        <v>-4.4976326856624503E-4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4.2426406871192839</v>
      </c>
      <c r="C112" s="1">
        <f t="shared" si="37"/>
        <v>-6.3639610306789285</v>
      </c>
      <c r="D112" t="str">
        <f t="shared" si="35"/>
        <v>y</v>
      </c>
      <c r="E112" s="4">
        <f t="shared" si="32"/>
        <v>3.6758180080903395</v>
      </c>
      <c r="F112" s="1">
        <f t="shared" si="38"/>
        <v>4.2426406871192839</v>
      </c>
      <c r="G112" s="1">
        <f t="shared" si="38"/>
        <v>-6.3639610306789285</v>
      </c>
      <c r="H112">
        <f t="shared" si="33"/>
        <v>-7.900818796508787</v>
      </c>
      <c r="I112">
        <f t="shared" si="39"/>
        <v>50.28050293143751</v>
      </c>
      <c r="J112">
        <f t="shared" si="40"/>
        <v>33.520335287624995</v>
      </c>
      <c r="K112">
        <f t="shared" ref="K112:K121" ca="1" si="45">H112/$B$55</f>
        <v>-13.043134594960266</v>
      </c>
      <c r="L112">
        <f t="shared" ca="1" si="41"/>
        <v>-4.4976326189518159E-4</v>
      </c>
      <c r="M112">
        <f t="shared" si="34"/>
        <v>-4.4976326856624536E-4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6.3639610306789258</v>
      </c>
      <c r="C113" s="1">
        <f t="shared" si="37"/>
        <v>-4.2426406871192865</v>
      </c>
      <c r="D113" t="str">
        <f t="shared" si="35"/>
        <v>y</v>
      </c>
      <c r="E113" s="4">
        <f t="shared" si="32"/>
        <v>1.5544976645306976</v>
      </c>
      <c r="F113" s="1">
        <f t="shared" si="38"/>
        <v>6.3639610306789258</v>
      </c>
      <c r="G113" s="1">
        <f t="shared" si="38"/>
        <v>-4.2426406871192865</v>
      </c>
      <c r="H113">
        <f t="shared" si="33"/>
        <v>-3.3412438646367555</v>
      </c>
      <c r="I113">
        <f t="shared" si="39"/>
        <v>14.175697165695585</v>
      </c>
      <c r="J113">
        <f t="shared" si="40"/>
        <v>21.263545748543365</v>
      </c>
      <c r="K113">
        <f t="shared" ca="1" si="45"/>
        <v>-5.5159211422871328</v>
      </c>
      <c r="L113">
        <f t="shared" ca="1" si="41"/>
        <v>-1.9020417732024597E-4</v>
      </c>
      <c r="M113">
        <f t="shared" si="34"/>
        <v>-1.9020418014142836E-4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-8.4852813742385713</v>
      </c>
      <c r="C114" s="1">
        <f t="shared" si="37"/>
        <v>-4.242640687119283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-8.4852813742385713</v>
      </c>
      <c r="C115" s="1">
        <f t="shared" si="37"/>
        <v>-4.242640687119283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-8.4852813742385713</v>
      </c>
      <c r="C116" s="1">
        <f t="shared" si="37"/>
        <v>-4.242640687119283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-8.4852813742385713</v>
      </c>
      <c r="C117" s="1">
        <f t="shared" si="37"/>
        <v>-4.242640687119283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-8.4852813742385713</v>
      </c>
      <c r="C118" s="1">
        <f t="shared" si="37"/>
        <v>-4.242640687119283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-8.4852813742385713</v>
      </c>
      <c r="C119" s="1">
        <f t="shared" si="37"/>
        <v>-4.242640687119283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-8.4852813742385713</v>
      </c>
      <c r="C120" s="1">
        <f t="shared" si="37"/>
        <v>-4.242640687119283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-8.4852813742385713</v>
      </c>
      <c r="C121" s="1">
        <f t="shared" si="37"/>
        <v>-4.242640687119283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3.6758180080903395</v>
      </c>
      <c r="H122">
        <f>SUM(H110:H121)</f>
        <v>-22.484125322291074</v>
      </c>
      <c r="I122">
        <f t="shared" ref="I122:J122" si="46">SUM(I110:I121)</f>
        <v>128.9124001942661</v>
      </c>
      <c r="J122">
        <f t="shared" si="46"/>
        <v>3.5527136788005009E-14</v>
      </c>
      <c r="L122">
        <f ca="1">MIN(L110:L121)</f>
        <v>-4.4976326189518159E-4</v>
      </c>
      <c r="M122">
        <f>MIN(M110:M121)</f>
        <v>-4.4976326856624536E-4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-2.6881430225885889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-9.4852813742385713</v>
      </c>
      <c r="G126" s="4">
        <f>B125</f>
        <v>-2.6881430225885889</v>
      </c>
    </row>
    <row r="127" spans="1:16" x14ac:dyDescent="0.25">
      <c r="F127" s="4">
        <f>MAX(B84:B90)+1</f>
        <v>9.4852813742385678</v>
      </c>
      <c r="G127" s="4">
        <f>G126</f>
        <v>-2.6881430225885889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-8.4852813742385713</v>
      </c>
      <c r="C132" s="4">
        <f>C84</f>
        <v>-4.242640687119283</v>
      </c>
      <c r="D132" s="4">
        <f t="shared" ref="D132:E139" si="47">B85</f>
        <v>-4.2426406871192874</v>
      </c>
      <c r="E132" s="4">
        <f t="shared" si="47"/>
        <v>-8.4852813742385678</v>
      </c>
      <c r="F132" s="4">
        <f t="shared" ref="F132:F139" si="48">($B$66/$B$65)*(C132-$B$125)</f>
        <v>-0.73517758516019027</v>
      </c>
      <c r="G132" s="4">
        <f t="shared" ref="G132:G139" si="49">($B$66/$B$65)*(E132-$B$125)</f>
        <v>-2.7416742214870045</v>
      </c>
      <c r="H132" s="4">
        <f>IF(B132=D132,"V",(C132-E132)/(B132-D132))</f>
        <v>-1.0000000000000002</v>
      </c>
      <c r="I132" s="4">
        <f>IF(H132="V",0,(-1*B132*H132)+C132)</f>
        <v>-12.727922061357855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-4.2426406871192874</v>
      </c>
      <c r="C133" s="4">
        <f t="shared" si="50"/>
        <v>-8.4852813742385678</v>
      </c>
      <c r="D133" s="4">
        <f t="shared" si="47"/>
        <v>0</v>
      </c>
      <c r="E133" s="4">
        <f t="shared" si="47"/>
        <v>-4.2426406871192848</v>
      </c>
      <c r="F133" s="4">
        <f t="shared" si="48"/>
        <v>-2.7416742214870045</v>
      </c>
      <c r="G133" s="4">
        <f t="shared" si="49"/>
        <v>-0.73517758516019105</v>
      </c>
      <c r="H133" s="4">
        <f t="shared" ref="H133:H139" si="51">IF(B133=D133,"V",(C133-E133)/(B133-D133))</f>
        <v>0.999999999999999</v>
      </c>
      <c r="I133" s="4">
        <f t="shared" ref="I133:I139" si="52">IF(H133="V",0,(-1*B133*H133)+C133)</f>
        <v>-4.2426406871192848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-4.2426406871192848</v>
      </c>
      <c r="D134" s="4">
        <f t="shared" si="47"/>
        <v>4.242640687119283</v>
      </c>
      <c r="E134" s="4">
        <f t="shared" si="47"/>
        <v>-8.4852813742385713</v>
      </c>
      <c r="F134" s="4">
        <f t="shared" si="48"/>
        <v>-0.73517758516019105</v>
      </c>
      <c r="G134" s="4">
        <f t="shared" si="49"/>
        <v>-2.7416742214870062</v>
      </c>
      <c r="H134" s="4">
        <f t="shared" si="51"/>
        <v>-1.0000000000000009</v>
      </c>
      <c r="I134" s="4">
        <f t="shared" si="52"/>
        <v>-4.2426406871192848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4.242640687119283</v>
      </c>
      <c r="C135" s="4">
        <f t="shared" si="50"/>
        <v>-8.4852813742385713</v>
      </c>
      <c r="D135" s="4">
        <f t="shared" si="47"/>
        <v>8.4852813742385678</v>
      </c>
      <c r="E135" s="4">
        <f t="shared" si="47"/>
        <v>-4.2426406871192874</v>
      </c>
      <c r="F135" s="4">
        <f t="shared" si="48"/>
        <v>-2.7416742214870062</v>
      </c>
      <c r="G135" s="4">
        <f t="shared" si="49"/>
        <v>-0.73517758516019227</v>
      </c>
      <c r="H135" s="4">
        <f t="shared" si="51"/>
        <v>0.99999999999999978</v>
      </c>
      <c r="I135" s="4">
        <f t="shared" si="52"/>
        <v>-12.727922061357853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8.4852813742385678</v>
      </c>
      <c r="C136" s="4">
        <f t="shared" si="50"/>
        <v>-4.2426406871192874</v>
      </c>
      <c r="D136" s="4">
        <f t="shared" si="47"/>
        <v>0</v>
      </c>
      <c r="E136" s="4">
        <f t="shared" si="47"/>
        <v>4.2426406871192848</v>
      </c>
      <c r="F136" s="4">
        <f t="shared" si="48"/>
        <v>-0.73517758516019227</v>
      </c>
      <c r="G136" s="4">
        <f t="shared" si="49"/>
        <v>3.2778156874934372</v>
      </c>
      <c r="H136" s="4">
        <f t="shared" si="51"/>
        <v>-1.0000000000000004</v>
      </c>
      <c r="I136" s="4">
        <f t="shared" si="52"/>
        <v>4.2426406871192839</v>
      </c>
      <c r="J136" s="4">
        <f t="shared" si="53"/>
        <v>6.9307837097078702</v>
      </c>
      <c r="K136" s="4">
        <f t="shared" si="54"/>
        <v>-2.6881430225885889</v>
      </c>
      <c r="L136" s="4">
        <f t="shared" si="55"/>
        <v>0</v>
      </c>
      <c r="M136" s="4">
        <f t="shared" si="56"/>
        <v>4.2426406871192848</v>
      </c>
      <c r="N136" s="4">
        <f t="shared" si="57"/>
        <v>0</v>
      </c>
      <c r="O136" s="4">
        <f t="shared" si="57"/>
        <v>3.2778156874934372</v>
      </c>
      <c r="P136" s="4">
        <f t="shared" si="58"/>
        <v>26.24206282789218</v>
      </c>
      <c r="Q136" s="4">
        <f t="shared" si="59"/>
        <v>20.396612689213093</v>
      </c>
      <c r="R136" s="4">
        <f t="shared" si="60"/>
        <v>-45.469515389171391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4.2426406871192848</v>
      </c>
      <c r="D137" s="4">
        <f t="shared" si="47"/>
        <v>-8.4852813742385713</v>
      </c>
      <c r="E137" s="4">
        <f t="shared" si="47"/>
        <v>-4.242640687119283</v>
      </c>
      <c r="F137" s="4">
        <f t="shared" si="48"/>
        <v>3.2778156874934372</v>
      </c>
      <c r="G137" s="4">
        <f t="shared" si="49"/>
        <v>-0.73517758516019027</v>
      </c>
      <c r="H137" s="4">
        <f t="shared" si="51"/>
        <v>0.99999999999999956</v>
      </c>
      <c r="I137" s="4">
        <f t="shared" si="52"/>
        <v>4.2426406871192848</v>
      </c>
      <c r="J137" s="4">
        <f t="shared" si="53"/>
        <v>0</v>
      </c>
      <c r="K137" s="4">
        <f t="shared" si="54"/>
        <v>4.2426406871192848</v>
      </c>
      <c r="L137" s="4">
        <f t="shared" si="55"/>
        <v>-6.9307837097078764</v>
      </c>
      <c r="M137" s="4">
        <f t="shared" si="56"/>
        <v>-2.6881430225885889</v>
      </c>
      <c r="N137" s="4">
        <f t="shared" si="57"/>
        <v>3.2778156874934372</v>
      </c>
      <c r="O137" s="4">
        <f t="shared" si="57"/>
        <v>0</v>
      </c>
      <c r="P137" s="4">
        <f t="shared" si="58"/>
        <v>26.242062827892202</v>
      </c>
      <c r="Q137" s="4">
        <f t="shared" si="59"/>
        <v>20.396612689213107</v>
      </c>
      <c r="R137" s="4">
        <f t="shared" si="60"/>
        <v>45.46951538917147</v>
      </c>
    </row>
    <row r="138" spans="1:18" x14ac:dyDescent="0.25">
      <c r="A138" t="s">
        <v>75</v>
      </c>
      <c r="B138" s="4">
        <f t="shared" si="50"/>
        <v>-8.4852813742385713</v>
      </c>
      <c r="C138" s="4">
        <f t="shared" si="50"/>
        <v>-4.242640687119283</v>
      </c>
      <c r="D138" s="4">
        <f t="shared" si="47"/>
        <v>-8.4852813742385713</v>
      </c>
      <c r="E138" s="4">
        <f t="shared" si="47"/>
        <v>-4.242640687119283</v>
      </c>
      <c r="F138" s="4">
        <f t="shared" si="48"/>
        <v>-0.73517758516019027</v>
      </c>
      <c r="G138" s="4">
        <f t="shared" si="49"/>
        <v>-0.73517758516019027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-8.4852813742385713</v>
      </c>
      <c r="C139" s="4">
        <f>E138</f>
        <v>-4.242640687119283</v>
      </c>
      <c r="D139" s="4">
        <f t="shared" si="47"/>
        <v>-8.4852813742385713</v>
      </c>
      <c r="E139" s="4">
        <f t="shared" si="47"/>
        <v>-4.242640687119283</v>
      </c>
      <c r="F139" s="4">
        <f t="shared" si="48"/>
        <v>-0.73517758516019027</v>
      </c>
      <c r="G139" s="4">
        <f t="shared" si="49"/>
        <v>-0.73517758516019027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52.484125655784382</v>
      </c>
      <c r="Q140" s="4">
        <f>SUM(Q132:Q139)</f>
        <v>40.7932253784262</v>
      </c>
      <c r="R140" s="4">
        <f>SUM(R132:R139)</f>
        <v>7.815970093361102E-14</v>
      </c>
    </row>
    <row r="142" spans="1:18" x14ac:dyDescent="0.25">
      <c r="O142" t="s">
        <v>96</v>
      </c>
      <c r="P142" s="1">
        <f>-1*R140/P140</f>
        <v>-1.4892064973363404E-15</v>
      </c>
    </row>
    <row r="143" spans="1:18" x14ac:dyDescent="0.25">
      <c r="O143" t="s">
        <v>97</v>
      </c>
      <c r="P143" s="1">
        <f>Q140/P140</f>
        <v>0.77724883226534791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-8.4852813742385713</v>
      </c>
      <c r="C146" s="9">
        <f>J84</f>
        <v>-4.242640687119283</v>
      </c>
      <c r="D146" s="9">
        <f t="shared" ref="D146:E153" si="61">I85</f>
        <v>-8.4852813742385713</v>
      </c>
      <c r="E146">
        <f t="shared" si="61"/>
        <v>-4.242640687119283</v>
      </c>
      <c r="F146" s="4">
        <f>($B$66/$B$65)*(C146-$B$125)</f>
        <v>-0.73517758516019027</v>
      </c>
      <c r="G146" s="4">
        <f>($B$66/$B$65)*(E146-$B$125)</f>
        <v>-0.73517758516019027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-8.4852813742385713</v>
      </c>
      <c r="C147">
        <f t="shared" si="62"/>
        <v>-4.242640687119283</v>
      </c>
      <c r="D147" s="9">
        <f t="shared" si="61"/>
        <v>-8.4852813742385713</v>
      </c>
      <c r="E147">
        <f t="shared" si="61"/>
        <v>-4.242640687119283</v>
      </c>
      <c r="F147" s="4">
        <f t="shared" ref="F147:F153" si="63">($B$66/$B$65)*(C147-$B$125)</f>
        <v>-0.73517758516019027</v>
      </c>
      <c r="G147" s="4">
        <f t="shared" ref="G147:G153" si="64">($B$66/$B$65)*(E147-$B$125)</f>
        <v>-0.73517758516019027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-8.4852813742385713</v>
      </c>
      <c r="C148">
        <f t="shared" si="62"/>
        <v>-4.242640687119283</v>
      </c>
      <c r="D148" s="9">
        <f t="shared" si="61"/>
        <v>-8.4852813742385713</v>
      </c>
      <c r="E148">
        <f t="shared" si="61"/>
        <v>-4.242640687119283</v>
      </c>
      <c r="F148" s="4">
        <f t="shared" si="63"/>
        <v>-0.73517758516019027</v>
      </c>
      <c r="G148" s="4">
        <f t="shared" si="64"/>
        <v>-0.73517758516019027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-8.4852813742385713</v>
      </c>
      <c r="C149">
        <f t="shared" si="62"/>
        <v>-4.242640687119283</v>
      </c>
      <c r="D149" s="9">
        <f t="shared" si="61"/>
        <v>-8.4852813742385713</v>
      </c>
      <c r="E149">
        <f t="shared" si="61"/>
        <v>-4.242640687119283</v>
      </c>
      <c r="F149" s="4">
        <f t="shared" si="63"/>
        <v>-0.73517758516019027</v>
      </c>
      <c r="G149" s="4">
        <f t="shared" si="64"/>
        <v>-0.73517758516019027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-8.4852813742385713</v>
      </c>
      <c r="C150">
        <f t="shared" si="62"/>
        <v>-4.242640687119283</v>
      </c>
      <c r="D150" s="9">
        <f t="shared" si="61"/>
        <v>-8.4852813742385713</v>
      </c>
      <c r="E150">
        <f t="shared" si="61"/>
        <v>-4.242640687119283</v>
      </c>
      <c r="F150" s="4">
        <f t="shared" si="63"/>
        <v>-0.73517758516019027</v>
      </c>
      <c r="G150" s="4">
        <f t="shared" si="64"/>
        <v>-0.73517758516019027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-8.4852813742385713</v>
      </c>
      <c r="C151">
        <f t="shared" si="62"/>
        <v>-4.242640687119283</v>
      </c>
      <c r="D151" s="9">
        <f t="shared" si="61"/>
        <v>-8.4852813742385713</v>
      </c>
      <c r="E151">
        <f t="shared" si="61"/>
        <v>-4.242640687119283</v>
      </c>
      <c r="F151" s="4">
        <f t="shared" si="63"/>
        <v>-0.73517758516019027</v>
      </c>
      <c r="G151" s="4">
        <f t="shared" si="64"/>
        <v>-0.73517758516019027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-8.4852813742385713</v>
      </c>
      <c r="C152">
        <f t="shared" si="62"/>
        <v>-4.242640687119283</v>
      </c>
      <c r="D152" s="9">
        <f t="shared" si="61"/>
        <v>-8.4852813742385713</v>
      </c>
      <c r="E152">
        <f t="shared" si="61"/>
        <v>-4.242640687119283</v>
      </c>
      <c r="F152" s="4">
        <f t="shared" si="63"/>
        <v>-0.73517758516019027</v>
      </c>
      <c r="G152" s="4">
        <f t="shared" si="64"/>
        <v>-0.73517758516019027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-8.4852813742385713</v>
      </c>
      <c r="C153">
        <f t="shared" si="62"/>
        <v>-4.242640687119283</v>
      </c>
      <c r="D153" s="9">
        <f t="shared" si="61"/>
        <v>-8.4852813742385713</v>
      </c>
      <c r="E153">
        <f t="shared" si="61"/>
        <v>-4.242640687119283</v>
      </c>
      <c r="F153" s="4">
        <f t="shared" si="63"/>
        <v>-0.73517758516019027</v>
      </c>
      <c r="G153" s="4">
        <f t="shared" si="64"/>
        <v>-0.73517758516019027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30.000000333493308</v>
      </c>
      <c r="C159" t="s">
        <v>36</v>
      </c>
    </row>
    <row r="160" spans="1:18" x14ac:dyDescent="0.25">
      <c r="A160" s="1" t="s">
        <v>106</v>
      </c>
      <c r="B160" s="4">
        <f>Q140+I122+Q154-O122</f>
        <v>169.7056255726923</v>
      </c>
      <c r="C160" t="s">
        <v>102</v>
      </c>
    </row>
    <row r="161" spans="1:9" x14ac:dyDescent="0.25">
      <c r="A161" s="1" t="s">
        <v>107</v>
      </c>
      <c r="B161" s="4">
        <f>R140+J122+R154-P122</f>
        <v>1.1368683772161603E-13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30.000000333493308</v>
      </c>
      <c r="C164" t="s">
        <v>36</v>
      </c>
      <c r="E164" s="8">
        <f>B2-B164</f>
        <v>-3.3349330763599028E-7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119.99999864795578</v>
      </c>
      <c r="C165" t="s">
        <v>102</v>
      </c>
      <c r="E165" s="8">
        <f>B3+B165</f>
        <v>-1.3520442223580176E-6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119.99999864795601</v>
      </c>
      <c r="C166" t="s">
        <v>102</v>
      </c>
      <c r="E166" s="8">
        <f>B4+B166</f>
        <v>-1.3520439949843421E-6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3.2778156874934372</v>
      </c>
      <c r="B169" s="1">
        <f ca="1">IF(E122=0,0,(MIN(H110:H121)*B65)/(B55*B56*E122))</f>
        <v>-3.2778156388755999</v>
      </c>
      <c r="C169" s="3">
        <f ca="1">A169+B169</f>
        <v>4.861783731158198E-8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-8.1545361396182157E-8</v>
      </c>
      <c r="C175" s="27">
        <f>B65*SQRT(I175)</f>
        <v>1.0280013532464559E-7</v>
      </c>
      <c r="D175" s="27">
        <f>B66*SQRT(I175)</f>
        <v>4.8617863485134519E-8</v>
      </c>
      <c r="E175" s="27">
        <f>B67*SQRT(I175)</f>
        <v>1.1718808081097088E-7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-5.4977872253274995</v>
      </c>
      <c r="C176" s="3">
        <f>B65+C175</f>
        <v>6.9307838125080092</v>
      </c>
      <c r="D176" s="3">
        <f>D175+B66</f>
        <v>3.2778157361113007</v>
      </c>
      <c r="E176" s="3">
        <f>B67+E175</f>
        <v>7.9008189136968676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1.0280013551522416E-7</v>
      </c>
      <c r="D177" s="27">
        <f>D176-B66</f>
        <v>4.8617863512845361E-8</v>
      </c>
      <c r="E177" s="27">
        <f>E176-B67</f>
        <v>1.1718808057281649E-7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-16.011920966988562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-8.4852813820515554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3.3349330763599028E-7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1.3520442223580176E-6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1.3520439949843421E-6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-4.861783731158198E-8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-16.011920966988562</v>
      </c>
      <c r="B190" s="25">
        <f>A181</f>
        <v>-8.4852813820515554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-16.011920966988562</v>
      </c>
      <c r="B201" s="25">
        <f t="shared" ref="B201:C201" si="77">B190</f>
        <v>-8.4852813820515554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LICENSE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2020-10-31T20:27:10Z</dcterms:modified>
</cp:coreProperties>
</file>