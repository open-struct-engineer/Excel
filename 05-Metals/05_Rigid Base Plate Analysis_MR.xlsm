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10428" documentId="13_ncr:1_{3B2E86BD-C926-4F03-A8D4-D832CC9DD012}" xr6:coauthVersionLast="45" xr6:coauthVersionMax="45" xr10:uidLastSave="{6FA38FF8-420B-43D5-B5F7-5AEA52A3D683}"/>
  <bookViews>
    <workbookView xWindow="-120" yWindow="-120" windowWidth="27930" windowHeight="18240" activeTab="1" xr2:uid="{6AEE646E-04EC-4C95-872D-5F2912EB63C3}"/>
  </bookViews>
  <sheets>
    <sheet name="Results_Chart" sheetId="11" r:id="rId1"/>
    <sheet name="Rigid Bearing Plate Analysis" sheetId="1" r:id="rId2"/>
    <sheet name="d_sigma_p" sheetId="2" r:id="rId3"/>
    <sheet name="d_sigma_m" sheetId="6" r:id="rId4"/>
    <sheet name="d_alpha_p" sheetId="3" r:id="rId5"/>
    <sheet name="d_alpha_m" sheetId="7" r:id="rId6"/>
    <sheet name="d_Y_p" sheetId="4" r:id="rId7"/>
    <sheet name="d_Y_m" sheetId="8" r:id="rId8"/>
    <sheet name="d_T_p" sheetId="5" r:id="rId9"/>
    <sheet name="d_T_m" sheetId="9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4" i="1" l="1"/>
  <c r="G3" i="1"/>
  <c r="G6" i="1"/>
  <c r="Q25" i="1" l="1"/>
  <c r="Q27" i="1"/>
  <c r="E23" i="1"/>
  <c r="X43" i="1" l="1"/>
  <c r="X42" i="1"/>
  <c r="X41" i="1"/>
  <c r="X40" i="1"/>
  <c r="X44" i="1" l="1"/>
  <c r="AI36" i="1"/>
  <c r="AI37" i="1" s="1"/>
  <c r="L15" i="1"/>
  <c r="L16" i="1"/>
  <c r="L17" i="1"/>
  <c r="L18" i="1"/>
  <c r="L19" i="1"/>
  <c r="L20" i="1"/>
  <c r="L14" i="1"/>
  <c r="M4" i="1" l="1"/>
  <c r="M3" i="1"/>
  <c r="C50" i="1" l="1"/>
  <c r="B53" i="1"/>
  <c r="T37" i="1"/>
  <c r="B5" i="1" l="1"/>
  <c r="E55" i="1" l="1"/>
  <c r="E56" i="1" s="1"/>
  <c r="W140" i="1"/>
  <c r="W141" i="1"/>
  <c r="W142" i="1"/>
  <c r="W143" i="1"/>
  <c r="W144" i="1"/>
  <c r="V145" i="1"/>
  <c r="U145" i="1"/>
  <c r="J55" i="1" l="1"/>
  <c r="J56" i="1"/>
  <c r="J57" i="1"/>
  <c r="E54" i="9"/>
  <c r="E55" i="9"/>
  <c r="E57" i="9"/>
  <c r="E60" i="9"/>
  <c r="D55" i="9"/>
  <c r="D56" i="9"/>
  <c r="D57" i="9"/>
  <c r="D58" i="9"/>
  <c r="D59" i="9"/>
  <c r="D60" i="9"/>
  <c r="D54" i="9"/>
  <c r="E54" i="5"/>
  <c r="E55" i="5"/>
  <c r="E57" i="5"/>
  <c r="E60" i="5"/>
  <c r="D55" i="5"/>
  <c r="D56" i="5"/>
  <c r="D57" i="5"/>
  <c r="D58" i="5"/>
  <c r="D59" i="5"/>
  <c r="D60" i="5"/>
  <c r="D54" i="5"/>
  <c r="E54" i="8"/>
  <c r="E55" i="8"/>
  <c r="E57" i="8"/>
  <c r="E60" i="8"/>
  <c r="D55" i="8"/>
  <c r="D56" i="8"/>
  <c r="D57" i="8"/>
  <c r="D58" i="8"/>
  <c r="D59" i="8"/>
  <c r="D60" i="8"/>
  <c r="D54" i="8"/>
  <c r="E54" i="4"/>
  <c r="E55" i="4"/>
  <c r="E57" i="4"/>
  <c r="E60" i="4"/>
  <c r="D55" i="4"/>
  <c r="D56" i="4"/>
  <c r="D57" i="4"/>
  <c r="D58" i="4"/>
  <c r="D59" i="4"/>
  <c r="D60" i="4"/>
  <c r="D54" i="4"/>
  <c r="E54" i="7"/>
  <c r="E55" i="7"/>
  <c r="E57" i="7"/>
  <c r="E60" i="7"/>
  <c r="D60" i="7"/>
  <c r="D55" i="7"/>
  <c r="D56" i="7"/>
  <c r="D57" i="7"/>
  <c r="D58" i="7"/>
  <c r="D59" i="7"/>
  <c r="D54" i="7"/>
  <c r="E54" i="3"/>
  <c r="E55" i="3"/>
  <c r="E57" i="3"/>
  <c r="E60" i="3"/>
  <c r="D55" i="3"/>
  <c r="D56" i="3"/>
  <c r="D57" i="3"/>
  <c r="D58" i="3"/>
  <c r="D59" i="3"/>
  <c r="D60" i="3"/>
  <c r="D54" i="3"/>
  <c r="E54" i="6"/>
  <c r="E55" i="6"/>
  <c r="E57" i="6"/>
  <c r="E60" i="6"/>
  <c r="D60" i="6"/>
  <c r="D55" i="6"/>
  <c r="D56" i="6"/>
  <c r="D57" i="6"/>
  <c r="D58" i="6"/>
  <c r="D59" i="6"/>
  <c r="D54" i="6"/>
  <c r="E54" i="2"/>
  <c r="E55" i="2"/>
  <c r="E57" i="2"/>
  <c r="E60" i="2"/>
  <c r="D55" i="2"/>
  <c r="D56" i="2"/>
  <c r="D57" i="2"/>
  <c r="D58" i="2"/>
  <c r="D59" i="2"/>
  <c r="D60" i="2"/>
  <c r="D54" i="2"/>
  <c r="E58" i="1"/>
  <c r="E59" i="1" s="1"/>
  <c r="E59" i="4" s="1"/>
  <c r="B55" i="1"/>
  <c r="E59" i="6" l="1"/>
  <c r="E58" i="4"/>
  <c r="E59" i="8"/>
  <c r="E59" i="9"/>
  <c r="E56" i="4"/>
  <c r="E58" i="9"/>
  <c r="E59" i="2"/>
  <c r="E58" i="2"/>
  <c r="E56" i="6"/>
  <c r="E56" i="8"/>
  <c r="E59" i="7"/>
  <c r="E56" i="2"/>
  <c r="E58" i="7"/>
  <c r="E59" i="3"/>
  <c r="E59" i="5"/>
  <c r="E58" i="3"/>
  <c r="E56" i="7"/>
  <c r="E58" i="5"/>
  <c r="E56" i="9"/>
  <c r="E58" i="6"/>
  <c r="E56" i="3"/>
  <c r="E58" i="8"/>
  <c r="E56" i="5"/>
  <c r="L218" i="1"/>
  <c r="D4" i="1" l="1"/>
  <c r="D3" i="1"/>
  <c r="B58" i="7" l="1"/>
  <c r="B55" i="7"/>
  <c r="B52" i="7"/>
  <c r="B51" i="7"/>
  <c r="B53" i="7" s="1"/>
  <c r="B56" i="7" s="1"/>
  <c r="C37" i="7"/>
  <c r="D37" i="7"/>
  <c r="D95" i="7" s="1"/>
  <c r="D110" i="7" s="1"/>
  <c r="C38" i="7"/>
  <c r="D38" i="7"/>
  <c r="D96" i="7" s="1"/>
  <c r="D111" i="7" s="1"/>
  <c r="C39" i="7"/>
  <c r="D39" i="7"/>
  <c r="C40" i="7"/>
  <c r="D40" i="7"/>
  <c r="D98" i="7" s="1"/>
  <c r="D113" i="7" s="1"/>
  <c r="C41" i="7"/>
  <c r="D41" i="7"/>
  <c r="C42" i="7"/>
  <c r="D42" i="7"/>
  <c r="Q42" i="7" s="1"/>
  <c r="C43" i="7"/>
  <c r="D43" i="7"/>
  <c r="D101" i="7" s="1"/>
  <c r="D116" i="7" s="1"/>
  <c r="C44" i="7"/>
  <c r="D44" i="7"/>
  <c r="D102" i="7" s="1"/>
  <c r="D117" i="7" s="1"/>
  <c r="C45" i="7"/>
  <c r="D45" i="7"/>
  <c r="D103" i="7" s="1"/>
  <c r="D118" i="7" s="1"/>
  <c r="C46" i="7"/>
  <c r="D46" i="7"/>
  <c r="D104" i="7" s="1"/>
  <c r="D119" i="7" s="1"/>
  <c r="C47" i="7"/>
  <c r="D47" i="7"/>
  <c r="C48" i="7"/>
  <c r="D48" i="7"/>
  <c r="R48" i="7" s="1"/>
  <c r="B38" i="7"/>
  <c r="B39" i="7"/>
  <c r="B40" i="7"/>
  <c r="B41" i="7"/>
  <c r="B42" i="7"/>
  <c r="B43" i="7"/>
  <c r="B44" i="7"/>
  <c r="B45" i="7"/>
  <c r="B46" i="7"/>
  <c r="B47" i="7"/>
  <c r="B48" i="7"/>
  <c r="B37" i="7"/>
  <c r="C25" i="7"/>
  <c r="C26" i="7"/>
  <c r="C27" i="7"/>
  <c r="C28" i="7"/>
  <c r="C29" i="7"/>
  <c r="C30" i="7"/>
  <c r="C31" i="7"/>
  <c r="C32" i="7"/>
  <c r="B26" i="7"/>
  <c r="B27" i="7"/>
  <c r="B28" i="7"/>
  <c r="B29" i="7"/>
  <c r="B30" i="7"/>
  <c r="B31" i="7"/>
  <c r="B32" i="7"/>
  <c r="B25" i="7"/>
  <c r="B33" i="7" s="1"/>
  <c r="C14" i="7"/>
  <c r="B18" i="7"/>
  <c r="B14" i="7"/>
  <c r="C9" i="7"/>
  <c r="C101" i="7" s="1"/>
  <c r="B9" i="7"/>
  <c r="B100" i="7" s="1"/>
  <c r="B3" i="7"/>
  <c r="B4" i="7"/>
  <c r="B2" i="7"/>
  <c r="B58" i="4"/>
  <c r="B55" i="4"/>
  <c r="B52" i="4"/>
  <c r="B51" i="4"/>
  <c r="B61" i="4" s="1"/>
  <c r="C37" i="4"/>
  <c r="D37" i="4"/>
  <c r="D95" i="4" s="1"/>
  <c r="D110" i="4" s="1"/>
  <c r="C38" i="4"/>
  <c r="D38" i="4"/>
  <c r="D96" i="4" s="1"/>
  <c r="D111" i="4" s="1"/>
  <c r="C39" i="4"/>
  <c r="D39" i="4"/>
  <c r="C40" i="4"/>
  <c r="D40" i="4"/>
  <c r="D98" i="4" s="1"/>
  <c r="D113" i="4" s="1"/>
  <c r="C41" i="4"/>
  <c r="D41" i="4"/>
  <c r="D99" i="4" s="1"/>
  <c r="D114" i="4" s="1"/>
  <c r="C42" i="4"/>
  <c r="D42" i="4"/>
  <c r="Q42" i="4" s="1"/>
  <c r="C43" i="4"/>
  <c r="D43" i="4"/>
  <c r="C44" i="4"/>
  <c r="D44" i="4"/>
  <c r="D102" i="4" s="1"/>
  <c r="D117" i="4" s="1"/>
  <c r="C45" i="4"/>
  <c r="D45" i="4"/>
  <c r="C46" i="4"/>
  <c r="D46" i="4"/>
  <c r="R46" i="4" s="1"/>
  <c r="C47" i="4"/>
  <c r="D47" i="4"/>
  <c r="C48" i="4"/>
  <c r="D48" i="4"/>
  <c r="D106" i="4" s="1"/>
  <c r="D121" i="4" s="1"/>
  <c r="B38" i="4"/>
  <c r="B39" i="4"/>
  <c r="B40" i="4"/>
  <c r="B41" i="4"/>
  <c r="B42" i="4"/>
  <c r="B43" i="4"/>
  <c r="B44" i="4"/>
  <c r="B45" i="4"/>
  <c r="B46" i="4"/>
  <c r="B47" i="4"/>
  <c r="B48" i="4"/>
  <c r="B37" i="4"/>
  <c r="C25" i="4"/>
  <c r="C26" i="4"/>
  <c r="C27" i="4"/>
  <c r="C28" i="4"/>
  <c r="C29" i="4"/>
  <c r="C30" i="4"/>
  <c r="C31" i="4"/>
  <c r="C32" i="4"/>
  <c r="B26" i="4"/>
  <c r="B27" i="4"/>
  <c r="B28" i="4"/>
  <c r="B29" i="4"/>
  <c r="B30" i="4"/>
  <c r="B31" i="4"/>
  <c r="B32" i="4"/>
  <c r="B25" i="4"/>
  <c r="B33" i="4" s="1"/>
  <c r="C14" i="4"/>
  <c r="B18" i="4"/>
  <c r="B14" i="4"/>
  <c r="G14" i="4" s="1"/>
  <c r="C9" i="4"/>
  <c r="B9" i="4"/>
  <c r="B3" i="4"/>
  <c r="B4" i="4"/>
  <c r="B2" i="4"/>
  <c r="B58" i="8"/>
  <c r="B55" i="8"/>
  <c r="B52" i="8"/>
  <c r="B51" i="8"/>
  <c r="B61" i="8" s="1"/>
  <c r="C37" i="8"/>
  <c r="D37" i="8"/>
  <c r="D95" i="8" s="1"/>
  <c r="D110" i="8" s="1"/>
  <c r="C38" i="8"/>
  <c r="D38" i="8"/>
  <c r="D96" i="8" s="1"/>
  <c r="D111" i="8" s="1"/>
  <c r="C39" i="8"/>
  <c r="D39" i="8"/>
  <c r="C40" i="8"/>
  <c r="D40" i="8"/>
  <c r="D98" i="8" s="1"/>
  <c r="D113" i="8" s="1"/>
  <c r="C41" i="8"/>
  <c r="D41" i="8"/>
  <c r="D99" i="8" s="1"/>
  <c r="D114" i="8" s="1"/>
  <c r="C42" i="8"/>
  <c r="D42" i="8"/>
  <c r="D100" i="8" s="1"/>
  <c r="D115" i="8" s="1"/>
  <c r="C43" i="8"/>
  <c r="D43" i="8"/>
  <c r="D101" i="8" s="1"/>
  <c r="D116" i="8" s="1"/>
  <c r="C44" i="8"/>
  <c r="D44" i="8"/>
  <c r="D102" i="8" s="1"/>
  <c r="D117" i="8" s="1"/>
  <c r="C45" i="8"/>
  <c r="D45" i="8"/>
  <c r="C46" i="8"/>
  <c r="D46" i="8"/>
  <c r="D104" i="8" s="1"/>
  <c r="D119" i="8" s="1"/>
  <c r="C47" i="8"/>
  <c r="D47" i="8"/>
  <c r="D105" i="8" s="1"/>
  <c r="D120" i="8" s="1"/>
  <c r="C48" i="8"/>
  <c r="D48" i="8"/>
  <c r="R48" i="8" s="1"/>
  <c r="B38" i="8"/>
  <c r="B39" i="8"/>
  <c r="Q39" i="8" s="1"/>
  <c r="B40" i="8"/>
  <c r="B41" i="8"/>
  <c r="B42" i="8"/>
  <c r="B43" i="8"/>
  <c r="B44" i="8"/>
  <c r="B45" i="8"/>
  <c r="B46" i="8"/>
  <c r="B47" i="8"/>
  <c r="B48" i="8"/>
  <c r="B37" i="8"/>
  <c r="C25" i="8"/>
  <c r="C26" i="8"/>
  <c r="C27" i="8"/>
  <c r="C28" i="8"/>
  <c r="C29" i="8"/>
  <c r="C30" i="8"/>
  <c r="C31" i="8"/>
  <c r="C32" i="8"/>
  <c r="B26" i="8"/>
  <c r="B27" i="8"/>
  <c r="B28" i="8"/>
  <c r="B29" i="8"/>
  <c r="B30" i="8"/>
  <c r="B31" i="8"/>
  <c r="B32" i="8"/>
  <c r="B25" i="8"/>
  <c r="B33" i="8" s="1"/>
  <c r="C14" i="8"/>
  <c r="B18" i="8"/>
  <c r="B14" i="8"/>
  <c r="C9" i="8"/>
  <c r="C101" i="8" s="1"/>
  <c r="B9" i="8"/>
  <c r="B3" i="8"/>
  <c r="B4" i="8"/>
  <c r="B2" i="8"/>
  <c r="B58" i="5"/>
  <c r="B55" i="5"/>
  <c r="B52" i="5"/>
  <c r="B51" i="5"/>
  <c r="C37" i="5"/>
  <c r="D37" i="5"/>
  <c r="C38" i="5"/>
  <c r="D38" i="5"/>
  <c r="D96" i="5" s="1"/>
  <c r="D111" i="5" s="1"/>
  <c r="C39" i="5"/>
  <c r="D39" i="5"/>
  <c r="D97" i="5" s="1"/>
  <c r="D112" i="5" s="1"/>
  <c r="C40" i="5"/>
  <c r="D40" i="5"/>
  <c r="C41" i="5"/>
  <c r="D41" i="5"/>
  <c r="C42" i="5"/>
  <c r="D42" i="5"/>
  <c r="Q42" i="5" s="1"/>
  <c r="C43" i="5"/>
  <c r="D43" i="5"/>
  <c r="R43" i="5" s="1"/>
  <c r="C44" i="5"/>
  <c r="D44" i="5"/>
  <c r="C45" i="5"/>
  <c r="D45" i="5"/>
  <c r="D103" i="5" s="1"/>
  <c r="D118" i="5" s="1"/>
  <c r="C46" i="5"/>
  <c r="D46" i="5"/>
  <c r="R46" i="5" s="1"/>
  <c r="C47" i="5"/>
  <c r="D47" i="5"/>
  <c r="R47" i="5" s="1"/>
  <c r="C48" i="5"/>
  <c r="D48" i="5"/>
  <c r="R48" i="5" s="1"/>
  <c r="B38" i="5"/>
  <c r="B39" i="5"/>
  <c r="Q39" i="5" s="1"/>
  <c r="B40" i="5"/>
  <c r="B41" i="5"/>
  <c r="B42" i="5"/>
  <c r="B43" i="5"/>
  <c r="B44" i="5"/>
  <c r="B45" i="5"/>
  <c r="B46" i="5"/>
  <c r="B47" i="5"/>
  <c r="B48" i="5"/>
  <c r="B37" i="5"/>
  <c r="C25" i="5"/>
  <c r="C26" i="5"/>
  <c r="C27" i="5"/>
  <c r="C28" i="5"/>
  <c r="C29" i="5"/>
  <c r="C30" i="5"/>
  <c r="C31" i="5"/>
  <c r="C32" i="5"/>
  <c r="B26" i="5"/>
  <c r="B27" i="5"/>
  <c r="B28" i="5"/>
  <c r="B29" i="5"/>
  <c r="B30" i="5"/>
  <c r="B31" i="5"/>
  <c r="B32" i="5"/>
  <c r="B25" i="5"/>
  <c r="B33" i="5" s="1"/>
  <c r="C14" i="5"/>
  <c r="B18" i="5"/>
  <c r="B14" i="5"/>
  <c r="C9" i="5"/>
  <c r="J76" i="5" s="1"/>
  <c r="B9" i="5"/>
  <c r="B100" i="5" s="1"/>
  <c r="B3" i="5"/>
  <c r="B4" i="5"/>
  <c r="B2" i="5"/>
  <c r="B58" i="9"/>
  <c r="B55" i="9"/>
  <c r="B52" i="9"/>
  <c r="B51" i="9"/>
  <c r="B61" i="9" s="1"/>
  <c r="C37" i="9"/>
  <c r="D37" i="9"/>
  <c r="D95" i="9" s="1"/>
  <c r="D110" i="9" s="1"/>
  <c r="C38" i="9"/>
  <c r="D38" i="9"/>
  <c r="D96" i="9" s="1"/>
  <c r="D111" i="9" s="1"/>
  <c r="C39" i="9"/>
  <c r="D39" i="9"/>
  <c r="D97" i="9" s="1"/>
  <c r="D112" i="9" s="1"/>
  <c r="C40" i="9"/>
  <c r="D40" i="9"/>
  <c r="D98" i="9" s="1"/>
  <c r="D113" i="9" s="1"/>
  <c r="C41" i="9"/>
  <c r="D41" i="9"/>
  <c r="D99" i="9" s="1"/>
  <c r="D114" i="9" s="1"/>
  <c r="C42" i="9"/>
  <c r="D42" i="9"/>
  <c r="Q42" i="9" s="1"/>
  <c r="C43" i="9"/>
  <c r="D43" i="9"/>
  <c r="D101" i="9" s="1"/>
  <c r="D116" i="9" s="1"/>
  <c r="C44" i="9"/>
  <c r="D44" i="9"/>
  <c r="D102" i="9" s="1"/>
  <c r="D117" i="9" s="1"/>
  <c r="C45" i="9"/>
  <c r="D45" i="9"/>
  <c r="R45" i="9" s="1"/>
  <c r="C46" i="9"/>
  <c r="D46" i="9"/>
  <c r="D104" i="9" s="1"/>
  <c r="D119" i="9" s="1"/>
  <c r="C47" i="9"/>
  <c r="D47" i="9"/>
  <c r="D105" i="9" s="1"/>
  <c r="D120" i="9" s="1"/>
  <c r="C48" i="9"/>
  <c r="D48" i="9"/>
  <c r="D106" i="9" s="1"/>
  <c r="D121" i="9" s="1"/>
  <c r="B38" i="9"/>
  <c r="B39" i="9"/>
  <c r="B40" i="9"/>
  <c r="B41" i="9"/>
  <c r="B42" i="9"/>
  <c r="B43" i="9"/>
  <c r="B44" i="9"/>
  <c r="B45" i="9"/>
  <c r="B46" i="9"/>
  <c r="B47" i="9"/>
  <c r="B48" i="9"/>
  <c r="B37" i="9"/>
  <c r="C25" i="9"/>
  <c r="C26" i="9"/>
  <c r="C27" i="9"/>
  <c r="C28" i="9"/>
  <c r="D28" i="9" s="1"/>
  <c r="C29" i="9"/>
  <c r="C30" i="9"/>
  <c r="C31" i="9"/>
  <c r="C32" i="9"/>
  <c r="B26" i="9"/>
  <c r="B27" i="9"/>
  <c r="B28" i="9"/>
  <c r="B29" i="9"/>
  <c r="B30" i="9"/>
  <c r="B31" i="9"/>
  <c r="B32" i="9"/>
  <c r="B25" i="9"/>
  <c r="B33" i="9" s="1"/>
  <c r="C14" i="9"/>
  <c r="B18" i="9"/>
  <c r="B14" i="9"/>
  <c r="I14" i="9" s="1"/>
  <c r="C9" i="9"/>
  <c r="C105" i="9" s="1"/>
  <c r="B9" i="9"/>
  <c r="B81" i="9" s="1"/>
  <c r="B3" i="9"/>
  <c r="B4" i="9"/>
  <c r="B2" i="9"/>
  <c r="F175" i="9"/>
  <c r="A116" i="9"/>
  <c r="A114" i="9"/>
  <c r="A106" i="9"/>
  <c r="A121" i="9" s="1"/>
  <c r="A105" i="9"/>
  <c r="A120" i="9" s="1"/>
  <c r="A104" i="9"/>
  <c r="A119" i="9" s="1"/>
  <c r="A103" i="9"/>
  <c r="A118" i="9" s="1"/>
  <c r="A102" i="9"/>
  <c r="A117" i="9" s="1"/>
  <c r="A101" i="9"/>
  <c r="A100" i="9"/>
  <c r="A115" i="9" s="1"/>
  <c r="A99" i="9"/>
  <c r="A98" i="9"/>
  <c r="A113" i="9" s="1"/>
  <c r="A97" i="9"/>
  <c r="A112" i="9" s="1"/>
  <c r="A96" i="9"/>
  <c r="A111" i="9" s="1"/>
  <c r="A95" i="9"/>
  <c r="A110" i="9" s="1"/>
  <c r="A87" i="9"/>
  <c r="A86" i="9"/>
  <c r="H81" i="9"/>
  <c r="H92" i="9" s="1"/>
  <c r="A81" i="9"/>
  <c r="A92" i="9" s="1"/>
  <c r="H80" i="9"/>
  <c r="H91" i="9" s="1"/>
  <c r="A80" i="9"/>
  <c r="A91" i="9" s="1"/>
  <c r="H79" i="9"/>
  <c r="H90" i="9" s="1"/>
  <c r="A79" i="9"/>
  <c r="A90" i="9" s="1"/>
  <c r="H78" i="9"/>
  <c r="H89" i="9" s="1"/>
  <c r="A78" i="9"/>
  <c r="A89" i="9" s="1"/>
  <c r="H77" i="9"/>
  <c r="H88" i="9" s="1"/>
  <c r="A77" i="9"/>
  <c r="A88" i="9" s="1"/>
  <c r="H76" i="9"/>
  <c r="H87" i="9" s="1"/>
  <c r="A76" i="9"/>
  <c r="H75" i="9"/>
  <c r="H86" i="9" s="1"/>
  <c r="A75" i="9"/>
  <c r="H74" i="9"/>
  <c r="H85" i="9" s="1"/>
  <c r="A74" i="9"/>
  <c r="A85" i="9" s="1"/>
  <c r="H73" i="9"/>
  <c r="H84" i="9" s="1"/>
  <c r="A73" i="9"/>
  <c r="A84" i="9" s="1"/>
  <c r="H72" i="9"/>
  <c r="H83" i="9" s="1"/>
  <c r="A72" i="9"/>
  <c r="A83" i="9" s="1"/>
  <c r="B59" i="9"/>
  <c r="C33" i="9"/>
  <c r="U16" i="9"/>
  <c r="R17" i="9" s="1"/>
  <c r="O16" i="9"/>
  <c r="D4" i="9"/>
  <c r="D3" i="9"/>
  <c r="F175" i="5"/>
  <c r="A121" i="5"/>
  <c r="A117" i="5"/>
  <c r="A116" i="5"/>
  <c r="A113" i="5"/>
  <c r="A106" i="5"/>
  <c r="D105" i="5"/>
  <c r="D120" i="5" s="1"/>
  <c r="A105" i="5"/>
  <c r="A120" i="5" s="1"/>
  <c r="A104" i="5"/>
  <c r="A119" i="5" s="1"/>
  <c r="A103" i="5"/>
  <c r="A118" i="5" s="1"/>
  <c r="A102" i="5"/>
  <c r="A101" i="5"/>
  <c r="A100" i="5"/>
  <c r="A115" i="5" s="1"/>
  <c r="A99" i="5"/>
  <c r="A114" i="5" s="1"/>
  <c r="A98" i="5"/>
  <c r="A97" i="5"/>
  <c r="A112" i="5" s="1"/>
  <c r="A96" i="5"/>
  <c r="A111" i="5" s="1"/>
  <c r="A95" i="5"/>
  <c r="A110" i="5" s="1"/>
  <c r="H91" i="5"/>
  <c r="H89" i="5"/>
  <c r="H87" i="5"/>
  <c r="A86" i="5"/>
  <c r="H85" i="5"/>
  <c r="H81" i="5"/>
  <c r="H92" i="5" s="1"/>
  <c r="A81" i="5"/>
  <c r="A92" i="5" s="1"/>
  <c r="H80" i="5"/>
  <c r="A80" i="5"/>
  <c r="A91" i="5" s="1"/>
  <c r="H79" i="5"/>
  <c r="H90" i="5" s="1"/>
  <c r="A79" i="5"/>
  <c r="A90" i="5" s="1"/>
  <c r="H78" i="5"/>
  <c r="A78" i="5"/>
  <c r="A89" i="5" s="1"/>
  <c r="H77" i="5"/>
  <c r="H88" i="5" s="1"/>
  <c r="A77" i="5"/>
  <c r="A88" i="5" s="1"/>
  <c r="H76" i="5"/>
  <c r="A76" i="5"/>
  <c r="A87" i="5" s="1"/>
  <c r="H75" i="5"/>
  <c r="H86" i="5" s="1"/>
  <c r="A75" i="5"/>
  <c r="H74" i="5"/>
  <c r="A74" i="5"/>
  <c r="A85" i="5" s="1"/>
  <c r="H73" i="5"/>
  <c r="H84" i="5" s="1"/>
  <c r="A73" i="5"/>
  <c r="A84" i="5" s="1"/>
  <c r="H72" i="5"/>
  <c r="H83" i="5" s="1"/>
  <c r="A72" i="5"/>
  <c r="A83" i="5" s="1"/>
  <c r="B59" i="5"/>
  <c r="C33" i="5"/>
  <c r="U16" i="5"/>
  <c r="R17" i="5" s="1"/>
  <c r="O16" i="5"/>
  <c r="D4" i="5"/>
  <c r="D3" i="5"/>
  <c r="F175" i="8"/>
  <c r="A117" i="8"/>
  <c r="A106" i="8"/>
  <c r="A121" i="8" s="1"/>
  <c r="A105" i="8"/>
  <c r="A120" i="8" s="1"/>
  <c r="A104" i="8"/>
  <c r="A119" i="8" s="1"/>
  <c r="A103" i="8"/>
  <c r="A118" i="8" s="1"/>
  <c r="A102" i="8"/>
  <c r="A101" i="8"/>
  <c r="A116" i="8" s="1"/>
  <c r="A100" i="8"/>
  <c r="A115" i="8" s="1"/>
  <c r="A99" i="8"/>
  <c r="A114" i="8" s="1"/>
  <c r="A98" i="8"/>
  <c r="A113" i="8" s="1"/>
  <c r="D97" i="8"/>
  <c r="D112" i="8" s="1"/>
  <c r="A97" i="8"/>
  <c r="A112" i="8" s="1"/>
  <c r="A96" i="8"/>
  <c r="A111" i="8" s="1"/>
  <c r="A95" i="8"/>
  <c r="A110" i="8" s="1"/>
  <c r="H85" i="8"/>
  <c r="H81" i="8"/>
  <c r="H92" i="8" s="1"/>
  <c r="A81" i="8"/>
  <c r="A92" i="8" s="1"/>
  <c r="H80" i="8"/>
  <c r="H91" i="8" s="1"/>
  <c r="A80" i="8"/>
  <c r="A91" i="8" s="1"/>
  <c r="H79" i="8"/>
  <c r="H90" i="8" s="1"/>
  <c r="A79" i="8"/>
  <c r="A90" i="8" s="1"/>
  <c r="H78" i="8"/>
  <c r="H89" i="8" s="1"/>
  <c r="A78" i="8"/>
  <c r="A89" i="8" s="1"/>
  <c r="H77" i="8"/>
  <c r="H88" i="8" s="1"/>
  <c r="A77" i="8"/>
  <c r="A88" i="8" s="1"/>
  <c r="H76" i="8"/>
  <c r="H87" i="8" s="1"/>
  <c r="A76" i="8"/>
  <c r="A87" i="8" s="1"/>
  <c r="H75" i="8"/>
  <c r="H86" i="8" s="1"/>
  <c r="A75" i="8"/>
  <c r="A86" i="8" s="1"/>
  <c r="H74" i="8"/>
  <c r="A74" i="8"/>
  <c r="A85" i="8" s="1"/>
  <c r="H73" i="8"/>
  <c r="H84" i="8" s="1"/>
  <c r="A73" i="8"/>
  <c r="A84" i="8" s="1"/>
  <c r="H72" i="8"/>
  <c r="H83" i="8" s="1"/>
  <c r="A72" i="8"/>
  <c r="A83" i="8" s="1"/>
  <c r="B59" i="8"/>
  <c r="Q47" i="8"/>
  <c r="R39" i="8"/>
  <c r="R17" i="8"/>
  <c r="U16" i="8"/>
  <c r="O16" i="8"/>
  <c r="D4" i="8"/>
  <c r="D3" i="8"/>
  <c r="F175" i="4"/>
  <c r="A118" i="4"/>
  <c r="A117" i="4"/>
  <c r="A106" i="4"/>
  <c r="A121" i="4" s="1"/>
  <c r="D105" i="4"/>
  <c r="D120" i="4" s="1"/>
  <c r="A105" i="4"/>
  <c r="A120" i="4" s="1"/>
  <c r="A104" i="4"/>
  <c r="A119" i="4" s="1"/>
  <c r="A103" i="4"/>
  <c r="A102" i="4"/>
  <c r="A101" i="4"/>
  <c r="A116" i="4" s="1"/>
  <c r="A100" i="4"/>
  <c r="A115" i="4" s="1"/>
  <c r="A99" i="4"/>
  <c r="A114" i="4" s="1"/>
  <c r="A98" i="4"/>
  <c r="A113" i="4" s="1"/>
  <c r="D97" i="4"/>
  <c r="D112" i="4" s="1"/>
  <c r="A97" i="4"/>
  <c r="A112" i="4" s="1"/>
  <c r="A96" i="4"/>
  <c r="A111" i="4" s="1"/>
  <c r="A95" i="4"/>
  <c r="A110" i="4" s="1"/>
  <c r="H89" i="4"/>
  <c r="A89" i="4"/>
  <c r="H85" i="4"/>
  <c r="A85" i="4"/>
  <c r="A83" i="4"/>
  <c r="H81" i="4"/>
  <c r="H92" i="4" s="1"/>
  <c r="A81" i="4"/>
  <c r="A92" i="4" s="1"/>
  <c r="H80" i="4"/>
  <c r="H91" i="4" s="1"/>
  <c r="A80" i="4"/>
  <c r="A91" i="4" s="1"/>
  <c r="H79" i="4"/>
  <c r="H90" i="4" s="1"/>
  <c r="A79" i="4"/>
  <c r="A90" i="4" s="1"/>
  <c r="H78" i="4"/>
  <c r="A78" i="4"/>
  <c r="H77" i="4"/>
  <c r="H88" i="4" s="1"/>
  <c r="A77" i="4"/>
  <c r="A88" i="4" s="1"/>
  <c r="H76" i="4"/>
  <c r="H87" i="4" s="1"/>
  <c r="A76" i="4"/>
  <c r="A87" i="4" s="1"/>
  <c r="H75" i="4"/>
  <c r="H86" i="4" s="1"/>
  <c r="A75" i="4"/>
  <c r="A86" i="4" s="1"/>
  <c r="H74" i="4"/>
  <c r="A74" i="4"/>
  <c r="H73" i="4"/>
  <c r="H84" i="4" s="1"/>
  <c r="A73" i="4"/>
  <c r="A84" i="4" s="1"/>
  <c r="H72" i="4"/>
  <c r="H83" i="4" s="1"/>
  <c r="A72" i="4"/>
  <c r="B59" i="4"/>
  <c r="R47" i="4"/>
  <c r="Q47" i="4"/>
  <c r="R43" i="4"/>
  <c r="R39" i="4"/>
  <c r="C33" i="4"/>
  <c r="R17" i="4"/>
  <c r="U16" i="4"/>
  <c r="O16" i="4"/>
  <c r="H14" i="4"/>
  <c r="D4" i="4"/>
  <c r="D3" i="4"/>
  <c r="F175" i="7"/>
  <c r="A117" i="7"/>
  <c r="A114" i="7"/>
  <c r="A106" i="7"/>
  <c r="A121" i="7" s="1"/>
  <c r="D105" i="7"/>
  <c r="D120" i="7" s="1"/>
  <c r="A105" i="7"/>
  <c r="A120" i="7" s="1"/>
  <c r="A104" i="7"/>
  <c r="A119" i="7" s="1"/>
  <c r="A103" i="7"/>
  <c r="A118" i="7" s="1"/>
  <c r="A102" i="7"/>
  <c r="A101" i="7"/>
  <c r="A116" i="7" s="1"/>
  <c r="A100" i="7"/>
  <c r="A115" i="7" s="1"/>
  <c r="A99" i="7"/>
  <c r="A98" i="7"/>
  <c r="A113" i="7" s="1"/>
  <c r="D97" i="7"/>
  <c r="D112" i="7" s="1"/>
  <c r="A97" i="7"/>
  <c r="A112" i="7" s="1"/>
  <c r="A96" i="7"/>
  <c r="A111" i="7" s="1"/>
  <c r="A95" i="7"/>
  <c r="A110" i="7" s="1"/>
  <c r="H92" i="7"/>
  <c r="A91" i="7"/>
  <c r="A87" i="7"/>
  <c r="H85" i="7"/>
  <c r="H84" i="7"/>
  <c r="H81" i="7"/>
  <c r="A81" i="7"/>
  <c r="A92" i="7" s="1"/>
  <c r="H80" i="7"/>
  <c r="H91" i="7" s="1"/>
  <c r="A80" i="7"/>
  <c r="H79" i="7"/>
  <c r="H90" i="7" s="1"/>
  <c r="A79" i="7"/>
  <c r="A90" i="7" s="1"/>
  <c r="H78" i="7"/>
  <c r="H89" i="7" s="1"/>
  <c r="A78" i="7"/>
  <c r="A89" i="7" s="1"/>
  <c r="H77" i="7"/>
  <c r="H88" i="7" s="1"/>
  <c r="A77" i="7"/>
  <c r="A88" i="7" s="1"/>
  <c r="H76" i="7"/>
  <c r="H87" i="7" s="1"/>
  <c r="A76" i="7"/>
  <c r="H75" i="7"/>
  <c r="H86" i="7" s="1"/>
  <c r="A75" i="7"/>
  <c r="A86" i="7" s="1"/>
  <c r="H74" i="7"/>
  <c r="A74" i="7"/>
  <c r="A85" i="7" s="1"/>
  <c r="H73" i="7"/>
  <c r="A73" i="7"/>
  <c r="A84" i="7" s="1"/>
  <c r="H72" i="7"/>
  <c r="H83" i="7" s="1"/>
  <c r="A72" i="7"/>
  <c r="A83" i="7" s="1"/>
  <c r="B59" i="7"/>
  <c r="R47" i="7"/>
  <c r="Q47" i="7"/>
  <c r="R39" i="7"/>
  <c r="C33" i="7"/>
  <c r="D28" i="7"/>
  <c r="D27" i="7"/>
  <c r="U16" i="7"/>
  <c r="R17" i="7" s="1"/>
  <c r="O16" i="7"/>
  <c r="D4" i="7"/>
  <c r="D3" i="7"/>
  <c r="B58" i="3"/>
  <c r="B59" i="3" s="1"/>
  <c r="B55" i="3"/>
  <c r="B52" i="3"/>
  <c r="B51" i="3"/>
  <c r="C37" i="3"/>
  <c r="D37" i="3"/>
  <c r="C38" i="3"/>
  <c r="D38" i="3"/>
  <c r="C39" i="3"/>
  <c r="D39" i="3"/>
  <c r="D97" i="3" s="1"/>
  <c r="D112" i="3" s="1"/>
  <c r="C40" i="3"/>
  <c r="D40" i="3"/>
  <c r="C41" i="3"/>
  <c r="D41" i="3"/>
  <c r="D99" i="3" s="1"/>
  <c r="D114" i="3" s="1"/>
  <c r="C42" i="3"/>
  <c r="D42" i="3"/>
  <c r="C43" i="3"/>
  <c r="D43" i="3"/>
  <c r="D101" i="3" s="1"/>
  <c r="D116" i="3" s="1"/>
  <c r="C44" i="3"/>
  <c r="D44" i="3"/>
  <c r="C45" i="3"/>
  <c r="D45" i="3"/>
  <c r="D103" i="3" s="1"/>
  <c r="D118" i="3" s="1"/>
  <c r="C46" i="3"/>
  <c r="D46" i="3"/>
  <c r="C47" i="3"/>
  <c r="D47" i="3"/>
  <c r="D105" i="3" s="1"/>
  <c r="D120" i="3" s="1"/>
  <c r="C48" i="3"/>
  <c r="D48" i="3"/>
  <c r="B38" i="3"/>
  <c r="B39" i="3"/>
  <c r="B40" i="3"/>
  <c r="B41" i="3"/>
  <c r="B42" i="3"/>
  <c r="B43" i="3"/>
  <c r="B44" i="3"/>
  <c r="B45" i="3"/>
  <c r="B46" i="3"/>
  <c r="B47" i="3"/>
  <c r="B48" i="3"/>
  <c r="B37" i="3"/>
  <c r="C25" i="3"/>
  <c r="C26" i="3"/>
  <c r="C27" i="3"/>
  <c r="C28" i="3"/>
  <c r="C29" i="3"/>
  <c r="C30" i="3"/>
  <c r="C31" i="3"/>
  <c r="C32" i="3"/>
  <c r="B26" i="3"/>
  <c r="B27" i="3"/>
  <c r="B28" i="3"/>
  <c r="B29" i="3"/>
  <c r="B30" i="3"/>
  <c r="B31" i="3"/>
  <c r="B32" i="3"/>
  <c r="B25" i="3"/>
  <c r="C14" i="3"/>
  <c r="B18" i="3"/>
  <c r="B14" i="3"/>
  <c r="C9" i="3"/>
  <c r="B9" i="3"/>
  <c r="B3" i="3"/>
  <c r="B4" i="3"/>
  <c r="B2" i="3"/>
  <c r="F175" i="3"/>
  <c r="A106" i="3"/>
  <c r="A121" i="3" s="1"/>
  <c r="A105" i="3"/>
  <c r="A120" i="3" s="1"/>
  <c r="A104" i="3"/>
  <c r="A119" i="3" s="1"/>
  <c r="A103" i="3"/>
  <c r="A118" i="3" s="1"/>
  <c r="A102" i="3"/>
  <c r="A117" i="3" s="1"/>
  <c r="A101" i="3"/>
  <c r="A116" i="3" s="1"/>
  <c r="A100" i="3"/>
  <c r="A115" i="3" s="1"/>
  <c r="A99" i="3"/>
  <c r="A114" i="3" s="1"/>
  <c r="A98" i="3"/>
  <c r="A113" i="3" s="1"/>
  <c r="A97" i="3"/>
  <c r="A112" i="3" s="1"/>
  <c r="D96" i="3"/>
  <c r="D111" i="3" s="1"/>
  <c r="A96" i="3"/>
  <c r="A111" i="3" s="1"/>
  <c r="D95" i="3"/>
  <c r="D110" i="3" s="1"/>
  <c r="A95" i="3"/>
  <c r="A110" i="3" s="1"/>
  <c r="H86" i="3"/>
  <c r="H81" i="3"/>
  <c r="H92" i="3" s="1"/>
  <c r="A81" i="3"/>
  <c r="A92" i="3" s="1"/>
  <c r="H80" i="3"/>
  <c r="H91" i="3" s="1"/>
  <c r="A80" i="3"/>
  <c r="A91" i="3" s="1"/>
  <c r="H79" i="3"/>
  <c r="H90" i="3" s="1"/>
  <c r="A79" i="3"/>
  <c r="A90" i="3" s="1"/>
  <c r="H78" i="3"/>
  <c r="H89" i="3" s="1"/>
  <c r="A78" i="3"/>
  <c r="A89" i="3" s="1"/>
  <c r="H77" i="3"/>
  <c r="H88" i="3" s="1"/>
  <c r="A77" i="3"/>
  <c r="A88" i="3" s="1"/>
  <c r="H76" i="3"/>
  <c r="H87" i="3" s="1"/>
  <c r="A76" i="3"/>
  <c r="A87" i="3" s="1"/>
  <c r="H75" i="3"/>
  <c r="A75" i="3"/>
  <c r="A86" i="3" s="1"/>
  <c r="H74" i="3"/>
  <c r="H85" i="3" s="1"/>
  <c r="A74" i="3"/>
  <c r="A85" i="3" s="1"/>
  <c r="H73" i="3"/>
  <c r="H84" i="3" s="1"/>
  <c r="A73" i="3"/>
  <c r="A84" i="3" s="1"/>
  <c r="H72" i="3"/>
  <c r="H83" i="3" s="1"/>
  <c r="A72" i="3"/>
  <c r="A83" i="3" s="1"/>
  <c r="U16" i="3"/>
  <c r="R17" i="3" s="1"/>
  <c r="O16" i="3"/>
  <c r="D4" i="3"/>
  <c r="D3" i="3"/>
  <c r="B58" i="6"/>
  <c r="B59" i="6" s="1"/>
  <c r="B55" i="6"/>
  <c r="B52" i="6"/>
  <c r="B51" i="6"/>
  <c r="C37" i="6"/>
  <c r="D37" i="6"/>
  <c r="D95" i="6" s="1"/>
  <c r="D110" i="6" s="1"/>
  <c r="C38" i="6"/>
  <c r="D38" i="6"/>
  <c r="C39" i="6"/>
  <c r="D39" i="6"/>
  <c r="D97" i="6" s="1"/>
  <c r="D112" i="6" s="1"/>
  <c r="C40" i="6"/>
  <c r="D40" i="6"/>
  <c r="C41" i="6"/>
  <c r="D41" i="6"/>
  <c r="D99" i="6" s="1"/>
  <c r="D114" i="6" s="1"/>
  <c r="C42" i="6"/>
  <c r="D42" i="6"/>
  <c r="C43" i="6"/>
  <c r="D43" i="6"/>
  <c r="D101" i="6" s="1"/>
  <c r="D116" i="6" s="1"/>
  <c r="C44" i="6"/>
  <c r="D44" i="6"/>
  <c r="D102" i="6" s="1"/>
  <c r="D117" i="6" s="1"/>
  <c r="C45" i="6"/>
  <c r="D45" i="6"/>
  <c r="D103" i="6" s="1"/>
  <c r="D118" i="6" s="1"/>
  <c r="C46" i="6"/>
  <c r="D46" i="6"/>
  <c r="C47" i="6"/>
  <c r="D47" i="6"/>
  <c r="D105" i="6" s="1"/>
  <c r="D120" i="6" s="1"/>
  <c r="C48" i="6"/>
  <c r="D48" i="6"/>
  <c r="D106" i="6" s="1"/>
  <c r="D121" i="6" s="1"/>
  <c r="B38" i="6"/>
  <c r="B39" i="6"/>
  <c r="B40" i="6"/>
  <c r="B41" i="6"/>
  <c r="B42" i="6"/>
  <c r="B43" i="6"/>
  <c r="B44" i="6"/>
  <c r="B45" i="6"/>
  <c r="B46" i="6"/>
  <c r="B47" i="6"/>
  <c r="B48" i="6"/>
  <c r="B37" i="6"/>
  <c r="C25" i="6"/>
  <c r="C26" i="6"/>
  <c r="C27" i="6"/>
  <c r="C28" i="6"/>
  <c r="C29" i="6"/>
  <c r="C30" i="6"/>
  <c r="C31" i="6"/>
  <c r="C32" i="6"/>
  <c r="B26" i="6"/>
  <c r="B27" i="6"/>
  <c r="B28" i="6"/>
  <c r="B29" i="6"/>
  <c r="B30" i="6"/>
  <c r="B31" i="6"/>
  <c r="B32" i="6"/>
  <c r="B25" i="6"/>
  <c r="C14" i="6"/>
  <c r="B18" i="6"/>
  <c r="B14" i="6"/>
  <c r="C9" i="6"/>
  <c r="C81" i="6" s="1"/>
  <c r="B9" i="6"/>
  <c r="B3" i="6"/>
  <c r="B4" i="6"/>
  <c r="B2" i="6"/>
  <c r="F175" i="6"/>
  <c r="A121" i="6"/>
  <c r="A117" i="6"/>
  <c r="A113" i="6"/>
  <c r="A106" i="6"/>
  <c r="A105" i="6"/>
  <c r="A120" i="6" s="1"/>
  <c r="A104" i="6"/>
  <c r="A119" i="6" s="1"/>
  <c r="A103" i="6"/>
  <c r="A118" i="6" s="1"/>
  <c r="A102" i="6"/>
  <c r="A101" i="6"/>
  <c r="A116" i="6" s="1"/>
  <c r="A100" i="6"/>
  <c r="A115" i="6" s="1"/>
  <c r="A99" i="6"/>
  <c r="A114" i="6" s="1"/>
  <c r="A98" i="6"/>
  <c r="A97" i="6"/>
  <c r="A112" i="6" s="1"/>
  <c r="A96" i="6"/>
  <c r="A111" i="6" s="1"/>
  <c r="A95" i="6"/>
  <c r="A110" i="6" s="1"/>
  <c r="H89" i="6"/>
  <c r="H87" i="6"/>
  <c r="A86" i="6"/>
  <c r="H81" i="6"/>
  <c r="H92" i="6" s="1"/>
  <c r="A81" i="6"/>
  <c r="A92" i="6" s="1"/>
  <c r="H80" i="6"/>
  <c r="H91" i="6" s="1"/>
  <c r="A80" i="6"/>
  <c r="A91" i="6" s="1"/>
  <c r="H79" i="6"/>
  <c r="H90" i="6" s="1"/>
  <c r="A79" i="6"/>
  <c r="A90" i="6" s="1"/>
  <c r="H78" i="6"/>
  <c r="A78" i="6"/>
  <c r="A89" i="6" s="1"/>
  <c r="H77" i="6"/>
  <c r="H88" i="6" s="1"/>
  <c r="A77" i="6"/>
  <c r="A88" i="6" s="1"/>
  <c r="H76" i="6"/>
  <c r="A76" i="6"/>
  <c r="A87" i="6" s="1"/>
  <c r="H75" i="6"/>
  <c r="H86" i="6" s="1"/>
  <c r="A75" i="6"/>
  <c r="H74" i="6"/>
  <c r="H85" i="6" s="1"/>
  <c r="A74" i="6"/>
  <c r="A85" i="6" s="1"/>
  <c r="H73" i="6"/>
  <c r="H84" i="6" s="1"/>
  <c r="A73" i="6"/>
  <c r="A84" i="6" s="1"/>
  <c r="H72" i="6"/>
  <c r="H83" i="6" s="1"/>
  <c r="A72" i="6"/>
  <c r="A83" i="6" s="1"/>
  <c r="U16" i="6"/>
  <c r="R17" i="6" s="1"/>
  <c r="O16" i="6"/>
  <c r="D4" i="6"/>
  <c r="D3" i="6"/>
  <c r="B58" i="2"/>
  <c r="B59" i="2" s="1"/>
  <c r="B55" i="2"/>
  <c r="B52" i="2"/>
  <c r="B51" i="2"/>
  <c r="B38" i="2"/>
  <c r="C38" i="2"/>
  <c r="D38" i="2"/>
  <c r="D96" i="2" s="1"/>
  <c r="D111" i="2" s="1"/>
  <c r="B39" i="2"/>
  <c r="C39" i="2"/>
  <c r="D39" i="2"/>
  <c r="D97" i="2" s="1"/>
  <c r="D112" i="2" s="1"/>
  <c r="B40" i="2"/>
  <c r="C40" i="2"/>
  <c r="D40" i="2"/>
  <c r="D98" i="2" s="1"/>
  <c r="D113" i="2" s="1"/>
  <c r="B41" i="2"/>
  <c r="C41" i="2"/>
  <c r="D41" i="2"/>
  <c r="B42" i="2"/>
  <c r="C42" i="2"/>
  <c r="D42" i="2"/>
  <c r="B43" i="2"/>
  <c r="C43" i="2"/>
  <c r="D43" i="2"/>
  <c r="B44" i="2"/>
  <c r="C44" i="2"/>
  <c r="D44" i="2"/>
  <c r="D102" i="2" s="1"/>
  <c r="D117" i="2" s="1"/>
  <c r="B45" i="2"/>
  <c r="C45" i="2"/>
  <c r="D45" i="2"/>
  <c r="B46" i="2"/>
  <c r="C46" i="2"/>
  <c r="D46" i="2"/>
  <c r="B47" i="2"/>
  <c r="C47" i="2"/>
  <c r="D47" i="2"/>
  <c r="Q47" i="2" s="1"/>
  <c r="B48" i="2"/>
  <c r="C48" i="2"/>
  <c r="D48" i="2"/>
  <c r="R48" i="2" s="1"/>
  <c r="C37" i="2"/>
  <c r="D37" i="2"/>
  <c r="D95" i="2" s="1"/>
  <c r="D110" i="2" s="1"/>
  <c r="B37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C25" i="2"/>
  <c r="B25" i="2"/>
  <c r="B18" i="2"/>
  <c r="C14" i="2"/>
  <c r="B14" i="2"/>
  <c r="C9" i="2"/>
  <c r="B9" i="2"/>
  <c r="B3" i="2"/>
  <c r="B4" i="2"/>
  <c r="B2" i="2"/>
  <c r="D3" i="2"/>
  <c r="D4" i="2"/>
  <c r="O16" i="2"/>
  <c r="U16" i="2"/>
  <c r="R17" i="2"/>
  <c r="A77" i="2"/>
  <c r="A88" i="2" s="1"/>
  <c r="H77" i="2"/>
  <c r="H88" i="2" s="1"/>
  <c r="A95" i="2"/>
  <c r="A110" i="2" s="1"/>
  <c r="A1" i="2"/>
  <c r="H73" i="2"/>
  <c r="H84" i="2" s="1"/>
  <c r="H81" i="2"/>
  <c r="H92" i="2" s="1"/>
  <c r="A99" i="2"/>
  <c r="A114" i="2" s="1"/>
  <c r="F175" i="2"/>
  <c r="A106" i="2"/>
  <c r="A121" i="2" s="1"/>
  <c r="A105" i="2"/>
  <c r="A120" i="2" s="1"/>
  <c r="A104" i="2"/>
  <c r="A119" i="2" s="1"/>
  <c r="A103" i="2"/>
  <c r="A118" i="2" s="1"/>
  <c r="A102" i="2"/>
  <c r="A117" i="2" s="1"/>
  <c r="A101" i="2"/>
  <c r="A116" i="2" s="1"/>
  <c r="A100" i="2"/>
  <c r="A115" i="2" s="1"/>
  <c r="A98" i="2"/>
  <c r="A113" i="2" s="1"/>
  <c r="A97" i="2"/>
  <c r="A112" i="2" s="1"/>
  <c r="A96" i="2"/>
  <c r="A111" i="2" s="1"/>
  <c r="A81" i="2"/>
  <c r="A92" i="2" s="1"/>
  <c r="H80" i="2"/>
  <c r="H91" i="2" s="1"/>
  <c r="A80" i="2"/>
  <c r="A91" i="2" s="1"/>
  <c r="H79" i="2"/>
  <c r="H90" i="2" s="1"/>
  <c r="A79" i="2"/>
  <c r="A90" i="2" s="1"/>
  <c r="H78" i="2"/>
  <c r="H89" i="2" s="1"/>
  <c r="A78" i="2"/>
  <c r="A89" i="2" s="1"/>
  <c r="H76" i="2"/>
  <c r="H87" i="2" s="1"/>
  <c r="A76" i="2"/>
  <c r="A87" i="2" s="1"/>
  <c r="H75" i="2"/>
  <c r="H86" i="2" s="1"/>
  <c r="A75" i="2"/>
  <c r="A86" i="2" s="1"/>
  <c r="H74" i="2"/>
  <c r="H85" i="2" s="1"/>
  <c r="A74" i="2"/>
  <c r="A85" i="2" s="1"/>
  <c r="A73" i="2"/>
  <c r="A84" i="2" s="1"/>
  <c r="H72" i="2"/>
  <c r="H83" i="2" s="1"/>
  <c r="A72" i="2"/>
  <c r="A83" i="2" s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J73" i="1"/>
  <c r="I73" i="1"/>
  <c r="H73" i="1"/>
  <c r="H84" i="1" s="1"/>
  <c r="H74" i="1"/>
  <c r="H85" i="1" s="1"/>
  <c r="H75" i="1"/>
  <c r="H86" i="1" s="1"/>
  <c r="H76" i="1"/>
  <c r="H87" i="1" s="1"/>
  <c r="H77" i="1"/>
  <c r="H88" i="1" s="1"/>
  <c r="H78" i="1"/>
  <c r="H89" i="1" s="1"/>
  <c r="H79" i="1"/>
  <c r="H90" i="1" s="1"/>
  <c r="H80" i="1"/>
  <c r="H91" i="1" s="1"/>
  <c r="H81" i="1"/>
  <c r="H92" i="1" s="1"/>
  <c r="H72" i="1"/>
  <c r="H83" i="1" s="1"/>
  <c r="U16" i="1"/>
  <c r="R17" i="1" s="1"/>
  <c r="O16" i="1"/>
  <c r="A81" i="1"/>
  <c r="A92" i="1" s="1"/>
  <c r="B81" i="1"/>
  <c r="C81" i="1"/>
  <c r="C33" i="1"/>
  <c r="C33" i="6" s="1"/>
  <c r="B33" i="1"/>
  <c r="I81" i="1" s="1"/>
  <c r="D31" i="1"/>
  <c r="D30" i="1"/>
  <c r="D29" i="1"/>
  <c r="D28" i="1"/>
  <c r="D27" i="1"/>
  <c r="D26" i="1"/>
  <c r="R48" i="3" l="1"/>
  <c r="Q46" i="6"/>
  <c r="R46" i="3"/>
  <c r="Q45" i="8"/>
  <c r="Q45" i="4"/>
  <c r="Q45" i="2"/>
  <c r="Q43" i="4"/>
  <c r="R47" i="8"/>
  <c r="R46" i="2"/>
  <c r="Q48" i="7"/>
  <c r="D106" i="7"/>
  <c r="D121" i="7" s="1"/>
  <c r="R43" i="7"/>
  <c r="D101" i="4"/>
  <c r="D116" i="4" s="1"/>
  <c r="I14" i="7"/>
  <c r="D29" i="7"/>
  <c r="R45" i="3"/>
  <c r="D27" i="4"/>
  <c r="Q39" i="7"/>
  <c r="Q43" i="2"/>
  <c r="Q46" i="3"/>
  <c r="Q47" i="5"/>
  <c r="D100" i="7"/>
  <c r="D115" i="7" s="1"/>
  <c r="R46" i="7"/>
  <c r="D100" i="4"/>
  <c r="D115" i="4" s="1"/>
  <c r="Q42" i="8"/>
  <c r="Q46" i="7"/>
  <c r="Q46" i="8"/>
  <c r="D104" i="5"/>
  <c r="D119" i="5" s="1"/>
  <c r="D103" i="9"/>
  <c r="D118" i="9" s="1"/>
  <c r="R38" i="9"/>
  <c r="R38" i="5"/>
  <c r="R46" i="6"/>
  <c r="D104" i="4"/>
  <c r="D119" i="4" s="1"/>
  <c r="R46" i="8"/>
  <c r="Q41" i="5"/>
  <c r="R41" i="7"/>
  <c r="D100" i="5"/>
  <c r="D115" i="5" s="1"/>
  <c r="Q42" i="3"/>
  <c r="Q48" i="8"/>
  <c r="R41" i="3"/>
  <c r="Q37" i="3"/>
  <c r="Q46" i="4"/>
  <c r="Q45" i="3"/>
  <c r="D26" i="4"/>
  <c r="Q46" i="5"/>
  <c r="D105" i="2"/>
  <c r="D120" i="2" s="1"/>
  <c r="Q46" i="9"/>
  <c r="R41" i="2"/>
  <c r="R42" i="9"/>
  <c r="R47" i="6"/>
  <c r="Q45" i="9"/>
  <c r="Q46" i="2"/>
  <c r="R37" i="3"/>
  <c r="R44" i="3"/>
  <c r="D26" i="7"/>
  <c r="D26" i="5"/>
  <c r="C74" i="7"/>
  <c r="C105" i="7"/>
  <c r="C102" i="7"/>
  <c r="I81" i="8"/>
  <c r="J81" i="7"/>
  <c r="J75" i="7"/>
  <c r="D104" i="2"/>
  <c r="D119" i="2" s="1"/>
  <c r="Q37" i="2"/>
  <c r="Q37" i="9"/>
  <c r="Q41" i="9"/>
  <c r="R38" i="2"/>
  <c r="R37" i="2"/>
  <c r="D103" i="2"/>
  <c r="D118" i="2" s="1"/>
  <c r="R37" i="9"/>
  <c r="Q38" i="5"/>
  <c r="Q38" i="8"/>
  <c r="J81" i="6"/>
  <c r="R46" i="9"/>
  <c r="D26" i="9"/>
  <c r="B53" i="3"/>
  <c r="B56" i="3" s="1"/>
  <c r="R38" i="3"/>
  <c r="J76" i="6"/>
  <c r="J78" i="6"/>
  <c r="I79" i="6"/>
  <c r="R41" i="6"/>
  <c r="R45" i="5"/>
  <c r="D30" i="4"/>
  <c r="D30" i="7"/>
  <c r="C95" i="2"/>
  <c r="D26" i="6"/>
  <c r="Q45" i="6"/>
  <c r="R45" i="6"/>
  <c r="Q37" i="6"/>
  <c r="Q41" i="6"/>
  <c r="C99" i="7"/>
  <c r="J76" i="7"/>
  <c r="C81" i="2"/>
  <c r="C74" i="2"/>
  <c r="C73" i="6"/>
  <c r="C102" i="2"/>
  <c r="B104" i="8"/>
  <c r="Q38" i="2"/>
  <c r="R37" i="7"/>
  <c r="R45" i="2"/>
  <c r="R39" i="3"/>
  <c r="R45" i="7"/>
  <c r="D103" i="4"/>
  <c r="D118" i="4" s="1"/>
  <c r="D103" i="8"/>
  <c r="D118" i="8" s="1"/>
  <c r="R47" i="2"/>
  <c r="Q37" i="7"/>
  <c r="D30" i="6"/>
  <c r="D28" i="3"/>
  <c r="I14" i="6"/>
  <c r="C101" i="2"/>
  <c r="J77" i="6"/>
  <c r="I14" i="2"/>
  <c r="Q39" i="6"/>
  <c r="R42" i="6"/>
  <c r="R38" i="6"/>
  <c r="J74" i="3"/>
  <c r="D106" i="8"/>
  <c r="D121" i="8" s="1"/>
  <c r="B78" i="5"/>
  <c r="B105" i="5"/>
  <c r="Q37" i="5"/>
  <c r="J79" i="8"/>
  <c r="R42" i="8"/>
  <c r="R38" i="8"/>
  <c r="J79" i="4"/>
  <c r="R42" i="4"/>
  <c r="R38" i="4"/>
  <c r="C104" i="7"/>
  <c r="R42" i="7"/>
  <c r="C96" i="7"/>
  <c r="D27" i="2"/>
  <c r="D26" i="3"/>
  <c r="R42" i="3"/>
  <c r="D28" i="5"/>
  <c r="B61" i="5"/>
  <c r="D29" i="8"/>
  <c r="B99" i="4"/>
  <c r="Q38" i="4"/>
  <c r="Q38" i="7"/>
  <c r="B102" i="5"/>
  <c r="J74" i="8"/>
  <c r="Q47" i="6"/>
  <c r="D29" i="6"/>
  <c r="J75" i="6"/>
  <c r="B106" i="3"/>
  <c r="C104" i="3"/>
  <c r="J80" i="2"/>
  <c r="C74" i="6"/>
  <c r="I74" i="6"/>
  <c r="J73" i="6"/>
  <c r="C105" i="6"/>
  <c r="F14" i="3"/>
  <c r="B101" i="5"/>
  <c r="B53" i="5"/>
  <c r="B56" i="5" s="1"/>
  <c r="D100" i="6"/>
  <c r="D115" i="6" s="1"/>
  <c r="R38" i="7"/>
  <c r="D95" i="5"/>
  <c r="D110" i="5" s="1"/>
  <c r="R44" i="5"/>
  <c r="B106" i="8"/>
  <c r="D99" i="2"/>
  <c r="D114" i="2" s="1"/>
  <c r="Q42" i="6"/>
  <c r="D96" i="6"/>
  <c r="D111" i="6" s="1"/>
  <c r="B106" i="6"/>
  <c r="C104" i="4"/>
  <c r="Q43" i="5"/>
  <c r="D104" i="3"/>
  <c r="D119" i="3" s="1"/>
  <c r="R45" i="4"/>
  <c r="R43" i="9"/>
  <c r="Q41" i="2"/>
  <c r="Q42" i="2"/>
  <c r="D104" i="6"/>
  <c r="D119" i="6" s="1"/>
  <c r="Q48" i="2"/>
  <c r="R39" i="6"/>
  <c r="D100" i="3"/>
  <c r="D115" i="3" s="1"/>
  <c r="Q45" i="7"/>
  <c r="Q45" i="5"/>
  <c r="R41" i="9"/>
  <c r="J74" i="6"/>
  <c r="D29" i="5"/>
  <c r="D30" i="9"/>
  <c r="D27" i="9"/>
  <c r="D31" i="8"/>
  <c r="J81" i="5"/>
  <c r="I73" i="4"/>
  <c r="I78" i="4"/>
  <c r="B81" i="4"/>
  <c r="B95" i="4"/>
  <c r="B103" i="4"/>
  <c r="B106" i="4"/>
  <c r="I76" i="8"/>
  <c r="I78" i="8"/>
  <c r="B81" i="8"/>
  <c r="B100" i="8"/>
  <c r="C74" i="5"/>
  <c r="C97" i="5"/>
  <c r="C73" i="2"/>
  <c r="C97" i="2"/>
  <c r="C105" i="2"/>
  <c r="C106" i="2"/>
  <c r="B105" i="3"/>
  <c r="J73" i="7"/>
  <c r="J78" i="7"/>
  <c r="I76" i="4"/>
  <c r="B100" i="4"/>
  <c r="I74" i="8"/>
  <c r="B97" i="8"/>
  <c r="J80" i="5"/>
  <c r="C101" i="5"/>
  <c r="C105" i="5"/>
  <c r="I78" i="5"/>
  <c r="J77" i="5"/>
  <c r="B104" i="5"/>
  <c r="B96" i="5"/>
  <c r="C103" i="5"/>
  <c r="C99" i="5"/>
  <c r="C95" i="5"/>
  <c r="J78" i="8"/>
  <c r="B105" i="8"/>
  <c r="I79" i="4"/>
  <c r="B105" i="4"/>
  <c r="B97" i="4"/>
  <c r="B73" i="8"/>
  <c r="C81" i="5"/>
  <c r="J75" i="5"/>
  <c r="C102" i="5"/>
  <c r="C99" i="2"/>
  <c r="B104" i="6"/>
  <c r="B96" i="6"/>
  <c r="C99" i="6"/>
  <c r="C95" i="6"/>
  <c r="I77" i="3"/>
  <c r="J76" i="3"/>
  <c r="C100" i="7"/>
  <c r="I77" i="4"/>
  <c r="B101" i="4"/>
  <c r="J77" i="8"/>
  <c r="B95" i="8"/>
  <c r="C73" i="5"/>
  <c r="C106" i="5"/>
  <c r="B104" i="4"/>
  <c r="B101" i="8"/>
  <c r="C98" i="5"/>
  <c r="J74" i="7"/>
  <c r="C97" i="7"/>
  <c r="C103" i="7"/>
  <c r="I81" i="4"/>
  <c r="I73" i="8"/>
  <c r="J75" i="8"/>
  <c r="C102" i="8"/>
  <c r="C96" i="5"/>
  <c r="J74" i="5"/>
  <c r="I77" i="8"/>
  <c r="J79" i="2"/>
  <c r="C96" i="2"/>
  <c r="C104" i="2"/>
  <c r="J77" i="7"/>
  <c r="C106" i="7"/>
  <c r="B73" i="4"/>
  <c r="I75" i="4"/>
  <c r="B78" i="4"/>
  <c r="I80" i="4"/>
  <c r="B78" i="8"/>
  <c r="I80" i="8"/>
  <c r="B96" i="8"/>
  <c r="B99" i="8"/>
  <c r="J73" i="5"/>
  <c r="C104" i="5"/>
  <c r="I74" i="4"/>
  <c r="J75" i="2"/>
  <c r="C100" i="2"/>
  <c r="C73" i="7"/>
  <c r="C81" i="7"/>
  <c r="C95" i="7"/>
  <c r="C74" i="8"/>
  <c r="B103" i="8"/>
  <c r="B5" i="4"/>
  <c r="B5" i="7"/>
  <c r="Q38" i="6"/>
  <c r="D31" i="6"/>
  <c r="I75" i="6"/>
  <c r="I77" i="6"/>
  <c r="R43" i="3"/>
  <c r="B61" i="3"/>
  <c r="B101" i="3"/>
  <c r="Q38" i="3"/>
  <c r="Q39" i="4"/>
  <c r="R37" i="5"/>
  <c r="B98" i="5"/>
  <c r="Q43" i="9"/>
  <c r="B53" i="9"/>
  <c r="B56" i="9" s="1"/>
  <c r="Q40" i="8"/>
  <c r="B98" i="4"/>
  <c r="Q40" i="7"/>
  <c r="R40" i="2"/>
  <c r="B53" i="2"/>
  <c r="B56" i="2" s="1"/>
  <c r="R37" i="6"/>
  <c r="C102" i="6"/>
  <c r="B61" i="6"/>
  <c r="D31" i="4"/>
  <c r="Q41" i="4"/>
  <c r="I79" i="8"/>
  <c r="D27" i="5"/>
  <c r="B73" i="5"/>
  <c r="I74" i="5"/>
  <c r="I76" i="5"/>
  <c r="B106" i="5"/>
  <c r="R40" i="5"/>
  <c r="B100" i="6"/>
  <c r="R41" i="4"/>
  <c r="D30" i="8"/>
  <c r="R41" i="8"/>
  <c r="B81" i="5"/>
  <c r="B99" i="5"/>
  <c r="D29" i="4"/>
  <c r="D27" i="6"/>
  <c r="B73" i="6"/>
  <c r="I76" i="6"/>
  <c r="B95" i="6"/>
  <c r="C100" i="6"/>
  <c r="D27" i="3"/>
  <c r="B95" i="5"/>
  <c r="B97" i="5"/>
  <c r="Q39" i="9"/>
  <c r="R40" i="8"/>
  <c r="R40" i="7"/>
  <c r="D28" i="6"/>
  <c r="I78" i="6"/>
  <c r="B81" i="6"/>
  <c r="B98" i="6"/>
  <c r="Q47" i="3"/>
  <c r="Q37" i="4"/>
  <c r="I81" i="5"/>
  <c r="I73" i="5"/>
  <c r="R39" i="9"/>
  <c r="R39" i="5"/>
  <c r="B78" i="6"/>
  <c r="D29" i="3"/>
  <c r="R47" i="3"/>
  <c r="R37" i="4"/>
  <c r="R37" i="8"/>
  <c r="J76" i="8"/>
  <c r="I75" i="5"/>
  <c r="I77" i="5"/>
  <c r="I79" i="5"/>
  <c r="Q47" i="9"/>
  <c r="Q40" i="2"/>
  <c r="I73" i="6"/>
  <c r="B99" i="6"/>
  <c r="B101" i="6"/>
  <c r="D30" i="3"/>
  <c r="Q43" i="3"/>
  <c r="R47" i="9"/>
  <c r="R42" i="5"/>
  <c r="C106" i="8"/>
  <c r="C104" i="8"/>
  <c r="C99" i="8"/>
  <c r="C73" i="8"/>
  <c r="B73" i="3"/>
  <c r="I75" i="3"/>
  <c r="B95" i="3"/>
  <c r="B102" i="3"/>
  <c r="B98" i="3"/>
  <c r="B100" i="9"/>
  <c r="B78" i="3"/>
  <c r="B81" i="3"/>
  <c r="B99" i="3"/>
  <c r="I76" i="3"/>
  <c r="I78" i="3"/>
  <c r="B96" i="3"/>
  <c r="B100" i="3"/>
  <c r="I74" i="3"/>
  <c r="B104" i="3"/>
  <c r="B98" i="8"/>
  <c r="B74" i="2"/>
  <c r="E14" i="3"/>
  <c r="B5" i="9"/>
  <c r="C95" i="8"/>
  <c r="C100" i="8"/>
  <c r="C103" i="8"/>
  <c r="C105" i="8"/>
  <c r="C81" i="8"/>
  <c r="C96" i="8"/>
  <c r="B96" i="9"/>
  <c r="B73" i="9"/>
  <c r="B106" i="9"/>
  <c r="B97" i="9"/>
  <c r="I81" i="9"/>
  <c r="I73" i="9"/>
  <c r="I76" i="9"/>
  <c r="I79" i="9"/>
  <c r="B95" i="9"/>
  <c r="B98" i="9"/>
  <c r="I75" i="9"/>
  <c r="B74" i="8"/>
  <c r="B99" i="9"/>
  <c r="I75" i="8"/>
  <c r="I74" i="9"/>
  <c r="B78" i="9"/>
  <c r="R40" i="3"/>
  <c r="Q38" i="9"/>
  <c r="B53" i="8"/>
  <c r="B56" i="8" s="1"/>
  <c r="J73" i="8"/>
  <c r="C97" i="8"/>
  <c r="J78" i="5"/>
  <c r="C106" i="4"/>
  <c r="C74" i="4"/>
  <c r="B104" i="9"/>
  <c r="B102" i="4"/>
  <c r="I80" i="5"/>
  <c r="B102" i="9"/>
  <c r="B97" i="3"/>
  <c r="I77" i="7"/>
  <c r="I75" i="7"/>
  <c r="R40" i="6"/>
  <c r="C97" i="6"/>
  <c r="B96" i="4"/>
  <c r="B5" i="5"/>
  <c r="B5" i="2"/>
  <c r="B5" i="8"/>
  <c r="B5" i="3"/>
  <c r="B5" i="6"/>
  <c r="C103" i="6"/>
  <c r="J81" i="9"/>
  <c r="J79" i="6"/>
  <c r="C96" i="6"/>
  <c r="C106" i="6"/>
  <c r="C98" i="6"/>
  <c r="C97" i="9"/>
  <c r="C101" i="6"/>
  <c r="C104" i="6"/>
  <c r="C95" i="9"/>
  <c r="J77" i="9"/>
  <c r="I79" i="7"/>
  <c r="B98" i="7"/>
  <c r="B103" i="7"/>
  <c r="B105" i="7"/>
  <c r="I79" i="2"/>
  <c r="B78" i="7"/>
  <c r="B73" i="2"/>
  <c r="B73" i="7"/>
  <c r="I74" i="7"/>
  <c r="I76" i="7"/>
  <c r="B99" i="7"/>
  <c r="I81" i="7"/>
  <c r="I78" i="7"/>
  <c r="B81" i="7"/>
  <c r="B97" i="7"/>
  <c r="B104" i="7"/>
  <c r="B106" i="7"/>
  <c r="B95" i="7"/>
  <c r="I73" i="7"/>
  <c r="C97" i="4"/>
  <c r="Q39" i="2"/>
  <c r="Q39" i="3"/>
  <c r="B96" i="7"/>
  <c r="E14" i="6"/>
  <c r="B74" i="4"/>
  <c r="F14" i="6"/>
  <c r="D14" i="4"/>
  <c r="H14" i="6"/>
  <c r="E14" i="4"/>
  <c r="C95" i="3"/>
  <c r="C73" i="3"/>
  <c r="J78" i="3"/>
  <c r="C102" i="3"/>
  <c r="C102" i="4"/>
  <c r="C106" i="9"/>
  <c r="C102" i="9"/>
  <c r="C81" i="3"/>
  <c r="C103" i="2"/>
  <c r="C100" i="3"/>
  <c r="C100" i="4"/>
  <c r="J73" i="9"/>
  <c r="J75" i="9"/>
  <c r="C81" i="9"/>
  <c r="J74" i="2"/>
  <c r="J80" i="6"/>
  <c r="J73" i="3"/>
  <c r="C103" i="3"/>
  <c r="C105" i="3"/>
  <c r="J81" i="4"/>
  <c r="C73" i="4"/>
  <c r="J74" i="4"/>
  <c r="J76" i="4"/>
  <c r="C96" i="4"/>
  <c r="C98" i="4"/>
  <c r="C104" i="9"/>
  <c r="J75" i="3"/>
  <c r="J77" i="3"/>
  <c r="C96" i="3"/>
  <c r="C98" i="3"/>
  <c r="J80" i="3"/>
  <c r="J78" i="4"/>
  <c r="C103" i="4"/>
  <c r="C105" i="4"/>
  <c r="C74" i="9"/>
  <c r="C96" i="9"/>
  <c r="C98" i="9"/>
  <c r="C101" i="9"/>
  <c r="J80" i="9"/>
  <c r="J80" i="4"/>
  <c r="J77" i="2"/>
  <c r="C74" i="3"/>
  <c r="J79" i="9"/>
  <c r="J73" i="2"/>
  <c r="C101" i="3"/>
  <c r="J73" i="4"/>
  <c r="C81" i="4"/>
  <c r="C99" i="4"/>
  <c r="C101" i="4"/>
  <c r="J78" i="9"/>
  <c r="J80" i="7"/>
  <c r="C97" i="3"/>
  <c r="J76" i="2"/>
  <c r="C99" i="3"/>
  <c r="J75" i="4"/>
  <c r="J77" i="4"/>
  <c r="C95" i="4"/>
  <c r="C73" i="9"/>
  <c r="J74" i="9"/>
  <c r="C99" i="9"/>
  <c r="C103" i="9"/>
  <c r="B103" i="3"/>
  <c r="B105" i="6"/>
  <c r="B103" i="5"/>
  <c r="B102" i="7"/>
  <c r="B74" i="5"/>
  <c r="B101" i="7"/>
  <c r="B97" i="6"/>
  <c r="I80" i="3"/>
  <c r="I79" i="3"/>
  <c r="B103" i="6"/>
  <c r="I80" i="7"/>
  <c r="B61" i="7"/>
  <c r="B53" i="4"/>
  <c r="B56" i="4" s="1"/>
  <c r="B53" i="6"/>
  <c r="B56" i="6" s="1"/>
  <c r="B61" i="2"/>
  <c r="R44" i="2"/>
  <c r="Q44" i="2"/>
  <c r="R44" i="7"/>
  <c r="Q44" i="8"/>
  <c r="R44" i="8"/>
  <c r="Q43" i="6"/>
  <c r="R43" i="6"/>
  <c r="D101" i="2"/>
  <c r="D116" i="2" s="1"/>
  <c r="D101" i="5"/>
  <c r="D116" i="5" s="1"/>
  <c r="R43" i="2"/>
  <c r="Q43" i="8"/>
  <c r="R43" i="8"/>
  <c r="D100" i="9"/>
  <c r="D115" i="9" s="1"/>
  <c r="R41" i="5"/>
  <c r="D99" i="5"/>
  <c r="D114" i="5" s="1"/>
  <c r="Q41" i="3"/>
  <c r="D99" i="7"/>
  <c r="D114" i="7" s="1"/>
  <c r="Q41" i="7"/>
  <c r="C100" i="5"/>
  <c r="D32" i="6"/>
  <c r="D31" i="5"/>
  <c r="D28" i="4"/>
  <c r="J76" i="9"/>
  <c r="D29" i="2"/>
  <c r="C33" i="2"/>
  <c r="J81" i="2" s="1"/>
  <c r="C33" i="8"/>
  <c r="J81" i="8" s="1"/>
  <c r="C33" i="3"/>
  <c r="J81" i="3" s="1"/>
  <c r="D26" i="8"/>
  <c r="D32" i="2"/>
  <c r="D32" i="8"/>
  <c r="D30" i="2"/>
  <c r="D31" i="2"/>
  <c r="D31" i="3"/>
  <c r="D31" i="7"/>
  <c r="D29" i="9"/>
  <c r="D28" i="2"/>
  <c r="D27" i="8"/>
  <c r="D28" i="8"/>
  <c r="I73" i="3"/>
  <c r="D33" i="1"/>
  <c r="B33" i="2"/>
  <c r="I81" i="2" s="1"/>
  <c r="B33" i="3"/>
  <c r="I81" i="3" s="1"/>
  <c r="B33" i="6"/>
  <c r="I81" i="6" s="1"/>
  <c r="D14" i="7"/>
  <c r="E14" i="7"/>
  <c r="G14" i="7"/>
  <c r="H14" i="7"/>
  <c r="C98" i="7"/>
  <c r="Q44" i="7"/>
  <c r="Q43" i="7"/>
  <c r="J79" i="7"/>
  <c r="D32" i="7"/>
  <c r="Q40" i="4"/>
  <c r="Q44" i="4"/>
  <c r="Q48" i="4"/>
  <c r="R40" i="4"/>
  <c r="R44" i="4"/>
  <c r="R48" i="4"/>
  <c r="D32" i="4"/>
  <c r="D33" i="4"/>
  <c r="J14" i="4"/>
  <c r="Q37" i="8"/>
  <c r="Q41" i="8"/>
  <c r="R45" i="8"/>
  <c r="C98" i="8"/>
  <c r="B102" i="8"/>
  <c r="J80" i="8"/>
  <c r="D106" i="5"/>
  <c r="D121" i="5" s="1"/>
  <c r="Q40" i="5"/>
  <c r="Q44" i="5"/>
  <c r="Q48" i="5"/>
  <c r="D98" i="5"/>
  <c r="D113" i="5" s="1"/>
  <c r="D102" i="5"/>
  <c r="D117" i="5" s="1"/>
  <c r="D30" i="5"/>
  <c r="J79" i="5"/>
  <c r="D32" i="5"/>
  <c r="Q40" i="9"/>
  <c r="Q44" i="9"/>
  <c r="Q48" i="9"/>
  <c r="R40" i="9"/>
  <c r="R44" i="9"/>
  <c r="R48" i="9"/>
  <c r="D31" i="9"/>
  <c r="D32" i="9"/>
  <c r="C100" i="9"/>
  <c r="I78" i="9"/>
  <c r="I80" i="9"/>
  <c r="B74" i="9"/>
  <c r="B101" i="9"/>
  <c r="B103" i="9"/>
  <c r="B105" i="9"/>
  <c r="I77" i="9"/>
  <c r="D14" i="9"/>
  <c r="D33" i="9"/>
  <c r="E14" i="9"/>
  <c r="F14" i="9"/>
  <c r="G14" i="9"/>
  <c r="H14" i="9"/>
  <c r="D14" i="5"/>
  <c r="D33" i="5"/>
  <c r="E14" i="5"/>
  <c r="G14" i="5"/>
  <c r="H14" i="5"/>
  <c r="F14" i="5"/>
  <c r="I14" i="5"/>
  <c r="D14" i="8"/>
  <c r="E14" i="8"/>
  <c r="F14" i="8"/>
  <c r="G14" i="8"/>
  <c r="H14" i="8"/>
  <c r="I14" i="8"/>
  <c r="F14" i="4"/>
  <c r="I14" i="4"/>
  <c r="F14" i="7"/>
  <c r="B74" i="7"/>
  <c r="D33" i="7"/>
  <c r="D106" i="3"/>
  <c r="D121" i="3" s="1"/>
  <c r="Q40" i="3"/>
  <c r="Q44" i="3"/>
  <c r="Q48" i="3"/>
  <c r="D98" i="3"/>
  <c r="D113" i="3" s="1"/>
  <c r="D102" i="3"/>
  <c r="D117" i="3" s="1"/>
  <c r="C106" i="3"/>
  <c r="J79" i="3"/>
  <c r="D32" i="3"/>
  <c r="D14" i="3"/>
  <c r="G14" i="3"/>
  <c r="H14" i="3"/>
  <c r="I14" i="3"/>
  <c r="B74" i="3"/>
  <c r="Q48" i="6"/>
  <c r="Q44" i="6"/>
  <c r="R44" i="6"/>
  <c r="R48" i="6"/>
  <c r="Q40" i="6"/>
  <c r="D98" i="6"/>
  <c r="D113" i="6" s="1"/>
  <c r="B102" i="6"/>
  <c r="I80" i="6"/>
  <c r="B74" i="6"/>
  <c r="D14" i="6"/>
  <c r="G14" i="6"/>
  <c r="D100" i="2"/>
  <c r="D115" i="2" s="1"/>
  <c r="B98" i="2"/>
  <c r="R39" i="2"/>
  <c r="R42" i="2"/>
  <c r="D26" i="2"/>
  <c r="J78" i="2"/>
  <c r="D14" i="2"/>
  <c r="H14" i="2"/>
  <c r="G14" i="2"/>
  <c r="C98" i="2"/>
  <c r="F14" i="2"/>
  <c r="E14" i="2"/>
  <c r="D106" i="2"/>
  <c r="D121" i="2" s="1"/>
  <c r="B78" i="2"/>
  <c r="B99" i="2"/>
  <c r="B101" i="2"/>
  <c r="B103" i="2"/>
  <c r="B105" i="2"/>
  <c r="B95" i="2"/>
  <c r="I78" i="2"/>
  <c r="I80" i="2"/>
  <c r="B97" i="2"/>
  <c r="I73" i="2"/>
  <c r="I76" i="2"/>
  <c r="B100" i="2"/>
  <c r="B102" i="2"/>
  <c r="B104" i="2"/>
  <c r="B106" i="2"/>
  <c r="I74" i="2"/>
  <c r="I75" i="2"/>
  <c r="I77" i="2"/>
  <c r="B81" i="2"/>
  <c r="B96" i="2"/>
  <c r="J81" i="1"/>
  <c r="D32" i="1"/>
  <c r="D33" i="6" l="1"/>
  <c r="D34" i="6" s="1"/>
  <c r="D33" i="2"/>
  <c r="D34" i="2" s="1"/>
  <c r="D33" i="8"/>
  <c r="D34" i="8" s="1"/>
  <c r="D34" i="1"/>
  <c r="J14" i="7"/>
  <c r="D33" i="3"/>
  <c r="D34" i="3" s="1"/>
  <c r="D34" i="4"/>
  <c r="D34" i="5"/>
  <c r="D34" i="9"/>
  <c r="D34" i="7"/>
  <c r="C15" i="4"/>
  <c r="C75" i="4" s="1"/>
  <c r="C15" i="9"/>
  <c r="C75" i="9" s="1"/>
  <c r="C15" i="7"/>
  <c r="C15" i="5"/>
  <c r="C75" i="5" s="1"/>
  <c r="C15" i="6"/>
  <c r="C75" i="6" s="1"/>
  <c r="C15" i="2"/>
  <c r="C15" i="8"/>
  <c r="C15" i="3"/>
  <c r="B15" i="7"/>
  <c r="B15" i="5"/>
  <c r="B75" i="5" s="1"/>
  <c r="B15" i="8"/>
  <c r="B75" i="8" s="1"/>
  <c r="B15" i="3"/>
  <c r="B75" i="3" s="1"/>
  <c r="B15" i="2"/>
  <c r="B15" i="9"/>
  <c r="B75" i="9" s="1"/>
  <c r="B15" i="6"/>
  <c r="B15" i="4"/>
  <c r="J14" i="2"/>
  <c r="J14" i="9"/>
  <c r="J14" i="5"/>
  <c r="J14" i="8"/>
  <c r="J14" i="3"/>
  <c r="J14" i="6"/>
  <c r="D15" i="2" l="1"/>
  <c r="H15" i="4"/>
  <c r="H15" i="2"/>
  <c r="I15" i="2"/>
  <c r="G15" i="2"/>
  <c r="J15" i="2" s="1"/>
  <c r="D15" i="5"/>
  <c r="F15" i="2"/>
  <c r="C75" i="2"/>
  <c r="I15" i="5"/>
  <c r="F15" i="5"/>
  <c r="G15" i="5"/>
  <c r="E15" i="5"/>
  <c r="I15" i="6"/>
  <c r="I15" i="4"/>
  <c r="E15" i="6"/>
  <c r="D15" i="3"/>
  <c r="I15" i="8"/>
  <c r="G15" i="3"/>
  <c r="D15" i="9"/>
  <c r="H15" i="6"/>
  <c r="F15" i="9"/>
  <c r="D15" i="6"/>
  <c r="G15" i="9"/>
  <c r="F15" i="6"/>
  <c r="C75" i="3"/>
  <c r="B16" i="9"/>
  <c r="B76" i="9" s="1"/>
  <c r="B16" i="7"/>
  <c r="B16" i="5"/>
  <c r="B76" i="5" s="1"/>
  <c r="B16" i="4"/>
  <c r="B76" i="4" s="1"/>
  <c r="B16" i="8"/>
  <c r="B16" i="3"/>
  <c r="B76" i="3" s="1"/>
  <c r="B16" i="2"/>
  <c r="B76" i="2" s="1"/>
  <c r="B16" i="6"/>
  <c r="B76" i="6" s="1"/>
  <c r="B75" i="6"/>
  <c r="D15" i="4"/>
  <c r="B75" i="4"/>
  <c r="D15" i="8"/>
  <c r="E15" i="2"/>
  <c r="B75" i="2"/>
  <c r="E15" i="3"/>
  <c r="F15" i="4"/>
  <c r="F15" i="8"/>
  <c r="E15" i="9"/>
  <c r="C16" i="6"/>
  <c r="C16" i="4"/>
  <c r="F16" i="4" s="1"/>
  <c r="C16" i="9"/>
  <c r="C16" i="7"/>
  <c r="C16" i="5"/>
  <c r="C16" i="8"/>
  <c r="C76" i="8" s="1"/>
  <c r="C16" i="3"/>
  <c r="C16" i="2"/>
  <c r="E15" i="4"/>
  <c r="H15" i="3"/>
  <c r="G15" i="4"/>
  <c r="J15" i="4" s="1"/>
  <c r="G15" i="8"/>
  <c r="H15" i="8"/>
  <c r="F15" i="7"/>
  <c r="I15" i="7"/>
  <c r="G15" i="7"/>
  <c r="C75" i="7"/>
  <c r="D15" i="7"/>
  <c r="C20" i="7"/>
  <c r="C20" i="5"/>
  <c r="C80" i="5" s="1"/>
  <c r="C20" i="8"/>
  <c r="C80" i="8" s="1"/>
  <c r="C20" i="3"/>
  <c r="C80" i="3" s="1"/>
  <c r="C20" i="6"/>
  <c r="C20" i="4"/>
  <c r="C20" i="9"/>
  <c r="C80" i="9" s="1"/>
  <c r="C20" i="2"/>
  <c r="C80" i="2" s="1"/>
  <c r="I15" i="3"/>
  <c r="C75" i="8"/>
  <c r="E15" i="8"/>
  <c r="H15" i="9"/>
  <c r="H15" i="5"/>
  <c r="B19" i="6"/>
  <c r="B79" i="6" s="1"/>
  <c r="B19" i="4"/>
  <c r="B79" i="4" s="1"/>
  <c r="B19" i="9"/>
  <c r="B79" i="9" s="1"/>
  <c r="B19" i="2"/>
  <c r="B79" i="2" s="1"/>
  <c r="B19" i="8"/>
  <c r="B79" i="8" s="1"/>
  <c r="B19" i="7"/>
  <c r="B19" i="5"/>
  <c r="B79" i="5" s="1"/>
  <c r="B19" i="3"/>
  <c r="B79" i="3" s="1"/>
  <c r="G15" i="6"/>
  <c r="F15" i="3"/>
  <c r="I15" i="9"/>
  <c r="B75" i="7"/>
  <c r="H15" i="7"/>
  <c r="E15" i="7"/>
  <c r="C80" i="4"/>
  <c r="G21" i="1"/>
  <c r="F175" i="1"/>
  <c r="D16" i="4" l="1"/>
  <c r="C76" i="4"/>
  <c r="J15" i="9"/>
  <c r="I16" i="6"/>
  <c r="E16" i="3"/>
  <c r="H16" i="5"/>
  <c r="F16" i="2"/>
  <c r="J15" i="6"/>
  <c r="C76" i="3"/>
  <c r="J15" i="5"/>
  <c r="E16" i="4"/>
  <c r="G16" i="4"/>
  <c r="I16" i="4"/>
  <c r="E16" i="6"/>
  <c r="H16" i="4"/>
  <c r="F16" i="3"/>
  <c r="J15" i="3"/>
  <c r="F16" i="8"/>
  <c r="G16" i="8"/>
  <c r="E16" i="5"/>
  <c r="D16" i="6"/>
  <c r="D16" i="8"/>
  <c r="E16" i="8"/>
  <c r="H16" i="6"/>
  <c r="B76" i="8"/>
  <c r="F16" i="5"/>
  <c r="G16" i="5"/>
  <c r="C76" i="5"/>
  <c r="H16" i="8"/>
  <c r="F21" i="1"/>
  <c r="I16" i="5"/>
  <c r="G16" i="9"/>
  <c r="J15" i="8"/>
  <c r="H16" i="9"/>
  <c r="I16" i="9"/>
  <c r="D16" i="9"/>
  <c r="J15" i="7"/>
  <c r="F16" i="9"/>
  <c r="E16" i="9"/>
  <c r="C80" i="6"/>
  <c r="C76" i="6"/>
  <c r="G16" i="6"/>
  <c r="F16" i="6"/>
  <c r="B17" i="4"/>
  <c r="B77" i="4" s="1"/>
  <c r="B17" i="9"/>
  <c r="B77" i="9" s="1"/>
  <c r="B17" i="6"/>
  <c r="B77" i="6" s="1"/>
  <c r="B17" i="7"/>
  <c r="B17" i="5"/>
  <c r="B77" i="5" s="1"/>
  <c r="B17" i="8"/>
  <c r="B77" i="8" s="1"/>
  <c r="B17" i="3"/>
  <c r="B77" i="3" s="1"/>
  <c r="B17" i="2"/>
  <c r="B77" i="2" s="1"/>
  <c r="I16" i="3"/>
  <c r="C76" i="9"/>
  <c r="G16" i="2"/>
  <c r="C76" i="2"/>
  <c r="C17" i="2"/>
  <c r="C17" i="6"/>
  <c r="C77" i="6" s="1"/>
  <c r="C17" i="4"/>
  <c r="C17" i="9"/>
  <c r="C17" i="3"/>
  <c r="C77" i="3" s="1"/>
  <c r="C17" i="7"/>
  <c r="C17" i="5"/>
  <c r="C17" i="8"/>
  <c r="C77" i="8" s="1"/>
  <c r="E16" i="2"/>
  <c r="G16" i="3"/>
  <c r="B79" i="7"/>
  <c r="B76" i="7"/>
  <c r="E16" i="7"/>
  <c r="F16" i="7"/>
  <c r="D16" i="7"/>
  <c r="G16" i="7"/>
  <c r="I16" i="7"/>
  <c r="C76" i="7"/>
  <c r="H16" i="3"/>
  <c r="H16" i="7"/>
  <c r="I16" i="8"/>
  <c r="I16" i="2"/>
  <c r="C19" i="5"/>
  <c r="C79" i="5" s="1"/>
  <c r="C19" i="8"/>
  <c r="C19" i="3"/>
  <c r="C79" i="3" s="1"/>
  <c r="C19" i="7"/>
  <c r="C19" i="6"/>
  <c r="C19" i="4"/>
  <c r="C79" i="4" s="1"/>
  <c r="C19" i="2"/>
  <c r="C79" i="2" s="1"/>
  <c r="C19" i="9"/>
  <c r="D16" i="2"/>
  <c r="B20" i="8"/>
  <c r="B20" i="3"/>
  <c r="I21" i="3" s="1"/>
  <c r="B20" i="6"/>
  <c r="F21" i="6" s="1"/>
  <c r="B20" i="4"/>
  <c r="B80" i="4" s="1"/>
  <c r="B20" i="9"/>
  <c r="F21" i="9" s="1"/>
  <c r="B20" i="2"/>
  <c r="B80" i="2" s="1"/>
  <c r="B20" i="7"/>
  <c r="G21" i="7" s="1"/>
  <c r="B20" i="5"/>
  <c r="G21" i="5" s="1"/>
  <c r="H16" i="2"/>
  <c r="D16" i="3"/>
  <c r="C80" i="7"/>
  <c r="D16" i="5"/>
  <c r="I21" i="1"/>
  <c r="H21" i="1"/>
  <c r="J21" i="1" s="1"/>
  <c r="D21" i="1"/>
  <c r="E21" i="1"/>
  <c r="F20" i="5" l="1"/>
  <c r="I20" i="5"/>
  <c r="I21" i="5"/>
  <c r="E21" i="5"/>
  <c r="H20" i="8"/>
  <c r="H21" i="5"/>
  <c r="J21" i="5" s="1"/>
  <c r="D21" i="5"/>
  <c r="E20" i="5"/>
  <c r="B80" i="5"/>
  <c r="F21" i="5"/>
  <c r="H20" i="5"/>
  <c r="E21" i="3"/>
  <c r="G20" i="5"/>
  <c r="F21" i="8"/>
  <c r="F20" i="3"/>
  <c r="B80" i="3"/>
  <c r="G20" i="3"/>
  <c r="F21" i="3"/>
  <c r="D21" i="3"/>
  <c r="F20" i="6"/>
  <c r="H20" i="3"/>
  <c r="E20" i="3"/>
  <c r="H21" i="3"/>
  <c r="G17" i="9"/>
  <c r="G17" i="6"/>
  <c r="D20" i="5"/>
  <c r="D17" i="6"/>
  <c r="J16" i="5"/>
  <c r="H17" i="9"/>
  <c r="D17" i="9"/>
  <c r="F17" i="6"/>
  <c r="I17" i="6"/>
  <c r="D21" i="8"/>
  <c r="F17" i="9"/>
  <c r="G20" i="9"/>
  <c r="E17" i="6"/>
  <c r="G21" i="9"/>
  <c r="H21" i="9"/>
  <c r="E21" i="9"/>
  <c r="B80" i="9"/>
  <c r="H17" i="2"/>
  <c r="C79" i="9"/>
  <c r="J16" i="4"/>
  <c r="J16" i="9"/>
  <c r="C77" i="2"/>
  <c r="J16" i="2"/>
  <c r="J16" i="8"/>
  <c r="B64" i="5"/>
  <c r="B64" i="2"/>
  <c r="B64" i="4"/>
  <c r="B90" i="4" s="1"/>
  <c r="D137" i="4" s="1"/>
  <c r="B138" i="4" s="1"/>
  <c r="B64" i="9"/>
  <c r="B87" i="9" s="1"/>
  <c r="D134" i="9" s="1"/>
  <c r="B135" i="9" s="1"/>
  <c r="B64" i="6"/>
  <c r="C88" i="6" s="1"/>
  <c r="B64" i="8"/>
  <c r="J84" i="1"/>
  <c r="C146" i="1" s="1"/>
  <c r="I90" i="1"/>
  <c r="D151" i="1" s="1"/>
  <c r="B152" i="1" s="1"/>
  <c r="I88" i="1"/>
  <c r="D149" i="1" s="1"/>
  <c r="B150" i="1" s="1"/>
  <c r="C92" i="1"/>
  <c r="E139" i="1" s="1"/>
  <c r="I84" i="1"/>
  <c r="B146" i="1" s="1"/>
  <c r="J85" i="1"/>
  <c r="E146" i="1" s="1"/>
  <c r="C147" i="1" s="1"/>
  <c r="J90" i="1"/>
  <c r="E151" i="1" s="1"/>
  <c r="C152" i="1" s="1"/>
  <c r="B175" i="1"/>
  <c r="B64" i="7" s="1"/>
  <c r="C87" i="7" s="1"/>
  <c r="E134" i="7" s="1"/>
  <c r="J86" i="1"/>
  <c r="E147" i="1" s="1"/>
  <c r="C148" i="1" s="1"/>
  <c r="I86" i="1"/>
  <c r="D147" i="1" s="1"/>
  <c r="B148" i="1" s="1"/>
  <c r="I85" i="1"/>
  <c r="D146" i="1" s="1"/>
  <c r="B147" i="1" s="1"/>
  <c r="I89" i="1"/>
  <c r="D150" i="1" s="1"/>
  <c r="B151" i="1" s="1"/>
  <c r="J89" i="1"/>
  <c r="E150" i="1" s="1"/>
  <c r="C151" i="1" s="1"/>
  <c r="I87" i="1"/>
  <c r="D148" i="1" s="1"/>
  <c r="B149" i="1" s="1"/>
  <c r="J91" i="1"/>
  <c r="E152" i="1" s="1"/>
  <c r="C153" i="1" s="1"/>
  <c r="I91" i="1"/>
  <c r="D152" i="1" s="1"/>
  <c r="B153" i="1" s="1"/>
  <c r="J87" i="1"/>
  <c r="E148" i="1" s="1"/>
  <c r="C149" i="1" s="1"/>
  <c r="B92" i="1"/>
  <c r="D139" i="1" s="1"/>
  <c r="J88" i="1"/>
  <c r="E149" i="1" s="1"/>
  <c r="C150" i="1" s="1"/>
  <c r="J92" i="1"/>
  <c r="E153" i="1" s="1"/>
  <c r="I92" i="1"/>
  <c r="D153" i="1" s="1"/>
  <c r="C77" i="9"/>
  <c r="E17" i="9"/>
  <c r="I17" i="9"/>
  <c r="G17" i="4"/>
  <c r="D17" i="5"/>
  <c r="I21" i="9"/>
  <c r="D21" i="9"/>
  <c r="E21" i="2"/>
  <c r="D21" i="2"/>
  <c r="I21" i="2"/>
  <c r="H21" i="2"/>
  <c r="F20" i="8"/>
  <c r="H17" i="7"/>
  <c r="I20" i="9"/>
  <c r="H20" i="9"/>
  <c r="E20" i="9"/>
  <c r="F20" i="9"/>
  <c r="C77" i="5"/>
  <c r="G17" i="5"/>
  <c r="I20" i="2"/>
  <c r="J16" i="6"/>
  <c r="E20" i="2"/>
  <c r="H20" i="2"/>
  <c r="E17" i="5"/>
  <c r="G20" i="2"/>
  <c r="C77" i="4"/>
  <c r="I21" i="8"/>
  <c r="D20" i="8"/>
  <c r="E21" i="8"/>
  <c r="I17" i="4"/>
  <c r="J16" i="3"/>
  <c r="D17" i="4"/>
  <c r="B80" i="8"/>
  <c r="E17" i="4"/>
  <c r="G20" i="8"/>
  <c r="J20" i="8" s="1"/>
  <c r="F20" i="2"/>
  <c r="C79" i="8"/>
  <c r="E20" i="8"/>
  <c r="G21" i="2"/>
  <c r="F17" i="4"/>
  <c r="H21" i="8"/>
  <c r="G21" i="8"/>
  <c r="H17" i="6"/>
  <c r="G17" i="2"/>
  <c r="E17" i="2"/>
  <c r="I17" i="2"/>
  <c r="F17" i="2"/>
  <c r="D17" i="2"/>
  <c r="I17" i="3"/>
  <c r="G21" i="4"/>
  <c r="D17" i="3"/>
  <c r="E21" i="4"/>
  <c r="E17" i="8"/>
  <c r="G21" i="3"/>
  <c r="D20" i="3"/>
  <c r="I20" i="3"/>
  <c r="C77" i="7"/>
  <c r="F17" i="7"/>
  <c r="I17" i="7"/>
  <c r="D17" i="7"/>
  <c r="G17" i="3"/>
  <c r="H17" i="3"/>
  <c r="F21" i="4"/>
  <c r="E20" i="4"/>
  <c r="H17" i="5"/>
  <c r="I20" i="8"/>
  <c r="B77" i="7"/>
  <c r="E17" i="7"/>
  <c r="G21" i="6"/>
  <c r="I17" i="8"/>
  <c r="D17" i="8"/>
  <c r="G17" i="8"/>
  <c r="G20" i="7"/>
  <c r="F20" i="7"/>
  <c r="I20" i="7"/>
  <c r="C79" i="7"/>
  <c r="H17" i="8"/>
  <c r="D20" i="4"/>
  <c r="G20" i="4"/>
  <c r="H21" i="4"/>
  <c r="I17" i="5"/>
  <c r="H20" i="7"/>
  <c r="D20" i="9"/>
  <c r="F17" i="3"/>
  <c r="I21" i="4"/>
  <c r="F17" i="5"/>
  <c r="E21" i="7"/>
  <c r="B80" i="7"/>
  <c r="D21" i="7"/>
  <c r="I21" i="7"/>
  <c r="H21" i="7"/>
  <c r="J21" i="7" s="1"/>
  <c r="E20" i="7"/>
  <c r="D20" i="7"/>
  <c r="G17" i="7"/>
  <c r="D20" i="2"/>
  <c r="I20" i="6"/>
  <c r="C79" i="6"/>
  <c r="G20" i="6"/>
  <c r="E17" i="3"/>
  <c r="D21" i="4"/>
  <c r="J16" i="7"/>
  <c r="H17" i="4"/>
  <c r="H20" i="4"/>
  <c r="D21" i="6"/>
  <c r="B80" i="6"/>
  <c r="I21" i="6"/>
  <c r="H21" i="6"/>
  <c r="E21" i="6"/>
  <c r="D20" i="6"/>
  <c r="E20" i="6"/>
  <c r="H20" i="6"/>
  <c r="C18" i="8"/>
  <c r="H18" i="8" s="1"/>
  <c r="C18" i="3"/>
  <c r="C78" i="3" s="1"/>
  <c r="C18" i="6"/>
  <c r="H19" i="6" s="1"/>
  <c r="C18" i="2"/>
  <c r="H19" i="2" s="1"/>
  <c r="C18" i="4"/>
  <c r="I19" i="4" s="1"/>
  <c r="C18" i="9"/>
  <c r="D18" i="9" s="1"/>
  <c r="C18" i="7"/>
  <c r="E19" i="7" s="1"/>
  <c r="C18" i="5"/>
  <c r="C78" i="5" s="1"/>
  <c r="F17" i="8"/>
  <c r="F21" i="7"/>
  <c r="I20" i="4"/>
  <c r="F20" i="4"/>
  <c r="F21" i="2"/>
  <c r="J21" i="9"/>
  <c r="C91" i="5" l="1"/>
  <c r="E138" i="5" s="1"/>
  <c r="C139" i="5" s="1"/>
  <c r="J20" i="3"/>
  <c r="J20" i="5"/>
  <c r="F18" i="8"/>
  <c r="J21" i="3"/>
  <c r="J17" i="2"/>
  <c r="J20" i="2"/>
  <c r="J20" i="9"/>
  <c r="J17" i="6"/>
  <c r="E19" i="2"/>
  <c r="J17" i="9"/>
  <c r="F18" i="5"/>
  <c r="J17" i="4"/>
  <c r="C78" i="8"/>
  <c r="C89" i="8" s="1"/>
  <c r="E136" i="8" s="1"/>
  <c r="G18" i="8"/>
  <c r="J18" i="8" s="1"/>
  <c r="I19" i="8"/>
  <c r="D19" i="8"/>
  <c r="I18" i="8"/>
  <c r="E19" i="8"/>
  <c r="H19" i="8"/>
  <c r="H22" i="8" s="1"/>
  <c r="G19" i="8"/>
  <c r="T37" i="8"/>
  <c r="U37" i="8" s="1"/>
  <c r="T37" i="5"/>
  <c r="U37" i="5" s="1"/>
  <c r="E18" i="3"/>
  <c r="H19" i="3"/>
  <c r="D19" i="3"/>
  <c r="T37" i="3"/>
  <c r="U37" i="3" s="1"/>
  <c r="D18" i="3"/>
  <c r="E18" i="8"/>
  <c r="J21" i="2"/>
  <c r="B88" i="2"/>
  <c r="D135" i="2" s="1"/>
  <c r="B136" i="2" s="1"/>
  <c r="E19" i="3"/>
  <c r="F18" i="3"/>
  <c r="G19" i="3"/>
  <c r="F19" i="5"/>
  <c r="C87" i="5"/>
  <c r="E134" i="5" s="1"/>
  <c r="C135" i="5" s="1"/>
  <c r="B87" i="5"/>
  <c r="D134" i="5" s="1"/>
  <c r="B135" i="5" s="1"/>
  <c r="B90" i="5"/>
  <c r="D137" i="5" s="1"/>
  <c r="B138" i="5" s="1"/>
  <c r="B91" i="5"/>
  <c r="D138" i="5" s="1"/>
  <c r="B139" i="5" s="1"/>
  <c r="B88" i="9"/>
  <c r="D135" i="9" s="1"/>
  <c r="B136" i="9" s="1"/>
  <c r="C91" i="8"/>
  <c r="E138" i="8" s="1"/>
  <c r="C139" i="8" s="1"/>
  <c r="B90" i="2"/>
  <c r="D137" i="2" s="1"/>
  <c r="B138" i="2" s="1"/>
  <c r="C88" i="9"/>
  <c r="E135" i="9" s="1"/>
  <c r="C136" i="9" s="1"/>
  <c r="C91" i="9"/>
  <c r="E138" i="9" s="1"/>
  <c r="C139" i="9" s="1"/>
  <c r="C87" i="9"/>
  <c r="E134" i="9" s="1"/>
  <c r="C135" i="9" s="1"/>
  <c r="B91" i="9"/>
  <c r="D138" i="9" s="1"/>
  <c r="B139" i="9" s="1"/>
  <c r="C88" i="5"/>
  <c r="E135" i="5" s="1"/>
  <c r="C136" i="5" s="1"/>
  <c r="B90" i="9"/>
  <c r="D137" i="9" s="1"/>
  <c r="B138" i="9" s="1"/>
  <c r="B91" i="4"/>
  <c r="D138" i="4" s="1"/>
  <c r="B139" i="4" s="1"/>
  <c r="B88" i="4"/>
  <c r="D135" i="4" s="1"/>
  <c r="B136" i="4" s="1"/>
  <c r="C91" i="4"/>
  <c r="E138" i="4" s="1"/>
  <c r="C139" i="4" s="1"/>
  <c r="H148" i="1"/>
  <c r="I148" i="1" s="1"/>
  <c r="C90" i="4"/>
  <c r="E137" i="4" s="1"/>
  <c r="C138" i="4" s="1"/>
  <c r="H152" i="1"/>
  <c r="I152" i="1" s="1"/>
  <c r="B87" i="8"/>
  <c r="D134" i="8" s="1"/>
  <c r="B135" i="8" s="1"/>
  <c r="C87" i="8"/>
  <c r="E134" i="8" s="1"/>
  <c r="C135" i="8" s="1"/>
  <c r="B91" i="8"/>
  <c r="D138" i="8" s="1"/>
  <c r="B139" i="8" s="1"/>
  <c r="B88" i="8"/>
  <c r="D135" i="8" s="1"/>
  <c r="C88" i="8"/>
  <c r="E135" i="8" s="1"/>
  <c r="B176" i="1"/>
  <c r="B177" i="1" s="1"/>
  <c r="B178" i="1" s="1"/>
  <c r="B64" i="3"/>
  <c r="I92" i="3" s="1"/>
  <c r="D153" i="3" s="1"/>
  <c r="C90" i="8"/>
  <c r="E137" i="8" s="1"/>
  <c r="C138" i="8" s="1"/>
  <c r="H153" i="1"/>
  <c r="I153" i="1" s="1"/>
  <c r="C90" i="9"/>
  <c r="E137" i="9" s="1"/>
  <c r="C138" i="9" s="1"/>
  <c r="H151" i="1"/>
  <c r="I151" i="1" s="1"/>
  <c r="B114" i="2"/>
  <c r="F114" i="2" s="1"/>
  <c r="B175" i="2"/>
  <c r="B176" i="2" s="1"/>
  <c r="B177" i="2" s="1"/>
  <c r="J90" i="2"/>
  <c r="E151" i="2" s="1"/>
  <c r="C152" i="2" s="1"/>
  <c r="C85" i="2"/>
  <c r="E132" i="2" s="1"/>
  <c r="C133" i="2" s="1"/>
  <c r="C112" i="2"/>
  <c r="G112" i="2" s="1"/>
  <c r="B84" i="2"/>
  <c r="B132" i="2" s="1"/>
  <c r="C84" i="2"/>
  <c r="C132" i="2" s="1"/>
  <c r="B85" i="2"/>
  <c r="D132" i="2" s="1"/>
  <c r="B133" i="2" s="1"/>
  <c r="I90" i="2"/>
  <c r="D151" i="2" s="1"/>
  <c r="B152" i="2" s="1"/>
  <c r="H64" i="2"/>
  <c r="C115" i="2"/>
  <c r="G115" i="2" s="1"/>
  <c r="C114" i="2"/>
  <c r="G114" i="2" s="1"/>
  <c r="C118" i="2"/>
  <c r="G118" i="2" s="1"/>
  <c r="B115" i="2"/>
  <c r="F115" i="2" s="1"/>
  <c r="I84" i="2"/>
  <c r="B146" i="2" s="1"/>
  <c r="B113" i="2"/>
  <c r="F113" i="2" s="1"/>
  <c r="I92" i="2"/>
  <c r="D153" i="2" s="1"/>
  <c r="J89" i="2"/>
  <c r="E150" i="2" s="1"/>
  <c r="C151" i="2" s="1"/>
  <c r="B117" i="2"/>
  <c r="F117" i="2" s="1"/>
  <c r="B112" i="2"/>
  <c r="F112" i="2" s="1"/>
  <c r="C121" i="2"/>
  <c r="G121" i="2" s="1"/>
  <c r="C117" i="2"/>
  <c r="G117" i="2" s="1"/>
  <c r="C120" i="2"/>
  <c r="G120" i="2" s="1"/>
  <c r="B92" i="2"/>
  <c r="D139" i="2" s="1"/>
  <c r="I86" i="2"/>
  <c r="D147" i="2" s="1"/>
  <c r="B148" i="2" s="1"/>
  <c r="I87" i="2"/>
  <c r="D148" i="2" s="1"/>
  <c r="B149" i="2" s="1"/>
  <c r="I88" i="2"/>
  <c r="D149" i="2" s="1"/>
  <c r="B150" i="2" s="1"/>
  <c r="C92" i="2"/>
  <c r="E139" i="2" s="1"/>
  <c r="I91" i="2"/>
  <c r="D152" i="2" s="1"/>
  <c r="B153" i="2" s="1"/>
  <c r="B110" i="2"/>
  <c r="F110" i="2" s="1"/>
  <c r="I85" i="2"/>
  <c r="D146" i="2" s="1"/>
  <c r="B147" i="2" s="1"/>
  <c r="C113" i="2"/>
  <c r="G113" i="2" s="1"/>
  <c r="I89" i="2"/>
  <c r="D150" i="2" s="1"/>
  <c r="B151" i="2" s="1"/>
  <c r="C116" i="2"/>
  <c r="G116" i="2" s="1"/>
  <c r="J87" i="2"/>
  <c r="E148" i="2" s="1"/>
  <c r="C149" i="2" s="1"/>
  <c r="B116" i="2"/>
  <c r="F116" i="2" s="1"/>
  <c r="B118" i="2"/>
  <c r="F118" i="2" s="1"/>
  <c r="C119" i="2"/>
  <c r="G119" i="2" s="1"/>
  <c r="C111" i="2"/>
  <c r="G111" i="2" s="1"/>
  <c r="J91" i="2"/>
  <c r="E152" i="2" s="1"/>
  <c r="C153" i="2" s="1"/>
  <c r="J88" i="2"/>
  <c r="E149" i="2" s="1"/>
  <c r="C150" i="2" s="1"/>
  <c r="J84" i="2"/>
  <c r="C146" i="2" s="1"/>
  <c r="B119" i="2"/>
  <c r="F119" i="2" s="1"/>
  <c r="C110" i="2"/>
  <c r="G110" i="2" s="1"/>
  <c r="B120" i="2"/>
  <c r="F120" i="2" s="1"/>
  <c r="J86" i="2"/>
  <c r="E147" i="2" s="1"/>
  <c r="C148" i="2" s="1"/>
  <c r="J92" i="2"/>
  <c r="E153" i="2" s="1"/>
  <c r="J85" i="2"/>
  <c r="E146" i="2" s="1"/>
  <c r="C147" i="2" s="1"/>
  <c r="B121" i="2"/>
  <c r="F121" i="2" s="1"/>
  <c r="B111" i="2"/>
  <c r="F111" i="2" s="1"/>
  <c r="B91" i="2"/>
  <c r="D138" i="2" s="1"/>
  <c r="B139" i="2" s="1"/>
  <c r="B86" i="2"/>
  <c r="D133" i="2" s="1"/>
  <c r="B134" i="2" s="1"/>
  <c r="C91" i="2"/>
  <c r="E138" i="2" s="1"/>
  <c r="C139" i="2" s="1"/>
  <c r="C86" i="2"/>
  <c r="E133" i="2" s="1"/>
  <c r="C134" i="2" s="1"/>
  <c r="B87" i="2"/>
  <c r="D134" i="2" s="1"/>
  <c r="B135" i="2" s="1"/>
  <c r="B87" i="6"/>
  <c r="D134" i="6" s="1"/>
  <c r="B135" i="6" s="1"/>
  <c r="H147" i="1"/>
  <c r="I147" i="1" s="1"/>
  <c r="H150" i="1"/>
  <c r="I150" i="1" s="1"/>
  <c r="J88" i="5"/>
  <c r="E149" i="5" s="1"/>
  <c r="C150" i="5" s="1"/>
  <c r="B111" i="5"/>
  <c r="F111" i="5" s="1"/>
  <c r="I92" i="5"/>
  <c r="D153" i="5" s="1"/>
  <c r="J85" i="5"/>
  <c r="E146" i="5" s="1"/>
  <c r="C147" i="5" s="1"/>
  <c r="C112" i="5"/>
  <c r="G112" i="5" s="1"/>
  <c r="I89" i="5"/>
  <c r="D150" i="5" s="1"/>
  <c r="B151" i="5" s="1"/>
  <c r="C121" i="5"/>
  <c r="G121" i="5" s="1"/>
  <c r="B120" i="5"/>
  <c r="F120" i="5" s="1"/>
  <c r="I84" i="5"/>
  <c r="B146" i="5" s="1"/>
  <c r="C85" i="5"/>
  <c r="E132" i="5" s="1"/>
  <c r="C133" i="5" s="1"/>
  <c r="I85" i="5"/>
  <c r="D146" i="5" s="1"/>
  <c r="B147" i="5" s="1"/>
  <c r="I86" i="5"/>
  <c r="D147" i="5" s="1"/>
  <c r="B148" i="5" s="1"/>
  <c r="B114" i="5"/>
  <c r="F114" i="5" s="1"/>
  <c r="B117" i="5"/>
  <c r="F117" i="5" s="1"/>
  <c r="B112" i="5"/>
  <c r="F112" i="5" s="1"/>
  <c r="B116" i="5"/>
  <c r="F116" i="5" s="1"/>
  <c r="B119" i="5"/>
  <c r="F119" i="5" s="1"/>
  <c r="B85" i="5"/>
  <c r="D132" i="5" s="1"/>
  <c r="B133" i="5" s="1"/>
  <c r="J91" i="5"/>
  <c r="E152" i="5" s="1"/>
  <c r="C153" i="5" s="1"/>
  <c r="I90" i="5"/>
  <c r="D151" i="5" s="1"/>
  <c r="B152" i="5" s="1"/>
  <c r="C116" i="5"/>
  <c r="G116" i="5" s="1"/>
  <c r="I91" i="5"/>
  <c r="D152" i="5" s="1"/>
  <c r="B153" i="5" s="1"/>
  <c r="C119" i="5"/>
  <c r="G119" i="5" s="1"/>
  <c r="C111" i="5"/>
  <c r="G111" i="5" s="1"/>
  <c r="C114" i="5"/>
  <c r="G114" i="5" s="1"/>
  <c r="C84" i="5"/>
  <c r="C132" i="5" s="1"/>
  <c r="B84" i="5"/>
  <c r="B132" i="5" s="1"/>
  <c r="C118" i="5"/>
  <c r="G118" i="5" s="1"/>
  <c r="B113" i="5"/>
  <c r="F113" i="5" s="1"/>
  <c r="I87" i="5"/>
  <c r="D148" i="5" s="1"/>
  <c r="B149" i="5" s="1"/>
  <c r="B92" i="5"/>
  <c r="D139" i="5" s="1"/>
  <c r="I88" i="5"/>
  <c r="D149" i="5" s="1"/>
  <c r="B150" i="5" s="1"/>
  <c r="C120" i="5"/>
  <c r="G120" i="5" s="1"/>
  <c r="B121" i="5"/>
  <c r="F121" i="5" s="1"/>
  <c r="B175" i="5"/>
  <c r="B176" i="5" s="1"/>
  <c r="B177" i="5" s="1"/>
  <c r="J84" i="5"/>
  <c r="C146" i="5" s="1"/>
  <c r="C113" i="5"/>
  <c r="G113" i="5" s="1"/>
  <c r="J89" i="5"/>
  <c r="E150" i="5" s="1"/>
  <c r="C151" i="5" s="1"/>
  <c r="B110" i="5"/>
  <c r="F110" i="5" s="1"/>
  <c r="J90" i="5"/>
  <c r="E151" i="5" s="1"/>
  <c r="C152" i="5" s="1"/>
  <c r="H64" i="5"/>
  <c r="J87" i="5"/>
  <c r="E148" i="5" s="1"/>
  <c r="C149" i="5" s="1"/>
  <c r="C117" i="5"/>
  <c r="G117" i="5" s="1"/>
  <c r="J86" i="5"/>
  <c r="E147" i="5" s="1"/>
  <c r="C148" i="5" s="1"/>
  <c r="C92" i="5"/>
  <c r="E139" i="5" s="1"/>
  <c r="B118" i="5"/>
  <c r="F118" i="5" s="1"/>
  <c r="J92" i="5"/>
  <c r="E153" i="5" s="1"/>
  <c r="C110" i="5"/>
  <c r="G110" i="5" s="1"/>
  <c r="B115" i="5"/>
  <c r="F115" i="5" s="1"/>
  <c r="C115" i="5"/>
  <c r="G115" i="5" s="1"/>
  <c r="C86" i="5"/>
  <c r="E133" i="5" s="1"/>
  <c r="C134" i="5" s="1"/>
  <c r="B86" i="5"/>
  <c r="D133" i="5" s="1"/>
  <c r="B134" i="5" s="1"/>
  <c r="B87" i="7"/>
  <c r="D134" i="7" s="1"/>
  <c r="B135" i="7" s="1"/>
  <c r="B88" i="6"/>
  <c r="D135" i="6" s="1"/>
  <c r="B175" i="8"/>
  <c r="B176" i="8" s="1"/>
  <c r="B177" i="8" s="1"/>
  <c r="B84" i="8"/>
  <c r="B132" i="8" s="1"/>
  <c r="B117" i="8"/>
  <c r="F117" i="8" s="1"/>
  <c r="B118" i="8"/>
  <c r="F118" i="8" s="1"/>
  <c r="B120" i="8"/>
  <c r="F120" i="8" s="1"/>
  <c r="I90" i="8"/>
  <c r="D151" i="8" s="1"/>
  <c r="B152" i="8" s="1"/>
  <c r="C110" i="8"/>
  <c r="G110" i="8" s="1"/>
  <c r="B114" i="8"/>
  <c r="F114" i="8" s="1"/>
  <c r="C115" i="8"/>
  <c r="G115" i="8" s="1"/>
  <c r="C92" i="8"/>
  <c r="E139" i="8" s="1"/>
  <c r="C85" i="8"/>
  <c r="E132" i="8" s="1"/>
  <c r="C133" i="8" s="1"/>
  <c r="C112" i="8"/>
  <c r="G112" i="8" s="1"/>
  <c r="B111" i="8"/>
  <c r="F111" i="8" s="1"/>
  <c r="C121" i="8"/>
  <c r="G121" i="8" s="1"/>
  <c r="B92" i="8"/>
  <c r="D139" i="8" s="1"/>
  <c r="J84" i="8"/>
  <c r="C146" i="8" s="1"/>
  <c r="C111" i="8"/>
  <c r="G111" i="8" s="1"/>
  <c r="B85" i="8"/>
  <c r="D132" i="8" s="1"/>
  <c r="B133" i="8" s="1"/>
  <c r="C114" i="8"/>
  <c r="G114" i="8" s="1"/>
  <c r="B119" i="8"/>
  <c r="F119" i="8" s="1"/>
  <c r="H64" i="8"/>
  <c r="J90" i="8"/>
  <c r="E151" i="8" s="1"/>
  <c r="C152" i="8" s="1"/>
  <c r="J91" i="8"/>
  <c r="E152" i="8" s="1"/>
  <c r="C153" i="8" s="1"/>
  <c r="I84" i="8"/>
  <c r="B146" i="8" s="1"/>
  <c r="B115" i="8"/>
  <c r="F115" i="8" s="1"/>
  <c r="I86" i="8"/>
  <c r="D147" i="8" s="1"/>
  <c r="B148" i="8" s="1"/>
  <c r="C84" i="8"/>
  <c r="C132" i="8" s="1"/>
  <c r="C116" i="8"/>
  <c r="G116" i="8" s="1"/>
  <c r="B116" i="8"/>
  <c r="F116" i="8" s="1"/>
  <c r="I89" i="8"/>
  <c r="D150" i="8" s="1"/>
  <c r="B151" i="8" s="1"/>
  <c r="B112" i="8"/>
  <c r="F112" i="8" s="1"/>
  <c r="J87" i="8"/>
  <c r="E148" i="8" s="1"/>
  <c r="C149" i="8" s="1"/>
  <c r="C117" i="8"/>
  <c r="G117" i="8" s="1"/>
  <c r="J85" i="8"/>
  <c r="E146" i="8" s="1"/>
  <c r="C147" i="8" s="1"/>
  <c r="C118" i="8"/>
  <c r="G118" i="8" s="1"/>
  <c r="I91" i="8"/>
  <c r="D152" i="8" s="1"/>
  <c r="B153" i="8" s="1"/>
  <c r="J88" i="8"/>
  <c r="E149" i="8" s="1"/>
  <c r="C150" i="8" s="1"/>
  <c r="B110" i="8"/>
  <c r="F110" i="8" s="1"/>
  <c r="J86" i="8"/>
  <c r="E147" i="8" s="1"/>
  <c r="C148" i="8" s="1"/>
  <c r="I88" i="8"/>
  <c r="D149" i="8" s="1"/>
  <c r="B150" i="8" s="1"/>
  <c r="I87" i="8"/>
  <c r="D148" i="8" s="1"/>
  <c r="B149" i="8" s="1"/>
  <c r="C119" i="8"/>
  <c r="G119" i="8" s="1"/>
  <c r="I85" i="8"/>
  <c r="D146" i="8" s="1"/>
  <c r="B147" i="8" s="1"/>
  <c r="C120" i="8"/>
  <c r="G120" i="8" s="1"/>
  <c r="B121" i="8"/>
  <c r="F121" i="8" s="1"/>
  <c r="J89" i="8"/>
  <c r="E150" i="8" s="1"/>
  <c r="C151" i="8" s="1"/>
  <c r="J92" i="8"/>
  <c r="E153" i="8" s="1"/>
  <c r="B113" i="8"/>
  <c r="F113" i="8" s="1"/>
  <c r="C113" i="8"/>
  <c r="G113" i="8" s="1"/>
  <c r="I92" i="8"/>
  <c r="D153" i="8" s="1"/>
  <c r="B86" i="8"/>
  <c r="D133" i="8" s="1"/>
  <c r="B134" i="8" s="1"/>
  <c r="C86" i="8"/>
  <c r="E133" i="8" s="1"/>
  <c r="C134" i="8" s="1"/>
  <c r="C90" i="5"/>
  <c r="E137" i="5" s="1"/>
  <c r="C138" i="5" s="1"/>
  <c r="C114" i="6"/>
  <c r="G114" i="6" s="1"/>
  <c r="J86" i="6"/>
  <c r="E147" i="6" s="1"/>
  <c r="C148" i="6" s="1"/>
  <c r="J92" i="6"/>
  <c r="E153" i="6" s="1"/>
  <c r="J89" i="6"/>
  <c r="E150" i="6" s="1"/>
  <c r="C151" i="6" s="1"/>
  <c r="C115" i="6"/>
  <c r="G115" i="6" s="1"/>
  <c r="B118" i="6"/>
  <c r="F118" i="6" s="1"/>
  <c r="B115" i="6"/>
  <c r="F115" i="6" s="1"/>
  <c r="I88" i="6"/>
  <c r="D149" i="6" s="1"/>
  <c r="B150" i="6" s="1"/>
  <c r="B116" i="6"/>
  <c r="F116" i="6" s="1"/>
  <c r="I92" i="6"/>
  <c r="D153" i="6" s="1"/>
  <c r="C110" i="6"/>
  <c r="G110" i="6" s="1"/>
  <c r="J87" i="6"/>
  <c r="E148" i="6" s="1"/>
  <c r="C149" i="6" s="1"/>
  <c r="I87" i="6"/>
  <c r="D148" i="6" s="1"/>
  <c r="B149" i="6" s="1"/>
  <c r="H64" i="6"/>
  <c r="C111" i="6"/>
  <c r="G111" i="6" s="1"/>
  <c r="C121" i="6"/>
  <c r="G121" i="6" s="1"/>
  <c r="B114" i="6"/>
  <c r="F114" i="6" s="1"/>
  <c r="I89" i="6"/>
  <c r="D150" i="6" s="1"/>
  <c r="B151" i="6" s="1"/>
  <c r="C84" i="6"/>
  <c r="C132" i="6" s="1"/>
  <c r="B119" i="6"/>
  <c r="F119" i="6" s="1"/>
  <c r="B121" i="6"/>
  <c r="F121" i="6" s="1"/>
  <c r="J84" i="6"/>
  <c r="C146" i="6" s="1"/>
  <c r="C118" i="6"/>
  <c r="G118" i="6" s="1"/>
  <c r="B110" i="6"/>
  <c r="F110" i="6" s="1"/>
  <c r="B175" i="6"/>
  <c r="B176" i="6" s="1"/>
  <c r="B177" i="6" s="1"/>
  <c r="I86" i="6"/>
  <c r="D147" i="6" s="1"/>
  <c r="B148" i="6" s="1"/>
  <c r="C120" i="6"/>
  <c r="G120" i="6" s="1"/>
  <c r="I84" i="6"/>
  <c r="B146" i="6" s="1"/>
  <c r="B92" i="6"/>
  <c r="D139" i="6" s="1"/>
  <c r="B120" i="6"/>
  <c r="F120" i="6" s="1"/>
  <c r="J90" i="6"/>
  <c r="E151" i="6" s="1"/>
  <c r="C152" i="6" s="1"/>
  <c r="B84" i="6"/>
  <c r="B132" i="6" s="1"/>
  <c r="I90" i="6"/>
  <c r="D151" i="6" s="1"/>
  <c r="B152" i="6" s="1"/>
  <c r="J85" i="6"/>
  <c r="E146" i="6" s="1"/>
  <c r="C147" i="6" s="1"/>
  <c r="C119" i="6"/>
  <c r="G119" i="6" s="1"/>
  <c r="J88" i="6"/>
  <c r="E149" i="6" s="1"/>
  <c r="C150" i="6" s="1"/>
  <c r="C116" i="6"/>
  <c r="G116" i="6" s="1"/>
  <c r="B111" i="6"/>
  <c r="F111" i="6" s="1"/>
  <c r="C92" i="6"/>
  <c r="E139" i="6" s="1"/>
  <c r="I85" i="6"/>
  <c r="D146" i="6" s="1"/>
  <c r="B147" i="6" s="1"/>
  <c r="B113" i="6"/>
  <c r="F113" i="6" s="1"/>
  <c r="C113" i="6"/>
  <c r="G113" i="6" s="1"/>
  <c r="I91" i="6"/>
  <c r="D152" i="6" s="1"/>
  <c r="B153" i="6" s="1"/>
  <c r="C85" i="6"/>
  <c r="E132" i="6" s="1"/>
  <c r="C133" i="6" s="1"/>
  <c r="C117" i="6"/>
  <c r="G117" i="6" s="1"/>
  <c r="B85" i="6"/>
  <c r="D132" i="6" s="1"/>
  <c r="B133" i="6" s="1"/>
  <c r="C112" i="6"/>
  <c r="G112" i="6" s="1"/>
  <c r="B117" i="6"/>
  <c r="F117" i="6" s="1"/>
  <c r="B112" i="6"/>
  <c r="F112" i="6" s="1"/>
  <c r="J91" i="6"/>
  <c r="E152" i="6" s="1"/>
  <c r="C153" i="6" s="1"/>
  <c r="B86" i="6"/>
  <c r="D133" i="6" s="1"/>
  <c r="B134" i="6" s="1"/>
  <c r="C86" i="6"/>
  <c r="E133" i="6" s="1"/>
  <c r="C134" i="6" s="1"/>
  <c r="C85" i="7"/>
  <c r="E132" i="7" s="1"/>
  <c r="C133" i="7" s="1"/>
  <c r="B115" i="7"/>
  <c r="F115" i="7" s="1"/>
  <c r="C112" i="7"/>
  <c r="G112" i="7" s="1"/>
  <c r="B92" i="7"/>
  <c r="D139" i="7" s="1"/>
  <c r="C111" i="7"/>
  <c r="G111" i="7" s="1"/>
  <c r="I91" i="7"/>
  <c r="D152" i="7" s="1"/>
  <c r="B153" i="7" s="1"/>
  <c r="B118" i="7"/>
  <c r="F118" i="7" s="1"/>
  <c r="C114" i="7"/>
  <c r="G114" i="7" s="1"/>
  <c r="I84" i="7"/>
  <c r="B146" i="7" s="1"/>
  <c r="C119" i="7"/>
  <c r="G119" i="7" s="1"/>
  <c r="C121" i="7"/>
  <c r="G121" i="7" s="1"/>
  <c r="B121" i="7"/>
  <c r="F121" i="7" s="1"/>
  <c r="C115" i="7"/>
  <c r="G115" i="7" s="1"/>
  <c r="I88" i="7"/>
  <c r="D149" i="7" s="1"/>
  <c r="B150" i="7" s="1"/>
  <c r="J84" i="7"/>
  <c r="C146" i="7" s="1"/>
  <c r="B114" i="7"/>
  <c r="F114" i="7" s="1"/>
  <c r="J88" i="7"/>
  <c r="E149" i="7" s="1"/>
  <c r="C150" i="7" s="1"/>
  <c r="J86" i="7"/>
  <c r="E147" i="7" s="1"/>
  <c r="C148" i="7" s="1"/>
  <c r="B116" i="7"/>
  <c r="F116" i="7" s="1"/>
  <c r="J89" i="7"/>
  <c r="E150" i="7" s="1"/>
  <c r="C151" i="7" s="1"/>
  <c r="C117" i="7"/>
  <c r="G117" i="7" s="1"/>
  <c r="C92" i="7"/>
  <c r="E139" i="7" s="1"/>
  <c r="J90" i="7"/>
  <c r="E151" i="7" s="1"/>
  <c r="C152" i="7" s="1"/>
  <c r="J91" i="7"/>
  <c r="E152" i="7" s="1"/>
  <c r="C153" i="7" s="1"/>
  <c r="B111" i="7"/>
  <c r="F111" i="7" s="1"/>
  <c r="B175" i="7"/>
  <c r="B176" i="7" s="1"/>
  <c r="B177" i="7" s="1"/>
  <c r="B84" i="7"/>
  <c r="B132" i="7" s="1"/>
  <c r="I90" i="7"/>
  <c r="D151" i="7" s="1"/>
  <c r="B152" i="7" s="1"/>
  <c r="C120" i="7"/>
  <c r="G120" i="7" s="1"/>
  <c r="I86" i="7"/>
  <c r="D147" i="7" s="1"/>
  <c r="B148" i="7" s="1"/>
  <c r="B110" i="7"/>
  <c r="F110" i="7" s="1"/>
  <c r="I87" i="7"/>
  <c r="D148" i="7" s="1"/>
  <c r="B149" i="7" s="1"/>
  <c r="I85" i="7"/>
  <c r="D146" i="7" s="1"/>
  <c r="B147" i="7" s="1"/>
  <c r="C110" i="7"/>
  <c r="G110" i="7" s="1"/>
  <c r="J87" i="7"/>
  <c r="E148" i="7" s="1"/>
  <c r="C149" i="7" s="1"/>
  <c r="B117" i="7"/>
  <c r="F117" i="7" s="1"/>
  <c r="B119" i="7"/>
  <c r="F119" i="7" s="1"/>
  <c r="C84" i="7"/>
  <c r="C132" i="7" s="1"/>
  <c r="B112" i="7"/>
  <c r="F112" i="7" s="1"/>
  <c r="C118" i="7"/>
  <c r="G118" i="7" s="1"/>
  <c r="J92" i="7"/>
  <c r="E153" i="7" s="1"/>
  <c r="J85" i="7"/>
  <c r="E146" i="7" s="1"/>
  <c r="C147" i="7" s="1"/>
  <c r="B85" i="7"/>
  <c r="D132" i="7" s="1"/>
  <c r="B133" i="7" s="1"/>
  <c r="C116" i="7"/>
  <c r="G116" i="7" s="1"/>
  <c r="H64" i="7"/>
  <c r="B120" i="7"/>
  <c r="F120" i="7" s="1"/>
  <c r="I89" i="7"/>
  <c r="D150" i="7" s="1"/>
  <c r="B151" i="7" s="1"/>
  <c r="C113" i="7"/>
  <c r="G113" i="7" s="1"/>
  <c r="B113" i="7"/>
  <c r="F113" i="7" s="1"/>
  <c r="I92" i="7"/>
  <c r="D153" i="7" s="1"/>
  <c r="C86" i="7"/>
  <c r="E133" i="7" s="1"/>
  <c r="C134" i="7" s="1"/>
  <c r="B86" i="7"/>
  <c r="D133" i="7" s="1"/>
  <c r="B134" i="7" s="1"/>
  <c r="C88" i="2"/>
  <c r="E135" i="2" s="1"/>
  <c r="C136" i="2" s="1"/>
  <c r="H149" i="1"/>
  <c r="I149" i="1" s="1"/>
  <c r="B84" i="9"/>
  <c r="B132" i="9" s="1"/>
  <c r="C114" i="9"/>
  <c r="G114" i="9" s="1"/>
  <c r="B110" i="9"/>
  <c r="F110" i="9" s="1"/>
  <c r="J92" i="9"/>
  <c r="E153" i="9" s="1"/>
  <c r="B175" i="9"/>
  <c r="B176" i="9" s="1"/>
  <c r="B177" i="9" s="1"/>
  <c r="J87" i="9"/>
  <c r="E148" i="9" s="1"/>
  <c r="C149" i="9" s="1"/>
  <c r="B118" i="9"/>
  <c r="F118" i="9" s="1"/>
  <c r="J90" i="9"/>
  <c r="E151" i="9" s="1"/>
  <c r="C152" i="9" s="1"/>
  <c r="I87" i="9"/>
  <c r="D148" i="9" s="1"/>
  <c r="B149" i="9" s="1"/>
  <c r="J84" i="9"/>
  <c r="C146" i="9" s="1"/>
  <c r="I86" i="9"/>
  <c r="D147" i="9" s="1"/>
  <c r="B148" i="9" s="1"/>
  <c r="J85" i="9"/>
  <c r="E146" i="9" s="1"/>
  <c r="C147" i="9" s="1"/>
  <c r="C84" i="9"/>
  <c r="C132" i="9" s="1"/>
  <c r="C111" i="9"/>
  <c r="G111" i="9" s="1"/>
  <c r="I90" i="9"/>
  <c r="D151" i="9" s="1"/>
  <c r="B152" i="9" s="1"/>
  <c r="J89" i="9"/>
  <c r="E150" i="9" s="1"/>
  <c r="C151" i="9" s="1"/>
  <c r="I84" i="9"/>
  <c r="B146" i="9" s="1"/>
  <c r="B113" i="9"/>
  <c r="F113" i="9" s="1"/>
  <c r="C92" i="9"/>
  <c r="E139" i="9" s="1"/>
  <c r="B115" i="9"/>
  <c r="F115" i="9" s="1"/>
  <c r="I85" i="9"/>
  <c r="D146" i="9" s="1"/>
  <c r="B147" i="9" s="1"/>
  <c r="C110" i="9"/>
  <c r="G110" i="9" s="1"/>
  <c r="H64" i="9"/>
  <c r="C119" i="9"/>
  <c r="G119" i="9" s="1"/>
  <c r="B114" i="9"/>
  <c r="F114" i="9" s="1"/>
  <c r="J86" i="9"/>
  <c r="E147" i="9" s="1"/>
  <c r="C148" i="9" s="1"/>
  <c r="B119" i="9"/>
  <c r="F119" i="9" s="1"/>
  <c r="C118" i="9"/>
  <c r="G118" i="9" s="1"/>
  <c r="I92" i="9"/>
  <c r="D153" i="9" s="1"/>
  <c r="C121" i="9"/>
  <c r="G121" i="9" s="1"/>
  <c r="C116" i="9"/>
  <c r="G116" i="9" s="1"/>
  <c r="C112" i="9"/>
  <c r="G112" i="9" s="1"/>
  <c r="I89" i="9"/>
  <c r="D150" i="9" s="1"/>
  <c r="B151" i="9" s="1"/>
  <c r="B121" i="9"/>
  <c r="F121" i="9" s="1"/>
  <c r="B111" i="9"/>
  <c r="F111" i="9" s="1"/>
  <c r="C113" i="9"/>
  <c r="G113" i="9" s="1"/>
  <c r="B116" i="9"/>
  <c r="F116" i="9" s="1"/>
  <c r="J91" i="9"/>
  <c r="E152" i="9" s="1"/>
  <c r="C153" i="9" s="1"/>
  <c r="J88" i="9"/>
  <c r="E149" i="9" s="1"/>
  <c r="C150" i="9" s="1"/>
  <c r="B112" i="9"/>
  <c r="F112" i="9" s="1"/>
  <c r="I88" i="9"/>
  <c r="D149" i="9" s="1"/>
  <c r="B150" i="9" s="1"/>
  <c r="B92" i="9"/>
  <c r="D139" i="9" s="1"/>
  <c r="B117" i="9"/>
  <c r="F117" i="9" s="1"/>
  <c r="I91" i="9"/>
  <c r="D152" i="9" s="1"/>
  <c r="B153" i="9" s="1"/>
  <c r="C85" i="9"/>
  <c r="E132" i="9" s="1"/>
  <c r="C133" i="9" s="1"/>
  <c r="C115" i="9"/>
  <c r="G115" i="9" s="1"/>
  <c r="C117" i="9"/>
  <c r="G117" i="9" s="1"/>
  <c r="B120" i="9"/>
  <c r="F120" i="9" s="1"/>
  <c r="B85" i="9"/>
  <c r="D132" i="9" s="1"/>
  <c r="B133" i="9" s="1"/>
  <c r="C120" i="9"/>
  <c r="G120" i="9" s="1"/>
  <c r="C86" i="9"/>
  <c r="E133" i="9" s="1"/>
  <c r="C134" i="9" s="1"/>
  <c r="B86" i="9"/>
  <c r="D133" i="9" s="1"/>
  <c r="B134" i="9" s="1"/>
  <c r="C90" i="2"/>
  <c r="E137" i="2" s="1"/>
  <c r="C138" i="2" s="1"/>
  <c r="C87" i="6"/>
  <c r="E134" i="6" s="1"/>
  <c r="C135" i="6" s="1"/>
  <c r="H146" i="1"/>
  <c r="I146" i="1" s="1"/>
  <c r="J90" i="4"/>
  <c r="E151" i="4" s="1"/>
  <c r="C152" i="4" s="1"/>
  <c r="B84" i="4"/>
  <c r="B132" i="4" s="1"/>
  <c r="C113" i="4"/>
  <c r="G113" i="4" s="1"/>
  <c r="B119" i="4"/>
  <c r="F119" i="4" s="1"/>
  <c r="C120" i="4"/>
  <c r="G120" i="4" s="1"/>
  <c r="C85" i="4"/>
  <c r="E132" i="4" s="1"/>
  <c r="C133" i="4" s="1"/>
  <c r="I90" i="4"/>
  <c r="D151" i="4" s="1"/>
  <c r="B152" i="4" s="1"/>
  <c r="B115" i="4"/>
  <c r="F115" i="4" s="1"/>
  <c r="B110" i="4"/>
  <c r="F110" i="4" s="1"/>
  <c r="B121" i="4"/>
  <c r="F121" i="4" s="1"/>
  <c r="B85" i="4"/>
  <c r="D132" i="4" s="1"/>
  <c r="B133" i="4" s="1"/>
  <c r="C110" i="4"/>
  <c r="G110" i="4" s="1"/>
  <c r="H64" i="4"/>
  <c r="C117" i="4"/>
  <c r="G117" i="4" s="1"/>
  <c r="B118" i="4"/>
  <c r="F118" i="4" s="1"/>
  <c r="C84" i="4"/>
  <c r="C132" i="4" s="1"/>
  <c r="C116" i="4"/>
  <c r="G116" i="4" s="1"/>
  <c r="B116" i="4"/>
  <c r="F116" i="4" s="1"/>
  <c r="B117" i="4"/>
  <c r="F117" i="4" s="1"/>
  <c r="C119" i="4"/>
  <c r="G119" i="4" s="1"/>
  <c r="B114" i="4"/>
  <c r="F114" i="4" s="1"/>
  <c r="B175" i="4"/>
  <c r="B176" i="4" s="1"/>
  <c r="B177" i="4" s="1"/>
  <c r="C118" i="4"/>
  <c r="G118" i="4" s="1"/>
  <c r="C121" i="4"/>
  <c r="G121" i="4" s="1"/>
  <c r="I85" i="4"/>
  <c r="D146" i="4" s="1"/>
  <c r="B147" i="4" s="1"/>
  <c r="C115" i="4"/>
  <c r="G115" i="4" s="1"/>
  <c r="J92" i="4"/>
  <c r="E153" i="4" s="1"/>
  <c r="B120" i="4"/>
  <c r="F120" i="4" s="1"/>
  <c r="B113" i="4"/>
  <c r="F113" i="4" s="1"/>
  <c r="I92" i="4"/>
  <c r="D153" i="4" s="1"/>
  <c r="C111" i="4"/>
  <c r="G111" i="4" s="1"/>
  <c r="I86" i="4"/>
  <c r="D147" i="4" s="1"/>
  <c r="B148" i="4" s="1"/>
  <c r="C112" i="4"/>
  <c r="G112" i="4" s="1"/>
  <c r="C92" i="4"/>
  <c r="E139" i="4" s="1"/>
  <c r="J87" i="4"/>
  <c r="E148" i="4" s="1"/>
  <c r="C149" i="4" s="1"/>
  <c r="J88" i="4"/>
  <c r="E149" i="4" s="1"/>
  <c r="C150" i="4" s="1"/>
  <c r="B112" i="4"/>
  <c r="F112" i="4" s="1"/>
  <c r="I89" i="4"/>
  <c r="D150" i="4" s="1"/>
  <c r="B151" i="4" s="1"/>
  <c r="C114" i="4"/>
  <c r="G114" i="4" s="1"/>
  <c r="I88" i="4"/>
  <c r="D149" i="4" s="1"/>
  <c r="B150" i="4" s="1"/>
  <c r="I87" i="4"/>
  <c r="D148" i="4" s="1"/>
  <c r="B149" i="4" s="1"/>
  <c r="I91" i="4"/>
  <c r="D152" i="4" s="1"/>
  <c r="B153" i="4" s="1"/>
  <c r="J86" i="4"/>
  <c r="E147" i="4" s="1"/>
  <c r="C148" i="4" s="1"/>
  <c r="J84" i="4"/>
  <c r="C146" i="4" s="1"/>
  <c r="B92" i="4"/>
  <c r="D139" i="4" s="1"/>
  <c r="J89" i="4"/>
  <c r="E150" i="4" s="1"/>
  <c r="C151" i="4" s="1"/>
  <c r="I84" i="4"/>
  <c r="B146" i="4" s="1"/>
  <c r="J85" i="4"/>
  <c r="E146" i="4" s="1"/>
  <c r="C147" i="4" s="1"/>
  <c r="B111" i="4"/>
  <c r="F111" i="4" s="1"/>
  <c r="J91" i="4"/>
  <c r="E152" i="4" s="1"/>
  <c r="C153" i="4" s="1"/>
  <c r="C86" i="4"/>
  <c r="E133" i="4" s="1"/>
  <c r="C134" i="4" s="1"/>
  <c r="B86" i="4"/>
  <c r="D133" i="4" s="1"/>
  <c r="B134" i="4" s="1"/>
  <c r="C87" i="4"/>
  <c r="E134" i="4" s="1"/>
  <c r="C135" i="4" s="1"/>
  <c r="B87" i="4"/>
  <c r="D134" i="4" s="1"/>
  <c r="B135" i="4" s="1"/>
  <c r="C87" i="2"/>
  <c r="E134" i="2" s="1"/>
  <c r="C135" i="2" s="1"/>
  <c r="C88" i="4"/>
  <c r="E135" i="4" s="1"/>
  <c r="C136" i="4" s="1"/>
  <c r="D18" i="2"/>
  <c r="J17" i="7"/>
  <c r="B88" i="5"/>
  <c r="D135" i="5" s="1"/>
  <c r="B136" i="5" s="1"/>
  <c r="J21" i="4"/>
  <c r="J17" i="5"/>
  <c r="E19" i="5"/>
  <c r="I18" i="9"/>
  <c r="C135" i="7"/>
  <c r="B90" i="8"/>
  <c r="D137" i="8" s="1"/>
  <c r="B138" i="8" s="1"/>
  <c r="G18" i="5"/>
  <c r="D19" i="7"/>
  <c r="C88" i="7"/>
  <c r="E135" i="7" s="1"/>
  <c r="C136" i="7" s="1"/>
  <c r="I18" i="2"/>
  <c r="H18" i="2"/>
  <c r="H22" i="2" s="1"/>
  <c r="F18" i="4"/>
  <c r="J20" i="7"/>
  <c r="G19" i="4"/>
  <c r="E18" i="2"/>
  <c r="F18" i="2"/>
  <c r="J20" i="4"/>
  <c r="G19" i="2"/>
  <c r="J19" i="2" s="1"/>
  <c r="I19" i="5"/>
  <c r="G19" i="5"/>
  <c r="D19" i="6"/>
  <c r="I18" i="5"/>
  <c r="E19" i="6"/>
  <c r="J21" i="8"/>
  <c r="C78" i="4"/>
  <c r="C89" i="4" s="1"/>
  <c r="E136" i="4" s="1"/>
  <c r="G19" i="9"/>
  <c r="G18" i="2"/>
  <c r="D19" i="2"/>
  <c r="F19" i="2"/>
  <c r="C78" i="2"/>
  <c r="I19" i="2"/>
  <c r="T37" i="2"/>
  <c r="U37" i="2" s="1"/>
  <c r="B90" i="6"/>
  <c r="D137" i="6" s="1"/>
  <c r="B138" i="6" s="1"/>
  <c r="C90" i="6"/>
  <c r="E137" i="6" s="1"/>
  <c r="F19" i="7"/>
  <c r="F18" i="9"/>
  <c r="C78" i="9"/>
  <c r="B89" i="9" s="1"/>
  <c r="D18" i="6"/>
  <c r="E18" i="6"/>
  <c r="C78" i="6"/>
  <c r="G18" i="6"/>
  <c r="G19" i="6"/>
  <c r="J19" i="6" s="1"/>
  <c r="F18" i="6"/>
  <c r="H18" i="6"/>
  <c r="H22" i="6" s="1"/>
  <c r="I18" i="6"/>
  <c r="T37" i="6"/>
  <c r="U37" i="6" s="1"/>
  <c r="F19" i="6"/>
  <c r="I19" i="6"/>
  <c r="D18" i="4"/>
  <c r="F19" i="4"/>
  <c r="T37" i="4"/>
  <c r="U37" i="4" s="1"/>
  <c r="D19" i="4"/>
  <c r="H19" i="9"/>
  <c r="G18" i="3"/>
  <c r="H18" i="3"/>
  <c r="H22" i="3" s="1"/>
  <c r="I19" i="3"/>
  <c r="F19" i="3"/>
  <c r="B91" i="6"/>
  <c r="D138" i="6" s="1"/>
  <c r="B139" i="6" s="1"/>
  <c r="C91" i="6"/>
  <c r="E138" i="6" s="1"/>
  <c r="C139" i="6" s="1"/>
  <c r="J17" i="8"/>
  <c r="E18" i="4"/>
  <c r="E18" i="9"/>
  <c r="F19" i="8"/>
  <c r="D18" i="8"/>
  <c r="H19" i="7"/>
  <c r="J17" i="3"/>
  <c r="H18" i="4"/>
  <c r="E19" i="4"/>
  <c r="T37" i="9"/>
  <c r="U37" i="9" s="1"/>
  <c r="I18" i="4"/>
  <c r="I22" i="4" s="1"/>
  <c r="D19" i="5"/>
  <c r="D18" i="5"/>
  <c r="E18" i="5"/>
  <c r="H19" i="5"/>
  <c r="H18" i="5"/>
  <c r="I18" i="3"/>
  <c r="B91" i="7"/>
  <c r="D138" i="7" s="1"/>
  <c r="B139" i="7" s="1"/>
  <c r="C91" i="7"/>
  <c r="E138" i="7" s="1"/>
  <c r="C139" i="7" s="1"/>
  <c r="E19" i="9"/>
  <c r="F19" i="9"/>
  <c r="I19" i="9"/>
  <c r="G18" i="9"/>
  <c r="G22" i="9" s="1"/>
  <c r="H19" i="4"/>
  <c r="D19" i="9"/>
  <c r="D22" i="9" s="1"/>
  <c r="H18" i="9"/>
  <c r="G18" i="4"/>
  <c r="I18" i="7"/>
  <c r="I19" i="7"/>
  <c r="G18" i="7"/>
  <c r="C78" i="7"/>
  <c r="T37" i="7"/>
  <c r="U37" i="7" s="1"/>
  <c r="G19" i="7"/>
  <c r="H18" i="7"/>
  <c r="F18" i="7"/>
  <c r="E18" i="7"/>
  <c r="D18" i="7"/>
  <c r="J20" i="6"/>
  <c r="C90" i="7"/>
  <c r="E137" i="7" s="1"/>
  <c r="C138" i="7" s="1"/>
  <c r="B90" i="7"/>
  <c r="D137" i="7" s="1"/>
  <c r="B138" i="7" s="1"/>
  <c r="J21" i="6"/>
  <c r="B88" i="7"/>
  <c r="D135" i="7" s="1"/>
  <c r="B136" i="7" s="1"/>
  <c r="C89" i="5"/>
  <c r="E136" i="5" s="1"/>
  <c r="B89" i="5"/>
  <c r="E135" i="6"/>
  <c r="D22" i="8" l="1"/>
  <c r="O13" i="8" s="1"/>
  <c r="W13" i="8" s="1"/>
  <c r="J19" i="3"/>
  <c r="G22" i="3"/>
  <c r="J19" i="5"/>
  <c r="D22" i="2"/>
  <c r="O13" i="2" s="1"/>
  <c r="W13" i="2" s="1"/>
  <c r="B89" i="8"/>
  <c r="F126" i="8" s="1"/>
  <c r="I22" i="8"/>
  <c r="D22" i="3"/>
  <c r="I2" i="3" s="1"/>
  <c r="J19" i="8"/>
  <c r="J22" i="8" s="1"/>
  <c r="M13" i="8" s="1"/>
  <c r="B89" i="3"/>
  <c r="D136" i="3" s="1"/>
  <c r="G22" i="8"/>
  <c r="G22" i="5"/>
  <c r="H138" i="5"/>
  <c r="I138" i="5" s="1"/>
  <c r="H151" i="8"/>
  <c r="I151" i="8" s="1"/>
  <c r="I22" i="5"/>
  <c r="C89" i="9"/>
  <c r="E136" i="9" s="1"/>
  <c r="C137" i="9" s="1"/>
  <c r="H135" i="9"/>
  <c r="I135" i="9" s="1"/>
  <c r="B118" i="3"/>
  <c r="F118" i="3" s="1"/>
  <c r="C112" i="3"/>
  <c r="G112" i="3" s="1"/>
  <c r="I89" i="3"/>
  <c r="D150" i="3" s="1"/>
  <c r="B151" i="3" s="1"/>
  <c r="C85" i="3"/>
  <c r="E132" i="3" s="1"/>
  <c r="C133" i="3" s="1"/>
  <c r="B85" i="3"/>
  <c r="D132" i="3" s="1"/>
  <c r="B133" i="3" s="1"/>
  <c r="B115" i="3"/>
  <c r="F115" i="3" s="1"/>
  <c r="H138" i="9"/>
  <c r="I138" i="9" s="1"/>
  <c r="G22" i="2"/>
  <c r="H150" i="9"/>
  <c r="I150" i="9" s="1"/>
  <c r="H138" i="4"/>
  <c r="I138" i="4" s="1"/>
  <c r="H138" i="8"/>
  <c r="I138" i="8" s="1"/>
  <c r="H139" i="2"/>
  <c r="I139" i="2" s="1"/>
  <c r="H148" i="9"/>
  <c r="I148" i="9" s="1"/>
  <c r="H150" i="5"/>
  <c r="I150" i="5" s="1"/>
  <c r="I84" i="3"/>
  <c r="B146" i="3" s="1"/>
  <c r="B87" i="3"/>
  <c r="D134" i="3" s="1"/>
  <c r="B135" i="3" s="1"/>
  <c r="C117" i="3"/>
  <c r="G117" i="3" s="1"/>
  <c r="H64" i="3"/>
  <c r="J90" i="3"/>
  <c r="E151" i="3" s="1"/>
  <c r="C152" i="3" s="1"/>
  <c r="B121" i="3"/>
  <c r="F121" i="3" s="1"/>
  <c r="B92" i="3"/>
  <c r="D139" i="3" s="1"/>
  <c r="B117" i="3"/>
  <c r="F117" i="3" s="1"/>
  <c r="H147" i="7"/>
  <c r="I147" i="7" s="1"/>
  <c r="C87" i="3"/>
  <c r="E134" i="3" s="1"/>
  <c r="C135" i="3" s="1"/>
  <c r="B86" i="3"/>
  <c r="D133" i="3" s="1"/>
  <c r="B134" i="3" s="1"/>
  <c r="C119" i="3"/>
  <c r="G119" i="3" s="1"/>
  <c r="C116" i="3"/>
  <c r="G116" i="3" s="1"/>
  <c r="B120" i="3"/>
  <c r="F120" i="3" s="1"/>
  <c r="J89" i="3"/>
  <c r="E150" i="3" s="1"/>
  <c r="C151" i="3" s="1"/>
  <c r="I85" i="3"/>
  <c r="D146" i="3" s="1"/>
  <c r="B147" i="3" s="1"/>
  <c r="B114" i="3"/>
  <c r="F114" i="3" s="1"/>
  <c r="H149" i="7"/>
  <c r="I149" i="7" s="1"/>
  <c r="C89" i="3"/>
  <c r="E136" i="3" s="1"/>
  <c r="B111" i="3"/>
  <c r="F111" i="3" s="1"/>
  <c r="C92" i="3"/>
  <c r="E139" i="3" s="1"/>
  <c r="C86" i="3"/>
  <c r="E133" i="3" s="1"/>
  <c r="C134" i="3" s="1"/>
  <c r="J91" i="3"/>
  <c r="E152" i="3" s="1"/>
  <c r="C153" i="3" s="1"/>
  <c r="J87" i="3"/>
  <c r="E148" i="3" s="1"/>
  <c r="C149" i="3" s="1"/>
  <c r="J86" i="3"/>
  <c r="E147" i="3" s="1"/>
  <c r="C148" i="3" s="1"/>
  <c r="B116" i="3"/>
  <c r="F116" i="3" s="1"/>
  <c r="B175" i="3"/>
  <c r="B176" i="3" s="1"/>
  <c r="B177" i="3" s="1"/>
  <c r="D181" i="3" s="1"/>
  <c r="B193" i="3" s="1"/>
  <c r="B84" i="3"/>
  <c r="B132" i="3" s="1"/>
  <c r="J88" i="3"/>
  <c r="E149" i="3" s="1"/>
  <c r="C150" i="3" s="1"/>
  <c r="B113" i="3"/>
  <c r="F113" i="3" s="1"/>
  <c r="I86" i="3"/>
  <c r="D147" i="3" s="1"/>
  <c r="B148" i="3" s="1"/>
  <c r="C111" i="3"/>
  <c r="G111" i="3" s="1"/>
  <c r="B119" i="3"/>
  <c r="F119" i="3" s="1"/>
  <c r="C84" i="3"/>
  <c r="C132" i="3" s="1"/>
  <c r="C120" i="3"/>
  <c r="G120" i="3" s="1"/>
  <c r="I90" i="3"/>
  <c r="D151" i="3" s="1"/>
  <c r="B152" i="3" s="1"/>
  <c r="J92" i="3"/>
  <c r="E153" i="3" s="1"/>
  <c r="C118" i="3"/>
  <c r="G118" i="3" s="1"/>
  <c r="B110" i="3"/>
  <c r="F110" i="3" s="1"/>
  <c r="J84" i="3"/>
  <c r="C146" i="3" s="1"/>
  <c r="C110" i="3"/>
  <c r="G110" i="3" s="1"/>
  <c r="I91" i="3"/>
  <c r="D152" i="3" s="1"/>
  <c r="B153" i="3" s="1"/>
  <c r="C113" i="3"/>
  <c r="G113" i="3" s="1"/>
  <c r="C121" i="3"/>
  <c r="G121" i="3" s="1"/>
  <c r="C114" i="3"/>
  <c r="G114" i="3" s="1"/>
  <c r="B112" i="3"/>
  <c r="F112" i="3" s="1"/>
  <c r="J85" i="3"/>
  <c r="E146" i="3" s="1"/>
  <c r="C147" i="3" s="1"/>
  <c r="C115" i="3"/>
  <c r="G115" i="3" s="1"/>
  <c r="I88" i="3"/>
  <c r="D149" i="3" s="1"/>
  <c r="B150" i="3" s="1"/>
  <c r="I87" i="3"/>
  <c r="D148" i="3" s="1"/>
  <c r="B149" i="3" s="1"/>
  <c r="H152" i="7"/>
  <c r="I152" i="7" s="1"/>
  <c r="H134" i="6"/>
  <c r="I134" i="6" s="1"/>
  <c r="H134" i="4"/>
  <c r="I134" i="4" s="1"/>
  <c r="H152" i="6"/>
  <c r="I152" i="6" s="1"/>
  <c r="H148" i="5"/>
  <c r="I148" i="5" s="1"/>
  <c r="H139" i="9"/>
  <c r="I139" i="9" s="1"/>
  <c r="B90" i="3"/>
  <c r="D137" i="3" s="1"/>
  <c r="B138" i="3" s="1"/>
  <c r="B88" i="3"/>
  <c r="D135" i="3" s="1"/>
  <c r="B136" i="3" s="1"/>
  <c r="B91" i="3"/>
  <c r="D138" i="3" s="1"/>
  <c r="B139" i="3" s="1"/>
  <c r="C91" i="3"/>
  <c r="E138" i="3" s="1"/>
  <c r="C139" i="3" s="1"/>
  <c r="C88" i="3"/>
  <c r="E135" i="3" s="1"/>
  <c r="C136" i="3" s="1"/>
  <c r="C90" i="3"/>
  <c r="E137" i="3" s="1"/>
  <c r="C138" i="3" s="1"/>
  <c r="H153" i="4"/>
  <c r="I153" i="4" s="1"/>
  <c r="H153" i="2"/>
  <c r="I153" i="2" s="1"/>
  <c r="H150" i="2"/>
  <c r="I150" i="2" s="1"/>
  <c r="H147" i="4"/>
  <c r="I147" i="4" s="1"/>
  <c r="H134" i="7"/>
  <c r="I134" i="7" s="1"/>
  <c r="H134" i="8"/>
  <c r="I134" i="8" s="1"/>
  <c r="H146" i="4"/>
  <c r="I146" i="4" s="1"/>
  <c r="H149" i="6"/>
  <c r="I149" i="6" s="1"/>
  <c r="H150" i="6"/>
  <c r="I150" i="6" s="1"/>
  <c r="H151" i="7"/>
  <c r="I151" i="7" s="1"/>
  <c r="H152" i="5"/>
  <c r="I152" i="5" s="1"/>
  <c r="H149" i="4"/>
  <c r="I149" i="4" s="1"/>
  <c r="H132" i="5"/>
  <c r="I132" i="5" s="1"/>
  <c r="H135" i="4"/>
  <c r="I135" i="4" s="1"/>
  <c r="H134" i="9"/>
  <c r="I134" i="9" s="1"/>
  <c r="H153" i="9"/>
  <c r="I153" i="9" s="1"/>
  <c r="H147" i="9"/>
  <c r="I147" i="9" s="1"/>
  <c r="H133" i="6"/>
  <c r="I133" i="6" s="1"/>
  <c r="H146" i="5"/>
  <c r="I146" i="5" s="1"/>
  <c r="H132" i="4"/>
  <c r="I132" i="4" s="1"/>
  <c r="H152" i="9"/>
  <c r="I152" i="9" s="1"/>
  <c r="H152" i="8"/>
  <c r="I152" i="8" s="1"/>
  <c r="H134" i="5"/>
  <c r="I134" i="5" s="1"/>
  <c r="H134" i="2"/>
  <c r="I134" i="2" s="1"/>
  <c r="H132" i="2"/>
  <c r="I132" i="2" s="1"/>
  <c r="H147" i="5"/>
  <c r="I147" i="5" s="1"/>
  <c r="H152" i="4"/>
  <c r="I152" i="4" s="1"/>
  <c r="H132" i="6"/>
  <c r="I132" i="6" s="1"/>
  <c r="H150" i="8"/>
  <c r="I150" i="8" s="1"/>
  <c r="B178" i="5"/>
  <c r="D181" i="5"/>
  <c r="B193" i="5" s="1"/>
  <c r="H153" i="5"/>
  <c r="I153" i="5" s="1"/>
  <c r="H150" i="4"/>
  <c r="I150" i="4" s="1"/>
  <c r="B178" i="9"/>
  <c r="D181" i="9"/>
  <c r="B193" i="9" s="1"/>
  <c r="H133" i="7"/>
  <c r="I133" i="7" s="1"/>
  <c r="H132" i="7"/>
  <c r="I132" i="7" s="1"/>
  <c r="H153" i="8"/>
  <c r="I153" i="8" s="1"/>
  <c r="H149" i="5"/>
  <c r="I149" i="5" s="1"/>
  <c r="H133" i="5"/>
  <c r="I133" i="5" s="1"/>
  <c r="D181" i="7"/>
  <c r="B193" i="7" s="1"/>
  <c r="B178" i="7"/>
  <c r="H151" i="4"/>
  <c r="I151" i="4" s="1"/>
  <c r="B178" i="4"/>
  <c r="D181" i="4"/>
  <c r="B193" i="4" s="1"/>
  <c r="H146" i="7"/>
  <c r="I146" i="7" s="1"/>
  <c r="H147" i="8"/>
  <c r="I147" i="8" s="1"/>
  <c r="H133" i="8"/>
  <c r="I133" i="8" s="1"/>
  <c r="H132" i="8"/>
  <c r="I132" i="8" s="1"/>
  <c r="H149" i="2"/>
  <c r="I149" i="2" s="1"/>
  <c r="H151" i="2"/>
  <c r="I151" i="2" s="1"/>
  <c r="B178" i="2"/>
  <c r="D181" i="2"/>
  <c r="B193" i="2" s="1"/>
  <c r="H135" i="2"/>
  <c r="I135" i="2" s="1"/>
  <c r="H146" i="6"/>
  <c r="I146" i="6" s="1"/>
  <c r="B178" i="8"/>
  <c r="D181" i="8"/>
  <c r="B193" i="8" s="1"/>
  <c r="H148" i="2"/>
  <c r="I148" i="2" s="1"/>
  <c r="H152" i="2"/>
  <c r="I152" i="2" s="1"/>
  <c r="B178" i="6"/>
  <c r="D181" i="6"/>
  <c r="B193" i="6" s="1"/>
  <c r="H133" i="9"/>
  <c r="I133" i="9" s="1"/>
  <c r="H151" i="9"/>
  <c r="I151" i="9" s="1"/>
  <c r="H146" i="9"/>
  <c r="I146" i="9" s="1"/>
  <c r="H149" i="9"/>
  <c r="I149" i="9" s="1"/>
  <c r="H132" i="9"/>
  <c r="I132" i="9" s="1"/>
  <c r="H149" i="8"/>
  <c r="I149" i="8" s="1"/>
  <c r="H146" i="8"/>
  <c r="I146" i="8" s="1"/>
  <c r="H151" i="5"/>
  <c r="I151" i="5" s="1"/>
  <c r="H133" i="2"/>
  <c r="I133" i="2" s="1"/>
  <c r="F126" i="5"/>
  <c r="H148" i="4"/>
  <c r="I148" i="4" s="1"/>
  <c r="H133" i="4"/>
  <c r="I133" i="4" s="1"/>
  <c r="H148" i="7"/>
  <c r="I148" i="7" s="1"/>
  <c r="H150" i="7"/>
  <c r="I150" i="7" s="1"/>
  <c r="H153" i="7"/>
  <c r="I153" i="7" s="1"/>
  <c r="H153" i="6"/>
  <c r="I153" i="6" s="1"/>
  <c r="H147" i="6"/>
  <c r="I147" i="6" s="1"/>
  <c r="H148" i="6"/>
  <c r="I148" i="6" s="1"/>
  <c r="H151" i="6"/>
  <c r="I151" i="6" s="1"/>
  <c r="H148" i="8"/>
  <c r="I148" i="8" s="1"/>
  <c r="H147" i="2"/>
  <c r="I147" i="2" s="1"/>
  <c r="H146" i="2"/>
  <c r="I146" i="2" s="1"/>
  <c r="H138" i="2"/>
  <c r="I138" i="2" s="1"/>
  <c r="H135" i="5"/>
  <c r="I135" i="5" s="1"/>
  <c r="I22" i="2"/>
  <c r="I22" i="9"/>
  <c r="P13" i="9" s="1"/>
  <c r="B89" i="4"/>
  <c r="Q76" i="4" s="1" a="1"/>
  <c r="Q76" i="4" s="1"/>
  <c r="H22" i="7"/>
  <c r="I22" i="3"/>
  <c r="D22" i="7"/>
  <c r="I2" i="7" s="1"/>
  <c r="H22" i="4"/>
  <c r="J19" i="4"/>
  <c r="J18" i="4"/>
  <c r="J18" i="9"/>
  <c r="J19" i="7"/>
  <c r="H139" i="6"/>
  <c r="I139" i="6" s="1"/>
  <c r="H138" i="7"/>
  <c r="I138" i="7" s="1"/>
  <c r="E22" i="9"/>
  <c r="D22" i="5"/>
  <c r="I2" i="5" s="1"/>
  <c r="D22" i="4"/>
  <c r="E22" i="4" s="1"/>
  <c r="Q19" i="4" s="1"/>
  <c r="D22" i="6"/>
  <c r="E22" i="6" s="1"/>
  <c r="Q19" i="6" s="1"/>
  <c r="G22" i="4"/>
  <c r="H135" i="7"/>
  <c r="I135" i="7" s="1"/>
  <c r="J18" i="3"/>
  <c r="J22" i="3" s="1"/>
  <c r="J18" i="2"/>
  <c r="J22" i="2" s="1"/>
  <c r="H22" i="9"/>
  <c r="L13" i="9" s="1"/>
  <c r="F22" i="9"/>
  <c r="R19" i="9" s="1"/>
  <c r="I2" i="9"/>
  <c r="F22" i="8"/>
  <c r="E22" i="8"/>
  <c r="I22" i="7"/>
  <c r="J18" i="6"/>
  <c r="J22" i="6" s="1"/>
  <c r="G22" i="6"/>
  <c r="J19" i="9"/>
  <c r="B89" i="2"/>
  <c r="C89" i="2"/>
  <c r="H139" i="7"/>
  <c r="I139" i="7" s="1"/>
  <c r="I22" i="6"/>
  <c r="B89" i="6"/>
  <c r="C89" i="6"/>
  <c r="C89" i="7"/>
  <c r="B89" i="7"/>
  <c r="H22" i="5"/>
  <c r="J18" i="5"/>
  <c r="J18" i="7"/>
  <c r="G22" i="7"/>
  <c r="C138" i="6"/>
  <c r="H138" i="6" s="1"/>
  <c r="I138" i="6" s="1"/>
  <c r="Q76" i="5" a="1"/>
  <c r="Q76" i="5" s="1"/>
  <c r="Q77" i="5" s="1"/>
  <c r="R77" i="5" s="1"/>
  <c r="N13" i="9"/>
  <c r="K13" i="9"/>
  <c r="D136" i="9"/>
  <c r="B137" i="9" s="1"/>
  <c r="F126" i="9"/>
  <c r="F127" i="9"/>
  <c r="D136" i="5"/>
  <c r="F127" i="5"/>
  <c r="C137" i="5"/>
  <c r="H139" i="5"/>
  <c r="I139" i="5" s="1"/>
  <c r="B136" i="8"/>
  <c r="H135" i="8"/>
  <c r="I135" i="8" s="1"/>
  <c r="C136" i="8"/>
  <c r="C137" i="8"/>
  <c r="H139" i="8"/>
  <c r="I139" i="8" s="1"/>
  <c r="C137" i="4"/>
  <c r="H139" i="4"/>
  <c r="I139" i="4" s="1"/>
  <c r="B136" i="6"/>
  <c r="H135" i="6"/>
  <c r="I135" i="6" s="1"/>
  <c r="C136" i="6"/>
  <c r="J22" i="5" l="1"/>
  <c r="L13" i="8"/>
  <c r="I2" i="8"/>
  <c r="F22" i="2"/>
  <c r="R19" i="2" s="1"/>
  <c r="P13" i="8"/>
  <c r="N13" i="8"/>
  <c r="V13" i="8" s="1"/>
  <c r="I2" i="2"/>
  <c r="E22" i="2"/>
  <c r="L13" i="2"/>
  <c r="M13" i="2"/>
  <c r="P13" i="2"/>
  <c r="F22" i="3"/>
  <c r="R19" i="3" s="1"/>
  <c r="K13" i="3"/>
  <c r="Q76" i="8" a="1"/>
  <c r="Q76" i="8" s="1"/>
  <c r="Q77" i="8" s="1"/>
  <c r="R77" i="8" s="1"/>
  <c r="N13" i="2"/>
  <c r="Y14" i="2" s="1"/>
  <c r="AA14" i="2" s="1"/>
  <c r="N13" i="3"/>
  <c r="Y15" i="3" s="1"/>
  <c r="AA15" i="3" s="1"/>
  <c r="M13" i="3"/>
  <c r="E22" i="3"/>
  <c r="Q19" i="3" s="1"/>
  <c r="O13" i="3"/>
  <c r="Z21" i="3" s="1"/>
  <c r="AB21" i="3" s="1"/>
  <c r="F127" i="8"/>
  <c r="D136" i="8"/>
  <c r="B137" i="8" s="1"/>
  <c r="H137" i="8" s="1"/>
  <c r="I137" i="8" s="1"/>
  <c r="Q76" i="9" a="1"/>
  <c r="Q76" i="9" s="1"/>
  <c r="Q77" i="9" s="1"/>
  <c r="R77" i="9" s="1"/>
  <c r="K13" i="8"/>
  <c r="K13" i="2"/>
  <c r="P13" i="3"/>
  <c r="L13" i="3"/>
  <c r="H153" i="3"/>
  <c r="I153" i="3" s="1"/>
  <c r="H150" i="3"/>
  <c r="I150" i="3" s="1"/>
  <c r="J22" i="7"/>
  <c r="M13" i="7" s="1"/>
  <c r="H151" i="3"/>
  <c r="I151" i="3" s="1"/>
  <c r="B178" i="3"/>
  <c r="Z15" i="2"/>
  <c r="AB15" i="2" s="1"/>
  <c r="X13" i="2"/>
  <c r="I4" i="2" s="1" a="1"/>
  <c r="I4" i="2" s="1"/>
  <c r="S13" i="2"/>
  <c r="H149" i="3"/>
  <c r="I149" i="3" s="1"/>
  <c r="H132" i="3"/>
  <c r="I132" i="3" s="1"/>
  <c r="H152" i="3"/>
  <c r="I152" i="3" s="1"/>
  <c r="H148" i="3"/>
  <c r="I148" i="3" s="1"/>
  <c r="A181" i="9"/>
  <c r="B190" i="9" s="1"/>
  <c r="B201" i="9" s="1"/>
  <c r="A181" i="3"/>
  <c r="B190" i="3" s="1"/>
  <c r="B201" i="3" s="1"/>
  <c r="A181" i="6"/>
  <c r="B190" i="6" s="1"/>
  <c r="B201" i="6" s="1"/>
  <c r="C181" i="9"/>
  <c r="B192" i="9" s="1"/>
  <c r="B203" i="9" s="1"/>
  <c r="H133" i="3"/>
  <c r="I133" i="3" s="1"/>
  <c r="H147" i="3"/>
  <c r="I147" i="3" s="1"/>
  <c r="F22" i="6"/>
  <c r="K15" i="6" s="1"/>
  <c r="K13" i="5"/>
  <c r="L13" i="6"/>
  <c r="P13" i="6"/>
  <c r="H134" i="3"/>
  <c r="I134" i="3" s="1"/>
  <c r="C181" i="5"/>
  <c r="B192" i="5" s="1"/>
  <c r="B203" i="5" s="1"/>
  <c r="A181" i="4"/>
  <c r="B190" i="4" s="1"/>
  <c r="B201" i="4" s="1"/>
  <c r="H146" i="3"/>
  <c r="I146" i="3" s="1"/>
  <c r="C181" i="7"/>
  <c r="B192" i="7" s="1"/>
  <c r="B203" i="7" s="1"/>
  <c r="H139" i="3"/>
  <c r="I139" i="3" s="1"/>
  <c r="C181" i="4"/>
  <c r="B192" i="4" s="1"/>
  <c r="B203" i="4" s="1"/>
  <c r="A181" i="8"/>
  <c r="B190" i="8" s="1"/>
  <c r="B201" i="8" s="1"/>
  <c r="H135" i="3"/>
  <c r="I135" i="3" s="1"/>
  <c r="C181" i="8"/>
  <c r="B192" i="8" s="1"/>
  <c r="B203" i="8" s="1"/>
  <c r="A181" i="2"/>
  <c r="B190" i="2" s="1"/>
  <c r="B201" i="2" s="1"/>
  <c r="C181" i="2"/>
  <c r="B192" i="2" s="1"/>
  <c r="B203" i="2" s="1"/>
  <c r="A181" i="5"/>
  <c r="B190" i="5" s="1"/>
  <c r="B201" i="5" s="1"/>
  <c r="C181" i="3"/>
  <c r="B192" i="3" s="1"/>
  <c r="B203" i="3" s="1"/>
  <c r="C181" i="6"/>
  <c r="B192" i="6" s="1"/>
  <c r="B203" i="6" s="1"/>
  <c r="A181" i="7"/>
  <c r="B190" i="7" s="1"/>
  <c r="B201" i="7" s="1"/>
  <c r="F127" i="3"/>
  <c r="F126" i="3"/>
  <c r="H138" i="3"/>
  <c r="I138" i="3" s="1"/>
  <c r="Q76" i="3" a="1"/>
  <c r="Q76" i="3" s="1"/>
  <c r="R76" i="3" s="1"/>
  <c r="Z18" i="2"/>
  <c r="AB18" i="2" s="1"/>
  <c r="Z16" i="2"/>
  <c r="AB16" i="2" s="1"/>
  <c r="Z21" i="2"/>
  <c r="AB21" i="2" s="1"/>
  <c r="Z17" i="2"/>
  <c r="AB17" i="2" s="1"/>
  <c r="Z20" i="2"/>
  <c r="AB20" i="2" s="1"/>
  <c r="Z14" i="2"/>
  <c r="AB14" i="2" s="1"/>
  <c r="Z19" i="2"/>
  <c r="AB19" i="2" s="1"/>
  <c r="I2" i="6"/>
  <c r="P13" i="7"/>
  <c r="F22" i="7"/>
  <c r="R19" i="7" s="1"/>
  <c r="L13" i="7"/>
  <c r="O13" i="7"/>
  <c r="Z21" i="7" s="1"/>
  <c r="AB21" i="7" s="1"/>
  <c r="N13" i="5"/>
  <c r="Y16" i="5" s="1"/>
  <c r="AA16" i="5" s="1"/>
  <c r="F127" i="4"/>
  <c r="F126" i="4"/>
  <c r="D136" i="4"/>
  <c r="B137" i="4" s="1"/>
  <c r="H137" i="4" s="1"/>
  <c r="I137" i="4" s="1"/>
  <c r="E22" i="7"/>
  <c r="I2" i="4"/>
  <c r="J22" i="4"/>
  <c r="M13" i="4" s="1"/>
  <c r="P13" i="4"/>
  <c r="K15" i="8"/>
  <c r="L13" i="4"/>
  <c r="R19" i="8"/>
  <c r="J22" i="9"/>
  <c r="M13" i="9" s="1"/>
  <c r="M13" i="6"/>
  <c r="K21" i="9"/>
  <c r="K18" i="9"/>
  <c r="E22" i="5"/>
  <c r="Q19" i="5" s="1"/>
  <c r="S13" i="8"/>
  <c r="M13" i="5"/>
  <c r="Z21" i="8"/>
  <c r="AB21" i="8" s="1"/>
  <c r="K20" i="9"/>
  <c r="P13" i="5"/>
  <c r="F22" i="5"/>
  <c r="K17" i="9"/>
  <c r="K19" i="9"/>
  <c r="K16" i="9"/>
  <c r="O13" i="6"/>
  <c r="Z20" i="6" s="1"/>
  <c r="AB20" i="6" s="1"/>
  <c r="K14" i="9"/>
  <c r="O17" i="9" s="1"/>
  <c r="N19" i="9" s="1"/>
  <c r="K15" i="9"/>
  <c r="Q19" i="9"/>
  <c r="Z18" i="8"/>
  <c r="AB18" i="8" s="1"/>
  <c r="X13" i="8"/>
  <c r="I4" i="8" s="1" a="1"/>
  <c r="I4" i="8" s="1"/>
  <c r="Z16" i="8"/>
  <c r="AB16" i="8" s="1"/>
  <c r="O13" i="9"/>
  <c r="Z15" i="9" s="1"/>
  <c r="AB15" i="9" s="1"/>
  <c r="O13" i="4"/>
  <c r="Z17" i="8"/>
  <c r="AB17" i="8" s="1"/>
  <c r="Z14" i="8"/>
  <c r="AB14" i="8" s="1"/>
  <c r="Z20" i="8"/>
  <c r="AB20" i="8" s="1"/>
  <c r="Z19" i="8"/>
  <c r="AB19" i="8" s="1"/>
  <c r="Z15" i="8"/>
  <c r="AB15" i="8" s="1"/>
  <c r="K19" i="8"/>
  <c r="F22" i="4"/>
  <c r="K16" i="8"/>
  <c r="K14" i="8"/>
  <c r="O17" i="8" s="1"/>
  <c r="Q19" i="8"/>
  <c r="K21" i="8"/>
  <c r="K13" i="4"/>
  <c r="N13" i="4"/>
  <c r="K17" i="8"/>
  <c r="K18" i="8"/>
  <c r="K20" i="8"/>
  <c r="E136" i="6"/>
  <c r="E136" i="2"/>
  <c r="N13" i="6"/>
  <c r="K13" i="6"/>
  <c r="O13" i="5"/>
  <c r="L13" i="5"/>
  <c r="D136" i="6"/>
  <c r="B137" i="6" s="1"/>
  <c r="F127" i="6"/>
  <c r="Q76" i="6" a="1"/>
  <c r="Q76" i="6" s="1"/>
  <c r="F126" i="6"/>
  <c r="D136" i="2"/>
  <c r="F126" i="2"/>
  <c r="F127" i="2"/>
  <c r="Q76" i="2" a="1"/>
  <c r="Q76" i="2" s="1"/>
  <c r="D136" i="7"/>
  <c r="F127" i="7"/>
  <c r="Q76" i="7" a="1"/>
  <c r="Q76" i="7" s="1"/>
  <c r="F126" i="7"/>
  <c r="E136" i="7"/>
  <c r="B181" i="6" s="1"/>
  <c r="B191" i="6" s="1"/>
  <c r="B202" i="6" s="1"/>
  <c r="K13" i="7"/>
  <c r="N13" i="7"/>
  <c r="R76" i="5"/>
  <c r="H136" i="9"/>
  <c r="I136" i="9" s="1"/>
  <c r="H137" i="9"/>
  <c r="I137" i="9" s="1"/>
  <c r="V13" i="9"/>
  <c r="Y18" i="9"/>
  <c r="AA18" i="9" s="1"/>
  <c r="U13" i="9"/>
  <c r="Y19" i="9"/>
  <c r="AA19" i="9" s="1"/>
  <c r="Y20" i="9"/>
  <c r="AA20" i="9" s="1"/>
  <c r="Y17" i="9"/>
  <c r="AA17" i="9" s="1"/>
  <c r="Y16" i="9"/>
  <c r="AA16" i="9" s="1"/>
  <c r="Y14" i="9"/>
  <c r="AA14" i="9" s="1"/>
  <c r="R13" i="9"/>
  <c r="Y15" i="9"/>
  <c r="AA15" i="9" s="1"/>
  <c r="B137" i="5"/>
  <c r="H137" i="5" s="1"/>
  <c r="I137" i="5" s="1"/>
  <c r="H136" i="5"/>
  <c r="I136" i="5" s="1"/>
  <c r="Y15" i="8"/>
  <c r="AA15" i="8" s="1"/>
  <c r="Q77" i="4"/>
  <c r="R77" i="4" s="1"/>
  <c r="R76" i="4"/>
  <c r="B137" i="3"/>
  <c r="H136" i="3"/>
  <c r="I136" i="3" s="1"/>
  <c r="C137" i="3"/>
  <c r="K17" i="2" l="1"/>
  <c r="Q13" i="8"/>
  <c r="T13" i="8" s="1"/>
  <c r="R13" i="8"/>
  <c r="Y17" i="8"/>
  <c r="AA17" i="8" s="1"/>
  <c r="AC17" i="8" s="1"/>
  <c r="Y14" i="8"/>
  <c r="AA14" i="8" s="1"/>
  <c r="AC14" i="8" s="1"/>
  <c r="Y16" i="8"/>
  <c r="AA16" i="8" s="1"/>
  <c r="Y18" i="8"/>
  <c r="AA18" i="8" s="1"/>
  <c r="AC18" i="8" s="1"/>
  <c r="Y20" i="8"/>
  <c r="AA20" i="8" s="1"/>
  <c r="AC20" i="8" s="1"/>
  <c r="Y19" i="8"/>
  <c r="AA19" i="8" s="1"/>
  <c r="AC19" i="8" s="1"/>
  <c r="U13" i="8"/>
  <c r="I3" i="8" s="1" a="1"/>
  <c r="I3" i="8" s="1"/>
  <c r="I5" i="8" s="1"/>
  <c r="K14" i="2"/>
  <c r="O17" i="2" s="1"/>
  <c r="O19" i="2" s="1"/>
  <c r="K15" i="2"/>
  <c r="K20" i="2"/>
  <c r="Y16" i="3"/>
  <c r="AA16" i="3" s="1"/>
  <c r="K19" i="2"/>
  <c r="K21" i="2"/>
  <c r="K18" i="2"/>
  <c r="Y19" i="3"/>
  <c r="AA19" i="3" s="1"/>
  <c r="Q19" i="2"/>
  <c r="K16" i="2"/>
  <c r="V13" i="2"/>
  <c r="Y20" i="2"/>
  <c r="AA20" i="2" s="1"/>
  <c r="AC20" i="2" s="1"/>
  <c r="Y17" i="2"/>
  <c r="AA17" i="2" s="1"/>
  <c r="AC17" i="2" s="1"/>
  <c r="Q13" i="2"/>
  <c r="T13" i="2" s="1"/>
  <c r="Y15" i="2"/>
  <c r="AA15" i="2" s="1"/>
  <c r="AC15" i="2" s="1"/>
  <c r="R13" i="2"/>
  <c r="Y19" i="2"/>
  <c r="AA19" i="2" s="1"/>
  <c r="AC19" i="2" s="1"/>
  <c r="U13" i="2"/>
  <c r="Y16" i="2"/>
  <c r="AA16" i="2" s="1"/>
  <c r="AC16" i="2" s="1"/>
  <c r="Y18" i="2"/>
  <c r="AA18" i="2" s="1"/>
  <c r="AC18" i="2" s="1"/>
  <c r="AC14" i="2"/>
  <c r="R13" i="3"/>
  <c r="K15" i="3"/>
  <c r="Y20" i="3"/>
  <c r="AA20" i="3" s="1"/>
  <c r="Y17" i="3"/>
  <c r="AA17" i="3" s="1"/>
  <c r="K19" i="3"/>
  <c r="V13" i="3"/>
  <c r="Y18" i="3"/>
  <c r="AA18" i="3" s="1"/>
  <c r="K18" i="3"/>
  <c r="Y14" i="3"/>
  <c r="AA14" i="3" s="1"/>
  <c r="U13" i="3"/>
  <c r="Z20" i="3"/>
  <c r="AB20" i="3" s="1"/>
  <c r="X13" i="3"/>
  <c r="K16" i="3"/>
  <c r="Z14" i="3"/>
  <c r="AB14" i="3" s="1"/>
  <c r="Q13" i="3"/>
  <c r="T13" i="3" s="1"/>
  <c r="K20" i="3"/>
  <c r="Z15" i="3"/>
  <c r="AB15" i="3" s="1"/>
  <c r="AC15" i="3" s="1"/>
  <c r="S13" i="3"/>
  <c r="K14" i="3"/>
  <c r="O17" i="3" s="1"/>
  <c r="O19" i="3" s="1"/>
  <c r="K17" i="3"/>
  <c r="W13" i="3"/>
  <c r="Z18" i="3"/>
  <c r="AB18" i="3" s="1"/>
  <c r="K21" i="3"/>
  <c r="Z19" i="3"/>
  <c r="AB19" i="3" s="1"/>
  <c r="Z17" i="3"/>
  <c r="AB17" i="3" s="1"/>
  <c r="Z16" i="3"/>
  <c r="AB16" i="3" s="1"/>
  <c r="H136" i="8"/>
  <c r="I136" i="8" s="1"/>
  <c r="R76" i="8"/>
  <c r="R76" i="9"/>
  <c r="Q13" i="9"/>
  <c r="T13" i="9" s="1"/>
  <c r="Z14" i="9"/>
  <c r="AB14" i="9" s="1"/>
  <c r="AC14" i="9" s="1"/>
  <c r="S13" i="9"/>
  <c r="Z17" i="9"/>
  <c r="AB17" i="9" s="1"/>
  <c r="AC17" i="9" s="1"/>
  <c r="X13" i="9"/>
  <c r="K18" i="7"/>
  <c r="Z21" i="9"/>
  <c r="AB21" i="9" s="1"/>
  <c r="Y18" i="5"/>
  <c r="AA18" i="5" s="1"/>
  <c r="Z19" i="9"/>
  <c r="AB19" i="9" s="1"/>
  <c r="AC19" i="9" s="1"/>
  <c r="Y17" i="5"/>
  <c r="AA17" i="5" s="1"/>
  <c r="Y20" i="5"/>
  <c r="AA20" i="5" s="1"/>
  <c r="Y19" i="5"/>
  <c r="AA19" i="5" s="1"/>
  <c r="Y15" i="5"/>
  <c r="AA15" i="5" s="1"/>
  <c r="U13" i="5"/>
  <c r="R13" i="5"/>
  <c r="V13" i="5"/>
  <c r="Y14" i="5"/>
  <c r="AA14" i="5" s="1"/>
  <c r="Q13" i="5"/>
  <c r="T13" i="5" s="1"/>
  <c r="K19" i="6"/>
  <c r="K16" i="6"/>
  <c r="K20" i="6"/>
  <c r="K18" i="6"/>
  <c r="R19" i="6"/>
  <c r="K17" i="6"/>
  <c r="K21" i="6"/>
  <c r="K14" i="6"/>
  <c r="O17" i="6" s="1"/>
  <c r="O19" i="6" s="1"/>
  <c r="H136" i="4"/>
  <c r="I136" i="4" s="1"/>
  <c r="Z18" i="9"/>
  <c r="AB18" i="9" s="1"/>
  <c r="AC18" i="9" s="1"/>
  <c r="Q77" i="3"/>
  <c r="R77" i="3" s="1"/>
  <c r="Z18" i="7"/>
  <c r="AB18" i="7" s="1"/>
  <c r="Z14" i="7"/>
  <c r="AB14" i="7" s="1"/>
  <c r="Z19" i="7"/>
  <c r="AB19" i="7" s="1"/>
  <c r="S13" i="7"/>
  <c r="Z16" i="7"/>
  <c r="AB16" i="7" s="1"/>
  <c r="Z15" i="7"/>
  <c r="AB15" i="7" s="1"/>
  <c r="Z17" i="7"/>
  <c r="AB17" i="7" s="1"/>
  <c r="W13" i="7"/>
  <c r="Z20" i="7"/>
  <c r="AB20" i="7" s="1"/>
  <c r="X13" i="7"/>
  <c r="W13" i="6"/>
  <c r="Z17" i="6"/>
  <c r="AB17" i="6" s="1"/>
  <c r="K14" i="7"/>
  <c r="O17" i="7" s="1"/>
  <c r="N19" i="7" s="1"/>
  <c r="K20" i="7"/>
  <c r="K19" i="7"/>
  <c r="K21" i="7"/>
  <c r="K16" i="7"/>
  <c r="Q19" i="7"/>
  <c r="K17" i="7"/>
  <c r="K15" i="7"/>
  <c r="AC15" i="8"/>
  <c r="K17" i="5"/>
  <c r="K19" i="5"/>
  <c r="K14" i="5"/>
  <c r="O17" i="5" s="1"/>
  <c r="O19" i="5" s="1"/>
  <c r="AC15" i="9"/>
  <c r="K16" i="5"/>
  <c r="K15" i="5"/>
  <c r="K21" i="5"/>
  <c r="AC16" i="8"/>
  <c r="R19" i="5"/>
  <c r="K20" i="5"/>
  <c r="K18" i="5"/>
  <c r="Z14" i="6"/>
  <c r="AB14" i="6" s="1"/>
  <c r="Z21" i="6"/>
  <c r="AB21" i="6" s="1"/>
  <c r="O19" i="9"/>
  <c r="Z16" i="6"/>
  <c r="AB16" i="6" s="1"/>
  <c r="Z18" i="6"/>
  <c r="AB18" i="6" s="1"/>
  <c r="Z15" i="6"/>
  <c r="AB15" i="6" s="1"/>
  <c r="X13" i="6"/>
  <c r="Z19" i="6"/>
  <c r="AB19" i="6" s="1"/>
  <c r="S13" i="6"/>
  <c r="B181" i="3"/>
  <c r="B191" i="3" s="1"/>
  <c r="B202" i="3" s="1"/>
  <c r="B181" i="4"/>
  <c r="B191" i="4" s="1"/>
  <c r="B202" i="4" s="1"/>
  <c r="Z16" i="9"/>
  <c r="AB16" i="9" s="1"/>
  <c r="AC16" i="9" s="1"/>
  <c r="W13" i="9"/>
  <c r="Z20" i="9"/>
  <c r="AB20" i="9" s="1"/>
  <c r="AC20" i="9" s="1"/>
  <c r="B181" i="5"/>
  <c r="B191" i="5" s="1"/>
  <c r="B202" i="5" s="1"/>
  <c r="K14" i="4"/>
  <c r="O17" i="4" s="1"/>
  <c r="K18" i="4"/>
  <c r="K15" i="4"/>
  <c r="K21" i="4"/>
  <c r="K19" i="4"/>
  <c r="K17" i="4"/>
  <c r="R19" i="4"/>
  <c r="K16" i="4"/>
  <c r="K20" i="4"/>
  <c r="B181" i="2"/>
  <c r="B191" i="2" s="1"/>
  <c r="B202" i="2" s="1"/>
  <c r="H136" i="6"/>
  <c r="I136" i="6" s="1"/>
  <c r="Z14" i="4"/>
  <c r="AB14" i="4" s="1"/>
  <c r="Z17" i="4"/>
  <c r="AB17" i="4" s="1"/>
  <c r="Z21" i="4"/>
  <c r="AB21" i="4" s="1"/>
  <c r="W13" i="4"/>
  <c r="Z19" i="4"/>
  <c r="AB19" i="4" s="1"/>
  <c r="Z16" i="4"/>
  <c r="AB16" i="4" s="1"/>
  <c r="Z18" i="4"/>
  <c r="AB18" i="4" s="1"/>
  <c r="S13" i="4"/>
  <c r="Z15" i="4"/>
  <c r="AB15" i="4" s="1"/>
  <c r="X13" i="4"/>
  <c r="Z20" i="4"/>
  <c r="AB20" i="4" s="1"/>
  <c r="N19" i="8"/>
  <c r="O19" i="8"/>
  <c r="Y17" i="4"/>
  <c r="AA17" i="4" s="1"/>
  <c r="U13" i="4"/>
  <c r="Y14" i="4"/>
  <c r="AA14" i="4" s="1"/>
  <c r="Y19" i="4"/>
  <c r="AA19" i="4" s="1"/>
  <c r="Q13" i="4"/>
  <c r="T13" i="4" s="1"/>
  <c r="Y18" i="4"/>
  <c r="AA18" i="4" s="1"/>
  <c r="Y20" i="4"/>
  <c r="AA20" i="4" s="1"/>
  <c r="Y15" i="4"/>
  <c r="AA15" i="4" s="1"/>
  <c r="Y16" i="4"/>
  <c r="AA16" i="4" s="1"/>
  <c r="V13" i="4"/>
  <c r="R13" i="4"/>
  <c r="B181" i="8"/>
  <c r="B191" i="8" s="1"/>
  <c r="B202" i="8" s="1"/>
  <c r="Q77" i="7"/>
  <c r="R77" i="7" s="1"/>
  <c r="R76" i="7"/>
  <c r="H136" i="2"/>
  <c r="I136" i="2" s="1"/>
  <c r="B137" i="2"/>
  <c r="Y16" i="7"/>
  <c r="AA16" i="7" s="1"/>
  <c r="Y19" i="7"/>
  <c r="AA19" i="7" s="1"/>
  <c r="Y14" i="7"/>
  <c r="AA14" i="7" s="1"/>
  <c r="V13" i="7"/>
  <c r="R13" i="7"/>
  <c r="Y18" i="7"/>
  <c r="AA18" i="7" s="1"/>
  <c r="Y20" i="7"/>
  <c r="AA20" i="7" s="1"/>
  <c r="Y15" i="7"/>
  <c r="AA15" i="7" s="1"/>
  <c r="Y17" i="7"/>
  <c r="AA17" i="7" s="1"/>
  <c r="U13" i="7"/>
  <c r="Q13" i="7"/>
  <c r="T13" i="7" s="1"/>
  <c r="W13" i="5"/>
  <c r="X13" i="5"/>
  <c r="Z17" i="5"/>
  <c r="AB17" i="5" s="1"/>
  <c r="S13" i="5"/>
  <c r="Z19" i="5"/>
  <c r="AB19" i="5" s="1"/>
  <c r="Z16" i="5"/>
  <c r="AB16" i="5" s="1"/>
  <c r="AC16" i="5" s="1"/>
  <c r="Z14" i="5"/>
  <c r="AB14" i="5" s="1"/>
  <c r="Z21" i="5"/>
  <c r="AB21" i="5" s="1"/>
  <c r="Z18" i="5"/>
  <c r="AB18" i="5" s="1"/>
  <c r="Z20" i="5"/>
  <c r="AB20" i="5" s="1"/>
  <c r="Z15" i="5"/>
  <c r="AB15" i="5" s="1"/>
  <c r="C137" i="2"/>
  <c r="B181" i="9"/>
  <c r="B191" i="9" s="1"/>
  <c r="B202" i="9" s="1"/>
  <c r="C137" i="6"/>
  <c r="B137" i="7"/>
  <c r="H136" i="7"/>
  <c r="I136" i="7" s="1"/>
  <c r="Q77" i="6"/>
  <c r="R77" i="6" s="1"/>
  <c r="R76" i="6"/>
  <c r="C137" i="7"/>
  <c r="B181" i="7"/>
  <c r="B191" i="7" s="1"/>
  <c r="B202" i="7" s="1"/>
  <c r="R76" i="2"/>
  <c r="Q77" i="2"/>
  <c r="R77" i="2" s="1"/>
  <c r="Y16" i="6"/>
  <c r="AA16" i="6" s="1"/>
  <c r="Y17" i="6"/>
  <c r="AA17" i="6" s="1"/>
  <c r="Y19" i="6"/>
  <c r="AA19" i="6" s="1"/>
  <c r="Y14" i="6"/>
  <c r="AA14" i="6" s="1"/>
  <c r="U13" i="6"/>
  <c r="Y18" i="6"/>
  <c r="AA18" i="6" s="1"/>
  <c r="Y20" i="6"/>
  <c r="AA20" i="6" s="1"/>
  <c r="AC20" i="6" s="1"/>
  <c r="Y15" i="6"/>
  <c r="AA15" i="6" s="1"/>
  <c r="V13" i="6"/>
  <c r="R13" i="6"/>
  <c r="Q13" i="6"/>
  <c r="T13" i="6" s="1"/>
  <c r="I3" i="9" a="1"/>
  <c r="I3" i="9" s="1"/>
  <c r="H137" i="3"/>
  <c r="I137" i="3" s="1"/>
  <c r="C79" i="1"/>
  <c r="C80" i="1"/>
  <c r="B79" i="1"/>
  <c r="B80" i="1"/>
  <c r="B78" i="1"/>
  <c r="C78" i="1"/>
  <c r="A79" i="1"/>
  <c r="A80" i="1"/>
  <c r="A91" i="1" s="1"/>
  <c r="D20" i="1"/>
  <c r="E20" i="1"/>
  <c r="F20" i="1"/>
  <c r="G20" i="1"/>
  <c r="H20" i="1"/>
  <c r="I20" i="1"/>
  <c r="D19" i="1"/>
  <c r="E19" i="1"/>
  <c r="F19" i="1"/>
  <c r="G19" i="1"/>
  <c r="H19" i="1"/>
  <c r="I19" i="1"/>
  <c r="I15" i="1"/>
  <c r="I16" i="1"/>
  <c r="I17" i="1"/>
  <c r="I18" i="1"/>
  <c r="I14" i="1"/>
  <c r="H15" i="1"/>
  <c r="H16" i="1"/>
  <c r="H17" i="1"/>
  <c r="H18" i="1"/>
  <c r="H14" i="1"/>
  <c r="G14" i="1"/>
  <c r="G15" i="1"/>
  <c r="G16" i="1"/>
  <c r="G17" i="1"/>
  <c r="G18" i="1"/>
  <c r="F15" i="1"/>
  <c r="F16" i="1"/>
  <c r="F17" i="1"/>
  <c r="F18" i="1"/>
  <c r="F14" i="1"/>
  <c r="E15" i="1"/>
  <c r="E16" i="1"/>
  <c r="E17" i="1"/>
  <c r="E18" i="1"/>
  <c r="E14" i="1"/>
  <c r="D15" i="1"/>
  <c r="D16" i="1"/>
  <c r="D17" i="1"/>
  <c r="D18" i="1"/>
  <c r="D14" i="1"/>
  <c r="AC16" i="3" l="1"/>
  <c r="N19" i="2"/>
  <c r="N19" i="3"/>
  <c r="I3" i="2" a="1"/>
  <c r="I3" i="2" s="1"/>
  <c r="I5" i="2" s="1"/>
  <c r="AC19" i="3"/>
  <c r="AC20" i="3"/>
  <c r="I4" i="3" a="1"/>
  <c r="I4" i="3" s="1"/>
  <c r="AC17" i="3"/>
  <c r="AC14" i="3"/>
  <c r="AC18" i="3"/>
  <c r="I3" i="3" a="1"/>
  <c r="I3" i="3" s="1"/>
  <c r="AC19" i="5"/>
  <c r="AC14" i="5"/>
  <c r="AC15" i="5"/>
  <c r="I4" i="9" a="1"/>
  <c r="I4" i="9" s="1"/>
  <c r="I5" i="9" s="1"/>
  <c r="AC18" i="5"/>
  <c r="AC20" i="5"/>
  <c r="N19" i="6"/>
  <c r="AC17" i="5"/>
  <c r="O19" i="7"/>
  <c r="AC19" i="7"/>
  <c r="I3" i="5" a="1"/>
  <c r="I3" i="5" s="1"/>
  <c r="AC16" i="7"/>
  <c r="AC20" i="4"/>
  <c r="I4" i="6" a="1"/>
  <c r="I4" i="6" s="1"/>
  <c r="AC18" i="7"/>
  <c r="AC14" i="7"/>
  <c r="AC20" i="7"/>
  <c r="I4" i="7" a="1"/>
  <c r="I4" i="7" s="1"/>
  <c r="N19" i="5"/>
  <c r="AC17" i="6"/>
  <c r="AC17" i="7"/>
  <c r="AC15" i="7"/>
  <c r="AC14" i="6"/>
  <c r="AC19" i="6"/>
  <c r="AC16" i="6"/>
  <c r="AC16" i="4"/>
  <c r="AC18" i="4"/>
  <c r="H137" i="6"/>
  <c r="I137" i="6" s="1"/>
  <c r="AC18" i="6"/>
  <c r="AC17" i="4"/>
  <c r="I4" i="4" a="1"/>
  <c r="I4" i="4" s="1"/>
  <c r="AC14" i="4"/>
  <c r="I4" i="5" a="1"/>
  <c r="I4" i="5" s="1"/>
  <c r="AC15" i="4"/>
  <c r="AC15" i="6"/>
  <c r="N19" i="4"/>
  <c r="O19" i="4"/>
  <c r="AC19" i="4"/>
  <c r="H137" i="2"/>
  <c r="I137" i="2" s="1"/>
  <c r="I3" i="4" a="1"/>
  <c r="I3" i="4" s="1"/>
  <c r="I3" i="7" a="1"/>
  <c r="I3" i="7" s="1"/>
  <c r="H137" i="7"/>
  <c r="I137" i="7" s="1"/>
  <c r="I3" i="6" a="1"/>
  <c r="I3" i="6" s="1"/>
  <c r="J20" i="1"/>
  <c r="J19" i="1"/>
  <c r="G22" i="1"/>
  <c r="I22" i="1"/>
  <c r="H22" i="1"/>
  <c r="D22" i="1"/>
  <c r="J15" i="1"/>
  <c r="J14" i="1"/>
  <c r="J18" i="1"/>
  <c r="J17" i="1"/>
  <c r="J16" i="1"/>
  <c r="B91" i="1"/>
  <c r="D138" i="1" s="1"/>
  <c r="B139" i="1" s="1"/>
  <c r="C91" i="1"/>
  <c r="E138" i="1" s="1"/>
  <c r="C139" i="1" s="1"/>
  <c r="H64" i="1"/>
  <c r="C96" i="1"/>
  <c r="C97" i="1"/>
  <c r="C98" i="1"/>
  <c r="C99" i="1"/>
  <c r="C100" i="1"/>
  <c r="C101" i="1"/>
  <c r="C102" i="1"/>
  <c r="C103" i="1"/>
  <c r="C104" i="1"/>
  <c r="C105" i="1"/>
  <c r="C106" i="1"/>
  <c r="C95" i="1"/>
  <c r="B96" i="1"/>
  <c r="B97" i="1"/>
  <c r="B98" i="1"/>
  <c r="B99" i="1"/>
  <c r="B100" i="1"/>
  <c r="B101" i="1"/>
  <c r="B102" i="1"/>
  <c r="B103" i="1"/>
  <c r="B104" i="1"/>
  <c r="B105" i="1"/>
  <c r="B106" i="1"/>
  <c r="B95" i="1"/>
  <c r="A96" i="1"/>
  <c r="A111" i="1" s="1"/>
  <c r="D96" i="1"/>
  <c r="D111" i="1" s="1"/>
  <c r="A97" i="1"/>
  <c r="A112" i="1" s="1"/>
  <c r="D97" i="1"/>
  <c r="D112" i="1" s="1"/>
  <c r="A98" i="1"/>
  <c r="A113" i="1" s="1"/>
  <c r="D98" i="1"/>
  <c r="D113" i="1" s="1"/>
  <c r="A99" i="1"/>
  <c r="A114" i="1" s="1"/>
  <c r="D99" i="1"/>
  <c r="D114" i="1" s="1"/>
  <c r="A100" i="1"/>
  <c r="A115" i="1" s="1"/>
  <c r="D100" i="1"/>
  <c r="D115" i="1" s="1"/>
  <c r="A101" i="1"/>
  <c r="A116" i="1" s="1"/>
  <c r="D101" i="1"/>
  <c r="D116" i="1" s="1"/>
  <c r="A102" i="1"/>
  <c r="A117" i="1" s="1"/>
  <c r="D102" i="1"/>
  <c r="D117" i="1" s="1"/>
  <c r="A103" i="1"/>
  <c r="A118" i="1" s="1"/>
  <c r="D103" i="1"/>
  <c r="D118" i="1" s="1"/>
  <c r="A104" i="1"/>
  <c r="A119" i="1" s="1"/>
  <c r="D104" i="1"/>
  <c r="D119" i="1" s="1"/>
  <c r="A105" i="1"/>
  <c r="A120" i="1" s="1"/>
  <c r="D105" i="1"/>
  <c r="D120" i="1" s="1"/>
  <c r="A106" i="1"/>
  <c r="A121" i="1" s="1"/>
  <c r="D106" i="1"/>
  <c r="D121" i="1" s="1"/>
  <c r="D95" i="1"/>
  <c r="D110" i="1" s="1"/>
  <c r="A95" i="1"/>
  <c r="A110" i="1" s="1"/>
  <c r="C73" i="1"/>
  <c r="B74" i="1"/>
  <c r="B75" i="1"/>
  <c r="B76" i="1"/>
  <c r="B77" i="1"/>
  <c r="B73" i="1"/>
  <c r="E22" i="1" l="1"/>
  <c r="E11" i="1"/>
  <c r="I5" i="3"/>
  <c r="O13" i="1"/>
  <c r="AH19" i="1"/>
  <c r="AH20" i="1"/>
  <c r="AH16" i="1"/>
  <c r="AH21" i="1"/>
  <c r="I3" i="1"/>
  <c r="L3" i="1" s="1"/>
  <c r="N3" i="1" s="1"/>
  <c r="AH14" i="1"/>
  <c r="AH15" i="1"/>
  <c r="AH18" i="1"/>
  <c r="AH17" i="1"/>
  <c r="I5" i="5"/>
  <c r="I5" i="6"/>
  <c r="I5" i="7"/>
  <c r="I5" i="4"/>
  <c r="Q19" i="1"/>
  <c r="H139" i="1"/>
  <c r="I139" i="1" s="1"/>
  <c r="F22" i="1"/>
  <c r="N13" i="1" s="1"/>
  <c r="J22" i="1"/>
  <c r="M13" i="1" s="1"/>
  <c r="B114" i="1"/>
  <c r="F114" i="1" s="1"/>
  <c r="C84" i="1"/>
  <c r="C119" i="1"/>
  <c r="G119" i="1" s="1"/>
  <c r="C110" i="1"/>
  <c r="G110" i="1" s="1"/>
  <c r="B111" i="1"/>
  <c r="F111" i="1" s="1"/>
  <c r="C117" i="1"/>
  <c r="G117" i="1" s="1"/>
  <c r="C121" i="1"/>
  <c r="G121" i="1" s="1"/>
  <c r="C113" i="1"/>
  <c r="G113" i="1" s="1"/>
  <c r="C118" i="1"/>
  <c r="G118" i="1" s="1"/>
  <c r="B110" i="1"/>
  <c r="F110" i="1" s="1"/>
  <c r="B120" i="1"/>
  <c r="F120" i="1" s="1"/>
  <c r="B112" i="1"/>
  <c r="F112" i="1" s="1"/>
  <c r="C115" i="1"/>
  <c r="G115" i="1" s="1"/>
  <c r="C114" i="1"/>
  <c r="G114" i="1" s="1"/>
  <c r="C112" i="1"/>
  <c r="G112" i="1" s="1"/>
  <c r="I2" i="1"/>
  <c r="C116" i="1"/>
  <c r="G116" i="1" s="1"/>
  <c r="C120" i="1"/>
  <c r="G120" i="1" s="1"/>
  <c r="B115" i="1"/>
  <c r="F115" i="1" s="1"/>
  <c r="B121" i="1"/>
  <c r="F121" i="1" s="1"/>
  <c r="B113" i="1"/>
  <c r="F113" i="1" s="1"/>
  <c r="L13" i="1"/>
  <c r="K13" i="1"/>
  <c r="B117" i="1"/>
  <c r="F117" i="1" s="1"/>
  <c r="B119" i="1"/>
  <c r="F119" i="1" s="1"/>
  <c r="B118" i="1"/>
  <c r="F118" i="1" s="1"/>
  <c r="C111" i="1"/>
  <c r="G111" i="1" s="1"/>
  <c r="B116" i="1"/>
  <c r="F116" i="1" s="1"/>
  <c r="B84" i="1"/>
  <c r="Y14" i="1" l="1"/>
  <c r="Y16" i="1"/>
  <c r="V13" i="1"/>
  <c r="Y17" i="1"/>
  <c r="AA17" i="1" s="1"/>
  <c r="U13" i="1"/>
  <c r="Y18" i="1"/>
  <c r="AA18" i="1" s="1"/>
  <c r="Y19" i="1"/>
  <c r="AA19" i="1" s="1"/>
  <c r="Y21" i="1"/>
  <c r="AA21" i="1" s="1"/>
  <c r="Y20" i="1"/>
  <c r="AA20" i="1" s="1"/>
  <c r="Y15" i="1"/>
  <c r="K21" i="1"/>
  <c r="AD19" i="1"/>
  <c r="AD20" i="1"/>
  <c r="I4" i="1"/>
  <c r="L4" i="1" s="1"/>
  <c r="N4" i="1" s="1"/>
  <c r="N5" i="1" s="1"/>
  <c r="AD18" i="1"/>
  <c r="AD21" i="1"/>
  <c r="AD15" i="1"/>
  <c r="AD14" i="1"/>
  <c r="AD16" i="1"/>
  <c r="AD17" i="1"/>
  <c r="P13" i="1"/>
  <c r="AI14" i="1" s="1"/>
  <c r="Z14" i="1"/>
  <c r="AB14" i="1" s="1"/>
  <c r="AM14" i="1" s="1"/>
  <c r="Z15" i="1"/>
  <c r="AB15" i="1" s="1"/>
  <c r="Z17" i="1"/>
  <c r="AB17" i="1" s="1"/>
  <c r="Z18" i="1"/>
  <c r="AB18" i="1" s="1"/>
  <c r="Z19" i="1"/>
  <c r="AB19" i="1" s="1"/>
  <c r="Z20" i="1"/>
  <c r="AB20" i="1" s="1"/>
  <c r="X13" i="1"/>
  <c r="Z16" i="1"/>
  <c r="AB16" i="1" s="1"/>
  <c r="Z21" i="1"/>
  <c r="AB21" i="1" s="1"/>
  <c r="W13" i="1"/>
  <c r="C132" i="1"/>
  <c r="K20" i="1"/>
  <c r="R19" i="1"/>
  <c r="K16" i="1"/>
  <c r="K19" i="1"/>
  <c r="K15" i="1"/>
  <c r="K14" i="1"/>
  <c r="O17" i="1" s="1"/>
  <c r="N19" i="1" s="1"/>
  <c r="K17" i="1"/>
  <c r="K18" i="1"/>
  <c r="S13" i="1"/>
  <c r="AA14" i="1"/>
  <c r="AA16" i="1"/>
  <c r="AA15" i="1"/>
  <c r="B132" i="1"/>
  <c r="Q13" i="1"/>
  <c r="T13" i="1" s="1"/>
  <c r="R13" i="1"/>
  <c r="AI21" i="1" l="1"/>
  <c r="AI20" i="1"/>
  <c r="AM20" i="1"/>
  <c r="AM21" i="1"/>
  <c r="AM16" i="1"/>
  <c r="AM18" i="1"/>
  <c r="AM19" i="1"/>
  <c r="AM17" i="1"/>
  <c r="AM15" i="1"/>
  <c r="AJ21" i="1"/>
  <c r="AI18" i="1"/>
  <c r="AJ15" i="1"/>
  <c r="AI15" i="1"/>
  <c r="AI19" i="1"/>
  <c r="AJ19" i="1"/>
  <c r="AJ17" i="1"/>
  <c r="AJ16" i="1"/>
  <c r="AJ18" i="1"/>
  <c r="AI16" i="1"/>
  <c r="AE16" i="1"/>
  <c r="AF16" i="1"/>
  <c r="AE14" i="1"/>
  <c r="AF14" i="1"/>
  <c r="AE15" i="1"/>
  <c r="AF15" i="1"/>
  <c r="AJ20" i="1"/>
  <c r="AE18" i="1"/>
  <c r="AF18" i="1"/>
  <c r="AF21" i="1"/>
  <c r="AE21" i="1"/>
  <c r="AF20" i="1"/>
  <c r="AE20" i="1"/>
  <c r="AJ14" i="1"/>
  <c r="AK14" i="1" s="1"/>
  <c r="AI17" i="1"/>
  <c r="AE17" i="1"/>
  <c r="AF17" i="1"/>
  <c r="AE19" i="1"/>
  <c r="AF19" i="1"/>
  <c r="O19" i="1"/>
  <c r="AK21" i="1" l="1"/>
  <c r="AK20" i="1"/>
  <c r="AG21" i="1"/>
  <c r="AK18" i="1"/>
  <c r="AK15" i="1"/>
  <c r="AK19" i="1"/>
  <c r="AK17" i="1"/>
  <c r="AG20" i="1"/>
  <c r="AK16" i="1"/>
  <c r="AG15" i="1"/>
  <c r="AG14" i="1"/>
  <c r="AC14" i="1" s="1"/>
  <c r="AG18" i="1"/>
  <c r="AG17" i="1"/>
  <c r="AG19" i="1"/>
  <c r="AG16" i="1"/>
  <c r="C74" i="1"/>
  <c r="C75" i="1"/>
  <c r="C76" i="1"/>
  <c r="C77" i="1"/>
  <c r="A72" i="1"/>
  <c r="A83" i="1" s="1"/>
  <c r="A74" i="1"/>
  <c r="A85" i="1" s="1"/>
  <c r="A75" i="1"/>
  <c r="A86" i="1" s="1"/>
  <c r="A76" i="1"/>
  <c r="A87" i="1" s="1"/>
  <c r="A77" i="1"/>
  <c r="A88" i="1" s="1"/>
  <c r="A78" i="1"/>
  <c r="A89" i="1" s="1"/>
  <c r="A90" i="1"/>
  <c r="A73" i="1"/>
  <c r="A84" i="1" s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R37" i="1"/>
  <c r="Q37" i="1"/>
  <c r="B59" i="1"/>
  <c r="B61" i="1"/>
  <c r="U37" i="1"/>
  <c r="AC21" i="1" l="1"/>
  <c r="AN21" i="1" s="1"/>
  <c r="AC20" i="1"/>
  <c r="AN20" i="1" s="1"/>
  <c r="AC18" i="1"/>
  <c r="AN18" i="1" s="1"/>
  <c r="AN14" i="1"/>
  <c r="AC19" i="1"/>
  <c r="AN19" i="1" s="1"/>
  <c r="AC15" i="1"/>
  <c r="AN15" i="1" s="1"/>
  <c r="AC17" i="1"/>
  <c r="AN17" i="1" s="1"/>
  <c r="AC16" i="1"/>
  <c r="AN16" i="1" s="1"/>
  <c r="D61" i="1"/>
  <c r="B66" i="7"/>
  <c r="B66" i="4"/>
  <c r="B66" i="8"/>
  <c r="B66" i="3"/>
  <c r="B66" i="5"/>
  <c r="B66" i="9"/>
  <c r="D175" i="1"/>
  <c r="D176" i="1" s="1"/>
  <c r="D177" i="1" s="1"/>
  <c r="A169" i="1"/>
  <c r="D66" i="1"/>
  <c r="B56" i="1"/>
  <c r="C86" i="1"/>
  <c r="E133" i="1" s="1"/>
  <c r="B86" i="1"/>
  <c r="D133" i="1" s="1"/>
  <c r="B134" i="1" s="1"/>
  <c r="C85" i="1"/>
  <c r="B85" i="1"/>
  <c r="C90" i="1"/>
  <c r="E137" i="1" s="1"/>
  <c r="B90" i="1"/>
  <c r="D137" i="1" s="1"/>
  <c r="B138" i="1" s="1"/>
  <c r="C89" i="1"/>
  <c r="E136" i="1" s="1"/>
  <c r="B89" i="1"/>
  <c r="D136" i="1" s="1"/>
  <c r="B137" i="1" s="1"/>
  <c r="C88" i="1"/>
  <c r="E135" i="1" s="1"/>
  <c r="B88" i="1"/>
  <c r="D135" i="1" s="1"/>
  <c r="B136" i="1" s="1"/>
  <c r="B87" i="1"/>
  <c r="D134" i="1" s="1"/>
  <c r="B135" i="1" s="1"/>
  <c r="C87" i="1"/>
  <c r="E134" i="1" s="1"/>
  <c r="J66" i="1" l="1"/>
  <c r="N66" i="1" s="1"/>
  <c r="AC27" i="1"/>
  <c r="AD27" i="1" s="1"/>
  <c r="AC26" i="1"/>
  <c r="AD26" i="1" s="1"/>
  <c r="F126" i="1"/>
  <c r="F127" i="1"/>
  <c r="AC23" i="1"/>
  <c r="AC24" i="1"/>
  <c r="AC22" i="1"/>
  <c r="Q66" i="1"/>
  <c r="P66" i="1" s="1"/>
  <c r="E132" i="1"/>
  <c r="C133" i="1" s="1"/>
  <c r="D178" i="1"/>
  <c r="C180" i="3"/>
  <c r="A192" i="3" s="1"/>
  <c r="A203" i="3" s="1"/>
  <c r="C180" i="5"/>
  <c r="A192" i="5" s="1"/>
  <c r="A203" i="5" s="1"/>
  <c r="C180" i="6"/>
  <c r="A192" i="6" s="1"/>
  <c r="A203" i="6" s="1"/>
  <c r="A180" i="2"/>
  <c r="A190" i="2" s="1"/>
  <c r="A201" i="2" s="1"/>
  <c r="C180" i="9"/>
  <c r="A192" i="9" s="1"/>
  <c r="A203" i="9" s="1"/>
  <c r="C180" i="4"/>
  <c r="A192" i="4" s="1"/>
  <c r="A203" i="4" s="1"/>
  <c r="C180" i="8"/>
  <c r="A192" i="8" s="1"/>
  <c r="A203" i="8" s="1"/>
  <c r="C180" i="2"/>
  <c r="A192" i="2" s="1"/>
  <c r="A203" i="2" s="1"/>
  <c r="C180" i="7"/>
  <c r="A192" i="7" s="1"/>
  <c r="A203" i="7" s="1"/>
  <c r="B180" i="6"/>
  <c r="A191" i="6" s="1"/>
  <c r="A202" i="6" s="1"/>
  <c r="B180" i="5"/>
  <c r="A191" i="5" s="1"/>
  <c r="A202" i="5" s="1"/>
  <c r="B180" i="3"/>
  <c r="A191" i="3" s="1"/>
  <c r="A202" i="3" s="1"/>
  <c r="B180" i="2"/>
  <c r="A191" i="2" s="1"/>
  <c r="A202" i="2" s="1"/>
  <c r="B180" i="9"/>
  <c r="A191" i="9" s="1"/>
  <c r="A202" i="9" s="1"/>
  <c r="B180" i="7"/>
  <c r="A191" i="7" s="1"/>
  <c r="A202" i="7" s="1"/>
  <c r="B180" i="8"/>
  <c r="A191" i="8" s="1"/>
  <c r="A202" i="8" s="1"/>
  <c r="B180" i="4"/>
  <c r="A191" i="4" s="1"/>
  <c r="A202" i="4" s="1"/>
  <c r="D175" i="3"/>
  <c r="D176" i="3" s="1"/>
  <c r="D177" i="3" s="1"/>
  <c r="D66" i="3"/>
  <c r="A169" i="3"/>
  <c r="A169" i="9"/>
  <c r="D66" i="9"/>
  <c r="D175" i="9"/>
  <c r="D176" i="9" s="1"/>
  <c r="D177" i="9" s="1"/>
  <c r="D175" i="8"/>
  <c r="D176" i="8" s="1"/>
  <c r="D177" i="8" s="1"/>
  <c r="D66" i="8"/>
  <c r="A169" i="8"/>
  <c r="D175" i="4"/>
  <c r="D176" i="4" s="1"/>
  <c r="D177" i="4" s="1"/>
  <c r="A169" i="4"/>
  <c r="D66" i="4"/>
  <c r="D175" i="5"/>
  <c r="D176" i="5" s="1"/>
  <c r="D177" i="5" s="1"/>
  <c r="A169" i="5"/>
  <c r="D66" i="5"/>
  <c r="B66" i="6"/>
  <c r="A169" i="7"/>
  <c r="D175" i="7"/>
  <c r="D176" i="7" s="1"/>
  <c r="D177" i="7" s="1"/>
  <c r="D66" i="7"/>
  <c r="B66" i="2"/>
  <c r="D132" i="1"/>
  <c r="B133" i="1" s="1"/>
  <c r="Q73" i="1" a="1"/>
  <c r="Q73" i="1" s="1"/>
  <c r="C138" i="1"/>
  <c r="H138" i="1" s="1"/>
  <c r="I138" i="1" s="1"/>
  <c r="C137" i="1"/>
  <c r="H137" i="1" s="1"/>
  <c r="I137" i="1" s="1"/>
  <c r="C135" i="1"/>
  <c r="H135" i="1" s="1"/>
  <c r="I135" i="1" s="1"/>
  <c r="C136" i="1"/>
  <c r="H136" i="1" s="1"/>
  <c r="I136" i="1" s="1"/>
  <c r="C134" i="1"/>
  <c r="H134" i="1" s="1"/>
  <c r="I134" i="1" s="1"/>
  <c r="B125" i="1"/>
  <c r="E119" i="1" l="1"/>
  <c r="E118" i="1"/>
  <c r="E120" i="1"/>
  <c r="E121" i="1"/>
  <c r="AE26" i="1"/>
  <c r="AE27" i="1"/>
  <c r="B65" i="7"/>
  <c r="B65" i="6"/>
  <c r="B65" i="5"/>
  <c r="B65" i="3"/>
  <c r="B65" i="9"/>
  <c r="B65" i="2"/>
  <c r="C175" i="1"/>
  <c r="B65" i="8" s="1"/>
  <c r="A169" i="2"/>
  <c r="D66" i="2"/>
  <c r="D175" i="2"/>
  <c r="D176" i="2" s="1"/>
  <c r="D177" i="2" s="1"/>
  <c r="D175" i="6"/>
  <c r="D176" i="6" s="1"/>
  <c r="D177" i="6" s="1"/>
  <c r="A169" i="6"/>
  <c r="D66" i="6"/>
  <c r="D180" i="5"/>
  <c r="A193" i="5" s="1"/>
  <c r="D178" i="5"/>
  <c r="D180" i="8"/>
  <c r="A193" i="8" s="1"/>
  <c r="D178" i="8"/>
  <c r="D180" i="3"/>
  <c r="A193" i="3" s="1"/>
  <c r="D178" i="3"/>
  <c r="D180" i="4"/>
  <c r="A193" i="4" s="1"/>
  <c r="D178" i="4"/>
  <c r="D180" i="7"/>
  <c r="A193" i="7" s="1"/>
  <c r="D178" i="7"/>
  <c r="D180" i="9"/>
  <c r="A193" i="9" s="1"/>
  <c r="D178" i="9"/>
  <c r="F147" i="1"/>
  <c r="F146" i="1"/>
  <c r="G147" i="1"/>
  <c r="F151" i="1"/>
  <c r="F153" i="1"/>
  <c r="G151" i="1"/>
  <c r="G153" i="1"/>
  <c r="G149" i="1"/>
  <c r="F148" i="1"/>
  <c r="G148" i="1"/>
  <c r="F150" i="1"/>
  <c r="F152" i="1"/>
  <c r="G150" i="1"/>
  <c r="F149" i="1"/>
  <c r="G152" i="1"/>
  <c r="G146" i="1"/>
  <c r="E115" i="1"/>
  <c r="E114" i="1"/>
  <c r="E116" i="1"/>
  <c r="E117" i="1"/>
  <c r="F139" i="1"/>
  <c r="G139" i="1"/>
  <c r="M118" i="1"/>
  <c r="M116" i="1"/>
  <c r="M119" i="1"/>
  <c r="M111" i="1"/>
  <c r="M120" i="1"/>
  <c r="M115" i="1"/>
  <c r="M117" i="1"/>
  <c r="M121" i="1"/>
  <c r="M112" i="1"/>
  <c r="M114" i="1"/>
  <c r="M110" i="1"/>
  <c r="M113" i="1"/>
  <c r="H132" i="1"/>
  <c r="I132" i="1" s="1"/>
  <c r="Q74" i="1"/>
  <c r="R74" i="1" s="1"/>
  <c r="R73" i="1"/>
  <c r="E112" i="1"/>
  <c r="E113" i="1"/>
  <c r="H133" i="1"/>
  <c r="I133" i="1" s="1"/>
  <c r="F132" i="1"/>
  <c r="G138" i="1"/>
  <c r="G135" i="1"/>
  <c r="F138" i="1"/>
  <c r="G136" i="1"/>
  <c r="G137" i="1"/>
  <c r="F134" i="1"/>
  <c r="F135" i="1"/>
  <c r="G132" i="1"/>
  <c r="F137" i="1"/>
  <c r="G133" i="1"/>
  <c r="F136" i="1"/>
  <c r="F133" i="1"/>
  <c r="G134" i="1"/>
  <c r="E110" i="1"/>
  <c r="E111" i="1"/>
  <c r="G126" i="1"/>
  <c r="AF26" i="1" l="1"/>
  <c r="AF27" i="1"/>
  <c r="AG29" i="1"/>
  <c r="G127" i="1"/>
  <c r="J127" i="1" s="1"/>
  <c r="J126" i="1"/>
  <c r="I127" i="1"/>
  <c r="I126" i="1"/>
  <c r="B65" i="4"/>
  <c r="C175" i="4" s="1"/>
  <c r="C176" i="4" s="1"/>
  <c r="C177" i="4" s="1"/>
  <c r="C175" i="8"/>
  <c r="C176" i="8" s="1"/>
  <c r="C177" i="8" s="1"/>
  <c r="B125" i="8"/>
  <c r="C175" i="2"/>
  <c r="C176" i="2" s="1"/>
  <c r="C177" i="2" s="1"/>
  <c r="B125" i="2"/>
  <c r="C175" i="9"/>
  <c r="C176" i="9" s="1"/>
  <c r="C177" i="9" s="1"/>
  <c r="B125" i="9"/>
  <c r="C175" i="3"/>
  <c r="C176" i="3" s="1"/>
  <c r="C177" i="3" s="1"/>
  <c r="B125" i="3"/>
  <c r="C175" i="5"/>
  <c r="C176" i="5" s="1"/>
  <c r="C177" i="5" s="1"/>
  <c r="B125" i="5"/>
  <c r="C176" i="1"/>
  <c r="C177" i="1" s="1"/>
  <c r="C178" i="1" s="1"/>
  <c r="C175" i="6"/>
  <c r="C176" i="6" s="1"/>
  <c r="C177" i="6" s="1"/>
  <c r="B125" i="6"/>
  <c r="C175" i="7"/>
  <c r="C176" i="7" s="1"/>
  <c r="C177" i="7" s="1"/>
  <c r="B125" i="7"/>
  <c r="N120" i="1"/>
  <c r="P120" i="1" s="1"/>
  <c r="Y120" i="1"/>
  <c r="Y110" i="1"/>
  <c r="N110" i="1"/>
  <c r="O110" i="1" s="1"/>
  <c r="N119" i="1"/>
  <c r="O119" i="1" s="1"/>
  <c r="Y119" i="1"/>
  <c r="Y114" i="1"/>
  <c r="N114" i="1"/>
  <c r="P114" i="1" s="1"/>
  <c r="N116" i="1"/>
  <c r="P116" i="1" s="1"/>
  <c r="Y116" i="1"/>
  <c r="N112" i="1"/>
  <c r="O112" i="1" s="1"/>
  <c r="Y112" i="1"/>
  <c r="N118" i="1"/>
  <c r="P118" i="1" s="1"/>
  <c r="Y118" i="1"/>
  <c r="N111" i="1"/>
  <c r="P111" i="1" s="1"/>
  <c r="Y111" i="1"/>
  <c r="N117" i="1"/>
  <c r="O117" i="1" s="1"/>
  <c r="Y117" i="1"/>
  <c r="Y113" i="1"/>
  <c r="N113" i="1"/>
  <c r="O113" i="1" s="1"/>
  <c r="Y121" i="1"/>
  <c r="N121" i="1"/>
  <c r="P121" i="1" s="1"/>
  <c r="Y115" i="1"/>
  <c r="N115" i="1"/>
  <c r="P115" i="1" s="1"/>
  <c r="D178" i="6"/>
  <c r="D180" i="6"/>
  <c r="A193" i="6" s="1"/>
  <c r="D178" i="2"/>
  <c r="D180" i="2"/>
  <c r="A193" i="2" s="1"/>
  <c r="M152" i="1"/>
  <c r="O152" i="1"/>
  <c r="L152" i="1"/>
  <c r="O153" i="1"/>
  <c r="M153" i="1"/>
  <c r="L153" i="1"/>
  <c r="N149" i="1"/>
  <c r="J149" i="1"/>
  <c r="K149" i="1"/>
  <c r="L151" i="1"/>
  <c r="M151" i="1"/>
  <c r="O151" i="1"/>
  <c r="O150" i="1"/>
  <c r="M150" i="1"/>
  <c r="L150" i="1"/>
  <c r="J153" i="1"/>
  <c r="N153" i="1"/>
  <c r="K153" i="1"/>
  <c r="L149" i="1"/>
  <c r="M149" i="1"/>
  <c r="O149" i="1"/>
  <c r="N152" i="1"/>
  <c r="J152" i="1"/>
  <c r="K152" i="1"/>
  <c r="J151" i="1"/>
  <c r="K151" i="1"/>
  <c r="N151" i="1"/>
  <c r="J150" i="1"/>
  <c r="K150" i="1"/>
  <c r="N150" i="1"/>
  <c r="L147" i="1"/>
  <c r="O147" i="1"/>
  <c r="M147" i="1"/>
  <c r="O146" i="1"/>
  <c r="L146" i="1"/>
  <c r="M146" i="1"/>
  <c r="L148" i="1"/>
  <c r="M148" i="1"/>
  <c r="O148" i="1"/>
  <c r="J146" i="1"/>
  <c r="K146" i="1"/>
  <c r="N146" i="1"/>
  <c r="N148" i="1"/>
  <c r="K148" i="1"/>
  <c r="J148" i="1"/>
  <c r="J147" i="1"/>
  <c r="K147" i="1"/>
  <c r="N147" i="1"/>
  <c r="L139" i="1"/>
  <c r="M139" i="1"/>
  <c r="O139" i="1"/>
  <c r="N139" i="1"/>
  <c r="J139" i="1"/>
  <c r="K139" i="1"/>
  <c r="M122" i="1"/>
  <c r="L135" i="1"/>
  <c r="J133" i="1"/>
  <c r="L137" i="1"/>
  <c r="J138" i="1"/>
  <c r="J134" i="1"/>
  <c r="L132" i="1"/>
  <c r="L134" i="1"/>
  <c r="J136" i="1"/>
  <c r="J135" i="1"/>
  <c r="L136" i="1"/>
  <c r="L133" i="1"/>
  <c r="J137" i="1"/>
  <c r="L138" i="1"/>
  <c r="J132" i="1"/>
  <c r="N134" i="1"/>
  <c r="K134" i="1"/>
  <c r="K135" i="1"/>
  <c r="N135" i="1"/>
  <c r="O137" i="1"/>
  <c r="M137" i="1"/>
  <c r="O136" i="1"/>
  <c r="M136" i="1"/>
  <c r="K136" i="1"/>
  <c r="N136" i="1"/>
  <c r="N138" i="1"/>
  <c r="K138" i="1"/>
  <c r="M133" i="1"/>
  <c r="O133" i="1"/>
  <c r="O135" i="1"/>
  <c r="M135" i="1"/>
  <c r="O134" i="1"/>
  <c r="M134" i="1"/>
  <c r="N133" i="1"/>
  <c r="K133" i="1"/>
  <c r="K137" i="1"/>
  <c r="N137" i="1"/>
  <c r="O138" i="1"/>
  <c r="M138" i="1"/>
  <c r="M132" i="1"/>
  <c r="O132" i="1"/>
  <c r="N132" i="1"/>
  <c r="K132" i="1"/>
  <c r="E122" i="1"/>
  <c r="E120" i="3" l="1"/>
  <c r="E118" i="3"/>
  <c r="E121" i="3"/>
  <c r="E119" i="3"/>
  <c r="E119" i="7"/>
  <c r="E118" i="7"/>
  <c r="E120" i="7"/>
  <c r="E121" i="7"/>
  <c r="E119" i="9"/>
  <c r="E121" i="9"/>
  <c r="E120" i="9"/>
  <c r="E118" i="9"/>
  <c r="E120" i="6"/>
  <c r="E121" i="6"/>
  <c r="E118" i="6"/>
  <c r="E119" i="6"/>
  <c r="E120" i="2"/>
  <c r="E121" i="2"/>
  <c r="E118" i="2"/>
  <c r="E119" i="2"/>
  <c r="E118" i="5"/>
  <c r="E120" i="5"/>
  <c r="E121" i="5"/>
  <c r="E119" i="5"/>
  <c r="E120" i="8"/>
  <c r="E119" i="8"/>
  <c r="E121" i="8"/>
  <c r="E118" i="8"/>
  <c r="R80" i="1"/>
  <c r="R83" i="1" s="1"/>
  <c r="AH29" i="1"/>
  <c r="R79" i="1"/>
  <c r="R82" i="1" s="1"/>
  <c r="AE29" i="1"/>
  <c r="AE30" i="1" s="1"/>
  <c r="Q79" i="1"/>
  <c r="Q82" i="1" s="1"/>
  <c r="Q80" i="1"/>
  <c r="Q83" i="1" s="1"/>
  <c r="W151" i="1"/>
  <c r="W153" i="1"/>
  <c r="W152" i="1"/>
  <c r="W150" i="1"/>
  <c r="W149" i="1"/>
  <c r="W148" i="1"/>
  <c r="W146" i="1"/>
  <c r="W147" i="1"/>
  <c r="AE133" i="1"/>
  <c r="W133" i="1"/>
  <c r="AF133" i="1"/>
  <c r="V133" i="1"/>
  <c r="U133" i="1"/>
  <c r="AD133" i="1"/>
  <c r="V151" i="1"/>
  <c r="AD151" i="1"/>
  <c r="U151" i="1"/>
  <c r="AF151" i="1"/>
  <c r="AE151" i="1"/>
  <c r="U135" i="1"/>
  <c r="AE135" i="1"/>
  <c r="W135" i="1"/>
  <c r="AD135" i="1"/>
  <c r="AF135" i="1"/>
  <c r="V135" i="1"/>
  <c r="U146" i="1"/>
  <c r="AD146" i="1"/>
  <c r="AE146" i="1"/>
  <c r="V146" i="1"/>
  <c r="AF146" i="1"/>
  <c r="U153" i="1"/>
  <c r="AF153" i="1"/>
  <c r="AD153" i="1"/>
  <c r="V153" i="1"/>
  <c r="AE153" i="1"/>
  <c r="AD149" i="1"/>
  <c r="V149" i="1"/>
  <c r="AE149" i="1"/>
  <c r="U149" i="1"/>
  <c r="AF149" i="1"/>
  <c r="AD136" i="1"/>
  <c r="V136" i="1"/>
  <c r="AE136" i="1"/>
  <c r="U136" i="1"/>
  <c r="AF136" i="1"/>
  <c r="W136" i="1"/>
  <c r="AD152" i="1"/>
  <c r="AE152" i="1"/>
  <c r="V152" i="1"/>
  <c r="U152" i="1"/>
  <c r="AF152" i="1"/>
  <c r="AF147" i="1"/>
  <c r="AE147" i="1"/>
  <c r="V147" i="1"/>
  <c r="AD147" i="1"/>
  <c r="U147" i="1"/>
  <c r="V132" i="1"/>
  <c r="AF132" i="1"/>
  <c r="U132" i="1"/>
  <c r="W132" i="1"/>
  <c r="AD132" i="1"/>
  <c r="AE132" i="1"/>
  <c r="AF139" i="1"/>
  <c r="AD139" i="1"/>
  <c r="V139" i="1"/>
  <c r="W139" i="1"/>
  <c r="AE139" i="1"/>
  <c r="U139" i="1"/>
  <c r="U148" i="1"/>
  <c r="AF148" i="1"/>
  <c r="AD148" i="1"/>
  <c r="AE148" i="1"/>
  <c r="V148" i="1"/>
  <c r="W134" i="1"/>
  <c r="V134" i="1"/>
  <c r="AD134" i="1"/>
  <c r="AE134" i="1"/>
  <c r="AF134" i="1"/>
  <c r="U134" i="1"/>
  <c r="V150" i="1"/>
  <c r="U150" i="1"/>
  <c r="AF150" i="1"/>
  <c r="AE150" i="1"/>
  <c r="AD150" i="1"/>
  <c r="V137" i="1"/>
  <c r="U137" i="1"/>
  <c r="AD137" i="1"/>
  <c r="AE137" i="1"/>
  <c r="W137" i="1"/>
  <c r="AF137" i="1"/>
  <c r="AE138" i="1"/>
  <c r="W138" i="1"/>
  <c r="AF138" i="1"/>
  <c r="V138" i="1"/>
  <c r="U138" i="1"/>
  <c r="AD138" i="1"/>
  <c r="B125" i="4"/>
  <c r="G139" i="9"/>
  <c r="O139" i="9" s="1"/>
  <c r="E116" i="9"/>
  <c r="E115" i="9"/>
  <c r="E114" i="9"/>
  <c r="E117" i="9"/>
  <c r="M118" i="2"/>
  <c r="N118" i="2" s="1"/>
  <c r="P118" i="2" s="1"/>
  <c r="E117" i="2"/>
  <c r="E116" i="2"/>
  <c r="E115" i="2"/>
  <c r="E114" i="2"/>
  <c r="M118" i="6"/>
  <c r="N118" i="6" s="1"/>
  <c r="P118" i="6" s="1"/>
  <c r="E116" i="6"/>
  <c r="E117" i="6"/>
  <c r="E115" i="6"/>
  <c r="E114" i="6"/>
  <c r="F132" i="5"/>
  <c r="N132" i="5" s="1"/>
  <c r="E115" i="5"/>
  <c r="E114" i="5"/>
  <c r="E117" i="5"/>
  <c r="E116" i="5"/>
  <c r="F150" i="8"/>
  <c r="N150" i="8" s="1"/>
  <c r="E115" i="8"/>
  <c r="E116" i="8"/>
  <c r="E114" i="8"/>
  <c r="E117" i="8"/>
  <c r="G133" i="3"/>
  <c r="O133" i="3" s="1"/>
  <c r="E115" i="3"/>
  <c r="E117" i="3"/>
  <c r="E114" i="3"/>
  <c r="E116" i="3"/>
  <c r="F147" i="7"/>
  <c r="N147" i="7" s="1"/>
  <c r="E116" i="7"/>
  <c r="E115" i="7"/>
  <c r="E117" i="7"/>
  <c r="E114" i="7"/>
  <c r="M112" i="2"/>
  <c r="N112" i="2" s="1"/>
  <c r="P112" i="2" s="1"/>
  <c r="M111" i="6"/>
  <c r="N111" i="6" s="1"/>
  <c r="O111" i="6" s="1"/>
  <c r="M110" i="6"/>
  <c r="N110" i="6" s="1"/>
  <c r="P110" i="6" s="1"/>
  <c r="M117" i="8"/>
  <c r="N117" i="8" s="1"/>
  <c r="O117" i="8" s="1"/>
  <c r="F139" i="8"/>
  <c r="G148" i="8"/>
  <c r="O148" i="8" s="1"/>
  <c r="F146" i="8"/>
  <c r="N146" i="8" s="1"/>
  <c r="O120" i="1"/>
  <c r="M115" i="2"/>
  <c r="N115" i="2" s="1"/>
  <c r="O115" i="2" s="1"/>
  <c r="G146" i="7"/>
  <c r="G147" i="8"/>
  <c r="O147" i="8" s="1"/>
  <c r="G150" i="7"/>
  <c r="O150" i="7" s="1"/>
  <c r="F150" i="3"/>
  <c r="N150" i="3" s="1"/>
  <c r="F138" i="8"/>
  <c r="M117" i="2"/>
  <c r="N117" i="2" s="1"/>
  <c r="O117" i="2" s="1"/>
  <c r="M111" i="2"/>
  <c r="N111" i="2" s="1"/>
  <c r="P111" i="2" s="1"/>
  <c r="M113" i="8"/>
  <c r="N113" i="8" s="1"/>
  <c r="O113" i="8" s="1"/>
  <c r="M121" i="2"/>
  <c r="N121" i="2" s="1"/>
  <c r="O121" i="2" s="1"/>
  <c r="M118" i="8"/>
  <c r="N118" i="8" s="1"/>
  <c r="G146" i="9"/>
  <c r="O146" i="9" s="1"/>
  <c r="G149" i="7"/>
  <c r="M120" i="8"/>
  <c r="N120" i="8" s="1"/>
  <c r="G139" i="7"/>
  <c r="F149" i="8"/>
  <c r="G146" i="3"/>
  <c r="O146" i="3" s="1"/>
  <c r="G151" i="9"/>
  <c r="O151" i="9" s="1"/>
  <c r="G153" i="7"/>
  <c r="O153" i="7" s="1"/>
  <c r="G152" i="7"/>
  <c r="O152" i="7" s="1"/>
  <c r="F148" i="7"/>
  <c r="F137" i="3"/>
  <c r="N137" i="3" s="1"/>
  <c r="G132" i="7"/>
  <c r="F137" i="7"/>
  <c r="N137" i="7" s="1"/>
  <c r="G134" i="3"/>
  <c r="O134" i="3" s="1"/>
  <c r="F146" i="9"/>
  <c r="N146" i="9" s="1"/>
  <c r="G146" i="8"/>
  <c r="O146" i="8" s="1"/>
  <c r="F151" i="7"/>
  <c r="N151" i="7" s="1"/>
  <c r="G136" i="7"/>
  <c r="G132" i="3"/>
  <c r="O132" i="3" s="1"/>
  <c r="F151" i="9"/>
  <c r="N151" i="9" s="1"/>
  <c r="G151" i="7"/>
  <c r="O151" i="7" s="1"/>
  <c r="F136" i="7"/>
  <c r="G138" i="3"/>
  <c r="G136" i="9"/>
  <c r="G138" i="8"/>
  <c r="O138" i="8" s="1"/>
  <c r="G137" i="7"/>
  <c r="F133" i="7"/>
  <c r="F138" i="3"/>
  <c r="N138" i="3" s="1"/>
  <c r="G152" i="9"/>
  <c r="O152" i="9" s="1"/>
  <c r="M116" i="8"/>
  <c r="N116" i="8" s="1"/>
  <c r="F135" i="8"/>
  <c r="M110" i="2"/>
  <c r="N110" i="2" s="1"/>
  <c r="O110" i="2" s="1"/>
  <c r="M113" i="2"/>
  <c r="N113" i="2" s="1"/>
  <c r="P113" i="2" s="1"/>
  <c r="G133" i="7"/>
  <c r="F135" i="7"/>
  <c r="N135" i="7" s="1"/>
  <c r="F132" i="7"/>
  <c r="F152" i="7"/>
  <c r="N152" i="7" s="1"/>
  <c r="F151" i="5"/>
  <c r="G150" i="3"/>
  <c r="G135" i="3"/>
  <c r="O135" i="3" s="1"/>
  <c r="M110" i="8"/>
  <c r="N110" i="8" s="1"/>
  <c r="P110" i="8" s="1"/>
  <c r="M119" i="8"/>
  <c r="N119" i="8" s="1"/>
  <c r="G136" i="8"/>
  <c r="O136" i="8" s="1"/>
  <c r="G137" i="8"/>
  <c r="F147" i="8"/>
  <c r="F146" i="5"/>
  <c r="N146" i="5" s="1"/>
  <c r="M119" i="2"/>
  <c r="N119" i="2" s="1"/>
  <c r="P119" i="2" s="1"/>
  <c r="M114" i="2"/>
  <c r="N114" i="2" s="1"/>
  <c r="O114" i="2" s="1"/>
  <c r="F139" i="7"/>
  <c r="N139" i="7" s="1"/>
  <c r="G147" i="7"/>
  <c r="O147" i="7" s="1"/>
  <c r="G134" i="7"/>
  <c r="O134" i="7" s="1"/>
  <c r="F153" i="7"/>
  <c r="F137" i="5"/>
  <c r="F146" i="3"/>
  <c r="F136" i="3"/>
  <c r="N136" i="3" s="1"/>
  <c r="F153" i="9"/>
  <c r="N153" i="9" s="1"/>
  <c r="M111" i="8"/>
  <c r="N111" i="8" s="1"/>
  <c r="P111" i="8" s="1"/>
  <c r="M121" i="8"/>
  <c r="N121" i="8" s="1"/>
  <c r="F153" i="8"/>
  <c r="N153" i="8" s="1"/>
  <c r="G152" i="8"/>
  <c r="O152" i="8" s="1"/>
  <c r="G151" i="8"/>
  <c r="O151" i="8" s="1"/>
  <c r="F148" i="8"/>
  <c r="N148" i="8" s="1"/>
  <c r="G153" i="8"/>
  <c r="O153" i="8" s="1"/>
  <c r="G149" i="8"/>
  <c r="G135" i="8"/>
  <c r="F153" i="5"/>
  <c r="F136" i="5"/>
  <c r="N136" i="5" s="1"/>
  <c r="M120" i="2"/>
  <c r="N120" i="2" s="1"/>
  <c r="P120" i="2" s="1"/>
  <c r="M116" i="2"/>
  <c r="N116" i="2" s="1"/>
  <c r="O116" i="2" s="1"/>
  <c r="G135" i="7"/>
  <c r="F150" i="7"/>
  <c r="N150" i="7" s="1"/>
  <c r="F134" i="7"/>
  <c r="G138" i="7"/>
  <c r="O138" i="7" s="1"/>
  <c r="F139" i="5"/>
  <c r="N139" i="5" s="1"/>
  <c r="G138" i="5"/>
  <c r="O138" i="5" s="1"/>
  <c r="F147" i="3"/>
  <c r="F134" i="3"/>
  <c r="N134" i="3" s="1"/>
  <c r="F147" i="9"/>
  <c r="M112" i="8"/>
  <c r="N112" i="8" s="1"/>
  <c r="G132" i="8"/>
  <c r="G134" i="8"/>
  <c r="F151" i="8"/>
  <c r="F132" i="8"/>
  <c r="G137" i="5"/>
  <c r="O137" i="5" s="1"/>
  <c r="G152" i="5"/>
  <c r="M120" i="6"/>
  <c r="N120" i="6" s="1"/>
  <c r="P120" i="6" s="1"/>
  <c r="F149" i="7"/>
  <c r="F146" i="7"/>
  <c r="G148" i="7"/>
  <c r="O148" i="7" s="1"/>
  <c r="F138" i="7"/>
  <c r="G133" i="5"/>
  <c r="O133" i="5" s="1"/>
  <c r="G152" i="3"/>
  <c r="O152" i="3" s="1"/>
  <c r="F132" i="3"/>
  <c r="F136" i="9"/>
  <c r="M114" i="8"/>
  <c r="N114" i="8" s="1"/>
  <c r="M115" i="8"/>
  <c r="N115" i="8" s="1"/>
  <c r="G139" i="8"/>
  <c r="F136" i="8"/>
  <c r="F137" i="8"/>
  <c r="M116" i="6"/>
  <c r="N116" i="6" s="1"/>
  <c r="P116" i="6" s="1"/>
  <c r="M119" i="6"/>
  <c r="N119" i="6" s="1"/>
  <c r="P119" i="6" s="1"/>
  <c r="G136" i="3"/>
  <c r="O136" i="3" s="1"/>
  <c r="G153" i="3"/>
  <c r="G147" i="3"/>
  <c r="F152" i="3"/>
  <c r="N152" i="3" s="1"/>
  <c r="G138" i="9"/>
  <c r="O138" i="9" s="1"/>
  <c r="G147" i="9"/>
  <c r="O147" i="9" s="1"/>
  <c r="M115" i="6"/>
  <c r="N115" i="6" s="1"/>
  <c r="O115" i="6" s="1"/>
  <c r="F152" i="8"/>
  <c r="N152" i="8" s="1"/>
  <c r="M117" i="6"/>
  <c r="N117" i="6" s="1"/>
  <c r="P117" i="6" s="1"/>
  <c r="M114" i="6"/>
  <c r="N114" i="6" s="1"/>
  <c r="O114" i="6" s="1"/>
  <c r="G148" i="3"/>
  <c r="O148" i="3" s="1"/>
  <c r="F133" i="3"/>
  <c r="N133" i="3" s="1"/>
  <c r="G139" i="3"/>
  <c r="O139" i="3" s="1"/>
  <c r="G149" i="9"/>
  <c r="O149" i="9" s="1"/>
  <c r="M121" i="6"/>
  <c r="N121" i="6" s="1"/>
  <c r="P121" i="6" s="1"/>
  <c r="M113" i="6"/>
  <c r="N113" i="6" s="1"/>
  <c r="P113" i="6" s="1"/>
  <c r="F135" i="3"/>
  <c r="F139" i="3"/>
  <c r="M112" i="6"/>
  <c r="N112" i="6" s="1"/>
  <c r="P112" i="6" s="1"/>
  <c r="F148" i="3"/>
  <c r="G137" i="3"/>
  <c r="O137" i="3" s="1"/>
  <c r="G135" i="9"/>
  <c r="O135" i="9" s="1"/>
  <c r="F139" i="9"/>
  <c r="N139" i="9" s="1"/>
  <c r="G150" i="8"/>
  <c r="F133" i="8"/>
  <c r="G133" i="8"/>
  <c r="F134" i="8"/>
  <c r="N134" i="8" s="1"/>
  <c r="E112" i="5"/>
  <c r="E113" i="5"/>
  <c r="E110" i="5"/>
  <c r="G126" i="5"/>
  <c r="G127" i="5" s="1"/>
  <c r="E111" i="5"/>
  <c r="M121" i="5"/>
  <c r="N121" i="5" s="1"/>
  <c r="M116" i="5"/>
  <c r="N116" i="5" s="1"/>
  <c r="M117" i="5"/>
  <c r="N117" i="5" s="1"/>
  <c r="M112" i="5"/>
  <c r="N112" i="5" s="1"/>
  <c r="M114" i="5"/>
  <c r="N114" i="5" s="1"/>
  <c r="M111" i="5"/>
  <c r="N111" i="5" s="1"/>
  <c r="M118" i="5"/>
  <c r="N118" i="5" s="1"/>
  <c r="M119" i="5"/>
  <c r="N119" i="5" s="1"/>
  <c r="M113" i="5"/>
  <c r="N113" i="5" s="1"/>
  <c r="M110" i="5"/>
  <c r="M115" i="5"/>
  <c r="N115" i="5" s="1"/>
  <c r="M120" i="5"/>
  <c r="N120" i="5" s="1"/>
  <c r="G146" i="5"/>
  <c r="D182" i="5"/>
  <c r="C193" i="5" s="1"/>
  <c r="C178" i="5"/>
  <c r="B182" i="5"/>
  <c r="C191" i="5" s="1"/>
  <c r="C202" i="5" s="1"/>
  <c r="A182" i="5"/>
  <c r="C190" i="5" s="1"/>
  <c r="C201" i="5" s="1"/>
  <c r="C182" i="5"/>
  <c r="C192" i="5" s="1"/>
  <c r="C203" i="5" s="1"/>
  <c r="F149" i="9"/>
  <c r="C178" i="4"/>
  <c r="D182" i="4"/>
  <c r="C193" i="4" s="1"/>
  <c r="B182" i="4"/>
  <c r="C191" i="4" s="1"/>
  <c r="C202" i="4" s="1"/>
  <c r="C182" i="4"/>
  <c r="C192" i="4" s="1"/>
  <c r="C203" i="4" s="1"/>
  <c r="A182" i="4"/>
  <c r="C190" i="4" s="1"/>
  <c r="C201" i="4" s="1"/>
  <c r="G134" i="5"/>
  <c r="G147" i="5"/>
  <c r="F150" i="5"/>
  <c r="F148" i="5"/>
  <c r="G126" i="3"/>
  <c r="G127" i="3" s="1"/>
  <c r="E110" i="3"/>
  <c r="E113" i="3"/>
  <c r="E112" i="3"/>
  <c r="E111" i="3"/>
  <c r="M118" i="3"/>
  <c r="N118" i="3" s="1"/>
  <c r="M113" i="3"/>
  <c r="N113" i="3" s="1"/>
  <c r="M110" i="3"/>
  <c r="M111" i="3"/>
  <c r="N111" i="3" s="1"/>
  <c r="M116" i="3"/>
  <c r="N116" i="3" s="1"/>
  <c r="M120" i="3"/>
  <c r="N120" i="3" s="1"/>
  <c r="M114" i="3"/>
  <c r="N114" i="3" s="1"/>
  <c r="M119" i="3"/>
  <c r="N119" i="3" s="1"/>
  <c r="M115" i="3"/>
  <c r="N115" i="3" s="1"/>
  <c r="M117" i="3"/>
  <c r="N117" i="3" s="1"/>
  <c r="M121" i="3"/>
  <c r="N121" i="3" s="1"/>
  <c r="M112" i="3"/>
  <c r="N112" i="3" s="1"/>
  <c r="G148" i="9"/>
  <c r="F152" i="9"/>
  <c r="G150" i="9"/>
  <c r="F150" i="9"/>
  <c r="E112" i="7"/>
  <c r="E110" i="7"/>
  <c r="E111" i="7"/>
  <c r="G126" i="7"/>
  <c r="G127" i="7" s="1"/>
  <c r="E113" i="7"/>
  <c r="M111" i="7"/>
  <c r="N111" i="7" s="1"/>
  <c r="M113" i="7"/>
  <c r="N113" i="7" s="1"/>
  <c r="M116" i="7"/>
  <c r="N116" i="7" s="1"/>
  <c r="M112" i="7"/>
  <c r="N112" i="7" s="1"/>
  <c r="M117" i="7"/>
  <c r="N117" i="7" s="1"/>
  <c r="M118" i="7"/>
  <c r="N118" i="7" s="1"/>
  <c r="M110" i="7"/>
  <c r="M119" i="7"/>
  <c r="N119" i="7" s="1"/>
  <c r="M120" i="7"/>
  <c r="N120" i="7" s="1"/>
  <c r="M115" i="7"/>
  <c r="N115" i="7" s="1"/>
  <c r="M121" i="7"/>
  <c r="N121" i="7" s="1"/>
  <c r="M114" i="7"/>
  <c r="N114" i="7" s="1"/>
  <c r="G149" i="5"/>
  <c r="F138" i="5"/>
  <c r="F133" i="5"/>
  <c r="F135" i="5"/>
  <c r="F153" i="3"/>
  <c r="C178" i="3"/>
  <c r="D182" i="3"/>
  <c r="C193" i="3" s="1"/>
  <c r="C182" i="3"/>
  <c r="C192" i="3" s="1"/>
  <c r="C203" i="3" s="1"/>
  <c r="A182" i="3"/>
  <c r="C190" i="3" s="1"/>
  <c r="C201" i="3" s="1"/>
  <c r="B182" i="3"/>
  <c r="C191" i="3" s="1"/>
  <c r="C202" i="3" s="1"/>
  <c r="G132" i="9"/>
  <c r="F137" i="9"/>
  <c r="G137" i="9"/>
  <c r="D182" i="7"/>
  <c r="C193" i="7" s="1"/>
  <c r="C178" i="7"/>
  <c r="A182" i="7"/>
  <c r="C190" i="7" s="1"/>
  <c r="C201" i="7" s="1"/>
  <c r="C182" i="7"/>
  <c r="C192" i="7" s="1"/>
  <c r="C203" i="7" s="1"/>
  <c r="B182" i="7"/>
  <c r="C191" i="7" s="1"/>
  <c r="C202" i="7" s="1"/>
  <c r="G136" i="5"/>
  <c r="E111" i="9"/>
  <c r="E113" i="9"/>
  <c r="G126" i="9"/>
  <c r="G127" i="9" s="1"/>
  <c r="E110" i="9"/>
  <c r="E112" i="9"/>
  <c r="M112" i="9"/>
  <c r="N112" i="9" s="1"/>
  <c r="M117" i="9"/>
  <c r="N117" i="9" s="1"/>
  <c r="M116" i="9"/>
  <c r="N116" i="9" s="1"/>
  <c r="M110" i="9"/>
  <c r="M119" i="9"/>
  <c r="N119" i="9" s="1"/>
  <c r="M118" i="9"/>
  <c r="N118" i="9" s="1"/>
  <c r="M114" i="9"/>
  <c r="N114" i="9" s="1"/>
  <c r="M113" i="9"/>
  <c r="N113" i="9" s="1"/>
  <c r="M115" i="9"/>
  <c r="N115" i="9" s="1"/>
  <c r="M111" i="9"/>
  <c r="N111" i="9" s="1"/>
  <c r="M121" i="9"/>
  <c r="N121" i="9" s="1"/>
  <c r="M120" i="9"/>
  <c r="N120" i="9" s="1"/>
  <c r="E112" i="6"/>
  <c r="G126" i="6"/>
  <c r="G127" i="6" s="1"/>
  <c r="E111" i="6"/>
  <c r="E110" i="6"/>
  <c r="E113" i="6"/>
  <c r="G132" i="6"/>
  <c r="G146" i="6"/>
  <c r="G134" i="6"/>
  <c r="G152" i="6"/>
  <c r="F135" i="6"/>
  <c r="F136" i="6"/>
  <c r="F148" i="6"/>
  <c r="F146" i="6"/>
  <c r="G133" i="6"/>
  <c r="G153" i="6"/>
  <c r="G137" i="6"/>
  <c r="G151" i="6"/>
  <c r="F147" i="6"/>
  <c r="F133" i="6"/>
  <c r="G147" i="6"/>
  <c r="F137" i="6"/>
  <c r="F134" i="6"/>
  <c r="G149" i="6"/>
  <c r="F150" i="6"/>
  <c r="G150" i="6"/>
  <c r="G148" i="6"/>
  <c r="G136" i="6"/>
  <c r="F149" i="6"/>
  <c r="F139" i="6"/>
  <c r="F151" i="6"/>
  <c r="G139" i="6"/>
  <c r="F132" i="6"/>
  <c r="G135" i="6"/>
  <c r="F152" i="6"/>
  <c r="F138" i="6"/>
  <c r="G138" i="6"/>
  <c r="F153" i="6"/>
  <c r="F134" i="5"/>
  <c r="G132" i="5"/>
  <c r="G151" i="5"/>
  <c r="F148" i="9"/>
  <c r="D182" i="9"/>
  <c r="C193" i="9" s="1"/>
  <c r="C178" i="9"/>
  <c r="C182" i="9"/>
  <c r="C192" i="9" s="1"/>
  <c r="C203" i="9" s="1"/>
  <c r="A182" i="9"/>
  <c r="C190" i="9" s="1"/>
  <c r="C201" i="9" s="1"/>
  <c r="B182" i="9"/>
  <c r="C191" i="9" s="1"/>
  <c r="C202" i="9" s="1"/>
  <c r="D182" i="6"/>
  <c r="C193" i="6" s="1"/>
  <c r="C178" i="6"/>
  <c r="C182" i="6"/>
  <c r="C192" i="6" s="1"/>
  <c r="C203" i="6" s="1"/>
  <c r="A182" i="6"/>
  <c r="C190" i="6" s="1"/>
  <c r="C201" i="6" s="1"/>
  <c r="B182" i="6"/>
  <c r="C191" i="6" s="1"/>
  <c r="C202" i="6" s="1"/>
  <c r="G148" i="5"/>
  <c r="F147" i="5"/>
  <c r="G139" i="5"/>
  <c r="G135" i="5"/>
  <c r="G151" i="3"/>
  <c r="F151" i="3"/>
  <c r="F132" i="9"/>
  <c r="F135" i="9"/>
  <c r="G153" i="9"/>
  <c r="G134" i="9"/>
  <c r="E113" i="2"/>
  <c r="E111" i="2"/>
  <c r="E110" i="2"/>
  <c r="E112" i="2"/>
  <c r="G126" i="2"/>
  <c r="G127" i="2" s="1"/>
  <c r="G137" i="2"/>
  <c r="F150" i="2"/>
  <c r="F138" i="2"/>
  <c r="G133" i="2"/>
  <c r="G146" i="2"/>
  <c r="F134" i="2"/>
  <c r="G135" i="2"/>
  <c r="G134" i="2"/>
  <c r="G139" i="2"/>
  <c r="G136" i="2"/>
  <c r="F151" i="2"/>
  <c r="F133" i="2"/>
  <c r="F139" i="2"/>
  <c r="G152" i="2"/>
  <c r="G147" i="2"/>
  <c r="F148" i="2"/>
  <c r="G148" i="2"/>
  <c r="F132" i="2"/>
  <c r="F146" i="2"/>
  <c r="F153" i="2"/>
  <c r="F149" i="2"/>
  <c r="G132" i="2"/>
  <c r="G138" i="2"/>
  <c r="G153" i="2"/>
  <c r="F136" i="2"/>
  <c r="G151" i="2"/>
  <c r="F152" i="2"/>
  <c r="G150" i="2"/>
  <c r="F135" i="2"/>
  <c r="F147" i="2"/>
  <c r="G149" i="2"/>
  <c r="F137" i="2"/>
  <c r="E113" i="8"/>
  <c r="E111" i="8"/>
  <c r="E112" i="8"/>
  <c r="E110" i="8"/>
  <c r="G126" i="8"/>
  <c r="G127" i="8" s="1"/>
  <c r="G150" i="5"/>
  <c r="G153" i="5"/>
  <c r="F152" i="5"/>
  <c r="F149" i="5"/>
  <c r="F149" i="3"/>
  <c r="G149" i="3"/>
  <c r="F134" i="9"/>
  <c r="F138" i="9"/>
  <c r="G133" i="9"/>
  <c r="F133" i="9"/>
  <c r="D182" i="2"/>
  <c r="C193" i="2" s="1"/>
  <c r="C178" i="2"/>
  <c r="C182" i="2"/>
  <c r="C192" i="2" s="1"/>
  <c r="C203" i="2" s="1"/>
  <c r="B182" i="2"/>
  <c r="C191" i="2" s="1"/>
  <c r="C202" i="2" s="1"/>
  <c r="A182" i="2"/>
  <c r="C190" i="2" s="1"/>
  <c r="C201" i="2" s="1"/>
  <c r="D182" i="8"/>
  <c r="C193" i="8" s="1"/>
  <c r="C178" i="8"/>
  <c r="C182" i="8"/>
  <c r="C192" i="8" s="1"/>
  <c r="C203" i="8" s="1"/>
  <c r="A182" i="8"/>
  <c r="C190" i="8" s="1"/>
  <c r="C201" i="8" s="1"/>
  <c r="B182" i="8"/>
  <c r="C191" i="8" s="1"/>
  <c r="C202" i="8" s="1"/>
  <c r="P119" i="1"/>
  <c r="P110" i="1"/>
  <c r="P117" i="1"/>
  <c r="G67" i="1"/>
  <c r="O121" i="1"/>
  <c r="O118" i="1"/>
  <c r="P113" i="1"/>
  <c r="O116" i="1"/>
  <c r="O114" i="1"/>
  <c r="O115" i="1"/>
  <c r="P112" i="1"/>
  <c r="N122" i="1"/>
  <c r="O111" i="1"/>
  <c r="Q148" i="1"/>
  <c r="R148" i="1"/>
  <c r="P148" i="1"/>
  <c r="P150" i="1"/>
  <c r="Q150" i="1"/>
  <c r="R150" i="1"/>
  <c r="R153" i="1"/>
  <c r="Q153" i="1"/>
  <c r="P153" i="1"/>
  <c r="R146" i="1"/>
  <c r="Q146" i="1"/>
  <c r="P146" i="1"/>
  <c r="Q149" i="1"/>
  <c r="R149" i="1"/>
  <c r="P149" i="1"/>
  <c r="R151" i="1"/>
  <c r="P151" i="1"/>
  <c r="Q151" i="1"/>
  <c r="P152" i="1"/>
  <c r="P147" i="1"/>
  <c r="R147" i="1"/>
  <c r="Q147" i="1"/>
  <c r="R152" i="1"/>
  <c r="Q152" i="1"/>
  <c r="P139" i="1"/>
  <c r="Q139" i="1"/>
  <c r="R139" i="1"/>
  <c r="P137" i="1"/>
  <c r="Q137" i="1"/>
  <c r="R137" i="1"/>
  <c r="P133" i="1"/>
  <c r="Q133" i="1"/>
  <c r="R133" i="1"/>
  <c r="R138" i="1"/>
  <c r="Q138" i="1"/>
  <c r="P138" i="1"/>
  <c r="P136" i="1"/>
  <c r="Q136" i="1"/>
  <c r="R136" i="1"/>
  <c r="P134" i="1"/>
  <c r="Q134" i="1"/>
  <c r="R134" i="1"/>
  <c r="Q132" i="1"/>
  <c r="R132" i="1"/>
  <c r="P132" i="1"/>
  <c r="P135" i="1"/>
  <c r="Q135" i="1"/>
  <c r="R135" i="1"/>
  <c r="E115" i="4" l="1"/>
  <c r="E120" i="4"/>
  <c r="E121" i="4"/>
  <c r="E119" i="4"/>
  <c r="E118" i="4"/>
  <c r="AE32" i="1"/>
  <c r="AK29" i="1"/>
  <c r="AJ29" i="1"/>
  <c r="I67" i="1"/>
  <c r="E175" i="1"/>
  <c r="K146" i="3"/>
  <c r="F137" i="4"/>
  <c r="N137" i="4" s="1"/>
  <c r="G148" i="4"/>
  <c r="O148" i="4" s="1"/>
  <c r="M121" i="4"/>
  <c r="N121" i="4" s="1"/>
  <c r="O121" i="4" s="1"/>
  <c r="G134" i="4"/>
  <c r="O134" i="4" s="1"/>
  <c r="M117" i="4"/>
  <c r="N117" i="4" s="1"/>
  <c r="O117" i="4" s="1"/>
  <c r="F149" i="4"/>
  <c r="N149" i="4" s="1"/>
  <c r="G151" i="4"/>
  <c r="E110" i="4"/>
  <c r="F139" i="4"/>
  <c r="N139" i="4" s="1"/>
  <c r="G137" i="4"/>
  <c r="O137" i="4" s="1"/>
  <c r="AH150" i="1"/>
  <c r="AH148" i="1"/>
  <c r="AH153" i="1"/>
  <c r="AH146" i="1"/>
  <c r="AH152" i="1"/>
  <c r="AH151" i="1"/>
  <c r="AH147" i="1"/>
  <c r="AH149" i="1"/>
  <c r="G153" i="4"/>
  <c r="F153" i="4"/>
  <c r="N153" i="4" s="1"/>
  <c r="G150" i="4"/>
  <c r="G135" i="4"/>
  <c r="M110" i="4"/>
  <c r="N110" i="4" s="1"/>
  <c r="M120" i="4"/>
  <c r="N120" i="4" s="1"/>
  <c r="P120" i="4" s="1"/>
  <c r="G146" i="4"/>
  <c r="O146" i="4" s="1"/>
  <c r="F148" i="4"/>
  <c r="G152" i="4"/>
  <c r="O152" i="4" s="1"/>
  <c r="F135" i="4"/>
  <c r="N135" i="4" s="1"/>
  <c r="M116" i="4"/>
  <c r="N116" i="4" s="1"/>
  <c r="P116" i="4" s="1"/>
  <c r="M119" i="4"/>
  <c r="N119" i="4" s="1"/>
  <c r="P119" i="4" s="1"/>
  <c r="F132" i="4"/>
  <c r="F150" i="4"/>
  <c r="F151" i="4"/>
  <c r="N151" i="4" s="1"/>
  <c r="G132" i="4"/>
  <c r="G136" i="4"/>
  <c r="O136" i="4" s="1"/>
  <c r="M115" i="4"/>
  <c r="N115" i="4" s="1"/>
  <c r="O115" i="4" s="1"/>
  <c r="M118" i="4"/>
  <c r="N118" i="4" s="1"/>
  <c r="P118" i="4" s="1"/>
  <c r="F134" i="4"/>
  <c r="G149" i="4"/>
  <c r="G138" i="4"/>
  <c r="O138" i="4" s="1"/>
  <c r="F136" i="4"/>
  <c r="M111" i="4"/>
  <c r="N111" i="4" s="1"/>
  <c r="P111" i="4" s="1"/>
  <c r="E113" i="4"/>
  <c r="F133" i="4"/>
  <c r="N133" i="4" s="1"/>
  <c r="F138" i="4"/>
  <c r="N138" i="4" s="1"/>
  <c r="M112" i="4"/>
  <c r="N112" i="4" s="1"/>
  <c r="O112" i="4" s="1"/>
  <c r="E111" i="4"/>
  <c r="F152" i="4"/>
  <c r="N152" i="4" s="1"/>
  <c r="F146" i="4"/>
  <c r="N146" i="4" s="1"/>
  <c r="G147" i="4"/>
  <c r="O147" i="4" s="1"/>
  <c r="M114" i="4"/>
  <c r="N114" i="4" s="1"/>
  <c r="O114" i="4" s="1"/>
  <c r="E112" i="4"/>
  <c r="G133" i="4"/>
  <c r="O133" i="4" s="1"/>
  <c r="G139" i="4"/>
  <c r="M113" i="4"/>
  <c r="N113" i="4" s="1"/>
  <c r="O113" i="4" s="1"/>
  <c r="G126" i="4"/>
  <c r="G127" i="4" s="1"/>
  <c r="Y139" i="1"/>
  <c r="AB139" i="1" s="1"/>
  <c r="E117" i="4"/>
  <c r="E114" i="4"/>
  <c r="E116" i="4"/>
  <c r="AI138" i="1"/>
  <c r="AG138" i="1"/>
  <c r="AH137" i="1"/>
  <c r="X150" i="1"/>
  <c r="AA150" i="1" s="1"/>
  <c r="Y150" i="1"/>
  <c r="AB150" i="1" s="1"/>
  <c r="X136" i="1"/>
  <c r="AA136" i="1" s="1"/>
  <c r="Y136" i="1"/>
  <c r="AB136" i="1" s="1"/>
  <c r="AI135" i="1"/>
  <c r="AG135" i="1"/>
  <c r="AG151" i="1"/>
  <c r="AI151" i="1"/>
  <c r="X138" i="1"/>
  <c r="AA138" i="1" s="1"/>
  <c r="Y138" i="1"/>
  <c r="AB138" i="1" s="1"/>
  <c r="AI137" i="1"/>
  <c r="AG137" i="1"/>
  <c r="X139" i="1"/>
  <c r="AA139" i="1" s="1"/>
  <c r="AH136" i="1"/>
  <c r="AI149" i="1"/>
  <c r="AG149" i="1"/>
  <c r="F147" i="4"/>
  <c r="N147" i="4" s="1"/>
  <c r="Y137" i="1"/>
  <c r="AB137" i="1" s="1"/>
  <c r="X137" i="1"/>
  <c r="AA137" i="1" s="1"/>
  <c r="X134" i="1"/>
  <c r="AA134" i="1" s="1"/>
  <c r="Y134" i="1"/>
  <c r="AB134" i="1" s="1"/>
  <c r="AI148" i="1"/>
  <c r="AG148" i="1"/>
  <c r="AI139" i="1"/>
  <c r="AG139" i="1"/>
  <c r="X147" i="1"/>
  <c r="AA147" i="1" s="1"/>
  <c r="Y147" i="1"/>
  <c r="AB147" i="1" s="1"/>
  <c r="Y152" i="1"/>
  <c r="AB152" i="1" s="1"/>
  <c r="X152" i="1"/>
  <c r="AA152" i="1" s="1"/>
  <c r="AH135" i="1"/>
  <c r="AI133" i="1"/>
  <c r="AG133" i="1"/>
  <c r="AI147" i="1"/>
  <c r="AG147" i="1"/>
  <c r="AI136" i="1"/>
  <c r="AG136" i="1"/>
  <c r="X135" i="1"/>
  <c r="AA135" i="1" s="1"/>
  <c r="Y135" i="1"/>
  <c r="AB135" i="1" s="1"/>
  <c r="Y133" i="1"/>
  <c r="AB133" i="1" s="1"/>
  <c r="X133" i="1"/>
  <c r="AA133" i="1" s="1"/>
  <c r="AG150" i="1"/>
  <c r="AI150" i="1"/>
  <c r="AH134" i="1"/>
  <c r="AH132" i="1"/>
  <c r="AG146" i="1"/>
  <c r="AI146" i="1"/>
  <c r="AH138" i="1"/>
  <c r="AI134" i="1"/>
  <c r="AG134" i="1"/>
  <c r="X148" i="1"/>
  <c r="AA148" i="1" s="1"/>
  <c r="Y148" i="1"/>
  <c r="AB148" i="1" s="1"/>
  <c r="AI132" i="1"/>
  <c r="AG132" i="1"/>
  <c r="AG152" i="1"/>
  <c r="AI152" i="1"/>
  <c r="AI153" i="1"/>
  <c r="AG153" i="1"/>
  <c r="X146" i="1"/>
  <c r="AA146" i="1" s="1"/>
  <c r="Y146" i="1"/>
  <c r="AB146" i="1" s="1"/>
  <c r="X149" i="1"/>
  <c r="AA149" i="1" s="1"/>
  <c r="Y149" i="1"/>
  <c r="AB149" i="1" s="1"/>
  <c r="AH139" i="1"/>
  <c r="X132" i="1"/>
  <c r="AA132" i="1" s="1"/>
  <c r="Y132" i="1"/>
  <c r="AB132" i="1" s="1"/>
  <c r="X153" i="1"/>
  <c r="AA153" i="1" s="1"/>
  <c r="Y153" i="1"/>
  <c r="AB153" i="1" s="1"/>
  <c r="Y151" i="1"/>
  <c r="AB151" i="1" s="1"/>
  <c r="X151" i="1"/>
  <c r="AA151" i="1" s="1"/>
  <c r="AH133" i="1"/>
  <c r="O112" i="2"/>
  <c r="M150" i="8"/>
  <c r="O118" i="6"/>
  <c r="O110" i="6"/>
  <c r="J132" i="5"/>
  <c r="O118" i="2"/>
  <c r="J147" i="8"/>
  <c r="K147" i="7"/>
  <c r="L139" i="9"/>
  <c r="L139" i="8"/>
  <c r="J147" i="7"/>
  <c r="J149" i="7"/>
  <c r="P115" i="2"/>
  <c r="L146" i="7"/>
  <c r="J135" i="3"/>
  <c r="K153" i="7"/>
  <c r="K136" i="9"/>
  <c r="M150" i="3"/>
  <c r="K132" i="3"/>
  <c r="K132" i="7"/>
  <c r="L135" i="7"/>
  <c r="J136" i="8"/>
  <c r="L147" i="3"/>
  <c r="J137" i="8"/>
  <c r="L136" i="7"/>
  <c r="L135" i="8"/>
  <c r="K146" i="7"/>
  <c r="K139" i="8"/>
  <c r="J151" i="8"/>
  <c r="J148" i="3"/>
  <c r="L149" i="8"/>
  <c r="K135" i="8"/>
  <c r="K150" i="8"/>
  <c r="P117" i="8"/>
  <c r="M132" i="8"/>
  <c r="N139" i="8"/>
  <c r="J146" i="5"/>
  <c r="L133" i="8"/>
  <c r="J139" i="8"/>
  <c r="L133" i="3"/>
  <c r="K146" i="9"/>
  <c r="M133" i="3"/>
  <c r="J135" i="8"/>
  <c r="H113" i="1"/>
  <c r="AB113" i="1" s="1"/>
  <c r="K134" i="7"/>
  <c r="M139" i="7"/>
  <c r="J138" i="7"/>
  <c r="J132" i="8"/>
  <c r="K132" i="5"/>
  <c r="M137" i="7"/>
  <c r="M136" i="7"/>
  <c r="J150" i="8"/>
  <c r="J147" i="3"/>
  <c r="L137" i="8"/>
  <c r="M139" i="9"/>
  <c r="J137" i="5"/>
  <c r="J149" i="8"/>
  <c r="L153" i="3"/>
  <c r="K138" i="8"/>
  <c r="J153" i="5"/>
  <c r="J148" i="7"/>
  <c r="L149" i="7"/>
  <c r="J139" i="7"/>
  <c r="K151" i="7"/>
  <c r="L152" i="7"/>
  <c r="L136" i="9"/>
  <c r="M138" i="3"/>
  <c r="M146" i="7"/>
  <c r="K139" i="3"/>
  <c r="M152" i="5"/>
  <c r="J147" i="9"/>
  <c r="J151" i="5"/>
  <c r="K136" i="7"/>
  <c r="K133" i="7"/>
  <c r="L133" i="7"/>
  <c r="L132" i="7"/>
  <c r="K133" i="8"/>
  <c r="P111" i="6"/>
  <c r="O138" i="3"/>
  <c r="O146" i="7"/>
  <c r="J136" i="9"/>
  <c r="L138" i="3"/>
  <c r="L151" i="9"/>
  <c r="P121" i="2"/>
  <c r="M151" i="9"/>
  <c r="N135" i="8"/>
  <c r="J146" i="9"/>
  <c r="J132" i="3"/>
  <c r="M135" i="8"/>
  <c r="P115" i="6"/>
  <c r="L137" i="7"/>
  <c r="M148" i="8"/>
  <c r="L148" i="8"/>
  <c r="L153" i="8"/>
  <c r="O120" i="6"/>
  <c r="K148" i="8"/>
  <c r="M134" i="8"/>
  <c r="M139" i="8"/>
  <c r="O153" i="3"/>
  <c r="N139" i="3"/>
  <c r="O121" i="6"/>
  <c r="M149" i="9"/>
  <c r="M135" i="9"/>
  <c r="L135" i="9"/>
  <c r="L138" i="7"/>
  <c r="L133" i="5"/>
  <c r="J138" i="3"/>
  <c r="O117" i="6"/>
  <c r="M132" i="7"/>
  <c r="K146" i="8"/>
  <c r="L137" i="5"/>
  <c r="O120" i="2"/>
  <c r="P117" i="2"/>
  <c r="M137" i="8"/>
  <c r="N137" i="8"/>
  <c r="K138" i="3"/>
  <c r="M137" i="5"/>
  <c r="O132" i="7"/>
  <c r="J153" i="7"/>
  <c r="J146" i="8"/>
  <c r="J132" i="7"/>
  <c r="M133" i="5"/>
  <c r="N153" i="7"/>
  <c r="N132" i="7"/>
  <c r="M147" i="3"/>
  <c r="O113" i="6"/>
  <c r="O147" i="3"/>
  <c r="M152" i="8"/>
  <c r="L139" i="7"/>
  <c r="J151" i="9"/>
  <c r="O139" i="7"/>
  <c r="O137" i="8"/>
  <c r="K137" i="8"/>
  <c r="J139" i="9"/>
  <c r="K151" i="9"/>
  <c r="K147" i="3"/>
  <c r="N147" i="3"/>
  <c r="K137" i="5"/>
  <c r="P116" i="2"/>
  <c r="M151" i="7"/>
  <c r="N149" i="8"/>
  <c r="J148" i="8"/>
  <c r="K146" i="5"/>
  <c r="N136" i="7"/>
  <c r="L146" i="3"/>
  <c r="M146" i="3"/>
  <c r="L134" i="3"/>
  <c r="J136" i="7"/>
  <c r="P113" i="8"/>
  <c r="N146" i="3"/>
  <c r="O152" i="5"/>
  <c r="M134" i="3"/>
  <c r="J146" i="3"/>
  <c r="K147" i="9"/>
  <c r="K139" i="5"/>
  <c r="M135" i="7"/>
  <c r="O132" i="8"/>
  <c r="K149" i="7"/>
  <c r="O136" i="9"/>
  <c r="J153" i="9"/>
  <c r="J134" i="7"/>
  <c r="M135" i="3"/>
  <c r="M146" i="9"/>
  <c r="O135" i="8"/>
  <c r="L134" i="8"/>
  <c r="M152" i="7"/>
  <c r="M138" i="7"/>
  <c r="M138" i="9"/>
  <c r="M138" i="8"/>
  <c r="L146" i="9"/>
  <c r="O134" i="8"/>
  <c r="L138" i="8"/>
  <c r="M150" i="7"/>
  <c r="N146" i="7"/>
  <c r="O111" i="8"/>
  <c r="L150" i="7"/>
  <c r="J146" i="7"/>
  <c r="O110" i="8"/>
  <c r="O113" i="2"/>
  <c r="J151" i="7"/>
  <c r="K139" i="7"/>
  <c r="P110" i="2"/>
  <c r="L150" i="8"/>
  <c r="M153" i="7"/>
  <c r="M136" i="9"/>
  <c r="N149" i="7"/>
  <c r="K153" i="9"/>
  <c r="L135" i="3"/>
  <c r="L132" i="8"/>
  <c r="N134" i="7"/>
  <c r="P114" i="2"/>
  <c r="K152" i="3"/>
  <c r="M149" i="8"/>
  <c r="L146" i="8"/>
  <c r="M147" i="8"/>
  <c r="O149" i="8"/>
  <c r="P114" i="6"/>
  <c r="L153" i="7"/>
  <c r="M146" i="8"/>
  <c r="L147" i="8"/>
  <c r="O150" i="8"/>
  <c r="O136" i="7"/>
  <c r="O139" i="8"/>
  <c r="N151" i="8"/>
  <c r="O137" i="7"/>
  <c r="O133" i="7"/>
  <c r="M148" i="7"/>
  <c r="J139" i="5"/>
  <c r="L147" i="7"/>
  <c r="M133" i="7"/>
  <c r="M149" i="7"/>
  <c r="L148" i="7"/>
  <c r="M147" i="7"/>
  <c r="O149" i="7"/>
  <c r="K148" i="7"/>
  <c r="K150" i="3"/>
  <c r="N148" i="7"/>
  <c r="K153" i="5"/>
  <c r="K133" i="3"/>
  <c r="K151" i="8"/>
  <c r="J150" i="3"/>
  <c r="N153" i="5"/>
  <c r="J134" i="8"/>
  <c r="K132" i="8"/>
  <c r="N132" i="8"/>
  <c r="K137" i="3"/>
  <c r="N138" i="7"/>
  <c r="O133" i="8"/>
  <c r="N138" i="8"/>
  <c r="L139" i="3"/>
  <c r="M133" i="8"/>
  <c r="K153" i="8"/>
  <c r="L136" i="8"/>
  <c r="J138" i="8"/>
  <c r="N133" i="7"/>
  <c r="M139" i="3"/>
  <c r="J153" i="8"/>
  <c r="M134" i="7"/>
  <c r="M136" i="8"/>
  <c r="J135" i="7"/>
  <c r="J136" i="5"/>
  <c r="J133" i="7"/>
  <c r="O119" i="6"/>
  <c r="L134" i="7"/>
  <c r="L132" i="3"/>
  <c r="K135" i="7"/>
  <c r="N136" i="8"/>
  <c r="K136" i="5"/>
  <c r="L138" i="5"/>
  <c r="M132" i="3"/>
  <c r="K136" i="8"/>
  <c r="J137" i="3"/>
  <c r="K138" i="7"/>
  <c r="M138" i="5"/>
  <c r="M122" i="8"/>
  <c r="J152" i="7"/>
  <c r="N137" i="5"/>
  <c r="L151" i="7"/>
  <c r="M152" i="9"/>
  <c r="O111" i="2"/>
  <c r="K134" i="3"/>
  <c r="K152" i="7"/>
  <c r="L152" i="9"/>
  <c r="J134" i="3"/>
  <c r="K147" i="8"/>
  <c r="J137" i="7"/>
  <c r="N147" i="8"/>
  <c r="K137" i="7"/>
  <c r="M152" i="3"/>
  <c r="M151" i="8"/>
  <c r="O118" i="8"/>
  <c r="P118" i="8"/>
  <c r="L152" i="3"/>
  <c r="L151" i="8"/>
  <c r="K149" i="8"/>
  <c r="O120" i="8"/>
  <c r="P120" i="8"/>
  <c r="E122" i="7"/>
  <c r="G67" i="7" s="1"/>
  <c r="P116" i="8"/>
  <c r="O116" i="8"/>
  <c r="N122" i="2"/>
  <c r="M153" i="8"/>
  <c r="M122" i="2"/>
  <c r="O119" i="2"/>
  <c r="L152" i="5"/>
  <c r="M153" i="3"/>
  <c r="K151" i="5"/>
  <c r="N132" i="3"/>
  <c r="L137" i="3"/>
  <c r="N151" i="5"/>
  <c r="M137" i="3"/>
  <c r="J150" i="7"/>
  <c r="O150" i="3"/>
  <c r="K139" i="9"/>
  <c r="L150" i="3"/>
  <c r="M136" i="3"/>
  <c r="K150" i="7"/>
  <c r="P112" i="8"/>
  <c r="O112" i="8"/>
  <c r="L136" i="3"/>
  <c r="J136" i="3"/>
  <c r="J152" i="8"/>
  <c r="J152" i="3"/>
  <c r="L152" i="8"/>
  <c r="N148" i="3"/>
  <c r="P121" i="8"/>
  <c r="O121" i="8"/>
  <c r="P119" i="8"/>
  <c r="O119" i="8"/>
  <c r="N136" i="9"/>
  <c r="N147" i="9"/>
  <c r="K148" i="3"/>
  <c r="E122" i="5"/>
  <c r="G67" i="5" s="1"/>
  <c r="O135" i="7"/>
  <c r="N122" i="8"/>
  <c r="P115" i="8"/>
  <c r="O115" i="8"/>
  <c r="K136" i="3"/>
  <c r="K152" i="8"/>
  <c r="P114" i="8"/>
  <c r="O114" i="8"/>
  <c r="J133" i="3"/>
  <c r="J139" i="3"/>
  <c r="M122" i="6"/>
  <c r="N133" i="8"/>
  <c r="O116" i="6"/>
  <c r="K135" i="3"/>
  <c r="L138" i="9"/>
  <c r="N135" i="3"/>
  <c r="L148" i="3"/>
  <c r="M148" i="3"/>
  <c r="M147" i="9"/>
  <c r="J133" i="8"/>
  <c r="L147" i="9"/>
  <c r="K134" i="8"/>
  <c r="E122" i="8"/>
  <c r="G67" i="8" s="1"/>
  <c r="E122" i="9"/>
  <c r="G67" i="9" s="1"/>
  <c r="L149" i="9"/>
  <c r="N122" i="6"/>
  <c r="O112" i="6"/>
  <c r="L149" i="3"/>
  <c r="M149" i="3"/>
  <c r="O149" i="3"/>
  <c r="K149" i="5"/>
  <c r="J149" i="5"/>
  <c r="N149" i="5"/>
  <c r="J135" i="2"/>
  <c r="N135" i="2"/>
  <c r="K135" i="2"/>
  <c r="J149" i="2"/>
  <c r="N149" i="2"/>
  <c r="K149" i="2"/>
  <c r="N139" i="2"/>
  <c r="K139" i="2"/>
  <c r="J139" i="2"/>
  <c r="M146" i="2"/>
  <c r="O146" i="2"/>
  <c r="L146" i="2"/>
  <c r="N147" i="5"/>
  <c r="J147" i="5"/>
  <c r="K147" i="5"/>
  <c r="N151" i="6"/>
  <c r="J151" i="6"/>
  <c r="K151" i="6"/>
  <c r="J134" i="6"/>
  <c r="N134" i="6"/>
  <c r="K134" i="6"/>
  <c r="M133" i="6"/>
  <c r="L133" i="6"/>
  <c r="O133" i="6"/>
  <c r="O132" i="6"/>
  <c r="M132" i="6"/>
  <c r="L132" i="6"/>
  <c r="P113" i="9"/>
  <c r="O113" i="9"/>
  <c r="L137" i="9"/>
  <c r="M137" i="9"/>
  <c r="O137" i="9"/>
  <c r="J153" i="3"/>
  <c r="K153" i="3"/>
  <c r="N153" i="3"/>
  <c r="P115" i="7"/>
  <c r="O115" i="7"/>
  <c r="P113" i="7"/>
  <c r="O113" i="7"/>
  <c r="P121" i="3"/>
  <c r="O121" i="3"/>
  <c r="N110" i="3"/>
  <c r="M122" i="3"/>
  <c r="N110" i="5"/>
  <c r="M122" i="5"/>
  <c r="P116" i="5"/>
  <c r="O116" i="5"/>
  <c r="J149" i="3"/>
  <c r="N149" i="3"/>
  <c r="K149" i="3"/>
  <c r="K152" i="5"/>
  <c r="J152" i="5"/>
  <c r="N152" i="5"/>
  <c r="L150" i="2"/>
  <c r="O150" i="2"/>
  <c r="M150" i="2"/>
  <c r="J153" i="2"/>
  <c r="N153" i="2"/>
  <c r="K153" i="2"/>
  <c r="K133" i="2"/>
  <c r="J133" i="2"/>
  <c r="N133" i="2"/>
  <c r="L133" i="2"/>
  <c r="M133" i="2"/>
  <c r="O133" i="2"/>
  <c r="M148" i="5"/>
  <c r="O148" i="5"/>
  <c r="L148" i="5"/>
  <c r="N153" i="6"/>
  <c r="K153" i="6"/>
  <c r="J153" i="6"/>
  <c r="J139" i="6"/>
  <c r="K139" i="6"/>
  <c r="N139" i="6"/>
  <c r="N137" i="6"/>
  <c r="K137" i="6"/>
  <c r="J137" i="6"/>
  <c r="N146" i="6"/>
  <c r="K146" i="6"/>
  <c r="J146" i="6"/>
  <c r="P114" i="9"/>
  <c r="O114" i="9"/>
  <c r="N137" i="9"/>
  <c r="J137" i="9"/>
  <c r="K137" i="9"/>
  <c r="P120" i="7"/>
  <c r="O120" i="7"/>
  <c r="P111" i="7"/>
  <c r="O111" i="7"/>
  <c r="P117" i="3"/>
  <c r="O117" i="3"/>
  <c r="P113" i="3"/>
  <c r="O113" i="3"/>
  <c r="O113" i="5"/>
  <c r="P113" i="5"/>
  <c r="P121" i="5"/>
  <c r="O121" i="5"/>
  <c r="M153" i="5"/>
  <c r="L153" i="5"/>
  <c r="O153" i="5"/>
  <c r="N152" i="2"/>
  <c r="K152" i="2"/>
  <c r="J152" i="2"/>
  <c r="J146" i="2"/>
  <c r="K146" i="2"/>
  <c r="N146" i="2"/>
  <c r="K151" i="2"/>
  <c r="N151" i="2"/>
  <c r="J151" i="2"/>
  <c r="J138" i="2"/>
  <c r="N138" i="2"/>
  <c r="K138" i="2"/>
  <c r="L134" i="9"/>
  <c r="M134" i="9"/>
  <c r="O134" i="9"/>
  <c r="O138" i="6"/>
  <c r="M138" i="6"/>
  <c r="L138" i="6"/>
  <c r="N149" i="6"/>
  <c r="K149" i="6"/>
  <c r="J149" i="6"/>
  <c r="O147" i="6"/>
  <c r="M147" i="6"/>
  <c r="L147" i="6"/>
  <c r="N148" i="6"/>
  <c r="J148" i="6"/>
  <c r="K148" i="6"/>
  <c r="E122" i="6"/>
  <c r="G67" i="6" s="1"/>
  <c r="O118" i="9"/>
  <c r="P118" i="9"/>
  <c r="O132" i="9"/>
  <c r="M132" i="9"/>
  <c r="L132" i="9"/>
  <c r="J135" i="5"/>
  <c r="N135" i="5"/>
  <c r="K135" i="5"/>
  <c r="P119" i="7"/>
  <c r="O119" i="7"/>
  <c r="O115" i="3"/>
  <c r="P115" i="3"/>
  <c r="P118" i="3"/>
  <c r="O118" i="3"/>
  <c r="P119" i="5"/>
  <c r="O119" i="5"/>
  <c r="L150" i="5"/>
  <c r="M150" i="5"/>
  <c r="O150" i="5"/>
  <c r="L151" i="2"/>
  <c r="M151" i="2"/>
  <c r="O151" i="2"/>
  <c r="K132" i="2"/>
  <c r="J132" i="2"/>
  <c r="N132" i="2"/>
  <c r="O136" i="2"/>
  <c r="M136" i="2"/>
  <c r="L136" i="2"/>
  <c r="J150" i="2"/>
  <c r="N150" i="2"/>
  <c r="K150" i="2"/>
  <c r="O153" i="9"/>
  <c r="L153" i="9"/>
  <c r="M153" i="9"/>
  <c r="O151" i="5"/>
  <c r="M151" i="5"/>
  <c r="L151" i="5"/>
  <c r="N138" i="6"/>
  <c r="J138" i="6"/>
  <c r="K138" i="6"/>
  <c r="O136" i="6"/>
  <c r="M136" i="6"/>
  <c r="L136" i="6"/>
  <c r="J133" i="6"/>
  <c r="K133" i="6"/>
  <c r="N133" i="6"/>
  <c r="J136" i="6"/>
  <c r="N136" i="6"/>
  <c r="K136" i="6"/>
  <c r="P119" i="9"/>
  <c r="O119" i="9"/>
  <c r="N133" i="5"/>
  <c r="K133" i="5"/>
  <c r="J133" i="5"/>
  <c r="N110" i="7"/>
  <c r="M122" i="7"/>
  <c r="N150" i="9"/>
  <c r="J150" i="9"/>
  <c r="K150" i="9"/>
  <c r="P119" i="3"/>
  <c r="O119" i="3"/>
  <c r="P118" i="5"/>
  <c r="O118" i="5"/>
  <c r="N133" i="9"/>
  <c r="J133" i="9"/>
  <c r="K133" i="9"/>
  <c r="N136" i="2"/>
  <c r="K136" i="2"/>
  <c r="J136" i="2"/>
  <c r="L148" i="2"/>
  <c r="O148" i="2"/>
  <c r="M148" i="2"/>
  <c r="L139" i="2"/>
  <c r="O139" i="2"/>
  <c r="M139" i="2"/>
  <c r="M137" i="2"/>
  <c r="O137" i="2"/>
  <c r="L137" i="2"/>
  <c r="K135" i="9"/>
  <c r="J135" i="9"/>
  <c r="N135" i="9"/>
  <c r="M132" i="5"/>
  <c r="O132" i="5"/>
  <c r="L132" i="5"/>
  <c r="J152" i="6"/>
  <c r="N152" i="6"/>
  <c r="K152" i="6"/>
  <c r="L148" i="6"/>
  <c r="O148" i="6"/>
  <c r="M148" i="6"/>
  <c r="N147" i="6"/>
  <c r="K147" i="6"/>
  <c r="J147" i="6"/>
  <c r="K135" i="6"/>
  <c r="N135" i="6"/>
  <c r="J135" i="6"/>
  <c r="P120" i="9"/>
  <c r="O120" i="9"/>
  <c r="N110" i="9"/>
  <c r="M122" i="9"/>
  <c r="J138" i="5"/>
  <c r="K138" i="5"/>
  <c r="N138" i="5"/>
  <c r="P118" i="7"/>
  <c r="O118" i="7"/>
  <c r="O150" i="9"/>
  <c r="M150" i="9"/>
  <c r="L150" i="9"/>
  <c r="O114" i="3"/>
  <c r="P114" i="3"/>
  <c r="N148" i="5"/>
  <c r="K148" i="5"/>
  <c r="J148" i="5"/>
  <c r="K149" i="9"/>
  <c r="J149" i="9"/>
  <c r="N149" i="9"/>
  <c r="P111" i="5"/>
  <c r="O111" i="5"/>
  <c r="O133" i="9"/>
  <c r="M133" i="9"/>
  <c r="L133" i="9"/>
  <c r="K137" i="2"/>
  <c r="J137" i="2"/>
  <c r="N137" i="2"/>
  <c r="O153" i="2"/>
  <c r="L153" i="2"/>
  <c r="M153" i="2"/>
  <c r="N148" i="2"/>
  <c r="K148" i="2"/>
  <c r="J148" i="2"/>
  <c r="O134" i="2"/>
  <c r="M134" i="2"/>
  <c r="L134" i="2"/>
  <c r="N132" i="9"/>
  <c r="J132" i="9"/>
  <c r="K132" i="9"/>
  <c r="J148" i="9"/>
  <c r="K148" i="9"/>
  <c r="N148" i="9"/>
  <c r="K134" i="5"/>
  <c r="N134" i="5"/>
  <c r="J134" i="5"/>
  <c r="M135" i="6"/>
  <c r="O135" i="6"/>
  <c r="L135" i="6"/>
  <c r="L150" i="6"/>
  <c r="O150" i="6"/>
  <c r="M150" i="6"/>
  <c r="O151" i="6"/>
  <c r="M151" i="6"/>
  <c r="L151" i="6"/>
  <c r="M152" i="6"/>
  <c r="L152" i="6"/>
  <c r="O152" i="6"/>
  <c r="P121" i="9"/>
  <c r="O121" i="9"/>
  <c r="O116" i="9"/>
  <c r="P116" i="9"/>
  <c r="L136" i="5"/>
  <c r="M136" i="5"/>
  <c r="O136" i="5"/>
  <c r="M149" i="5"/>
  <c r="L149" i="5"/>
  <c r="O149" i="5"/>
  <c r="O117" i="7"/>
  <c r="P117" i="7"/>
  <c r="J152" i="9"/>
  <c r="N152" i="9"/>
  <c r="K152" i="9"/>
  <c r="O120" i="3"/>
  <c r="P120" i="3"/>
  <c r="K150" i="5"/>
  <c r="J150" i="5"/>
  <c r="N150" i="5"/>
  <c r="P114" i="5"/>
  <c r="O114" i="5"/>
  <c r="J138" i="9"/>
  <c r="N138" i="9"/>
  <c r="K138" i="9"/>
  <c r="O149" i="2"/>
  <c r="L149" i="2"/>
  <c r="M149" i="2"/>
  <c r="O138" i="2"/>
  <c r="M138" i="2"/>
  <c r="L138" i="2"/>
  <c r="O147" i="2"/>
  <c r="M147" i="2"/>
  <c r="L147" i="2"/>
  <c r="M135" i="2"/>
  <c r="L135" i="2"/>
  <c r="O135" i="2"/>
  <c r="J151" i="3"/>
  <c r="K151" i="3"/>
  <c r="N151" i="3"/>
  <c r="O135" i="5"/>
  <c r="M135" i="5"/>
  <c r="L135" i="5"/>
  <c r="K132" i="6"/>
  <c r="J132" i="6"/>
  <c r="N132" i="6"/>
  <c r="K150" i="6"/>
  <c r="J150" i="6"/>
  <c r="N150" i="6"/>
  <c r="M137" i="6"/>
  <c r="O137" i="6"/>
  <c r="L137" i="6"/>
  <c r="O134" i="6"/>
  <c r="M134" i="6"/>
  <c r="L134" i="6"/>
  <c r="P111" i="9"/>
  <c r="O111" i="9"/>
  <c r="P117" i="9"/>
  <c r="O117" i="9"/>
  <c r="P114" i="7"/>
  <c r="O114" i="7"/>
  <c r="P112" i="7"/>
  <c r="O112" i="7"/>
  <c r="O148" i="9"/>
  <c r="M148" i="9"/>
  <c r="L148" i="9"/>
  <c r="P116" i="3"/>
  <c r="O116" i="3"/>
  <c r="E122" i="3"/>
  <c r="G67" i="3" s="1"/>
  <c r="O147" i="5"/>
  <c r="M147" i="5"/>
  <c r="L147" i="5"/>
  <c r="P120" i="5"/>
  <c r="O120" i="5"/>
  <c r="O112" i="5"/>
  <c r="P112" i="5"/>
  <c r="A205" i="2" a="1"/>
  <c r="K134" i="9"/>
  <c r="J134" i="9"/>
  <c r="N134" i="9"/>
  <c r="J147" i="2"/>
  <c r="N147" i="2"/>
  <c r="K147" i="2"/>
  <c r="O132" i="2"/>
  <c r="L132" i="2"/>
  <c r="M132" i="2"/>
  <c r="O152" i="2"/>
  <c r="M152" i="2"/>
  <c r="L152" i="2"/>
  <c r="N134" i="2"/>
  <c r="J134" i="2"/>
  <c r="K134" i="2"/>
  <c r="E122" i="2"/>
  <c r="G67" i="2" s="1"/>
  <c r="O151" i="3"/>
  <c r="M151" i="3"/>
  <c r="L151" i="3"/>
  <c r="M139" i="5"/>
  <c r="O139" i="5"/>
  <c r="L139" i="5"/>
  <c r="O139" i="6"/>
  <c r="M139" i="6"/>
  <c r="L139" i="6"/>
  <c r="M149" i="6"/>
  <c r="L149" i="6"/>
  <c r="O149" i="6"/>
  <c r="L153" i="6"/>
  <c r="O153" i="6"/>
  <c r="M153" i="6"/>
  <c r="O146" i="6"/>
  <c r="L146" i="6"/>
  <c r="M146" i="6"/>
  <c r="P115" i="9"/>
  <c r="O115" i="9"/>
  <c r="P112" i="9"/>
  <c r="O112" i="9"/>
  <c r="P121" i="7"/>
  <c r="O121" i="7"/>
  <c r="O116" i="7"/>
  <c r="P116" i="7"/>
  <c r="O112" i="3"/>
  <c r="P112" i="3"/>
  <c r="P111" i="3"/>
  <c r="O111" i="3"/>
  <c r="L134" i="5"/>
  <c r="M134" i="5"/>
  <c r="O134" i="5"/>
  <c r="O146" i="5"/>
  <c r="M146" i="5"/>
  <c r="L146" i="5"/>
  <c r="P115" i="5"/>
  <c r="O115" i="5"/>
  <c r="P117" i="5"/>
  <c r="O117" i="5"/>
  <c r="P122" i="1"/>
  <c r="O122" i="1"/>
  <c r="P154" i="1"/>
  <c r="T154" i="1" s="1"/>
  <c r="Q154" i="1"/>
  <c r="R154" i="1"/>
  <c r="R140" i="1"/>
  <c r="Q140" i="1"/>
  <c r="P140" i="1"/>
  <c r="T140" i="1" s="1"/>
  <c r="H110" i="1"/>
  <c r="AB110" i="1" s="1"/>
  <c r="H119" i="1"/>
  <c r="AB119" i="1" s="1"/>
  <c r="J65" i="1" l="1"/>
  <c r="N65" i="1" s="1"/>
  <c r="Q65" i="1"/>
  <c r="P65" i="1" s="1"/>
  <c r="AE34" i="1"/>
  <c r="AE36" i="1" s="1"/>
  <c r="AJ31" i="1"/>
  <c r="K148" i="4"/>
  <c r="P121" i="4"/>
  <c r="M139" i="4"/>
  <c r="L137" i="4"/>
  <c r="M137" i="4"/>
  <c r="J137" i="4"/>
  <c r="K137" i="4"/>
  <c r="J135" i="4"/>
  <c r="M149" i="4"/>
  <c r="K134" i="4"/>
  <c r="K135" i="4"/>
  <c r="M134" i="4"/>
  <c r="L134" i="4"/>
  <c r="J132" i="4"/>
  <c r="M151" i="4"/>
  <c r="M132" i="4"/>
  <c r="L150" i="4"/>
  <c r="M153" i="4"/>
  <c r="K150" i="4"/>
  <c r="J153" i="4"/>
  <c r="M135" i="4"/>
  <c r="J139" i="4"/>
  <c r="N134" i="4"/>
  <c r="O119" i="4"/>
  <c r="L135" i="4"/>
  <c r="K153" i="4"/>
  <c r="O150" i="4"/>
  <c r="P156" i="1"/>
  <c r="P157" i="1"/>
  <c r="K133" i="4"/>
  <c r="P115" i="4"/>
  <c r="J133" i="4"/>
  <c r="P112" i="4"/>
  <c r="K139" i="4"/>
  <c r="O135" i="4"/>
  <c r="O139" i="4"/>
  <c r="L139" i="4"/>
  <c r="J134" i="4"/>
  <c r="O116" i="4"/>
  <c r="M150" i="4"/>
  <c r="P117" i="4"/>
  <c r="M133" i="4"/>
  <c r="L133" i="4"/>
  <c r="L152" i="4"/>
  <c r="L153" i="4"/>
  <c r="O153" i="4"/>
  <c r="M152" i="4"/>
  <c r="P114" i="4"/>
  <c r="J150" i="4"/>
  <c r="K149" i="4"/>
  <c r="J149" i="4"/>
  <c r="P113" i="4"/>
  <c r="N150" i="4"/>
  <c r="L149" i="4"/>
  <c r="O151" i="4"/>
  <c r="O149" i="4"/>
  <c r="N132" i="4"/>
  <c r="L151" i="4"/>
  <c r="O118" i="4"/>
  <c r="K132" i="4"/>
  <c r="E122" i="4"/>
  <c r="G67" i="4" s="1"/>
  <c r="K136" i="4"/>
  <c r="M148" i="4"/>
  <c r="L148" i="4"/>
  <c r="M138" i="4"/>
  <c r="L132" i="4"/>
  <c r="K138" i="4"/>
  <c r="L138" i="4"/>
  <c r="J138" i="4"/>
  <c r="O120" i="4"/>
  <c r="J152" i="4"/>
  <c r="K152" i="4"/>
  <c r="J148" i="4"/>
  <c r="M136" i="4"/>
  <c r="K151" i="4"/>
  <c r="N136" i="4"/>
  <c r="O132" i="4"/>
  <c r="N148" i="4"/>
  <c r="O111" i="4"/>
  <c r="M122" i="4"/>
  <c r="L136" i="4"/>
  <c r="L146" i="4"/>
  <c r="J136" i="4"/>
  <c r="J151" i="4"/>
  <c r="J146" i="4"/>
  <c r="K146" i="4"/>
  <c r="M146" i="4"/>
  <c r="M147" i="4"/>
  <c r="L147" i="4"/>
  <c r="K147" i="4"/>
  <c r="J147" i="4"/>
  <c r="AK133" i="1"/>
  <c r="AN133" i="1" s="1"/>
  <c r="AJ133" i="1"/>
  <c r="AM133" i="1" s="1"/>
  <c r="AJ139" i="1"/>
  <c r="AM139" i="1" s="1"/>
  <c r="AK139" i="1"/>
  <c r="AN139" i="1" s="1"/>
  <c r="AJ137" i="1"/>
  <c r="AM137" i="1" s="1"/>
  <c r="AK137" i="1"/>
  <c r="AN137" i="1" s="1"/>
  <c r="AJ153" i="1"/>
  <c r="AM153" i="1" s="1"/>
  <c r="AK153" i="1"/>
  <c r="AN153" i="1" s="1"/>
  <c r="AJ146" i="1"/>
  <c r="AM146" i="1" s="1"/>
  <c r="AK146" i="1"/>
  <c r="AN146" i="1" s="1"/>
  <c r="AK148" i="1"/>
  <c r="AN148" i="1" s="1"/>
  <c r="AJ148" i="1"/>
  <c r="AM148" i="1" s="1"/>
  <c r="AJ149" i="1"/>
  <c r="AM149" i="1" s="1"/>
  <c r="AK149" i="1"/>
  <c r="AN149" i="1" s="1"/>
  <c r="AJ134" i="1"/>
  <c r="AM134" i="1" s="1"/>
  <c r="AK134" i="1"/>
  <c r="AN134" i="1" s="1"/>
  <c r="AJ136" i="1"/>
  <c r="AM136" i="1" s="1"/>
  <c r="AK136" i="1"/>
  <c r="AN136" i="1" s="1"/>
  <c r="AK152" i="1"/>
  <c r="AN152" i="1" s="1"/>
  <c r="AJ152" i="1"/>
  <c r="AM152" i="1" s="1"/>
  <c r="AJ151" i="1"/>
  <c r="AM151" i="1" s="1"/>
  <c r="AK151" i="1"/>
  <c r="AN151" i="1" s="1"/>
  <c r="AK147" i="1"/>
  <c r="AN147" i="1" s="1"/>
  <c r="AJ147" i="1"/>
  <c r="AM147" i="1" s="1"/>
  <c r="AK135" i="1"/>
  <c r="AN135" i="1" s="1"/>
  <c r="AJ135" i="1"/>
  <c r="AM135" i="1" s="1"/>
  <c r="AJ138" i="1"/>
  <c r="AM138" i="1" s="1"/>
  <c r="AK138" i="1"/>
  <c r="AN138" i="1" s="1"/>
  <c r="AK132" i="1"/>
  <c r="AN132" i="1" s="1"/>
  <c r="AJ132" i="1"/>
  <c r="AM132" i="1" s="1"/>
  <c r="AJ150" i="1"/>
  <c r="AM150" i="1" s="1"/>
  <c r="AK150" i="1"/>
  <c r="AN150" i="1" s="1"/>
  <c r="H115" i="1"/>
  <c r="AB115" i="1" s="1"/>
  <c r="H112" i="1"/>
  <c r="AB112" i="1" s="1"/>
  <c r="B67" i="9"/>
  <c r="E175" i="9" s="1"/>
  <c r="E176" i="9" s="1"/>
  <c r="E177" i="9" s="1"/>
  <c r="E178" i="9" s="1"/>
  <c r="H111" i="1"/>
  <c r="AB111" i="1" s="1"/>
  <c r="H117" i="1"/>
  <c r="AB117" i="1" s="1"/>
  <c r="B67" i="8"/>
  <c r="E175" i="8" s="1"/>
  <c r="E176" i="8" s="1"/>
  <c r="E177" i="8" s="1"/>
  <c r="A183" i="8" s="1"/>
  <c r="D190" i="8" s="1"/>
  <c r="B67" i="3"/>
  <c r="E175" i="3" s="1"/>
  <c r="E176" i="3" s="1"/>
  <c r="E177" i="3" s="1"/>
  <c r="B183" i="3" s="1"/>
  <c r="D191" i="3" s="1"/>
  <c r="H118" i="1"/>
  <c r="AB118" i="1" s="1"/>
  <c r="H120" i="1"/>
  <c r="AB120" i="1" s="1"/>
  <c r="B67" i="4"/>
  <c r="E175" i="4" s="1"/>
  <c r="E176" i="4" s="1"/>
  <c r="E177" i="4" s="1"/>
  <c r="C183" i="4" s="1"/>
  <c r="D192" i="4" s="1"/>
  <c r="B67" i="6"/>
  <c r="E175" i="6" s="1"/>
  <c r="E176" i="6" s="1"/>
  <c r="E177" i="6" s="1"/>
  <c r="E178" i="6" s="1"/>
  <c r="B67" i="7"/>
  <c r="E175" i="7" s="1"/>
  <c r="E176" i="7" s="1"/>
  <c r="E177" i="7" s="1"/>
  <c r="E178" i="7" s="1"/>
  <c r="H116" i="1"/>
  <c r="AB116" i="1" s="1"/>
  <c r="B67" i="2"/>
  <c r="E175" i="2" s="1"/>
  <c r="E176" i="2" s="1"/>
  <c r="E177" i="2" s="1"/>
  <c r="D183" i="2" s="1"/>
  <c r="D193" i="2" s="1"/>
  <c r="H121" i="1"/>
  <c r="AB121" i="1" s="1"/>
  <c r="H114" i="1"/>
  <c r="AB114" i="1" s="1"/>
  <c r="I113" i="1"/>
  <c r="K113" i="1"/>
  <c r="L113" i="1" s="1"/>
  <c r="R113" i="1"/>
  <c r="Q113" i="1"/>
  <c r="J113" i="1"/>
  <c r="P122" i="6"/>
  <c r="P135" i="8"/>
  <c r="P148" i="8"/>
  <c r="R139" i="8"/>
  <c r="R151" i="9"/>
  <c r="Q148" i="8"/>
  <c r="R148" i="8"/>
  <c r="R146" i="7"/>
  <c r="R138" i="3"/>
  <c r="P146" i="9"/>
  <c r="Q138" i="3"/>
  <c r="R137" i="8"/>
  <c r="P138" i="3"/>
  <c r="Q146" i="9"/>
  <c r="R146" i="9"/>
  <c r="Q137" i="8"/>
  <c r="P137" i="8"/>
  <c r="R147" i="3"/>
  <c r="Q137" i="5"/>
  <c r="Q146" i="3"/>
  <c r="P151" i="9"/>
  <c r="R137" i="5"/>
  <c r="Q151" i="9"/>
  <c r="R152" i="3"/>
  <c r="P153" i="7"/>
  <c r="Q147" i="3"/>
  <c r="P146" i="3"/>
  <c r="Q150" i="3"/>
  <c r="R146" i="3"/>
  <c r="P137" i="5"/>
  <c r="P147" i="3"/>
  <c r="R139" i="7"/>
  <c r="Q139" i="9"/>
  <c r="P132" i="7"/>
  <c r="R132" i="7"/>
  <c r="Q132" i="7"/>
  <c r="P139" i="7"/>
  <c r="R132" i="8"/>
  <c r="Q139" i="7"/>
  <c r="P139" i="9"/>
  <c r="R139" i="9"/>
  <c r="R134" i="8"/>
  <c r="P149" i="8"/>
  <c r="P147" i="8"/>
  <c r="P139" i="3"/>
  <c r="P122" i="2"/>
  <c r="Q153" i="7"/>
  <c r="R153" i="7"/>
  <c r="Q149" i="8"/>
  <c r="R149" i="8"/>
  <c r="Q139" i="3"/>
  <c r="Q136" i="7"/>
  <c r="Q152" i="3"/>
  <c r="P135" i="7"/>
  <c r="P146" i="8"/>
  <c r="Q152" i="7"/>
  <c r="R135" i="8"/>
  <c r="Q135" i="8"/>
  <c r="R136" i="7"/>
  <c r="Q151" i="7"/>
  <c r="O122" i="6"/>
  <c r="Q133" i="7"/>
  <c r="P134" i="7"/>
  <c r="R150" i="8"/>
  <c r="P136" i="7"/>
  <c r="P136" i="3"/>
  <c r="P132" i="8"/>
  <c r="Q150" i="8"/>
  <c r="R153" i="3"/>
  <c r="P150" i="3"/>
  <c r="P150" i="8"/>
  <c r="R133" i="7"/>
  <c r="R151" i="7"/>
  <c r="P133" i="7"/>
  <c r="P151" i="7"/>
  <c r="P137" i="7"/>
  <c r="P138" i="7"/>
  <c r="P132" i="3"/>
  <c r="R138" i="8"/>
  <c r="Q146" i="8"/>
  <c r="Q146" i="7"/>
  <c r="Q148" i="7"/>
  <c r="Q136" i="9"/>
  <c r="R134" i="3"/>
  <c r="R151" i="8"/>
  <c r="R146" i="8"/>
  <c r="P146" i="7"/>
  <c r="P136" i="9"/>
  <c r="P133" i="3"/>
  <c r="P149" i="7"/>
  <c r="Q147" i="8"/>
  <c r="R136" i="9"/>
  <c r="P137" i="3"/>
  <c r="P148" i="7"/>
  <c r="Q147" i="7"/>
  <c r="R147" i="8"/>
  <c r="Q132" i="8"/>
  <c r="R133" i="3"/>
  <c r="Q136" i="3"/>
  <c r="P134" i="3"/>
  <c r="R136" i="3"/>
  <c r="Q149" i="7"/>
  <c r="Q134" i="3"/>
  <c r="Q139" i="8"/>
  <c r="R149" i="7"/>
  <c r="P139" i="8"/>
  <c r="R150" i="3"/>
  <c r="R139" i="3"/>
  <c r="Q153" i="3"/>
  <c r="R136" i="8"/>
  <c r="P133" i="8"/>
  <c r="R153" i="8"/>
  <c r="P147" i="9"/>
  <c r="P147" i="7"/>
  <c r="R147" i="7"/>
  <c r="R148" i="7"/>
  <c r="R132" i="3"/>
  <c r="P153" i="3"/>
  <c r="Q137" i="7"/>
  <c r="Q132" i="3"/>
  <c r="Q138" i="7"/>
  <c r="P138" i="8"/>
  <c r="R137" i="7"/>
  <c r="R138" i="7"/>
  <c r="Q153" i="8"/>
  <c r="Q138" i="8"/>
  <c r="P153" i="8"/>
  <c r="P148" i="3"/>
  <c r="O122" i="2"/>
  <c r="R134" i="7"/>
  <c r="P136" i="8"/>
  <c r="Q133" i="8"/>
  <c r="P152" i="3"/>
  <c r="R133" i="8"/>
  <c r="Q136" i="8"/>
  <c r="Q134" i="8"/>
  <c r="R135" i="7"/>
  <c r="Q134" i="7"/>
  <c r="Q148" i="3"/>
  <c r="R148" i="3"/>
  <c r="R152" i="7"/>
  <c r="R137" i="3"/>
  <c r="P152" i="7"/>
  <c r="Q137" i="3"/>
  <c r="P151" i="8"/>
  <c r="Q151" i="8"/>
  <c r="P135" i="3"/>
  <c r="P152" i="8"/>
  <c r="Q147" i="9"/>
  <c r="O122" i="8"/>
  <c r="R150" i="7"/>
  <c r="P122" i="8"/>
  <c r="Q135" i="7"/>
  <c r="Q150" i="7"/>
  <c r="R152" i="8"/>
  <c r="R135" i="3"/>
  <c r="P150" i="7"/>
  <c r="Q152" i="8"/>
  <c r="Q135" i="3"/>
  <c r="R147" i="9"/>
  <c r="Q133" i="3"/>
  <c r="P134" i="8"/>
  <c r="Q135" i="9"/>
  <c r="P133" i="5"/>
  <c r="P138" i="5"/>
  <c r="P152" i="9"/>
  <c r="R152" i="5"/>
  <c r="R133" i="5"/>
  <c r="Q133" i="5"/>
  <c r="P135" i="9"/>
  <c r="P149" i="9"/>
  <c r="R135" i="9"/>
  <c r="P138" i="9"/>
  <c r="Q139" i="6"/>
  <c r="P139" i="6"/>
  <c r="R139" i="6"/>
  <c r="Q152" i="2"/>
  <c r="R152" i="2"/>
  <c r="P152" i="2"/>
  <c r="R147" i="2"/>
  <c r="Q147" i="2"/>
  <c r="P147" i="2"/>
  <c r="Q135" i="6"/>
  <c r="R135" i="6"/>
  <c r="P135" i="6"/>
  <c r="R151" i="5"/>
  <c r="P151" i="5"/>
  <c r="Q151" i="5"/>
  <c r="P147" i="6"/>
  <c r="Q147" i="6"/>
  <c r="R147" i="6"/>
  <c r="P153" i="5"/>
  <c r="Q153" i="5"/>
  <c r="R153" i="5"/>
  <c r="R138" i="9"/>
  <c r="R149" i="9"/>
  <c r="Q152" i="5"/>
  <c r="Q146" i="2"/>
  <c r="P146" i="2"/>
  <c r="R146" i="2"/>
  <c r="Q146" i="5"/>
  <c r="R146" i="5"/>
  <c r="P146" i="5"/>
  <c r="P153" i="6"/>
  <c r="R153" i="6"/>
  <c r="Q153" i="6"/>
  <c r="Q151" i="3"/>
  <c r="R151" i="3"/>
  <c r="P151" i="3"/>
  <c r="R151" i="6"/>
  <c r="Q151" i="6"/>
  <c r="P151" i="6"/>
  <c r="Q136" i="2"/>
  <c r="P136" i="2"/>
  <c r="R136" i="2"/>
  <c r="Q149" i="9"/>
  <c r="Q133" i="6"/>
  <c r="P133" i="6"/>
  <c r="R133" i="6"/>
  <c r="P152" i="5"/>
  <c r="Q132" i="2"/>
  <c r="R132" i="2"/>
  <c r="P132" i="2"/>
  <c r="P133" i="9"/>
  <c r="R133" i="9"/>
  <c r="Q133" i="9"/>
  <c r="R150" i="9"/>
  <c r="P150" i="9"/>
  <c r="Q150" i="9"/>
  <c r="P136" i="6"/>
  <c r="Q136" i="6"/>
  <c r="R136" i="6"/>
  <c r="Q153" i="9"/>
  <c r="R153" i="9"/>
  <c r="P153" i="9"/>
  <c r="P110" i="4"/>
  <c r="O110" i="4"/>
  <c r="N122" i="4"/>
  <c r="R134" i="9"/>
  <c r="Q134" i="9"/>
  <c r="P134" i="9"/>
  <c r="O110" i="5"/>
  <c r="O122" i="5" s="1"/>
  <c r="P110" i="5"/>
  <c r="P122" i="5" s="1"/>
  <c r="N122" i="5"/>
  <c r="R137" i="9"/>
  <c r="Q137" i="9"/>
  <c r="P137" i="9"/>
  <c r="B205" i="2"/>
  <c r="C207" i="2"/>
  <c r="A207" i="2"/>
  <c r="B207" i="2"/>
  <c r="C206" i="2"/>
  <c r="C205" i="2"/>
  <c r="B206" i="2"/>
  <c r="A205" i="2"/>
  <c r="A206" i="2"/>
  <c r="Q137" i="6"/>
  <c r="P137" i="6"/>
  <c r="R137" i="6"/>
  <c r="P138" i="2"/>
  <c r="R138" i="2"/>
  <c r="Q138" i="2"/>
  <c r="P150" i="6"/>
  <c r="Q150" i="6"/>
  <c r="R150" i="6"/>
  <c r="P153" i="2"/>
  <c r="R153" i="2"/>
  <c r="Q153" i="2"/>
  <c r="Q137" i="2"/>
  <c r="P137" i="2"/>
  <c r="R137" i="2"/>
  <c r="R152" i="9"/>
  <c r="P148" i="5"/>
  <c r="Q148" i="5"/>
  <c r="R148" i="5"/>
  <c r="Q134" i="5"/>
  <c r="P134" i="5"/>
  <c r="R134" i="5"/>
  <c r="Q149" i="5"/>
  <c r="P149" i="5"/>
  <c r="R149" i="5"/>
  <c r="Q139" i="2"/>
  <c r="P139" i="2"/>
  <c r="R139" i="2"/>
  <c r="P132" i="9"/>
  <c r="R132" i="9"/>
  <c r="Q132" i="9"/>
  <c r="Q152" i="9"/>
  <c r="Q138" i="5"/>
  <c r="O110" i="3"/>
  <c r="O122" i="3" s="1"/>
  <c r="P110" i="3"/>
  <c r="P122" i="3" s="1"/>
  <c r="N122" i="3"/>
  <c r="P148" i="9"/>
  <c r="Q148" i="9"/>
  <c r="R148" i="9"/>
  <c r="P149" i="2"/>
  <c r="R149" i="2"/>
  <c r="Q149" i="2"/>
  <c r="P150" i="5"/>
  <c r="R150" i="5"/>
  <c r="Q150" i="5"/>
  <c r="Q133" i="2"/>
  <c r="P133" i="2"/>
  <c r="R133" i="2"/>
  <c r="Q150" i="2"/>
  <c r="P150" i="2"/>
  <c r="R150" i="2"/>
  <c r="R138" i="5"/>
  <c r="R132" i="6"/>
  <c r="Q132" i="6"/>
  <c r="P132" i="6"/>
  <c r="P146" i="6"/>
  <c r="R146" i="6"/>
  <c r="Q146" i="6"/>
  <c r="Q149" i="6"/>
  <c r="P149" i="6"/>
  <c r="R149" i="6"/>
  <c r="Q135" i="2"/>
  <c r="R135" i="2"/>
  <c r="P135" i="2"/>
  <c r="Q134" i="2"/>
  <c r="P134" i="2"/>
  <c r="R134" i="2"/>
  <c r="P110" i="9"/>
  <c r="P122" i="9" s="1"/>
  <c r="N122" i="9"/>
  <c r="O110" i="9"/>
  <c r="O122" i="9" s="1"/>
  <c r="O110" i="7"/>
  <c r="O122" i="7" s="1"/>
  <c r="P110" i="7"/>
  <c r="P122" i="7" s="1"/>
  <c r="N122" i="7"/>
  <c r="Q138" i="6"/>
  <c r="P138" i="6"/>
  <c r="R138" i="6"/>
  <c r="Q138" i="9"/>
  <c r="R149" i="3"/>
  <c r="Q149" i="3"/>
  <c r="P149" i="3"/>
  <c r="Q139" i="5"/>
  <c r="P139" i="5"/>
  <c r="R139" i="5"/>
  <c r="Q147" i="5"/>
  <c r="R147" i="5"/>
  <c r="P147" i="5"/>
  <c r="R134" i="6"/>
  <c r="Q134" i="6"/>
  <c r="P134" i="6"/>
  <c r="R135" i="5"/>
  <c r="Q135" i="5"/>
  <c r="P135" i="5"/>
  <c r="Q136" i="5"/>
  <c r="R136" i="5"/>
  <c r="P136" i="5"/>
  <c r="R152" i="6"/>
  <c r="Q152" i="6"/>
  <c r="P152" i="6"/>
  <c r="R148" i="6"/>
  <c r="Q148" i="6"/>
  <c r="P148" i="6"/>
  <c r="R132" i="5"/>
  <c r="Q132" i="5"/>
  <c r="P132" i="5"/>
  <c r="P148" i="2"/>
  <c r="R148" i="2"/>
  <c r="Q148" i="2"/>
  <c r="R151" i="2"/>
  <c r="Q151" i="2"/>
  <c r="P151" i="2"/>
  <c r="J110" i="1"/>
  <c r="Q110" i="1"/>
  <c r="R110" i="1"/>
  <c r="Q119" i="1"/>
  <c r="R119" i="1"/>
  <c r="I110" i="1"/>
  <c r="K110" i="1"/>
  <c r="L110" i="1" s="1"/>
  <c r="K119" i="1"/>
  <c r="L119" i="1" s="1"/>
  <c r="J119" i="1"/>
  <c r="I119" i="1"/>
  <c r="P143" i="1"/>
  <c r="P142" i="1"/>
  <c r="AF36" i="1" l="1"/>
  <c r="AJ32" i="1"/>
  <c r="J64" i="1" s="1"/>
  <c r="AJ33" i="1"/>
  <c r="P137" i="4"/>
  <c r="Q137" i="4"/>
  <c r="R137" i="4"/>
  <c r="Q134" i="4"/>
  <c r="R134" i="4"/>
  <c r="P134" i="4"/>
  <c r="R135" i="4"/>
  <c r="P135" i="4"/>
  <c r="Q135" i="4"/>
  <c r="R133" i="4"/>
  <c r="P133" i="4"/>
  <c r="Q133" i="4"/>
  <c r="P139" i="4"/>
  <c r="Q139" i="4"/>
  <c r="R139" i="4"/>
  <c r="R150" i="4"/>
  <c r="P122" i="4"/>
  <c r="Q153" i="4"/>
  <c r="Q150" i="4"/>
  <c r="P150" i="4"/>
  <c r="R153" i="4"/>
  <c r="P153" i="4"/>
  <c r="P152" i="4"/>
  <c r="P149" i="4"/>
  <c r="Q149" i="4"/>
  <c r="R149" i="4"/>
  <c r="P132" i="4"/>
  <c r="R138" i="4"/>
  <c r="Q132" i="4"/>
  <c r="R132" i="4"/>
  <c r="Q138" i="4"/>
  <c r="P138" i="4"/>
  <c r="R152" i="4"/>
  <c r="Q152" i="4"/>
  <c r="Q148" i="4"/>
  <c r="P151" i="4"/>
  <c r="R148" i="4"/>
  <c r="R147" i="4"/>
  <c r="P148" i="4"/>
  <c r="O122" i="4"/>
  <c r="Q147" i="4"/>
  <c r="P147" i="4"/>
  <c r="R136" i="4"/>
  <c r="Q151" i="4"/>
  <c r="R151" i="4"/>
  <c r="P136" i="4"/>
  <c r="Q136" i="4"/>
  <c r="P146" i="4"/>
  <c r="R146" i="4"/>
  <c r="Q146" i="4"/>
  <c r="I116" i="1"/>
  <c r="K117" i="1"/>
  <c r="L117" i="1" s="1"/>
  <c r="J111" i="1"/>
  <c r="Q112" i="1"/>
  <c r="I120" i="1"/>
  <c r="J115" i="1"/>
  <c r="R115" i="1"/>
  <c r="K115" i="1"/>
  <c r="L115" i="1" s="1"/>
  <c r="H117" i="3"/>
  <c r="J117" i="3" s="1"/>
  <c r="B183" i="4"/>
  <c r="D191" i="4" s="1"/>
  <c r="D183" i="4"/>
  <c r="D193" i="4" s="1"/>
  <c r="H116" i="4"/>
  <c r="I116" i="4" s="1"/>
  <c r="H114" i="3"/>
  <c r="J114" i="3" s="1"/>
  <c r="H115" i="3"/>
  <c r="K115" i="3" s="1"/>
  <c r="L115" i="3" s="1"/>
  <c r="H118" i="3"/>
  <c r="J118" i="3" s="1"/>
  <c r="H116" i="3"/>
  <c r="I116" i="3" s="1"/>
  <c r="H110" i="2"/>
  <c r="K110" i="2" s="1"/>
  <c r="L110" i="2" s="1"/>
  <c r="H113" i="3"/>
  <c r="J113" i="3" s="1"/>
  <c r="H120" i="3"/>
  <c r="K120" i="3" s="1"/>
  <c r="L120" i="3" s="1"/>
  <c r="H111" i="3"/>
  <c r="K111" i="3" s="1"/>
  <c r="L111" i="3" s="1"/>
  <c r="H119" i="3"/>
  <c r="I119" i="3" s="1"/>
  <c r="H110" i="3"/>
  <c r="K110" i="3" s="1"/>
  <c r="L110" i="3" s="1"/>
  <c r="H112" i="3"/>
  <c r="J112" i="3" s="1"/>
  <c r="H121" i="3"/>
  <c r="I121" i="3" s="1"/>
  <c r="A183" i="2"/>
  <c r="D190" i="2" s="1"/>
  <c r="I115" i="1"/>
  <c r="A183" i="4"/>
  <c r="D190" i="4" s="1"/>
  <c r="E178" i="4"/>
  <c r="C183" i="3"/>
  <c r="D192" i="3" s="1"/>
  <c r="E178" i="3"/>
  <c r="D183" i="3"/>
  <c r="D193" i="3" s="1"/>
  <c r="A183" i="3"/>
  <c r="D190" i="3" s="1"/>
  <c r="H114" i="4"/>
  <c r="I114" i="4" s="1"/>
  <c r="H118" i="4"/>
  <c r="I118" i="4" s="1"/>
  <c r="K112" i="1"/>
  <c r="L112" i="1" s="1"/>
  <c r="D183" i="9"/>
  <c r="D193" i="9" s="1"/>
  <c r="H112" i="9"/>
  <c r="I112" i="9" s="1"/>
  <c r="H114" i="9"/>
  <c r="I114" i="9" s="1"/>
  <c r="C183" i="9"/>
  <c r="D192" i="9" s="1"/>
  <c r="A183" i="9"/>
  <c r="D190" i="9" s="1"/>
  <c r="H120" i="9"/>
  <c r="I120" i="9" s="1"/>
  <c r="H116" i="9"/>
  <c r="K116" i="9" s="1"/>
  <c r="L116" i="9" s="1"/>
  <c r="H113" i="9"/>
  <c r="K113" i="9" s="1"/>
  <c r="L113" i="9" s="1"/>
  <c r="B183" i="9"/>
  <c r="D191" i="9" s="1"/>
  <c r="H121" i="9"/>
  <c r="I121" i="9" s="1"/>
  <c r="H111" i="9"/>
  <c r="K111" i="9" s="1"/>
  <c r="L111" i="9" s="1"/>
  <c r="H117" i="9"/>
  <c r="K117" i="9" s="1"/>
  <c r="L117" i="9" s="1"/>
  <c r="E176" i="1"/>
  <c r="E177" i="1" s="1"/>
  <c r="E178" i="1" s="1"/>
  <c r="H118" i="9"/>
  <c r="K118" i="9" s="1"/>
  <c r="L118" i="9" s="1"/>
  <c r="H119" i="9"/>
  <c r="J119" i="9" s="1"/>
  <c r="B67" i="5"/>
  <c r="H111" i="5" s="1"/>
  <c r="I111" i="5" s="1"/>
  <c r="H115" i="9"/>
  <c r="I115" i="9" s="1"/>
  <c r="H110" i="9"/>
  <c r="K110" i="9" s="1"/>
  <c r="L110" i="9" s="1"/>
  <c r="D183" i="7"/>
  <c r="D193" i="7" s="1"/>
  <c r="H118" i="7"/>
  <c r="J118" i="7" s="1"/>
  <c r="Q115" i="1"/>
  <c r="U113" i="1"/>
  <c r="X113" i="1" s="1"/>
  <c r="R112" i="1"/>
  <c r="I112" i="1"/>
  <c r="J112" i="1"/>
  <c r="C183" i="7"/>
  <c r="D192" i="7" s="1"/>
  <c r="A183" i="7"/>
  <c r="D190" i="7" s="1"/>
  <c r="H110" i="7"/>
  <c r="K110" i="7" s="1"/>
  <c r="L110" i="7" s="1"/>
  <c r="B183" i="7"/>
  <c r="D191" i="7" s="1"/>
  <c r="H116" i="7"/>
  <c r="J116" i="7" s="1"/>
  <c r="H111" i="7"/>
  <c r="J111" i="7" s="1"/>
  <c r="H121" i="7"/>
  <c r="K121" i="7" s="1"/>
  <c r="L121" i="7" s="1"/>
  <c r="H114" i="7"/>
  <c r="K114" i="7" s="1"/>
  <c r="L114" i="7" s="1"/>
  <c r="H112" i="7"/>
  <c r="I112" i="7" s="1"/>
  <c r="H115" i="7"/>
  <c r="K115" i="7" s="1"/>
  <c r="L115" i="7" s="1"/>
  <c r="H120" i="7"/>
  <c r="K120" i="7" s="1"/>
  <c r="L120" i="7" s="1"/>
  <c r="H113" i="7"/>
  <c r="K113" i="7" s="1"/>
  <c r="L113" i="7" s="1"/>
  <c r="H119" i="7"/>
  <c r="K119" i="7" s="1"/>
  <c r="L119" i="7" s="1"/>
  <c r="H117" i="7"/>
  <c r="K117" i="7" s="1"/>
  <c r="L117" i="7" s="1"/>
  <c r="H112" i="8"/>
  <c r="I112" i="8" s="1"/>
  <c r="H111" i="8"/>
  <c r="I111" i="8" s="1"/>
  <c r="K111" i="1"/>
  <c r="L111" i="1" s="1"/>
  <c r="H117" i="8"/>
  <c r="K117" i="8" s="1"/>
  <c r="L117" i="8" s="1"/>
  <c r="H116" i="2"/>
  <c r="J116" i="2" s="1"/>
  <c r="H120" i="8"/>
  <c r="I120" i="8" s="1"/>
  <c r="Q111" i="1"/>
  <c r="B183" i="8"/>
  <c r="D191" i="8" s="1"/>
  <c r="B183" i="2"/>
  <c r="D191" i="2" s="1"/>
  <c r="H112" i="2"/>
  <c r="J112" i="2" s="1"/>
  <c r="H111" i="2"/>
  <c r="K111" i="2" s="1"/>
  <c r="L111" i="2" s="1"/>
  <c r="H120" i="2"/>
  <c r="J120" i="2" s="1"/>
  <c r="H121" i="8"/>
  <c r="I121" i="8" s="1"/>
  <c r="H113" i="8"/>
  <c r="J113" i="8" s="1"/>
  <c r="H119" i="8"/>
  <c r="K119" i="8" s="1"/>
  <c r="L119" i="8" s="1"/>
  <c r="H114" i="8"/>
  <c r="J114" i="8" s="1"/>
  <c r="H115" i="8"/>
  <c r="K115" i="8" s="1"/>
  <c r="L115" i="8" s="1"/>
  <c r="C183" i="8"/>
  <c r="D192" i="8" s="1"/>
  <c r="D183" i="6"/>
  <c r="D193" i="6" s="1"/>
  <c r="E178" i="8"/>
  <c r="C183" i="2"/>
  <c r="D192" i="2" s="1"/>
  <c r="H119" i="2"/>
  <c r="K119" i="2" s="1"/>
  <c r="L119" i="2" s="1"/>
  <c r="H117" i="2"/>
  <c r="I117" i="2" s="1"/>
  <c r="H110" i="8"/>
  <c r="I110" i="8" s="1"/>
  <c r="H114" i="2"/>
  <c r="K114" i="2" s="1"/>
  <c r="L114" i="2" s="1"/>
  <c r="R111" i="1"/>
  <c r="D183" i="8"/>
  <c r="D193" i="8" s="1"/>
  <c r="E178" i="2"/>
  <c r="H121" i="2"/>
  <c r="I121" i="2" s="1"/>
  <c r="H115" i="6"/>
  <c r="I115" i="6" s="1"/>
  <c r="H115" i="2"/>
  <c r="J115" i="2" s="1"/>
  <c r="H113" i="2"/>
  <c r="I113" i="2" s="1"/>
  <c r="H116" i="8"/>
  <c r="I116" i="8" s="1"/>
  <c r="H118" i="8"/>
  <c r="J118" i="8" s="1"/>
  <c r="H118" i="2"/>
  <c r="K118" i="2" s="1"/>
  <c r="L118" i="2" s="1"/>
  <c r="J120" i="1"/>
  <c r="I111" i="1"/>
  <c r="J117" i="1"/>
  <c r="T113" i="1"/>
  <c r="W113" i="1" s="1"/>
  <c r="Q117" i="1"/>
  <c r="I117" i="1"/>
  <c r="R117" i="1"/>
  <c r="R120" i="1"/>
  <c r="Q120" i="1"/>
  <c r="H112" i="6"/>
  <c r="K112" i="6" s="1"/>
  <c r="L112" i="6" s="1"/>
  <c r="H119" i="6"/>
  <c r="J119" i="6" s="1"/>
  <c r="H118" i="6"/>
  <c r="I118" i="6" s="1"/>
  <c r="H113" i="4"/>
  <c r="I113" i="4" s="1"/>
  <c r="K118" i="1"/>
  <c r="L118" i="1" s="1"/>
  <c r="I118" i="1"/>
  <c r="R118" i="1"/>
  <c r="J118" i="1"/>
  <c r="Q118" i="1"/>
  <c r="H121" i="6"/>
  <c r="K121" i="6" s="1"/>
  <c r="L121" i="6" s="1"/>
  <c r="H117" i="6"/>
  <c r="K117" i="6" s="1"/>
  <c r="L117" i="6" s="1"/>
  <c r="H111" i="6"/>
  <c r="K111" i="6" s="1"/>
  <c r="L111" i="6" s="1"/>
  <c r="H120" i="4"/>
  <c r="I120" i="4" s="1"/>
  <c r="B183" i="6"/>
  <c r="D191" i="6" s="1"/>
  <c r="C183" i="6"/>
  <c r="D192" i="6" s="1"/>
  <c r="H114" i="6"/>
  <c r="J114" i="6" s="1"/>
  <c r="H116" i="6"/>
  <c r="K116" i="6" s="1"/>
  <c r="L116" i="6" s="1"/>
  <c r="H119" i="4"/>
  <c r="K119" i="4" s="1"/>
  <c r="L119" i="4" s="1"/>
  <c r="H121" i="4"/>
  <c r="I121" i="4" s="1"/>
  <c r="A183" i="6"/>
  <c r="D190" i="6" s="1"/>
  <c r="H110" i="6"/>
  <c r="K110" i="6" s="1"/>
  <c r="L110" i="6" s="1"/>
  <c r="H110" i="4"/>
  <c r="J110" i="4" s="1"/>
  <c r="H117" i="4"/>
  <c r="I117" i="4" s="1"/>
  <c r="H115" i="4"/>
  <c r="J115" i="4" s="1"/>
  <c r="K120" i="1"/>
  <c r="L120" i="1" s="1"/>
  <c r="H120" i="6"/>
  <c r="I120" i="6" s="1"/>
  <c r="H113" i="6"/>
  <c r="I113" i="6" s="1"/>
  <c r="H111" i="4"/>
  <c r="I111" i="4" s="1"/>
  <c r="H112" i="4"/>
  <c r="I112" i="4" s="1"/>
  <c r="H122" i="1"/>
  <c r="B159" i="1" s="1"/>
  <c r="B164" i="1" s="1"/>
  <c r="J116" i="1"/>
  <c r="K116" i="1"/>
  <c r="L116" i="1" s="1"/>
  <c r="B169" i="1"/>
  <c r="C169" i="1" s="1"/>
  <c r="F188" i="1" s="1"/>
  <c r="R116" i="1"/>
  <c r="Q116" i="1"/>
  <c r="R114" i="1"/>
  <c r="Q114" i="1"/>
  <c r="K114" i="1"/>
  <c r="L114" i="1" s="1"/>
  <c r="I114" i="1"/>
  <c r="J114" i="1"/>
  <c r="J121" i="1"/>
  <c r="I121" i="1"/>
  <c r="Q121" i="1"/>
  <c r="K121" i="1"/>
  <c r="L121" i="1" s="1"/>
  <c r="R121" i="1"/>
  <c r="P140" i="7"/>
  <c r="R154" i="8"/>
  <c r="Q154" i="8"/>
  <c r="P154" i="7"/>
  <c r="P154" i="8"/>
  <c r="Q154" i="3"/>
  <c r="P140" i="3"/>
  <c r="Q140" i="7"/>
  <c r="R140" i="7"/>
  <c r="R140" i="8"/>
  <c r="Q154" i="7"/>
  <c r="Q140" i="8"/>
  <c r="P140" i="8"/>
  <c r="R154" i="9"/>
  <c r="R154" i="7"/>
  <c r="R140" i="3"/>
  <c r="Q140" i="3"/>
  <c r="P140" i="9"/>
  <c r="R154" i="3"/>
  <c r="P154" i="9"/>
  <c r="Q154" i="9"/>
  <c r="P140" i="5"/>
  <c r="Q140" i="5"/>
  <c r="R140" i="9"/>
  <c r="R140" i="5"/>
  <c r="P154" i="3"/>
  <c r="P154" i="2"/>
  <c r="Q154" i="6"/>
  <c r="Q154" i="2"/>
  <c r="R154" i="6"/>
  <c r="P154" i="6"/>
  <c r="Q140" i="9"/>
  <c r="P140" i="6"/>
  <c r="P140" i="2"/>
  <c r="P154" i="5"/>
  <c r="Q140" i="6"/>
  <c r="R140" i="2"/>
  <c r="R154" i="5"/>
  <c r="R140" i="6"/>
  <c r="Q140" i="2"/>
  <c r="Q154" i="5"/>
  <c r="R154" i="2"/>
  <c r="R94" i="1"/>
  <c r="R97" i="1" s="1"/>
  <c r="Q94" i="1"/>
  <c r="Q97" i="1" s="1"/>
  <c r="T119" i="1"/>
  <c r="W119" i="1" s="1"/>
  <c r="U119" i="1"/>
  <c r="X119" i="1" s="1"/>
  <c r="R87" i="1"/>
  <c r="R90" i="1" s="1"/>
  <c r="Q87" i="1"/>
  <c r="Q90" i="1" s="1"/>
  <c r="T110" i="1"/>
  <c r="W110" i="1" s="1"/>
  <c r="U110" i="1"/>
  <c r="X110" i="1" s="1"/>
  <c r="Q64" i="1" l="1"/>
  <c r="P64" i="1" s="1"/>
  <c r="N64" i="1"/>
  <c r="AJ37" i="1"/>
  <c r="AJ36" i="1"/>
  <c r="AK36" i="1"/>
  <c r="AK37" i="1"/>
  <c r="Q140" i="4"/>
  <c r="R154" i="4"/>
  <c r="P140" i="4"/>
  <c r="R140" i="4"/>
  <c r="P154" i="4"/>
  <c r="Q154" i="4"/>
  <c r="T112" i="1"/>
  <c r="W112" i="1" s="1"/>
  <c r="K117" i="3"/>
  <c r="L117" i="3" s="1"/>
  <c r="I117" i="3"/>
  <c r="K116" i="4"/>
  <c r="L116" i="4" s="1"/>
  <c r="J116" i="4"/>
  <c r="K114" i="3"/>
  <c r="L114" i="3" s="1"/>
  <c r="I114" i="3"/>
  <c r="I115" i="3"/>
  <c r="J115" i="3"/>
  <c r="J110" i="2"/>
  <c r="I118" i="3"/>
  <c r="K118" i="3"/>
  <c r="L118" i="3" s="1"/>
  <c r="J116" i="3"/>
  <c r="K116" i="3"/>
  <c r="L116" i="3" s="1"/>
  <c r="I110" i="2"/>
  <c r="I120" i="3"/>
  <c r="J120" i="3"/>
  <c r="I111" i="3"/>
  <c r="J111" i="3"/>
  <c r="K113" i="3"/>
  <c r="L113" i="3" s="1"/>
  <c r="I113" i="3"/>
  <c r="J119" i="3"/>
  <c r="K119" i="3"/>
  <c r="L119" i="3" s="1"/>
  <c r="J110" i="3"/>
  <c r="I110" i="3"/>
  <c r="I112" i="3"/>
  <c r="K121" i="3"/>
  <c r="L121" i="3" s="1"/>
  <c r="B169" i="3"/>
  <c r="C169" i="3" s="1"/>
  <c r="F188" i="3" s="1"/>
  <c r="J121" i="3"/>
  <c r="K112" i="3"/>
  <c r="L112" i="3" s="1"/>
  <c r="H122" i="3"/>
  <c r="B159" i="3" s="1"/>
  <c r="B164" i="3" s="1"/>
  <c r="E164" i="3" s="1"/>
  <c r="F185" i="3" s="1"/>
  <c r="J114" i="9"/>
  <c r="J114" i="4"/>
  <c r="I118" i="2"/>
  <c r="K114" i="4"/>
  <c r="L114" i="4" s="1"/>
  <c r="K112" i="9"/>
  <c r="L112" i="9" s="1"/>
  <c r="J111" i="2"/>
  <c r="I110" i="9"/>
  <c r="J112" i="9"/>
  <c r="J110" i="9"/>
  <c r="J121" i="9"/>
  <c r="K121" i="9"/>
  <c r="L121" i="9" s="1"/>
  <c r="I111" i="2"/>
  <c r="J115" i="9"/>
  <c r="I112" i="2"/>
  <c r="J111" i="8"/>
  <c r="K111" i="8"/>
  <c r="L111" i="8" s="1"/>
  <c r="I118" i="8"/>
  <c r="I114" i="7"/>
  <c r="K112" i="2"/>
  <c r="L112" i="2" s="1"/>
  <c r="J114" i="7"/>
  <c r="K118" i="8"/>
  <c r="L118" i="8" s="1"/>
  <c r="K115" i="9"/>
  <c r="L115" i="9" s="1"/>
  <c r="K118" i="4"/>
  <c r="L118" i="4" s="1"/>
  <c r="J118" i="4"/>
  <c r="I111" i="9"/>
  <c r="K114" i="9"/>
  <c r="L114" i="9" s="1"/>
  <c r="J111" i="9"/>
  <c r="K118" i="7"/>
  <c r="L118" i="7" s="1"/>
  <c r="K113" i="4"/>
  <c r="L113" i="4" s="1"/>
  <c r="I115" i="7"/>
  <c r="J115" i="7"/>
  <c r="K113" i="8"/>
  <c r="L113" i="8" s="1"/>
  <c r="I120" i="7"/>
  <c r="I110" i="7"/>
  <c r="I117" i="9"/>
  <c r="J120" i="7"/>
  <c r="J110" i="7"/>
  <c r="J117" i="9"/>
  <c r="I118" i="7"/>
  <c r="J118" i="2"/>
  <c r="I118" i="9"/>
  <c r="K111" i="7"/>
  <c r="L111" i="7" s="1"/>
  <c r="J116" i="9"/>
  <c r="J119" i="2"/>
  <c r="J115" i="6"/>
  <c r="K120" i="8"/>
  <c r="L120" i="8" s="1"/>
  <c r="H116" i="5"/>
  <c r="K116" i="5" s="1"/>
  <c r="L116" i="5" s="1"/>
  <c r="K113" i="2"/>
  <c r="L113" i="2" s="1"/>
  <c r="K114" i="8"/>
  <c r="L114" i="8" s="1"/>
  <c r="J113" i="2"/>
  <c r="J118" i="9"/>
  <c r="J120" i="8"/>
  <c r="J120" i="9"/>
  <c r="J119" i="7"/>
  <c r="K116" i="7"/>
  <c r="L116" i="7" s="1"/>
  <c r="I114" i="8"/>
  <c r="K120" i="9"/>
  <c r="L120" i="9" s="1"/>
  <c r="I113" i="8"/>
  <c r="I119" i="7"/>
  <c r="I119" i="2"/>
  <c r="I111" i="7"/>
  <c r="K119" i="9"/>
  <c r="L119" i="9" s="1"/>
  <c r="K110" i="8"/>
  <c r="L110" i="8" s="1"/>
  <c r="J117" i="7"/>
  <c r="U112" i="1"/>
  <c r="X112" i="1" s="1"/>
  <c r="K120" i="6"/>
  <c r="L120" i="6" s="1"/>
  <c r="I117" i="7"/>
  <c r="J110" i="8"/>
  <c r="I116" i="7"/>
  <c r="K115" i="6"/>
  <c r="L115" i="6" s="1"/>
  <c r="I119" i="9"/>
  <c r="I116" i="9"/>
  <c r="H122" i="9"/>
  <c r="B159" i="9" s="1"/>
  <c r="B164" i="9" s="1"/>
  <c r="E164" i="9" s="1"/>
  <c r="F185" i="9" s="1"/>
  <c r="H115" i="5"/>
  <c r="K115" i="5" s="1"/>
  <c r="L115" i="5" s="1"/>
  <c r="K115" i="2"/>
  <c r="L115" i="2" s="1"/>
  <c r="H110" i="5"/>
  <c r="K110" i="5" s="1"/>
  <c r="L110" i="5" s="1"/>
  <c r="K111" i="5"/>
  <c r="L111" i="5" s="1"/>
  <c r="I113" i="9"/>
  <c r="H112" i="5"/>
  <c r="K112" i="5" s="1"/>
  <c r="L112" i="5" s="1"/>
  <c r="H117" i="5"/>
  <c r="J117" i="5" s="1"/>
  <c r="I119" i="8"/>
  <c r="H120" i="5"/>
  <c r="H113" i="5"/>
  <c r="J112" i="6"/>
  <c r="I112" i="6"/>
  <c r="B169" i="9"/>
  <c r="C169" i="9" s="1"/>
  <c r="F188" i="9" s="1"/>
  <c r="H119" i="5"/>
  <c r="I119" i="5" s="1"/>
  <c r="H114" i="5"/>
  <c r="K114" i="5" s="1"/>
  <c r="L114" i="5" s="1"/>
  <c r="E175" i="5"/>
  <c r="E176" i="5" s="1"/>
  <c r="E177" i="5" s="1"/>
  <c r="C183" i="5" s="1"/>
  <c r="D192" i="5" s="1"/>
  <c r="J111" i="5"/>
  <c r="J113" i="9"/>
  <c r="H118" i="5"/>
  <c r="H121" i="5"/>
  <c r="K113" i="6"/>
  <c r="L113" i="6" s="1"/>
  <c r="J116" i="8"/>
  <c r="I114" i="2"/>
  <c r="K118" i="6"/>
  <c r="L118" i="6" s="1"/>
  <c r="K112" i="7"/>
  <c r="L112" i="7" s="1"/>
  <c r="J115" i="8"/>
  <c r="K121" i="4"/>
  <c r="L121" i="4" s="1"/>
  <c r="J112" i="7"/>
  <c r="J118" i="6"/>
  <c r="J113" i="6"/>
  <c r="J117" i="6"/>
  <c r="J121" i="4"/>
  <c r="I115" i="8"/>
  <c r="I117" i="6"/>
  <c r="T115" i="1"/>
  <c r="W115" i="1" s="1"/>
  <c r="U115" i="1"/>
  <c r="X115" i="1" s="1"/>
  <c r="J114" i="2"/>
  <c r="K116" i="8"/>
  <c r="L116" i="8" s="1"/>
  <c r="J113" i="7"/>
  <c r="I119" i="4"/>
  <c r="I117" i="8"/>
  <c r="I113" i="7"/>
  <c r="J117" i="8"/>
  <c r="T111" i="1"/>
  <c r="W111" i="1" s="1"/>
  <c r="J117" i="2"/>
  <c r="I121" i="7"/>
  <c r="U111" i="1"/>
  <c r="X111" i="1" s="1"/>
  <c r="I115" i="2"/>
  <c r="B169" i="7"/>
  <c r="C169" i="7" s="1"/>
  <c r="F188" i="7" s="1"/>
  <c r="K117" i="2"/>
  <c r="L117" i="2" s="1"/>
  <c r="J119" i="8"/>
  <c r="K112" i="8"/>
  <c r="L112" i="8" s="1"/>
  <c r="J112" i="8"/>
  <c r="H122" i="7"/>
  <c r="B159" i="7" s="1"/>
  <c r="B164" i="7" s="1"/>
  <c r="E164" i="7" s="1"/>
  <c r="F185" i="7" s="1"/>
  <c r="J121" i="7"/>
  <c r="H122" i="8"/>
  <c r="B159" i="8" s="1"/>
  <c r="B164" i="8" s="1"/>
  <c r="E164" i="8" s="1"/>
  <c r="F185" i="8" s="1"/>
  <c r="I116" i="2"/>
  <c r="B169" i="8"/>
  <c r="C169" i="8" s="1"/>
  <c r="F188" i="8" s="1"/>
  <c r="K121" i="8"/>
  <c r="L121" i="8" s="1"/>
  <c r="K116" i="2"/>
  <c r="L116" i="2" s="1"/>
  <c r="K121" i="2"/>
  <c r="L121" i="2" s="1"/>
  <c r="J121" i="2"/>
  <c r="A195" i="2" a="1"/>
  <c r="A195" i="2" s="1"/>
  <c r="J121" i="8"/>
  <c r="A185" i="2" a="1"/>
  <c r="A188" i="2" s="1"/>
  <c r="H122" i="2"/>
  <c r="B159" i="2" s="1"/>
  <c r="B164" i="2" s="1"/>
  <c r="E164" i="2" s="1"/>
  <c r="K120" i="2"/>
  <c r="L120" i="2" s="1"/>
  <c r="K111" i="4"/>
  <c r="L111" i="4" s="1"/>
  <c r="I120" i="2"/>
  <c r="I111" i="6"/>
  <c r="J111" i="6"/>
  <c r="J113" i="4"/>
  <c r="B169" i="2"/>
  <c r="C169" i="2" s="1"/>
  <c r="F188" i="2" s="1"/>
  <c r="I110" i="6"/>
  <c r="K120" i="4"/>
  <c r="L120" i="4" s="1"/>
  <c r="K110" i="4"/>
  <c r="L110" i="4" s="1"/>
  <c r="J112" i="4"/>
  <c r="U120" i="1"/>
  <c r="X120" i="1" s="1"/>
  <c r="T120" i="1"/>
  <c r="W120" i="1" s="1"/>
  <c r="I110" i="4"/>
  <c r="J117" i="4"/>
  <c r="K117" i="4"/>
  <c r="L117" i="4" s="1"/>
  <c r="K119" i="6"/>
  <c r="L119" i="6" s="1"/>
  <c r="J120" i="6"/>
  <c r="U116" i="1"/>
  <c r="X116" i="1" s="1"/>
  <c r="J116" i="6"/>
  <c r="J122" i="1"/>
  <c r="B161" i="1" s="1"/>
  <c r="I121" i="6"/>
  <c r="I116" i="6"/>
  <c r="I119" i="6"/>
  <c r="H122" i="4"/>
  <c r="J121" i="6"/>
  <c r="J119" i="4"/>
  <c r="T117" i="1"/>
  <c r="W117" i="1" s="1"/>
  <c r="U117" i="1"/>
  <c r="X117" i="1" s="1"/>
  <c r="L122" i="1"/>
  <c r="J111" i="4"/>
  <c r="J120" i="4"/>
  <c r="K114" i="6"/>
  <c r="L114" i="6" s="1"/>
  <c r="K112" i="4"/>
  <c r="L112" i="4" s="1"/>
  <c r="B169" i="4"/>
  <c r="C169" i="4" s="1"/>
  <c r="F188" i="4" s="1"/>
  <c r="I114" i="6"/>
  <c r="I115" i="4"/>
  <c r="B169" i="6"/>
  <c r="C169" i="6" s="1"/>
  <c r="F188" i="6" s="1"/>
  <c r="I122" i="1"/>
  <c r="B160" i="1" s="1"/>
  <c r="H122" i="6"/>
  <c r="B159" i="6" s="1"/>
  <c r="B164" i="6" s="1"/>
  <c r="E164" i="6" s="1"/>
  <c r="F185" i="6" s="1"/>
  <c r="J110" i="6"/>
  <c r="K115" i="4"/>
  <c r="L115" i="4" s="1"/>
  <c r="T116" i="1"/>
  <c r="W116" i="1" s="1"/>
  <c r="U118" i="1"/>
  <c r="X118" i="1" s="1"/>
  <c r="T118" i="1"/>
  <c r="W118" i="1" s="1"/>
  <c r="T114" i="1"/>
  <c r="W114" i="1" s="1"/>
  <c r="U114" i="1"/>
  <c r="X114" i="1" s="1"/>
  <c r="T121" i="1"/>
  <c r="W121" i="1" s="1"/>
  <c r="U121" i="1"/>
  <c r="X121" i="1" s="1"/>
  <c r="P142" i="7"/>
  <c r="P157" i="3"/>
  <c r="P143" i="7"/>
  <c r="P157" i="8"/>
  <c r="P157" i="7"/>
  <c r="P156" i="9"/>
  <c r="P156" i="8"/>
  <c r="P156" i="7"/>
  <c r="P143" i="3"/>
  <c r="P142" i="3"/>
  <c r="P143" i="8"/>
  <c r="P143" i="9"/>
  <c r="P142" i="9"/>
  <c r="P142" i="8"/>
  <c r="P156" i="3"/>
  <c r="P157" i="9"/>
  <c r="P142" i="2"/>
  <c r="P143" i="5"/>
  <c r="P156" i="5"/>
  <c r="P156" i="6"/>
  <c r="P157" i="6"/>
  <c r="P143" i="2"/>
  <c r="P142" i="5"/>
  <c r="P142" i="6"/>
  <c r="P157" i="2"/>
  <c r="P156" i="2"/>
  <c r="P143" i="6"/>
  <c r="P157" i="5"/>
  <c r="E164" i="1"/>
  <c r="P142" i="4" l="1"/>
  <c r="P143" i="4"/>
  <c r="P156" i="4"/>
  <c r="B159" i="4"/>
  <c r="B164" i="4" s="1"/>
  <c r="E164" i="4" s="1"/>
  <c r="A182" i="1" s="1"/>
  <c r="B212" i="1" s="1"/>
  <c r="P157" i="4"/>
  <c r="J122" i="3"/>
  <c r="B161" i="3" s="1"/>
  <c r="I122" i="3"/>
  <c r="B160" i="3" s="1"/>
  <c r="L122" i="3"/>
  <c r="J110" i="5"/>
  <c r="I114" i="5"/>
  <c r="I115" i="5"/>
  <c r="L122" i="9"/>
  <c r="I116" i="5"/>
  <c r="K119" i="5"/>
  <c r="L119" i="5" s="1"/>
  <c r="B183" i="5"/>
  <c r="D191" i="5" s="1"/>
  <c r="A183" i="5"/>
  <c r="D190" i="5" s="1"/>
  <c r="J122" i="2"/>
  <c r="B161" i="2" s="1"/>
  <c r="J119" i="5"/>
  <c r="J115" i="5"/>
  <c r="E178" i="5"/>
  <c r="J116" i="5"/>
  <c r="K117" i="5"/>
  <c r="L117" i="5" s="1"/>
  <c r="J122" i="9"/>
  <c r="B161" i="9" s="1"/>
  <c r="I122" i="7"/>
  <c r="B160" i="7" s="1"/>
  <c r="I117" i="5"/>
  <c r="D183" i="5"/>
  <c r="D193" i="5" s="1"/>
  <c r="I110" i="5"/>
  <c r="C188" i="2"/>
  <c r="B187" i="2"/>
  <c r="J114" i="5"/>
  <c r="L122" i="6"/>
  <c r="J122" i="7"/>
  <c r="B161" i="7" s="1"/>
  <c r="L122" i="7"/>
  <c r="I122" i="8"/>
  <c r="B160" i="8" s="1"/>
  <c r="I122" i="9"/>
  <c r="B160" i="9" s="1"/>
  <c r="H122" i="5"/>
  <c r="B159" i="5" s="1"/>
  <c r="B164" i="5" s="1"/>
  <c r="E164" i="5" s="1"/>
  <c r="A183" i="1" s="1"/>
  <c r="J118" i="5"/>
  <c r="K118" i="5"/>
  <c r="L118" i="5" s="1"/>
  <c r="I118" i="5"/>
  <c r="J121" i="5"/>
  <c r="I121" i="5"/>
  <c r="K121" i="5"/>
  <c r="L121" i="5" s="1"/>
  <c r="I113" i="5"/>
  <c r="J113" i="5"/>
  <c r="K113" i="5"/>
  <c r="L113" i="5" s="1"/>
  <c r="J120" i="5"/>
  <c r="I120" i="5"/>
  <c r="K120" i="5"/>
  <c r="L120" i="5" s="1"/>
  <c r="B169" i="5"/>
  <c r="C169" i="5" s="1"/>
  <c r="F188" i="5" s="1"/>
  <c r="J112" i="5"/>
  <c r="I112" i="5"/>
  <c r="J122" i="8"/>
  <c r="B161" i="8" s="1"/>
  <c r="D181" i="1"/>
  <c r="B193" i="1" s="1"/>
  <c r="B185" i="2"/>
  <c r="D186" i="2"/>
  <c r="D188" i="2"/>
  <c r="C198" i="2"/>
  <c r="A198" i="2"/>
  <c r="B198" i="2"/>
  <c r="B197" i="2"/>
  <c r="C197" i="2"/>
  <c r="B195" i="2"/>
  <c r="D195" i="2"/>
  <c r="D196" i="2"/>
  <c r="A197" i="2"/>
  <c r="B196" i="2"/>
  <c r="C195" i="2"/>
  <c r="D197" i="2"/>
  <c r="D198" i="2"/>
  <c r="C196" i="2"/>
  <c r="A196" i="2"/>
  <c r="B188" i="2"/>
  <c r="C187" i="2"/>
  <c r="A186" i="2"/>
  <c r="A187" i="2"/>
  <c r="D185" i="2"/>
  <c r="C185" i="2"/>
  <c r="B186" i="2"/>
  <c r="L122" i="8"/>
  <c r="H195" i="2" a="1"/>
  <c r="H195" i="2" s="1"/>
  <c r="J195" i="2" s="1"/>
  <c r="L197" i="2" s="1"/>
  <c r="I122" i="2"/>
  <c r="B160" i="2" s="1"/>
  <c r="L122" i="2"/>
  <c r="C186" i="2"/>
  <c r="A185" i="2"/>
  <c r="H185" i="2" s="1" a="1"/>
  <c r="H187" i="2" s="1"/>
  <c r="J187" i="2" s="1"/>
  <c r="L186" i="2" s="1"/>
  <c r="D187" i="2"/>
  <c r="I122" i="4"/>
  <c r="B160" i="4" s="1"/>
  <c r="J122" i="6"/>
  <c r="B161" i="6" s="1"/>
  <c r="L122" i="4"/>
  <c r="D182" i="1"/>
  <c r="C193" i="1" s="1"/>
  <c r="B166" i="1"/>
  <c r="E166" i="1" s="1"/>
  <c r="I57" i="1" s="1"/>
  <c r="J122" i="4"/>
  <c r="B161" i="4" s="1"/>
  <c r="I122" i="6"/>
  <c r="B160" i="6" s="1"/>
  <c r="D180" i="1"/>
  <c r="A193" i="1" s="1"/>
  <c r="A181" i="1"/>
  <c r="A212" i="1" s="1"/>
  <c r="A180" i="1"/>
  <c r="A190" i="1" s="1"/>
  <c r="A201" i="1" s="1"/>
  <c r="A180" i="3"/>
  <c r="A190" i="3" s="1"/>
  <c r="A201" i="3" s="1"/>
  <c r="A205" i="3" s="1" a="1"/>
  <c r="A180" i="8"/>
  <c r="A190" i="8" s="1"/>
  <c r="A201" i="8" s="1"/>
  <c r="A205" i="8" s="1" a="1"/>
  <c r="A180" i="9"/>
  <c r="A190" i="9" s="1"/>
  <c r="A201" i="9" s="1"/>
  <c r="A205" i="9" s="1" a="1"/>
  <c r="A180" i="7"/>
  <c r="A185" i="7" s="1" a="1"/>
  <c r="D185" i="7" s="1"/>
  <c r="A180" i="5"/>
  <c r="A190" i="5" s="1"/>
  <c r="A201" i="5" s="1"/>
  <c r="A205" i="5" s="1" a="1"/>
  <c r="F185" i="2"/>
  <c r="A180" i="4"/>
  <c r="A190" i="4" s="1"/>
  <c r="A201" i="4" s="1"/>
  <c r="A205" i="4" s="1" a="1"/>
  <c r="A180" i="6"/>
  <c r="A185" i="6" s="1" a="1"/>
  <c r="D185" i="6" s="1"/>
  <c r="F185" i="1"/>
  <c r="I55" i="1"/>
  <c r="B165" i="1"/>
  <c r="E165" i="1" s="1"/>
  <c r="I56" i="1" s="1"/>
  <c r="B165" i="2" l="1"/>
  <c r="E165" i="2" s="1"/>
  <c r="F186" i="2" s="1"/>
  <c r="H205" i="2" s="1" a="1"/>
  <c r="H207" i="2" s="1"/>
  <c r="J207" i="2" s="1"/>
  <c r="L206" i="2" s="1"/>
  <c r="F185" i="4"/>
  <c r="B166" i="3"/>
  <c r="E166" i="3" s="1"/>
  <c r="F187" i="3" s="1"/>
  <c r="B165" i="3"/>
  <c r="E165" i="3" s="1"/>
  <c r="F186" i="3" s="1"/>
  <c r="B166" i="7"/>
  <c r="E166" i="7" s="1"/>
  <c r="F187" i="7" s="1"/>
  <c r="B165" i="7"/>
  <c r="E165" i="7" s="1"/>
  <c r="F186" i="7" s="1"/>
  <c r="B166" i="9"/>
  <c r="E166" i="9" s="1"/>
  <c r="F187" i="9" s="1"/>
  <c r="B165" i="9"/>
  <c r="E165" i="9" s="1"/>
  <c r="F186" i="9" s="1"/>
  <c r="F185" i="5"/>
  <c r="H186" i="2"/>
  <c r="J186" i="2" s="1"/>
  <c r="L185" i="2" s="1"/>
  <c r="B166" i="8"/>
  <c r="E166" i="8" s="1"/>
  <c r="F187" i="8" s="1"/>
  <c r="B165" i="8"/>
  <c r="E165" i="8" s="1"/>
  <c r="F186" i="8" s="1"/>
  <c r="I122" i="5"/>
  <c r="B160" i="5" s="1"/>
  <c r="L122" i="5"/>
  <c r="H185" i="2"/>
  <c r="J185" i="2" s="1"/>
  <c r="L187" i="2" s="1"/>
  <c r="H188" i="2"/>
  <c r="J188" i="2" s="1"/>
  <c r="L188" i="2" s="1"/>
  <c r="J122" i="5"/>
  <c r="B161" i="5" s="1"/>
  <c r="D183" i="1"/>
  <c r="D193" i="1" s="1"/>
  <c r="H196" i="2"/>
  <c r="J196" i="2" s="1"/>
  <c r="L195" i="2" s="1"/>
  <c r="H198" i="2"/>
  <c r="J198" i="2" s="1"/>
  <c r="L198" i="2" s="1"/>
  <c r="B166" i="2"/>
  <c r="E166" i="2" s="1"/>
  <c r="F187" i="2" s="1"/>
  <c r="H197" i="2"/>
  <c r="J197" i="2" s="1"/>
  <c r="L196" i="2" s="1"/>
  <c r="B190" i="1"/>
  <c r="B201" i="1" s="1"/>
  <c r="F187" i="1"/>
  <c r="B166" i="6"/>
  <c r="E166" i="6" s="1"/>
  <c r="F187" i="6" s="1"/>
  <c r="B166" i="4"/>
  <c r="E166" i="4" s="1"/>
  <c r="F187" i="4" s="1"/>
  <c r="B165" i="4"/>
  <c r="E165" i="4" s="1"/>
  <c r="B165" i="6"/>
  <c r="E165" i="6" s="1"/>
  <c r="F186" i="6" s="1"/>
  <c r="C190" i="1"/>
  <c r="C201" i="1" s="1"/>
  <c r="A195" i="3" a="1"/>
  <c r="C195" i="3" s="1"/>
  <c r="A185" i="3" a="1"/>
  <c r="C187" i="3" s="1"/>
  <c r="A185" i="5" a="1"/>
  <c r="D187" i="5" s="1"/>
  <c r="A195" i="5" a="1"/>
  <c r="A198" i="5" s="1"/>
  <c r="A188" i="7"/>
  <c r="D187" i="7"/>
  <c r="B185" i="7"/>
  <c r="C186" i="7"/>
  <c r="C185" i="7"/>
  <c r="A195" i="8" a="1"/>
  <c r="C196" i="8" s="1"/>
  <c r="C188" i="7"/>
  <c r="B188" i="7"/>
  <c r="A195" i="9" a="1"/>
  <c r="B195" i="9" s="1"/>
  <c r="A187" i="7"/>
  <c r="C187" i="7"/>
  <c r="A185" i="8" a="1"/>
  <c r="A185" i="4" a="1"/>
  <c r="D185" i="4" s="1"/>
  <c r="D188" i="7"/>
  <c r="C185" i="6"/>
  <c r="C188" i="6"/>
  <c r="B186" i="6"/>
  <c r="A186" i="7"/>
  <c r="A185" i="7"/>
  <c r="H185" i="7" s="1" a="1"/>
  <c r="H186" i="7" s="1"/>
  <c r="J186" i="7" s="1"/>
  <c r="L185" i="7" s="1"/>
  <c r="B188" i="6"/>
  <c r="D187" i="6"/>
  <c r="A190" i="6"/>
  <c r="A201" i="6" s="1"/>
  <c r="A205" i="6" s="1" a="1"/>
  <c r="B206" i="6" s="1"/>
  <c r="A187" i="6"/>
  <c r="C187" i="6"/>
  <c r="D188" i="6"/>
  <c r="A185" i="6"/>
  <c r="H185" i="6" s="1" a="1"/>
  <c r="H185" i="6" s="1"/>
  <c r="J185" i="6" s="1"/>
  <c r="L187" i="6" s="1"/>
  <c r="B186" i="7"/>
  <c r="D186" i="7"/>
  <c r="B185" i="6"/>
  <c r="A188" i="6"/>
  <c r="A195" i="4" a="1"/>
  <c r="A195" i="4" s="1"/>
  <c r="H195" i="4" s="1" a="1"/>
  <c r="A190" i="7"/>
  <c r="A186" i="6"/>
  <c r="B187" i="7"/>
  <c r="D186" i="6"/>
  <c r="C186" i="6"/>
  <c r="A185" i="9" a="1"/>
  <c r="A188" i="9" s="1"/>
  <c r="B187" i="6"/>
  <c r="L57" i="1"/>
  <c r="M59" i="1" s="1"/>
  <c r="C212" i="1"/>
  <c r="D190" i="1"/>
  <c r="C205" i="4"/>
  <c r="B206" i="4"/>
  <c r="B205" i="4"/>
  <c r="C207" i="4"/>
  <c r="A205" i="4"/>
  <c r="B207" i="4"/>
  <c r="A207" i="4"/>
  <c r="A206" i="4"/>
  <c r="C206" i="4"/>
  <c r="A207" i="8"/>
  <c r="B207" i="8"/>
  <c r="C206" i="8"/>
  <c r="B206" i="8"/>
  <c r="C205" i="8"/>
  <c r="A206" i="8"/>
  <c r="B205" i="8"/>
  <c r="C207" i="8"/>
  <c r="A205" i="8"/>
  <c r="H205" i="8" s="1" a="1"/>
  <c r="A207" i="5"/>
  <c r="C205" i="5"/>
  <c r="A206" i="5"/>
  <c r="A205" i="5"/>
  <c r="B206" i="5"/>
  <c r="C207" i="5"/>
  <c r="B205" i="5"/>
  <c r="B207" i="5"/>
  <c r="C206" i="5"/>
  <c r="F186" i="1"/>
  <c r="C205" i="9"/>
  <c r="C206" i="9"/>
  <c r="A207" i="9"/>
  <c r="B206" i="9"/>
  <c r="B205" i="9"/>
  <c r="C207" i="9"/>
  <c r="A206" i="9"/>
  <c r="A205" i="9"/>
  <c r="H205" i="9" s="1" a="1"/>
  <c r="B207" i="9"/>
  <c r="B206" i="3"/>
  <c r="A207" i="3"/>
  <c r="C205" i="3"/>
  <c r="A206" i="3"/>
  <c r="B205" i="3"/>
  <c r="C207" i="3"/>
  <c r="C206" i="3"/>
  <c r="A205" i="3"/>
  <c r="H205" i="3" s="1" a="1"/>
  <c r="B207" i="3"/>
  <c r="M57" i="1" l="1"/>
  <c r="Q30" i="1" s="1"/>
  <c r="H205" i="2"/>
  <c r="J205" i="2" s="1"/>
  <c r="L207" i="2" s="1"/>
  <c r="H206" i="2"/>
  <c r="J206" i="2" s="1"/>
  <c r="L205" i="2" s="1"/>
  <c r="H205" i="4" a="1"/>
  <c r="H206" i="4" s="1"/>
  <c r="J206" i="4" s="1"/>
  <c r="L205" i="4" s="1"/>
  <c r="C181" i="1"/>
  <c r="A214" i="1" s="1"/>
  <c r="B181" i="1"/>
  <c r="A213" i="1" s="1"/>
  <c r="H205" i="5" a="1"/>
  <c r="H205" i="5" s="1"/>
  <c r="J205" i="5" s="1"/>
  <c r="L207" i="5" s="1"/>
  <c r="B166" i="5"/>
  <c r="E166" i="5" s="1"/>
  <c r="F187" i="5" s="1"/>
  <c r="B182" i="1"/>
  <c r="B213" i="1" s="1"/>
  <c r="B165" i="5"/>
  <c r="E165" i="5" s="1"/>
  <c r="B183" i="1" s="1"/>
  <c r="C213" i="1" s="1"/>
  <c r="C182" i="1"/>
  <c r="B214" i="1" s="1"/>
  <c r="C180" i="1"/>
  <c r="A192" i="1" s="1"/>
  <c r="A203" i="1" s="1"/>
  <c r="F186" i="4"/>
  <c r="B180" i="1"/>
  <c r="A191" i="1" s="1"/>
  <c r="A202" i="1" s="1"/>
  <c r="A198" i="3"/>
  <c r="C198" i="3"/>
  <c r="D196" i="3"/>
  <c r="C197" i="3"/>
  <c r="D195" i="3"/>
  <c r="A197" i="3"/>
  <c r="A195" i="3"/>
  <c r="H195" i="3" s="1" a="1"/>
  <c r="H195" i="3" s="1"/>
  <c r="J195" i="3" s="1"/>
  <c r="L197" i="3" s="1"/>
  <c r="B197" i="3"/>
  <c r="B196" i="3"/>
  <c r="D197" i="3"/>
  <c r="A196" i="3"/>
  <c r="B195" i="3"/>
  <c r="B198" i="3"/>
  <c r="D198" i="3"/>
  <c r="C196" i="3"/>
  <c r="B185" i="3"/>
  <c r="B186" i="3"/>
  <c r="C185" i="3"/>
  <c r="C188" i="3"/>
  <c r="D187" i="3"/>
  <c r="D188" i="3"/>
  <c r="B187" i="3"/>
  <c r="D185" i="3"/>
  <c r="A188" i="3"/>
  <c r="B188" i="3"/>
  <c r="D186" i="3"/>
  <c r="A186" i="3"/>
  <c r="A187" i="3"/>
  <c r="A185" i="3"/>
  <c r="H185" i="3" s="1" a="1"/>
  <c r="H186" i="3" s="1"/>
  <c r="J186" i="3" s="1"/>
  <c r="L185" i="3" s="1"/>
  <c r="B198" i="5"/>
  <c r="B197" i="5"/>
  <c r="C186" i="3"/>
  <c r="B196" i="5"/>
  <c r="D198" i="5"/>
  <c r="C198" i="5"/>
  <c r="D197" i="5"/>
  <c r="C196" i="5"/>
  <c r="D196" i="5"/>
  <c r="C195" i="5"/>
  <c r="A195" i="5"/>
  <c r="H195" i="5" s="1" a="1"/>
  <c r="H196" i="5" s="1"/>
  <c r="J196" i="5" s="1"/>
  <c r="L195" i="5" s="1"/>
  <c r="A196" i="5"/>
  <c r="B195" i="5"/>
  <c r="B187" i="5"/>
  <c r="D188" i="5"/>
  <c r="A185" i="5"/>
  <c r="H185" i="5" s="1" a="1"/>
  <c r="H188" i="5" s="1"/>
  <c r="J188" i="5" s="1"/>
  <c r="L188" i="5" s="1"/>
  <c r="C197" i="9"/>
  <c r="A197" i="5"/>
  <c r="C197" i="5"/>
  <c r="A195" i="9"/>
  <c r="H195" i="9" s="1" a="1"/>
  <c r="H197" i="9" s="1"/>
  <c r="J197" i="9" s="1"/>
  <c r="L196" i="9" s="1"/>
  <c r="D197" i="9"/>
  <c r="A198" i="9"/>
  <c r="D195" i="5"/>
  <c r="C187" i="5"/>
  <c r="B188" i="5"/>
  <c r="A186" i="5"/>
  <c r="B197" i="8"/>
  <c r="C188" i="5"/>
  <c r="C186" i="5"/>
  <c r="A188" i="5"/>
  <c r="A197" i="8"/>
  <c r="B196" i="8"/>
  <c r="C185" i="5"/>
  <c r="D195" i="9"/>
  <c r="A187" i="5"/>
  <c r="D185" i="5"/>
  <c r="D198" i="9"/>
  <c r="B186" i="5"/>
  <c r="D186" i="5"/>
  <c r="C195" i="9"/>
  <c r="C196" i="9"/>
  <c r="D195" i="8"/>
  <c r="A196" i="9"/>
  <c r="B185" i="5"/>
  <c r="B195" i="4"/>
  <c r="C196" i="4"/>
  <c r="B198" i="9"/>
  <c r="C195" i="4"/>
  <c r="A198" i="4"/>
  <c r="D197" i="8"/>
  <c r="B196" i="4"/>
  <c r="D198" i="8"/>
  <c r="B186" i="4"/>
  <c r="A188" i="4"/>
  <c r="D187" i="4"/>
  <c r="D186" i="4"/>
  <c r="B185" i="4"/>
  <c r="B188" i="4"/>
  <c r="D196" i="9"/>
  <c r="B197" i="9"/>
  <c r="B195" i="8"/>
  <c r="H188" i="6"/>
  <c r="J188" i="6" s="1"/>
  <c r="L188" i="6" s="1"/>
  <c r="D196" i="8"/>
  <c r="C197" i="8"/>
  <c r="C187" i="4"/>
  <c r="H186" i="6"/>
  <c r="J186" i="6" s="1"/>
  <c r="L185" i="6" s="1"/>
  <c r="B196" i="9"/>
  <c r="H187" i="6"/>
  <c r="J187" i="6" s="1"/>
  <c r="L186" i="6" s="1"/>
  <c r="A197" i="9"/>
  <c r="C198" i="9"/>
  <c r="C198" i="4"/>
  <c r="A195" i="8"/>
  <c r="H195" i="8" s="1" a="1"/>
  <c r="H195" i="8" s="1"/>
  <c r="J195" i="8" s="1"/>
  <c r="L197" i="8" s="1"/>
  <c r="C198" i="8"/>
  <c r="D188" i="4"/>
  <c r="C185" i="4"/>
  <c r="D197" i="4"/>
  <c r="A196" i="8"/>
  <c r="C195" i="8"/>
  <c r="B187" i="4"/>
  <c r="B198" i="8"/>
  <c r="A186" i="4"/>
  <c r="A197" i="4"/>
  <c r="A198" i="8"/>
  <c r="H188" i="7"/>
  <c r="J188" i="7" s="1"/>
  <c r="L188" i="7" s="1"/>
  <c r="H187" i="7"/>
  <c r="J187" i="7" s="1"/>
  <c r="L186" i="7" s="1"/>
  <c r="D196" i="4"/>
  <c r="B198" i="4"/>
  <c r="A187" i="4"/>
  <c r="A185" i="4"/>
  <c r="H185" i="4" s="1" a="1"/>
  <c r="H186" i="4" s="1"/>
  <c r="J186" i="4" s="1"/>
  <c r="L185" i="4" s="1"/>
  <c r="C197" i="4"/>
  <c r="B197" i="4"/>
  <c r="C188" i="4"/>
  <c r="D198" i="4"/>
  <c r="H185" i="7"/>
  <c r="J185" i="7" s="1"/>
  <c r="L187" i="7" s="1"/>
  <c r="A196" i="4"/>
  <c r="C186" i="4"/>
  <c r="D195" i="4"/>
  <c r="A188" i="8"/>
  <c r="C187" i="8"/>
  <c r="A185" i="8"/>
  <c r="H185" i="8" s="1" a="1"/>
  <c r="C188" i="8"/>
  <c r="A186" i="8"/>
  <c r="B188" i="8"/>
  <c r="D187" i="8"/>
  <c r="C185" i="8"/>
  <c r="B187" i="8"/>
  <c r="D188" i="8"/>
  <c r="C186" i="8"/>
  <c r="D185" i="8"/>
  <c r="B185" i="8"/>
  <c r="B186" i="8"/>
  <c r="D186" i="8"/>
  <c r="A187" i="8"/>
  <c r="B187" i="9"/>
  <c r="A186" i="9"/>
  <c r="D186" i="9"/>
  <c r="B207" i="6"/>
  <c r="A207" i="6"/>
  <c r="A185" i="9"/>
  <c r="H185" i="9" s="1" a="1"/>
  <c r="H187" i="9" s="1"/>
  <c r="J187" i="9" s="1"/>
  <c r="L186" i="9" s="1"/>
  <c r="D185" i="9"/>
  <c r="C206" i="6"/>
  <c r="A205" i="6"/>
  <c r="H205" i="6" s="1" a="1"/>
  <c r="H206" i="6" s="1"/>
  <c r="J206" i="6" s="1"/>
  <c r="L205" i="6" s="1"/>
  <c r="C187" i="9"/>
  <c r="C186" i="9"/>
  <c r="D187" i="9"/>
  <c r="B188" i="9"/>
  <c r="C207" i="6"/>
  <c r="A195" i="6" a="1"/>
  <c r="D198" i="6" s="1"/>
  <c r="D188" i="9"/>
  <c r="C185" i="9"/>
  <c r="B205" i="6"/>
  <c r="A206" i="6"/>
  <c r="B185" i="9"/>
  <c r="B186" i="9"/>
  <c r="A201" i="7"/>
  <c r="A205" i="7" s="1" a="1"/>
  <c r="A195" i="7" a="1"/>
  <c r="C205" i="6"/>
  <c r="C188" i="9"/>
  <c r="A187" i="9"/>
  <c r="H205" i="3"/>
  <c r="J205" i="3" s="1"/>
  <c r="L207" i="3" s="1"/>
  <c r="H207" i="3"/>
  <c r="J207" i="3" s="1"/>
  <c r="L206" i="3" s="1"/>
  <c r="H206" i="3"/>
  <c r="J206" i="3" s="1"/>
  <c r="L205" i="3" s="1"/>
  <c r="H205" i="9"/>
  <c r="J205" i="9" s="1"/>
  <c r="L207" i="9" s="1"/>
  <c r="H207" i="9"/>
  <c r="J207" i="9" s="1"/>
  <c r="L206" i="9" s="1"/>
  <c r="H206" i="9"/>
  <c r="J206" i="9" s="1"/>
  <c r="L205" i="9" s="1"/>
  <c r="H205" i="8"/>
  <c r="J205" i="8" s="1"/>
  <c r="L207" i="8" s="1"/>
  <c r="H207" i="8"/>
  <c r="J207" i="8" s="1"/>
  <c r="L206" i="8" s="1"/>
  <c r="H206" i="8"/>
  <c r="J206" i="8" s="1"/>
  <c r="L205" i="8" s="1"/>
  <c r="H195" i="4"/>
  <c r="J195" i="4" s="1"/>
  <c r="L197" i="4" s="1"/>
  <c r="H198" i="4"/>
  <c r="J198" i="4" s="1"/>
  <c r="L198" i="4" s="1"/>
  <c r="H196" i="4"/>
  <c r="J196" i="4" s="1"/>
  <c r="L195" i="4" s="1"/>
  <c r="H197" i="4"/>
  <c r="J197" i="4" s="1"/>
  <c r="L196" i="4" s="1"/>
  <c r="H205" i="4" l="1"/>
  <c r="J205" i="4" s="1"/>
  <c r="L207" i="4" s="1"/>
  <c r="H207" i="4"/>
  <c r="J207" i="4" s="1"/>
  <c r="L206" i="4" s="1"/>
  <c r="B192" i="1"/>
  <c r="B203" i="1" s="1"/>
  <c r="H207" i="5"/>
  <c r="J207" i="5" s="1"/>
  <c r="L206" i="5" s="1"/>
  <c r="H206" i="5"/>
  <c r="J206" i="5" s="1"/>
  <c r="L205" i="5" s="1"/>
  <c r="B191" i="1"/>
  <c r="B202" i="1" s="1"/>
  <c r="F186" i="5"/>
  <c r="C183" i="1"/>
  <c r="C214" i="1" s="1"/>
  <c r="A216" i="1" s="1" a="1"/>
  <c r="A216" i="1" s="1"/>
  <c r="C192" i="1"/>
  <c r="C203" i="1" s="1"/>
  <c r="D191" i="1"/>
  <c r="C191" i="1"/>
  <c r="C202" i="1" s="1"/>
  <c r="H197" i="3"/>
  <c r="J197" i="3" s="1"/>
  <c r="L196" i="3" s="1"/>
  <c r="H196" i="3"/>
  <c r="J196" i="3" s="1"/>
  <c r="L195" i="3" s="1"/>
  <c r="H198" i="3"/>
  <c r="J198" i="3" s="1"/>
  <c r="L198" i="3" s="1"/>
  <c r="H187" i="3"/>
  <c r="J187" i="3" s="1"/>
  <c r="L186" i="3" s="1"/>
  <c r="H188" i="3"/>
  <c r="J188" i="3" s="1"/>
  <c r="L188" i="3" s="1"/>
  <c r="H185" i="3"/>
  <c r="J185" i="3" s="1"/>
  <c r="L187" i="3" s="1"/>
  <c r="H198" i="9"/>
  <c r="J198" i="9" s="1"/>
  <c r="L198" i="9" s="1"/>
  <c r="H196" i="9"/>
  <c r="J196" i="9" s="1"/>
  <c r="L195" i="9" s="1"/>
  <c r="H195" i="9"/>
  <c r="J195" i="9" s="1"/>
  <c r="L197" i="9" s="1"/>
  <c r="H185" i="5"/>
  <c r="J185" i="5" s="1"/>
  <c r="L187" i="5" s="1"/>
  <c r="H186" i="5"/>
  <c r="J186" i="5" s="1"/>
  <c r="L185" i="5" s="1"/>
  <c r="H187" i="5"/>
  <c r="J187" i="5" s="1"/>
  <c r="L186" i="5" s="1"/>
  <c r="H198" i="5"/>
  <c r="J198" i="5" s="1"/>
  <c r="L198" i="5" s="1"/>
  <c r="H195" i="5"/>
  <c r="J195" i="5" s="1"/>
  <c r="L197" i="5" s="1"/>
  <c r="H197" i="5"/>
  <c r="J197" i="5" s="1"/>
  <c r="L196" i="5" s="1"/>
  <c r="H196" i="8"/>
  <c r="J196" i="8" s="1"/>
  <c r="L195" i="8" s="1"/>
  <c r="H198" i="8"/>
  <c r="J198" i="8" s="1"/>
  <c r="L198" i="8" s="1"/>
  <c r="H197" i="8"/>
  <c r="J197" i="8" s="1"/>
  <c r="L196" i="8" s="1"/>
  <c r="H207" i="6"/>
  <c r="J207" i="6" s="1"/>
  <c r="L206" i="6" s="1"/>
  <c r="H205" i="6"/>
  <c r="J205" i="6" s="1"/>
  <c r="L207" i="6" s="1"/>
  <c r="H185" i="4"/>
  <c r="J185" i="4" s="1"/>
  <c r="L187" i="4" s="1"/>
  <c r="H187" i="4"/>
  <c r="J187" i="4" s="1"/>
  <c r="L186" i="4" s="1"/>
  <c r="H188" i="4"/>
  <c r="J188" i="4" s="1"/>
  <c r="L188" i="4" s="1"/>
  <c r="H188" i="8"/>
  <c r="J188" i="8" s="1"/>
  <c r="L188" i="8" s="1"/>
  <c r="H187" i="8"/>
  <c r="J187" i="8" s="1"/>
  <c r="L186" i="8" s="1"/>
  <c r="H186" i="8"/>
  <c r="J186" i="8" s="1"/>
  <c r="L185" i="8" s="1"/>
  <c r="H185" i="8"/>
  <c r="J185" i="8" s="1"/>
  <c r="L187" i="8" s="1"/>
  <c r="C196" i="6"/>
  <c r="B198" i="6"/>
  <c r="H185" i="9"/>
  <c r="J185" i="9" s="1"/>
  <c r="L187" i="9" s="1"/>
  <c r="B197" i="6"/>
  <c r="D196" i="6"/>
  <c r="A197" i="6"/>
  <c r="C197" i="6"/>
  <c r="C195" i="6"/>
  <c r="A198" i="6"/>
  <c r="D197" i="6"/>
  <c r="C195" i="7"/>
  <c r="A197" i="7"/>
  <c r="C197" i="7"/>
  <c r="C196" i="7"/>
  <c r="A198" i="7"/>
  <c r="D195" i="7"/>
  <c r="A195" i="7"/>
  <c r="H195" i="7" s="1" a="1"/>
  <c r="B197" i="7"/>
  <c r="A196" i="7"/>
  <c r="B198" i="7"/>
  <c r="D198" i="7"/>
  <c r="B195" i="7"/>
  <c r="D197" i="7"/>
  <c r="C198" i="7"/>
  <c r="B196" i="7"/>
  <c r="D196" i="7"/>
  <c r="B205" i="7"/>
  <c r="B206" i="7"/>
  <c r="B207" i="7"/>
  <c r="A205" i="7"/>
  <c r="H205" i="7" s="1" a="1"/>
  <c r="A207" i="7"/>
  <c r="A206" i="7"/>
  <c r="C206" i="7"/>
  <c r="C207" i="7"/>
  <c r="C205" i="7"/>
  <c r="B195" i="6"/>
  <c r="A195" i="6"/>
  <c r="H195" i="6" s="1" a="1"/>
  <c r="H195" i="6" s="1"/>
  <c r="J195" i="6" s="1"/>
  <c r="L197" i="6" s="1"/>
  <c r="B196" i="6"/>
  <c r="C198" i="6"/>
  <c r="H186" i="9"/>
  <c r="J186" i="9" s="1"/>
  <c r="L185" i="9" s="1"/>
  <c r="A196" i="6"/>
  <c r="D195" i="6"/>
  <c r="H188" i="9"/>
  <c r="J188" i="9" s="1"/>
  <c r="L188" i="9" s="1"/>
  <c r="A185" i="1" l="1" a="1"/>
  <c r="D187" i="1" s="1"/>
  <c r="D192" i="1"/>
  <c r="A195" i="1" s="1" a="1"/>
  <c r="A195" i="1" s="1"/>
  <c r="A205" i="1" a="1"/>
  <c r="A205" i="1" s="1"/>
  <c r="B217" i="1"/>
  <c r="A217" i="1"/>
  <c r="C218" i="1"/>
  <c r="B218" i="1"/>
  <c r="C217" i="1"/>
  <c r="B216" i="1"/>
  <c r="C216" i="1"/>
  <c r="A218" i="1"/>
  <c r="H197" i="6"/>
  <c r="J197" i="6" s="1"/>
  <c r="L196" i="6" s="1"/>
  <c r="H198" i="6"/>
  <c r="J198" i="6" s="1"/>
  <c r="L198" i="6" s="1"/>
  <c r="H196" i="7"/>
  <c r="J196" i="7" s="1"/>
  <c r="L195" i="7" s="1"/>
  <c r="H197" i="7"/>
  <c r="J197" i="7" s="1"/>
  <c r="L196" i="7" s="1"/>
  <c r="H195" i="7"/>
  <c r="J195" i="7" s="1"/>
  <c r="L197" i="7" s="1"/>
  <c r="H198" i="7"/>
  <c r="J198" i="7" s="1"/>
  <c r="L198" i="7" s="1"/>
  <c r="H196" i="6"/>
  <c r="J196" i="6" s="1"/>
  <c r="L195" i="6" s="1"/>
  <c r="H206" i="7"/>
  <c r="J206" i="7" s="1"/>
  <c r="L205" i="7" s="1"/>
  <c r="H205" i="7"/>
  <c r="J205" i="7" s="1"/>
  <c r="L207" i="7" s="1"/>
  <c r="H207" i="7"/>
  <c r="J207" i="7" s="1"/>
  <c r="L206" i="7" s="1"/>
  <c r="A185" i="1" l="1"/>
  <c r="A188" i="1"/>
  <c r="D185" i="1"/>
  <c r="A187" i="1"/>
  <c r="C187" i="1"/>
  <c r="C185" i="1"/>
  <c r="D188" i="1"/>
  <c r="B186" i="1"/>
  <c r="B187" i="1"/>
  <c r="A186" i="1"/>
  <c r="D186" i="1"/>
  <c r="C186" i="1"/>
  <c r="B188" i="1"/>
  <c r="C188" i="1"/>
  <c r="B185" i="1"/>
  <c r="B207" i="1"/>
  <c r="A206" i="1"/>
  <c r="B206" i="1"/>
  <c r="C206" i="1"/>
  <c r="C207" i="1"/>
  <c r="B205" i="1"/>
  <c r="A207" i="1"/>
  <c r="C205" i="1"/>
  <c r="C195" i="1"/>
  <c r="D197" i="1"/>
  <c r="B197" i="1"/>
  <c r="A196" i="1"/>
  <c r="B198" i="1"/>
  <c r="B196" i="1"/>
  <c r="D196" i="1"/>
  <c r="C197" i="1"/>
  <c r="A197" i="1"/>
  <c r="D198" i="1"/>
  <c r="D195" i="1"/>
  <c r="B195" i="1"/>
  <c r="C196" i="1"/>
  <c r="C198" i="1"/>
  <c r="A198" i="1"/>
  <c r="H216" i="1" a="1"/>
  <c r="J217" i="1" s="1"/>
  <c r="L217" i="1" s="1"/>
  <c r="H205" i="1" l="1" a="1"/>
  <c r="H205" i="1" s="1"/>
  <c r="J205" i="1" s="1"/>
  <c r="L207" i="1" s="1"/>
  <c r="H185" i="1" a="1"/>
  <c r="H187" i="1" s="1"/>
  <c r="J187" i="1" s="1"/>
  <c r="L186" i="1" s="1"/>
  <c r="H195" i="1" a="1"/>
  <c r="H195" i="1" s="1"/>
  <c r="J195" i="1" s="1"/>
  <c r="L197" i="1" s="1"/>
  <c r="J218" i="1"/>
  <c r="L219" i="1" s="1"/>
  <c r="H216" i="1"/>
  <c r="J216" i="1" s="1"/>
  <c r="L216" i="1" s="1"/>
  <c r="H206" i="1" l="1"/>
  <c r="J206" i="1" s="1"/>
  <c r="L205" i="1" s="1"/>
  <c r="H207" i="1"/>
  <c r="J207" i="1" s="1"/>
  <c r="L206" i="1" s="1"/>
  <c r="H186" i="1"/>
  <c r="J186" i="1" s="1"/>
  <c r="L185" i="1" s="1"/>
  <c r="H188" i="1"/>
  <c r="J188" i="1" s="1"/>
  <c r="L188" i="1" s="1"/>
  <c r="H185" i="1"/>
  <c r="J185" i="1" s="1"/>
  <c r="L187" i="1" s="1"/>
  <c r="H196" i="1"/>
  <c r="J196" i="1" s="1"/>
  <c r="L195" i="1" s="1"/>
  <c r="H198" i="1"/>
  <c r="J198" i="1" s="1"/>
  <c r="L198" i="1" s="1"/>
  <c r="H197" i="1"/>
  <c r="J197" i="1" s="1"/>
  <c r="L19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<sst xmlns="http://schemas.openxmlformats.org/spreadsheetml/2006/main" count="2389" uniqueCount="212">
  <si>
    <t>Plate</t>
  </si>
  <si>
    <t>x</t>
  </si>
  <si>
    <t>y</t>
  </si>
  <si>
    <t>node</t>
  </si>
  <si>
    <t>Anchors</t>
  </si>
  <si>
    <t>Aeff</t>
  </si>
  <si>
    <t>x (in)</t>
  </si>
  <si>
    <t>y (in)</t>
  </si>
  <si>
    <t>F'c</t>
  </si>
  <si>
    <t>Ec</t>
  </si>
  <si>
    <t>Es</t>
  </si>
  <si>
    <t>ksi</t>
  </si>
  <si>
    <t>wc</t>
  </si>
  <si>
    <t>lb/ft3</t>
  </si>
  <si>
    <t>scale pt</t>
  </si>
  <si>
    <t>n</t>
  </si>
  <si>
    <t>A2/A1</t>
  </si>
  <si>
    <t>√A2/A1</t>
  </si>
  <si>
    <r>
      <rPr>
        <sz val="11"/>
        <color theme="1"/>
        <rFont val="Calibri"/>
        <family val="2"/>
      </rPr>
      <t>φ</t>
    </r>
    <r>
      <rPr>
        <sz val="11"/>
        <color theme="1"/>
        <rFont val="Calibri"/>
        <family val="2"/>
        <scheme val="minor"/>
      </rPr>
      <t>f</t>
    </r>
    <r>
      <rPr>
        <vertAlign val="subscript"/>
        <sz val="11"/>
        <color theme="1"/>
        <rFont val="Calibri"/>
        <family val="2"/>
        <scheme val="minor"/>
      </rPr>
      <t>p,max</t>
    </r>
  </si>
  <si>
    <t>rad</t>
  </si>
  <si>
    <t>Load Application Point</t>
  </si>
  <si>
    <t>Point about which to sum moments for equilibrium</t>
  </si>
  <si>
    <t>in</t>
  </si>
  <si>
    <r>
      <t xml:space="preserve">Translate Plate and bolts so load point is at 0,0 and then rotate by </t>
    </r>
    <r>
      <rPr>
        <sz val="11"/>
        <color theme="1"/>
        <rFont val="Calibri"/>
        <family val="2"/>
      </rPr>
      <t>α so that strain only varies in the y direction</t>
    </r>
  </si>
  <si>
    <t>Use(y/n)</t>
  </si>
  <si>
    <t>Anchor Plot</t>
  </si>
  <si>
    <t>Plate - Translate</t>
  </si>
  <si>
    <t>x(in)</t>
  </si>
  <si>
    <t>y(in)</t>
  </si>
  <si>
    <t>Neutral Axis Depth = Bearing Length</t>
  </si>
  <si>
    <t>Plate - Transformed</t>
  </si>
  <si>
    <t>Load Point - Transformed</t>
  </si>
  <si>
    <t>Anhors - Transformed</t>
  </si>
  <si>
    <t>Anchors - Translated</t>
  </si>
  <si>
    <t>Neutral Axis Rotation - + clockwise</t>
  </si>
  <si>
    <t>Neutral Axis</t>
  </si>
  <si>
    <t>kips</t>
  </si>
  <si>
    <t>T0</t>
  </si>
  <si>
    <t>Initial Values for Unknowns:</t>
  </si>
  <si>
    <t>α0</t>
  </si>
  <si>
    <t>Y0</t>
  </si>
  <si>
    <t>degrees</t>
  </si>
  <si>
    <t>σ0</t>
  </si>
  <si>
    <t>fi (in)</t>
  </si>
  <si>
    <t xml:space="preserve">f = </t>
  </si>
  <si>
    <t>A (in2)</t>
  </si>
  <si>
    <t>Cx (in)</t>
  </si>
  <si>
    <t>Cy (in)</t>
  </si>
  <si>
    <t>Ix (in4)</t>
  </si>
  <si>
    <t>Iy (in4)</t>
  </si>
  <si>
    <t>Ixy (in4)</t>
  </si>
  <si>
    <t>Jz (in4)</t>
  </si>
  <si>
    <t>rx (in)</t>
  </si>
  <si>
    <t>ry (in)</t>
  </si>
  <si>
    <t>rz (in)</t>
  </si>
  <si>
    <t>Ixx (in4)</t>
  </si>
  <si>
    <t>Iyy (in4)</t>
  </si>
  <si>
    <t>Ixxyy (in4)</t>
  </si>
  <si>
    <t>Jzz (in4)</t>
  </si>
  <si>
    <t>rxx (in)</t>
  </si>
  <si>
    <t>ryy (in)</t>
  </si>
  <si>
    <t>rzz (in)</t>
  </si>
  <si>
    <t>Sx,top (in3)</t>
  </si>
  <si>
    <t>Sx,bottom (in3)</t>
  </si>
  <si>
    <t>Sy,left (in3)</t>
  </si>
  <si>
    <t>Sy,right (in3)</t>
  </si>
  <si>
    <t>Plate Properties about Load Point</t>
  </si>
  <si>
    <t>in2</t>
  </si>
  <si>
    <t>Compressive Force and Moments via Line Integrals along the plate edge</t>
  </si>
  <si>
    <t>Segment 1</t>
  </si>
  <si>
    <t>Segment 2</t>
  </si>
  <si>
    <t>Segment 3</t>
  </si>
  <si>
    <t>Segment 4</t>
  </si>
  <si>
    <t>Segment 5</t>
  </si>
  <si>
    <t>Segment 6</t>
  </si>
  <si>
    <t>Segment 7</t>
  </si>
  <si>
    <t>b</t>
  </si>
  <si>
    <t>m</t>
  </si>
  <si>
    <t>P</t>
  </si>
  <si>
    <t>Mx</t>
  </si>
  <si>
    <t>My</t>
  </si>
  <si>
    <t>P (kips)</t>
  </si>
  <si>
    <t>Mx (kip-in)</t>
  </si>
  <si>
    <t>My (kip-in)</t>
  </si>
  <si>
    <t>σi' (ksi)</t>
  </si>
  <si>
    <t>σj' (ksi)</t>
  </si>
  <si>
    <t>yj' (in)</t>
  </si>
  <si>
    <t>xj' (in)</t>
  </si>
  <si>
    <t>yi' (in)</t>
  </si>
  <si>
    <t>xi' (in)</t>
  </si>
  <si>
    <t>σj (ksi)</t>
  </si>
  <si>
    <t>σi (ksi)</t>
  </si>
  <si>
    <t>yj (in)</t>
  </si>
  <si>
    <t>xj (in)</t>
  </si>
  <si>
    <t>yi (in)</t>
  </si>
  <si>
    <t>xi (in)</t>
  </si>
  <si>
    <t>Ccx</t>
  </si>
  <si>
    <t>Ccy</t>
  </si>
  <si>
    <t>Ti (kips)</t>
  </si>
  <si>
    <t>Mxi (kip-in)</t>
  </si>
  <si>
    <t>Myi (kip-in)</t>
  </si>
  <si>
    <t>Load</t>
  </si>
  <si>
    <t>kip-in</t>
  </si>
  <si>
    <t>Compression Positive</t>
  </si>
  <si>
    <t>Tan-1(My/Mx)</t>
  </si>
  <si>
    <t>Axial</t>
  </si>
  <si>
    <t>Mx'</t>
  </si>
  <si>
    <t>My'</t>
  </si>
  <si>
    <t>Sum of Forces Transformed</t>
  </si>
  <si>
    <t>Sum of Forces About Original Axis</t>
  </si>
  <si>
    <t>P/Apl</t>
  </si>
  <si>
    <t>M/S</t>
  </si>
  <si>
    <t>Strain Compatibility Check</t>
  </si>
  <si>
    <t>Next Interation:</t>
  </si>
  <si>
    <t>Finite Difference:</t>
  </si>
  <si>
    <t>σi+1</t>
  </si>
  <si>
    <t>αi+1</t>
  </si>
  <si>
    <t>Yi+1</t>
  </si>
  <si>
    <t>Ti+1</t>
  </si>
  <si>
    <t>&lt;-- Reorded jacobian with all the dP,Mxx,Myy,sigma/dxj</t>
  </si>
  <si>
    <t>In row instead of column form as shown in the bentley PDF</t>
  </si>
  <si>
    <t>Reference</t>
  </si>
  <si>
    <t>Guess To Solving Stress Compat. =</t>
  </si>
  <si>
    <t>(x+h)-x</t>
  </si>
  <si>
    <t>(x+h)-x = h</t>
  </si>
  <si>
    <t>x+h</t>
  </si>
  <si>
    <t>FALSE IF rounding errors</t>
  </si>
  <si>
    <t xml:space="preserve">e = </t>
  </si>
  <si>
    <t>Sx (in3)</t>
  </si>
  <si>
    <t>Sy (in3)</t>
  </si>
  <si>
    <t>Mx/Sx</t>
  </si>
  <si>
    <t>My/Sy</t>
  </si>
  <si>
    <t>σ</t>
  </si>
  <si>
    <t>Hole?</t>
  </si>
  <si>
    <t>Segment 8</t>
  </si>
  <si>
    <t>R</t>
  </si>
  <si>
    <t>r</t>
  </si>
  <si>
    <t>a</t>
  </si>
  <si>
    <t>Hole - Transalted</t>
  </si>
  <si>
    <t>Hole-Transformed</t>
  </si>
  <si>
    <t>Hole - Subtractive Force and Moments by Line Integrals</t>
  </si>
  <si>
    <t>Initial values - pull T0 from the guess after using these in the other cells</t>
  </si>
  <si>
    <t>Constant Stress Jacobian</t>
  </si>
  <si>
    <t>Don't use this set of next values, see below for re-ordered jacobian</t>
  </si>
  <si>
    <t>Use for Constant Stress Iterations</t>
  </si>
  <si>
    <t>Should work if you want to calculate T from strain-compatibility directly and not iterate</t>
  </si>
  <si>
    <t>Use for variable stress and tension exists</t>
  </si>
  <si>
    <t>or for full area in compression (need different initial values)</t>
  </si>
  <si>
    <t>NA Original Orientation</t>
  </si>
  <si>
    <t>Brg Center</t>
  </si>
  <si>
    <t>hole (-)brg center</t>
  </si>
  <si>
    <t>Tension Anchors</t>
  </si>
  <si>
    <t>Newton-Raphson Iteration Solver - {x}i+1 = {x}i + J[df{}/{x}]^-1 . -f{P,Mx,My,strain}, J= Jacobian Matrix determined by finite differences</t>
  </si>
  <si>
    <t>Aeff,T</t>
  </si>
  <si>
    <t>Hole</t>
  </si>
  <si>
    <t>Consider Hole?</t>
  </si>
  <si>
    <t>Mxi,hole</t>
  </si>
  <si>
    <t>Myi,hole</t>
  </si>
  <si>
    <t>Ci,hole</t>
  </si>
  <si>
    <t>Sum P</t>
  </si>
  <si>
    <t>Sum Mx</t>
  </si>
  <si>
    <t>Sum My</t>
  </si>
  <si>
    <t>Ti, Compatibility</t>
  </si>
  <si>
    <t>Hole Area</t>
  </si>
  <si>
    <t>Threads p/in, n</t>
  </si>
  <si>
    <r>
      <t xml:space="preserve">Bolt </t>
    </r>
    <r>
      <rPr>
        <sz val="8"/>
        <color theme="1"/>
        <rFont val="Calibri"/>
        <family val="2"/>
      </rPr>
      <t>Ø</t>
    </r>
  </si>
  <si>
    <r>
      <t xml:space="preserve">Hole </t>
    </r>
    <r>
      <rPr>
        <sz val="8"/>
        <color theme="1"/>
        <rFont val="Calibri"/>
        <family val="2"/>
      </rPr>
      <t>Ø</t>
    </r>
  </si>
  <si>
    <t>Solution Found when these all are very nearly 0</t>
  </si>
  <si>
    <t>Max Iterations:</t>
  </si>
  <si>
    <t>Iterations Used:</t>
  </si>
  <si>
    <t>Tolerance:</t>
  </si>
  <si>
    <t>Initial Values for All Compression</t>
  </si>
  <si>
    <t>STD</t>
  </si>
  <si>
    <t>Ti, Labels</t>
  </si>
  <si>
    <t>n overide</t>
  </si>
  <si>
    <t>Ec Calc Method:</t>
  </si>
  <si>
    <t>Plate Properties about Pl Centroid</t>
  </si>
  <si>
    <t>ex</t>
  </si>
  <si>
    <t>ey</t>
  </si>
  <si>
    <t>My = P*ex</t>
  </si>
  <si>
    <t>Mx = P*ey</t>
  </si>
  <si>
    <t>General Bending Stress Results</t>
  </si>
  <si>
    <t>dy</t>
  </si>
  <si>
    <t>σy</t>
  </si>
  <si>
    <t>dx</t>
  </si>
  <si>
    <t>σx</t>
  </si>
  <si>
    <t>P/A,pl</t>
  </si>
  <si>
    <t>This is a better starting point for unsymmetric plates</t>
  </si>
  <si>
    <t>Moment about Pl Centroid ( I flipped the Mx and My rows here)</t>
  </si>
  <si>
    <t>Density</t>
  </si>
  <si>
    <t>yo</t>
  </si>
  <si>
    <t>x0,elastic</t>
  </si>
  <si>
    <t>y0,elastic</t>
  </si>
  <si>
    <t>unit vector of elastic axis</t>
  </si>
  <si>
    <t>angle of elastic axis</t>
  </si>
  <si>
    <t>angle of elastic neutral axis</t>
  </si>
  <si>
    <t>depth to 0 elastic stress</t>
  </si>
  <si>
    <t>|V|</t>
  </si>
  <si>
    <t>slope</t>
  </si>
  <si>
    <t>t = yo/|V|</t>
  </si>
  <si>
    <t>peak tensile elastic stress point, if mutliple vertices are at peak stress determines their centroid</t>
  </si>
  <si>
    <t>peak compressive elastic stress point, if mutliple vertices are at peak stress determines their centroid</t>
  </si>
  <si>
    <t>B</t>
  </si>
  <si>
    <t>required square dim for all compression</t>
  </si>
  <si>
    <t>(Enter Hole Coordinates Clockwise)</t>
  </si>
  <si>
    <t>(Enter Plate Coordinates Counter-Clockwise)</t>
  </si>
  <si>
    <t>OSHA Min</t>
  </si>
  <si>
    <t>kip-ft</t>
  </si>
  <si>
    <t>alt start1</t>
  </si>
  <si>
    <t>alt start2</t>
  </si>
  <si>
    <t>goal seek X44 to 0 by changing X39</t>
  </si>
  <si>
    <t>FALSE IF rounding errors, usually going to be FALSE so use (x+h)-x in place of h when dividing for the partial differential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</si>
</sst>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00000000000000000"/>
    <numFmt numFmtId="167" formatCode="0.0E+00"/>
    <numFmt numFmtId="168" formatCode="0.00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ont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/>
    <xf numFmtId="164" fontId="0" fillId="2" borderId="0" xfId="0" applyNumberFormat="1" applyFill="1" applyAlignment="1">
      <alignment horizontal="center"/>
    </xf>
    <xf numFmtId="11" fontId="0" fillId="0" borderId="0" xfId="0" applyNumberFormat="1"/>
    <xf numFmtId="164" fontId="2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165" fontId="0" fillId="0" borderId="0" xfId="0" applyNumberFormat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11" fontId="0" fillId="0" borderId="3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/>
    <xf numFmtId="164" fontId="0" fillId="0" borderId="4" xfId="0" applyNumberFormat="1" applyBorder="1"/>
    <xf numFmtId="0" fontId="2" fillId="0" borderId="5" xfId="0" applyFont="1" applyBorder="1" applyAlignment="1">
      <alignment horizontal="center"/>
    </xf>
    <xf numFmtId="164" fontId="0" fillId="0" borderId="6" xfId="0" applyNumberFormat="1" applyBorder="1"/>
    <xf numFmtId="0" fontId="0" fillId="0" borderId="7" xfId="0" applyBorder="1" applyAlignment="1">
      <alignment horizontal="center"/>
    </xf>
    <xf numFmtId="0" fontId="0" fillId="0" borderId="7" xfId="0" applyBorder="1"/>
    <xf numFmtId="164" fontId="0" fillId="0" borderId="8" xfId="0" applyNumberFormat="1" applyBorder="1"/>
    <xf numFmtId="0" fontId="0" fillId="0" borderId="9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5" fillId="0" borderId="0" xfId="0" applyFont="1"/>
    <xf numFmtId="168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165" fontId="0" fillId="3" borderId="0" xfId="0" applyNumberFormat="1" applyFill="1" applyAlignment="1">
      <alignment horizontal="center"/>
    </xf>
    <xf numFmtId="0" fontId="0" fillId="0" borderId="4" xfId="0" applyBorder="1"/>
    <xf numFmtId="164" fontId="0" fillId="0" borderId="5" xfId="0" applyNumberFormat="1" applyBorder="1"/>
    <xf numFmtId="0" fontId="0" fillId="0" borderId="6" xfId="0" applyBorder="1"/>
    <xf numFmtId="164" fontId="0" fillId="0" borderId="7" xfId="0" applyNumberFormat="1" applyBorder="1"/>
    <xf numFmtId="0" fontId="0" fillId="0" borderId="8" xfId="0" applyBorder="1"/>
    <xf numFmtId="164" fontId="0" fillId="0" borderId="9" xfId="0" applyNumberFormat="1" applyBorder="1"/>
    <xf numFmtId="0" fontId="6" fillId="0" borderId="0" xfId="0" applyFont="1" applyAlignment="1">
      <alignment horizontal="right"/>
    </xf>
    <xf numFmtId="11" fontId="0" fillId="0" borderId="10" xfId="0" applyNumberFormat="1" applyBorder="1"/>
    <xf numFmtId="11" fontId="0" fillId="0" borderId="0" xfId="0" applyNumberFormat="1" applyBorder="1"/>
    <xf numFmtId="11" fontId="0" fillId="0" borderId="11" xfId="0" applyNumberFormat="1" applyBorder="1"/>
    <xf numFmtId="11" fontId="0" fillId="2" borderId="0" xfId="0" applyNumberFormat="1" applyFill="1" applyAlignment="1">
      <alignment horizontal="center"/>
    </xf>
    <xf numFmtId="0" fontId="2" fillId="0" borderId="0" xfId="0" applyFont="1"/>
    <xf numFmtId="0" fontId="9" fillId="0" borderId="0" xfId="0" applyFont="1"/>
    <xf numFmtId="2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left"/>
    </xf>
  </cellXfs>
  <cellStyles count="1">
    <cellStyle name="Normal" xfId="0" builtinId="0"/>
  </cellStyles>
  <dxfs count="3">
    <dxf>
      <font>
        <color rgb="FFFF0000"/>
      </font>
    </dxf>
    <dxf>
      <font>
        <color rgb="FF00B050"/>
      </font>
    </dxf>
    <dxf>
      <font>
        <color theme="7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styles" Target="styles.xml"/><Relationship Id="rId2" Type="http://schemas.openxmlformats.org/officeDocument/2006/relationships/worksheet" Target="worksheets/sheet1.xml"/><Relationship Id="rId16" Type="http://schemas.microsoft.com/office/2006/relationships/vbaProject" Target="vbaProject.bin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theme" Target="theme/theme1.xml"/><Relationship Id="rId5" Type="http://schemas.openxmlformats.org/officeDocument/2006/relationships/worksheet" Target="worksheets/sheet4.xml"/><Relationship Id="rId15" Type="http://schemas.openxmlformats.org/officeDocument/2006/relationships/calcChain" Target="calcChain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'Rigid Bearing Plate Analysis'!$Q$30</c:f>
          <c:strCache>
            <c:ptCount val="1"/>
            <c:pt idx="0">
              <c:v>φfp,max= 0.65*0.85*F'c*√A2/A1= 5.525 ksi &gt; 5.525 ksi
Design Status: OK
SOLUTION IF STRAIN IGNORED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36</c:v>
                </c:pt>
                <c:pt idx="3">
                  <c:v>36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29-4B7C-BE8C-20BF62675572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36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29-4B7C-BE8C-20BF62675572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3</c:v>
                </c:pt>
                <c:pt idx="1">
                  <c:v>3</c:v>
                </c:pt>
                <c:pt idx="2">
                  <c:v>11</c:v>
                </c:pt>
                <c:pt idx="3">
                  <c:v>11</c:v>
                </c:pt>
                <c:pt idx="4">
                  <c:v>3</c:v>
                </c:pt>
                <c:pt idx="5">
                  <c:v>3</c:v>
                </c:pt>
                <c:pt idx="6">
                  <c:v>11</c:v>
                </c:pt>
                <c:pt idx="7">
                  <c:v>11</c:v>
                </c:pt>
                <c:pt idx="8">
                  <c:v>3</c:v>
                </c:pt>
                <c:pt idx="9">
                  <c:v>3</c:v>
                </c:pt>
                <c:pt idx="10">
                  <c:v>11</c:v>
                </c:pt>
                <c:pt idx="11">
                  <c:v>11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3</c:v>
                </c:pt>
                <c:pt idx="1">
                  <c:v>9</c:v>
                </c:pt>
                <c:pt idx="2">
                  <c:v>3</c:v>
                </c:pt>
                <c:pt idx="3">
                  <c:v>9</c:v>
                </c:pt>
                <c:pt idx="4">
                  <c:v>15</c:v>
                </c:pt>
                <c:pt idx="5">
                  <c:v>21</c:v>
                </c:pt>
                <c:pt idx="6">
                  <c:v>21</c:v>
                </c:pt>
                <c:pt idx="7">
                  <c:v>15</c:v>
                </c:pt>
                <c:pt idx="8">
                  <c:v>27</c:v>
                </c:pt>
                <c:pt idx="9">
                  <c:v>33</c:v>
                </c:pt>
                <c:pt idx="10">
                  <c:v>27</c:v>
                </c:pt>
                <c:pt idx="11">
                  <c:v>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929-4B7C-BE8C-20BF62675572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800" b="1" baseline="0">
                        <a:latin typeface="Calibri" panose="020F0502020204030204" pitchFamily="34" charset="0"/>
                      </a:defRPr>
                    </a:pPr>
                    <a:fld id="{F4502C09-C385-445C-BB04-2F63F42A19FD}" type="CELLRANGE">
                      <a:rPr lang="en-US"/>
                      <a:pPr>
                        <a:defRPr sz="800" b="1" baseline="0">
                          <a:latin typeface="Calibri" panose="020F0502020204030204" pitchFamily="34" charset="0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335900211236509"/>
                      <c:h val="6.8226198997852538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7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18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Analysis'!$Q$25</c15:f>
                <c15:dlblRangeCache>
                  <c:ptCount val="1"/>
                  <c:pt idx="0">
                    <c:v>P: 0 kips
Mx: 2400 kip-in
My: -2400 kip-in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9929-4B7C-BE8C-20BF62675572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29-4B7C-BE8C-20BF62675572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6.5157139059103386</c:v>
                </c:pt>
                <c:pt idx="1">
                  <c:v>1.2190886614598568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-2.0204977035147422</c:v>
                </c:pt>
                <c:pt idx="1">
                  <c:v>37.173834395167432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29-4B7C-BE8C-20BF62675572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086F58A-2344-4210-968F-154B304908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Analysis'!$Q$90</c:f>
              <c:numCache>
                <c:formatCode>0.000</c:formatCode>
                <c:ptCount val="1"/>
                <c:pt idx="0">
                  <c:v>1.5738826564985189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11.255354914611999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Analysis'!$T$140</c15:f>
                <c15:dlblRangeCache>
                  <c:ptCount val="1"/>
                  <c:pt idx="0">
                    <c:v>262.6952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9929-4B7C-BE8C-20BF62675572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C0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929-4B7C-BE8C-20BF62675572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064-48F6-8B72-BF268712D8C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064-48F6-8B72-BF268712D8C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B26EF86-05A4-402B-B55F-A077EB55E8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064-48F6-8B72-BF268712D8C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E151917-6D31-47EF-B8CF-7D68DE56D0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064-48F6-8B72-BF268712D8C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064-48F6-8B72-BF268712D8C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064-48F6-8B72-BF268712D8C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FC30E6E-FDA4-4C6A-8406-336D54C255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064-48F6-8B72-BF268712D8C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0BDBA76-7989-4A74-80B0-F081CD0929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064-48F6-8B72-BF268712D8C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1F1C054-F29C-4B86-9471-58B07F3ED8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064-48F6-8B72-BF268712D8C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904EBD8-140E-41BC-B407-339F36D149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064-48F6-8B72-BF268712D8C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16D7B69-8284-4DD6-B37D-00D3709A84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064-48F6-8B72-BF268712D8C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FB59161-1AF5-44AF-B840-29EB4B3E33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064-48F6-8B72-BF268712D8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2700000"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FF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11</c:v>
                </c:pt>
                <c:pt idx="3">
                  <c:v>11</c:v>
                </c:pt>
                <c:pt idx="4">
                  <c:v>#N/A</c:v>
                </c:pt>
                <c:pt idx="5">
                  <c:v>#N/A</c:v>
                </c:pt>
                <c:pt idx="6">
                  <c:v>11</c:v>
                </c:pt>
                <c:pt idx="7">
                  <c:v>11</c:v>
                </c:pt>
                <c:pt idx="8">
                  <c:v>3</c:v>
                </c:pt>
                <c:pt idx="9">
                  <c:v>3.0000000000000004</c:v>
                </c:pt>
                <c:pt idx="10">
                  <c:v>11</c:v>
                </c:pt>
                <c:pt idx="11">
                  <c:v>11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3.0000000000000018</c:v>
                </c:pt>
                <c:pt idx="3">
                  <c:v>9</c:v>
                </c:pt>
                <c:pt idx="4">
                  <c:v>#N/A</c:v>
                </c:pt>
                <c:pt idx="5">
                  <c:v>#N/A</c:v>
                </c:pt>
                <c:pt idx="6">
                  <c:v>21</c:v>
                </c:pt>
                <c:pt idx="7">
                  <c:v>15</c:v>
                </c:pt>
                <c:pt idx="8">
                  <c:v>27</c:v>
                </c:pt>
                <c:pt idx="9">
                  <c:v>33</c:v>
                </c:pt>
                <c:pt idx="10">
                  <c:v>27</c:v>
                </c:pt>
                <c:pt idx="11">
                  <c:v>33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Analysis'!$AB$110:$AB$121</c15:f>
                <c15:dlblRangeCache>
                  <c:ptCount val="12"/>
                  <c:pt idx="0">
                    <c:v>
1.302 kips</c:v>
                  </c:pt>
                  <c:pt idx="1">
                    <c:v>
0.9299 kips</c:v>
                  </c:pt>
                  <c:pt idx="2">
                    <c:v>
30.2988 kips</c:v>
                  </c:pt>
                  <c:pt idx="3">
                    <c:v>
35.0573 kips</c:v>
                  </c:pt>
                  <c:pt idx="4">
                    <c:v>
0.5578 kips</c:v>
                  </c:pt>
                  <c:pt idx="5">
                    <c:v>
0.1857 kips</c:v>
                  </c:pt>
                  <c:pt idx="6">
                    <c:v>
44.5744 kips</c:v>
                  </c:pt>
                  <c:pt idx="7">
                    <c:v>
39.8159 kips</c:v>
                  </c:pt>
                  <c:pt idx="8">
                    <c:v>
2.383 kips</c:v>
                  </c:pt>
                  <c:pt idx="9">
                    <c:v>
7.1415 kips</c:v>
                  </c:pt>
                  <c:pt idx="10">
                    <c:v>
49.3329 kips</c:v>
                  </c:pt>
                  <c:pt idx="11">
                    <c:v>
54.0914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D-9929-4B7C-BE8C-20BF62675572}"/>
            </c:ext>
          </c:extLst>
        </c:ser>
        <c:ser>
          <c:idx val="9"/>
          <c:order val="9"/>
          <c:tx>
            <c:v>stress_points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C02FE0-18CA-48DC-91B5-D2EAE4C17E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079214D-527D-4732-BC14-947F91FD90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59B42A2-DD2D-41E9-8FDB-6902BF9CB1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323FD94-9C95-4D46-8173-1B6CD1DFD4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9D73D11-8810-4259-BBCE-8DBFE58B8F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28AD81A-F081-467A-A72F-C85FB4A0C7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5CE4435-FD6F-4A55-8224-19B507B7B9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Analysis'!$AA$132:$AA$139</c:f>
              <c:numCache>
                <c:formatCode>0.000</c:formatCode>
                <c:ptCount val="8"/>
                <c:pt idx="0">
                  <c:v>0</c:v>
                </c:pt>
                <c:pt idx="1">
                  <c:v>#N/A</c:v>
                </c:pt>
                <c:pt idx="2">
                  <c:v>1.3777177426901277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Analysis'!$AB$132:$AB$139</c:f>
              <c:numCache>
                <c:formatCode>0.000</c:formatCode>
                <c:ptCount val="8"/>
                <c:pt idx="0">
                  <c:v>0</c:v>
                </c:pt>
                <c:pt idx="1">
                  <c:v>#N/A</c:v>
                </c:pt>
                <c:pt idx="2">
                  <c:v>36</c:v>
                </c:pt>
                <c:pt idx="3">
                  <c:v>36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Analysis'!$W$132:$W$139</c15:f>
                <c15:dlblRangeCache>
                  <c:ptCount val="8"/>
                  <c:pt idx="0">
                    <c:v>5.525 ksi</c:v>
                  </c:pt>
                  <c:pt idx="2">
                    <c:v>0 ksi</c:v>
                  </c:pt>
                  <c:pt idx="3">
                    <c:v>1.2193 ksi</c:v>
                  </c:pt>
                  <c:pt idx="4">
                    <c:v>5.525 ksi</c:v>
                  </c:pt>
                  <c:pt idx="5">
                    <c:v>5.525 ksi</c:v>
                  </c:pt>
                  <c:pt idx="6">
                    <c:v>5.525 ksi</c:v>
                  </c:pt>
                  <c:pt idx="7">
                    <c:v>5.525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7-9929-4B7C-BE8C-20BF62675572}"/>
            </c:ext>
          </c:extLst>
        </c:ser>
        <c:ser>
          <c:idx val="10"/>
          <c:order val="10"/>
          <c:tx>
            <c:v>stress_points_j_unique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71BE1D0-F192-4EC7-A4BE-6587112B1B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9929-4B7C-BE8C-20BF6267557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7596963697375251E-2"/>
                      <c:h val="3.4313210848643916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2E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Analysis'!$AM$132:$AM$139</c:f>
              <c:numCache>
                <c:formatCode>0.000</c:formatCode>
                <c:ptCount val="8"/>
                <c:pt idx="0">
                  <c:v>6.2426688361322462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Analysis'!$AN$132:$AN$139</c:f>
              <c:numCache>
                <c:formatCode>0.000</c:formatCode>
                <c:ptCount val="8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Analysis'!$AI$132:$AI$139</c15:f>
                <c15:dlblRangeCache>
                  <c:ptCount val="8"/>
                  <c:pt idx="0">
                    <c:v>0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1-9929-4B7C-BE8C-20BF62675572}"/>
            </c:ext>
          </c:extLst>
        </c:ser>
        <c:ser>
          <c:idx val="11"/>
          <c:order val="11"/>
          <c:tx>
            <c:v>hole_stress_points_i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80860D6-618E-493E-8C01-54469032EC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3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6EF769E-6002-4CFF-B4FA-A22113D53B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49B5C6-DCF7-4267-99C5-4C78DA13DC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F7794B-E2B3-4C55-A8F0-5C420DCF0C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C2D68AB-D3E7-4DF9-ABE1-2CB1B3B249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8E86C3E-B7BA-4F53-8D5B-2C8B03EE6C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93C22C8-0BA7-429D-A774-F66CDFC9B5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9D5DFDD-027F-498F-BEDE-9D09E11C47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t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C00000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Analysis'!$AA$146:$AA$153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Analysis'!$AB$146:$AB$153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Analysis'!$W$146:$W$153</c15:f>
                <c15:dlblRangeCache>
                  <c:ptCount val="8"/>
                </c15:dlblRangeCache>
              </c15:datalabelsRange>
            </c:ext>
            <c:ext xmlns:c16="http://schemas.microsoft.com/office/drawing/2014/chart" uri="{C3380CC4-5D6E-409C-BE32-E72D297353CC}">
              <c16:uniqueId val="{0000003B-9929-4B7C-BE8C-20BF62675572}"/>
            </c:ext>
          </c:extLst>
        </c:ser>
        <c:ser>
          <c:idx val="12"/>
          <c:order val="12"/>
          <c:tx>
            <c:v>hole_stress_point_j_unique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Analysis'!$AM$146:$AM$153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Analysis'!$AN$146:$AN$153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929-4B7C-BE8C-20BF6267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328259726272888"/>
          <c:y val="0.32074254879970876"/>
          <c:w val="0.19671740273727115"/>
          <c:h val="0.411186079912379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36</c:v>
                </c:pt>
                <c:pt idx="3">
                  <c:v>36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DF-4A56-A9E4-C23786F1B60A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36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DF-4A56-A9E4-C23786F1B60A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3</c:v>
                </c:pt>
                <c:pt idx="1">
                  <c:v>3</c:v>
                </c:pt>
                <c:pt idx="2">
                  <c:v>11</c:v>
                </c:pt>
                <c:pt idx="3">
                  <c:v>11</c:v>
                </c:pt>
                <c:pt idx="4">
                  <c:v>3</c:v>
                </c:pt>
                <c:pt idx="5">
                  <c:v>3</c:v>
                </c:pt>
                <c:pt idx="6">
                  <c:v>11</c:v>
                </c:pt>
                <c:pt idx="7">
                  <c:v>11</c:v>
                </c:pt>
                <c:pt idx="8">
                  <c:v>3</c:v>
                </c:pt>
                <c:pt idx="9">
                  <c:v>3</c:v>
                </c:pt>
                <c:pt idx="10">
                  <c:v>11</c:v>
                </c:pt>
                <c:pt idx="11">
                  <c:v>11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3</c:v>
                </c:pt>
                <c:pt idx="1">
                  <c:v>9</c:v>
                </c:pt>
                <c:pt idx="2">
                  <c:v>3</c:v>
                </c:pt>
                <c:pt idx="3">
                  <c:v>9</c:v>
                </c:pt>
                <c:pt idx="4">
                  <c:v>15</c:v>
                </c:pt>
                <c:pt idx="5">
                  <c:v>21</c:v>
                </c:pt>
                <c:pt idx="6">
                  <c:v>21</c:v>
                </c:pt>
                <c:pt idx="7">
                  <c:v>15</c:v>
                </c:pt>
                <c:pt idx="8">
                  <c:v>27</c:v>
                </c:pt>
                <c:pt idx="9">
                  <c:v>33</c:v>
                </c:pt>
                <c:pt idx="10">
                  <c:v>27</c:v>
                </c:pt>
                <c:pt idx="11">
                  <c:v>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DF-4A56-A9E4-C23786F1B60A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.21848812172579188"/>
                  <c:y val="-0.47100692126915605"/>
                </c:manualLayout>
              </c:layout>
              <c:tx>
                <c:rich>
                  <a:bodyPr/>
                  <a:lstStyle/>
                  <a:p>
                    <a:fld id="{F44140B4-83BC-4A6A-A072-05175C0025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0128798912297892"/>
                      <c:h val="0.13146104701999076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8DA9-48CF-A792-79E50D0237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18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Analysis'!$Q$30</c15:f>
                <c15:dlblRangeCache>
                  <c:ptCount val="1"/>
                  <c:pt idx="0">
                    <c:v>φfp,max= 0.65*0.85*F'c*√A2/A1= 5.525 ksi &gt; 5.525 ksi
Design Status: OK
SOLUTION IF STRAIN IGNORED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3DF-4A56-A9E4-C23786F1B60A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75-4263-9DE0-A2CF1AC91E97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6.5157139059103386</c:v>
                </c:pt>
                <c:pt idx="1">
                  <c:v>1.2190886614598568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-2.0204977035147422</c:v>
                </c:pt>
                <c:pt idx="1">
                  <c:v>37.173834395167432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DE-4842-84C3-9AA961F6573E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'Rigid Bearing Plate Analysis'!$Q$90</c:f>
              <c:numCache>
                <c:formatCode>0.000</c:formatCode>
                <c:ptCount val="1"/>
                <c:pt idx="0">
                  <c:v>1.5738826564985189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11.255354914611999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DE-4842-84C3-9AA961F6573E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DE-4842-84C3-9AA961F6573E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11</c:v>
                </c:pt>
                <c:pt idx="3">
                  <c:v>11</c:v>
                </c:pt>
                <c:pt idx="4">
                  <c:v>#N/A</c:v>
                </c:pt>
                <c:pt idx="5">
                  <c:v>#N/A</c:v>
                </c:pt>
                <c:pt idx="6">
                  <c:v>11</c:v>
                </c:pt>
                <c:pt idx="7">
                  <c:v>11</c:v>
                </c:pt>
                <c:pt idx="8">
                  <c:v>3</c:v>
                </c:pt>
                <c:pt idx="9">
                  <c:v>3.0000000000000004</c:v>
                </c:pt>
                <c:pt idx="10">
                  <c:v>11</c:v>
                </c:pt>
                <c:pt idx="11">
                  <c:v>11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3.0000000000000018</c:v>
                </c:pt>
                <c:pt idx="3">
                  <c:v>9</c:v>
                </c:pt>
                <c:pt idx="4">
                  <c:v>#N/A</c:v>
                </c:pt>
                <c:pt idx="5">
                  <c:v>#N/A</c:v>
                </c:pt>
                <c:pt idx="6">
                  <c:v>21</c:v>
                </c:pt>
                <c:pt idx="7">
                  <c:v>15</c:v>
                </c:pt>
                <c:pt idx="8">
                  <c:v>27</c:v>
                </c:pt>
                <c:pt idx="9">
                  <c:v>33</c:v>
                </c:pt>
                <c:pt idx="10">
                  <c:v>27</c:v>
                </c:pt>
                <c:pt idx="11">
                  <c:v>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DE-4842-84C3-9AA961F6573E}"/>
            </c:ext>
          </c:extLst>
        </c:ser>
        <c:ser>
          <c:idx val="9"/>
          <c:order val="9"/>
          <c:tx>
            <c:v>Plate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Analysis'!$E$22</c:f>
              <c:numCache>
                <c:formatCode>0.0000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Analysis'!$F$22</c:f>
              <c:numCache>
                <c:formatCode>0.0000</c:formatCode>
                <c:ptCount val="1"/>
                <c:pt idx="0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9B-4241-AD55-230290E1C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 Areas for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Analysis'!$A$82</c:f>
              <c:strCache>
                <c:ptCount val="1"/>
                <c:pt idx="0">
                  <c:v>Plate - Transformed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Analysis'!$B$84:$B$92</c:f>
              <c:numCache>
                <c:formatCode>0.000</c:formatCode>
                <c:ptCount val="9"/>
                <c:pt idx="0">
                  <c:v>-16.900416487452443</c:v>
                </c:pt>
                <c:pt idx="1">
                  <c:v>-18.775299666768252</c:v>
                </c:pt>
                <c:pt idx="2">
                  <c:v>16.900416487452443</c:v>
                </c:pt>
                <c:pt idx="3">
                  <c:v>18.775299666768252</c:v>
                </c:pt>
                <c:pt idx="4">
                  <c:v>-16.900416487452443</c:v>
                </c:pt>
                <c:pt idx="5">
                  <c:v>-16.900416487452443</c:v>
                </c:pt>
                <c:pt idx="6">
                  <c:v>-16.900416487452443</c:v>
                </c:pt>
                <c:pt idx="7">
                  <c:v>-16.900416487452443</c:v>
                </c:pt>
                <c:pt idx="8">
                  <c:v>-16.900416487452443</c:v>
                </c:pt>
              </c:numCache>
            </c:numRef>
          </c:xVal>
          <c:yVal>
            <c:numRef>
              <c:f>'Rigid Bearing Plate Analysis'!$C$84:$C$92</c:f>
              <c:numCache>
                <c:formatCode>General</c:formatCode>
                <c:ptCount val="9"/>
                <c:pt idx="0">
                  <c:v>9.3475088954568921</c:v>
                </c:pt>
                <c:pt idx="1">
                  <c:v>-4.5263807200733766</c:v>
                </c:pt>
                <c:pt idx="2">
                  <c:v>-9.3475088954568921</c:v>
                </c:pt>
                <c:pt idx="3">
                  <c:v>4.5263807200733766</c:v>
                </c:pt>
                <c:pt idx="4">
                  <c:v>9.3475088954568921</c:v>
                </c:pt>
                <c:pt idx="5">
                  <c:v>9.3475088954568921</c:v>
                </c:pt>
                <c:pt idx="6">
                  <c:v>9.3475088954568921</c:v>
                </c:pt>
                <c:pt idx="7">
                  <c:v>9.3475088954568921</c:v>
                </c:pt>
                <c:pt idx="8">
                  <c:v>9.3475088954568921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33-4661-844A-D918385F9686}"/>
            </c:ext>
          </c:extLst>
        </c:ser>
        <c:ser>
          <c:idx val="2"/>
          <c:order val="1"/>
          <c:tx>
            <c:strRef>
              <c:f>'Rigid Bearing Plate Analysis'!$A$108</c:f>
              <c:strCache>
                <c:ptCount val="1"/>
                <c:pt idx="0">
                  <c:v>Anhors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Analysis'!$F$110:$F$121</c:f>
              <c:numCache>
                <c:formatCode>General</c:formatCode>
                <c:ptCount val="12"/>
                <c:pt idx="0">
                  <c:v>-14.329200822549341</c:v>
                </c:pt>
                <c:pt idx="1">
                  <c:v>-8.3832481301792274</c:v>
                </c:pt>
                <c:pt idx="2">
                  <c:v>-15.400562639301233</c:v>
                </c:pt>
                <c:pt idx="3">
                  <c:v>-9.4546099469311198</c:v>
                </c:pt>
                <c:pt idx="4">
                  <c:v>-2.4372954378091114</c:v>
                </c:pt>
                <c:pt idx="5">
                  <c:v>3.5086572545610037</c:v>
                </c:pt>
                <c:pt idx="6">
                  <c:v>2.4372954378091114</c:v>
                </c:pt>
                <c:pt idx="7">
                  <c:v>-3.5086572545610037</c:v>
                </c:pt>
                <c:pt idx="8">
                  <c:v>9.4546099469311198</c:v>
                </c:pt>
                <c:pt idx="9">
                  <c:v>15.400562639301233</c:v>
                </c:pt>
                <c:pt idx="10">
                  <c:v>8.3832481301792274</c:v>
                </c:pt>
                <c:pt idx="11">
                  <c:v>14.329200822549341</c:v>
                </c:pt>
              </c:numCache>
            </c:numRef>
          </c:xVal>
          <c:yVal>
            <c:numRef>
              <c:f>'Rigid Bearing Plate Analysis'!$G$110:$G$121</c:f>
              <c:numCache>
                <c:formatCode>General</c:formatCode>
                <c:ptCount val="12"/>
                <c:pt idx="0">
                  <c:v>5.9727718679898754</c:v>
                </c:pt>
                <c:pt idx="1">
                  <c:v>5.1692505054259561</c:v>
                </c:pt>
                <c:pt idx="2">
                  <c:v>-1.9551650551702782</c:v>
                </c:pt>
                <c:pt idx="3">
                  <c:v>-2.7586864177341974</c:v>
                </c:pt>
                <c:pt idx="4">
                  <c:v>4.3657291428620368</c:v>
                </c:pt>
                <c:pt idx="5">
                  <c:v>3.5622077802981171</c:v>
                </c:pt>
                <c:pt idx="6">
                  <c:v>-4.3657291428620368</c:v>
                </c:pt>
                <c:pt idx="7">
                  <c:v>-3.5622077802981171</c:v>
                </c:pt>
                <c:pt idx="8">
                  <c:v>2.7586864177341974</c:v>
                </c:pt>
                <c:pt idx="9">
                  <c:v>1.9551650551702782</c:v>
                </c:pt>
                <c:pt idx="10">
                  <c:v>-5.1692505054259561</c:v>
                </c:pt>
                <c:pt idx="11">
                  <c:v>-5.9727718679898754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33-4661-844A-D918385F9686}"/>
            </c:ext>
          </c:extLst>
        </c:ser>
        <c:ser>
          <c:idx val="3"/>
          <c:order val="2"/>
          <c:tx>
            <c:strRef>
              <c:f>'Rigid Bearing Plate Analysis'!$E$71</c:f>
              <c:strCache>
                <c:ptCount val="1"/>
                <c:pt idx="0">
                  <c:v>Load Point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Analysis'!$E$73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'Rigid Bearing Plate Analysis'!$F$73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33-4661-844A-D918385F9686}"/>
            </c:ext>
          </c:extLst>
        </c:ser>
        <c:ser>
          <c:idx val="1"/>
          <c:order val="3"/>
          <c:tx>
            <c:strRef>
              <c:f>'Rigid Bearing Plate Analysis'!$A$124</c:f>
              <c:strCache>
                <c:ptCount val="1"/>
                <c:pt idx="0">
                  <c:v>Neutral Axis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Analysis'!$F$126:$F$127</c:f>
              <c:numCache>
                <c:formatCode>0.000</c:formatCode>
                <c:ptCount val="2"/>
                <c:pt idx="0">
                  <c:v>-19.775299666768252</c:v>
                </c:pt>
                <c:pt idx="1">
                  <c:v>19.775299666768252</c:v>
                </c:pt>
              </c:numCache>
            </c:numRef>
          </c:xVal>
          <c:yVal>
            <c:numRef>
              <c:f>'Rigid Bearing Plate Analysis'!$G$126:$G$127</c:f>
              <c:numCache>
                <c:formatCode>0.000</c:formatCode>
                <c:ptCount val="2"/>
                <c:pt idx="0">
                  <c:v>3.1610732998276356</c:v>
                </c:pt>
                <c:pt idx="1">
                  <c:v>3.1610732998276356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33-4661-844A-D918385F9686}"/>
            </c:ext>
          </c:extLst>
        </c:ser>
        <c:ser>
          <c:idx val="4"/>
          <c:order val="4"/>
          <c:tx>
            <c:v>Line Integral Nodes, 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Analysis'!$J$132:$J$139</c:f>
              <c:numCache>
                <c:formatCode>0.000</c:formatCode>
                <c:ptCount val="8"/>
                <c:pt idx="0">
                  <c:v>-16.900416487452443</c:v>
                </c:pt>
                <c:pt idx="1">
                  <c:v>0</c:v>
                </c:pt>
                <c:pt idx="2">
                  <c:v>18.590795393795776</c:v>
                </c:pt>
                <c:pt idx="3">
                  <c:v>18.775299666768252</c:v>
                </c:pt>
                <c:pt idx="4">
                  <c:v>-16.900416487452443</c:v>
                </c:pt>
                <c:pt idx="5">
                  <c:v>-16.900416487452443</c:v>
                </c:pt>
                <c:pt idx="6">
                  <c:v>-16.900416487452443</c:v>
                </c:pt>
                <c:pt idx="7">
                  <c:v>-16.900416487452443</c:v>
                </c:pt>
              </c:numCache>
            </c:numRef>
          </c:xVal>
          <c:yVal>
            <c:numRef>
              <c:f>'Rigid Bearing Plate Analysis'!$K$132:$K$139</c:f>
              <c:numCache>
                <c:formatCode>0.000</c:formatCode>
                <c:ptCount val="8"/>
                <c:pt idx="0">
                  <c:v>9.3475088954568921</c:v>
                </c:pt>
                <c:pt idx="1">
                  <c:v>0</c:v>
                </c:pt>
                <c:pt idx="2">
                  <c:v>3.1610732998276356</c:v>
                </c:pt>
                <c:pt idx="3">
                  <c:v>4.5263807200733766</c:v>
                </c:pt>
                <c:pt idx="4">
                  <c:v>9.3475088954568921</c:v>
                </c:pt>
                <c:pt idx="5">
                  <c:v>9.3475088954568921</c:v>
                </c:pt>
                <c:pt idx="6">
                  <c:v>9.3475088954568921</c:v>
                </c:pt>
                <c:pt idx="7">
                  <c:v>9.3475088954568921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33-4661-844A-D918385F9686}"/>
            </c:ext>
          </c:extLst>
        </c:ser>
        <c:ser>
          <c:idx val="5"/>
          <c:order val="5"/>
          <c:tx>
            <c:v>Line Integral Nodes, 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Analysis'!$L$132:$L$139</c:f>
              <c:numCache>
                <c:formatCode>0.000</c:formatCode>
                <c:ptCount val="8"/>
                <c:pt idx="0">
                  <c:v>-17.736436115659821</c:v>
                </c:pt>
                <c:pt idx="1">
                  <c:v>0</c:v>
                </c:pt>
                <c:pt idx="2">
                  <c:v>18.775299666768252</c:v>
                </c:pt>
                <c:pt idx="3">
                  <c:v>-16.900416487452443</c:v>
                </c:pt>
                <c:pt idx="4">
                  <c:v>-16.900416487452443</c:v>
                </c:pt>
                <c:pt idx="5">
                  <c:v>-16.900416487452443</c:v>
                </c:pt>
                <c:pt idx="6">
                  <c:v>-16.900416487452443</c:v>
                </c:pt>
                <c:pt idx="7">
                  <c:v>-16.900416487452443</c:v>
                </c:pt>
              </c:numCache>
            </c:numRef>
          </c:xVal>
          <c:yVal>
            <c:numRef>
              <c:f>'Rigid Bearing Plate Analysis'!$M$132:$M$139</c:f>
              <c:numCache>
                <c:formatCode>0.000</c:formatCode>
                <c:ptCount val="8"/>
                <c:pt idx="0">
                  <c:v>3.1610732998276356</c:v>
                </c:pt>
                <c:pt idx="1">
                  <c:v>0</c:v>
                </c:pt>
                <c:pt idx="2">
                  <c:v>4.5263807200733766</c:v>
                </c:pt>
                <c:pt idx="3">
                  <c:v>9.3475088954568921</c:v>
                </c:pt>
                <c:pt idx="4">
                  <c:v>9.3475088954568921</c:v>
                </c:pt>
                <c:pt idx="5">
                  <c:v>9.3475088954568921</c:v>
                </c:pt>
                <c:pt idx="6">
                  <c:v>9.3475088954568921</c:v>
                </c:pt>
                <c:pt idx="7">
                  <c:v>9.3475088954568921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33-4661-844A-D918385F9686}"/>
            </c:ext>
          </c:extLst>
        </c:ser>
        <c:ser>
          <c:idx val="6"/>
          <c:order val="6"/>
          <c:tx>
            <c:v>Center of Bearing Stress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Analysis'!$P$142</c:f>
              <c:numCache>
                <c:formatCode>General</c:formatCode>
                <c:ptCount val="1"/>
                <c:pt idx="0">
                  <c:v>-5.9572232338769364</c:v>
                </c:pt>
              </c:numCache>
            </c:numRef>
          </c:xVal>
          <c:yVal>
            <c:numRef>
              <c:f>'Rigid Bearing Plate Analysis'!$P$143</c:f>
              <c:numCache>
                <c:formatCode>General</c:formatCode>
                <c:ptCount val="1"/>
                <c:pt idx="0">
                  <c:v>6.2804839061216367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33-4661-844A-D918385F9686}"/>
            </c:ext>
          </c:extLst>
        </c:ser>
        <c:ser>
          <c:idx val="7"/>
          <c:order val="7"/>
          <c:tx>
            <c:strRef>
              <c:f>'Rigid Bearing Plate Analysis'!$Q$71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Analysis'!$Q$73:$Q$74</c:f>
              <c:numCache>
                <c:formatCode>General</c:formatCode>
                <c:ptCount val="2"/>
                <c:pt idx="0">
                  <c:v>-19.775299666768252</c:v>
                </c:pt>
                <c:pt idx="1">
                  <c:v>19.775299666768252</c:v>
                </c:pt>
              </c:numCache>
            </c:numRef>
          </c:xVal>
          <c:yVal>
            <c:numRef>
              <c:f>'Rigid Bearing Plate Analysis'!$R$73:$R$74</c:f>
              <c:numCache>
                <c:formatCode>General</c:formatCode>
                <c:ptCount val="2"/>
                <c:pt idx="0">
                  <c:v>-19.775299666768252</c:v>
                </c:pt>
                <c:pt idx="1">
                  <c:v>19.775299666768252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15-48E9-8A41-91FC236BF74B}"/>
            </c:ext>
          </c:extLst>
        </c:ser>
        <c:ser>
          <c:idx val="8"/>
          <c:order val="8"/>
          <c:tx>
            <c:strRef>
              <c:f>'Rigid Bearing Plate Analysis'!$H$82</c:f>
              <c:strCache>
                <c:ptCount val="1"/>
                <c:pt idx="0">
                  <c:v>Hole-Transformed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Analysis'!$I$84:$I$92</c:f>
              <c:numCache>
                <c:formatCode>0.000</c:formatCode>
                <c:ptCount val="9"/>
                <c:pt idx="0">
                  <c:v>-16.900416487452443</c:v>
                </c:pt>
                <c:pt idx="1">
                  <c:v>-16.900416487452443</c:v>
                </c:pt>
                <c:pt idx="2">
                  <c:v>-16.900416487452443</c:v>
                </c:pt>
                <c:pt idx="3">
                  <c:v>-16.900416487452443</c:v>
                </c:pt>
                <c:pt idx="4">
                  <c:v>-16.900416487452443</c:v>
                </c:pt>
                <c:pt idx="5">
                  <c:v>-16.900416487452443</c:v>
                </c:pt>
                <c:pt idx="6">
                  <c:v>-16.900416487452443</c:v>
                </c:pt>
                <c:pt idx="7">
                  <c:v>-16.900416487452443</c:v>
                </c:pt>
                <c:pt idx="8">
                  <c:v>-16.900416487452443</c:v>
                </c:pt>
              </c:numCache>
            </c:numRef>
          </c:xVal>
          <c:yVal>
            <c:numRef>
              <c:f>'Rigid Bearing Plate Analysis'!$J$84:$J$92</c:f>
              <c:numCache>
                <c:formatCode>General</c:formatCode>
                <c:ptCount val="9"/>
                <c:pt idx="0">
                  <c:v>9.3475088954568921</c:v>
                </c:pt>
                <c:pt idx="1">
                  <c:v>9.3475088954568921</c:v>
                </c:pt>
                <c:pt idx="2">
                  <c:v>9.3475088954568921</c:v>
                </c:pt>
                <c:pt idx="3">
                  <c:v>9.3475088954568921</c:v>
                </c:pt>
                <c:pt idx="4">
                  <c:v>9.3475088954568921</c:v>
                </c:pt>
                <c:pt idx="5">
                  <c:v>9.3475088954568921</c:v>
                </c:pt>
                <c:pt idx="6">
                  <c:v>9.3475088954568921</c:v>
                </c:pt>
                <c:pt idx="7">
                  <c:v>9.3475088954568921</c:v>
                </c:pt>
                <c:pt idx="8">
                  <c:v>9.3475088954568921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89-4F20-AB08-C65EDB46671B}"/>
            </c:ext>
          </c:extLst>
        </c:ser>
        <c:ser>
          <c:idx val="9"/>
          <c:order val="9"/>
          <c:tx>
            <c:v>Hole-Line Integral Nodes, i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Analysis'!$J$146:$J$153</c:f>
              <c:numCache>
                <c:formatCode>0.000</c:formatCode>
                <c:ptCount val="8"/>
                <c:pt idx="0">
                  <c:v>-16.900416487452443</c:v>
                </c:pt>
                <c:pt idx="1">
                  <c:v>-16.900416487452443</c:v>
                </c:pt>
                <c:pt idx="2">
                  <c:v>-16.900416487452443</c:v>
                </c:pt>
                <c:pt idx="3">
                  <c:v>-16.900416487452443</c:v>
                </c:pt>
                <c:pt idx="4">
                  <c:v>-16.900416487452443</c:v>
                </c:pt>
                <c:pt idx="5">
                  <c:v>-16.900416487452443</c:v>
                </c:pt>
                <c:pt idx="6">
                  <c:v>-16.900416487452443</c:v>
                </c:pt>
                <c:pt idx="7">
                  <c:v>-16.900416487452443</c:v>
                </c:pt>
              </c:numCache>
            </c:numRef>
          </c:xVal>
          <c:yVal>
            <c:numRef>
              <c:f>'Rigid Bearing Plate Analysis'!$K$146:$K$153</c:f>
              <c:numCache>
                <c:formatCode>0.000</c:formatCode>
                <c:ptCount val="8"/>
                <c:pt idx="0">
                  <c:v>9.3475088954568921</c:v>
                </c:pt>
                <c:pt idx="1">
                  <c:v>9.3475088954568921</c:v>
                </c:pt>
                <c:pt idx="2">
                  <c:v>9.3475088954568921</c:v>
                </c:pt>
                <c:pt idx="3">
                  <c:v>9.3475088954568921</c:v>
                </c:pt>
                <c:pt idx="4">
                  <c:v>9.3475088954568921</c:v>
                </c:pt>
                <c:pt idx="5">
                  <c:v>9.3475088954568921</c:v>
                </c:pt>
                <c:pt idx="6">
                  <c:v>9.3475088954568921</c:v>
                </c:pt>
                <c:pt idx="7">
                  <c:v>9.3475088954568921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89-4F20-AB08-C65EDB46671B}"/>
            </c:ext>
          </c:extLst>
        </c:ser>
        <c:ser>
          <c:idx val="10"/>
          <c:order val="10"/>
          <c:tx>
            <c:v>Hole-Line Integral Nodes, j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Analysis'!$L$146:$L$153</c:f>
              <c:numCache>
                <c:formatCode>0.000</c:formatCode>
                <c:ptCount val="8"/>
                <c:pt idx="0">
                  <c:v>-16.900416487452443</c:v>
                </c:pt>
                <c:pt idx="1">
                  <c:v>-16.900416487452443</c:v>
                </c:pt>
                <c:pt idx="2">
                  <c:v>-16.900416487452443</c:v>
                </c:pt>
                <c:pt idx="3">
                  <c:v>-16.900416487452443</c:v>
                </c:pt>
                <c:pt idx="4">
                  <c:v>-16.900416487452443</c:v>
                </c:pt>
                <c:pt idx="5">
                  <c:v>-16.900416487452443</c:v>
                </c:pt>
                <c:pt idx="6">
                  <c:v>-16.900416487452443</c:v>
                </c:pt>
                <c:pt idx="7">
                  <c:v>-16.900416487452443</c:v>
                </c:pt>
              </c:numCache>
            </c:numRef>
          </c:xVal>
          <c:yVal>
            <c:numRef>
              <c:f>'Rigid Bearing Plate Analysis'!$M$146:$M$153</c:f>
              <c:numCache>
                <c:formatCode>0.000</c:formatCode>
                <c:ptCount val="8"/>
                <c:pt idx="0">
                  <c:v>9.3475088954568921</c:v>
                </c:pt>
                <c:pt idx="1">
                  <c:v>9.3475088954568921</c:v>
                </c:pt>
                <c:pt idx="2">
                  <c:v>9.3475088954568921</c:v>
                </c:pt>
                <c:pt idx="3">
                  <c:v>9.3475088954568921</c:v>
                </c:pt>
                <c:pt idx="4">
                  <c:v>9.3475088954568921</c:v>
                </c:pt>
                <c:pt idx="5">
                  <c:v>9.3475088954568921</c:v>
                </c:pt>
                <c:pt idx="6">
                  <c:v>9.3475088954568921</c:v>
                </c:pt>
                <c:pt idx="7">
                  <c:v>9.3475088954568921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89-4F20-AB08-C65EDB46671B}"/>
            </c:ext>
          </c:extLst>
        </c:ser>
        <c:ser>
          <c:idx val="11"/>
          <c:order val="11"/>
          <c:tx>
            <c:v>Center of Hole Stress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Analysis'!$P$156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Analysis'!$P$157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89-4F20-AB08-C65EDB46671B}"/>
            </c:ext>
          </c:extLst>
        </c:ser>
        <c:ser>
          <c:idx val="12"/>
          <c:order val="12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Analysis'!$Q$110:$Q$121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-15.400562639301233</c:v>
                </c:pt>
                <c:pt idx="3">
                  <c:v>-9.4546099469311198</c:v>
                </c:pt>
                <c:pt idx="4">
                  <c:v>#N/A</c:v>
                </c:pt>
                <c:pt idx="5">
                  <c:v>#N/A</c:v>
                </c:pt>
                <c:pt idx="6">
                  <c:v>2.4372954378091114</c:v>
                </c:pt>
                <c:pt idx="7">
                  <c:v>-3.5086572545610037</c:v>
                </c:pt>
                <c:pt idx="8">
                  <c:v>9.4546099469311198</c:v>
                </c:pt>
                <c:pt idx="9">
                  <c:v>15.400562639301233</c:v>
                </c:pt>
                <c:pt idx="10">
                  <c:v>8.3832481301792274</c:v>
                </c:pt>
                <c:pt idx="11">
                  <c:v>14.329200822549341</c:v>
                </c:pt>
              </c:numCache>
            </c:numRef>
          </c:xVal>
          <c:yVal>
            <c:numRef>
              <c:f>'Rigid Bearing Plate Analysis'!$R$110:$R$121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-1.9551650551702782</c:v>
                </c:pt>
                <c:pt idx="3">
                  <c:v>-2.7586864177341974</c:v>
                </c:pt>
                <c:pt idx="4">
                  <c:v>#N/A</c:v>
                </c:pt>
                <c:pt idx="5">
                  <c:v>#N/A</c:v>
                </c:pt>
                <c:pt idx="6">
                  <c:v>-4.3657291428620368</c:v>
                </c:pt>
                <c:pt idx="7">
                  <c:v>-3.5622077802981171</c:v>
                </c:pt>
                <c:pt idx="8">
                  <c:v>2.7586864177341974</c:v>
                </c:pt>
                <c:pt idx="9">
                  <c:v>1.9551650551702782</c:v>
                </c:pt>
                <c:pt idx="10">
                  <c:v>-5.1692505054259561</c:v>
                </c:pt>
                <c:pt idx="11">
                  <c:v>-5.9727718679898754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E5-48C7-955D-472C8155F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36</c:v>
                </c:pt>
                <c:pt idx="3">
                  <c:v>36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1D-4A34-AE9A-0BAFE1D680D0}"/>
            </c:ext>
          </c:extLst>
        </c:ser>
        <c:ser>
          <c:idx val="1"/>
          <c:order val="1"/>
          <c:tx>
            <c:v>elastic_axis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'Rigid Bearing Plate Analysis'!$AE$26:$AE$27</c:f>
              <c:numCache>
                <c:formatCode>General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xVal>
          <c:yVal>
            <c:numRef>
              <c:f>'Rigid Bearing Plate Analysis'!$AF$26:$AF$27</c:f>
              <c:numCache>
                <c:formatCode>General</c:formatCode>
                <c:ptCount val="2"/>
                <c:pt idx="0">
                  <c:v>0</c:v>
                </c:pt>
                <c:pt idx="1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1D-4A34-AE9A-0BAFE1D680D0}"/>
            </c:ext>
          </c:extLst>
        </c:ser>
        <c:ser>
          <c:idx val="2"/>
          <c:order val="2"/>
          <c:tx>
            <c:v>elastic_0pt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2"/>
            <c:spPr>
              <a:noFill/>
              <a:ln w="12700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Analysis'!$AE$36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Analysis'!$AF$36</c:f>
              <c:numCache>
                <c:formatCode>General</c:formatCode>
                <c:ptCount val="1"/>
                <c:pt idx="0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1D-4A34-AE9A-0BAFE1D680D0}"/>
            </c:ext>
          </c:extLst>
        </c:ser>
        <c:ser>
          <c:idx val="3"/>
          <c:order val="3"/>
          <c:tx>
            <c:v>elastic_na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'Rigid Bearing Plate Analysis'!$AJ$36:$AJ$37</c:f>
              <c:numCache>
                <c:formatCode>General</c:formatCode>
                <c:ptCount val="2"/>
                <c:pt idx="0">
                  <c:v>40.552168175486656</c:v>
                </c:pt>
                <c:pt idx="1">
                  <c:v>-26.552168175486656</c:v>
                </c:pt>
              </c:numCache>
            </c:numRef>
          </c:xVal>
          <c:yVal>
            <c:numRef>
              <c:f>'Rigid Bearing Plate Analysis'!$AK$36:$AK$37</c:f>
              <c:numCache>
                <c:formatCode>General</c:formatCode>
                <c:ptCount val="2"/>
                <c:pt idx="0">
                  <c:v>4.9519345984218628</c:v>
                </c:pt>
                <c:pt idx="1">
                  <c:v>31.048065401578135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31D-4A34-AE9A-0BAFE1D68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763055"/>
        <c:axId val="1827099199"/>
      </c:scatterChart>
      <c:valAx>
        <c:axId val="1904763055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99199"/>
        <c:crosses val="autoZero"/>
        <c:crossBetween val="midCat"/>
      </c:valAx>
      <c:valAx>
        <c:axId val="1827099199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7630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E15349-04D4-49E2-9984-05D304900EF1}">
  <sheetPr codeName="Chart1"/>
  <sheetViews>
    <sheetView zoomScale="13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222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171449</xdr:colOff>
      <xdr:row>23</xdr:row>
      <xdr:rowOff>61911</xdr:rowOff>
    </xdr:from>
    <xdr:to>
      <xdr:col>15</xdr:col>
      <xdr:colOff>381000</xdr:colOff>
      <xdr:row>52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561975</xdr:colOff>
      <xdr:row>73</xdr:row>
      <xdr:rowOff>85725</xdr:rowOff>
    </xdr:from>
    <xdr:to>
      <xdr:col>14</xdr:col>
      <xdr:colOff>304800</xdr:colOff>
      <xdr:row>107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63</xdr:row>
          <xdr:rowOff>47625</xdr:rowOff>
        </xdr:from>
        <xdr:to>
          <xdr:col>12</xdr:col>
          <xdr:colOff>276225</xdr:colOff>
          <xdr:row>67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and Tension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63</xdr:row>
          <xdr:rowOff>38100</xdr:rowOff>
        </xdr:from>
        <xdr:to>
          <xdr:col>19</xdr:col>
          <xdr:colOff>457200</xdr:colOff>
          <xdr:row>67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Only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54</xdr:row>
          <xdr:rowOff>38100</xdr:rowOff>
        </xdr:from>
        <xdr:to>
          <xdr:col>17</xdr:col>
          <xdr:colOff>419100</xdr:colOff>
          <xdr:row>56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General Solution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56</xdr:row>
          <xdr:rowOff>142875</xdr:rowOff>
        </xdr:from>
        <xdr:to>
          <xdr:col>17</xdr:col>
          <xdr:colOff>400050</xdr:colOff>
          <xdr:row>60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and Tension stresses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56</xdr:row>
          <xdr:rowOff>114300</xdr:rowOff>
        </xdr:from>
        <xdr:to>
          <xdr:col>20</xdr:col>
          <xdr:colOff>609600</xdr:colOff>
          <xdr:row>60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stresses only or very small tensile stress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54</xdr:row>
          <xdr:rowOff>114300</xdr:rowOff>
        </xdr:from>
        <xdr:to>
          <xdr:col>23</xdr:col>
          <xdr:colOff>304800</xdr:colOff>
          <xdr:row>60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Set to Maximum allowed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695325</xdr:colOff>
          <xdr:row>62</xdr:row>
          <xdr:rowOff>161925</xdr:rowOff>
        </xdr:from>
        <xdr:to>
          <xdr:col>22</xdr:col>
          <xdr:colOff>619125</xdr:colOff>
          <xdr:row>66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Max Compression Case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274544</xdr:colOff>
      <xdr:row>37</xdr:row>
      <xdr:rowOff>73958</xdr:rowOff>
    </xdr:from>
    <xdr:to>
      <xdr:col>36</xdr:col>
      <xdr:colOff>593913</xdr:colOff>
      <xdr:row>56</xdr:row>
      <xdr:rowOff>112059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2758-24D0-4825-B846-535F70250843}">
  <sheetPr codeName="Sheet1"/>
  <dimension ref="A1:AN219"/>
  <sheetViews>
    <sheetView tabSelected="1" topLeftCell="A25" zoomScale="85" zoomScaleNormal="85" workbookViewId="0">
      <selection activeCell="N60" sqref="N60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4" width="12" bestFit="1" customWidth="1"/>
    <col min="5" max="5" width="12.5703125" bestFit="1" customWidth="1"/>
    <col min="6" max="7" width="10.28515625" bestFit="1" customWidth="1"/>
    <col min="8" max="8" width="12.28515625" customWidth="1"/>
    <col min="9" max="9" width="12.140625" customWidth="1"/>
    <col min="10" max="11" width="10.28515625" bestFit="1" customWidth="1"/>
    <col min="12" max="12" width="12.28515625" bestFit="1" customWidth="1"/>
    <col min="13" max="13" width="10.28515625" bestFit="1" customWidth="1"/>
    <col min="14" max="14" width="10.42578125" bestFit="1" customWidth="1"/>
    <col min="15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3.5703125" bestFit="1" customWidth="1"/>
    <col min="25" max="25" width="11.28515625" customWidth="1"/>
  </cols>
  <sheetData>
    <row r="1" spans="1:40" x14ac:dyDescent="0.25">
      <c r="A1" t="s">
        <v>101</v>
      </c>
    </row>
    <row r="2" spans="1:40" x14ac:dyDescent="0.25">
      <c r="A2" s="10" t="s">
        <v>78</v>
      </c>
      <c r="B2" s="2">
        <v>0</v>
      </c>
      <c r="C2" t="s">
        <v>36</v>
      </c>
      <c r="D2" t="s">
        <v>103</v>
      </c>
      <c r="G2" s="1" t="s">
        <v>207</v>
      </c>
      <c r="H2" s="10" t="s">
        <v>186</v>
      </c>
      <c r="I2">
        <f>B2/D22</f>
        <v>0</v>
      </c>
      <c r="J2" t="s">
        <v>11</v>
      </c>
      <c r="N2" t="s">
        <v>188</v>
      </c>
    </row>
    <row r="3" spans="1:40" x14ac:dyDescent="0.25">
      <c r="A3" s="10" t="s">
        <v>79</v>
      </c>
      <c r="B3" s="2">
        <v>2400</v>
      </c>
      <c r="C3" t="s">
        <v>102</v>
      </c>
      <c r="D3" t="str">
        <f>"- Mx puts compression on +y"</f>
        <v>- Mx puts compression on +y</v>
      </c>
      <c r="G3" s="4">
        <f>B3/12</f>
        <v>200</v>
      </c>
      <c r="H3" s="10" t="s">
        <v>177</v>
      </c>
      <c r="I3" s="3">
        <f>B9-E22</f>
        <v>0</v>
      </c>
      <c r="J3" t="s">
        <v>22</v>
      </c>
      <c r="K3" t="s">
        <v>179</v>
      </c>
      <c r="L3" s="4">
        <f>B2*I3</f>
        <v>0</v>
      </c>
      <c r="M3" t="str">
        <f>"+My"</f>
        <v>+My</v>
      </c>
      <c r="N3" s="4">
        <f>L3+B4</f>
        <v>-2400</v>
      </c>
      <c r="O3" t="s">
        <v>102</v>
      </c>
    </row>
    <row r="4" spans="1:40" x14ac:dyDescent="0.25">
      <c r="A4" s="10" t="s">
        <v>80</v>
      </c>
      <c r="B4" s="2">
        <v>-2400</v>
      </c>
      <c r="C4" t="s">
        <v>102</v>
      </c>
      <c r="D4" t="str">
        <f>"- My puts compression on -x"</f>
        <v>- My puts compression on -x</v>
      </c>
      <c r="G4" s="4">
        <f>B4/12</f>
        <v>-200</v>
      </c>
      <c r="H4" s="10" t="s">
        <v>178</v>
      </c>
      <c r="I4" s="3">
        <f>C9-F22</f>
        <v>0</v>
      </c>
      <c r="J4" t="s">
        <v>22</v>
      </c>
      <c r="K4" t="s">
        <v>180</v>
      </c>
      <c r="L4" s="4">
        <f>B2*I4*-1</f>
        <v>0</v>
      </c>
      <c r="M4" t="str">
        <f>"+Mx"</f>
        <v>+Mx</v>
      </c>
      <c r="N4" s="4">
        <f>B3+L4</f>
        <v>2400</v>
      </c>
      <c r="O4" t="s">
        <v>102</v>
      </c>
    </row>
    <row r="5" spans="1:40" x14ac:dyDescent="0.25">
      <c r="A5" s="10" t="s">
        <v>104</v>
      </c>
      <c r="B5" s="20">
        <f>IF(AND(B3=0,B4=0),0,ATAN2(B3,B4))</f>
        <v>-0.78539816339744828</v>
      </c>
      <c r="C5" t="s">
        <v>19</v>
      </c>
      <c r="M5" s="10" t="s">
        <v>104</v>
      </c>
      <c r="N5" s="20">
        <f>IF(AND(N4=0,N3=0),0,ATAN2(N4,N3))</f>
        <v>-0.78539816339744828</v>
      </c>
      <c r="O5" t="s">
        <v>19</v>
      </c>
      <c r="P5" t="s">
        <v>187</v>
      </c>
    </row>
    <row r="6" spans="1:40" x14ac:dyDescent="0.25">
      <c r="A6" s="10"/>
      <c r="B6" s="15"/>
      <c r="F6" t="s">
        <v>206</v>
      </c>
      <c r="G6" s="1">
        <f>(300/1000)*18</f>
        <v>5.3999999999999995</v>
      </c>
      <c r="H6" s="16" t="s">
        <v>102</v>
      </c>
    </row>
    <row r="7" spans="1:40" x14ac:dyDescent="0.25">
      <c r="A7" t="s">
        <v>20</v>
      </c>
      <c r="N7" s="8"/>
    </row>
    <row r="8" spans="1:40" x14ac:dyDescent="0.25">
      <c r="B8" s="1" t="s">
        <v>6</v>
      </c>
      <c r="C8" s="1" t="s">
        <v>7</v>
      </c>
    </row>
    <row r="9" spans="1:40" x14ac:dyDescent="0.25">
      <c r="B9" s="2">
        <v>7</v>
      </c>
      <c r="C9" s="2">
        <v>18</v>
      </c>
      <c r="D9" t="s">
        <v>21</v>
      </c>
    </row>
    <row r="11" spans="1:40" x14ac:dyDescent="0.25">
      <c r="A11" t="s">
        <v>0</v>
      </c>
      <c r="B11" t="s">
        <v>205</v>
      </c>
      <c r="E11" s="60" t="str">
        <f>IF(D22&lt;0,"Plate Coordinates entered in the wrong order","")</f>
        <v/>
      </c>
      <c r="N11" t="s">
        <v>176</v>
      </c>
      <c r="AD11" t="s">
        <v>181</v>
      </c>
    </row>
    <row r="12" spans="1:40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  <c r="AD12" s="18" t="s">
        <v>182</v>
      </c>
      <c r="AE12" s="18"/>
      <c r="AG12" s="18" t="s">
        <v>183</v>
      </c>
      <c r="AH12" s="18" t="s">
        <v>184</v>
      </c>
      <c r="AK12" s="18" t="s">
        <v>185</v>
      </c>
    </row>
    <row r="13" spans="1:40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20.784609690826528</v>
      </c>
      <c r="L13" s="4">
        <f>SQRT(H22/D22)</f>
        <v>8.0829037686547611</v>
      </c>
      <c r="M13" s="4">
        <f>SQRT(J22/D22)</f>
        <v>22.300971578236975</v>
      </c>
      <c r="N13" s="19">
        <f>G22-(D22*F22*F22)</f>
        <v>54432</v>
      </c>
      <c r="O13" s="19">
        <f>H22-(D22*E22*E22)</f>
        <v>8232</v>
      </c>
      <c r="P13" s="19">
        <f>I22-(D22*E22*F22)</f>
        <v>0</v>
      </c>
      <c r="Q13" s="19">
        <f>N13+O13</f>
        <v>62664</v>
      </c>
      <c r="R13" s="19">
        <f>SQRT(ABS(N13/D22))</f>
        <v>10.392304845413264</v>
      </c>
      <c r="S13" s="19">
        <f>SQRT(O13/D22)</f>
        <v>4.0414518843273806</v>
      </c>
      <c r="T13" s="19">
        <f>SQRT(Q13/D22)</f>
        <v>11.150485789118488</v>
      </c>
      <c r="U13" s="19">
        <f>N13/(MAX(C13:C20)-F22)</f>
        <v>3024</v>
      </c>
      <c r="V13" s="19">
        <f>N13/(MIN(C13:C20)-F22)</f>
        <v>-3024</v>
      </c>
      <c r="W13" s="19">
        <f>O13/(MIN(B13:B20)-E22)</f>
        <v>-1176</v>
      </c>
      <c r="X13" s="19">
        <f>O13/(MAX(B13:B20)-E22)</f>
        <v>1176</v>
      </c>
    </row>
    <row r="14" spans="1:40" x14ac:dyDescent="0.25">
      <c r="A14">
        <v>2</v>
      </c>
      <c r="B14" s="7">
        <v>14</v>
      </c>
      <c r="C14" s="7"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-1.1999050379822342</v>
      </c>
      <c r="L14">
        <f>IF(AND(B14=B15,C14=C15),0,1)</f>
        <v>1</v>
      </c>
      <c r="Y14" s="1">
        <f>$N$13/(C14-$F$22)</f>
        <v>-3024</v>
      </c>
      <c r="Z14">
        <f>$O$13/(B14-$E$22)</f>
        <v>1176</v>
      </c>
      <c r="AA14">
        <f>-1*$B$3/Y14</f>
        <v>0.79365079365079361</v>
      </c>
      <c r="AB14">
        <f>$B$4/Z14</f>
        <v>-2.0408163265306123</v>
      </c>
      <c r="AC14">
        <f>$I$2+AG14+AK14</f>
        <v>-1.2471655328798188</v>
      </c>
      <c r="AD14" s="9">
        <f>C14-$F$22</f>
        <v>-18</v>
      </c>
      <c r="AE14">
        <f>(AD14*$N$4*$O$13)/(($N$13*$O$13)-($P$13*$P$13))</f>
        <v>-0.79365079365079361</v>
      </c>
      <c r="AF14">
        <f>(AD14*$N$3*$P$13)/(($N$13*$O$13)-($P$13*$P$13))</f>
        <v>0</v>
      </c>
      <c r="AG14">
        <f>(AE14+AF14)*-1</f>
        <v>0.79365079365079361</v>
      </c>
      <c r="AH14" s="9">
        <f>B14-$E$22</f>
        <v>7</v>
      </c>
      <c r="AI14">
        <f>(-1*AH14*$N$3*$N$13)/(($N$13*$O$13)-($P$13*$P$13))</f>
        <v>2.0408163265306123</v>
      </c>
      <c r="AJ14">
        <f>(-1*AH14*$N$4*$P$13)/(($N$13*$O$13)-($P$13*$P$13))</f>
        <v>0</v>
      </c>
      <c r="AK14">
        <f>(AI14+AJ14)*-1</f>
        <v>-2.0408163265306123</v>
      </c>
      <c r="AM14">
        <f>AA14+AB14+$I$2</f>
        <v>-1.2471655328798188</v>
      </c>
      <c r="AN14" t="b">
        <f>AM14=AC14</f>
        <v>1</v>
      </c>
    </row>
    <row r="15" spans="1:40" x14ac:dyDescent="0.25">
      <c r="A15">
        <v>3</v>
      </c>
      <c r="B15" s="7">
        <v>14</v>
      </c>
      <c r="C15" s="7">
        <v>36</v>
      </c>
      <c r="D15" s="5">
        <f t="shared" ref="D15:D18" si="0">((B14*C15)-(B15*C14))*0.5</f>
        <v>252</v>
      </c>
      <c r="E15" s="5">
        <f t="shared" ref="E15:E18" si="1">(B15+B14)*((B14*C15)-(B15*C14))*(1/6)</f>
        <v>2352</v>
      </c>
      <c r="F15" s="5">
        <f t="shared" ref="F15:F18" si="2">(C15+C14)*((B14*C15)-(B15*C14))*(1/6)</f>
        <v>3024</v>
      </c>
      <c r="G15" s="5">
        <f t="shared" ref="G15:G18" si="3">(((C14*C14)+(C14*C15)+(C15*C15))*((B14*C15)-(B15*C14)))/12</f>
        <v>54432</v>
      </c>
      <c r="H15" s="5">
        <f t="shared" ref="H15:H18" si="4">(((B14*B14)+(B14*B15)+(B15*B15))*((B14*C15)-(B15*C14)))/12</f>
        <v>24696</v>
      </c>
      <c r="I15" s="5">
        <f t="shared" ref="I15:I18" si="5">(((B14*C15)+(2*B14*C14)+(2*B15*C15)+(B15*C14))*((B14*C15)-(B15*C14)))/24</f>
        <v>31752</v>
      </c>
      <c r="J15" s="5">
        <f t="shared" ref="J15:J18" si="6">G15+H15</f>
        <v>79128</v>
      </c>
      <c r="K15">
        <f t="shared" ref="K15:K21" si="7">ATAN2((B15-$E$22),(C15-$F$22))</f>
        <v>1.1999050379822342</v>
      </c>
      <c r="L15">
        <f t="shared" ref="L15:L20" si="8">IF(AND(B15=B16,C15=C16),0,1)</f>
        <v>1</v>
      </c>
      <c r="N15" t="s">
        <v>136</v>
      </c>
      <c r="O15">
        <v>4</v>
      </c>
      <c r="Y15" s="1">
        <f t="shared" ref="Y15:Y21" si="9">$N$13/(C15-$F$22)</f>
        <v>3024</v>
      </c>
      <c r="Z15">
        <f t="shared" ref="Z15:Z21" si="10">$O$13/(B15-$E$22)</f>
        <v>1176</v>
      </c>
      <c r="AA15">
        <f t="shared" ref="AA15:AA21" si="11">-1*$B$3/Y15</f>
        <v>-0.79365079365079361</v>
      </c>
      <c r="AB15">
        <f t="shared" ref="AB15:AB21" si="12">$B$4/Z15</f>
        <v>-2.0408163265306123</v>
      </c>
      <c r="AC15">
        <f t="shared" ref="AC15:AC21" si="13">$I$2+AG15+AK15</f>
        <v>-2.8344671201814058</v>
      </c>
      <c r="AD15" s="9">
        <f t="shared" ref="AD15:AD21" si="14">C15-$F$22</f>
        <v>18</v>
      </c>
      <c r="AE15">
        <f t="shared" ref="AE15:AE21" si="15">(AD15*$N$4*$O$13)/(($N$13*$O$13)-($P$13*$P$13))</f>
        <v>0.79365079365079361</v>
      </c>
      <c r="AF15">
        <f t="shared" ref="AF15:AF21" si="16">(AD15*$N$3*$P$13)/(($N$13*$O$13)-($P$13*$P$13))</f>
        <v>0</v>
      </c>
      <c r="AG15">
        <f t="shared" ref="AG15:AG21" si="17">(AE15+AF15)*-1</f>
        <v>-0.79365079365079361</v>
      </c>
      <c r="AH15" s="9">
        <f t="shared" ref="AH15:AH21" si="18">B15-$E$22</f>
        <v>7</v>
      </c>
      <c r="AI15">
        <f t="shared" ref="AI15:AI21" si="19">(-1*AH15*$N$3*$N$13)/(($N$13*$O$13)-($P$13*$P$13))</f>
        <v>2.0408163265306123</v>
      </c>
      <c r="AJ15">
        <f t="shared" ref="AJ15:AJ21" si="20">(-1*AH15*$N$4*$P$13)/(($N$13*$O$13)-($P$13*$P$13))</f>
        <v>0</v>
      </c>
      <c r="AK15">
        <f t="shared" ref="AK15:AK21" si="21">(AI15+AJ15)*-1</f>
        <v>-2.0408163265306123</v>
      </c>
      <c r="AM15">
        <f t="shared" ref="AM15:AM21" si="22">AA15+AB15+$I$2</f>
        <v>-2.8344671201814058</v>
      </c>
      <c r="AN15" t="b">
        <f t="shared" ref="AN15:AN21" si="23">AM15=AC15</f>
        <v>1</v>
      </c>
    </row>
    <row r="16" spans="1:40" x14ac:dyDescent="0.25">
      <c r="A16">
        <v>4</v>
      </c>
      <c r="B16" s="7">
        <v>0</v>
      </c>
      <c r="C16" s="7"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1.9416876156075589</v>
      </c>
      <c r="L16">
        <f t="shared" si="8"/>
        <v>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9"/>
        <v>3024</v>
      </c>
      <c r="Z16">
        <f t="shared" si="10"/>
        <v>-1176</v>
      </c>
      <c r="AA16">
        <f t="shared" si="11"/>
        <v>-0.79365079365079361</v>
      </c>
      <c r="AB16">
        <f t="shared" si="12"/>
        <v>2.0408163265306123</v>
      </c>
      <c r="AC16">
        <f t="shared" si="13"/>
        <v>1.2471655328798188</v>
      </c>
      <c r="AD16" s="9">
        <f t="shared" si="14"/>
        <v>18</v>
      </c>
      <c r="AE16">
        <f t="shared" si="15"/>
        <v>0.79365079365079361</v>
      </c>
      <c r="AF16">
        <f t="shared" si="16"/>
        <v>0</v>
      </c>
      <c r="AG16">
        <f t="shared" si="17"/>
        <v>-0.79365079365079361</v>
      </c>
      <c r="AH16" s="9">
        <f t="shared" si="18"/>
        <v>-7</v>
      </c>
      <c r="AI16">
        <f t="shared" si="19"/>
        <v>-2.0408163265306123</v>
      </c>
      <c r="AJ16">
        <f t="shared" si="20"/>
        <v>0</v>
      </c>
      <c r="AK16">
        <f t="shared" si="21"/>
        <v>2.0408163265306123</v>
      </c>
      <c r="AM16">
        <f t="shared" si="22"/>
        <v>1.2471655328798188</v>
      </c>
      <c r="AN16" t="b">
        <f t="shared" si="23"/>
        <v>1</v>
      </c>
    </row>
    <row r="17" spans="1:40" x14ac:dyDescent="0.25">
      <c r="A17">
        <v>5</v>
      </c>
      <c r="B17" s="7">
        <v>0</v>
      </c>
      <c r="C17" s="7"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-1.9416876156075589</v>
      </c>
      <c r="L17">
        <f t="shared" si="8"/>
        <v>0</v>
      </c>
      <c r="N17" t="s">
        <v>137</v>
      </c>
      <c r="O17">
        <f>K14</f>
        <v>-1.1999050379822342</v>
      </c>
      <c r="Q17" t="s">
        <v>137</v>
      </c>
      <c r="R17">
        <f>U16</f>
        <v>5.497787143782138</v>
      </c>
      <c r="Y17" s="1">
        <f t="shared" si="9"/>
        <v>-3024</v>
      </c>
      <c r="Z17">
        <f t="shared" si="10"/>
        <v>-1176</v>
      </c>
      <c r="AA17">
        <f t="shared" si="11"/>
        <v>0.79365079365079361</v>
      </c>
      <c r="AB17">
        <f t="shared" si="12"/>
        <v>2.0408163265306123</v>
      </c>
      <c r="AC17">
        <f t="shared" si="13"/>
        <v>2.8344671201814058</v>
      </c>
      <c r="AD17" s="9">
        <f t="shared" si="14"/>
        <v>-18</v>
      </c>
      <c r="AE17">
        <f t="shared" si="15"/>
        <v>-0.79365079365079361</v>
      </c>
      <c r="AF17">
        <f t="shared" si="16"/>
        <v>0</v>
      </c>
      <c r="AG17">
        <f t="shared" si="17"/>
        <v>0.79365079365079361</v>
      </c>
      <c r="AH17" s="9">
        <f t="shared" si="18"/>
        <v>-7</v>
      </c>
      <c r="AI17">
        <f t="shared" si="19"/>
        <v>-2.0408163265306123</v>
      </c>
      <c r="AJ17">
        <f t="shared" si="20"/>
        <v>0</v>
      </c>
      <c r="AK17">
        <f t="shared" si="21"/>
        <v>2.0408163265306123</v>
      </c>
      <c r="AM17">
        <f t="shared" si="22"/>
        <v>2.8344671201814058</v>
      </c>
      <c r="AN17" t="b">
        <f t="shared" si="23"/>
        <v>1</v>
      </c>
    </row>
    <row r="18" spans="1:40" x14ac:dyDescent="0.25">
      <c r="A18">
        <v>6</v>
      </c>
      <c r="B18" s="7">
        <v>0</v>
      </c>
      <c r="C18" s="7"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-1.9416876156075589</v>
      </c>
      <c r="L18">
        <f t="shared" si="8"/>
        <v>0</v>
      </c>
      <c r="N18" t="s">
        <v>1</v>
      </c>
      <c r="O18" t="s">
        <v>2</v>
      </c>
      <c r="Q18" t="s">
        <v>1</v>
      </c>
      <c r="R18" t="s">
        <v>2</v>
      </c>
      <c r="Y18" s="1">
        <f t="shared" si="9"/>
        <v>-3024</v>
      </c>
      <c r="Z18">
        <f t="shared" si="10"/>
        <v>-1176</v>
      </c>
      <c r="AA18">
        <f t="shared" si="11"/>
        <v>0.79365079365079361</v>
      </c>
      <c r="AB18">
        <f t="shared" si="12"/>
        <v>2.0408163265306123</v>
      </c>
      <c r="AC18">
        <f t="shared" si="13"/>
        <v>2.8344671201814058</v>
      </c>
      <c r="AD18" s="9">
        <f t="shared" si="14"/>
        <v>-18</v>
      </c>
      <c r="AE18">
        <f t="shared" si="15"/>
        <v>-0.79365079365079361</v>
      </c>
      <c r="AF18">
        <f t="shared" si="16"/>
        <v>0</v>
      </c>
      <c r="AG18">
        <f t="shared" si="17"/>
        <v>0.79365079365079361</v>
      </c>
      <c r="AH18" s="9">
        <f t="shared" si="18"/>
        <v>-7</v>
      </c>
      <c r="AI18">
        <f t="shared" si="19"/>
        <v>-2.0408163265306123</v>
      </c>
      <c r="AJ18">
        <f t="shared" si="20"/>
        <v>0</v>
      </c>
      <c r="AK18">
        <f t="shared" si="21"/>
        <v>2.0408163265306123</v>
      </c>
      <c r="AM18">
        <f t="shared" si="22"/>
        <v>2.8344671201814058</v>
      </c>
      <c r="AN18" t="b">
        <f t="shared" si="23"/>
        <v>1</v>
      </c>
    </row>
    <row r="19" spans="1:40" x14ac:dyDescent="0.25">
      <c r="A19">
        <v>7</v>
      </c>
      <c r="B19" s="7">
        <v>0</v>
      </c>
      <c r="C19" s="7">
        <v>0</v>
      </c>
      <c r="D19" s="5">
        <f t="shared" ref="D19" si="24">((B18*C19)-(B19*C18))*0.5</f>
        <v>0</v>
      </c>
      <c r="E19" s="5">
        <f t="shared" ref="E19" si="25">(B19+B18)*((B18*C19)-(B19*C18))*(1/6)</f>
        <v>0</v>
      </c>
      <c r="F19" s="5">
        <f t="shared" ref="F19" si="26">(C19+C18)*((B18*C19)-(B19*C18))*(1/6)</f>
        <v>0</v>
      </c>
      <c r="G19" s="5">
        <f t="shared" ref="G19" si="27">(((C18*C18)+(C18*C19)+(C19*C19))*((B18*C19)-(B19*C18)))/12</f>
        <v>0</v>
      </c>
      <c r="H19" s="5">
        <f t="shared" ref="H19" si="28">(((B18*B18)+(B18*B19)+(B19*B19))*((B18*C19)-(B19*C18)))/12</f>
        <v>0</v>
      </c>
      <c r="I19" s="5">
        <f t="shared" ref="I19" si="29">(((B18*C19)+(2*B18*C18)+(2*B19*C19)+(B19*C18))*((B18*C19)-(B19*C18)))/24</f>
        <v>0</v>
      </c>
      <c r="J19" s="5">
        <f t="shared" ref="J19" si="30">G19+H19</f>
        <v>0</v>
      </c>
      <c r="K19">
        <f t="shared" si="7"/>
        <v>-1.9416876156075589</v>
      </c>
      <c r="L19">
        <f t="shared" si="8"/>
        <v>0</v>
      </c>
      <c r="N19">
        <f>E22+(O16*COS(O17))</f>
        <v>8.5692360243970249</v>
      </c>
      <c r="O19">
        <f>F22+(O16*SIN(O17))</f>
        <v>13.964821651550507</v>
      </c>
      <c r="Q19">
        <f>E22+(R16*COS(R17))</f>
        <v>13.010407640085653</v>
      </c>
      <c r="R19">
        <f>F22+(R16*SIN(R17))</f>
        <v>11.989592359914344</v>
      </c>
      <c r="Y19" s="1">
        <f t="shared" si="9"/>
        <v>-3024</v>
      </c>
      <c r="Z19">
        <f t="shared" si="10"/>
        <v>-1176</v>
      </c>
      <c r="AA19">
        <f t="shared" si="11"/>
        <v>0.79365079365079361</v>
      </c>
      <c r="AB19">
        <f t="shared" si="12"/>
        <v>2.0408163265306123</v>
      </c>
      <c r="AC19">
        <f t="shared" si="13"/>
        <v>2.8344671201814058</v>
      </c>
      <c r="AD19" s="9">
        <f t="shared" si="14"/>
        <v>-18</v>
      </c>
      <c r="AE19">
        <f t="shared" si="15"/>
        <v>-0.79365079365079361</v>
      </c>
      <c r="AF19">
        <f t="shared" si="16"/>
        <v>0</v>
      </c>
      <c r="AG19">
        <f t="shared" si="17"/>
        <v>0.79365079365079361</v>
      </c>
      <c r="AH19" s="9">
        <f t="shared" si="18"/>
        <v>-7</v>
      </c>
      <c r="AI19">
        <f t="shared" si="19"/>
        <v>-2.0408163265306123</v>
      </c>
      <c r="AJ19">
        <f t="shared" si="20"/>
        <v>0</v>
      </c>
      <c r="AK19">
        <f t="shared" si="21"/>
        <v>2.0408163265306123</v>
      </c>
      <c r="AM19">
        <f t="shared" si="22"/>
        <v>2.8344671201814058</v>
      </c>
      <c r="AN19" t="b">
        <f t="shared" si="23"/>
        <v>1</v>
      </c>
    </row>
    <row r="20" spans="1:40" x14ac:dyDescent="0.25">
      <c r="A20">
        <v>8</v>
      </c>
      <c r="B20" s="7">
        <v>0</v>
      </c>
      <c r="C20" s="7">
        <v>0</v>
      </c>
      <c r="D20" s="5">
        <f t="shared" ref="D20" si="31">((B19*C20)-(B20*C19))*0.5</f>
        <v>0</v>
      </c>
      <c r="E20" s="5">
        <f t="shared" ref="E20" si="32">(B20+B19)*((B19*C20)-(B20*C19))*(1/6)</f>
        <v>0</v>
      </c>
      <c r="F20" s="5">
        <f t="shared" ref="F20" si="33">(C20+C19)*((B19*C20)-(B20*C19))*(1/6)</f>
        <v>0</v>
      </c>
      <c r="G20" s="5">
        <f t="shared" ref="G20" si="34">(((C19*C19)+(C19*C20)+(C20*C20))*((B19*C20)-(B20*C19)))/12</f>
        <v>0</v>
      </c>
      <c r="H20" s="5">
        <f t="shared" ref="H20" si="35">(((B19*B19)+(B19*B20)+(B20*B20))*((B19*C20)-(B20*C19)))/12</f>
        <v>0</v>
      </c>
      <c r="I20" s="5">
        <f t="shared" ref="I20" si="36">(((B19*C20)+(2*B19*C19)+(2*B20*C20)+(B20*C19))*((B19*C20)-(B20*C19)))/24</f>
        <v>0</v>
      </c>
      <c r="J20" s="5">
        <f t="shared" ref="J20" si="37">G20+H20</f>
        <v>0</v>
      </c>
      <c r="K20">
        <f t="shared" si="7"/>
        <v>-1.9416876156075589</v>
      </c>
      <c r="L20">
        <f t="shared" si="8"/>
        <v>0</v>
      </c>
      <c r="Y20" s="1">
        <f t="shared" si="9"/>
        <v>-3024</v>
      </c>
      <c r="Z20">
        <f t="shared" si="10"/>
        <v>-1176</v>
      </c>
      <c r="AA20">
        <f t="shared" si="11"/>
        <v>0.79365079365079361</v>
      </c>
      <c r="AB20">
        <f t="shared" si="12"/>
        <v>2.0408163265306123</v>
      </c>
      <c r="AC20">
        <f t="shared" si="13"/>
        <v>2.8344671201814058</v>
      </c>
      <c r="AD20" s="9">
        <f t="shared" si="14"/>
        <v>-18</v>
      </c>
      <c r="AE20">
        <f t="shared" si="15"/>
        <v>-0.79365079365079361</v>
      </c>
      <c r="AF20">
        <f t="shared" si="16"/>
        <v>0</v>
      </c>
      <c r="AG20">
        <f t="shared" si="17"/>
        <v>0.79365079365079361</v>
      </c>
      <c r="AH20" s="9">
        <f t="shared" si="18"/>
        <v>-7</v>
      </c>
      <c r="AI20">
        <f t="shared" si="19"/>
        <v>-2.0408163265306123</v>
      </c>
      <c r="AJ20">
        <f t="shared" si="20"/>
        <v>0</v>
      </c>
      <c r="AK20">
        <f t="shared" si="21"/>
        <v>2.0408163265306123</v>
      </c>
      <c r="AM20">
        <f t="shared" si="22"/>
        <v>2.8344671201814058</v>
      </c>
      <c r="AN20" t="b">
        <f t="shared" si="23"/>
        <v>1</v>
      </c>
    </row>
    <row r="21" spans="1:40" x14ac:dyDescent="0.25">
      <c r="A21">
        <v>9</v>
      </c>
      <c r="B21" s="4">
        <v>0</v>
      </c>
      <c r="C21" s="4">
        <v>0</v>
      </c>
      <c r="D21" s="5">
        <f t="shared" ref="D21" si="38">((B20*C21)-(B21*C20))*0.5</f>
        <v>0</v>
      </c>
      <c r="E21" s="5">
        <f t="shared" ref="E21" si="39">(B21+B20)*((B20*C21)-(B21*C20))*(1/6)</f>
        <v>0</v>
      </c>
      <c r="F21" s="5">
        <f t="shared" ref="F21" si="40">(C21+C20)*((B20*C21)-(B21*C20))*(1/6)</f>
        <v>0</v>
      </c>
      <c r="G21" s="5">
        <f t="shared" ref="G21" si="41">(((C20*C20)+(C20*C21)+(C21*C21))*((B20*C21)-(B21*C20)))/12</f>
        <v>0</v>
      </c>
      <c r="H21" s="5">
        <f t="shared" ref="H21" si="42">(((B20*B20)+(B20*B21)+(B21*B21))*((B20*C21)-(B21*C20)))/12</f>
        <v>0</v>
      </c>
      <c r="I21" s="5">
        <f t="shared" ref="I21" si="43">(((B20*C21)+(2*B20*C20)+(2*B21*C21)+(B21*C20))*((B20*C21)-(B21*C20)))/24</f>
        <v>0</v>
      </c>
      <c r="J21" s="5">
        <f t="shared" ref="J21" si="44">G21+H21</f>
        <v>0</v>
      </c>
      <c r="K21">
        <f t="shared" si="7"/>
        <v>-1.9416876156075589</v>
      </c>
      <c r="L21">
        <v>1</v>
      </c>
      <c r="Y21" s="1">
        <f t="shared" si="9"/>
        <v>-3024</v>
      </c>
      <c r="Z21">
        <f t="shared" si="10"/>
        <v>-1176</v>
      </c>
      <c r="AA21">
        <f t="shared" si="11"/>
        <v>0.79365079365079361</v>
      </c>
      <c r="AB21">
        <f t="shared" si="12"/>
        <v>2.0408163265306123</v>
      </c>
      <c r="AC21">
        <f t="shared" si="13"/>
        <v>2.8344671201814058</v>
      </c>
      <c r="AD21" s="9">
        <f t="shared" si="14"/>
        <v>-18</v>
      </c>
      <c r="AE21">
        <f t="shared" si="15"/>
        <v>-0.79365079365079361</v>
      </c>
      <c r="AF21">
        <f t="shared" si="16"/>
        <v>0</v>
      </c>
      <c r="AG21">
        <f t="shared" si="17"/>
        <v>0.79365079365079361</v>
      </c>
      <c r="AH21" s="9">
        <f t="shared" si="18"/>
        <v>-7</v>
      </c>
      <c r="AI21">
        <f t="shared" si="19"/>
        <v>-2.0408163265306123</v>
      </c>
      <c r="AJ21">
        <f t="shared" si="20"/>
        <v>0</v>
      </c>
      <c r="AK21">
        <f t="shared" si="21"/>
        <v>2.0408163265306123</v>
      </c>
      <c r="AM21">
        <f t="shared" si="22"/>
        <v>2.8344671201814058</v>
      </c>
      <c r="AN21" t="b">
        <f t="shared" si="23"/>
        <v>1</v>
      </c>
    </row>
    <row r="22" spans="1:40" x14ac:dyDescent="0.25">
      <c r="D22" s="5">
        <f>SUM(D13:D21)</f>
        <v>504</v>
      </c>
      <c r="E22" s="3">
        <f>SUM(E14:E21)/D22</f>
        <v>7</v>
      </c>
      <c r="F22" s="3">
        <f>SUM(F14:F21)/D22</f>
        <v>18</v>
      </c>
      <c r="G22" s="5">
        <f>SUM(G14:G21)</f>
        <v>217728</v>
      </c>
      <c r="H22" s="5">
        <f>SUM(H14:H21)</f>
        <v>32928</v>
      </c>
      <c r="I22" s="5">
        <f>SUM(I14:I21)</f>
        <v>63504</v>
      </c>
      <c r="J22" s="5">
        <f>SUM(J14:J21)</f>
        <v>250656</v>
      </c>
      <c r="AC22">
        <f>COUNTIF(AC14:AC21,"&gt;0")</f>
        <v>6</v>
      </c>
    </row>
    <row r="23" spans="1:40" x14ac:dyDescent="0.25">
      <c r="A23" t="s">
        <v>133</v>
      </c>
      <c r="B23" t="s">
        <v>204</v>
      </c>
      <c r="D23" s="5"/>
      <c r="E23" s="61" t="str">
        <f>IF(D34&gt;0,"Hole Coordinates entered in the wrong order","")</f>
        <v/>
      </c>
      <c r="F23" s="5"/>
      <c r="G23" s="5"/>
      <c r="H23" s="5"/>
      <c r="I23" s="5"/>
      <c r="J23" s="5"/>
      <c r="AC23">
        <f>COUNTIF(AC14:AC21,"&lt;0")</f>
        <v>2</v>
      </c>
    </row>
    <row r="24" spans="1:40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  <c r="AC24">
        <f>COUNTIF(AC14:AC21,"=0")</f>
        <v>0</v>
      </c>
    </row>
    <row r="25" spans="1:40" x14ac:dyDescent="0.25">
      <c r="A25">
        <v>1</v>
      </c>
      <c r="B25" s="2">
        <v>0</v>
      </c>
      <c r="C25" s="2">
        <v>0</v>
      </c>
      <c r="D25" s="5"/>
      <c r="E25" s="5"/>
      <c r="F25" s="5"/>
      <c r="G25" s="5"/>
      <c r="H25" s="5"/>
      <c r="I25" s="5"/>
      <c r="J25" s="5"/>
      <c r="Q25" t="str">
        <f>A2&amp;": "&amp;B2&amp;" "&amp;C2&amp;CHAR(10)&amp;A3&amp;": "&amp;B3&amp;" "&amp;C3&amp;CHAR(10)&amp;A4&amp;": "&amp;B4&amp;" "&amp;C4</f>
        <v>P: 0 kips
Mx: 2400 kip-in
My: -2400 kip-in</v>
      </c>
    </row>
    <row r="26" spans="1:40" x14ac:dyDescent="0.25">
      <c r="A26">
        <v>2</v>
      </c>
      <c r="B26" s="2">
        <v>0</v>
      </c>
      <c r="C26" s="2">
        <v>0</v>
      </c>
      <c r="D26" s="5">
        <f>((B25*C26)-(B26*C25))*0.5</f>
        <v>0</v>
      </c>
      <c r="E26" s="5"/>
      <c r="F26" s="5"/>
      <c r="G26" s="5"/>
      <c r="H26" s="5"/>
      <c r="I26" s="5"/>
      <c r="J26" s="5"/>
      <c r="AC26">
        <f>MAX(AC14:AC21)</f>
        <v>2.8344671201814058</v>
      </c>
      <c r="AD26">
        <f>COUNTIFS(AC14:AC21,AC26,L14:L21,1)</f>
        <v>1</v>
      </c>
      <c r="AE26">
        <f>SUMIF(AC14:AC21,AC26,B14:B21)/AD26</f>
        <v>0</v>
      </c>
      <c r="AF26">
        <f>SUMIF(AC14:AC21,AC26,C14:C21)/AD26</f>
        <v>0</v>
      </c>
      <c r="AG26" t="s">
        <v>201</v>
      </c>
    </row>
    <row r="27" spans="1:40" x14ac:dyDescent="0.25">
      <c r="A27">
        <v>3</v>
      </c>
      <c r="B27" s="2">
        <v>0</v>
      </c>
      <c r="C27" s="2">
        <v>0</v>
      </c>
      <c r="D27" s="5">
        <f t="shared" ref="D27:D33" si="45">((B26*C27)-(B27*C26))*0.5</f>
        <v>0</v>
      </c>
      <c r="E27" s="5"/>
      <c r="F27" s="5"/>
      <c r="G27" s="5"/>
      <c r="H27" s="5"/>
      <c r="I27" s="5"/>
      <c r="J27" s="5"/>
      <c r="Q27" t="str">
        <f>""</f>
        <v/>
      </c>
      <c r="AC27">
        <f>MIN(AC14:AC21)</f>
        <v>-2.8344671201814058</v>
      </c>
      <c r="AD27">
        <f>COUNTIFS(AC14:AC21,AC27,L14:L21,1)</f>
        <v>1</v>
      </c>
      <c r="AE27">
        <f>SUMIF(AC14:AC21,AC27,B14:B21)/AD27</f>
        <v>14</v>
      </c>
      <c r="AF27">
        <f>SUMIF(AC14:AC21,AC27,C14:C21)/AD27</f>
        <v>36</v>
      </c>
      <c r="AG27" t="s">
        <v>200</v>
      </c>
    </row>
    <row r="28" spans="1:40" x14ac:dyDescent="0.25">
      <c r="A28">
        <v>4</v>
      </c>
      <c r="B28" s="2">
        <v>0</v>
      </c>
      <c r="C28" s="2">
        <v>0</v>
      </c>
      <c r="D28" s="5">
        <f t="shared" si="45"/>
        <v>0</v>
      </c>
      <c r="E28" s="5"/>
      <c r="F28" s="5"/>
      <c r="G28" s="5"/>
      <c r="H28" s="5"/>
      <c r="I28" s="5"/>
      <c r="J28" s="5"/>
      <c r="AJ28" t="s">
        <v>193</v>
      </c>
    </row>
    <row r="29" spans="1:40" x14ac:dyDescent="0.25">
      <c r="A29">
        <v>5</v>
      </c>
      <c r="B29" s="2">
        <v>0</v>
      </c>
      <c r="C29" s="2">
        <v>0</v>
      </c>
      <c r="D29" s="5">
        <f t="shared" si="45"/>
        <v>0</v>
      </c>
      <c r="E29" s="5"/>
      <c r="F29" s="5"/>
      <c r="G29" s="5"/>
      <c r="H29" s="5"/>
      <c r="I29" s="5"/>
      <c r="J29" s="5"/>
      <c r="AD29" t="s">
        <v>197</v>
      </c>
      <c r="AE29">
        <f>SQRT(POWER(AE27-AE26,2)+POWER(AF27-AF26,2))</f>
        <v>38.626415831655933</v>
      </c>
      <c r="AG29">
        <f>(AE27-AE26)</f>
        <v>14</v>
      </c>
      <c r="AH29">
        <f>AF27-AF26</f>
        <v>36</v>
      </c>
      <c r="AJ29">
        <f>AG29/AE29</f>
        <v>0.36244626115494838</v>
      </c>
      <c r="AK29">
        <f>AH29/AE29</f>
        <v>0.93200467154129585</v>
      </c>
    </row>
    <row r="30" spans="1:40" x14ac:dyDescent="0.25">
      <c r="A30">
        <v>6</v>
      </c>
      <c r="B30" s="2">
        <v>0</v>
      </c>
      <c r="C30" s="2">
        <v>0</v>
      </c>
      <c r="D30" s="5">
        <f t="shared" si="45"/>
        <v>0</v>
      </c>
      <c r="E30" s="5"/>
      <c r="F30" s="5"/>
      <c r="G30" s="5"/>
      <c r="H30" s="5"/>
      <c r="I30" s="5"/>
      <c r="J30" s="5"/>
      <c r="Q30" s="62" t="str">
        <f ca="1">A61&amp;"= 0.65*0.85*F'c*√A2/A1"&amp;"= "&amp;ROUND(B61,4)&amp;" "&amp;C61&amp;IF(B66&lt;=B61," &gt; "&amp;ROUND(B66,4)&amp;" "&amp;C66," &lt; "&amp;ROUND(B66,4)&amp;" "&amp;C66)&amp;CHAR(10)&amp;IF(B66&lt;=B61,"Design Status: OK"&amp;CHAR(10)&amp;M57,"Design Status: NG"&amp;CHAR(10)&amp;"Solver Status: "&amp;M57)</f>
        <v>φfp,max= 0.65*0.85*F'c*√A2/A1= 5.525 ksi &gt; 5.525 ksi
Design Status: OK
SOLUTION IF STRAIN IGNORED</v>
      </c>
      <c r="AD30" t="s">
        <v>198</v>
      </c>
      <c r="AE30">
        <f>(AC27-AC26)/AE29</f>
        <v>-0.14676314429662635</v>
      </c>
    </row>
    <row r="31" spans="1:40" x14ac:dyDescent="0.25">
      <c r="A31">
        <v>7</v>
      </c>
      <c r="B31" s="2">
        <v>0</v>
      </c>
      <c r="C31" s="2">
        <v>0</v>
      </c>
      <c r="D31" s="5">
        <f t="shared" si="45"/>
        <v>0</v>
      </c>
      <c r="E31" s="5"/>
      <c r="F31" s="5"/>
      <c r="G31" s="5"/>
      <c r="H31" s="5"/>
      <c r="I31" s="5"/>
      <c r="J31" s="5"/>
      <c r="AJ31">
        <f>IF(AND(AG29=0,AH29=0),0,ATAN2(AJ29,AK29))</f>
        <v>1.1999050379822342</v>
      </c>
      <c r="AK31" t="s">
        <v>194</v>
      </c>
    </row>
    <row r="32" spans="1:40" x14ac:dyDescent="0.25">
      <c r="A32">
        <v>8</v>
      </c>
      <c r="B32" s="2">
        <v>0</v>
      </c>
      <c r="C32" s="2">
        <v>0</v>
      </c>
      <c r="D32" s="5">
        <f t="shared" si="45"/>
        <v>0</v>
      </c>
      <c r="E32" s="5"/>
      <c r="F32" s="5"/>
      <c r="G32" s="5"/>
      <c r="H32" s="5"/>
      <c r="I32" s="5"/>
      <c r="J32" s="5"/>
      <c r="AD32" t="s">
        <v>190</v>
      </c>
      <c r="AE32">
        <f>IF(AND(AG29=0,AH29=0),0,(-1*AC26/AE30))</f>
        <v>19.313207915827967</v>
      </c>
      <c r="AF32" t="s">
        <v>196</v>
      </c>
      <c r="AJ32">
        <f>AJ31+(PI()/2)</f>
        <v>2.770701364777131</v>
      </c>
      <c r="AK32" t="s">
        <v>195</v>
      </c>
    </row>
    <row r="33" spans="1:37" x14ac:dyDescent="0.25">
      <c r="A33">
        <v>9</v>
      </c>
      <c r="B33" s="1">
        <f>B25</f>
        <v>0</v>
      </c>
      <c r="C33" s="1">
        <f>C25</f>
        <v>0</v>
      </c>
      <c r="D33" s="5">
        <f t="shared" si="45"/>
        <v>0</v>
      </c>
      <c r="E33" s="5"/>
      <c r="F33" s="5"/>
      <c r="G33" s="5"/>
      <c r="H33" s="5"/>
      <c r="I33" s="5"/>
      <c r="J33" s="5"/>
      <c r="AJ33">
        <f>AJ31-(PI()/2)</f>
        <v>-0.37089128881266231</v>
      </c>
    </row>
    <row r="34" spans="1:37" x14ac:dyDescent="0.25">
      <c r="D34" s="5">
        <f>SUM(D25:D33)</f>
        <v>0</v>
      </c>
      <c r="E34" s="5"/>
      <c r="F34" s="5"/>
      <c r="G34" s="5"/>
      <c r="H34" s="5"/>
      <c r="I34" s="5"/>
      <c r="J34" s="5"/>
      <c r="AD34" t="s">
        <v>199</v>
      </c>
      <c r="AE34">
        <f>AE32/AE29</f>
        <v>0.5</v>
      </c>
    </row>
    <row r="35" spans="1:37" x14ac:dyDescent="0.25">
      <c r="A35" t="s">
        <v>4</v>
      </c>
      <c r="Q35" t="s">
        <v>25</v>
      </c>
      <c r="T35" t="s">
        <v>14</v>
      </c>
      <c r="AE35" t="s">
        <v>191</v>
      </c>
      <c r="AF35" t="s">
        <v>192</v>
      </c>
    </row>
    <row r="36" spans="1:37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  <c r="X36" s="59"/>
      <c r="AE36">
        <f>AE26+(AE34*(AE27-AE26))</f>
        <v>7</v>
      </c>
      <c r="AF36">
        <f>AF26+(AE34*(AF27-AF26))</f>
        <v>18</v>
      </c>
      <c r="AI36">
        <f>MAX(B13:C21)*-1</f>
        <v>-36</v>
      </c>
      <c r="AJ36">
        <f>AE36+(AI36*COS(AJ32))</f>
        <v>40.552168175486656</v>
      </c>
      <c r="AK36">
        <f>AF36+(AI36*SIN(AJ32))</f>
        <v>4.9519345984218628</v>
      </c>
    </row>
    <row r="37" spans="1:37" x14ac:dyDescent="0.25">
      <c r="A37">
        <v>1</v>
      </c>
      <c r="B37" s="7">
        <v>3</v>
      </c>
      <c r="C37" s="7">
        <v>3</v>
      </c>
      <c r="D37" s="13" t="s">
        <v>2</v>
      </c>
      <c r="Q37" s="12">
        <f>IF($D37="y",B37,NA())</f>
        <v>3</v>
      </c>
      <c r="R37" s="12">
        <f>IF($D37="y",C37,NA())</f>
        <v>3</v>
      </c>
      <c r="T37" s="4">
        <f>MAX(MAX(B13:B20),MAX(C13:C20))</f>
        <v>36</v>
      </c>
      <c r="U37" s="1">
        <f>T37</f>
        <v>36</v>
      </c>
      <c r="X37" t="s">
        <v>210</v>
      </c>
      <c r="AI37">
        <f>-1*AI36</f>
        <v>36</v>
      </c>
      <c r="AJ37">
        <f>AE36+(AI37*COS(AJ32))</f>
        <v>-26.552168175486656</v>
      </c>
      <c r="AK37">
        <f>AF36+(AI37*SIN(AJ32))</f>
        <v>31.048065401578135</v>
      </c>
    </row>
    <row r="38" spans="1:37" x14ac:dyDescent="0.25">
      <c r="A38">
        <v>2</v>
      </c>
      <c r="B38" s="7">
        <v>3</v>
      </c>
      <c r="C38" s="7">
        <v>9</v>
      </c>
      <c r="D38" s="13" t="s">
        <v>2</v>
      </c>
      <c r="Q38" s="12">
        <f t="shared" ref="Q38:Q48" si="46">IF($D38="y",B38,NA())</f>
        <v>3</v>
      </c>
      <c r="R38" s="12">
        <f t="shared" ref="R38:R48" si="47">IF($D38="y",C38,NA())</f>
        <v>9</v>
      </c>
      <c r="X38" t="s">
        <v>203</v>
      </c>
    </row>
    <row r="39" spans="1:37" x14ac:dyDescent="0.25">
      <c r="A39">
        <v>3</v>
      </c>
      <c r="B39" s="7">
        <v>11</v>
      </c>
      <c r="C39" s="7">
        <v>3</v>
      </c>
      <c r="D39" s="13" t="s">
        <v>2</v>
      </c>
      <c r="Q39" s="12">
        <f t="shared" si="46"/>
        <v>11</v>
      </c>
      <c r="R39" s="12">
        <f t="shared" si="47"/>
        <v>3</v>
      </c>
      <c r="W39" t="s">
        <v>202</v>
      </c>
      <c r="X39" s="1">
        <v>6.12</v>
      </c>
      <c r="Y39" t="s">
        <v>22</v>
      </c>
    </row>
    <row r="40" spans="1:37" x14ac:dyDescent="0.25">
      <c r="A40">
        <v>4</v>
      </c>
      <c r="B40" s="7">
        <v>11</v>
      </c>
      <c r="C40" s="7">
        <v>9</v>
      </c>
      <c r="D40" s="13" t="s">
        <v>2</v>
      </c>
      <c r="Q40" s="12">
        <f t="shared" si="46"/>
        <v>11</v>
      </c>
      <c r="R40" s="12">
        <f t="shared" si="47"/>
        <v>9</v>
      </c>
      <c r="X40" s="3">
        <f>(B2/POWER(X39,2))+(6*B3/POWER(X39,3))+(6*B4/POWER(X39,3))</f>
        <v>0</v>
      </c>
    </row>
    <row r="41" spans="1:37" x14ac:dyDescent="0.25">
      <c r="A41">
        <v>5</v>
      </c>
      <c r="B41" s="7">
        <v>3</v>
      </c>
      <c r="C41" s="7">
        <v>15</v>
      </c>
      <c r="D41" s="13" t="s">
        <v>2</v>
      </c>
      <c r="Q41" s="12">
        <f t="shared" si="46"/>
        <v>3</v>
      </c>
      <c r="R41" s="12">
        <f t="shared" si="47"/>
        <v>15</v>
      </c>
      <c r="X41" s="3">
        <f>(B2/POWER(X39,2))-(6*B3/POWER(X39,3))-(6*B4/POWER(X39,3))</f>
        <v>0</v>
      </c>
    </row>
    <row r="42" spans="1:37" x14ac:dyDescent="0.25">
      <c r="A42">
        <v>6</v>
      </c>
      <c r="B42" s="7">
        <v>3</v>
      </c>
      <c r="C42" s="7">
        <v>21</v>
      </c>
      <c r="D42" s="13" t="s">
        <v>2</v>
      </c>
      <c r="Q42" s="12">
        <f t="shared" si="46"/>
        <v>3</v>
      </c>
      <c r="R42" s="12">
        <f t="shared" si="47"/>
        <v>21</v>
      </c>
      <c r="X42" s="3">
        <f>(B2/POWER(X39,2))+(6*B3/POWER(X39,3))-(6*B4/POWER(X39,3))</f>
        <v>125.64297793960593</v>
      </c>
    </row>
    <row r="43" spans="1:37" x14ac:dyDescent="0.25">
      <c r="A43">
        <v>7</v>
      </c>
      <c r="B43" s="7">
        <v>11</v>
      </c>
      <c r="C43" s="7">
        <v>21</v>
      </c>
      <c r="D43" s="13" t="s">
        <v>2</v>
      </c>
      <c r="Q43" s="12">
        <f t="shared" si="46"/>
        <v>11</v>
      </c>
      <c r="R43" s="12">
        <f t="shared" si="47"/>
        <v>21</v>
      </c>
      <c r="X43" s="3">
        <f>(B2/POWER(X39,2))-(6*B3/POWER(X39,3))+(6*B4/POWER(X39,3))</f>
        <v>-125.64297793960593</v>
      </c>
    </row>
    <row r="44" spans="1:37" x14ac:dyDescent="0.25">
      <c r="A44">
        <v>8</v>
      </c>
      <c r="B44" s="7">
        <v>11</v>
      </c>
      <c r="C44" s="7">
        <v>15</v>
      </c>
      <c r="D44" s="13" t="s">
        <v>2</v>
      </c>
      <c r="Q44" s="12">
        <f t="shared" si="46"/>
        <v>11</v>
      </c>
      <c r="R44" s="12">
        <f t="shared" si="47"/>
        <v>15</v>
      </c>
      <c r="X44" s="3">
        <f>COUNTIF(X40:X43,"&lt;0")+COUNTIF(X40:X43,"&gt;"&amp;B61)</f>
        <v>2</v>
      </c>
    </row>
    <row r="45" spans="1:37" x14ac:dyDescent="0.25">
      <c r="A45">
        <v>9</v>
      </c>
      <c r="B45" s="7">
        <v>3</v>
      </c>
      <c r="C45" s="7">
        <v>27</v>
      </c>
      <c r="D45" s="13" t="s">
        <v>2</v>
      </c>
      <c r="Q45" s="12">
        <f t="shared" si="46"/>
        <v>3</v>
      </c>
      <c r="R45" s="12">
        <f t="shared" si="47"/>
        <v>27</v>
      </c>
    </row>
    <row r="46" spans="1:37" x14ac:dyDescent="0.25">
      <c r="A46">
        <v>10</v>
      </c>
      <c r="B46" s="7">
        <v>3</v>
      </c>
      <c r="C46" s="7">
        <v>33</v>
      </c>
      <c r="D46" s="13" t="s">
        <v>2</v>
      </c>
      <c r="Q46" s="12">
        <f t="shared" si="46"/>
        <v>3</v>
      </c>
      <c r="R46" s="12">
        <f t="shared" si="47"/>
        <v>33</v>
      </c>
    </row>
    <row r="47" spans="1:37" x14ac:dyDescent="0.25">
      <c r="A47">
        <v>11</v>
      </c>
      <c r="B47" s="7">
        <v>11</v>
      </c>
      <c r="C47" s="7">
        <v>27</v>
      </c>
      <c r="D47" s="13" t="s">
        <v>2</v>
      </c>
      <c r="Q47" s="12">
        <f t="shared" si="46"/>
        <v>11</v>
      </c>
      <c r="R47" s="12">
        <f t="shared" si="47"/>
        <v>27</v>
      </c>
    </row>
    <row r="48" spans="1:37" x14ac:dyDescent="0.25">
      <c r="A48">
        <v>12</v>
      </c>
      <c r="B48" s="7">
        <v>11</v>
      </c>
      <c r="C48" s="7">
        <v>33</v>
      </c>
      <c r="D48" s="13" t="s">
        <v>2</v>
      </c>
      <c r="Q48" s="12">
        <f t="shared" si="46"/>
        <v>11</v>
      </c>
      <c r="R48" s="12">
        <f t="shared" si="47"/>
        <v>33</v>
      </c>
    </row>
    <row r="50" spans="1:25" x14ac:dyDescent="0.25">
      <c r="A50" t="s">
        <v>175</v>
      </c>
      <c r="B50" s="13" t="s">
        <v>189</v>
      </c>
      <c r="C50" t="str">
        <f>IF(B50="Density","wc^1.5 33 √F'c","57,000 √F'c")</f>
        <v>wc^1.5 33 √F'c</v>
      </c>
    </row>
    <row r="51" spans="1:25" x14ac:dyDescent="0.25">
      <c r="A51" s="10" t="s">
        <v>8</v>
      </c>
      <c r="B51" s="6">
        <v>5</v>
      </c>
      <c r="C51" t="s">
        <v>11</v>
      </c>
    </row>
    <row r="52" spans="1:25" x14ac:dyDescent="0.25">
      <c r="A52" s="10" t="s">
        <v>12</v>
      </c>
      <c r="B52" s="6">
        <v>145</v>
      </c>
      <c r="C52" t="s">
        <v>13</v>
      </c>
      <c r="X52" s="54" t="s">
        <v>165</v>
      </c>
      <c r="Y52" s="54" t="s">
        <v>164</v>
      </c>
    </row>
    <row r="53" spans="1:25" x14ac:dyDescent="0.25">
      <c r="A53" s="10" t="s">
        <v>9</v>
      </c>
      <c r="B53" s="5">
        <f>IF(B50="Density",(POWER(B52,1.5)*33*SQRT(1000*B51))/1000,(57000*SQRT(B51*1000))/1000)</f>
        <v>4074.2806880478911</v>
      </c>
      <c r="C53" t="s">
        <v>11</v>
      </c>
      <c r="X53">
        <v>0.25</v>
      </c>
      <c r="Y53">
        <v>20</v>
      </c>
    </row>
    <row r="54" spans="1:25" ht="15.75" thickBot="1" x14ac:dyDescent="0.3">
      <c r="A54" s="10" t="s">
        <v>10</v>
      </c>
      <c r="B54" s="5">
        <v>29000</v>
      </c>
      <c r="C54" t="s">
        <v>11</v>
      </c>
      <c r="D54" s="54" t="s">
        <v>165</v>
      </c>
      <c r="E54" s="47">
        <v>0.75</v>
      </c>
      <c r="F54" t="s">
        <v>22</v>
      </c>
      <c r="X54">
        <v>0.375</v>
      </c>
      <c r="Y54">
        <v>16</v>
      </c>
    </row>
    <row r="55" spans="1:25" x14ac:dyDescent="0.25">
      <c r="A55" s="10" t="s">
        <v>5</v>
      </c>
      <c r="B55" s="45">
        <f ca="1">E56</f>
        <v>0.33446070888845997</v>
      </c>
      <c r="C55" t="s">
        <v>67</v>
      </c>
      <c r="D55" s="54" t="s">
        <v>164</v>
      </c>
      <c r="E55" s="1">
        <f ca="1">OFFSET(X52,MATCH(E54,X53:X73,0),1)</f>
        <v>10</v>
      </c>
      <c r="F55" s="7">
        <v>0</v>
      </c>
      <c r="G55" t="s">
        <v>174</v>
      </c>
      <c r="H55" s="48" t="s">
        <v>159</v>
      </c>
      <c r="I55" s="55">
        <f>E164</f>
        <v>-3.922195901395753E-12</v>
      </c>
      <c r="J55" s="49" t="str">
        <f>F164</f>
        <v>kips</v>
      </c>
      <c r="K55" t="s">
        <v>167</v>
      </c>
      <c r="X55">
        <v>0.5</v>
      </c>
      <c r="Y55">
        <v>13</v>
      </c>
    </row>
    <row r="56" spans="1:25" x14ac:dyDescent="0.25">
      <c r="A56" s="10" t="s">
        <v>15</v>
      </c>
      <c r="B56" s="3">
        <f>B54/B53</f>
        <v>7.1178208426024669</v>
      </c>
      <c r="D56" s="54" t="s">
        <v>153</v>
      </c>
      <c r="E56" s="46">
        <f ca="1">IF(F55=0,0.7854*POWER(E54-(0.9743/E55),2),0.7854*POWER(E54-(0.9743/F55),2))</f>
        <v>0.33446070888845997</v>
      </c>
      <c r="F56" t="s">
        <v>67</v>
      </c>
      <c r="H56" s="50" t="s">
        <v>160</v>
      </c>
      <c r="I56" s="56">
        <f t="shared" ref="I56:J57" si="48">E165</f>
        <v>3.865352482534945E-11</v>
      </c>
      <c r="J56" s="51" t="str">
        <f t="shared" si="48"/>
        <v>kip-in</v>
      </c>
      <c r="X56">
        <v>0.625</v>
      </c>
      <c r="Y56">
        <v>11</v>
      </c>
    </row>
    <row r="57" spans="1:25" ht="15.75" thickBot="1" x14ac:dyDescent="0.3">
      <c r="D57" s="54" t="s">
        <v>154</v>
      </c>
      <c r="E57" s="13" t="s">
        <v>172</v>
      </c>
      <c r="H57" s="52" t="s">
        <v>161</v>
      </c>
      <c r="I57" s="57">
        <f t="shared" si="48"/>
        <v>2.0463630789890885E-11</v>
      </c>
      <c r="J57" s="53" t="str">
        <f t="shared" si="48"/>
        <v>kip-in</v>
      </c>
      <c r="L57" s="1">
        <f>SQRT(POWER(I57,2)+POWER(I56,2)+POWER(I55,2))</f>
        <v>4.3911715830946554E-11</v>
      </c>
      <c r="M57" s="44" t="str">
        <f ca="1">IF(M59=TRUE,IF(AND(ABS(L57)&lt;=L59,B66=B61),"SOLUTION IF STRAIN IGNORED","NOT A SOLUTION"),"SOLUTION FOUND")</f>
        <v>SOLUTION IF STRAIN IGNORED</v>
      </c>
      <c r="X57">
        <v>0.75</v>
      </c>
      <c r="Y57">
        <v>10</v>
      </c>
    </row>
    <row r="58" spans="1:25" x14ac:dyDescent="0.25">
      <c r="A58" s="10" t="s">
        <v>16</v>
      </c>
      <c r="B58" s="2">
        <v>4</v>
      </c>
      <c r="D58" s="54" t="s">
        <v>166</v>
      </c>
      <c r="E58" s="3">
        <f>IF(E57="STD",E54+(1/16),E54+(5/16))</f>
        <v>0.8125</v>
      </c>
      <c r="F58" t="s">
        <v>22</v>
      </c>
      <c r="X58">
        <v>0.875</v>
      </c>
      <c r="Y58">
        <v>9</v>
      </c>
    </row>
    <row r="59" spans="1:25" x14ac:dyDescent="0.25">
      <c r="A59" s="14" t="s">
        <v>17</v>
      </c>
      <c r="B59" s="1">
        <f>SQRT(B58)</f>
        <v>2</v>
      </c>
      <c r="D59" s="54" t="s">
        <v>163</v>
      </c>
      <c r="E59" s="46">
        <f>PI()*(1/4)*E58*E58</f>
        <v>0.51848550630534673</v>
      </c>
      <c r="F59" t="s">
        <v>67</v>
      </c>
      <c r="H59" s="10" t="s">
        <v>168</v>
      </c>
      <c r="I59" s="2">
        <v>300</v>
      </c>
      <c r="K59" t="s">
        <v>170</v>
      </c>
      <c r="L59" s="58">
        <v>1E-10</v>
      </c>
      <c r="M59" t="b">
        <f ca="1">OR(ABS(L57)&gt;L59,B66&lt;0,ABS(I67)&gt;(L59*10000))</f>
        <v>1</v>
      </c>
      <c r="X59">
        <v>1</v>
      </c>
      <c r="Y59">
        <v>8</v>
      </c>
    </row>
    <row r="60" spans="1:25" x14ac:dyDescent="0.25">
      <c r="D60" s="54" t="s">
        <v>155</v>
      </c>
      <c r="E60" s="13" t="s">
        <v>15</v>
      </c>
      <c r="H60" s="10" t="s">
        <v>169</v>
      </c>
      <c r="I60" s="1">
        <v>5</v>
      </c>
      <c r="X60">
        <v>1.125</v>
      </c>
      <c r="Y60">
        <v>7</v>
      </c>
    </row>
    <row r="61" spans="1:25" ht="18" x14ac:dyDescent="0.35">
      <c r="A61" s="10" t="s">
        <v>18</v>
      </c>
      <c r="B61" s="4">
        <f>0.65*0.85*B51*MIN(SQRT(B58),2)</f>
        <v>5.5250000000000004</v>
      </c>
      <c r="C61" t="s">
        <v>11</v>
      </c>
      <c r="D61" s="35" t="str">
        <f>IF(B66&gt;B61,"required stress greater than allowed, upsize plate",IF(B66&lt;0,"Calculated Stress Negative - Solver Failed, Make sure plate not in full tension using elastic analysis",""))</f>
        <v/>
      </c>
      <c r="X61">
        <v>1.25</v>
      </c>
      <c r="Y61">
        <v>7</v>
      </c>
    </row>
    <row r="62" spans="1:25" x14ac:dyDescent="0.25">
      <c r="A62" s="10"/>
      <c r="X62">
        <v>1.375</v>
      </c>
      <c r="Y62">
        <v>6</v>
      </c>
    </row>
    <row r="63" spans="1:25" x14ac:dyDescent="0.25">
      <c r="A63" s="16" t="s">
        <v>38</v>
      </c>
      <c r="J63" t="s">
        <v>141</v>
      </c>
      <c r="Q63" t="s">
        <v>171</v>
      </c>
      <c r="X63">
        <v>1.5</v>
      </c>
      <c r="Y63">
        <v>6</v>
      </c>
    </row>
    <row r="64" spans="1:25" x14ac:dyDescent="0.25">
      <c r="A64" s="11" t="s">
        <v>39</v>
      </c>
      <c r="B64" s="24">
        <v>1.7051201210291647</v>
      </c>
      <c r="C64" t="s">
        <v>19</v>
      </c>
      <c r="D64" t="s">
        <v>34</v>
      </c>
      <c r="H64" s="17">
        <f>DEGREES(B64)</f>
        <v>97.696186497807261</v>
      </c>
      <c r="I64" t="s">
        <v>41</v>
      </c>
      <c r="J64" s="3">
        <f>AJ32</f>
        <v>2.770701364777131</v>
      </c>
      <c r="N64" s="8">
        <f>J64</f>
        <v>2.770701364777131</v>
      </c>
      <c r="P64" s="8">
        <f>Q64</f>
        <v>2.770701364777131</v>
      </c>
      <c r="Q64" s="8">
        <f>J64</f>
        <v>2.770701364777131</v>
      </c>
      <c r="X64">
        <v>1.75</v>
      </c>
      <c r="Y64">
        <v>5</v>
      </c>
    </row>
    <row r="65" spans="1:25" x14ac:dyDescent="0.25">
      <c r="A65" s="1" t="s">
        <v>40</v>
      </c>
      <c r="B65" s="24">
        <v>6.1864355956292565</v>
      </c>
      <c r="C65" t="s">
        <v>22</v>
      </c>
      <c r="D65" t="s">
        <v>29</v>
      </c>
      <c r="J65" s="1">
        <f>AE32</f>
        <v>19.313207915827967</v>
      </c>
      <c r="N65">
        <f>0.5*J65</f>
        <v>9.6566039579139833</v>
      </c>
      <c r="P65">
        <f>0.5*Q65</f>
        <v>9.6566039579139833</v>
      </c>
      <c r="Q65">
        <f>AE32</f>
        <v>19.313207915827967</v>
      </c>
      <c r="X65">
        <v>2</v>
      </c>
      <c r="Y65">
        <v>4.5</v>
      </c>
    </row>
    <row r="66" spans="1:25" x14ac:dyDescent="0.25">
      <c r="A66" s="11" t="s">
        <v>42</v>
      </c>
      <c r="B66" s="24">
        <v>5.5250000000000004</v>
      </c>
      <c r="C66" t="s">
        <v>11</v>
      </c>
      <c r="D66">
        <f>B66/B53</f>
        <v>1.3560675915647805E-3</v>
      </c>
      <c r="I66" s="20"/>
      <c r="J66" s="4">
        <f>MAX(AC14:AC21)*2</f>
        <v>5.6689342403628116</v>
      </c>
      <c r="N66">
        <f>2*J66</f>
        <v>11.337868480725623</v>
      </c>
      <c r="P66">
        <f>0.5*Q66</f>
        <v>1.4172335600907029</v>
      </c>
      <c r="Q66">
        <f>MAX(AC14:AC21)</f>
        <v>2.8344671201814058</v>
      </c>
      <c r="X66">
        <v>2.25</v>
      </c>
      <c r="Y66">
        <v>4.5</v>
      </c>
    </row>
    <row r="67" spans="1:25" x14ac:dyDescent="0.25">
      <c r="A67" s="1" t="s">
        <v>37</v>
      </c>
      <c r="B67" s="24">
        <v>54.091431170546485</v>
      </c>
      <c r="C67" t="s">
        <v>36</v>
      </c>
      <c r="D67" t="s">
        <v>122</v>
      </c>
      <c r="G67" s="20">
        <f ca="1">($B$56*$B$66*$B$55*$E$122)/$B$65</f>
        <v>19.419479714790537</v>
      </c>
      <c r="H67" t="s">
        <v>36</v>
      </c>
      <c r="I67">
        <f ca="1">IF(B67=0,0,1-G67/B67)</f>
        <v>0.64098787378055722</v>
      </c>
      <c r="Q67">
        <v>0</v>
      </c>
      <c r="X67">
        <v>2.5</v>
      </c>
      <c r="Y67">
        <v>4</v>
      </c>
    </row>
    <row r="68" spans="1:25" x14ac:dyDescent="0.25">
      <c r="N68" t="s">
        <v>208</v>
      </c>
      <c r="P68" t="s">
        <v>209</v>
      </c>
      <c r="X68">
        <v>2.75</v>
      </c>
      <c r="Y68">
        <v>4</v>
      </c>
    </row>
    <row r="69" spans="1:25" x14ac:dyDescent="0.25">
      <c r="A69" t="s">
        <v>23</v>
      </c>
      <c r="X69">
        <v>3</v>
      </c>
      <c r="Y69">
        <v>4</v>
      </c>
    </row>
    <row r="70" spans="1:25" x14ac:dyDescent="0.25">
      <c r="X70">
        <v>3.25</v>
      </c>
      <c r="Y70">
        <v>4</v>
      </c>
    </row>
    <row r="71" spans="1:25" x14ac:dyDescent="0.25">
      <c r="A71" t="s">
        <v>26</v>
      </c>
      <c r="E71" t="s">
        <v>31</v>
      </c>
      <c r="H71" t="s">
        <v>138</v>
      </c>
      <c r="Q71" t="s">
        <v>14</v>
      </c>
      <c r="X71">
        <v>3.5</v>
      </c>
      <c r="Y71">
        <v>4</v>
      </c>
    </row>
    <row r="72" spans="1:25" x14ac:dyDescent="0.25">
      <c r="A72" s="1" t="str">
        <f t="shared" ref="A72:A81" si="49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  <c r="Q72" t="s">
        <v>1</v>
      </c>
      <c r="R72" t="s">
        <v>2</v>
      </c>
      <c r="X72">
        <v>3.75</v>
      </c>
      <c r="Y72">
        <v>4</v>
      </c>
    </row>
    <row r="73" spans="1:25" x14ac:dyDescent="0.25">
      <c r="A73" s="1">
        <f t="shared" si="49"/>
        <v>1</v>
      </c>
      <c r="B73" s="4">
        <f t="shared" ref="B73:B81" si="50">B13-$B$9</f>
        <v>-7</v>
      </c>
      <c r="C73" s="4">
        <f t="shared" ref="C73:C81" si="51">C13-$C$9</f>
        <v>-18</v>
      </c>
      <c r="E73" s="1">
        <v>0</v>
      </c>
      <c r="F73" s="1">
        <v>0</v>
      </c>
      <c r="H73" s="1">
        <f t="shared" ref="H73:H81" si="52">A25</f>
        <v>1</v>
      </c>
      <c r="I73" s="4">
        <f>B25-$B$9</f>
        <v>-7</v>
      </c>
      <c r="J73" s="4">
        <f>C25-$C$9</f>
        <v>-18</v>
      </c>
      <c r="Q73" cm="1">
        <f t="array" ref="Q73">(-1*MAX(ABS(B84:C91)))-1</f>
        <v>-19.775299666768252</v>
      </c>
      <c r="R73">
        <f>Q73</f>
        <v>-19.775299666768252</v>
      </c>
      <c r="X73">
        <v>4</v>
      </c>
      <c r="Y73">
        <v>4</v>
      </c>
    </row>
    <row r="74" spans="1:25" x14ac:dyDescent="0.25">
      <c r="A74" s="1">
        <f t="shared" si="49"/>
        <v>2</v>
      </c>
      <c r="B74" s="4">
        <f t="shared" si="50"/>
        <v>7</v>
      </c>
      <c r="C74" s="4">
        <f t="shared" si="51"/>
        <v>-18</v>
      </c>
      <c r="H74" s="1">
        <f t="shared" si="52"/>
        <v>2</v>
      </c>
      <c r="I74" s="4">
        <f t="shared" ref="I74:I81" si="53">B26-$B$9</f>
        <v>-7</v>
      </c>
      <c r="J74" s="4">
        <f t="shared" ref="J74:J81" si="54">C26-$C$9</f>
        <v>-18</v>
      </c>
      <c r="Q74">
        <f>-1*Q73</f>
        <v>19.775299666768252</v>
      </c>
      <c r="R74">
        <f>Q74</f>
        <v>19.775299666768252</v>
      </c>
    </row>
    <row r="75" spans="1:25" x14ac:dyDescent="0.25">
      <c r="A75" s="1">
        <f t="shared" si="49"/>
        <v>3</v>
      </c>
      <c r="B75" s="4">
        <f t="shared" si="50"/>
        <v>7</v>
      </c>
      <c r="C75" s="4">
        <f t="shared" si="51"/>
        <v>18</v>
      </c>
      <c r="H75" s="1">
        <f t="shared" si="52"/>
        <v>3</v>
      </c>
      <c r="I75" s="4">
        <f t="shared" si="53"/>
        <v>-7</v>
      </c>
      <c r="J75" s="4">
        <f t="shared" si="54"/>
        <v>-18</v>
      </c>
    </row>
    <row r="76" spans="1:25" x14ac:dyDescent="0.25">
      <c r="A76" s="1">
        <f t="shared" si="49"/>
        <v>4</v>
      </c>
      <c r="B76" s="4">
        <f t="shared" si="50"/>
        <v>-7</v>
      </c>
      <c r="C76" s="4">
        <f t="shared" si="51"/>
        <v>18</v>
      </c>
      <c r="H76" s="1">
        <f t="shared" si="52"/>
        <v>4</v>
      </c>
      <c r="I76" s="4">
        <f t="shared" si="53"/>
        <v>-7</v>
      </c>
      <c r="J76" s="4">
        <f t="shared" si="54"/>
        <v>-18</v>
      </c>
    </row>
    <row r="77" spans="1:25" x14ac:dyDescent="0.25">
      <c r="A77" s="1">
        <f t="shared" si="49"/>
        <v>5</v>
      </c>
      <c r="B77" s="4">
        <f t="shared" si="50"/>
        <v>-7</v>
      </c>
      <c r="C77" s="4">
        <f t="shared" si="51"/>
        <v>-18</v>
      </c>
      <c r="H77" s="1">
        <f t="shared" si="52"/>
        <v>5</v>
      </c>
      <c r="I77" s="4">
        <f t="shared" si="53"/>
        <v>-7</v>
      </c>
      <c r="J77" s="4">
        <f t="shared" si="54"/>
        <v>-18</v>
      </c>
      <c r="Q77" t="s">
        <v>148</v>
      </c>
    </row>
    <row r="78" spans="1:25" x14ac:dyDescent="0.25">
      <c r="A78" s="1">
        <f t="shared" si="49"/>
        <v>6</v>
      </c>
      <c r="B78" s="4">
        <f t="shared" si="50"/>
        <v>-7</v>
      </c>
      <c r="C78" s="4">
        <f t="shared" si="51"/>
        <v>-18</v>
      </c>
      <c r="H78" s="1">
        <f t="shared" si="52"/>
        <v>6</v>
      </c>
      <c r="I78" s="4">
        <f t="shared" si="53"/>
        <v>-7</v>
      </c>
      <c r="J78" s="4">
        <f t="shared" si="54"/>
        <v>-18</v>
      </c>
      <c r="Q78" t="s">
        <v>27</v>
      </c>
      <c r="R78" t="s">
        <v>28</v>
      </c>
    </row>
    <row r="79" spans="1:25" x14ac:dyDescent="0.25">
      <c r="A79" s="1">
        <f t="shared" si="49"/>
        <v>7</v>
      </c>
      <c r="B79" s="4">
        <f t="shared" si="50"/>
        <v>-7</v>
      </c>
      <c r="C79" s="4">
        <f t="shared" si="51"/>
        <v>-18</v>
      </c>
      <c r="H79" s="1">
        <f t="shared" si="52"/>
        <v>7</v>
      </c>
      <c r="I79" s="4">
        <f t="shared" si="53"/>
        <v>-7</v>
      </c>
      <c r="J79" s="4">
        <f t="shared" si="54"/>
        <v>-18</v>
      </c>
      <c r="Q79">
        <f>(I126*COS(-1*$B$64))+(J126*SIN(-1*$B$64))</f>
        <v>-0.48428609408966095</v>
      </c>
      <c r="R79">
        <f>(-1*I126*SIN(-1*$B$64))+(J126*COS(-1*$B$64))</f>
        <v>-20.020497703514742</v>
      </c>
    </row>
    <row r="80" spans="1:25" x14ac:dyDescent="0.25">
      <c r="A80" s="1">
        <f t="shared" si="49"/>
        <v>8</v>
      </c>
      <c r="B80" s="4">
        <f t="shared" si="50"/>
        <v>-7</v>
      </c>
      <c r="C80" s="4">
        <f t="shared" si="51"/>
        <v>-18</v>
      </c>
      <c r="H80" s="1">
        <f t="shared" si="52"/>
        <v>8</v>
      </c>
      <c r="I80" s="4">
        <f t="shared" si="53"/>
        <v>-7</v>
      </c>
      <c r="J80" s="4">
        <f t="shared" si="54"/>
        <v>-18</v>
      </c>
      <c r="Q80">
        <f>(I127*COS(-1*$B$64))+(J127*SIN(-1*$B$64))</f>
        <v>-5.7809113385401432</v>
      </c>
      <c r="R80">
        <f>(-1*I127*SIN(-1*$B$64))+(J127*COS(-1*$B$64))</f>
        <v>19.173834395167432</v>
      </c>
    </row>
    <row r="81" spans="1:18" x14ac:dyDescent="0.25">
      <c r="A81" s="1">
        <f t="shared" si="49"/>
        <v>9</v>
      </c>
      <c r="B81" s="4">
        <f t="shared" si="50"/>
        <v>-7</v>
      </c>
      <c r="C81" s="4">
        <f t="shared" si="51"/>
        <v>-18</v>
      </c>
      <c r="H81" s="1">
        <f t="shared" si="52"/>
        <v>9</v>
      </c>
      <c r="I81" s="4">
        <f t="shared" si="53"/>
        <v>-7</v>
      </c>
      <c r="J81" s="4">
        <f t="shared" si="54"/>
        <v>-18</v>
      </c>
    </row>
    <row r="82" spans="1:18" x14ac:dyDescent="0.25">
      <c r="A82" t="s">
        <v>30</v>
      </c>
      <c r="B82" s="9"/>
      <c r="H82" t="s">
        <v>139</v>
      </c>
      <c r="Q82" s="4">
        <f>Q79+$B$9</f>
        <v>6.5157139059103386</v>
      </c>
      <c r="R82" s="4">
        <f>R79+$C$9</f>
        <v>-2.0204977035147422</v>
      </c>
    </row>
    <row r="83" spans="1:18" x14ac:dyDescent="0.25">
      <c r="A83" s="1" t="str">
        <f t="shared" ref="A83:A92" si="55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  <c r="Q83" s="4">
        <f>Q80+$B$9</f>
        <v>1.2190886614598568</v>
      </c>
      <c r="R83" s="4">
        <f>R80+$C$9</f>
        <v>37.173834395167432</v>
      </c>
    </row>
    <row r="84" spans="1:18" x14ac:dyDescent="0.25">
      <c r="A84" s="1">
        <f t="shared" si="55"/>
        <v>1</v>
      </c>
      <c r="B84" s="4">
        <f t="shared" ref="B84:B92" si="56">(B73*COS($B$64))+(C73*SIN($B$64))</f>
        <v>-16.900416487452443</v>
      </c>
      <c r="C84" s="1">
        <f t="shared" ref="C84:C92" si="57">(-1*B73*SIN($B$64))+(C73*COS($B$64))</f>
        <v>9.3475088954568921</v>
      </c>
      <c r="H84" s="1">
        <f t="shared" ref="H84:H92" si="58">H73</f>
        <v>1</v>
      </c>
      <c r="I84" s="4">
        <f>(I73*COS($B$64))+(J73*SIN($B$64))</f>
        <v>-16.900416487452443</v>
      </c>
      <c r="J84" s="1">
        <f>(-1*I73*SIN($B$64))+(J73*COS($B$64))</f>
        <v>9.3475088954568921</v>
      </c>
    </row>
    <row r="85" spans="1:18" x14ac:dyDescent="0.25">
      <c r="A85" s="1">
        <f t="shared" si="55"/>
        <v>2</v>
      </c>
      <c r="B85" s="4">
        <f t="shared" si="56"/>
        <v>-18.775299666768252</v>
      </c>
      <c r="C85" s="1">
        <f t="shared" si="57"/>
        <v>-4.5263807200733766</v>
      </c>
      <c r="H85" s="1">
        <f t="shared" si="58"/>
        <v>2</v>
      </c>
      <c r="I85" s="4">
        <f t="shared" ref="I85:I92" si="59">(I74*COS($B$64))+(J74*SIN($B$64))</f>
        <v>-16.900416487452443</v>
      </c>
      <c r="J85" s="1">
        <f t="shared" ref="J85:J92" si="60">(-1*I74*SIN($B$64))+(J74*COS($B$64))</f>
        <v>9.3475088954568921</v>
      </c>
      <c r="Q85" t="s">
        <v>149</v>
      </c>
    </row>
    <row r="86" spans="1:18" x14ac:dyDescent="0.25">
      <c r="A86" s="1">
        <f t="shared" si="55"/>
        <v>3</v>
      </c>
      <c r="B86" s="4">
        <f t="shared" si="56"/>
        <v>16.900416487452443</v>
      </c>
      <c r="C86" s="1">
        <f t="shared" si="57"/>
        <v>-9.3475088954568921</v>
      </c>
      <c r="H86" s="1">
        <f t="shared" si="58"/>
        <v>3</v>
      </c>
      <c r="I86" s="4">
        <f t="shared" si="59"/>
        <v>-16.900416487452443</v>
      </c>
      <c r="J86" s="1">
        <f t="shared" si="60"/>
        <v>9.3475088954568921</v>
      </c>
      <c r="Q86" t="s">
        <v>27</v>
      </c>
      <c r="R86" t="s">
        <v>28</v>
      </c>
    </row>
    <row r="87" spans="1:18" x14ac:dyDescent="0.25">
      <c r="A87" s="1">
        <f t="shared" si="55"/>
        <v>4</v>
      </c>
      <c r="B87" s="4">
        <f t="shared" si="56"/>
        <v>18.775299666768252</v>
      </c>
      <c r="C87" s="1">
        <f t="shared" si="57"/>
        <v>4.5263807200733766</v>
      </c>
      <c r="H87" s="1">
        <f t="shared" si="58"/>
        <v>4</v>
      </c>
      <c r="I87" s="4">
        <f t="shared" si="59"/>
        <v>-16.900416487452443</v>
      </c>
      <c r="J87" s="1">
        <f t="shared" si="60"/>
        <v>9.3475088954568921</v>
      </c>
      <c r="Q87">
        <f>(P142*COS(-1*$B$64))+(P143*SIN(-1*$B$64))</f>
        <v>-5.4261173435014811</v>
      </c>
      <c r="R87">
        <f>(-1*P142*SIN(-1*$B$64))+(P143*COS(-1*$B$64))</f>
        <v>-6.744645085388</v>
      </c>
    </row>
    <row r="88" spans="1:18" x14ac:dyDescent="0.25">
      <c r="A88" s="1">
        <f t="shared" si="55"/>
        <v>5</v>
      </c>
      <c r="B88" s="4">
        <f t="shared" si="56"/>
        <v>-16.900416487452443</v>
      </c>
      <c r="C88" s="1">
        <f t="shared" si="57"/>
        <v>9.3475088954568921</v>
      </c>
      <c r="H88" s="1">
        <f t="shared" si="58"/>
        <v>5</v>
      </c>
      <c r="I88" s="4">
        <f t="shared" si="59"/>
        <v>-16.900416487452443</v>
      </c>
      <c r="J88" s="1">
        <f t="shared" si="60"/>
        <v>9.3475088954568921</v>
      </c>
    </row>
    <row r="89" spans="1:18" x14ac:dyDescent="0.25">
      <c r="A89" s="1">
        <f t="shared" si="55"/>
        <v>6</v>
      </c>
      <c r="B89" s="4">
        <f t="shared" si="56"/>
        <v>-16.900416487452443</v>
      </c>
      <c r="C89" s="1">
        <f t="shared" si="57"/>
        <v>9.3475088954568921</v>
      </c>
      <c r="H89" s="1">
        <f t="shared" si="58"/>
        <v>6</v>
      </c>
      <c r="I89" s="4">
        <f t="shared" si="59"/>
        <v>-16.900416487452443</v>
      </c>
      <c r="J89" s="1">
        <f t="shared" si="60"/>
        <v>9.3475088954568921</v>
      </c>
    </row>
    <row r="90" spans="1:18" x14ac:dyDescent="0.25">
      <c r="A90" s="1">
        <f t="shared" si="55"/>
        <v>7</v>
      </c>
      <c r="B90" s="4">
        <f t="shared" si="56"/>
        <v>-16.900416487452443</v>
      </c>
      <c r="C90" s="1">
        <f t="shared" si="57"/>
        <v>9.3475088954568921</v>
      </c>
      <c r="H90" s="1">
        <f t="shared" si="58"/>
        <v>7</v>
      </c>
      <c r="I90" s="4">
        <f t="shared" si="59"/>
        <v>-16.900416487452443</v>
      </c>
      <c r="J90" s="1">
        <f t="shared" si="60"/>
        <v>9.3475088954568921</v>
      </c>
      <c r="Q90" s="4">
        <f>Q87+$B$9</f>
        <v>1.5738826564985189</v>
      </c>
      <c r="R90" s="4">
        <f>R87+$C$9</f>
        <v>11.255354914611999</v>
      </c>
    </row>
    <row r="91" spans="1:18" x14ac:dyDescent="0.25">
      <c r="A91" s="1">
        <f t="shared" si="55"/>
        <v>8</v>
      </c>
      <c r="B91" s="4">
        <f t="shared" si="56"/>
        <v>-16.900416487452443</v>
      </c>
      <c r="C91" s="1">
        <f t="shared" si="57"/>
        <v>9.3475088954568921</v>
      </c>
      <c r="H91" s="1">
        <f t="shared" si="58"/>
        <v>8</v>
      </c>
      <c r="I91" s="4">
        <f t="shared" si="59"/>
        <v>-16.900416487452443</v>
      </c>
      <c r="J91" s="1">
        <f t="shared" si="60"/>
        <v>9.3475088954568921</v>
      </c>
    </row>
    <row r="92" spans="1:18" x14ac:dyDescent="0.25">
      <c r="A92" s="1">
        <f t="shared" si="55"/>
        <v>9</v>
      </c>
      <c r="B92" s="4">
        <f t="shared" si="56"/>
        <v>-16.900416487452443</v>
      </c>
      <c r="C92" s="1">
        <f t="shared" si="57"/>
        <v>9.3475088954568921</v>
      </c>
      <c r="H92" s="1">
        <f t="shared" si="58"/>
        <v>9</v>
      </c>
      <c r="I92" s="4">
        <f t="shared" si="59"/>
        <v>-16.900416487452443</v>
      </c>
      <c r="J92" s="1">
        <f t="shared" si="60"/>
        <v>9.3475088954568921</v>
      </c>
      <c r="Q92" t="s">
        <v>150</v>
      </c>
    </row>
    <row r="93" spans="1:18" x14ac:dyDescent="0.25">
      <c r="A93" t="s">
        <v>33</v>
      </c>
      <c r="B93" s="9"/>
      <c r="Q93" t="s">
        <v>27</v>
      </c>
      <c r="R93" t="s">
        <v>28</v>
      </c>
    </row>
    <row r="94" spans="1:18" x14ac:dyDescent="0.25">
      <c r="B94" s="1" t="s">
        <v>27</v>
      </c>
      <c r="C94" s="1" t="s">
        <v>28</v>
      </c>
      <c r="Q94" t="e">
        <f>(P156*COS(-1*$B$64))+(P157*SIN(-1*$B$64))</f>
        <v>#N/A</v>
      </c>
      <c r="R94" t="e">
        <f>(-1*P156*SIN(-1*$B$64))+(P157*COS(-1*$B$64))</f>
        <v>#N/A</v>
      </c>
    </row>
    <row r="95" spans="1:18" x14ac:dyDescent="0.25">
      <c r="A95">
        <f t="shared" ref="A95:A106" si="61">A37</f>
        <v>1</v>
      </c>
      <c r="B95" s="4">
        <f t="shared" ref="B95:B106" si="62">B37-$B$9</f>
        <v>-4</v>
      </c>
      <c r="C95" s="4">
        <f t="shared" ref="C95:C106" si="63">C37-$C$9</f>
        <v>-15</v>
      </c>
      <c r="D95" t="str">
        <f t="shared" ref="D95:D106" si="64">D37</f>
        <v>y</v>
      </c>
    </row>
    <row r="96" spans="1:18" x14ac:dyDescent="0.25">
      <c r="A96">
        <f t="shared" si="61"/>
        <v>2</v>
      </c>
      <c r="B96" s="4">
        <f t="shared" si="62"/>
        <v>-4</v>
      </c>
      <c r="C96" s="4">
        <f t="shared" si="63"/>
        <v>-9</v>
      </c>
      <c r="D96" t="str">
        <f t="shared" si="64"/>
        <v>y</v>
      </c>
    </row>
    <row r="97" spans="1:28" x14ac:dyDescent="0.25">
      <c r="A97">
        <f t="shared" si="61"/>
        <v>3</v>
      </c>
      <c r="B97" s="4">
        <f t="shared" si="62"/>
        <v>4</v>
      </c>
      <c r="C97" s="4">
        <f t="shared" si="63"/>
        <v>-15</v>
      </c>
      <c r="D97" t="str">
        <f t="shared" si="64"/>
        <v>y</v>
      </c>
      <c r="Q97" s="4" t="e">
        <f>Q94+$B$9</f>
        <v>#N/A</v>
      </c>
      <c r="R97" s="4" t="e">
        <f>R94+$C$9</f>
        <v>#N/A</v>
      </c>
    </row>
    <row r="98" spans="1:28" x14ac:dyDescent="0.25">
      <c r="A98">
        <f t="shared" si="61"/>
        <v>4</v>
      </c>
      <c r="B98" s="4">
        <f t="shared" si="62"/>
        <v>4</v>
      </c>
      <c r="C98" s="4">
        <f t="shared" si="63"/>
        <v>-9</v>
      </c>
      <c r="D98" t="str">
        <f t="shared" si="64"/>
        <v>y</v>
      </c>
    </row>
    <row r="99" spans="1:28" x14ac:dyDescent="0.25">
      <c r="A99">
        <f t="shared" si="61"/>
        <v>5</v>
      </c>
      <c r="B99" s="4">
        <f t="shared" si="62"/>
        <v>-4</v>
      </c>
      <c r="C99" s="4">
        <f t="shared" si="63"/>
        <v>-3</v>
      </c>
      <c r="D99" t="str">
        <f t="shared" si="64"/>
        <v>y</v>
      </c>
    </row>
    <row r="100" spans="1:28" x14ac:dyDescent="0.25">
      <c r="A100">
        <f t="shared" si="61"/>
        <v>6</v>
      </c>
      <c r="B100" s="4">
        <f t="shared" si="62"/>
        <v>-4</v>
      </c>
      <c r="C100" s="4">
        <f t="shared" si="63"/>
        <v>3</v>
      </c>
      <c r="D100" t="str">
        <f t="shared" si="64"/>
        <v>y</v>
      </c>
    </row>
    <row r="101" spans="1:28" x14ac:dyDescent="0.25">
      <c r="A101">
        <f t="shared" si="61"/>
        <v>7</v>
      </c>
      <c r="B101" s="4">
        <f t="shared" si="62"/>
        <v>4</v>
      </c>
      <c r="C101" s="4">
        <f t="shared" si="63"/>
        <v>3</v>
      </c>
      <c r="D101" t="str">
        <f t="shared" si="64"/>
        <v>y</v>
      </c>
    </row>
    <row r="102" spans="1:28" x14ac:dyDescent="0.25">
      <c r="A102">
        <f t="shared" si="61"/>
        <v>8</v>
      </c>
      <c r="B102" s="4">
        <f t="shared" si="62"/>
        <v>4</v>
      </c>
      <c r="C102" s="4">
        <f t="shared" si="63"/>
        <v>-3</v>
      </c>
      <c r="D102" t="str">
        <f t="shared" si="64"/>
        <v>y</v>
      </c>
    </row>
    <row r="103" spans="1:28" x14ac:dyDescent="0.25">
      <c r="A103">
        <f t="shared" si="61"/>
        <v>9</v>
      </c>
      <c r="B103" s="4">
        <f t="shared" si="62"/>
        <v>-4</v>
      </c>
      <c r="C103" s="4">
        <f t="shared" si="63"/>
        <v>9</v>
      </c>
      <c r="D103" t="str">
        <f t="shared" si="64"/>
        <v>y</v>
      </c>
    </row>
    <row r="104" spans="1:28" x14ac:dyDescent="0.25">
      <c r="A104">
        <f t="shared" si="61"/>
        <v>10</v>
      </c>
      <c r="B104" s="4">
        <f t="shared" si="62"/>
        <v>-4</v>
      </c>
      <c r="C104" s="4">
        <f t="shared" si="63"/>
        <v>15</v>
      </c>
      <c r="D104" t="str">
        <f t="shared" si="64"/>
        <v>y</v>
      </c>
    </row>
    <row r="105" spans="1:28" x14ac:dyDescent="0.25">
      <c r="A105">
        <f t="shared" si="61"/>
        <v>11</v>
      </c>
      <c r="B105" s="4">
        <f t="shared" si="62"/>
        <v>4</v>
      </c>
      <c r="C105" s="4">
        <f t="shared" si="63"/>
        <v>9</v>
      </c>
      <c r="D105" t="str">
        <f t="shared" si="64"/>
        <v>y</v>
      </c>
    </row>
    <row r="106" spans="1:28" x14ac:dyDescent="0.25">
      <c r="A106">
        <f t="shared" si="61"/>
        <v>12</v>
      </c>
      <c r="B106" s="4">
        <f t="shared" si="62"/>
        <v>4</v>
      </c>
      <c r="C106" s="4">
        <f t="shared" si="63"/>
        <v>15</v>
      </c>
      <c r="D106" t="str">
        <f t="shared" si="64"/>
        <v>y</v>
      </c>
    </row>
    <row r="107" spans="1:28" x14ac:dyDescent="0.25">
      <c r="Q107" t="s">
        <v>151</v>
      </c>
    </row>
    <row r="108" spans="1:28" x14ac:dyDescent="0.25">
      <c r="A108" t="s">
        <v>32</v>
      </c>
    </row>
    <row r="109" spans="1:28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  <c r="Q109" s="1" t="s">
        <v>27</v>
      </c>
      <c r="R109" s="1" t="s">
        <v>28</v>
      </c>
      <c r="Y109" t="s">
        <v>162</v>
      </c>
      <c r="AB109" t="s">
        <v>173</v>
      </c>
    </row>
    <row r="110" spans="1:28" x14ac:dyDescent="0.25">
      <c r="A110">
        <f>A95</f>
        <v>1</v>
      </c>
      <c r="B110" s="1">
        <f>(B95*COS($B$64))+(C95*SIN($B$64))</f>
        <v>-14.329200822549341</v>
      </c>
      <c r="C110" s="1">
        <f>(-1*B95*SIN($B$64))+(C95*COS($B$64))</f>
        <v>5.9727718679898754</v>
      </c>
      <c r="D110" t="str">
        <f t="shared" ref="D110" si="65">D95</f>
        <v>y</v>
      </c>
      <c r="E110" s="4">
        <f t="shared" ref="E110:E121" si="66">IF($D110="y",$B$125-C110,0)</f>
        <v>-2.8116985681622397</v>
      </c>
      <c r="F110" s="1">
        <f>IF($D110="y",B110,NA())</f>
        <v>-14.329200822549341</v>
      </c>
      <c r="G110" s="1">
        <f>IF($D110="y",C110,NA())</f>
        <v>5.9727718679898754</v>
      </c>
      <c r="H110">
        <f t="shared" ref="H110:H121" si="67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68">IFERROR(($D$66/$B$65)*(G110-$B$125),0)</f>
        <v>6.1632473927760725E-4</v>
      </c>
      <c r="N110">
        <f t="shared" ref="N110:N121" si="69">IF(AND(M110&gt;0,D110="y",$E$60="y"),$B$53*M110*$E$59,0)</f>
        <v>0</v>
      </c>
      <c r="O110">
        <f>N110*C110</f>
        <v>0</v>
      </c>
      <c r="P110">
        <f>N110*B110*-1</f>
        <v>0</v>
      </c>
      <c r="Q110" t="e">
        <f>IF($H110&lt;0,F110,NA())</f>
        <v>#N/A</v>
      </c>
      <c r="R110" t="e">
        <f>IF($H110&lt;0,G110,NA())</f>
        <v>#N/A</v>
      </c>
      <c r="T110" t="e">
        <f>(Q110*COS(-1*$B$64))+(R110*SIN(-1*$B$64))</f>
        <v>#N/A</v>
      </c>
      <c r="U110" t="e">
        <f>(-1*Q110*SIN(-1*$B$64))+(R110*COS(-1*$B$64))</f>
        <v>#N/A</v>
      </c>
      <c r="W110" s="4" t="e">
        <f>T110+$B$9</f>
        <v>#N/A</v>
      </c>
      <c r="X110" s="4" t="e">
        <f>U110+$C$9</f>
        <v>#N/A</v>
      </c>
      <c r="Y110">
        <f t="shared" ref="Y110:Y121" si="70">IF(AND($E$60="n",M110&gt;0,D110="y"),M110*$B$53*$E$59,0)</f>
        <v>1.3019585762578234</v>
      </c>
      <c r="AB110" t="str">
        <f t="shared" ref="AB110:AB121" si="71">IF(H110&lt;&gt;0,CHAR(10)&amp;CHAR(10)&amp;ROUND(ABS(H110),4)&amp;" kips",IF(AND($E$60="n",D110="y"),CHAR(10)&amp;CHAR(10)&amp;ROUND(ABS(Y110),4)&amp;" kips",""))</f>
        <v xml:space="preserve">
1.302 kips</v>
      </c>
    </row>
    <row r="111" spans="1:28" x14ac:dyDescent="0.25">
      <c r="A111">
        <f t="shared" ref="A111:D111" si="72">A96</f>
        <v>2</v>
      </c>
      <c r="B111" s="1">
        <f t="shared" ref="B111:B121" si="73">(B96*COS($B$64))+(C96*SIN($B$64))</f>
        <v>-8.3832481301792274</v>
      </c>
      <c r="C111" s="1">
        <f t="shared" ref="C111:C121" si="74">(-1*B96*SIN($B$64))+(C96*COS($B$64))</f>
        <v>5.1692505054259561</v>
      </c>
      <c r="D111" t="str">
        <f t="shared" si="72"/>
        <v>y</v>
      </c>
      <c r="E111" s="4">
        <f t="shared" si="66"/>
        <v>-2.0081772055983205</v>
      </c>
      <c r="F111" s="1">
        <f t="shared" ref="F111:F121" si="75">IF($D111="y",B111,NA())</f>
        <v>-8.3832481301792274</v>
      </c>
      <c r="G111" s="1">
        <f t="shared" ref="G111:G121" si="76">IF($D111="y",C111,NA())</f>
        <v>5.1692505054259561</v>
      </c>
      <c r="H111">
        <f t="shared" si="67"/>
        <v>0</v>
      </c>
      <c r="I111">
        <f t="shared" ref="I111:I121" si="77">H111*C111</f>
        <v>0</v>
      </c>
      <c r="J111">
        <f t="shared" ref="J111:J121" si="78">H111*B111*-1</f>
        <v>0</v>
      </c>
      <c r="K111">
        <f ca="1">H111/$B$55</f>
        <v>0</v>
      </c>
      <c r="L111">
        <f t="shared" ref="L111:L121" ca="1" si="79">K111/$B$54</f>
        <v>0</v>
      </c>
      <c r="M111">
        <f t="shared" si="68"/>
        <v>4.4019273853832327E-4</v>
      </c>
      <c r="N111">
        <f t="shared" si="69"/>
        <v>0</v>
      </c>
      <c r="O111">
        <f t="shared" ref="O111:O121" si="80">N111*C111</f>
        <v>0</v>
      </c>
      <c r="P111">
        <f t="shared" ref="P111:P121" si="81">N111*B111*-1</f>
        <v>0</v>
      </c>
      <c r="Q111" t="e">
        <f t="shared" ref="Q111:Q121" si="82">IF($H111&lt;0,F111,NA())</f>
        <v>#N/A</v>
      </c>
      <c r="R111" t="e">
        <f t="shared" ref="R111:R121" si="83">IF($H111&lt;0,G111,NA())</f>
        <v>#N/A</v>
      </c>
      <c r="T111" t="e">
        <f t="shared" ref="T111:T121" si="84">(Q111*COS(-1*$B$64))+(R111*SIN(-1*$B$64))</f>
        <v>#N/A</v>
      </c>
      <c r="U111" t="e">
        <f t="shared" ref="U111:U121" si="85">(-1*Q111*SIN(-1*$B$64))+(R111*COS(-1*$B$64))</f>
        <v>#N/A</v>
      </c>
      <c r="W111" s="4" t="e">
        <f t="shared" ref="W111:W121" si="86">T111+$B$9</f>
        <v>#N/A</v>
      </c>
      <c r="X111" s="4" t="e">
        <f t="shared" ref="X111:X121" si="87">U111+$C$9</f>
        <v>#N/A</v>
      </c>
      <c r="Y111">
        <f t="shared" si="70"/>
        <v>0.92988756514647086</v>
      </c>
      <c r="AB111" t="str">
        <f t="shared" si="71"/>
        <v xml:space="preserve">
0.9299 kips</v>
      </c>
    </row>
    <row r="112" spans="1:28" x14ac:dyDescent="0.25">
      <c r="A112">
        <f t="shared" ref="A112:D112" si="88">A97</f>
        <v>3</v>
      </c>
      <c r="B112" s="1">
        <f t="shared" si="73"/>
        <v>-15.400562639301233</v>
      </c>
      <c r="C112" s="1">
        <f t="shared" si="74"/>
        <v>-1.9551650551702782</v>
      </c>
      <c r="D112" t="str">
        <f t="shared" si="88"/>
        <v>y</v>
      </c>
      <c r="E112" s="4">
        <f t="shared" si="66"/>
        <v>5.1162383549979138</v>
      </c>
      <c r="F112" s="1">
        <f t="shared" si="75"/>
        <v>-15.400562639301233</v>
      </c>
      <c r="G112" s="1">
        <f t="shared" si="76"/>
        <v>-1.9551650551702782</v>
      </c>
      <c r="H112">
        <f t="shared" si="67"/>
        <v>-30.298811699433092</v>
      </c>
      <c r="I112">
        <f t="shared" si="77"/>
        <v>59.239177847915968</v>
      </c>
      <c r="J112">
        <f t="shared" si="78"/>
        <v>-466.61874747351237</v>
      </c>
      <c r="K112">
        <f t="shared" ref="K112:K121" ca="1" si="89">H112/$B$55</f>
        <v>-90.590048081066257</v>
      </c>
      <c r="L112">
        <f t="shared" ca="1" si="79"/>
        <v>-3.1237947614160778E-3</v>
      </c>
      <c r="M112">
        <f t="shared" si="68"/>
        <v>-1.1214801991691432E-3</v>
      </c>
      <c r="N112">
        <f t="shared" si="69"/>
        <v>0</v>
      </c>
      <c r="O112">
        <f t="shared" si="80"/>
        <v>0</v>
      </c>
      <c r="P112">
        <f t="shared" si="81"/>
        <v>0</v>
      </c>
      <c r="Q112">
        <f t="shared" si="82"/>
        <v>-15.400562639301233</v>
      </c>
      <c r="R112">
        <f t="shared" si="83"/>
        <v>-1.9551650551702782</v>
      </c>
      <c r="T112">
        <f t="shared" si="84"/>
        <v>3.9999999999999996</v>
      </c>
      <c r="U112">
        <f t="shared" si="85"/>
        <v>-14.999999999999998</v>
      </c>
      <c r="W112" s="4">
        <f t="shared" si="86"/>
        <v>11</v>
      </c>
      <c r="X112" s="4">
        <f t="shared" si="87"/>
        <v>3.0000000000000018</v>
      </c>
      <c r="Y112">
        <f t="shared" si="70"/>
        <v>0</v>
      </c>
      <c r="AB112" t="str">
        <f t="shared" si="71"/>
        <v xml:space="preserve">
30.2988 kips</v>
      </c>
    </row>
    <row r="113" spans="1:28" x14ac:dyDescent="0.25">
      <c r="A113">
        <f t="shared" ref="A113:D113" si="90">A98</f>
        <v>4</v>
      </c>
      <c r="B113" s="1">
        <f t="shared" si="73"/>
        <v>-9.4546099469311198</v>
      </c>
      <c r="C113" s="1">
        <f t="shared" si="74"/>
        <v>-2.7586864177341974</v>
      </c>
      <c r="D113" t="str">
        <f t="shared" si="90"/>
        <v>y</v>
      </c>
      <c r="E113" s="4">
        <f t="shared" si="66"/>
        <v>5.9197597175618331</v>
      </c>
      <c r="F113" s="1">
        <f t="shared" si="75"/>
        <v>-9.4546099469311198</v>
      </c>
      <c r="G113" s="1">
        <f t="shared" si="76"/>
        <v>-2.7586864177341974</v>
      </c>
      <c r="H113">
        <f t="shared" si="67"/>
        <v>-35.057335593655765</v>
      </c>
      <c r="I113">
        <f t="shared" si="77"/>
        <v>96.712195544167798</v>
      </c>
      <c r="J113">
        <f t="shared" si="78"/>
        <v>-331.45343381668016</v>
      </c>
      <c r="K113">
        <f t="shared" ca="1" si="89"/>
        <v>-104.81750071679454</v>
      </c>
      <c r="L113">
        <f t="shared" ca="1" si="79"/>
        <v>-3.614396576441191E-3</v>
      </c>
      <c r="M113">
        <f t="shared" si="68"/>
        <v>-1.2976121999084271E-3</v>
      </c>
      <c r="N113">
        <f t="shared" si="69"/>
        <v>0</v>
      </c>
      <c r="O113">
        <f t="shared" si="80"/>
        <v>0</v>
      </c>
      <c r="P113">
        <f t="shared" si="81"/>
        <v>0</v>
      </c>
      <c r="Q113">
        <f t="shared" si="82"/>
        <v>-9.4546099469311198</v>
      </c>
      <c r="R113">
        <f t="shared" si="83"/>
        <v>-2.7586864177341974</v>
      </c>
      <c r="T113">
        <f t="shared" si="84"/>
        <v>4</v>
      </c>
      <c r="U113">
        <f t="shared" si="85"/>
        <v>-9</v>
      </c>
      <c r="W113" s="4">
        <f t="shared" si="86"/>
        <v>11</v>
      </c>
      <c r="X113" s="4">
        <f t="shared" si="87"/>
        <v>9</v>
      </c>
      <c r="Y113">
        <f t="shared" si="70"/>
        <v>0</v>
      </c>
      <c r="AB113" t="str">
        <f t="shared" si="71"/>
        <v xml:space="preserve">
35.0573 kips</v>
      </c>
    </row>
    <row r="114" spans="1:28" x14ac:dyDescent="0.25">
      <c r="A114">
        <f t="shared" ref="A114:D114" si="91">A99</f>
        <v>5</v>
      </c>
      <c r="B114" s="1">
        <f t="shared" si="73"/>
        <v>-2.4372954378091114</v>
      </c>
      <c r="C114" s="1">
        <f t="shared" si="74"/>
        <v>4.3657291428620368</v>
      </c>
      <c r="D114" t="str">
        <f t="shared" si="91"/>
        <v>y</v>
      </c>
      <c r="E114" s="4">
        <f t="shared" si="66"/>
        <v>-1.2046558430344012</v>
      </c>
      <c r="F114" s="1">
        <f t="shared" si="75"/>
        <v>-2.4372954378091114</v>
      </c>
      <c r="G114" s="1">
        <f t="shared" si="76"/>
        <v>4.3657291428620368</v>
      </c>
      <c r="H114">
        <f t="shared" si="67"/>
        <v>0</v>
      </c>
      <c r="I114">
        <f t="shared" si="77"/>
        <v>0</v>
      </c>
      <c r="J114">
        <f t="shared" si="78"/>
        <v>0</v>
      </c>
      <c r="K114">
        <f t="shared" ca="1" si="89"/>
        <v>0</v>
      </c>
      <c r="L114">
        <f t="shared" ca="1" si="79"/>
        <v>0</v>
      </c>
      <c r="M114">
        <f t="shared" si="68"/>
        <v>2.6406073779903935E-4</v>
      </c>
      <c r="N114">
        <f t="shared" si="69"/>
        <v>0</v>
      </c>
      <c r="O114">
        <f t="shared" si="80"/>
        <v>0</v>
      </c>
      <c r="P114">
        <f t="shared" si="81"/>
        <v>0</v>
      </c>
      <c r="Q114" t="e">
        <f t="shared" si="82"/>
        <v>#N/A</v>
      </c>
      <c r="R114" t="e">
        <f t="shared" si="83"/>
        <v>#N/A</v>
      </c>
      <c r="T114" t="e">
        <f t="shared" si="84"/>
        <v>#N/A</v>
      </c>
      <c r="U114" t="e">
        <f t="shared" si="85"/>
        <v>#N/A</v>
      </c>
      <c r="W114" s="4" t="e">
        <f t="shared" si="86"/>
        <v>#N/A</v>
      </c>
      <c r="X114" s="4" t="e">
        <f t="shared" si="87"/>
        <v>#N/A</v>
      </c>
      <c r="Y114">
        <f t="shared" si="70"/>
        <v>0.55781655403511843</v>
      </c>
      <c r="AB114" t="str">
        <f t="shared" si="71"/>
        <v xml:space="preserve">
0.5578 kips</v>
      </c>
    </row>
    <row r="115" spans="1:28" x14ac:dyDescent="0.25">
      <c r="A115">
        <f t="shared" ref="A115:D115" si="92">A100</f>
        <v>6</v>
      </c>
      <c r="B115" s="1">
        <f t="shared" si="73"/>
        <v>3.5086572545610037</v>
      </c>
      <c r="C115" s="1">
        <f t="shared" si="74"/>
        <v>3.5622077802981171</v>
      </c>
      <c r="D115" t="str">
        <f t="shared" si="92"/>
        <v>y</v>
      </c>
      <c r="E115" s="4">
        <f t="shared" si="66"/>
        <v>-0.4011344804704815</v>
      </c>
      <c r="F115" s="1">
        <f t="shared" si="75"/>
        <v>3.5086572545610037</v>
      </c>
      <c r="G115" s="1">
        <f t="shared" si="76"/>
        <v>3.5622077802981171</v>
      </c>
      <c r="H115">
        <f t="shared" si="67"/>
        <v>0</v>
      </c>
      <c r="I115">
        <f t="shared" si="77"/>
        <v>0</v>
      </c>
      <c r="J115">
        <f t="shared" si="78"/>
        <v>0</v>
      </c>
      <c r="K115">
        <f t="shared" ca="1" si="89"/>
        <v>0</v>
      </c>
      <c r="L115">
        <f t="shared" ca="1" si="79"/>
        <v>0</v>
      </c>
      <c r="M115">
        <f t="shared" si="68"/>
        <v>8.7928737059755273E-5</v>
      </c>
      <c r="N115">
        <f t="shared" si="69"/>
        <v>0</v>
      </c>
      <c r="O115">
        <f t="shared" si="80"/>
        <v>0</v>
      </c>
      <c r="P115">
        <f t="shared" si="81"/>
        <v>0</v>
      </c>
      <c r="Q115" t="e">
        <f t="shared" si="82"/>
        <v>#N/A</v>
      </c>
      <c r="R115" t="e">
        <f t="shared" si="83"/>
        <v>#N/A</v>
      </c>
      <c r="T115" t="e">
        <f t="shared" si="84"/>
        <v>#N/A</v>
      </c>
      <c r="U115" t="e">
        <f t="shared" si="85"/>
        <v>#N/A</v>
      </c>
      <c r="W115" s="4" t="e">
        <f t="shared" si="86"/>
        <v>#N/A</v>
      </c>
      <c r="X115" s="4" t="e">
        <f t="shared" si="87"/>
        <v>#N/A</v>
      </c>
      <c r="Y115">
        <f t="shared" si="70"/>
        <v>0.18574554292376569</v>
      </c>
      <c r="AB115" t="str">
        <f t="shared" si="71"/>
        <v xml:space="preserve">
0.1857 kips</v>
      </c>
    </row>
    <row r="116" spans="1:28" x14ac:dyDescent="0.25">
      <c r="A116">
        <f t="shared" ref="A116:D116" si="93">A101</f>
        <v>7</v>
      </c>
      <c r="B116" s="1">
        <f t="shared" si="73"/>
        <v>2.4372954378091114</v>
      </c>
      <c r="C116" s="1">
        <f t="shared" si="74"/>
        <v>-4.3657291428620368</v>
      </c>
      <c r="D116" t="str">
        <f t="shared" si="93"/>
        <v>y</v>
      </c>
      <c r="E116" s="4">
        <f t="shared" si="66"/>
        <v>7.5268024426896725</v>
      </c>
      <c r="F116" s="1">
        <f t="shared" si="75"/>
        <v>2.4372954378091114</v>
      </c>
      <c r="G116" s="1">
        <f t="shared" si="76"/>
        <v>-4.3657291428620368</v>
      </c>
      <c r="H116">
        <f t="shared" si="67"/>
        <v>-44.574383382101125</v>
      </c>
      <c r="I116">
        <f t="shared" si="77"/>
        <v>194.59968455634416</v>
      </c>
      <c r="J116">
        <f t="shared" si="78"/>
        <v>108.64094126034934</v>
      </c>
      <c r="K116">
        <f t="shared" ca="1" si="89"/>
        <v>-133.27240598825117</v>
      </c>
      <c r="L116">
        <f t="shared" ca="1" si="79"/>
        <v>-4.5956002064914195E-3</v>
      </c>
      <c r="M116">
        <f t="shared" si="68"/>
        <v>-1.6498762013869954E-3</v>
      </c>
      <c r="N116">
        <f t="shared" si="69"/>
        <v>0</v>
      </c>
      <c r="O116">
        <f t="shared" si="80"/>
        <v>0</v>
      </c>
      <c r="P116">
        <f t="shared" si="81"/>
        <v>0</v>
      </c>
      <c r="Q116">
        <f t="shared" si="82"/>
        <v>2.4372954378091114</v>
      </c>
      <c r="R116">
        <f t="shared" si="83"/>
        <v>-4.3657291428620368</v>
      </c>
      <c r="T116">
        <f t="shared" si="84"/>
        <v>4.0000000000000009</v>
      </c>
      <c r="U116">
        <f t="shared" si="85"/>
        <v>3</v>
      </c>
      <c r="W116" s="4">
        <f t="shared" si="86"/>
        <v>11</v>
      </c>
      <c r="X116" s="4">
        <f t="shared" si="87"/>
        <v>21</v>
      </c>
      <c r="Y116">
        <f t="shared" si="70"/>
        <v>0</v>
      </c>
      <c r="AB116" t="str">
        <f t="shared" si="71"/>
        <v xml:space="preserve">
44.5744 kips</v>
      </c>
    </row>
    <row r="117" spans="1:28" x14ac:dyDescent="0.25">
      <c r="A117">
        <f t="shared" ref="A117:D117" si="94">A102</f>
        <v>8</v>
      </c>
      <c r="B117" s="1">
        <f t="shared" si="73"/>
        <v>-3.5086572545610037</v>
      </c>
      <c r="C117" s="1">
        <f t="shared" si="74"/>
        <v>-3.5622077802981171</v>
      </c>
      <c r="D117" t="str">
        <f t="shared" si="94"/>
        <v>y</v>
      </c>
      <c r="E117" s="4">
        <f t="shared" si="66"/>
        <v>6.7232810801257532</v>
      </c>
      <c r="F117" s="1">
        <f t="shared" si="75"/>
        <v>-3.5086572545610037</v>
      </c>
      <c r="G117" s="1">
        <f t="shared" si="76"/>
        <v>-3.5622077802981171</v>
      </c>
      <c r="H117">
        <f t="shared" si="67"/>
        <v>-39.815859487878448</v>
      </c>
      <c r="I117">
        <f t="shared" si="77"/>
        <v>141.83236444697721</v>
      </c>
      <c r="J117">
        <f t="shared" si="78"/>
        <v>-139.70020423872629</v>
      </c>
      <c r="K117">
        <f t="shared" ca="1" si="89"/>
        <v>-119.04495335252287</v>
      </c>
      <c r="L117">
        <f t="shared" ca="1" si="79"/>
        <v>-4.1049983914663059E-3</v>
      </c>
      <c r="M117">
        <f t="shared" si="68"/>
        <v>-1.4737442006477113E-3</v>
      </c>
      <c r="N117">
        <f t="shared" si="69"/>
        <v>0</v>
      </c>
      <c r="O117">
        <f t="shared" si="80"/>
        <v>0</v>
      </c>
      <c r="P117">
        <f t="shared" si="81"/>
        <v>0</v>
      </c>
      <c r="Q117">
        <f t="shared" si="82"/>
        <v>-3.5086572545610037</v>
      </c>
      <c r="R117">
        <f t="shared" si="83"/>
        <v>-3.5622077802981171</v>
      </c>
      <c r="T117">
        <f t="shared" si="84"/>
        <v>4</v>
      </c>
      <c r="U117">
        <f t="shared" si="85"/>
        <v>-3</v>
      </c>
      <c r="W117" s="4">
        <f t="shared" si="86"/>
        <v>11</v>
      </c>
      <c r="X117" s="4">
        <f t="shared" si="87"/>
        <v>15</v>
      </c>
      <c r="Y117">
        <f t="shared" si="70"/>
        <v>0</v>
      </c>
      <c r="AB117" t="str">
        <f t="shared" si="71"/>
        <v xml:space="preserve">
39.8159 kips</v>
      </c>
    </row>
    <row r="118" spans="1:28" x14ac:dyDescent="0.25">
      <c r="A118">
        <f t="shared" ref="A118:D118" si="95">A103</f>
        <v>9</v>
      </c>
      <c r="B118" s="1">
        <f t="shared" si="73"/>
        <v>9.4546099469311198</v>
      </c>
      <c r="C118" s="1">
        <f t="shared" si="74"/>
        <v>2.7586864177341974</v>
      </c>
      <c r="D118" t="str">
        <f t="shared" si="95"/>
        <v>y</v>
      </c>
      <c r="E118" s="4">
        <f t="shared" si="66"/>
        <v>0.4023868820934382</v>
      </c>
      <c r="F118" s="1">
        <f t="shared" si="75"/>
        <v>9.4546099469311198</v>
      </c>
      <c r="G118" s="1">
        <f t="shared" si="76"/>
        <v>2.7586864177341974</v>
      </c>
      <c r="H118">
        <f t="shared" si="67"/>
        <v>-2.3829703631694934</v>
      </c>
      <c r="I118">
        <f t="shared" si="77"/>
        <v>-6.5738679747388096</v>
      </c>
      <c r="J118">
        <f t="shared" si="78"/>
        <v>22.530055298864355</v>
      </c>
      <c r="K118">
        <f t="shared" ca="1" si="89"/>
        <v>-7.1248140658704262</v>
      </c>
      <c r="L118">
        <f t="shared" ca="1" si="79"/>
        <v>-2.4568324365070433E-4</v>
      </c>
      <c r="M118">
        <f t="shared" si="68"/>
        <v>-8.8203263679528796E-5</v>
      </c>
      <c r="N118">
        <f t="shared" si="69"/>
        <v>0</v>
      </c>
      <c r="O118">
        <f t="shared" si="80"/>
        <v>0</v>
      </c>
      <c r="P118">
        <f t="shared" si="81"/>
        <v>0</v>
      </c>
      <c r="Q118">
        <f t="shared" si="82"/>
        <v>9.4546099469311198</v>
      </c>
      <c r="R118">
        <f t="shared" si="83"/>
        <v>2.7586864177341974</v>
      </c>
      <c r="T118">
        <f t="shared" si="84"/>
        <v>-4</v>
      </c>
      <c r="U118">
        <f t="shared" si="85"/>
        <v>9</v>
      </c>
      <c r="W118" s="4">
        <f t="shared" si="86"/>
        <v>3</v>
      </c>
      <c r="X118" s="4">
        <f t="shared" si="87"/>
        <v>27</v>
      </c>
      <c r="Y118">
        <f t="shared" si="70"/>
        <v>0</v>
      </c>
      <c r="AB118" t="str">
        <f t="shared" si="71"/>
        <v xml:space="preserve">
2.383 kips</v>
      </c>
    </row>
    <row r="119" spans="1:28" x14ac:dyDescent="0.25">
      <c r="A119">
        <f t="shared" ref="A119:D119" si="96">A104</f>
        <v>10</v>
      </c>
      <c r="B119" s="1">
        <f t="shared" si="73"/>
        <v>15.400562639301233</v>
      </c>
      <c r="C119" s="1">
        <f t="shared" si="74"/>
        <v>1.9551650551702782</v>
      </c>
      <c r="D119" t="str">
        <f t="shared" si="96"/>
        <v>y</v>
      </c>
      <c r="E119" s="4">
        <f t="shared" si="66"/>
        <v>1.2059082446573575</v>
      </c>
      <c r="F119" s="1">
        <f t="shared" si="75"/>
        <v>15.400562639301233</v>
      </c>
      <c r="G119" s="1">
        <f t="shared" si="76"/>
        <v>1.9551650551702782</v>
      </c>
      <c r="H119">
        <f t="shared" si="67"/>
        <v>-7.1414942573921705</v>
      </c>
      <c r="I119">
        <f t="shared" si="77"/>
        <v>-13.962800013752387</v>
      </c>
      <c r="J119">
        <f t="shared" si="78"/>
        <v>109.98302964917816</v>
      </c>
      <c r="K119">
        <f t="shared" ca="1" si="89"/>
        <v>-21.35226670159873</v>
      </c>
      <c r="L119">
        <f t="shared" ca="1" si="79"/>
        <v>-7.3628505867581826E-4</v>
      </c>
      <c r="M119">
        <f t="shared" si="68"/>
        <v>-2.6433526441881278E-4</v>
      </c>
      <c r="N119">
        <f t="shared" si="69"/>
        <v>0</v>
      </c>
      <c r="O119">
        <f t="shared" si="80"/>
        <v>0</v>
      </c>
      <c r="P119">
        <f t="shared" si="81"/>
        <v>0</v>
      </c>
      <c r="Q119">
        <f t="shared" si="82"/>
        <v>15.400562639301233</v>
      </c>
      <c r="R119">
        <f t="shared" si="83"/>
        <v>1.9551650551702782</v>
      </c>
      <c r="T119">
        <f t="shared" si="84"/>
        <v>-3.9999999999999996</v>
      </c>
      <c r="U119">
        <f t="shared" si="85"/>
        <v>14.999999999999998</v>
      </c>
      <c r="W119" s="4">
        <f t="shared" si="86"/>
        <v>3.0000000000000004</v>
      </c>
      <c r="X119" s="4">
        <f t="shared" si="87"/>
        <v>33</v>
      </c>
      <c r="Y119">
        <f t="shared" si="70"/>
        <v>0</v>
      </c>
      <c r="AB119" t="str">
        <f t="shared" si="71"/>
        <v xml:space="preserve">
7.1415 kips</v>
      </c>
    </row>
    <row r="120" spans="1:28" x14ac:dyDescent="0.25">
      <c r="A120">
        <f t="shared" ref="A120:D120" si="97">A105</f>
        <v>11</v>
      </c>
      <c r="B120" s="1">
        <f t="shared" si="73"/>
        <v>8.3832481301792274</v>
      </c>
      <c r="C120" s="1">
        <f t="shared" si="74"/>
        <v>-5.1692505054259561</v>
      </c>
      <c r="D120" t="str">
        <f t="shared" si="97"/>
        <v>y</v>
      </c>
      <c r="E120" s="4">
        <f t="shared" si="66"/>
        <v>8.3303238052535917</v>
      </c>
      <c r="F120" s="1">
        <f t="shared" si="75"/>
        <v>8.3832481301792274</v>
      </c>
      <c r="G120" s="1">
        <f t="shared" si="76"/>
        <v>-5.1692505054259561</v>
      </c>
      <c r="H120">
        <f t="shared" si="67"/>
        <v>-49.332907276323802</v>
      </c>
      <c r="I120">
        <f t="shared" si="77"/>
        <v>255.01415587226865</v>
      </c>
      <c r="J120">
        <f t="shared" si="78"/>
        <v>413.57000268054674</v>
      </c>
      <c r="K120">
        <f t="shared" ca="1" si="89"/>
        <v>-147.49985862397949</v>
      </c>
      <c r="L120">
        <f t="shared" ca="1" si="79"/>
        <v>-5.086202021516534E-3</v>
      </c>
      <c r="M120">
        <f t="shared" si="68"/>
        <v>-1.8260082021262793E-3</v>
      </c>
      <c r="N120">
        <f t="shared" si="69"/>
        <v>0</v>
      </c>
      <c r="O120">
        <f t="shared" si="80"/>
        <v>0</v>
      </c>
      <c r="P120">
        <f t="shared" si="81"/>
        <v>0</v>
      </c>
      <c r="Q120">
        <f t="shared" si="82"/>
        <v>8.3832481301792274</v>
      </c>
      <c r="R120">
        <f t="shared" si="83"/>
        <v>-5.1692505054259561</v>
      </c>
      <c r="T120">
        <f t="shared" si="84"/>
        <v>4</v>
      </c>
      <c r="U120">
        <f t="shared" si="85"/>
        <v>9.0000000000000018</v>
      </c>
      <c r="W120" s="4">
        <f t="shared" si="86"/>
        <v>11</v>
      </c>
      <c r="X120" s="4">
        <f t="shared" si="87"/>
        <v>27</v>
      </c>
      <c r="Y120">
        <f t="shared" si="70"/>
        <v>0</v>
      </c>
      <c r="AB120" t="str">
        <f t="shared" si="71"/>
        <v xml:space="preserve">
49.3329 kips</v>
      </c>
    </row>
    <row r="121" spans="1:28" ht="15.75" thickBot="1" x14ac:dyDescent="0.3">
      <c r="A121">
        <f t="shared" ref="A121:D121" si="98">A106</f>
        <v>12</v>
      </c>
      <c r="B121" s="1">
        <f t="shared" si="73"/>
        <v>14.329200822549341</v>
      </c>
      <c r="C121" s="1">
        <f t="shared" si="74"/>
        <v>-5.9727718679898754</v>
      </c>
      <c r="D121" t="str">
        <f t="shared" si="98"/>
        <v>y</v>
      </c>
      <c r="E121" s="4">
        <f t="shared" si="66"/>
        <v>9.1338451678175119</v>
      </c>
      <c r="F121" s="1">
        <f t="shared" si="75"/>
        <v>14.329200822549341</v>
      </c>
      <c r="G121" s="1">
        <f t="shared" si="76"/>
        <v>-5.9727718679898754</v>
      </c>
      <c r="H121" s="23">
        <f t="shared" si="67"/>
        <v>-54.091431170546485</v>
      </c>
      <c r="I121" s="23">
        <f t="shared" si="77"/>
        <v>323.07577839475073</v>
      </c>
      <c r="J121" s="23">
        <f t="shared" si="78"/>
        <v>775.08698002186577</v>
      </c>
      <c r="K121">
        <f t="shared" ca="1" si="89"/>
        <v>-161.72731125970779</v>
      </c>
      <c r="L121">
        <f t="shared" ca="1" si="79"/>
        <v>-5.5768038365416476E-3</v>
      </c>
      <c r="M121">
        <f t="shared" si="68"/>
        <v>-2.0021402028655632E-3</v>
      </c>
      <c r="N121" s="23">
        <f t="shared" si="69"/>
        <v>0</v>
      </c>
      <c r="O121" s="23">
        <f t="shared" si="80"/>
        <v>0</v>
      </c>
      <c r="P121" s="23">
        <f t="shared" si="81"/>
        <v>0</v>
      </c>
      <c r="Q121">
        <f t="shared" si="82"/>
        <v>14.329200822549341</v>
      </c>
      <c r="R121">
        <f t="shared" si="83"/>
        <v>-5.9727718679898754</v>
      </c>
      <c r="T121">
        <f t="shared" si="84"/>
        <v>3.9999999999999996</v>
      </c>
      <c r="U121">
        <f t="shared" si="85"/>
        <v>15</v>
      </c>
      <c r="W121" s="4">
        <f t="shared" si="86"/>
        <v>11</v>
      </c>
      <c r="X121" s="4">
        <f t="shared" si="87"/>
        <v>33</v>
      </c>
      <c r="Y121">
        <f t="shared" si="70"/>
        <v>0</v>
      </c>
      <c r="AB121" t="str">
        <f t="shared" si="71"/>
        <v xml:space="preserve">
54.0914 kips</v>
      </c>
    </row>
    <row r="122" spans="1:28" ht="15.75" thickTop="1" x14ac:dyDescent="0.25">
      <c r="D122" s="10" t="s">
        <v>44</v>
      </c>
      <c r="E122" s="4">
        <f>MAX(E110:E121)</f>
        <v>9.1338451678175119</v>
      </c>
      <c r="H122">
        <f>SUM(H110:H121)</f>
        <v>-262.69519323050037</v>
      </c>
      <c r="I122">
        <f t="shared" ref="I122:J122" si="99">SUM(I110:I121)</f>
        <v>1049.9366886739333</v>
      </c>
      <c r="J122">
        <f t="shared" si="99"/>
        <v>492.0386233818856</v>
      </c>
      <c r="L122">
        <f ca="1">MIN(L110:L121)</f>
        <v>-5.5768038365416476E-3</v>
      </c>
      <c r="M122">
        <f>MIN(M110:M121)</f>
        <v>-2.0021402028655632E-3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28" x14ac:dyDescent="0.25">
      <c r="A124" t="s">
        <v>35</v>
      </c>
    </row>
    <row r="125" spans="1:28" x14ac:dyDescent="0.25">
      <c r="A125" t="s">
        <v>7</v>
      </c>
      <c r="B125" s="4">
        <f>MAX(C84:C90)-B65</f>
        <v>3.1610732998276356</v>
      </c>
      <c r="F125" s="1" t="s">
        <v>27</v>
      </c>
      <c r="G125" s="1" t="s">
        <v>28</v>
      </c>
    </row>
    <row r="126" spans="1:28" x14ac:dyDescent="0.25">
      <c r="F126" s="4">
        <f>MIN(B84:B92)-1</f>
        <v>-19.775299666768252</v>
      </c>
      <c r="G126" s="4">
        <f>B125</f>
        <v>3.1610732998276356</v>
      </c>
      <c r="I126">
        <f>IF(OR($G$126&gt;MAX($C$84:$C$92)+5,$G$126&lt;MIN($C$84:$C$92)-5),NA(),F126)</f>
        <v>-19.775299666768252</v>
      </c>
      <c r="J126">
        <f>IF(OR($G$126&gt;MAX($C$84:$C$92)+5,$G$126&lt;MIN($C$84:$C$92)-5),NA(),G126)</f>
        <v>3.1610732998276356</v>
      </c>
    </row>
    <row r="127" spans="1:28" x14ac:dyDescent="0.25">
      <c r="F127" s="4">
        <f>MAX(B84:B92)+1</f>
        <v>19.775299666768252</v>
      </c>
      <c r="G127" s="4">
        <f>G126</f>
        <v>3.1610732998276356</v>
      </c>
      <c r="I127">
        <f>IF(OR($G$126&gt;MAX($C$84:$C$92)+5,$G$126&lt;MIN($C$84:$C$92)-5),NA(),F127)</f>
        <v>19.775299666768252</v>
      </c>
      <c r="J127">
        <f>IF(OR($G$126&gt;MAX($C$84:$C$92)+5,$G$126&lt;MIN($C$84:$C$92)-5),NA(),G127)</f>
        <v>3.1610732998276356</v>
      </c>
    </row>
    <row r="130" spans="1:40" x14ac:dyDescent="0.25">
      <c r="A130" t="s">
        <v>68</v>
      </c>
    </row>
    <row r="131" spans="1:40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  <c r="U131" s="21" t="s">
        <v>1</v>
      </c>
      <c r="V131" s="21" t="s">
        <v>2</v>
      </c>
      <c r="X131" s="21"/>
      <c r="AD131" s="21" t="s">
        <v>1</v>
      </c>
      <c r="AE131" s="21" t="s">
        <v>2</v>
      </c>
      <c r="AG131" s="21"/>
    </row>
    <row r="132" spans="1:40" x14ac:dyDescent="0.25">
      <c r="A132" t="s">
        <v>69</v>
      </c>
      <c r="B132" s="4">
        <f>B84</f>
        <v>-16.900416487452443</v>
      </c>
      <c r="C132" s="4">
        <f>C84</f>
        <v>9.3475088954568921</v>
      </c>
      <c r="D132" s="4">
        <f t="shared" ref="D132:E139" si="100">B85</f>
        <v>-18.775299666768252</v>
      </c>
      <c r="E132" s="4">
        <f t="shared" si="100"/>
        <v>-4.5263807200733766</v>
      </c>
      <c r="F132" s="4">
        <f t="shared" ref="F132:F139" si="101">($B$66/$B$65)*(C132-$B$125)</f>
        <v>5.5250000000000004</v>
      </c>
      <c r="G132" s="4">
        <f t="shared" ref="G132:G139" si="102">($B$66/$B$65)*(E132-$B$125)</f>
        <v>-6.8655339255387355</v>
      </c>
      <c r="H132" s="4">
        <f>IF(B132=D132,"V",(C132-E132)/(B132-D132))</f>
        <v>7.3998688390778531</v>
      </c>
      <c r="I132" s="4">
        <f>IF(H132="V",0,(-1*B132*H132)+C132)</f>
        <v>134.4083742283938</v>
      </c>
      <c r="J132" s="4">
        <f>IF($F132&gt;=0,B132,IF(AND($F132&lt;0,$G132&gt;=0),IF(H132="V",B132,($B$125-I132)/H132),0))</f>
        <v>-16.900416487452443</v>
      </c>
      <c r="K132" s="4">
        <f>IF($F132&gt;=0,C132,IF(AND($F132&lt;0,$G132&gt;=0),$B$125,0))</f>
        <v>9.3475088954568921</v>
      </c>
      <c r="L132" s="4">
        <f>IF($G132&gt;=0,D132,IF(AND($G132&lt;0,$F132&gt;=0),IF(H132="V",D132,($B$125-I132)/H132),0))</f>
        <v>-17.736436115659821</v>
      </c>
      <c r="M132" s="4">
        <f>IF($G132&gt;=0,E132,IF(AND($G132&lt;0,$F132&gt;=0),$B$125,0))</f>
        <v>3.1610732998276356</v>
      </c>
      <c r="N132" s="4">
        <f>IF(F132&lt;0,0,F132)</f>
        <v>5.5250000000000004</v>
      </c>
      <c r="O132" s="4">
        <f>IF(G132&lt;0,0,G132)</f>
        <v>0</v>
      </c>
      <c r="P132" s="4">
        <f>(1/6)*(M132-K132)*((N132*((2*J132)+L132))+(O132*(J132+(2*L132))))</f>
        <v>293.59112965312431</v>
      </c>
      <c r="Q132" s="4">
        <f>((1/12)*(M132-K132)*(N132*J132*((3*K132)+M132)+N132*L132*(K132+M132)+O132*J132*(K132+M132)+O132*L132*(K132+(3*M132))))</f>
        <v>2134.0076403856679</v>
      </c>
      <c r="R132" s="4">
        <f>((-1/24)*(M132-K132)*(J132*J132*((3*N132)+O132)+2*J132*L132*(N132+O132)+L132*L132*(N132+(3*O132))))</f>
        <v>2522.1459728480763</v>
      </c>
      <c r="U132">
        <f>IF(AND(J132=0,K132=0,L132=0,M132=0),NA(),J132)</f>
        <v>-16.900416487452443</v>
      </c>
      <c r="V132">
        <f>IF(AND(J132=0,K132=0,L132=0,M132=0),NA(),K132)</f>
        <v>9.3475088954568921</v>
      </c>
      <c r="W132" s="9" t="str">
        <f>IF(AND(J132=0,K132=0,L132=0,M132=0),"",ROUND(N132,4)&amp;" ksi")</f>
        <v>5.525 ksi</v>
      </c>
      <c r="X132">
        <f>(U132*COS(-1*$B$64))+(V132*SIN(-1*$B$64))</f>
        <v>-6.9999999999999991</v>
      </c>
      <c r="Y132">
        <f>(-1*U132*SIN(-1*$B$64))+(V132*COS(-1*$B$64))</f>
        <v>-18</v>
      </c>
      <c r="AA132" s="4">
        <f>X132+$B$9</f>
        <v>0</v>
      </c>
      <c r="AB132" s="4">
        <f>Y132+$C$9</f>
        <v>0</v>
      </c>
      <c r="AD132">
        <f>IF(AND(J132=0,K132=0,L132=0,M132=0),NA(),L132)</f>
        <v>-17.736436115659821</v>
      </c>
      <c r="AE132">
        <f>IF(AND(J132=0,K132=0,L132=0,M132=0),NA(),M132)</f>
        <v>3.1610732998276356</v>
      </c>
      <c r="AF132" s="9" t="str">
        <f>IF(AND(J132=0,K132=0,L132=0,M132=0),"",ROUND(O132,4)&amp;" ksi")</f>
        <v>0 ksi</v>
      </c>
      <c r="AG132">
        <f>IF(COUNTIF($U$132:$U$139,AD132)&gt;0,NA(),AD132)</f>
        <v>-17.736436115659821</v>
      </c>
      <c r="AH132">
        <f>IF(AND(COUNTIF($V$132:$V$139,AE132)&gt;0,AF132&lt;&gt;"0 ksi"),NA(),AE132)</f>
        <v>3.1610732998276356</v>
      </c>
      <c r="AI132" t="str">
        <f>IF(COUNTIF($U$132:$U$139,AD132)&gt;0,"",AF132)</f>
        <v>0 ksi</v>
      </c>
      <c r="AJ132">
        <f>(AG132*COS(-1*$B$64))+(AH132*SIN(-1*$B$64))</f>
        <v>-0.75733116386775423</v>
      </c>
      <c r="AK132">
        <f>(-1*AG132*SIN(-1*$B$64))+(AH132*COS(-1*$B$64))</f>
        <v>-17.999999999999996</v>
      </c>
      <c r="AM132" s="4">
        <f>AJ132+$B$9</f>
        <v>6.2426688361322462</v>
      </c>
      <c r="AN132" s="4">
        <f>AK132+$C$9</f>
        <v>0</v>
      </c>
    </row>
    <row r="133" spans="1:40" x14ac:dyDescent="0.25">
      <c r="A133" t="s">
        <v>70</v>
      </c>
      <c r="B133" s="4">
        <f t="shared" ref="B133:C138" si="103">D132</f>
        <v>-18.775299666768252</v>
      </c>
      <c r="C133" s="4">
        <f t="shared" si="103"/>
        <v>-4.5263807200733766</v>
      </c>
      <c r="D133" s="4">
        <f t="shared" si="100"/>
        <v>16.900416487452443</v>
      </c>
      <c r="E133" s="4">
        <f t="shared" si="100"/>
        <v>-9.3475088954568921</v>
      </c>
      <c r="F133" s="4">
        <f t="shared" si="101"/>
        <v>-6.8655339255387355</v>
      </c>
      <c r="G133" s="4">
        <f t="shared" si="102"/>
        <v>-11.171201180494545</v>
      </c>
      <c r="H133" s="4">
        <f t="shared" ref="H133:H139" si="104">IF(B133=D133,"V",(C133-E133)/(B133-D133))</f>
        <v>-0.13513753037339213</v>
      </c>
      <c r="I133" s="4">
        <f t="shared" ref="I133:I139" si="105">IF(H133="V",0,(-1*B133*H133)+C133)</f>
        <v>-7.0636283490608101</v>
      </c>
      <c r="J133" s="4">
        <f t="shared" ref="J133:J139" si="106">IF($F133&gt;=0,B133,IF(AND($F133&lt;0,$G133&gt;=0),IF(H133="V",B133,($B$125-I133)/H133),0))</f>
        <v>0</v>
      </c>
      <c r="K133" s="4">
        <f t="shared" ref="K133:K139" si="107">IF($F133&gt;=0,C133,IF(AND($F133&lt;0,$G133&gt;=0),$B$125,0))</f>
        <v>0</v>
      </c>
      <c r="L133" s="4">
        <f t="shared" ref="L133:L139" si="108">IF($G133&gt;=0,D133,IF(AND($G133&lt;0,$F133&gt;=0),IF(H133="V",D133,($B$125-I133)/H133),0))</f>
        <v>0</v>
      </c>
      <c r="M133" s="4">
        <f t="shared" ref="M133:M139" si="109">IF($G133&gt;=0,E133,IF(AND($G133&lt;0,$F133&gt;=0),$B$125,0))</f>
        <v>0</v>
      </c>
      <c r="N133" s="4">
        <f t="shared" ref="N133:N139" si="110">IF(F133&lt;0,0,F133)</f>
        <v>0</v>
      </c>
      <c r="O133" s="4">
        <f t="shared" ref="O133:O139" si="111">IF(G133&lt;0,0,G133)</f>
        <v>0</v>
      </c>
      <c r="P133" s="4">
        <f t="shared" ref="P133:P139" si="112">(1/6)*(M133-K133)*((N133*((2*J133)+L133))+(O133*(J133+(2*L133))))</f>
        <v>0</v>
      </c>
      <c r="Q133" s="4">
        <f t="shared" ref="Q133:Q139" si="113">((1/12)*(M133-K133)*(N133*J133*((3*K133)+M133)+N133*L133*(K133+M133)+O133*J133*(K133+M133)+O133*L133*(K133+(3*M133))))</f>
        <v>0</v>
      </c>
      <c r="R133" s="4">
        <f t="shared" ref="R133:R139" si="114">((-1/24)*(M133-K133)*(J133*J133*((3*N133)+O133)+2*J133*L133*(N133+O133)+L133*L133*(N133+(3*O133))))</f>
        <v>0</v>
      </c>
      <c r="U133" t="e">
        <f t="shared" ref="U133:U153" si="115">IF(AND(J133=0,K133=0,L133=0,M133=0),NA(),J133)</f>
        <v>#N/A</v>
      </c>
      <c r="V133" t="e">
        <f t="shared" ref="V133:V153" si="116">IF(AND(J133=0,K133=0,L133=0,M133=0),NA(),K133)</f>
        <v>#N/A</v>
      </c>
      <c r="W133" s="9" t="str">
        <f t="shared" ref="W133:W144" si="117">IF(AND(J133=0,K133=0,L133=0,M133=0),"",ROUND(N133,4)&amp;" ksi")</f>
        <v/>
      </c>
      <c r="X133" t="e">
        <f t="shared" ref="X133:X139" si="118">(U133*COS(-1*$B$64))+(V133*SIN(-1*$B$64))</f>
        <v>#N/A</v>
      </c>
      <c r="Y133" t="e">
        <f t="shared" ref="Y133:Y139" si="119">(-1*U133*SIN(-1*$B$64))+(V133*COS(-1*$B$64))</f>
        <v>#N/A</v>
      </c>
      <c r="AA133" s="4" t="e">
        <f t="shared" ref="AA133:AA139" si="120">X133+$B$9</f>
        <v>#N/A</v>
      </c>
      <c r="AB133" s="4" t="e">
        <f t="shared" ref="AB133:AB139" si="121">Y133+$C$9</f>
        <v>#N/A</v>
      </c>
      <c r="AD133" t="e">
        <f t="shared" ref="AD133:AD139" si="122">IF(AND(J133=0,K133=0,L133=0,M133=0),NA(),L133)</f>
        <v>#N/A</v>
      </c>
      <c r="AE133" t="e">
        <f t="shared" ref="AE133:AE139" si="123">IF(AND(J133=0,K133=0,L133=0,M133=0),NA(),M133)</f>
        <v>#N/A</v>
      </c>
      <c r="AF133" s="9" t="str">
        <f t="shared" ref="AF133:AF139" si="124">IF(AND(J133=0,K133=0,L133=0,M133=0),"",ROUND(O133,4)&amp;" ksi")</f>
        <v/>
      </c>
      <c r="AG133" t="e">
        <f t="shared" ref="AG133:AG139" si="125">IF(COUNTIF($U$132:$U$139,AD133)&gt;0,NA(),AD133)</f>
        <v>#N/A</v>
      </c>
      <c r="AH133" t="e">
        <f t="shared" ref="AH133:AH139" si="126">IF(AND(COUNTIF($V$132:$V$139,AE133)&gt;0,AF133&lt;&gt;"0 ksi"),NA(),AE133)</f>
        <v>#N/A</v>
      </c>
      <c r="AI133" t="str">
        <f t="shared" ref="AI133:AI139" si="127">IF(COUNTIF($U$132:$U$139,AD133)&gt;0,"",AF133)</f>
        <v/>
      </c>
      <c r="AJ133" t="e">
        <f t="shared" ref="AJ133:AJ139" si="128">(AG133*COS(-1*$B$64))+(AH133*SIN(-1*$B$64))</f>
        <v>#N/A</v>
      </c>
      <c r="AK133" t="e">
        <f t="shared" ref="AK133:AK139" si="129">(-1*AG133*SIN(-1*$B$64))+(AH133*COS(-1*$B$64))</f>
        <v>#N/A</v>
      </c>
      <c r="AM133" s="4" t="e">
        <f t="shared" ref="AM133:AM139" si="130">AJ133+$B$9</f>
        <v>#N/A</v>
      </c>
      <c r="AN133" s="4" t="e">
        <f t="shared" ref="AN133:AN139" si="131">AK133+$C$9</f>
        <v>#N/A</v>
      </c>
    </row>
    <row r="134" spans="1:40" x14ac:dyDescent="0.25">
      <c r="A134" t="s">
        <v>71</v>
      </c>
      <c r="B134" s="4">
        <f t="shared" si="103"/>
        <v>16.900416487452443</v>
      </c>
      <c r="C134" s="4">
        <f t="shared" si="103"/>
        <v>-9.3475088954568921</v>
      </c>
      <c r="D134" s="4">
        <f t="shared" si="100"/>
        <v>18.775299666768252</v>
      </c>
      <c r="E134" s="4">
        <f t="shared" si="100"/>
        <v>4.5263807200733766</v>
      </c>
      <c r="F134" s="4">
        <f t="shared" si="101"/>
        <v>-11.171201180494545</v>
      </c>
      <c r="G134" s="4">
        <f t="shared" si="102"/>
        <v>1.2193327450441915</v>
      </c>
      <c r="H134" s="4">
        <f t="shared" si="104"/>
        <v>7.3998688390778531</v>
      </c>
      <c r="I134" s="4">
        <f t="shared" si="105"/>
        <v>-134.4083742283938</v>
      </c>
      <c r="J134" s="4">
        <f t="shared" si="106"/>
        <v>18.590795393795776</v>
      </c>
      <c r="K134" s="4">
        <f t="shared" si="107"/>
        <v>3.1610732998276356</v>
      </c>
      <c r="L134" s="4">
        <f t="shared" si="108"/>
        <v>18.775299666768252</v>
      </c>
      <c r="M134" s="4">
        <f t="shared" si="109"/>
        <v>4.5263807200733766</v>
      </c>
      <c r="N134" s="4">
        <f t="shared" si="110"/>
        <v>0</v>
      </c>
      <c r="O134" s="4">
        <f t="shared" si="111"/>
        <v>1.2193327450441915</v>
      </c>
      <c r="P134" s="4">
        <f t="shared" si="112"/>
        <v>15.577029225561597</v>
      </c>
      <c r="Q134" s="4">
        <f t="shared" si="113"/>
        <v>63.430069191220312</v>
      </c>
      <c r="R134" s="4">
        <f t="shared" si="114"/>
        <v>-145.75347817759044</v>
      </c>
      <c r="U134">
        <f t="shared" si="115"/>
        <v>18.590795393795776</v>
      </c>
      <c r="V134">
        <f t="shared" si="116"/>
        <v>3.1610732998276356</v>
      </c>
      <c r="W134" s="9" t="str">
        <f t="shared" si="117"/>
        <v>0 ksi</v>
      </c>
      <c r="X134">
        <f t="shared" si="118"/>
        <v>-5.6222822573098723</v>
      </c>
      <c r="Y134">
        <f t="shared" si="119"/>
        <v>18</v>
      </c>
      <c r="AA134" s="4">
        <f t="shared" si="120"/>
        <v>1.3777177426901277</v>
      </c>
      <c r="AB134" s="4">
        <f t="shared" si="121"/>
        <v>36</v>
      </c>
      <c r="AD134">
        <f t="shared" si="122"/>
        <v>18.775299666768252</v>
      </c>
      <c r="AE134">
        <f t="shared" si="123"/>
        <v>4.5263807200733766</v>
      </c>
      <c r="AF134" s="9" t="str">
        <f t="shared" si="124"/>
        <v>1.2193 ksi</v>
      </c>
      <c r="AG134" t="e">
        <f t="shared" si="125"/>
        <v>#N/A</v>
      </c>
      <c r="AH134" t="e">
        <f t="shared" si="126"/>
        <v>#N/A</v>
      </c>
      <c r="AI134" t="str">
        <f t="shared" si="127"/>
        <v/>
      </c>
      <c r="AJ134" t="e">
        <f t="shared" si="128"/>
        <v>#N/A</v>
      </c>
      <c r="AK134" t="e">
        <f t="shared" si="129"/>
        <v>#N/A</v>
      </c>
      <c r="AM134" s="4" t="e">
        <f t="shared" si="130"/>
        <v>#N/A</v>
      </c>
      <c r="AN134" s="4" t="e">
        <f t="shared" si="131"/>
        <v>#N/A</v>
      </c>
    </row>
    <row r="135" spans="1:40" x14ac:dyDescent="0.25">
      <c r="A135" t="s">
        <v>72</v>
      </c>
      <c r="B135" s="4">
        <f t="shared" si="103"/>
        <v>18.775299666768252</v>
      </c>
      <c r="C135" s="4">
        <f t="shared" si="103"/>
        <v>4.5263807200733766</v>
      </c>
      <c r="D135" s="4">
        <f t="shared" si="100"/>
        <v>-16.900416487452443</v>
      </c>
      <c r="E135" s="4">
        <f t="shared" si="100"/>
        <v>9.3475088954568921</v>
      </c>
      <c r="F135" s="4">
        <f t="shared" si="101"/>
        <v>1.2193327450441915</v>
      </c>
      <c r="G135" s="4">
        <f t="shared" si="102"/>
        <v>5.5250000000000004</v>
      </c>
      <c r="H135" s="4">
        <f t="shared" si="104"/>
        <v>-0.13513753037339213</v>
      </c>
      <c r="I135" s="4">
        <f t="shared" si="105"/>
        <v>7.0636283490608101</v>
      </c>
      <c r="J135" s="4">
        <f t="shared" si="106"/>
        <v>18.775299666768252</v>
      </c>
      <c r="K135" s="4">
        <f t="shared" si="107"/>
        <v>4.5263807200733766</v>
      </c>
      <c r="L135" s="4">
        <f t="shared" si="108"/>
        <v>-16.900416487452443</v>
      </c>
      <c r="M135" s="4">
        <f t="shared" si="109"/>
        <v>9.3475088954568921</v>
      </c>
      <c r="N135" s="4">
        <f t="shared" si="110"/>
        <v>1.2193327450441915</v>
      </c>
      <c r="O135" s="4">
        <f t="shared" si="111"/>
        <v>5.5250000000000004</v>
      </c>
      <c r="P135" s="4">
        <f t="shared" si="112"/>
        <v>-46.472965648181606</v>
      </c>
      <c r="Q135" s="4">
        <f t="shared" si="113"/>
        <v>-547.58477627719253</v>
      </c>
      <c r="R135" s="4">
        <f t="shared" si="114"/>
        <v>-811.45858612993447</v>
      </c>
      <c r="U135">
        <f t="shared" si="115"/>
        <v>18.775299666768252</v>
      </c>
      <c r="V135">
        <f t="shared" si="116"/>
        <v>4.5263807200733766</v>
      </c>
      <c r="W135" s="9" t="str">
        <f t="shared" si="117"/>
        <v>1.2193 ksi</v>
      </c>
      <c r="X135">
        <f t="shared" si="118"/>
        <v>-7</v>
      </c>
      <c r="Y135">
        <f t="shared" si="119"/>
        <v>18</v>
      </c>
      <c r="AA135" s="4">
        <f t="shared" si="120"/>
        <v>0</v>
      </c>
      <c r="AB135" s="4">
        <f t="shared" si="121"/>
        <v>36</v>
      </c>
      <c r="AD135">
        <f t="shared" si="122"/>
        <v>-16.900416487452443</v>
      </c>
      <c r="AE135">
        <f t="shared" si="123"/>
        <v>9.3475088954568921</v>
      </c>
      <c r="AF135" s="9" t="str">
        <f t="shared" si="124"/>
        <v>5.525 ksi</v>
      </c>
      <c r="AG135" t="e">
        <f t="shared" si="125"/>
        <v>#N/A</v>
      </c>
      <c r="AH135" t="e">
        <f t="shared" si="126"/>
        <v>#N/A</v>
      </c>
      <c r="AI135" t="str">
        <f t="shared" si="127"/>
        <v/>
      </c>
      <c r="AJ135" t="e">
        <f t="shared" si="128"/>
        <v>#N/A</v>
      </c>
      <c r="AK135" t="e">
        <f t="shared" si="129"/>
        <v>#N/A</v>
      </c>
      <c r="AM135" s="4" t="e">
        <f t="shared" si="130"/>
        <v>#N/A</v>
      </c>
      <c r="AN135" s="4" t="e">
        <f t="shared" si="131"/>
        <v>#N/A</v>
      </c>
    </row>
    <row r="136" spans="1:40" x14ac:dyDescent="0.25">
      <c r="A136" t="s">
        <v>73</v>
      </c>
      <c r="B136" s="4">
        <f t="shared" si="103"/>
        <v>-16.900416487452443</v>
      </c>
      <c r="C136" s="4">
        <f t="shared" si="103"/>
        <v>9.3475088954568921</v>
      </c>
      <c r="D136" s="4">
        <f t="shared" si="100"/>
        <v>-16.900416487452443</v>
      </c>
      <c r="E136" s="4">
        <f t="shared" si="100"/>
        <v>9.3475088954568921</v>
      </c>
      <c r="F136" s="4">
        <f t="shared" si="101"/>
        <v>5.5250000000000004</v>
      </c>
      <c r="G136" s="4">
        <f t="shared" si="102"/>
        <v>5.5250000000000004</v>
      </c>
      <c r="H136" s="4" t="str">
        <f t="shared" si="104"/>
        <v>V</v>
      </c>
      <c r="I136" s="4">
        <f t="shared" si="105"/>
        <v>0</v>
      </c>
      <c r="J136" s="4">
        <f t="shared" si="106"/>
        <v>-16.900416487452443</v>
      </c>
      <c r="K136" s="4">
        <f t="shared" si="107"/>
        <v>9.3475088954568921</v>
      </c>
      <c r="L136" s="4">
        <f t="shared" si="108"/>
        <v>-16.900416487452443</v>
      </c>
      <c r="M136" s="4">
        <f t="shared" si="109"/>
        <v>9.3475088954568921</v>
      </c>
      <c r="N136" s="4">
        <f t="shared" si="110"/>
        <v>5.5250000000000004</v>
      </c>
      <c r="O136" s="4">
        <f t="shared" si="111"/>
        <v>5.5250000000000004</v>
      </c>
      <c r="P136" s="4">
        <f t="shared" si="112"/>
        <v>0</v>
      </c>
      <c r="Q136" s="4">
        <f t="shared" si="113"/>
        <v>0</v>
      </c>
      <c r="R136" s="4">
        <f t="shared" si="114"/>
        <v>0</v>
      </c>
      <c r="U136">
        <f t="shared" si="115"/>
        <v>-16.900416487452443</v>
      </c>
      <c r="V136">
        <f t="shared" si="116"/>
        <v>9.3475088954568921</v>
      </c>
      <c r="W136" s="9" t="str">
        <f t="shared" si="117"/>
        <v>5.525 ksi</v>
      </c>
      <c r="X136">
        <f t="shared" si="118"/>
        <v>-6.9999999999999991</v>
      </c>
      <c r="Y136">
        <f t="shared" si="119"/>
        <v>-18</v>
      </c>
      <c r="AA136" s="4">
        <f t="shared" si="120"/>
        <v>0</v>
      </c>
      <c r="AB136" s="4">
        <f t="shared" si="121"/>
        <v>0</v>
      </c>
      <c r="AD136">
        <f t="shared" si="122"/>
        <v>-16.900416487452443</v>
      </c>
      <c r="AE136">
        <f t="shared" si="123"/>
        <v>9.3475088954568921</v>
      </c>
      <c r="AF136" s="9" t="str">
        <f t="shared" si="124"/>
        <v>5.525 ksi</v>
      </c>
      <c r="AG136" t="e">
        <f t="shared" si="125"/>
        <v>#N/A</v>
      </c>
      <c r="AH136" t="e">
        <f t="shared" si="126"/>
        <v>#N/A</v>
      </c>
      <c r="AI136" t="str">
        <f t="shared" si="127"/>
        <v/>
      </c>
      <c r="AJ136" t="e">
        <f t="shared" si="128"/>
        <v>#N/A</v>
      </c>
      <c r="AK136" t="e">
        <f t="shared" si="129"/>
        <v>#N/A</v>
      </c>
      <c r="AM136" s="4" t="e">
        <f t="shared" si="130"/>
        <v>#N/A</v>
      </c>
      <c r="AN136" s="4" t="e">
        <f t="shared" si="131"/>
        <v>#N/A</v>
      </c>
    </row>
    <row r="137" spans="1:40" x14ac:dyDescent="0.25">
      <c r="A137" t="s">
        <v>74</v>
      </c>
      <c r="B137" s="4">
        <f t="shared" si="103"/>
        <v>-16.900416487452443</v>
      </c>
      <c r="C137" s="4">
        <f t="shared" si="103"/>
        <v>9.3475088954568921</v>
      </c>
      <c r="D137" s="4">
        <f t="shared" si="100"/>
        <v>-16.900416487452443</v>
      </c>
      <c r="E137" s="4">
        <f t="shared" si="100"/>
        <v>9.3475088954568921</v>
      </c>
      <c r="F137" s="4">
        <f t="shared" si="101"/>
        <v>5.5250000000000004</v>
      </c>
      <c r="G137" s="4">
        <f t="shared" si="102"/>
        <v>5.5250000000000004</v>
      </c>
      <c r="H137" s="4" t="str">
        <f t="shared" si="104"/>
        <v>V</v>
      </c>
      <c r="I137" s="4">
        <f t="shared" si="105"/>
        <v>0</v>
      </c>
      <c r="J137" s="4">
        <f t="shared" si="106"/>
        <v>-16.900416487452443</v>
      </c>
      <c r="K137" s="4">
        <f t="shared" si="107"/>
        <v>9.3475088954568921</v>
      </c>
      <c r="L137" s="4">
        <f t="shared" si="108"/>
        <v>-16.900416487452443</v>
      </c>
      <c r="M137" s="4">
        <f t="shared" si="109"/>
        <v>9.3475088954568921</v>
      </c>
      <c r="N137" s="4">
        <f t="shared" si="110"/>
        <v>5.5250000000000004</v>
      </c>
      <c r="O137" s="4">
        <f t="shared" si="111"/>
        <v>5.5250000000000004</v>
      </c>
      <c r="P137" s="4">
        <f t="shared" si="112"/>
        <v>0</v>
      </c>
      <c r="Q137" s="4">
        <f t="shared" si="113"/>
        <v>0</v>
      </c>
      <c r="R137" s="4">
        <f t="shared" si="114"/>
        <v>0</v>
      </c>
      <c r="U137">
        <f t="shared" si="115"/>
        <v>-16.900416487452443</v>
      </c>
      <c r="V137">
        <f t="shared" si="116"/>
        <v>9.3475088954568921</v>
      </c>
      <c r="W137" s="9" t="str">
        <f t="shared" si="117"/>
        <v>5.525 ksi</v>
      </c>
      <c r="X137">
        <f t="shared" si="118"/>
        <v>-6.9999999999999991</v>
      </c>
      <c r="Y137">
        <f t="shared" si="119"/>
        <v>-18</v>
      </c>
      <c r="AA137" s="4">
        <f t="shared" si="120"/>
        <v>0</v>
      </c>
      <c r="AB137" s="4">
        <f t="shared" si="121"/>
        <v>0</v>
      </c>
      <c r="AD137">
        <f t="shared" si="122"/>
        <v>-16.900416487452443</v>
      </c>
      <c r="AE137">
        <f t="shared" si="123"/>
        <v>9.3475088954568921</v>
      </c>
      <c r="AF137" s="9" t="str">
        <f t="shared" si="124"/>
        <v>5.525 ksi</v>
      </c>
      <c r="AG137" t="e">
        <f t="shared" si="125"/>
        <v>#N/A</v>
      </c>
      <c r="AH137" t="e">
        <f t="shared" si="126"/>
        <v>#N/A</v>
      </c>
      <c r="AI137" t="str">
        <f t="shared" si="127"/>
        <v/>
      </c>
      <c r="AJ137" t="e">
        <f t="shared" si="128"/>
        <v>#N/A</v>
      </c>
      <c r="AK137" t="e">
        <f t="shared" si="129"/>
        <v>#N/A</v>
      </c>
      <c r="AM137" s="4" t="e">
        <f t="shared" si="130"/>
        <v>#N/A</v>
      </c>
      <c r="AN137" s="4" t="e">
        <f t="shared" si="131"/>
        <v>#N/A</v>
      </c>
    </row>
    <row r="138" spans="1:40" x14ac:dyDescent="0.25">
      <c r="A138" t="s">
        <v>75</v>
      </c>
      <c r="B138" s="4">
        <f t="shared" si="103"/>
        <v>-16.900416487452443</v>
      </c>
      <c r="C138" s="4">
        <f t="shared" si="103"/>
        <v>9.3475088954568921</v>
      </c>
      <c r="D138" s="4">
        <f t="shared" si="100"/>
        <v>-16.900416487452443</v>
      </c>
      <c r="E138" s="4">
        <f t="shared" si="100"/>
        <v>9.3475088954568921</v>
      </c>
      <c r="F138" s="4">
        <f t="shared" si="101"/>
        <v>5.5250000000000004</v>
      </c>
      <c r="G138" s="4">
        <f t="shared" si="102"/>
        <v>5.5250000000000004</v>
      </c>
      <c r="H138" s="4" t="str">
        <f t="shared" si="104"/>
        <v>V</v>
      </c>
      <c r="I138" s="4">
        <f t="shared" si="105"/>
        <v>0</v>
      </c>
      <c r="J138" s="4">
        <f t="shared" si="106"/>
        <v>-16.900416487452443</v>
      </c>
      <c r="K138" s="4">
        <f t="shared" si="107"/>
        <v>9.3475088954568921</v>
      </c>
      <c r="L138" s="4">
        <f t="shared" si="108"/>
        <v>-16.900416487452443</v>
      </c>
      <c r="M138" s="4">
        <f t="shared" si="109"/>
        <v>9.3475088954568921</v>
      </c>
      <c r="N138" s="4">
        <f t="shared" si="110"/>
        <v>5.5250000000000004</v>
      </c>
      <c r="O138" s="4">
        <f t="shared" si="111"/>
        <v>5.5250000000000004</v>
      </c>
      <c r="P138" s="30">
        <f t="shared" si="112"/>
        <v>0</v>
      </c>
      <c r="Q138" s="30">
        <f t="shared" si="113"/>
        <v>0</v>
      </c>
      <c r="R138" s="30">
        <f t="shared" si="114"/>
        <v>0</v>
      </c>
      <c r="U138">
        <f t="shared" si="115"/>
        <v>-16.900416487452443</v>
      </c>
      <c r="V138">
        <f t="shared" si="116"/>
        <v>9.3475088954568921</v>
      </c>
      <c r="W138" s="9" t="str">
        <f t="shared" si="117"/>
        <v>5.525 ksi</v>
      </c>
      <c r="X138">
        <f t="shared" si="118"/>
        <v>-6.9999999999999991</v>
      </c>
      <c r="Y138">
        <f t="shared" si="119"/>
        <v>-18</v>
      </c>
      <c r="AA138" s="4">
        <f t="shared" si="120"/>
        <v>0</v>
      </c>
      <c r="AB138" s="4">
        <f t="shared" si="121"/>
        <v>0</v>
      </c>
      <c r="AD138">
        <f t="shared" si="122"/>
        <v>-16.900416487452443</v>
      </c>
      <c r="AE138">
        <f t="shared" si="123"/>
        <v>9.3475088954568921</v>
      </c>
      <c r="AF138" s="9" t="str">
        <f t="shared" si="124"/>
        <v>5.525 ksi</v>
      </c>
      <c r="AG138" t="e">
        <f t="shared" si="125"/>
        <v>#N/A</v>
      </c>
      <c r="AH138" t="e">
        <f t="shared" si="126"/>
        <v>#N/A</v>
      </c>
      <c r="AI138" t="str">
        <f t="shared" si="127"/>
        <v/>
      </c>
      <c r="AJ138" t="e">
        <f t="shared" si="128"/>
        <v>#N/A</v>
      </c>
      <c r="AK138" t="e">
        <f t="shared" si="129"/>
        <v>#N/A</v>
      </c>
      <c r="AM138" s="4" t="e">
        <f t="shared" si="130"/>
        <v>#N/A</v>
      </c>
      <c r="AN138" s="4" t="e">
        <f t="shared" si="131"/>
        <v>#N/A</v>
      </c>
    </row>
    <row r="139" spans="1:40" ht="15.75" thickBot="1" x14ac:dyDescent="0.3">
      <c r="A139" t="s">
        <v>134</v>
      </c>
      <c r="B139" s="4">
        <f>D138</f>
        <v>-16.900416487452443</v>
      </c>
      <c r="C139" s="4">
        <f>E138</f>
        <v>9.3475088954568921</v>
      </c>
      <c r="D139" s="4">
        <f t="shared" si="100"/>
        <v>-16.900416487452443</v>
      </c>
      <c r="E139" s="4">
        <f t="shared" si="100"/>
        <v>9.3475088954568921</v>
      </c>
      <c r="F139" s="4">
        <f t="shared" si="101"/>
        <v>5.5250000000000004</v>
      </c>
      <c r="G139" s="4">
        <f t="shared" si="102"/>
        <v>5.5250000000000004</v>
      </c>
      <c r="H139" s="4" t="str">
        <f t="shared" si="104"/>
        <v>V</v>
      </c>
      <c r="I139" s="4">
        <f t="shared" si="105"/>
        <v>0</v>
      </c>
      <c r="J139" s="4">
        <f t="shared" si="106"/>
        <v>-16.900416487452443</v>
      </c>
      <c r="K139" s="4">
        <f t="shared" si="107"/>
        <v>9.3475088954568921</v>
      </c>
      <c r="L139" s="4">
        <f t="shared" si="108"/>
        <v>-16.900416487452443</v>
      </c>
      <c r="M139" s="4">
        <f t="shared" si="109"/>
        <v>9.3475088954568921</v>
      </c>
      <c r="N139" s="4">
        <f t="shared" si="110"/>
        <v>5.5250000000000004</v>
      </c>
      <c r="O139" s="4">
        <f t="shared" si="111"/>
        <v>5.5250000000000004</v>
      </c>
      <c r="P139" s="31">
        <f t="shared" si="112"/>
        <v>0</v>
      </c>
      <c r="Q139" s="31">
        <f t="shared" si="113"/>
        <v>0</v>
      </c>
      <c r="R139" s="31">
        <f t="shared" si="114"/>
        <v>0</v>
      </c>
      <c r="U139">
        <f t="shared" si="115"/>
        <v>-16.900416487452443</v>
      </c>
      <c r="V139">
        <f t="shared" si="116"/>
        <v>9.3475088954568921</v>
      </c>
      <c r="W139" s="9" t="str">
        <f t="shared" si="117"/>
        <v>5.525 ksi</v>
      </c>
      <c r="X139">
        <f t="shared" si="118"/>
        <v>-6.9999999999999991</v>
      </c>
      <c r="Y139">
        <f t="shared" si="119"/>
        <v>-18</v>
      </c>
      <c r="AA139" s="4">
        <f t="shared" si="120"/>
        <v>0</v>
      </c>
      <c r="AB139" s="4">
        <f t="shared" si="121"/>
        <v>0</v>
      </c>
      <c r="AD139">
        <f t="shared" si="122"/>
        <v>-16.900416487452443</v>
      </c>
      <c r="AE139">
        <f t="shared" si="123"/>
        <v>9.3475088954568921</v>
      </c>
      <c r="AF139" s="9" t="str">
        <f t="shared" si="124"/>
        <v>5.525 ksi</v>
      </c>
      <c r="AG139" t="e">
        <f t="shared" si="125"/>
        <v>#N/A</v>
      </c>
      <c r="AH139" t="e">
        <f t="shared" si="126"/>
        <v>#N/A</v>
      </c>
      <c r="AI139" t="str">
        <f t="shared" si="127"/>
        <v/>
      </c>
      <c r="AJ139" t="e">
        <f t="shared" si="128"/>
        <v>#N/A</v>
      </c>
      <c r="AK139" t="e">
        <f t="shared" si="129"/>
        <v>#N/A</v>
      </c>
      <c r="AM139" s="4" t="e">
        <f t="shared" si="130"/>
        <v>#N/A</v>
      </c>
      <c r="AN139" s="4" t="e">
        <f t="shared" si="131"/>
        <v>#N/A</v>
      </c>
    </row>
    <row r="140" spans="1:40" ht="15.75" thickTop="1" x14ac:dyDescent="0.25">
      <c r="P140" s="4">
        <f>SUM(P132:P139)</f>
        <v>262.69519323050429</v>
      </c>
      <c r="Q140" s="4">
        <f>SUM(Q132:Q139)</f>
        <v>1649.8529332996957</v>
      </c>
      <c r="R140" s="4">
        <f>SUM(R132:R139)</f>
        <v>1564.9339085405516</v>
      </c>
      <c r="T140" t="str">
        <f>ROUND(P140,4)&amp;" kips"</f>
        <v>262.6952 kips</v>
      </c>
      <c r="W140" s="9" t="str">
        <f t="shared" si="117"/>
        <v/>
      </c>
      <c r="AA140" s="4"/>
      <c r="AB140" s="4"/>
      <c r="AF140" s="9"/>
      <c r="AM140" s="4"/>
      <c r="AN140" s="4"/>
    </row>
    <row r="141" spans="1:40" x14ac:dyDescent="0.25">
      <c r="W141" s="9" t="str">
        <f t="shared" si="117"/>
        <v/>
      </c>
      <c r="AA141" s="4"/>
      <c r="AB141" s="4"/>
      <c r="AF141" s="9"/>
      <c r="AM141" s="4"/>
      <c r="AN141" s="4"/>
    </row>
    <row r="142" spans="1:40" x14ac:dyDescent="0.25">
      <c r="O142" t="s">
        <v>96</v>
      </c>
      <c r="P142" s="1">
        <f>-1*R140/P140</f>
        <v>-5.9572232338769364</v>
      </c>
      <c r="W142" s="9" t="str">
        <f t="shared" si="117"/>
        <v/>
      </c>
      <c r="AA142" s="4"/>
      <c r="AB142" s="4"/>
      <c r="AF142" s="9"/>
      <c r="AM142" s="4"/>
      <c r="AN142" s="4"/>
    </row>
    <row r="143" spans="1:40" x14ac:dyDescent="0.25">
      <c r="O143" t="s">
        <v>97</v>
      </c>
      <c r="P143" s="1">
        <f>Q140/P140</f>
        <v>6.2804839061216367</v>
      </c>
      <c r="W143" s="9" t="str">
        <f t="shared" si="117"/>
        <v/>
      </c>
      <c r="AA143" s="4"/>
      <c r="AB143" s="4"/>
      <c r="AF143" s="9"/>
      <c r="AM143" s="4"/>
      <c r="AN143" s="4"/>
    </row>
    <row r="144" spans="1:40" x14ac:dyDescent="0.25">
      <c r="A144" t="s">
        <v>140</v>
      </c>
      <c r="P144" s="1"/>
      <c r="W144" s="9" t="str">
        <f t="shared" si="117"/>
        <v/>
      </c>
      <c r="AA144" s="4"/>
      <c r="AB144" s="4"/>
      <c r="AF144" s="9"/>
      <c r="AM144" s="4"/>
      <c r="AN144" s="4"/>
    </row>
    <row r="145" spans="1:40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  <c r="U145" t="str">
        <f t="shared" si="115"/>
        <v>xi' (in)</v>
      </c>
      <c r="V145" t="str">
        <f t="shared" si="116"/>
        <v>yi' (in)</v>
      </c>
      <c r="W145" s="9"/>
      <c r="AA145" s="4"/>
      <c r="AB145" s="4"/>
      <c r="AF145" s="9"/>
      <c r="AM145" s="4"/>
      <c r="AN145" s="4"/>
    </row>
    <row r="146" spans="1:40" x14ac:dyDescent="0.25">
      <c r="A146" t="s">
        <v>69</v>
      </c>
      <c r="B146" s="9">
        <f>I84</f>
        <v>-16.900416487452443</v>
      </c>
      <c r="C146" s="9">
        <f>J84</f>
        <v>9.3475088954568921</v>
      </c>
      <c r="D146" s="9">
        <f t="shared" ref="D146:E153" si="132">I85</f>
        <v>-16.900416487452443</v>
      </c>
      <c r="E146">
        <f t="shared" si="132"/>
        <v>9.3475088954568921</v>
      </c>
      <c r="F146" s="4">
        <f>($B$66/$B$65)*(C146-$B$125)</f>
        <v>5.5250000000000004</v>
      </c>
      <c r="G146" s="4">
        <f>($B$66/$B$65)*(E146-$B$125)</f>
        <v>5.5250000000000004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-16.900416487452443</v>
      </c>
      <c r="K146" s="4">
        <f>IF($F146&gt;=0,C146,IF(AND($F146&lt;0,$G146&gt;=0),$B$125,0))</f>
        <v>9.3475088954568921</v>
      </c>
      <c r="L146" s="4">
        <f>IF($G146&gt;=0,D146,IF(AND($G146&lt;0,$F146&gt;=0),IF(H146="V",D146,($B$125-I146)/H146),0))</f>
        <v>-16.900416487452443</v>
      </c>
      <c r="M146" s="4">
        <f>IF($G146&gt;=0,E146,IF(AND($G146&lt;0,$F146&gt;=0),$B$125,0))</f>
        <v>9.3475088954568921</v>
      </c>
      <c r="N146" s="4">
        <f>IF(F146&lt;0,0,F146)</f>
        <v>5.5250000000000004</v>
      </c>
      <c r="O146" s="4">
        <f>IF(G146&lt;0,0,G146)</f>
        <v>5.5250000000000004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  <c r="U146">
        <f t="shared" si="115"/>
        <v>-16.900416487452443</v>
      </c>
      <c r="V146">
        <f t="shared" si="116"/>
        <v>9.3475088954568921</v>
      </c>
      <c r="W146" s="9" t="str">
        <f>IF($D$34=0,"",IF(AND(J146=0,K146=0,L146=0,M146=0),"",CHAR(10)&amp;CHAR(10)&amp;-1*ROUND(N146,4)&amp;" ksi"))</f>
        <v/>
      </c>
      <c r="X146">
        <f t="shared" ref="X146:X153" si="133">(U146*COS(-1*$B$64))+(V146*SIN(-1*$B$64))</f>
        <v>-6.9999999999999991</v>
      </c>
      <c r="Y146">
        <f t="shared" ref="Y146:Y153" si="134">(-1*U146*SIN(-1*$B$64))+(V146*COS(-1*$B$64))</f>
        <v>-18</v>
      </c>
      <c r="AA146" s="4">
        <f t="shared" ref="AA146:AA153" si="135">X146+$B$9</f>
        <v>0</v>
      </c>
      <c r="AB146" s="4">
        <f t="shared" ref="AB146:AB153" si="136">Y146+$C$9</f>
        <v>0</v>
      </c>
      <c r="AD146">
        <f t="shared" ref="AD146:AD153" si="137">IF(AND(J146=0,K146=0,L146=0,M146=0),NA(),L146)</f>
        <v>-16.900416487452443</v>
      </c>
      <c r="AE146">
        <f t="shared" ref="AE146:AE153" si="138">IF(AND(J146=0,K146=0,L146=0,M146=0),NA(),M146)</f>
        <v>9.3475088954568921</v>
      </c>
      <c r="AF146" s="9" t="str">
        <f>IF(AND(J146=0,K146=0,L146=0,M146=0),"",CHAR(10)&amp;CHAR(10)&amp;-1*ROUND(O146,4)&amp;" ksi")</f>
        <v xml:space="preserve">
-5.525 ksi</v>
      </c>
      <c r="AG146" t="e">
        <f>IF(COUNTIF($U$146:$U$153,AD146)&gt;0,NA(),AD146)</f>
        <v>#N/A</v>
      </c>
      <c r="AH146" t="e">
        <f>IF(AND(COUNTIF($V$146:$V$153,AE146)&gt;0,AF146&lt;&gt;CHAR(10)&amp;CHAR(10)&amp;"0 ksi"),NA(),AE146)</f>
        <v>#N/A</v>
      </c>
      <c r="AI146" t="str">
        <f>IF(COUNTIF($U$146:$U$153,AD146)&gt;0,"",AF146)</f>
        <v/>
      </c>
      <c r="AJ146" t="e">
        <f t="shared" ref="AJ146:AJ153" si="139">(AG146*COS(-1*$B$64))+(AH146*SIN(-1*$B$64))</f>
        <v>#N/A</v>
      </c>
      <c r="AK146" t="e">
        <f t="shared" ref="AK146:AK153" si="140">(-1*AG146*SIN(-1*$B$64))+(AH146*COS(-1*$B$64))</f>
        <v>#N/A</v>
      </c>
      <c r="AM146" s="4" t="e">
        <f t="shared" ref="AM146:AM153" si="141">AJ146+$B$9</f>
        <v>#N/A</v>
      </c>
      <c r="AN146" s="4" t="e">
        <f t="shared" ref="AN146:AN153" si="142">AK146+$C$9</f>
        <v>#N/A</v>
      </c>
    </row>
    <row r="147" spans="1:40" x14ac:dyDescent="0.25">
      <c r="A147" t="s">
        <v>70</v>
      </c>
      <c r="B147" s="9">
        <f t="shared" ref="B147:C153" si="143">D146</f>
        <v>-16.900416487452443</v>
      </c>
      <c r="C147">
        <f t="shared" si="143"/>
        <v>9.3475088954568921</v>
      </c>
      <c r="D147" s="9">
        <f t="shared" si="132"/>
        <v>-16.900416487452443</v>
      </c>
      <c r="E147">
        <f t="shared" si="132"/>
        <v>9.3475088954568921</v>
      </c>
      <c r="F147" s="4">
        <f t="shared" ref="F147:F153" si="144">($B$66/$B$65)*(C147-$B$125)</f>
        <v>5.5250000000000004</v>
      </c>
      <c r="G147" s="4">
        <f t="shared" ref="G147:G153" si="145">($B$66/$B$65)*(E147-$B$125)</f>
        <v>5.5250000000000004</v>
      </c>
      <c r="H147" s="4" t="str">
        <f t="shared" ref="H147:H153" si="146">IF(B147=D147,"V",(C147-E147)/(B147-D147))</f>
        <v>V</v>
      </c>
      <c r="I147" s="4">
        <f t="shared" ref="I147:I153" si="147">IF(H147="V",0,(-1*B147*H147)+C147)</f>
        <v>0</v>
      </c>
      <c r="J147" s="4">
        <f t="shared" ref="J147:J153" si="148">IF($F147&gt;=0,B147,IF(AND($F147&lt;0,$G147&gt;=0),IF(H147="V",B147,($B$125-I147)/H147),0))</f>
        <v>-16.900416487452443</v>
      </c>
      <c r="K147" s="4">
        <f t="shared" ref="K147:K153" si="149">IF($F147&gt;=0,C147,IF(AND($F147&lt;0,$G147&gt;=0),$B$125,0))</f>
        <v>9.3475088954568921</v>
      </c>
      <c r="L147" s="4">
        <f t="shared" ref="L147:L153" si="150">IF($G147&gt;=0,D147,IF(AND($G147&lt;0,$F147&gt;=0),IF(H147="V",D147,($B$125-I147)/H147),0))</f>
        <v>-16.900416487452443</v>
      </c>
      <c r="M147" s="4">
        <f t="shared" ref="M147:M153" si="151">IF($G147&gt;=0,E147,IF(AND($G147&lt;0,$F147&gt;=0),$B$125,0))</f>
        <v>9.3475088954568921</v>
      </c>
      <c r="N147" s="4">
        <f t="shared" ref="N147:N153" si="152">IF(F147&lt;0,0,F147)</f>
        <v>5.5250000000000004</v>
      </c>
      <c r="O147" s="4">
        <f t="shared" ref="O147:O153" si="153">IF(G147&lt;0,0,G147)</f>
        <v>5.5250000000000004</v>
      </c>
      <c r="P147" s="4">
        <f t="shared" ref="P147:P153" si="154">(1/6)*(M147-K147)*((N147*((2*J147)+L147))+(O147*(J147+(2*L147))))</f>
        <v>0</v>
      </c>
      <c r="Q147" s="4">
        <f t="shared" ref="Q147:Q153" si="155">((1/12)*(M147-K147)*(N147*J147*((3*K147)+M147)+N147*L147*(K147+M147)+O147*J147*(K147+M147)+O147*L147*(K147+(3*M147))))</f>
        <v>0</v>
      </c>
      <c r="R147" s="4">
        <f t="shared" ref="R147:R153" si="156">((-1/24)*(M147-K147)*(J147*J147*((3*N147)+O147)+2*J147*L147*(N147+O147)+L147*L147*(N147+(3*O147))))</f>
        <v>0</v>
      </c>
      <c r="U147">
        <f t="shared" si="115"/>
        <v>-16.900416487452443</v>
      </c>
      <c r="V147">
        <f t="shared" si="116"/>
        <v>9.3475088954568921</v>
      </c>
      <c r="W147" s="9" t="str">
        <f t="shared" ref="W147:W153" si="157">IF($D$34=0,"",IF(AND(J147=0,K147=0,L147=0,M147=0),"",CHAR(10)&amp;CHAR(10)&amp;-1*ROUND(N147,4)&amp;" ksi"))</f>
        <v/>
      </c>
      <c r="X147">
        <f t="shared" si="133"/>
        <v>-6.9999999999999991</v>
      </c>
      <c r="Y147">
        <f t="shared" si="134"/>
        <v>-18</v>
      </c>
      <c r="AA147" s="4">
        <f t="shared" si="135"/>
        <v>0</v>
      </c>
      <c r="AB147" s="4">
        <f t="shared" si="136"/>
        <v>0</v>
      </c>
      <c r="AD147">
        <f t="shared" si="137"/>
        <v>-16.900416487452443</v>
      </c>
      <c r="AE147">
        <f t="shared" si="138"/>
        <v>9.3475088954568921</v>
      </c>
      <c r="AF147" s="9" t="str">
        <f t="shared" ref="AF147:AF153" si="158">IF(AND(J147=0,K147=0,L147=0,M147=0),"",CHAR(10)&amp;CHAR(10)&amp;-1*ROUND(O147,4)&amp;" ksi")</f>
        <v xml:space="preserve">
-5.525 ksi</v>
      </c>
      <c r="AG147" t="e">
        <f t="shared" ref="AG147:AG153" si="159">IF(COUNTIF($U$146:$U$153,AD147)&gt;0,NA(),AD147)</f>
        <v>#N/A</v>
      </c>
      <c r="AH147" t="e">
        <f t="shared" ref="AH147:AH153" si="160">IF(AND(COUNTIF($V$146:$V$153,AE147)&gt;0,AF147&lt;&gt;CHAR(10)&amp;CHAR(10)&amp;"0 ksi"),NA(),AE147)</f>
        <v>#N/A</v>
      </c>
      <c r="AI147" t="str">
        <f t="shared" ref="AI147:AI153" si="161">IF(COUNTIF($U$146:$U$153,AD147)&gt;0,"",AF147)</f>
        <v/>
      </c>
      <c r="AJ147" t="e">
        <f t="shared" si="139"/>
        <v>#N/A</v>
      </c>
      <c r="AK147" t="e">
        <f t="shared" si="140"/>
        <v>#N/A</v>
      </c>
      <c r="AM147" s="4" t="e">
        <f t="shared" si="141"/>
        <v>#N/A</v>
      </c>
      <c r="AN147" s="4" t="e">
        <f t="shared" si="142"/>
        <v>#N/A</v>
      </c>
    </row>
    <row r="148" spans="1:40" x14ac:dyDescent="0.25">
      <c r="A148" t="s">
        <v>71</v>
      </c>
      <c r="B148" s="9">
        <f t="shared" si="143"/>
        <v>-16.900416487452443</v>
      </c>
      <c r="C148">
        <f t="shared" si="143"/>
        <v>9.3475088954568921</v>
      </c>
      <c r="D148" s="9">
        <f t="shared" si="132"/>
        <v>-16.900416487452443</v>
      </c>
      <c r="E148">
        <f t="shared" si="132"/>
        <v>9.3475088954568921</v>
      </c>
      <c r="F148" s="4">
        <f t="shared" si="144"/>
        <v>5.5250000000000004</v>
      </c>
      <c r="G148" s="4">
        <f t="shared" si="145"/>
        <v>5.5250000000000004</v>
      </c>
      <c r="H148" s="4" t="str">
        <f t="shared" si="146"/>
        <v>V</v>
      </c>
      <c r="I148" s="4">
        <f t="shared" si="147"/>
        <v>0</v>
      </c>
      <c r="J148" s="4">
        <f t="shared" si="148"/>
        <v>-16.900416487452443</v>
      </c>
      <c r="K148" s="4">
        <f t="shared" si="149"/>
        <v>9.3475088954568921</v>
      </c>
      <c r="L148" s="4">
        <f t="shared" si="150"/>
        <v>-16.900416487452443</v>
      </c>
      <c r="M148" s="4">
        <f t="shared" si="151"/>
        <v>9.3475088954568921</v>
      </c>
      <c r="N148" s="4">
        <f t="shared" si="152"/>
        <v>5.5250000000000004</v>
      </c>
      <c r="O148" s="4">
        <f t="shared" si="153"/>
        <v>5.5250000000000004</v>
      </c>
      <c r="P148" s="4">
        <f t="shared" si="154"/>
        <v>0</v>
      </c>
      <c r="Q148" s="4">
        <f t="shared" si="155"/>
        <v>0</v>
      </c>
      <c r="R148" s="4">
        <f t="shared" si="156"/>
        <v>0</v>
      </c>
      <c r="U148">
        <f t="shared" si="115"/>
        <v>-16.900416487452443</v>
      </c>
      <c r="V148">
        <f t="shared" si="116"/>
        <v>9.3475088954568921</v>
      </c>
      <c r="W148" s="9" t="str">
        <f t="shared" si="157"/>
        <v/>
      </c>
      <c r="X148">
        <f t="shared" si="133"/>
        <v>-6.9999999999999991</v>
      </c>
      <c r="Y148">
        <f t="shared" si="134"/>
        <v>-18</v>
      </c>
      <c r="AA148" s="4">
        <f t="shared" si="135"/>
        <v>0</v>
      </c>
      <c r="AB148" s="4">
        <f t="shared" si="136"/>
        <v>0</v>
      </c>
      <c r="AD148">
        <f t="shared" si="137"/>
        <v>-16.900416487452443</v>
      </c>
      <c r="AE148">
        <f t="shared" si="138"/>
        <v>9.3475088954568921</v>
      </c>
      <c r="AF148" s="9" t="str">
        <f t="shared" si="158"/>
        <v xml:space="preserve">
-5.525 ksi</v>
      </c>
      <c r="AG148" t="e">
        <f t="shared" si="159"/>
        <v>#N/A</v>
      </c>
      <c r="AH148" t="e">
        <f t="shared" si="160"/>
        <v>#N/A</v>
      </c>
      <c r="AI148" t="str">
        <f t="shared" si="161"/>
        <v/>
      </c>
      <c r="AJ148" t="e">
        <f t="shared" si="139"/>
        <v>#N/A</v>
      </c>
      <c r="AK148" t="e">
        <f t="shared" si="140"/>
        <v>#N/A</v>
      </c>
      <c r="AM148" s="4" t="e">
        <f t="shared" si="141"/>
        <v>#N/A</v>
      </c>
      <c r="AN148" s="4" t="e">
        <f t="shared" si="142"/>
        <v>#N/A</v>
      </c>
    </row>
    <row r="149" spans="1:40" x14ac:dyDescent="0.25">
      <c r="A149" t="s">
        <v>72</v>
      </c>
      <c r="B149" s="9">
        <f t="shared" si="143"/>
        <v>-16.900416487452443</v>
      </c>
      <c r="C149">
        <f t="shared" si="143"/>
        <v>9.3475088954568921</v>
      </c>
      <c r="D149" s="9">
        <f t="shared" si="132"/>
        <v>-16.900416487452443</v>
      </c>
      <c r="E149">
        <f t="shared" si="132"/>
        <v>9.3475088954568921</v>
      </c>
      <c r="F149" s="4">
        <f t="shared" si="144"/>
        <v>5.5250000000000004</v>
      </c>
      <c r="G149" s="4">
        <f t="shared" si="145"/>
        <v>5.5250000000000004</v>
      </c>
      <c r="H149" s="4" t="str">
        <f t="shared" si="146"/>
        <v>V</v>
      </c>
      <c r="I149" s="4">
        <f t="shared" si="147"/>
        <v>0</v>
      </c>
      <c r="J149" s="4">
        <f t="shared" si="148"/>
        <v>-16.900416487452443</v>
      </c>
      <c r="K149" s="4">
        <f t="shared" si="149"/>
        <v>9.3475088954568921</v>
      </c>
      <c r="L149" s="4">
        <f t="shared" si="150"/>
        <v>-16.900416487452443</v>
      </c>
      <c r="M149" s="4">
        <f t="shared" si="151"/>
        <v>9.3475088954568921</v>
      </c>
      <c r="N149" s="4">
        <f t="shared" si="152"/>
        <v>5.5250000000000004</v>
      </c>
      <c r="O149" s="4">
        <f t="shared" si="153"/>
        <v>5.5250000000000004</v>
      </c>
      <c r="P149" s="4">
        <f t="shared" si="154"/>
        <v>0</v>
      </c>
      <c r="Q149" s="4">
        <f t="shared" si="155"/>
        <v>0</v>
      </c>
      <c r="R149" s="4">
        <f t="shared" si="156"/>
        <v>0</v>
      </c>
      <c r="U149">
        <f t="shared" si="115"/>
        <v>-16.900416487452443</v>
      </c>
      <c r="V149">
        <f t="shared" si="116"/>
        <v>9.3475088954568921</v>
      </c>
      <c r="W149" s="9" t="str">
        <f t="shared" si="157"/>
        <v/>
      </c>
      <c r="X149">
        <f t="shared" si="133"/>
        <v>-6.9999999999999991</v>
      </c>
      <c r="Y149">
        <f t="shared" si="134"/>
        <v>-18</v>
      </c>
      <c r="AA149" s="4">
        <f t="shared" si="135"/>
        <v>0</v>
      </c>
      <c r="AB149" s="4">
        <f t="shared" si="136"/>
        <v>0</v>
      </c>
      <c r="AD149">
        <f t="shared" si="137"/>
        <v>-16.900416487452443</v>
      </c>
      <c r="AE149">
        <f t="shared" si="138"/>
        <v>9.3475088954568921</v>
      </c>
      <c r="AF149" s="9" t="str">
        <f t="shared" si="158"/>
        <v xml:space="preserve">
-5.525 ksi</v>
      </c>
      <c r="AG149" t="e">
        <f t="shared" si="159"/>
        <v>#N/A</v>
      </c>
      <c r="AH149" t="e">
        <f t="shared" si="160"/>
        <v>#N/A</v>
      </c>
      <c r="AI149" t="str">
        <f t="shared" si="161"/>
        <v/>
      </c>
      <c r="AJ149" t="e">
        <f t="shared" si="139"/>
        <v>#N/A</v>
      </c>
      <c r="AK149" t="e">
        <f t="shared" si="140"/>
        <v>#N/A</v>
      </c>
      <c r="AM149" s="4" t="e">
        <f t="shared" si="141"/>
        <v>#N/A</v>
      </c>
      <c r="AN149" s="4" t="e">
        <f t="shared" si="142"/>
        <v>#N/A</v>
      </c>
    </row>
    <row r="150" spans="1:40" x14ac:dyDescent="0.25">
      <c r="A150" t="s">
        <v>73</v>
      </c>
      <c r="B150" s="9">
        <f t="shared" si="143"/>
        <v>-16.900416487452443</v>
      </c>
      <c r="C150">
        <f t="shared" si="143"/>
        <v>9.3475088954568921</v>
      </c>
      <c r="D150" s="9">
        <f t="shared" si="132"/>
        <v>-16.900416487452443</v>
      </c>
      <c r="E150">
        <f t="shared" si="132"/>
        <v>9.3475088954568921</v>
      </c>
      <c r="F150" s="4">
        <f t="shared" si="144"/>
        <v>5.5250000000000004</v>
      </c>
      <c r="G150" s="4">
        <f t="shared" si="145"/>
        <v>5.5250000000000004</v>
      </c>
      <c r="H150" s="4" t="str">
        <f t="shared" si="146"/>
        <v>V</v>
      </c>
      <c r="I150" s="4">
        <f t="shared" si="147"/>
        <v>0</v>
      </c>
      <c r="J150" s="4">
        <f t="shared" si="148"/>
        <v>-16.900416487452443</v>
      </c>
      <c r="K150" s="4">
        <f t="shared" si="149"/>
        <v>9.3475088954568921</v>
      </c>
      <c r="L150" s="4">
        <f t="shared" si="150"/>
        <v>-16.900416487452443</v>
      </c>
      <c r="M150" s="4">
        <f t="shared" si="151"/>
        <v>9.3475088954568921</v>
      </c>
      <c r="N150" s="4">
        <f t="shared" si="152"/>
        <v>5.5250000000000004</v>
      </c>
      <c r="O150" s="4">
        <f t="shared" si="153"/>
        <v>5.5250000000000004</v>
      </c>
      <c r="P150" s="4">
        <f t="shared" si="154"/>
        <v>0</v>
      </c>
      <c r="Q150" s="4">
        <f t="shared" si="155"/>
        <v>0</v>
      </c>
      <c r="R150" s="4">
        <f t="shared" si="156"/>
        <v>0</v>
      </c>
      <c r="U150">
        <f t="shared" si="115"/>
        <v>-16.900416487452443</v>
      </c>
      <c r="V150">
        <f t="shared" si="116"/>
        <v>9.3475088954568921</v>
      </c>
      <c r="W150" s="9" t="str">
        <f t="shared" si="157"/>
        <v/>
      </c>
      <c r="X150">
        <f t="shared" si="133"/>
        <v>-6.9999999999999991</v>
      </c>
      <c r="Y150">
        <f t="shared" si="134"/>
        <v>-18</v>
      </c>
      <c r="AA150" s="4">
        <f t="shared" si="135"/>
        <v>0</v>
      </c>
      <c r="AB150" s="4">
        <f t="shared" si="136"/>
        <v>0</v>
      </c>
      <c r="AD150">
        <f t="shared" si="137"/>
        <v>-16.900416487452443</v>
      </c>
      <c r="AE150">
        <f t="shared" si="138"/>
        <v>9.3475088954568921</v>
      </c>
      <c r="AF150" s="9" t="str">
        <f t="shared" si="158"/>
        <v xml:space="preserve">
-5.525 ksi</v>
      </c>
      <c r="AG150" t="e">
        <f t="shared" si="159"/>
        <v>#N/A</v>
      </c>
      <c r="AH150" t="e">
        <f t="shared" si="160"/>
        <v>#N/A</v>
      </c>
      <c r="AI150" t="str">
        <f t="shared" si="161"/>
        <v/>
      </c>
      <c r="AJ150" t="e">
        <f t="shared" si="139"/>
        <v>#N/A</v>
      </c>
      <c r="AK150" t="e">
        <f t="shared" si="140"/>
        <v>#N/A</v>
      </c>
      <c r="AM150" s="4" t="e">
        <f t="shared" si="141"/>
        <v>#N/A</v>
      </c>
      <c r="AN150" s="4" t="e">
        <f t="shared" si="142"/>
        <v>#N/A</v>
      </c>
    </row>
    <row r="151" spans="1:40" x14ac:dyDescent="0.25">
      <c r="A151" t="s">
        <v>74</v>
      </c>
      <c r="B151" s="9">
        <f t="shared" si="143"/>
        <v>-16.900416487452443</v>
      </c>
      <c r="C151">
        <f t="shared" si="143"/>
        <v>9.3475088954568921</v>
      </c>
      <c r="D151" s="9">
        <f t="shared" si="132"/>
        <v>-16.900416487452443</v>
      </c>
      <c r="E151">
        <f t="shared" si="132"/>
        <v>9.3475088954568921</v>
      </c>
      <c r="F151" s="4">
        <f t="shared" si="144"/>
        <v>5.5250000000000004</v>
      </c>
      <c r="G151" s="4">
        <f t="shared" si="145"/>
        <v>5.5250000000000004</v>
      </c>
      <c r="H151" s="4" t="str">
        <f t="shared" si="146"/>
        <v>V</v>
      </c>
      <c r="I151" s="4">
        <f t="shared" si="147"/>
        <v>0</v>
      </c>
      <c r="J151" s="4">
        <f t="shared" si="148"/>
        <v>-16.900416487452443</v>
      </c>
      <c r="K151" s="4">
        <f t="shared" si="149"/>
        <v>9.3475088954568921</v>
      </c>
      <c r="L151" s="4">
        <f t="shared" si="150"/>
        <v>-16.900416487452443</v>
      </c>
      <c r="M151" s="4">
        <f t="shared" si="151"/>
        <v>9.3475088954568921</v>
      </c>
      <c r="N151" s="4">
        <f t="shared" si="152"/>
        <v>5.5250000000000004</v>
      </c>
      <c r="O151" s="4">
        <f t="shared" si="153"/>
        <v>5.5250000000000004</v>
      </c>
      <c r="P151" s="4">
        <f t="shared" si="154"/>
        <v>0</v>
      </c>
      <c r="Q151" s="4">
        <f t="shared" si="155"/>
        <v>0</v>
      </c>
      <c r="R151" s="4">
        <f t="shared" si="156"/>
        <v>0</v>
      </c>
      <c r="U151">
        <f t="shared" si="115"/>
        <v>-16.900416487452443</v>
      </c>
      <c r="V151">
        <f t="shared" si="116"/>
        <v>9.3475088954568921</v>
      </c>
      <c r="W151" s="9" t="str">
        <f t="shared" si="157"/>
        <v/>
      </c>
      <c r="X151">
        <f t="shared" si="133"/>
        <v>-6.9999999999999991</v>
      </c>
      <c r="Y151">
        <f t="shared" si="134"/>
        <v>-18</v>
      </c>
      <c r="AA151" s="4">
        <f t="shared" si="135"/>
        <v>0</v>
      </c>
      <c r="AB151" s="4">
        <f t="shared" si="136"/>
        <v>0</v>
      </c>
      <c r="AD151">
        <f t="shared" si="137"/>
        <v>-16.900416487452443</v>
      </c>
      <c r="AE151">
        <f t="shared" si="138"/>
        <v>9.3475088954568921</v>
      </c>
      <c r="AF151" s="9" t="str">
        <f t="shared" si="158"/>
        <v xml:space="preserve">
-5.525 ksi</v>
      </c>
      <c r="AG151" t="e">
        <f t="shared" si="159"/>
        <v>#N/A</v>
      </c>
      <c r="AH151" t="e">
        <f t="shared" si="160"/>
        <v>#N/A</v>
      </c>
      <c r="AI151" t="str">
        <f t="shared" si="161"/>
        <v/>
      </c>
      <c r="AJ151" t="e">
        <f t="shared" si="139"/>
        <v>#N/A</v>
      </c>
      <c r="AK151" t="e">
        <f t="shared" si="140"/>
        <v>#N/A</v>
      </c>
      <c r="AM151" s="4" t="e">
        <f t="shared" si="141"/>
        <v>#N/A</v>
      </c>
      <c r="AN151" s="4" t="e">
        <f t="shared" si="142"/>
        <v>#N/A</v>
      </c>
    </row>
    <row r="152" spans="1:40" x14ac:dyDescent="0.25">
      <c r="A152" t="s">
        <v>75</v>
      </c>
      <c r="B152" s="9">
        <f t="shared" si="143"/>
        <v>-16.900416487452443</v>
      </c>
      <c r="C152">
        <f t="shared" si="143"/>
        <v>9.3475088954568921</v>
      </c>
      <c r="D152" s="9">
        <f t="shared" si="132"/>
        <v>-16.900416487452443</v>
      </c>
      <c r="E152">
        <f t="shared" si="132"/>
        <v>9.3475088954568921</v>
      </c>
      <c r="F152" s="4">
        <f t="shared" si="144"/>
        <v>5.5250000000000004</v>
      </c>
      <c r="G152" s="4">
        <f t="shared" si="145"/>
        <v>5.5250000000000004</v>
      </c>
      <c r="H152" s="4" t="str">
        <f t="shared" si="146"/>
        <v>V</v>
      </c>
      <c r="I152" s="4">
        <f t="shared" si="147"/>
        <v>0</v>
      </c>
      <c r="J152" s="4">
        <f t="shared" si="148"/>
        <v>-16.900416487452443</v>
      </c>
      <c r="K152" s="4">
        <f t="shared" si="149"/>
        <v>9.3475088954568921</v>
      </c>
      <c r="L152" s="4">
        <f t="shared" si="150"/>
        <v>-16.900416487452443</v>
      </c>
      <c r="M152" s="4">
        <f t="shared" si="151"/>
        <v>9.3475088954568921</v>
      </c>
      <c r="N152" s="4">
        <f t="shared" si="152"/>
        <v>5.5250000000000004</v>
      </c>
      <c r="O152" s="4">
        <f t="shared" si="153"/>
        <v>5.5250000000000004</v>
      </c>
      <c r="P152" s="4">
        <f t="shared" si="154"/>
        <v>0</v>
      </c>
      <c r="Q152" s="4">
        <f t="shared" si="155"/>
        <v>0</v>
      </c>
      <c r="R152" s="4">
        <f t="shared" si="156"/>
        <v>0</v>
      </c>
      <c r="U152">
        <f t="shared" si="115"/>
        <v>-16.900416487452443</v>
      </c>
      <c r="V152">
        <f t="shared" si="116"/>
        <v>9.3475088954568921</v>
      </c>
      <c r="W152" s="9" t="str">
        <f t="shared" si="157"/>
        <v/>
      </c>
      <c r="X152">
        <f t="shared" si="133"/>
        <v>-6.9999999999999991</v>
      </c>
      <c r="Y152">
        <f t="shared" si="134"/>
        <v>-18</v>
      </c>
      <c r="AA152" s="4">
        <f t="shared" si="135"/>
        <v>0</v>
      </c>
      <c r="AB152" s="4">
        <f t="shared" si="136"/>
        <v>0</v>
      </c>
      <c r="AD152">
        <f t="shared" si="137"/>
        <v>-16.900416487452443</v>
      </c>
      <c r="AE152">
        <f t="shared" si="138"/>
        <v>9.3475088954568921</v>
      </c>
      <c r="AF152" s="9" t="str">
        <f t="shared" si="158"/>
        <v xml:space="preserve">
-5.525 ksi</v>
      </c>
      <c r="AG152" t="e">
        <f t="shared" si="159"/>
        <v>#N/A</v>
      </c>
      <c r="AH152" t="e">
        <f t="shared" si="160"/>
        <v>#N/A</v>
      </c>
      <c r="AI152" t="str">
        <f t="shared" si="161"/>
        <v/>
      </c>
      <c r="AJ152" t="e">
        <f t="shared" si="139"/>
        <v>#N/A</v>
      </c>
      <c r="AK152" t="e">
        <f t="shared" si="140"/>
        <v>#N/A</v>
      </c>
      <c r="AM152" s="4" t="e">
        <f t="shared" si="141"/>
        <v>#N/A</v>
      </c>
      <c r="AN152" s="4" t="e">
        <f t="shared" si="142"/>
        <v>#N/A</v>
      </c>
    </row>
    <row r="153" spans="1:40" ht="15.75" thickBot="1" x14ac:dyDescent="0.3">
      <c r="A153" t="s">
        <v>134</v>
      </c>
      <c r="B153" s="9">
        <f t="shared" si="143"/>
        <v>-16.900416487452443</v>
      </c>
      <c r="C153">
        <f t="shared" si="143"/>
        <v>9.3475088954568921</v>
      </c>
      <c r="D153" s="9">
        <f t="shared" si="132"/>
        <v>-16.900416487452443</v>
      </c>
      <c r="E153">
        <f t="shared" si="132"/>
        <v>9.3475088954568921</v>
      </c>
      <c r="F153" s="4">
        <f t="shared" si="144"/>
        <v>5.5250000000000004</v>
      </c>
      <c r="G153" s="4">
        <f t="shared" si="145"/>
        <v>5.5250000000000004</v>
      </c>
      <c r="H153" s="4" t="str">
        <f t="shared" si="146"/>
        <v>V</v>
      </c>
      <c r="I153" s="4">
        <f t="shared" si="147"/>
        <v>0</v>
      </c>
      <c r="J153" s="4">
        <f t="shared" si="148"/>
        <v>-16.900416487452443</v>
      </c>
      <c r="K153" s="4">
        <f t="shared" si="149"/>
        <v>9.3475088954568921</v>
      </c>
      <c r="L153" s="4">
        <f t="shared" si="150"/>
        <v>-16.900416487452443</v>
      </c>
      <c r="M153" s="4">
        <f t="shared" si="151"/>
        <v>9.3475088954568921</v>
      </c>
      <c r="N153" s="4">
        <f t="shared" si="152"/>
        <v>5.5250000000000004</v>
      </c>
      <c r="O153" s="4">
        <f t="shared" si="153"/>
        <v>5.5250000000000004</v>
      </c>
      <c r="P153" s="22">
        <f t="shared" si="154"/>
        <v>0</v>
      </c>
      <c r="Q153" s="22">
        <f t="shared" si="155"/>
        <v>0</v>
      </c>
      <c r="R153" s="22">
        <f t="shared" si="156"/>
        <v>0</v>
      </c>
      <c r="U153">
        <f t="shared" si="115"/>
        <v>-16.900416487452443</v>
      </c>
      <c r="V153">
        <f t="shared" si="116"/>
        <v>9.3475088954568921</v>
      </c>
      <c r="W153" s="9" t="str">
        <f t="shared" si="157"/>
        <v/>
      </c>
      <c r="X153">
        <f t="shared" si="133"/>
        <v>-6.9999999999999991</v>
      </c>
      <c r="Y153">
        <f t="shared" si="134"/>
        <v>-18</v>
      </c>
      <c r="AA153" s="4">
        <f t="shared" si="135"/>
        <v>0</v>
      </c>
      <c r="AB153" s="4">
        <f t="shared" si="136"/>
        <v>0</v>
      </c>
      <c r="AD153">
        <f t="shared" si="137"/>
        <v>-16.900416487452443</v>
      </c>
      <c r="AE153">
        <f t="shared" si="138"/>
        <v>9.3475088954568921</v>
      </c>
      <c r="AF153" s="9" t="str">
        <f t="shared" si="158"/>
        <v xml:space="preserve">
-5.525 ksi</v>
      </c>
      <c r="AG153" t="e">
        <f t="shared" si="159"/>
        <v>#N/A</v>
      </c>
      <c r="AH153" t="e">
        <f t="shared" si="160"/>
        <v>#N/A</v>
      </c>
      <c r="AI153" t="str">
        <f t="shared" si="161"/>
        <v/>
      </c>
      <c r="AJ153" t="e">
        <f t="shared" si="139"/>
        <v>#N/A</v>
      </c>
      <c r="AK153" t="e">
        <f t="shared" si="140"/>
        <v>#N/A</v>
      </c>
      <c r="AM153" s="4" t="e">
        <f t="shared" si="141"/>
        <v>#N/A</v>
      </c>
      <c r="AN153" s="4" t="e">
        <f t="shared" si="142"/>
        <v>#N/A</v>
      </c>
    </row>
    <row r="154" spans="1:40" ht="15.75" thickTop="1" x14ac:dyDescent="0.25">
      <c r="P154" s="4">
        <f>SUM(P146:P153)</f>
        <v>0</v>
      </c>
      <c r="Q154" s="4">
        <f t="shared" ref="Q154:R154" si="162">SUM(Q146:Q153)</f>
        <v>0</v>
      </c>
      <c r="R154" s="4">
        <f t="shared" si="162"/>
        <v>0</v>
      </c>
      <c r="T154" t="str">
        <f>IF(D34=0,"",ROUND(P154,4)&amp;" kips")</f>
        <v/>
      </c>
    </row>
    <row r="156" spans="1:40" x14ac:dyDescent="0.25">
      <c r="O156" t="s">
        <v>96</v>
      </c>
      <c r="P156" s="1" t="e">
        <f>IF($D$34=0,NA(),-1*R154/P154)</f>
        <v>#N/A</v>
      </c>
    </row>
    <row r="157" spans="1:40" x14ac:dyDescent="0.25">
      <c r="O157" t="s">
        <v>97</v>
      </c>
      <c r="P157" s="1" t="e">
        <f>IF($D$34=0,NA(),Q154/P154)</f>
        <v>#N/A</v>
      </c>
    </row>
    <row r="158" spans="1:40" x14ac:dyDescent="0.25">
      <c r="A158" t="s">
        <v>108</v>
      </c>
      <c r="B158" s="9"/>
    </row>
    <row r="159" spans="1:40" x14ac:dyDescent="0.25">
      <c r="A159" s="1" t="s">
        <v>105</v>
      </c>
      <c r="B159" s="4">
        <f>P140+H122+P154-N122</f>
        <v>3.922195901395753E-12</v>
      </c>
      <c r="C159" t="s">
        <v>36</v>
      </c>
    </row>
    <row r="160" spans="1:40" x14ac:dyDescent="0.25">
      <c r="A160" s="1" t="s">
        <v>106</v>
      </c>
      <c r="B160" s="4">
        <f>Q140+I122+Q154-O122</f>
        <v>2699.789621973629</v>
      </c>
      <c r="C160" t="s">
        <v>102</v>
      </c>
    </row>
    <row r="161" spans="1:9" x14ac:dyDescent="0.25">
      <c r="A161" s="1" t="s">
        <v>107</v>
      </c>
      <c r="B161" s="4">
        <f>R140+J122+R154-P122</f>
        <v>2056.9725319224372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3.922195901395753E-12</v>
      </c>
      <c r="C164" t="s">
        <v>36</v>
      </c>
      <c r="E164" s="8">
        <f>B2-B164</f>
        <v>-3.922195901395753E-12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-2399.9999999999613</v>
      </c>
      <c r="C165" t="s">
        <v>102</v>
      </c>
      <c r="E165" s="8">
        <f>B3+B165</f>
        <v>3.865352482534945E-11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2400.0000000000205</v>
      </c>
      <c r="C166" t="s">
        <v>102</v>
      </c>
      <c r="E166" s="8">
        <f>B4+B166</f>
        <v>2.0463630789890885E-11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5.5250000000000004</v>
      </c>
      <c r="B169" s="1">
        <f ca="1">IF(E122=0,0,(MIN(H110:H121)*B65)/(B55*B56*E122))</f>
        <v>-15.389452323465239</v>
      </c>
      <c r="C169" s="3">
        <f ca="1">A169+B169</f>
        <v>-9.8644523234652386</v>
      </c>
    </row>
    <row r="173" spans="1:9" x14ac:dyDescent="0.25">
      <c r="A173" s="44" t="s">
        <v>152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2.529101852378573E-8</v>
      </c>
      <c r="C175" s="27">
        <f>B65*SQRT(I175)</f>
        <v>9.1759668609640895E-8</v>
      </c>
      <c r="D175" s="27">
        <f>B66*SQRT(I175)</f>
        <v>8.1948993282407074E-8</v>
      </c>
      <c r="E175" s="27">
        <f>IF(B67=0,SQRT(I175),B67*SQRT(I175))</f>
        <v>8.0230558002369209E-7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1.7051201463201833</v>
      </c>
      <c r="C176" s="3">
        <f>B65+C175</f>
        <v>6.1864356873889248</v>
      </c>
      <c r="D176" s="3">
        <f>D175+B66</f>
        <v>5.5250000819489937</v>
      </c>
      <c r="E176" s="3">
        <f>B67+E175</f>
        <v>54.091431972852064</v>
      </c>
      <c r="F176" s="16" t="s">
        <v>125</v>
      </c>
    </row>
    <row r="177" spans="1:14" x14ac:dyDescent="0.25">
      <c r="B177" s="27">
        <f>B176-B64</f>
        <v>2.5291018612705329E-8</v>
      </c>
      <c r="C177" s="27">
        <f>C176-B65</f>
        <v>9.1759668308100117E-8</v>
      </c>
      <c r="D177" s="27">
        <f>D176-B66</f>
        <v>8.1948993368996526E-8</v>
      </c>
      <c r="E177" s="27">
        <f>E176-B67</f>
        <v>8.0230557841787231E-7</v>
      </c>
      <c r="F177" s="16" t="s">
        <v>123</v>
      </c>
    </row>
    <row r="178" spans="1:14" x14ac:dyDescent="0.25">
      <c r="B178" t="b">
        <f>B177=B175</f>
        <v>0</v>
      </c>
      <c r="C178" t="b">
        <f t="shared" ref="C178:D178" si="163">C177=C175</f>
        <v>0</v>
      </c>
      <c r="D178" t="b">
        <f t="shared" si="163"/>
        <v>0</v>
      </c>
      <c r="E178" t="b">
        <f>E177=E175</f>
        <v>0</v>
      </c>
      <c r="F178" s="16" t="s">
        <v>124</v>
      </c>
      <c r="G178" t="s">
        <v>211</v>
      </c>
    </row>
    <row r="179" spans="1:14" x14ac:dyDescent="0.25">
      <c r="C179" s="29"/>
    </row>
    <row r="180" spans="1:14" x14ac:dyDescent="0.25">
      <c r="A180" s="25">
        <f>(d_sigma_p!E164-d_sigma_m!E164)/(2*'Rigid Bearing Plate Analysis'!D177)</f>
        <v>-47.54664128739266</v>
      </c>
      <c r="B180" s="25">
        <f>(d_sigma_p!E165-d_sigma_m!E165)/(2*'Rigid Bearing Plate Analysis'!D177)</f>
        <v>-320.68522305701782</v>
      </c>
      <c r="C180" s="25">
        <f>(d_sigma_p!E166-d_sigma_m!E166)/(2*'Rigid Bearing Plate Analysis'!D177)</f>
        <v>257.99365463236421</v>
      </c>
      <c r="D180" s="25">
        <f ca="1">(d_sigma_p!C169-d_sigma_m!C169)/(2*D177)</f>
        <v>1</v>
      </c>
    </row>
    <row r="181" spans="1:14" x14ac:dyDescent="0.25">
      <c r="A181" s="25">
        <f>(d_alpha_p!E164-d_alpha_m!E164)/(2*B177)</f>
        <v>1715.3145084668633</v>
      </c>
      <c r="B181" s="25">
        <f>(d_alpha_p!E165-d_alpha_m!E165)/(2*B177)</f>
        <v>-10803.604346532893</v>
      </c>
      <c r="C181" s="25">
        <f>(d_alpha_p!E166-d_alpha_m!E166)/(2*B177)</f>
        <v>-11343.335886190333</v>
      </c>
      <c r="D181" s="25">
        <f ca="1">(d_alpha_p!C169-d_alpha_m!C169)/(2*B177)</f>
        <v>52.618223594951047</v>
      </c>
    </row>
    <row r="182" spans="1:14" x14ac:dyDescent="0.25">
      <c r="A182" s="25">
        <f>(d_Y_p!E164-d_Y_m!E164)/(2*C177)</f>
        <v>-98.654440527751021</v>
      </c>
      <c r="B182" s="25">
        <f>(d_Y_p!E165-d_Y_m!E165)/(2*C177)</f>
        <v>-109.48903727751346</v>
      </c>
      <c r="C182" s="25">
        <f>(d_Y_p!E166-d_Y_m!E166)/(2*C177)</f>
        <v>373.9645356508808</v>
      </c>
      <c r="D182" s="25">
        <f ca="1">(d_Y_p!C169-d_Y_m!C169)/(2*C177)</f>
        <v>-4.1724942422580442</v>
      </c>
    </row>
    <row r="183" spans="1:14" x14ac:dyDescent="0.25">
      <c r="A183" s="25">
        <f>(d_T_p!E164-d_T_m!E164)/(2*E177)</f>
        <v>4.8565029290488111</v>
      </c>
      <c r="B183" s="25">
        <f>(d_T_p!E165-d_T_m!E165)/(2*E177)</f>
        <v>-11.613931082279692</v>
      </c>
      <c r="C183" s="25">
        <f>(d_T_p!E166-d_T_m!E166)/(2*E177)</f>
        <v>18.01736521426589</v>
      </c>
      <c r="D183" s="25">
        <f ca="1">(d_T_p!C169-d_T_m!C169)/(2*E177)</f>
        <v>-0.28450813749543108</v>
      </c>
    </row>
    <row r="184" spans="1:14" x14ac:dyDescent="0.25">
      <c r="A184" s="25"/>
      <c r="B184" s="25"/>
      <c r="C184" s="25"/>
      <c r="D184" s="25"/>
    </row>
    <row r="185" spans="1:14" x14ac:dyDescent="0.25">
      <c r="A185" s="25">
        <f t="array" aca="1" ref="A185:D188" ca="1">MINVERSE(A180:D183)</f>
        <v>9.1932147148669047E-4</v>
      </c>
      <c r="B185" s="25">
        <f ca="1"/>
        <v>-5.8298743818483359E-5</v>
      </c>
      <c r="C185" s="25">
        <f ca="1"/>
        <v>-6.9484010666245495E-3</v>
      </c>
      <c r="D185" s="25">
        <f ca="1"/>
        <v>9.4351988711615126E-2</v>
      </c>
      <c r="F185" s="8">
        <f>-1*E164</f>
        <v>3.922195901395753E-12</v>
      </c>
      <c r="H185">
        <f t="array" aca="1" ref="H185:H188" ca="1">MMULT(A185:D188,F185:F188)</f>
        <v>0.93073069427000588</v>
      </c>
      <c r="J185" s="8">
        <f ca="1">$B$66+H185</f>
        <v>6.4557306942700059</v>
      </c>
      <c r="K185" s="11" t="s">
        <v>115</v>
      </c>
      <c r="L185" s="8">
        <f ca="1">J186</f>
        <v>1.6612514648312517</v>
      </c>
      <c r="M185" s="11" t="s">
        <v>116</v>
      </c>
      <c r="N185" t="s">
        <v>143</v>
      </c>
    </row>
    <row r="186" spans="1:14" x14ac:dyDescent="0.25">
      <c r="A186" s="25">
        <f ca="1"/>
        <v>-1.0575080905703333E-3</v>
      </c>
      <c r="B186" s="25">
        <f ca="1"/>
        <v>-5.0447961646482253E-5</v>
      </c>
      <c r="C186" s="25">
        <f ca="1"/>
        <v>-5.863977154896004E-4</v>
      </c>
      <c r="D186" s="25">
        <f ca="1"/>
        <v>-4.4471456457414746E-3</v>
      </c>
      <c r="F186" s="8">
        <f>-1*E165</f>
        <v>-3.865352482534945E-11</v>
      </c>
      <c r="H186">
        <f ca="1"/>
        <v>-4.3868656197913004E-2</v>
      </c>
      <c r="J186" s="8">
        <f ca="1">$B$64+H186</f>
        <v>1.6612514648312517</v>
      </c>
      <c r="K186" s="11" t="s">
        <v>116</v>
      </c>
      <c r="L186" s="8">
        <f ca="1">J187</f>
        <v>6.3332630800406884</v>
      </c>
      <c r="M186" s="1" t="s">
        <v>117</v>
      </c>
    </row>
    <row r="187" spans="1:14" x14ac:dyDescent="0.25">
      <c r="A187" s="25">
        <f ca="1"/>
        <v>2.0095810550804206E-3</v>
      </c>
      <c r="B187" s="25">
        <f ca="1"/>
        <v>-6.228652518407023E-5</v>
      </c>
      <c r="C187" s="25">
        <f ca="1"/>
        <v>-1.3187766286597597E-3</v>
      </c>
      <c r="D187" s="25">
        <f ca="1"/>
        <v>1.4884504440467169E-2</v>
      </c>
      <c r="F187" s="8">
        <f>-1*E166</f>
        <v>-2.0463630789890885E-11</v>
      </c>
      <c r="H187">
        <f ca="1"/>
        <v>0.14682748441143231</v>
      </c>
      <c r="J187" s="8">
        <f ca="1">$B$65+H187</f>
        <v>6.3332630800406884</v>
      </c>
      <c r="K187" s="1" t="s">
        <v>117</v>
      </c>
      <c r="L187" s="8">
        <f ca="1">J185</f>
        <v>6.4557306942700059</v>
      </c>
      <c r="M187" s="11" t="s">
        <v>115</v>
      </c>
    </row>
    <row r="188" spans="1:14" x14ac:dyDescent="0.25">
      <c r="A188" s="25">
        <f ca="1"/>
        <v>0.18612426964326709</v>
      </c>
      <c r="B188" s="25">
        <f ca="1"/>
        <v>-2.8802970266280001E-3</v>
      </c>
      <c r="C188" s="25">
        <f ca="1"/>
        <v>-0.1781862131559625</v>
      </c>
      <c r="D188" s="25">
        <f ca="1"/>
        <v>-0.78012142933614292</v>
      </c>
      <c r="F188">
        <f ca="1">-1*C169</f>
        <v>9.8644523234652386</v>
      </c>
      <c r="H188">
        <f ca="1"/>
        <v>-7.6954706461954503</v>
      </c>
      <c r="J188" s="8">
        <f ca="1">$B$67+H188</f>
        <v>46.395960524351032</v>
      </c>
      <c r="K188" s="1" t="s">
        <v>118</v>
      </c>
      <c r="L188" s="8">
        <f ca="1">J188</f>
        <v>46.395960524351032</v>
      </c>
      <c r="M188" s="1" t="s">
        <v>118</v>
      </c>
    </row>
    <row r="189" spans="1:14" x14ac:dyDescent="0.25">
      <c r="A189" s="25"/>
      <c r="B189" s="25"/>
      <c r="C189" s="25"/>
      <c r="D189" s="25"/>
    </row>
    <row r="190" spans="1:14" x14ac:dyDescent="0.25">
      <c r="A190" s="25">
        <f>A180</f>
        <v>-47.54664128739266</v>
      </c>
      <c r="B190" s="25">
        <f>A181</f>
        <v>1715.3145084668633</v>
      </c>
      <c r="C190" s="25">
        <f>A182</f>
        <v>-98.654440527751021</v>
      </c>
      <c r="D190" s="25">
        <f>A183</f>
        <v>4.8565029290488111</v>
      </c>
      <c r="F190" t="s">
        <v>119</v>
      </c>
    </row>
    <row r="191" spans="1:14" x14ac:dyDescent="0.25">
      <c r="A191" s="25">
        <f>B180</f>
        <v>-320.68522305701782</v>
      </c>
      <c r="B191" s="25">
        <f>B181</f>
        <v>-10803.604346532893</v>
      </c>
      <c r="C191" s="25">
        <f>B182</f>
        <v>-109.48903727751346</v>
      </c>
      <c r="D191" s="25">
        <f>B183</f>
        <v>-11.613931082279692</v>
      </c>
      <c r="F191" t="s">
        <v>120</v>
      </c>
    </row>
    <row r="192" spans="1:14" x14ac:dyDescent="0.25">
      <c r="A192" s="25">
        <f>C180</f>
        <v>257.99365463236421</v>
      </c>
      <c r="B192" s="25">
        <f>C181</f>
        <v>-11343.335886190333</v>
      </c>
      <c r="C192" s="25">
        <f>C182</f>
        <v>373.9645356508808</v>
      </c>
      <c r="D192" s="25">
        <f>C183</f>
        <v>18.01736521426589</v>
      </c>
      <c r="F192" t="s">
        <v>121</v>
      </c>
    </row>
    <row r="193" spans="1:14" x14ac:dyDescent="0.25">
      <c r="A193" s="25">
        <f ca="1">D180</f>
        <v>1</v>
      </c>
      <c r="B193" s="25">
        <f ca="1">D181</f>
        <v>52.618223594951047</v>
      </c>
      <c r="C193" s="25">
        <f ca="1">D182</f>
        <v>-4.1724942422580442</v>
      </c>
      <c r="D193" s="25">
        <f ca="1">D183</f>
        <v>-0.28450813749543108</v>
      </c>
    </row>
    <row r="194" spans="1:14" ht="15.75" thickBot="1" x14ac:dyDescent="0.3">
      <c r="A194" s="25"/>
      <c r="B194" s="25"/>
      <c r="C194" s="25"/>
      <c r="D194" s="25"/>
    </row>
    <row r="195" spans="1:14" x14ac:dyDescent="0.25">
      <c r="A195" s="25">
        <f t="array" aca="1" ref="A195:D198" ca="1">MINVERSE(A190:D193)</f>
        <v>9.1932147148669047E-4</v>
      </c>
      <c r="B195" s="25">
        <f ca="1"/>
        <v>-1.0575080905703338E-3</v>
      </c>
      <c r="C195" s="25">
        <f ca="1"/>
        <v>2.0095810550804197E-3</v>
      </c>
      <c r="D195" s="25">
        <f ca="1"/>
        <v>0.18612426964326712</v>
      </c>
      <c r="H195">
        <f t="array" aca="1" ref="H195:H198" ca="1">MMULT(A195:D198,F185:F188)</f>
        <v>1.8360139841358003</v>
      </c>
      <c r="J195" s="8">
        <f ca="1">$B$66+H195</f>
        <v>7.3610139841358002</v>
      </c>
      <c r="K195" s="11" t="s">
        <v>115</v>
      </c>
      <c r="L195" s="36">
        <f ca="1">J196</f>
        <v>1.6767075683325772</v>
      </c>
      <c r="M195" s="37" t="s">
        <v>116</v>
      </c>
      <c r="N195" t="s">
        <v>146</v>
      </c>
    </row>
    <row r="196" spans="1:14" x14ac:dyDescent="0.25">
      <c r="A196" s="25">
        <f ca="1"/>
        <v>-5.8298743818483379E-5</v>
      </c>
      <c r="B196" s="25">
        <f ca="1"/>
        <v>-5.0447961646482246E-5</v>
      </c>
      <c r="C196" s="25">
        <f ca="1"/>
        <v>-6.2286525184070216E-5</v>
      </c>
      <c r="D196" s="25">
        <f ca="1"/>
        <v>-2.8802970266279993E-3</v>
      </c>
      <c r="H196">
        <f ca="1"/>
        <v>-2.8412552696587587E-2</v>
      </c>
      <c r="J196" s="8">
        <f ca="1">$B$64+H196</f>
        <v>1.6767075683325772</v>
      </c>
      <c r="K196" s="11" t="s">
        <v>116</v>
      </c>
      <c r="L196" s="38">
        <f ca="1">J197</f>
        <v>4.4287261912534728</v>
      </c>
      <c r="M196" s="39" t="s">
        <v>117</v>
      </c>
    </row>
    <row r="197" spans="1:14" x14ac:dyDescent="0.25">
      <c r="A197" s="25">
        <f ca="1"/>
        <v>-6.948401066624553E-3</v>
      </c>
      <c r="B197" s="25">
        <f ca="1"/>
        <v>-5.8639771548960019E-4</v>
      </c>
      <c r="C197" s="25">
        <f ca="1"/>
        <v>-1.3187766286597597E-3</v>
      </c>
      <c r="D197" s="25">
        <f ca="1"/>
        <v>-0.1781862131559625</v>
      </c>
      <c r="H197">
        <f ca="1"/>
        <v>-1.7577094043757842</v>
      </c>
      <c r="J197" s="8">
        <f ca="1">$B$65+H197</f>
        <v>4.4287261912534728</v>
      </c>
      <c r="K197" s="1" t="s">
        <v>117</v>
      </c>
      <c r="L197" s="38">
        <f ca="1">J195</f>
        <v>7.3610139841358002</v>
      </c>
      <c r="M197" s="43" t="s">
        <v>115</v>
      </c>
    </row>
    <row r="198" spans="1:14" ht="15.75" thickBot="1" x14ac:dyDescent="0.3">
      <c r="A198" s="25">
        <f ca="1"/>
        <v>9.4351988711615126E-2</v>
      </c>
      <c r="B198" s="25">
        <f ca="1"/>
        <v>-4.4471456457414746E-3</v>
      </c>
      <c r="C198" s="25">
        <f ca="1"/>
        <v>1.4884504440467171E-2</v>
      </c>
      <c r="D198" s="25">
        <f ca="1"/>
        <v>-0.78012142933614292</v>
      </c>
      <c r="H198">
        <f ca="1"/>
        <v>-7.6954706461997011</v>
      </c>
      <c r="J198" s="8">
        <f ca="1">$B$67+H198</f>
        <v>46.395960524346783</v>
      </c>
      <c r="K198" s="1" t="s">
        <v>118</v>
      </c>
      <c r="L198" s="41">
        <f ca="1">J198</f>
        <v>46.395960524346783</v>
      </c>
      <c r="M198" s="42" t="s">
        <v>118</v>
      </c>
    </row>
    <row r="199" spans="1:14" x14ac:dyDescent="0.25">
      <c r="A199" s="25"/>
      <c r="B199" s="25"/>
      <c r="C199" s="25"/>
      <c r="D199" s="25"/>
      <c r="J199" s="8"/>
      <c r="K199" s="1"/>
      <c r="L199" s="8"/>
      <c r="M199" s="1"/>
    </row>
    <row r="200" spans="1:14" x14ac:dyDescent="0.25">
      <c r="A200" s="25"/>
      <c r="B200" s="25"/>
      <c r="C200" s="25"/>
      <c r="D200" s="25"/>
    </row>
    <row r="201" spans="1:14" x14ac:dyDescent="0.25">
      <c r="A201" s="25">
        <f>A190</f>
        <v>-47.54664128739266</v>
      </c>
      <c r="B201" s="25">
        <f t="shared" ref="B201:C201" si="164">B190</f>
        <v>1715.3145084668633</v>
      </c>
      <c r="C201" s="25">
        <f t="shared" si="164"/>
        <v>-98.654440527751021</v>
      </c>
      <c r="D201" s="25"/>
    </row>
    <row r="202" spans="1:14" x14ac:dyDescent="0.25">
      <c r="A202" s="25">
        <f t="shared" ref="A202:C202" si="165">A191</f>
        <v>-320.68522305701782</v>
      </c>
      <c r="B202" s="25">
        <f t="shared" si="165"/>
        <v>-10803.604346532893</v>
      </c>
      <c r="C202" s="25">
        <f t="shared" si="165"/>
        <v>-109.48903727751346</v>
      </c>
      <c r="D202" s="25"/>
    </row>
    <row r="203" spans="1:14" x14ac:dyDescent="0.25">
      <c r="A203" s="25">
        <f t="shared" ref="A203:C203" si="166">A192</f>
        <v>257.99365463236421</v>
      </c>
      <c r="B203" s="25">
        <f t="shared" si="166"/>
        <v>-11343.335886190333</v>
      </c>
      <c r="C203" s="25">
        <f t="shared" si="166"/>
        <v>373.9645356508808</v>
      </c>
      <c r="D203" s="25"/>
    </row>
    <row r="204" spans="1:14" x14ac:dyDescent="0.25">
      <c r="A204" s="25"/>
      <c r="B204" s="25"/>
      <c r="C204" s="25"/>
      <c r="D204" s="25"/>
      <c r="J204" s="8"/>
      <c r="K204" s="11"/>
      <c r="L204" s="8"/>
      <c r="M204" s="11"/>
    </row>
    <row r="205" spans="1:14" x14ac:dyDescent="0.25">
      <c r="A205" s="25">
        <f t="array" ref="A205:C207">MINVERSE(A201:C203)</f>
        <v>2.3430169562511614E-2</v>
      </c>
      <c r="B205" s="25">
        <v>-2.1185246249004193E-3</v>
      </c>
      <c r="C205" s="25">
        <v>5.5607814372329884E-3</v>
      </c>
      <c r="D205" s="25"/>
      <c r="H205">
        <f t="array" ref="H205:H207">MMULT(A205:C207,F185:F187)</f>
        <v>5.9992380973978393E-14</v>
      </c>
      <c r="J205" s="8">
        <f>$B$66+H205</f>
        <v>5.5250000000000608</v>
      </c>
      <c r="K205" s="11" t="s">
        <v>115</v>
      </c>
      <c r="L205" s="8">
        <f>J206</f>
        <v>1.7051201210291669</v>
      </c>
      <c r="M205" s="11" t="s">
        <v>116</v>
      </c>
      <c r="N205" t="s">
        <v>145</v>
      </c>
    </row>
    <row r="206" spans="1:14" x14ac:dyDescent="0.25">
      <c r="A206" s="25">
        <v>-4.06657015137557E-4</v>
      </c>
      <c r="B206" s="25">
        <v>-3.4028594226578229E-5</v>
      </c>
      <c r="C206" s="25">
        <v>-1.1724180813174068E-4</v>
      </c>
      <c r="D206" s="25"/>
      <c r="H206">
        <v>2.1195297084095957E-15</v>
      </c>
      <c r="J206" s="8">
        <f>$B$64+H206</f>
        <v>1.7051201210291669</v>
      </c>
      <c r="K206" s="11" t="s">
        <v>116</v>
      </c>
      <c r="L206" s="8">
        <f>J207</f>
        <v>6.1864355956292245</v>
      </c>
      <c r="M206" s="1" t="s">
        <v>117</v>
      </c>
      <c r="N206" t="s">
        <v>147</v>
      </c>
    </row>
    <row r="207" spans="1:14" x14ac:dyDescent="0.25">
      <c r="A207" s="25">
        <v>-2.8499178855876484E-2</v>
      </c>
      <c r="B207" s="25">
        <v>4.2936728232878247E-4</v>
      </c>
      <c r="C207" s="25">
        <v>-4.7185210546100862E-3</v>
      </c>
      <c r="D207" s="25"/>
      <c r="H207">
        <v>-3.1817848672484288E-14</v>
      </c>
      <c r="J207" s="8">
        <f>$B$65+H207</f>
        <v>6.1864355956292245</v>
      </c>
      <c r="K207" s="1" t="s">
        <v>117</v>
      </c>
      <c r="L207" s="8">
        <f>J205</f>
        <v>5.5250000000000608</v>
      </c>
      <c r="M207" s="11" t="s">
        <v>115</v>
      </c>
    </row>
    <row r="208" spans="1:14" x14ac:dyDescent="0.25">
      <c r="A208" s="25"/>
      <c r="B208" s="25"/>
      <c r="C208" s="25"/>
      <c r="D208" s="25"/>
    </row>
    <row r="210" spans="1:14" x14ac:dyDescent="0.25">
      <c r="A210" t="s">
        <v>142</v>
      </c>
    </row>
    <row r="212" spans="1:14" x14ac:dyDescent="0.25">
      <c r="A212" s="25">
        <f>A181</f>
        <v>1715.3145084668633</v>
      </c>
      <c r="B212" s="25">
        <f>A182</f>
        <v>-98.654440527751021</v>
      </c>
      <c r="C212" s="25">
        <f>A183</f>
        <v>4.8565029290488111</v>
      </c>
    </row>
    <row r="213" spans="1:14" x14ac:dyDescent="0.25">
      <c r="A213" s="25">
        <f>B181</f>
        <v>-10803.604346532893</v>
      </c>
      <c r="B213" s="25">
        <f>B182</f>
        <v>-109.48903727751346</v>
      </c>
      <c r="C213" s="25">
        <f>B183</f>
        <v>-11.613931082279692</v>
      </c>
    </row>
    <row r="214" spans="1:14" x14ac:dyDescent="0.25">
      <c r="A214" s="25">
        <f>C181</f>
        <v>-11343.335886190333</v>
      </c>
      <c r="B214" s="25">
        <f>C182</f>
        <v>373.9645356508808</v>
      </c>
      <c r="C214" s="25">
        <f>C183</f>
        <v>18.01736521426589</v>
      </c>
    </row>
    <row r="215" spans="1:14" ht="15.75" thickBot="1" x14ac:dyDescent="0.3"/>
    <row r="216" spans="1:14" x14ac:dyDescent="0.25">
      <c r="A216">
        <f t="array" ref="A216:C218">MINVERSE(A212:C214)</f>
        <v>-4.4072125732010917E-5</v>
      </c>
      <c r="B216">
        <v>-6.6813035447672953E-5</v>
      </c>
      <c r="C216">
        <v>-3.1187999726804729E-5</v>
      </c>
      <c r="H216" cm="1">
        <f t="array" ref="H216:H218">MMULT(A216:C218,F185:F187)</f>
        <v>3.0479195249062377E-15</v>
      </c>
      <c r="J216" s="8">
        <f>$B$64+H216</f>
        <v>1.7051201210291678</v>
      </c>
      <c r="K216" s="11" t="s">
        <v>116</v>
      </c>
      <c r="L216" s="36">
        <f>J216</f>
        <v>1.7051201210291678</v>
      </c>
      <c r="M216" s="37" t="s">
        <v>116</v>
      </c>
      <c r="N216" t="s">
        <v>144</v>
      </c>
    </row>
    <row r="217" spans="1:14" x14ac:dyDescent="0.25">
      <c r="A217">
        <v>-6.0682879465508224E-3</v>
      </c>
      <c r="B217">
        <v>-1.5988039019674779E-3</v>
      </c>
      <c r="C217">
        <v>6.0509734500876176E-4</v>
      </c>
      <c r="H217">
        <v>2.5615903542912056E-14</v>
      </c>
      <c r="J217" s="8">
        <f>$B$65+H217</f>
        <v>6.1864355956292822</v>
      </c>
      <c r="K217" s="1" t="s">
        <v>117</v>
      </c>
      <c r="L217" s="38">
        <f>J217</f>
        <v>6.1864355956292822</v>
      </c>
      <c r="M217" s="39" t="s">
        <v>117</v>
      </c>
    </row>
    <row r="218" spans="1:14" x14ac:dyDescent="0.25">
      <c r="A218">
        <v>9.8205233544920237E-2</v>
      </c>
      <c r="B218">
        <v>-8.8795859971876421E-3</v>
      </c>
      <c r="C218">
        <v>2.3307464262208415E-2</v>
      </c>
      <c r="H218">
        <v>2.5145211897620715E-13</v>
      </c>
      <c r="J218" s="8">
        <f>$B$67+H218</f>
        <v>54.091431170546734</v>
      </c>
      <c r="K218" s="1" t="s">
        <v>118</v>
      </c>
      <c r="L218" s="38">
        <f>B66</f>
        <v>5.5250000000000004</v>
      </c>
      <c r="M218" s="40"/>
    </row>
    <row r="219" spans="1:14" ht="15.75" thickBot="1" x14ac:dyDescent="0.3">
      <c r="L219" s="41">
        <f>J218</f>
        <v>54.091431170546734</v>
      </c>
      <c r="M219" s="42" t="s">
        <v>118</v>
      </c>
    </row>
  </sheetData>
  <conditionalFormatting sqref="M57">
    <cfRule type="cellIs" dxfId="2" priority="1" operator="equal">
      <formula>"SOLUTION IF STRAIN IGNORED"</formula>
    </cfRule>
    <cfRule type="expression" dxfId="1" priority="2">
      <formula>IF($M$59=FALSE,TRUE,FALSE)</formula>
    </cfRule>
    <cfRule type="expression" dxfId="0" priority="3">
      <formula>IF($M$59=TRUE,TRUE,FALSE)</formula>
    </cfRule>
  </conditionalFormatting>
  <dataValidations count="4">
    <dataValidation type="list" allowBlank="1" showInputMessage="1" showErrorMessage="1" sqref="E60 D37:D48" xr:uid="{47951CFB-A141-4FCA-9418-7669F8E7408B}">
      <formula1>"y,n"</formula1>
    </dataValidation>
    <dataValidation type="list" allowBlank="1" showInputMessage="1" showErrorMessage="1" sqref="E54" xr:uid="{57020288-50EC-48B0-84B0-C0AE106663F3}">
      <formula1>"0.25,0.375,0.5,0.625,0.75,0.875,1,1.125,1.25,1.375,1.5,1.75,2,2.25,2.5,2.75,3,3.25,3.5,3.75,4"</formula1>
    </dataValidation>
    <dataValidation type="list" allowBlank="1" showInputMessage="1" showErrorMessage="1" sqref="E57" xr:uid="{0B59E285-ECB5-4538-AD17-18940424787F}">
      <formula1>"STD, OVER"</formula1>
    </dataValidation>
    <dataValidation type="list" allowBlank="1" showInputMessage="1" showErrorMessage="1" sqref="B50" xr:uid="{1B706071-9D59-496C-B0AF-ED5ADDDBFD5A}">
      <formula1>"Density, Simple"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xt_iteration_CompressionTension">
                <anchor moveWithCells="1" sizeWithCells="1">
                  <from>
                    <xdr:col>10</xdr:col>
                    <xdr:colOff>123825</xdr:colOff>
                    <xdr:row>63</xdr:row>
                    <xdr:rowOff>47625</xdr:rowOff>
                  </from>
                  <to>
                    <xdr:col>12</xdr:col>
                    <xdr:colOff>276225</xdr:colOff>
                    <xdr:row>67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next_iteration_AllCompression">
                <anchor moveWithCells="1" sizeWithCells="1">
                  <from>
                    <xdr:col>17</xdr:col>
                    <xdr:colOff>123825</xdr:colOff>
                    <xdr:row>63</xdr:row>
                    <xdr:rowOff>38100</xdr:rowOff>
                  </from>
                  <to>
                    <xdr:col>19</xdr:col>
                    <xdr:colOff>457200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ndSolution">
                <anchor moveWithCells="1" sizeWithCells="1">
                  <from>
                    <xdr:col>15</xdr:col>
                    <xdr:colOff>123825</xdr:colOff>
                    <xdr:row>54</xdr:row>
                    <xdr:rowOff>38100</xdr:rowOff>
                  </from>
                  <to>
                    <xdr:col>17</xdr:col>
                    <xdr:colOff>419100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VariableStressandTension">
                <anchor moveWithCells="1" sizeWithCells="1">
                  <from>
                    <xdr:col>15</xdr:col>
                    <xdr:colOff>104775</xdr:colOff>
                    <xdr:row>56</xdr:row>
                    <xdr:rowOff>142875</xdr:rowOff>
                  </from>
                  <to>
                    <xdr:col>17</xdr:col>
                    <xdr:colOff>400050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VariableCompressionStressOnly">
                <anchor moveWithCells="1" sizeWithCells="1">
                  <from>
                    <xdr:col>17</xdr:col>
                    <xdr:colOff>533400</xdr:colOff>
                    <xdr:row>56</xdr:row>
                    <xdr:rowOff>114300</xdr:rowOff>
                  </from>
                  <to>
                    <xdr:col>20</xdr:col>
                    <xdr:colOff>609600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stantStressandTensionExists">
                <anchor moveWithCells="1" sizeWithCells="1">
                  <from>
                    <xdr:col>21</xdr:col>
                    <xdr:colOff>38100</xdr:colOff>
                    <xdr:row>54</xdr:row>
                    <xdr:rowOff>114300</xdr:rowOff>
                  </from>
                  <to>
                    <xdr:col>23</xdr:col>
                    <xdr:colOff>304800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next_iteration_MaxComp_NoStrainCompat">
                <anchor moveWithCells="1" sizeWithCells="1">
                  <from>
                    <xdr:col>20</xdr:col>
                    <xdr:colOff>695325</xdr:colOff>
                    <xdr:row>62</xdr:row>
                    <xdr:rowOff>161925</xdr:rowOff>
                  </from>
                  <to>
                    <xdr:col>22</xdr:col>
                    <xdr:colOff>619125</xdr:colOff>
                    <xdr:row>66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9BF66-934F-45FE-8DCB-9C702ACE00AD}">
  <sheetPr codeName="Sheet2"/>
  <dimension ref="A1:AC208"/>
  <sheetViews>
    <sheetView topLeftCell="A43" workbookViewId="0">
      <selection activeCell="C172" sqref="C172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tr">
        <f>'Rigid Bearing Plate Analysis'!A1</f>
        <v>Load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2400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0.79365079365079361</v>
      </c>
      <c r="J3" t="s">
        <v>11</v>
      </c>
    </row>
    <row r="4" spans="1:29" x14ac:dyDescent="0.25">
      <c r="A4" s="10" t="s">
        <v>80</v>
      </c>
      <c r="B4" s="17">
        <f>'Rigid Bearing Plate Analysis'!B4</f>
        <v>-2400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-2.0408163265306123</v>
      </c>
      <c r="J4" t="s">
        <v>11</v>
      </c>
    </row>
    <row r="5" spans="1:29" x14ac:dyDescent="0.25">
      <c r="A5" s="10" t="s">
        <v>104</v>
      </c>
      <c r="B5" s="20">
        <f>ATAN2(B3,B4)</f>
        <v>-0.78539816339744828</v>
      </c>
      <c r="C5" t="s">
        <v>19</v>
      </c>
      <c r="I5">
        <f>SUM(I2:I4)</f>
        <v>-1.2471655328798188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18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20.784609690826528</v>
      </c>
      <c r="L13" s="4">
        <f>SQRT(H22/D22)</f>
        <v>8.0829037686547611</v>
      </c>
      <c r="M13" s="4">
        <f>SQRT(J22/D22)</f>
        <v>22.300971578236975</v>
      </c>
      <c r="N13" s="19">
        <f>G22-(D22*C9*C9)</f>
        <v>54432</v>
      </c>
      <c r="O13" s="19">
        <f>H22-(D22*B9*B9)</f>
        <v>8232</v>
      </c>
      <c r="P13" s="19">
        <f>I22-(D22*B9*C9)</f>
        <v>0</v>
      </c>
      <c r="Q13" s="19">
        <f>N13+O13</f>
        <v>62664</v>
      </c>
      <c r="R13" s="19">
        <f>SQRT(ABS(N13/D22))</f>
        <v>10.392304845413264</v>
      </c>
      <c r="S13" s="19">
        <f>SQRT(O13/D22)</f>
        <v>4.0414518843273806</v>
      </c>
      <c r="T13" s="19">
        <f>SQRT(Q13/D22)</f>
        <v>11.150485789118488</v>
      </c>
      <c r="U13" s="19">
        <f>N13/(MAX(C13:C20)-C9)</f>
        <v>3024</v>
      </c>
      <c r="V13" s="19">
        <f>N13/(MIN(C13:C20)-C9)</f>
        <v>-3024</v>
      </c>
      <c r="W13" s="19">
        <f>O13/(MIN(B13:B20)-B9)</f>
        <v>-1176</v>
      </c>
      <c r="X13" s="19">
        <f>O13/(MAX(B13:B20)-B9)</f>
        <v>1176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-1.1999050379822342</v>
      </c>
      <c r="Y14" s="1">
        <f>$N$13/(C14-$C$9)</f>
        <v>-3024</v>
      </c>
      <c r="Z14">
        <f>$O$13/(B14-$B$9)</f>
        <v>1176</v>
      </c>
      <c r="AA14">
        <f>$B$3/Y14</f>
        <v>-0.79365079365079361</v>
      </c>
      <c r="AB14">
        <f>$B$4/Z14</f>
        <v>-2.0408163265306123</v>
      </c>
      <c r="AC14">
        <f>$I$2+AA14+AB14</f>
        <v>-2.8344671201814058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36</v>
      </c>
      <c r="D15" s="5">
        <f t="shared" ref="D15:D21" si="0">((B14*C15)-(B15*C14))*0.5</f>
        <v>252</v>
      </c>
      <c r="E15" s="5">
        <f t="shared" ref="E15:E21" si="1">(B15+B14)*((B14*C15)-(B15*C14))*(1/6)</f>
        <v>2352</v>
      </c>
      <c r="F15" s="5">
        <f t="shared" ref="F15:F21" si="2">(C15+C14)*((B14*C15)-(B15*C14))*(1/6)</f>
        <v>3024</v>
      </c>
      <c r="G15" s="5">
        <f t="shared" ref="G15:G21" si="3">(((C14*C14)+(C14*C15)+(C15*C15))*((B14*C15)-(B15*C14)))/12</f>
        <v>54432</v>
      </c>
      <c r="H15" s="5">
        <f t="shared" ref="H15:H21" si="4">(((B14*B14)+(B14*B15)+(B15*B15))*((B14*C15)-(B15*C14)))/12</f>
        <v>24696</v>
      </c>
      <c r="I15" s="5">
        <f t="shared" ref="I15:I21" si="5">(((B14*C15)+(2*B14*C14)+(2*B15*C15)+(B15*C14))*((B14*C15)-(B15*C14)))/24</f>
        <v>31752</v>
      </c>
      <c r="J15" s="5">
        <f t="shared" ref="J15:J21" si="6">G15+H15</f>
        <v>79128</v>
      </c>
      <c r="K15">
        <f t="shared" ref="K15:K21" si="7">ATAN2((B15-$E$22),(C15-$F$22))</f>
        <v>1.1999050379822342</v>
      </c>
      <c r="N15" t="s">
        <v>136</v>
      </c>
      <c r="O15">
        <v>4</v>
      </c>
      <c r="Y15" s="1">
        <f t="shared" ref="Y15:Y20" si="8">$N$13/(C15-$C$9)</f>
        <v>3024</v>
      </c>
      <c r="Z15">
        <f t="shared" ref="Z15:Z21" si="9">$O$13/(B15-$B$9)</f>
        <v>1176</v>
      </c>
      <c r="AA15">
        <f t="shared" ref="AA15:AA20" si="10">$B$3/Y15</f>
        <v>0.79365079365079361</v>
      </c>
      <c r="AB15">
        <f t="shared" ref="AB15:AB21" si="11">$B$4/Z15</f>
        <v>-2.0408163265306123</v>
      </c>
      <c r="AC15">
        <f t="shared" ref="AC15:AC20" si="12">$I$2+AA15+AB15</f>
        <v>-1.2471655328798188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1.9416876156075589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3024</v>
      </c>
      <c r="Z16">
        <f t="shared" si="9"/>
        <v>-1176</v>
      </c>
      <c r="AA16">
        <f t="shared" si="10"/>
        <v>0.79365079365079361</v>
      </c>
      <c r="AB16">
        <f t="shared" si="11"/>
        <v>2.0408163265306123</v>
      </c>
      <c r="AC16">
        <f t="shared" si="12"/>
        <v>2.8344671201814058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-1.9416876156075589</v>
      </c>
      <c r="N17" t="s">
        <v>137</v>
      </c>
      <c r="O17">
        <f>K14</f>
        <v>-1.1999050379822342</v>
      </c>
      <c r="Q17" t="s">
        <v>137</v>
      </c>
      <c r="R17">
        <f>U16</f>
        <v>5.497787143782138</v>
      </c>
      <c r="Y17" s="1">
        <f t="shared" si="8"/>
        <v>-3024</v>
      </c>
      <c r="Z17">
        <f t="shared" si="9"/>
        <v>-1176</v>
      </c>
      <c r="AA17">
        <f t="shared" si="10"/>
        <v>-0.79365079365079361</v>
      </c>
      <c r="AB17">
        <f t="shared" si="11"/>
        <v>2.0408163265306123</v>
      </c>
      <c r="AC17">
        <f t="shared" si="12"/>
        <v>1.2471655328798188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-1.9416876156075589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-3024</v>
      </c>
      <c r="Z18">
        <f t="shared" si="9"/>
        <v>-1176</v>
      </c>
      <c r="AA18">
        <f t="shared" si="10"/>
        <v>-0.79365079365079361</v>
      </c>
      <c r="AB18">
        <f t="shared" si="11"/>
        <v>2.0408163265306123</v>
      </c>
      <c r="AC18">
        <f t="shared" si="12"/>
        <v>1.2471655328798188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-1.9416876156075589</v>
      </c>
      <c r="N19">
        <f>E22+(O16*COS(O17))</f>
        <v>8.5692360243970249</v>
      </c>
      <c r="O19">
        <f>F22+(O16*SIN(O17))</f>
        <v>13.964821651550507</v>
      </c>
      <c r="Q19">
        <f>E22+(R16*COS(R17))</f>
        <v>13.010407640085653</v>
      </c>
      <c r="R19">
        <f>F22+(R16*SIN(R17))</f>
        <v>11.989592359914344</v>
      </c>
      <c r="Y19" s="1">
        <f t="shared" si="8"/>
        <v>-3024</v>
      </c>
      <c r="Z19">
        <f t="shared" si="9"/>
        <v>-1176</v>
      </c>
      <c r="AA19">
        <f t="shared" si="10"/>
        <v>-0.79365079365079361</v>
      </c>
      <c r="AB19">
        <f t="shared" si="11"/>
        <v>2.0408163265306123</v>
      </c>
      <c r="AC19">
        <f t="shared" si="12"/>
        <v>1.2471655328798188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-1.9416876156075589</v>
      </c>
      <c r="Y20" s="1">
        <f t="shared" si="8"/>
        <v>-3024</v>
      </c>
      <c r="Z20">
        <f t="shared" si="9"/>
        <v>-1176</v>
      </c>
      <c r="AA20">
        <f t="shared" si="10"/>
        <v>-0.79365079365079361</v>
      </c>
      <c r="AB20">
        <f t="shared" si="11"/>
        <v>2.0408163265306123</v>
      </c>
      <c r="AC20">
        <f t="shared" si="12"/>
        <v>1.2471655328798188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-1.9416876156075589</v>
      </c>
      <c r="Y21" s="1"/>
      <c r="Z21">
        <f t="shared" si="9"/>
        <v>-1176</v>
      </c>
      <c r="AB21">
        <f t="shared" si="11"/>
        <v>2.0408163265306123</v>
      </c>
    </row>
    <row r="22" spans="1:29" x14ac:dyDescent="0.25">
      <c r="D22" s="5">
        <f>SUM(D13:D21)</f>
        <v>504</v>
      </c>
      <c r="E22" s="5">
        <f>SUM(E14:E21)/D22</f>
        <v>7</v>
      </c>
      <c r="F22" s="5">
        <f>SUM(F14:F21)/D22</f>
        <v>18</v>
      </c>
      <c r="G22" s="5">
        <f>SUM(G14:G21)</f>
        <v>217728</v>
      </c>
      <c r="H22" s="5">
        <f>SUM(H14:H21)</f>
        <v>32928</v>
      </c>
      <c r="I22" s="5">
        <f>SUM(I14:I21)</f>
        <v>63504</v>
      </c>
      <c r="J22" s="5">
        <f>SUM(J14:J21)</f>
        <v>250656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36</v>
      </c>
      <c r="U37" s="1">
        <f>T37</f>
        <v>36</v>
      </c>
    </row>
    <row r="38" spans="1:21" x14ac:dyDescent="0.25">
      <c r="A38">
        <v>2</v>
      </c>
      <c r="B38" s="17">
        <f>'Rigid Bearing Plate Analysis'!B38</f>
        <v>3</v>
      </c>
      <c r="C38" s="17">
        <f>'Rigid Bearing Plate Analysis'!C38</f>
        <v>9</v>
      </c>
      <c r="D38" s="17" t="str">
        <f>'Rigid Bearing Plate Analysis'!D38</f>
        <v>y</v>
      </c>
      <c r="Q38" s="12">
        <f t="shared" ref="Q38:R48" si="14">IF($D38="y",B38,NA())</f>
        <v>3</v>
      </c>
      <c r="R38" s="12">
        <f t="shared" si="14"/>
        <v>9</v>
      </c>
    </row>
    <row r="39" spans="1:21" x14ac:dyDescent="0.25">
      <c r="A39">
        <v>3</v>
      </c>
      <c r="B39" s="17">
        <f>'Rigid Bearing Plate Analysis'!B39</f>
        <v>11</v>
      </c>
      <c r="C39" s="17">
        <f>'Rigid Bearing Plate Analysis'!C39</f>
        <v>3</v>
      </c>
      <c r="D39" s="17" t="str">
        <f>'Rigid Bearing Plate Analysis'!D39</f>
        <v>y</v>
      </c>
      <c r="Q39" s="12">
        <f t="shared" si="14"/>
        <v>11</v>
      </c>
      <c r="R39" s="12">
        <f t="shared" si="14"/>
        <v>3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9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9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15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15</v>
      </c>
    </row>
    <row r="42" spans="1:21" x14ac:dyDescent="0.25">
      <c r="A42">
        <v>6</v>
      </c>
      <c r="B42" s="17">
        <f>'Rigid Bearing Plate Analysis'!B42</f>
        <v>3</v>
      </c>
      <c r="C42" s="17">
        <f>'Rigid Bearing Plate Analysis'!C42</f>
        <v>21</v>
      </c>
      <c r="D42" s="17" t="str">
        <f>'Rigid Bearing Plate Analysis'!D42</f>
        <v>y</v>
      </c>
      <c r="Q42" s="12">
        <f t="shared" si="14"/>
        <v>3</v>
      </c>
      <c r="R42" s="12">
        <f t="shared" si="14"/>
        <v>21</v>
      </c>
    </row>
    <row r="43" spans="1:21" x14ac:dyDescent="0.25">
      <c r="A43">
        <v>7</v>
      </c>
      <c r="B43" s="17">
        <f>'Rigid Bearing Plate Analysis'!B43</f>
        <v>11</v>
      </c>
      <c r="C43" s="17">
        <f>'Rigid Bearing Plate Analysis'!C43</f>
        <v>21</v>
      </c>
      <c r="D43" s="17" t="str">
        <f>'Rigid Bearing Plate Analysis'!D43</f>
        <v>y</v>
      </c>
      <c r="Q43" s="12">
        <f t="shared" si="14"/>
        <v>11</v>
      </c>
      <c r="R43" s="12">
        <f t="shared" si="14"/>
        <v>21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15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15</v>
      </c>
    </row>
    <row r="45" spans="1:21" x14ac:dyDescent="0.25">
      <c r="A45">
        <v>9</v>
      </c>
      <c r="B45" s="17">
        <f>'Rigid Bearing Plate Analysis'!B45</f>
        <v>3</v>
      </c>
      <c r="C45" s="17">
        <f>'Rigid Bearing Plate Analysis'!C45</f>
        <v>27</v>
      </c>
      <c r="D45" s="17" t="str">
        <f>'Rigid Bearing Plate Analysis'!D45</f>
        <v>y</v>
      </c>
      <c r="Q45" s="12">
        <f t="shared" si="14"/>
        <v>3</v>
      </c>
      <c r="R45" s="12">
        <f t="shared" si="14"/>
        <v>27</v>
      </c>
    </row>
    <row r="46" spans="1:21" x14ac:dyDescent="0.25">
      <c r="A46">
        <v>10</v>
      </c>
      <c r="B46" s="17">
        <f>'Rigid Bearing Plate Analysis'!B46</f>
        <v>3</v>
      </c>
      <c r="C46" s="17">
        <f>'Rigid Bearing Plate Analysis'!C46</f>
        <v>33</v>
      </c>
      <c r="D46" s="17" t="str">
        <f>'Rigid Bearing Plate Analysis'!D46</f>
        <v>y</v>
      </c>
      <c r="Q46" s="12">
        <f t="shared" si="14"/>
        <v>3</v>
      </c>
      <c r="R46" s="12">
        <f t="shared" si="14"/>
        <v>33</v>
      </c>
    </row>
    <row r="47" spans="1:21" x14ac:dyDescent="0.25">
      <c r="A47">
        <v>11</v>
      </c>
      <c r="B47" s="17">
        <f>'Rigid Bearing Plate Analysis'!B47</f>
        <v>11</v>
      </c>
      <c r="C47" s="17">
        <f>'Rigid Bearing Plate Analysis'!C47</f>
        <v>27</v>
      </c>
      <c r="D47" s="17" t="str">
        <f>'Rigid Bearing Plate Analysis'!D47</f>
        <v>y</v>
      </c>
      <c r="Q47" s="12">
        <f t="shared" si="14"/>
        <v>11</v>
      </c>
      <c r="R47" s="12">
        <f t="shared" si="14"/>
        <v>27</v>
      </c>
    </row>
    <row r="48" spans="1:21" x14ac:dyDescent="0.25">
      <c r="A48">
        <v>12</v>
      </c>
      <c r="B48" s="17">
        <f>'Rigid Bearing Plate Analysis'!B48</f>
        <v>11</v>
      </c>
      <c r="C48" s="17">
        <f>'Rigid Bearing Plate Analysis'!C48</f>
        <v>33</v>
      </c>
      <c r="D48" s="17" t="str">
        <f>'Rigid Bearing Plate Analysis'!D48</f>
        <v>y</v>
      </c>
      <c r="Q48" s="12">
        <f t="shared" si="14"/>
        <v>11</v>
      </c>
      <c r="R48" s="12">
        <f t="shared" si="14"/>
        <v>33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1.7051201210291647</v>
      </c>
      <c r="C64" t="s">
        <v>19</v>
      </c>
      <c r="D64" t="s">
        <v>34</v>
      </c>
      <c r="H64" s="17">
        <f>DEGREES(B64)</f>
        <v>97.696186497807261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6.1864355956292565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Analysis'!B66+'Rigid Bearing Plate Analysis'!D175</f>
        <v>5.5250000819489937</v>
      </c>
      <c r="C66" t="s">
        <v>11</v>
      </c>
      <c r="D66">
        <f>B66/B53</f>
        <v>1.3560676116785133E-3</v>
      </c>
      <c r="I66" s="20"/>
    </row>
    <row r="67" spans="1:18" x14ac:dyDescent="0.25">
      <c r="A67" s="1" t="s">
        <v>37</v>
      </c>
      <c r="B67" s="17">
        <f>'Rigid Bearing Plate Analysis'!B67</f>
        <v>54.091431170546485</v>
      </c>
      <c r="C67" t="s">
        <v>36</v>
      </c>
      <c r="D67" t="s">
        <v>122</v>
      </c>
      <c r="G67" s="20">
        <f ca="1">($B$56*$B$66*$B$55*$E$122)/$B$65</f>
        <v>19.419480002827971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-18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-18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-18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-18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18</v>
      </c>
      <c r="H75" s="1">
        <f t="shared" si="18"/>
        <v>3</v>
      </c>
      <c r="I75" s="4">
        <f t="shared" si="19"/>
        <v>-7</v>
      </c>
      <c r="J75" s="4">
        <f t="shared" si="20"/>
        <v>-18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18</v>
      </c>
      <c r="H76" s="1">
        <f t="shared" si="18"/>
        <v>4</v>
      </c>
      <c r="I76" s="4">
        <f t="shared" si="19"/>
        <v>-7</v>
      </c>
      <c r="J76" s="4">
        <f t="shared" si="20"/>
        <v>-18</v>
      </c>
      <c r="Q76" cm="1">
        <f t="array" ref="Q76">(-1*MAX(ABS(B84:C91)))-1</f>
        <v>-19.775299666768252</v>
      </c>
      <c r="R76">
        <f>Q76</f>
        <v>-19.775299666768252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-18</v>
      </c>
      <c r="H77" s="1">
        <f t="shared" si="18"/>
        <v>5</v>
      </c>
      <c r="I77" s="4">
        <f t="shared" si="19"/>
        <v>-7</v>
      </c>
      <c r="J77" s="4">
        <f t="shared" si="20"/>
        <v>-18</v>
      </c>
      <c r="Q77">
        <f>-1*Q76</f>
        <v>19.775299666768252</v>
      </c>
      <c r="R77">
        <f>Q77</f>
        <v>19.775299666768252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-18</v>
      </c>
      <c r="H78" s="1">
        <f t="shared" si="18"/>
        <v>6</v>
      </c>
      <c r="I78" s="4">
        <f t="shared" si="19"/>
        <v>-7</v>
      </c>
      <c r="J78" s="4">
        <f t="shared" si="20"/>
        <v>-18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-18</v>
      </c>
      <c r="H79" s="1">
        <f t="shared" si="18"/>
        <v>7</v>
      </c>
      <c r="I79" s="4">
        <f t="shared" si="19"/>
        <v>-7</v>
      </c>
      <c r="J79" s="4">
        <f t="shared" si="20"/>
        <v>-18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-18</v>
      </c>
      <c r="H80" s="1">
        <f t="shared" si="18"/>
        <v>8</v>
      </c>
      <c r="I80" s="4">
        <f t="shared" si="19"/>
        <v>-7</v>
      </c>
      <c r="J80" s="4">
        <f t="shared" si="20"/>
        <v>-18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-18</v>
      </c>
      <c r="H81" s="1">
        <f t="shared" si="18"/>
        <v>9</v>
      </c>
      <c r="I81" s="4">
        <f t="shared" si="19"/>
        <v>-7</v>
      </c>
      <c r="J81" s="4">
        <f t="shared" si="20"/>
        <v>-18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-16.900416487452443</v>
      </c>
      <c r="C84" s="1">
        <f t="shared" ref="C84:C92" si="23">(-1*B73*SIN($B$64))+(C73*COS($B$64))</f>
        <v>9.3475088954568921</v>
      </c>
      <c r="H84" s="1">
        <f t="shared" ref="H84:H92" si="24">H73</f>
        <v>1</v>
      </c>
      <c r="I84" s="4">
        <f>(I73*COS($B$64))+(J73*SIN($B$64))</f>
        <v>-16.900416487452443</v>
      </c>
      <c r="J84" s="1">
        <f>(-1*I73*SIN($B$64))+(J73*COS($B$64))</f>
        <v>9.3475088954568921</v>
      </c>
    </row>
    <row r="85" spans="1:10" x14ac:dyDescent="0.25">
      <c r="A85" s="1">
        <f t="shared" si="21"/>
        <v>2</v>
      </c>
      <c r="B85" s="4">
        <f t="shared" si="22"/>
        <v>-18.775299666768252</v>
      </c>
      <c r="C85" s="1">
        <f t="shared" si="23"/>
        <v>-4.5263807200733766</v>
      </c>
      <c r="H85" s="1">
        <f t="shared" si="24"/>
        <v>2</v>
      </c>
      <c r="I85" s="4">
        <f t="shared" ref="I85:I92" si="25">(I74*COS($B$64))+(J74*SIN($B$64))</f>
        <v>-16.900416487452443</v>
      </c>
      <c r="J85" s="1">
        <f t="shared" ref="J85:J92" si="26">(-1*I74*SIN($B$64))+(J74*COS($B$64))</f>
        <v>9.3475088954568921</v>
      </c>
    </row>
    <row r="86" spans="1:10" x14ac:dyDescent="0.25">
      <c r="A86" s="1">
        <f t="shared" si="21"/>
        <v>3</v>
      </c>
      <c r="B86" s="4">
        <f t="shared" si="22"/>
        <v>16.900416487452443</v>
      </c>
      <c r="C86" s="1">
        <f t="shared" si="23"/>
        <v>-9.3475088954568921</v>
      </c>
      <c r="H86" s="1">
        <f t="shared" si="24"/>
        <v>3</v>
      </c>
      <c r="I86" s="4">
        <f t="shared" si="25"/>
        <v>-16.900416487452443</v>
      </c>
      <c r="J86" s="1">
        <f t="shared" si="26"/>
        <v>9.3475088954568921</v>
      </c>
    </row>
    <row r="87" spans="1:10" x14ac:dyDescent="0.25">
      <c r="A87" s="1">
        <f t="shared" si="21"/>
        <v>4</v>
      </c>
      <c r="B87" s="4">
        <f t="shared" si="22"/>
        <v>18.775299666768252</v>
      </c>
      <c r="C87" s="1">
        <f t="shared" si="23"/>
        <v>4.5263807200733766</v>
      </c>
      <c r="H87" s="1">
        <f t="shared" si="24"/>
        <v>4</v>
      </c>
      <c r="I87" s="4">
        <f t="shared" si="25"/>
        <v>-16.900416487452443</v>
      </c>
      <c r="J87" s="1">
        <f t="shared" si="26"/>
        <v>9.3475088954568921</v>
      </c>
    </row>
    <row r="88" spans="1:10" x14ac:dyDescent="0.25">
      <c r="A88" s="1">
        <f t="shared" si="21"/>
        <v>5</v>
      </c>
      <c r="B88" s="4">
        <f t="shared" si="22"/>
        <v>-16.900416487452443</v>
      </c>
      <c r="C88" s="1">
        <f t="shared" si="23"/>
        <v>9.3475088954568921</v>
      </c>
      <c r="H88" s="1">
        <f t="shared" si="24"/>
        <v>5</v>
      </c>
      <c r="I88" s="4">
        <f t="shared" si="25"/>
        <v>-16.900416487452443</v>
      </c>
      <c r="J88" s="1">
        <f t="shared" si="26"/>
        <v>9.3475088954568921</v>
      </c>
    </row>
    <row r="89" spans="1:10" x14ac:dyDescent="0.25">
      <c r="A89" s="1">
        <f t="shared" si="21"/>
        <v>6</v>
      </c>
      <c r="B89" s="4">
        <f t="shared" si="22"/>
        <v>-16.900416487452443</v>
      </c>
      <c r="C89" s="1">
        <f t="shared" si="23"/>
        <v>9.3475088954568921</v>
      </c>
      <c r="H89" s="1">
        <f t="shared" si="24"/>
        <v>6</v>
      </c>
      <c r="I89" s="4">
        <f t="shared" si="25"/>
        <v>-16.900416487452443</v>
      </c>
      <c r="J89" s="1">
        <f t="shared" si="26"/>
        <v>9.3475088954568921</v>
      </c>
    </row>
    <row r="90" spans="1:10" x14ac:dyDescent="0.25">
      <c r="A90" s="1">
        <f t="shared" si="21"/>
        <v>7</v>
      </c>
      <c r="B90" s="4">
        <f t="shared" si="22"/>
        <v>-16.900416487452443</v>
      </c>
      <c r="C90" s="1">
        <f t="shared" si="23"/>
        <v>9.3475088954568921</v>
      </c>
      <c r="H90" s="1">
        <f t="shared" si="24"/>
        <v>7</v>
      </c>
      <c r="I90" s="4">
        <f t="shared" si="25"/>
        <v>-16.900416487452443</v>
      </c>
      <c r="J90" s="1">
        <f t="shared" si="26"/>
        <v>9.3475088954568921</v>
      </c>
    </row>
    <row r="91" spans="1:10" x14ac:dyDescent="0.25">
      <c r="A91" s="1">
        <f t="shared" si="21"/>
        <v>8</v>
      </c>
      <c r="B91" s="4">
        <f t="shared" si="22"/>
        <v>-16.900416487452443</v>
      </c>
      <c r="C91" s="1">
        <f t="shared" si="23"/>
        <v>9.3475088954568921</v>
      </c>
      <c r="H91" s="1">
        <f t="shared" si="24"/>
        <v>8</v>
      </c>
      <c r="I91" s="4">
        <f t="shared" si="25"/>
        <v>-16.900416487452443</v>
      </c>
      <c r="J91" s="1">
        <f t="shared" si="26"/>
        <v>9.3475088954568921</v>
      </c>
    </row>
    <row r="92" spans="1:10" x14ac:dyDescent="0.25">
      <c r="A92" s="1">
        <f t="shared" si="21"/>
        <v>9</v>
      </c>
      <c r="B92" s="4">
        <f t="shared" si="22"/>
        <v>-16.900416487452443</v>
      </c>
      <c r="C92" s="1">
        <f t="shared" si="23"/>
        <v>9.3475088954568921</v>
      </c>
      <c r="H92" s="1">
        <f t="shared" si="24"/>
        <v>9</v>
      </c>
      <c r="I92" s="4">
        <f t="shared" si="25"/>
        <v>-16.900416487452443</v>
      </c>
      <c r="J92" s="1">
        <f t="shared" si="26"/>
        <v>9.3475088954568921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-15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-4</v>
      </c>
      <c r="C96" s="4">
        <f t="shared" si="29"/>
        <v>-9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4</v>
      </c>
      <c r="C97" s="4">
        <f t="shared" si="29"/>
        <v>-15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-9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-3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-4</v>
      </c>
      <c r="C100" s="4">
        <f t="shared" si="29"/>
        <v>3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4</v>
      </c>
      <c r="C101" s="4">
        <f t="shared" si="29"/>
        <v>3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-3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-4</v>
      </c>
      <c r="C103" s="4">
        <f t="shared" si="29"/>
        <v>9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-4</v>
      </c>
      <c r="C104" s="4">
        <f t="shared" si="29"/>
        <v>15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4</v>
      </c>
      <c r="C105" s="4">
        <f t="shared" si="29"/>
        <v>9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4</v>
      </c>
      <c r="C106" s="4">
        <f t="shared" si="29"/>
        <v>15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-14.329200822549341</v>
      </c>
      <c r="C110" s="1">
        <f>(-1*B95*SIN($B$64))+(C95*COS($B$64))</f>
        <v>5.9727718679898754</v>
      </c>
      <c r="D110" t="str">
        <f t="shared" ref="D110" si="31">D95</f>
        <v>y</v>
      </c>
      <c r="E110" s="4">
        <f t="shared" ref="E110:E121" si="32">IF($D110="y",$B$125-C110,0)</f>
        <v>-2.8116985681622397</v>
      </c>
      <c r="F110" s="1">
        <f>IF($D110="y",B110,NA())</f>
        <v>-14.329200822549341</v>
      </c>
      <c r="G110" s="1">
        <f>IF($D110="y",C110,NA())</f>
        <v>5.9727718679898754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6.1632474841918038E-4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-8.3832481301792274</v>
      </c>
      <c r="C111" s="1">
        <f t="shared" ref="C111:C121" si="37">(-1*B96*SIN($B$64))+(C96*COS($B$64))</f>
        <v>5.1692505054259561</v>
      </c>
      <c r="D111" t="str">
        <f t="shared" si="35"/>
        <v>y</v>
      </c>
      <c r="E111" s="4">
        <f t="shared" si="32"/>
        <v>-2.0081772055983205</v>
      </c>
      <c r="F111" s="1">
        <f t="shared" ref="F111:G121" si="38">IF($D111="y",B111,NA())</f>
        <v>-8.3832481301792274</v>
      </c>
      <c r="G111" s="1">
        <f t="shared" si="38"/>
        <v>5.1692505054259561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4.4019274506743668E-4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-15.400562639301233</v>
      </c>
      <c r="C112" s="1">
        <f t="shared" si="37"/>
        <v>-1.9551650551702782</v>
      </c>
      <c r="D112" t="str">
        <f t="shared" si="35"/>
        <v>y</v>
      </c>
      <c r="E112" s="4">
        <f t="shared" si="32"/>
        <v>5.1162383549979138</v>
      </c>
      <c r="F112" s="1">
        <f t="shared" si="38"/>
        <v>-15.400562639301233</v>
      </c>
      <c r="G112" s="1">
        <f t="shared" si="38"/>
        <v>-1.9551650551702782</v>
      </c>
      <c r="H112">
        <f t="shared" si="33"/>
        <v>-30.298811699433092</v>
      </c>
      <c r="I112">
        <f t="shared" si="39"/>
        <v>59.239177847915968</v>
      </c>
      <c r="J112">
        <f t="shared" si="40"/>
        <v>-466.61874747351237</v>
      </c>
      <c r="K112">
        <f t="shared" ref="K112:K121" ca="1" si="45">H112/$B$55</f>
        <v>-90.590048081066257</v>
      </c>
      <c r="L112">
        <f t="shared" ca="1" si="41"/>
        <v>-3.1237947614160778E-3</v>
      </c>
      <c r="M112">
        <f t="shared" si="34"/>
        <v>-1.1214802158033825E-3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-9.4546099469311198</v>
      </c>
      <c r="C113" s="1">
        <f t="shared" si="37"/>
        <v>-2.7586864177341974</v>
      </c>
      <c r="D113" t="str">
        <f t="shared" si="35"/>
        <v>y</v>
      </c>
      <c r="E113" s="4">
        <f t="shared" si="32"/>
        <v>5.9197597175618331</v>
      </c>
      <c r="F113" s="1">
        <f t="shared" si="38"/>
        <v>-9.4546099469311198</v>
      </c>
      <c r="G113" s="1">
        <f t="shared" si="38"/>
        <v>-2.7586864177341974</v>
      </c>
      <c r="H113">
        <f t="shared" si="33"/>
        <v>-35.057335593655765</v>
      </c>
      <c r="I113">
        <f t="shared" si="39"/>
        <v>96.712195544167798</v>
      </c>
      <c r="J113">
        <f t="shared" si="40"/>
        <v>-331.45343381668016</v>
      </c>
      <c r="K113">
        <f t="shared" ca="1" si="45"/>
        <v>-104.81750071679454</v>
      </c>
      <c r="L113">
        <f t="shared" ca="1" si="41"/>
        <v>-3.614396576441191E-3</v>
      </c>
      <c r="M113">
        <f t="shared" si="34"/>
        <v>-1.2976122191551264E-3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-2.4372954378091114</v>
      </c>
      <c r="C114" s="1">
        <f t="shared" si="37"/>
        <v>4.3657291428620368</v>
      </c>
      <c r="D114" t="str">
        <f t="shared" si="35"/>
        <v>y</v>
      </c>
      <c r="E114" s="4">
        <f t="shared" si="32"/>
        <v>-1.2046558430344012</v>
      </c>
      <c r="F114" s="1">
        <f t="shared" si="38"/>
        <v>-2.4372954378091114</v>
      </c>
      <c r="G114" s="1">
        <f t="shared" si="38"/>
        <v>4.3657291428620368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2.6406074171569298E-4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3.5086572545610037</v>
      </c>
      <c r="C115" s="1">
        <f t="shared" si="37"/>
        <v>3.5622077802981171</v>
      </c>
      <c r="D115" t="str">
        <f t="shared" si="35"/>
        <v>y</v>
      </c>
      <c r="E115" s="4">
        <f t="shared" si="32"/>
        <v>-0.4011344804704815</v>
      </c>
      <c r="F115" s="1">
        <f t="shared" si="38"/>
        <v>3.5086572545610037</v>
      </c>
      <c r="G115" s="1">
        <f t="shared" si="38"/>
        <v>3.5622077802981171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8.7928738363949195E-5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2.4372954378091114</v>
      </c>
      <c r="C116" s="1">
        <f t="shared" si="37"/>
        <v>-4.3657291428620368</v>
      </c>
      <c r="D116" t="str">
        <f t="shared" si="35"/>
        <v>y</v>
      </c>
      <c r="E116" s="4">
        <f t="shared" si="32"/>
        <v>7.5268024426896725</v>
      </c>
      <c r="F116" s="1">
        <f t="shared" si="38"/>
        <v>2.4372954378091114</v>
      </c>
      <c r="G116" s="1">
        <f t="shared" si="38"/>
        <v>-4.3657291428620368</v>
      </c>
      <c r="H116">
        <f t="shared" si="33"/>
        <v>-44.574383382101125</v>
      </c>
      <c r="I116">
        <f t="shared" si="39"/>
        <v>194.59968455634416</v>
      </c>
      <c r="J116">
        <f t="shared" si="40"/>
        <v>108.64094126034934</v>
      </c>
      <c r="K116">
        <f t="shared" ca="1" si="45"/>
        <v>-133.27240598825117</v>
      </c>
      <c r="L116">
        <f t="shared" ca="1" si="41"/>
        <v>-4.5956002064914195E-3</v>
      </c>
      <c r="M116">
        <f t="shared" si="34"/>
        <v>-1.6498762258586139E-3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-3.5086572545610037</v>
      </c>
      <c r="C117" s="1">
        <f t="shared" si="37"/>
        <v>-3.5622077802981171</v>
      </c>
      <c r="D117" t="str">
        <f t="shared" si="35"/>
        <v>y</v>
      </c>
      <c r="E117" s="4">
        <f t="shared" si="32"/>
        <v>6.7232810801257532</v>
      </c>
      <c r="F117" s="1">
        <f t="shared" si="38"/>
        <v>-3.5086572545610037</v>
      </c>
      <c r="G117" s="1">
        <f t="shared" si="38"/>
        <v>-3.5622077802981171</v>
      </c>
      <c r="H117">
        <f t="shared" si="33"/>
        <v>-39.815859487878448</v>
      </c>
      <c r="I117">
        <f t="shared" si="39"/>
        <v>141.83236444697721</v>
      </c>
      <c r="J117">
        <f t="shared" si="40"/>
        <v>-139.70020423872629</v>
      </c>
      <c r="K117">
        <f t="shared" ca="1" si="45"/>
        <v>-119.04495335252287</v>
      </c>
      <c r="L117">
        <f t="shared" ca="1" si="41"/>
        <v>-4.1049983914663059E-3</v>
      </c>
      <c r="M117">
        <f t="shared" si="34"/>
        <v>-1.4737442225068703E-3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9.4546099469311198</v>
      </c>
      <c r="C118" s="1">
        <f t="shared" si="37"/>
        <v>2.7586864177341974</v>
      </c>
      <c r="D118" t="str">
        <f t="shared" si="35"/>
        <v>y</v>
      </c>
      <c r="E118" s="4">
        <f t="shared" si="32"/>
        <v>0.4023868820934382</v>
      </c>
      <c r="F118" s="1">
        <f t="shared" si="38"/>
        <v>9.4546099469311198</v>
      </c>
      <c r="G118" s="1">
        <f t="shared" si="38"/>
        <v>2.7586864177341974</v>
      </c>
      <c r="H118">
        <f t="shared" si="33"/>
        <v>-2.3829703631694934</v>
      </c>
      <c r="I118">
        <f t="shared" si="39"/>
        <v>-6.5738679747388096</v>
      </c>
      <c r="J118">
        <f t="shared" si="40"/>
        <v>22.530055298864355</v>
      </c>
      <c r="K118">
        <f t="shared" ca="1" si="45"/>
        <v>-7.1248140658704262</v>
      </c>
      <c r="L118">
        <f t="shared" ca="1" si="41"/>
        <v>-2.4568324365070433E-4</v>
      </c>
      <c r="M118">
        <f t="shared" si="34"/>
        <v>-8.8203264987794601E-5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15.400562639301233</v>
      </c>
      <c r="C119" s="1">
        <f t="shared" si="37"/>
        <v>1.9551650551702782</v>
      </c>
      <c r="D119" t="str">
        <f t="shared" si="35"/>
        <v>y</v>
      </c>
      <c r="E119" s="4">
        <f t="shared" si="32"/>
        <v>1.2059082446573575</v>
      </c>
      <c r="F119" s="1">
        <f t="shared" si="38"/>
        <v>15.400562639301233</v>
      </c>
      <c r="G119" s="1">
        <f t="shared" si="38"/>
        <v>1.9551650551702782</v>
      </c>
      <c r="H119">
        <f t="shared" si="33"/>
        <v>-7.1414942573921705</v>
      </c>
      <c r="I119">
        <f t="shared" si="39"/>
        <v>-13.962800013752387</v>
      </c>
      <c r="J119">
        <f t="shared" si="40"/>
        <v>109.98302964917816</v>
      </c>
      <c r="K119">
        <f t="shared" ca="1" si="45"/>
        <v>-21.35226670159873</v>
      </c>
      <c r="L119">
        <f t="shared" ca="1" si="41"/>
        <v>-7.3628505867581826E-4</v>
      </c>
      <c r="M119">
        <f t="shared" si="34"/>
        <v>-2.6433526833953829E-4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8.3832481301792274</v>
      </c>
      <c r="C120" s="1">
        <f t="shared" si="37"/>
        <v>-5.1692505054259561</v>
      </c>
      <c r="D120" t="str">
        <f t="shared" si="35"/>
        <v>y</v>
      </c>
      <c r="E120" s="4">
        <f t="shared" si="32"/>
        <v>8.3303238052535917</v>
      </c>
      <c r="F120" s="1">
        <f t="shared" si="38"/>
        <v>8.3832481301792274</v>
      </c>
      <c r="G120" s="1">
        <f t="shared" si="38"/>
        <v>-5.1692505054259561</v>
      </c>
      <c r="H120">
        <f t="shared" si="33"/>
        <v>-49.332907276323802</v>
      </c>
      <c r="I120">
        <f t="shared" si="39"/>
        <v>255.01415587226865</v>
      </c>
      <c r="J120">
        <f t="shared" si="40"/>
        <v>413.57000268054674</v>
      </c>
      <c r="K120">
        <f t="shared" ca="1" si="45"/>
        <v>-147.49985862397949</v>
      </c>
      <c r="L120">
        <f t="shared" ca="1" si="41"/>
        <v>-5.086202021516534E-3</v>
      </c>
      <c r="M120">
        <f t="shared" si="34"/>
        <v>-1.8260082292103576E-3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14.329200822549341</v>
      </c>
      <c r="C121" s="1">
        <f t="shared" si="37"/>
        <v>-5.9727718679898754</v>
      </c>
      <c r="D121" t="str">
        <f t="shared" si="35"/>
        <v>y</v>
      </c>
      <c r="E121" s="4">
        <f t="shared" si="32"/>
        <v>9.1338451678175119</v>
      </c>
      <c r="F121" s="1">
        <f t="shared" si="38"/>
        <v>14.329200822549341</v>
      </c>
      <c r="G121" s="1">
        <f t="shared" si="38"/>
        <v>-5.9727718679898754</v>
      </c>
      <c r="H121" s="23">
        <f t="shared" si="33"/>
        <v>-54.091431170546485</v>
      </c>
      <c r="I121" s="23">
        <f t="shared" si="39"/>
        <v>323.07577839475073</v>
      </c>
      <c r="J121" s="23">
        <f t="shared" si="40"/>
        <v>775.08698002186577</v>
      </c>
      <c r="K121">
        <f t="shared" ca="1" si="45"/>
        <v>-161.72731125970779</v>
      </c>
      <c r="L121">
        <f t="shared" ca="1" si="41"/>
        <v>-5.5768038365416476E-3</v>
      </c>
      <c r="M121">
        <f t="shared" si="34"/>
        <v>-2.0021402325621014E-3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9.1338451678175119</v>
      </c>
      <c r="H122">
        <f>SUM(H110:H121)</f>
        <v>-262.69519323050037</v>
      </c>
      <c r="I122">
        <f t="shared" ref="I122:J122" si="46">SUM(I110:I121)</f>
        <v>1049.9366886739333</v>
      </c>
      <c r="J122">
        <f t="shared" si="46"/>
        <v>492.0386233818856</v>
      </c>
      <c r="L122">
        <f ca="1">MIN(L110:L121)</f>
        <v>-5.5768038365416476E-3</v>
      </c>
      <c r="M122">
        <f>MIN(M110:M121)</f>
        <v>-2.0021402325621014E-3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3.1610732998276356</v>
      </c>
      <c r="F125" s="1" t="s">
        <v>27</v>
      </c>
      <c r="G125" s="1" t="s">
        <v>28</v>
      </c>
    </row>
    <row r="126" spans="1:16" x14ac:dyDescent="0.25">
      <c r="F126" s="4">
        <f>MIN(B84:B90)-1</f>
        <v>-19.775299666768252</v>
      </c>
      <c r="G126" s="4">
        <f>B125</f>
        <v>3.1610732998276356</v>
      </c>
    </row>
    <row r="127" spans="1:16" x14ac:dyDescent="0.25">
      <c r="F127" s="4">
        <f>MAX(B84:B90)+1</f>
        <v>19.775299666768252</v>
      </c>
      <c r="G127" s="4">
        <f>G126</f>
        <v>3.1610732998276356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-16.900416487452443</v>
      </c>
      <c r="C132" s="4">
        <f>C84</f>
        <v>9.3475088954568921</v>
      </c>
      <c r="D132" s="4">
        <f t="shared" ref="D132:E139" si="47">B85</f>
        <v>-18.775299666768252</v>
      </c>
      <c r="E132" s="4">
        <f t="shared" si="47"/>
        <v>-4.5263807200733766</v>
      </c>
      <c r="F132" s="4">
        <f t="shared" ref="F132:F139" si="48">($B$66/$B$65)*(C132-$B$125)</f>
        <v>5.5250000819489937</v>
      </c>
      <c r="G132" s="4">
        <f t="shared" ref="G132:G139" si="49">($B$66/$B$65)*(E132-$B$125)</f>
        <v>-6.8655340273710603</v>
      </c>
      <c r="H132" s="4">
        <f>IF(B132=D132,"V",(C132-E132)/(B132-D132))</f>
        <v>7.3998688390778531</v>
      </c>
      <c r="I132" s="4">
        <f>IF(H132="V",0,(-1*B132*H132)+C132)</f>
        <v>134.4083742283938</v>
      </c>
      <c r="J132" s="4">
        <f>IF($F132&gt;=0,B132,IF(AND($F132&lt;0,$G132&gt;=0),IF(H132="V",B132,($B$125-I132)/H132),0))</f>
        <v>-16.900416487452443</v>
      </c>
      <c r="K132" s="4">
        <f>IF($F132&gt;=0,C132,IF(AND($F132&lt;0,$G132&gt;=0),$B$125,0))</f>
        <v>9.3475088954568921</v>
      </c>
      <c r="L132" s="4">
        <f>IF($G132&gt;=0,D132,IF(AND($G132&lt;0,$F132&gt;=0),IF(H132="V",D132,($B$125-I132)/H132),0))</f>
        <v>-17.736436115659821</v>
      </c>
      <c r="M132" s="4">
        <f>IF($G132&gt;=0,E132,IF(AND($G132&lt;0,$F132&gt;=0),$B$125,0))</f>
        <v>3.1610732998276356</v>
      </c>
      <c r="N132" s="4">
        <f>IF(F132&lt;0,0,F132)</f>
        <v>5.5250000819489937</v>
      </c>
      <c r="O132" s="4">
        <f>IF(G132&lt;0,0,G132)</f>
        <v>0</v>
      </c>
      <c r="P132" s="4">
        <f>(1/6)*(M132-K132)*((N132*((2*J132)+L132))+(O132*(J132+(2*L132))))</f>
        <v>293.59113400778449</v>
      </c>
      <c r="Q132" s="4">
        <f>((1/12)*(M132-K132)*(N132*J132*((3*K132)+M132)+N132*L132*(K132+M132)+O132*J132*(K132+M132)+O132*L132*(K132+(3*M132))))</f>
        <v>2134.0076720381162</v>
      </c>
      <c r="R132" s="4">
        <f>((-1/24)*(M132-K132)*(J132*J132*((3*N132)+O132)+2*J132*L132*(N132+O132)+L132*L132*(N132+(3*O132))))</f>
        <v>2522.1460102575465</v>
      </c>
    </row>
    <row r="133" spans="1:18" x14ac:dyDescent="0.25">
      <c r="A133" t="s">
        <v>70</v>
      </c>
      <c r="B133" s="4">
        <f t="shared" ref="B133:C138" si="50">D132</f>
        <v>-18.775299666768252</v>
      </c>
      <c r="C133" s="4">
        <f t="shared" si="50"/>
        <v>-4.5263807200733766</v>
      </c>
      <c r="D133" s="4">
        <f t="shared" si="47"/>
        <v>16.900416487452443</v>
      </c>
      <c r="E133" s="4">
        <f t="shared" si="47"/>
        <v>-9.3475088954568921</v>
      </c>
      <c r="F133" s="4">
        <f t="shared" si="48"/>
        <v>-6.8655340273710603</v>
      </c>
      <c r="G133" s="4">
        <f t="shared" si="49"/>
        <v>-11.171201346190236</v>
      </c>
      <c r="H133" s="4">
        <f t="shared" ref="H133:H139" si="51">IF(B133=D133,"V",(C133-E133)/(B133-D133))</f>
        <v>-0.13513753037339213</v>
      </c>
      <c r="I133" s="4">
        <f t="shared" ref="I133:I139" si="52">IF(H133="V",0,(-1*B133*H133)+C133)</f>
        <v>-7.0636283490608101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16.900416487452443</v>
      </c>
      <c r="C134" s="4">
        <f t="shared" si="50"/>
        <v>-9.3475088954568921</v>
      </c>
      <c r="D134" s="4">
        <f t="shared" si="47"/>
        <v>18.775299666768252</v>
      </c>
      <c r="E134" s="4">
        <f t="shared" si="47"/>
        <v>4.5263807200733766</v>
      </c>
      <c r="F134" s="4">
        <f t="shared" si="48"/>
        <v>-11.171201346190236</v>
      </c>
      <c r="G134" s="4">
        <f t="shared" si="49"/>
        <v>1.2193327631298188</v>
      </c>
      <c r="H134" s="4">
        <f t="shared" si="51"/>
        <v>7.3998688390778531</v>
      </c>
      <c r="I134" s="4">
        <f t="shared" si="52"/>
        <v>-134.4083742283938</v>
      </c>
      <c r="J134" s="4">
        <f t="shared" si="53"/>
        <v>18.590795393795776</v>
      </c>
      <c r="K134" s="4">
        <f t="shared" si="54"/>
        <v>3.1610732998276356</v>
      </c>
      <c r="L134" s="4">
        <f t="shared" si="55"/>
        <v>18.775299666768252</v>
      </c>
      <c r="M134" s="4">
        <f t="shared" si="56"/>
        <v>4.5263807200733766</v>
      </c>
      <c r="N134" s="4">
        <f t="shared" si="57"/>
        <v>0</v>
      </c>
      <c r="O134" s="4">
        <f t="shared" si="57"/>
        <v>1.2193327631298188</v>
      </c>
      <c r="P134" s="4">
        <f t="shared" si="58"/>
        <v>15.577029456606278</v>
      </c>
      <c r="Q134" s="4">
        <f t="shared" si="59"/>
        <v>63.430070132040271</v>
      </c>
      <c r="R134" s="4">
        <f t="shared" si="60"/>
        <v>-145.75348033946386</v>
      </c>
    </row>
    <row r="135" spans="1:18" x14ac:dyDescent="0.25">
      <c r="A135" t="s">
        <v>72</v>
      </c>
      <c r="B135" s="4">
        <f t="shared" si="50"/>
        <v>18.775299666768252</v>
      </c>
      <c r="C135" s="4">
        <f t="shared" si="50"/>
        <v>4.5263807200733766</v>
      </c>
      <c r="D135" s="4">
        <f t="shared" si="47"/>
        <v>-16.900416487452443</v>
      </c>
      <c r="E135" s="4">
        <f t="shared" si="47"/>
        <v>9.3475088954568921</v>
      </c>
      <c r="F135" s="4">
        <f t="shared" si="48"/>
        <v>1.2193327631298188</v>
      </c>
      <c r="G135" s="4">
        <f t="shared" si="49"/>
        <v>5.5250000819489937</v>
      </c>
      <c r="H135" s="4">
        <f t="shared" si="51"/>
        <v>-0.13513753037339213</v>
      </c>
      <c r="I135" s="4">
        <f t="shared" si="52"/>
        <v>7.0636283490608101</v>
      </c>
      <c r="J135" s="4">
        <f t="shared" si="53"/>
        <v>18.775299666768252</v>
      </c>
      <c r="K135" s="4">
        <f t="shared" si="54"/>
        <v>4.5263807200733766</v>
      </c>
      <c r="L135" s="4">
        <f t="shared" si="55"/>
        <v>-16.900416487452443</v>
      </c>
      <c r="M135" s="4">
        <f t="shared" si="56"/>
        <v>9.3475088954568921</v>
      </c>
      <c r="N135" s="4">
        <f t="shared" si="57"/>
        <v>1.2193327631298188</v>
      </c>
      <c r="O135" s="4">
        <f t="shared" si="57"/>
        <v>5.5250000819489937</v>
      </c>
      <c r="P135" s="4">
        <f t="shared" si="58"/>
        <v>-46.472966337487087</v>
      </c>
      <c r="Q135" s="4">
        <f t="shared" si="59"/>
        <v>-547.58478439918736</v>
      </c>
      <c r="R135" s="4">
        <f t="shared" si="60"/>
        <v>-811.45859816580992</v>
      </c>
    </row>
    <row r="136" spans="1:18" x14ac:dyDescent="0.25">
      <c r="A136" t="s">
        <v>73</v>
      </c>
      <c r="B136" s="4">
        <f t="shared" si="50"/>
        <v>-16.900416487452443</v>
      </c>
      <c r="C136" s="4">
        <f t="shared" si="50"/>
        <v>9.3475088954568921</v>
      </c>
      <c r="D136" s="4">
        <f t="shared" si="47"/>
        <v>-16.900416487452443</v>
      </c>
      <c r="E136" s="4">
        <f t="shared" si="47"/>
        <v>9.3475088954568921</v>
      </c>
      <c r="F136" s="4">
        <f t="shared" si="48"/>
        <v>5.5250000819489937</v>
      </c>
      <c r="G136" s="4">
        <f t="shared" si="49"/>
        <v>5.5250000819489937</v>
      </c>
      <c r="H136" s="4" t="str">
        <f t="shared" si="51"/>
        <v>V</v>
      </c>
      <c r="I136" s="4">
        <f t="shared" si="52"/>
        <v>0</v>
      </c>
      <c r="J136" s="4">
        <f t="shared" si="53"/>
        <v>-16.900416487452443</v>
      </c>
      <c r="K136" s="4">
        <f t="shared" si="54"/>
        <v>9.3475088954568921</v>
      </c>
      <c r="L136" s="4">
        <f t="shared" si="55"/>
        <v>-16.900416487452443</v>
      </c>
      <c r="M136" s="4">
        <f t="shared" si="56"/>
        <v>9.3475088954568921</v>
      </c>
      <c r="N136" s="4">
        <f t="shared" si="57"/>
        <v>5.5250000819489937</v>
      </c>
      <c r="O136" s="4">
        <f t="shared" si="57"/>
        <v>5.5250000819489937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-16.900416487452443</v>
      </c>
      <c r="C137" s="4">
        <f t="shared" si="50"/>
        <v>9.3475088954568921</v>
      </c>
      <c r="D137" s="4">
        <f t="shared" si="47"/>
        <v>-16.900416487452443</v>
      </c>
      <c r="E137" s="4">
        <f t="shared" si="47"/>
        <v>9.3475088954568921</v>
      </c>
      <c r="F137" s="4">
        <f t="shared" si="48"/>
        <v>5.5250000819489937</v>
      </c>
      <c r="G137" s="4">
        <f t="shared" si="49"/>
        <v>5.5250000819489937</v>
      </c>
      <c r="H137" s="4" t="str">
        <f t="shared" si="51"/>
        <v>V</v>
      </c>
      <c r="I137" s="4">
        <f t="shared" si="52"/>
        <v>0</v>
      </c>
      <c r="J137" s="4">
        <f t="shared" si="53"/>
        <v>-16.900416487452443</v>
      </c>
      <c r="K137" s="4">
        <f t="shared" si="54"/>
        <v>9.3475088954568921</v>
      </c>
      <c r="L137" s="4">
        <f t="shared" si="55"/>
        <v>-16.900416487452443</v>
      </c>
      <c r="M137" s="4">
        <f t="shared" si="56"/>
        <v>9.3475088954568921</v>
      </c>
      <c r="N137" s="4">
        <f t="shared" si="57"/>
        <v>5.5250000819489937</v>
      </c>
      <c r="O137" s="4">
        <f t="shared" si="57"/>
        <v>5.5250000819489937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-16.900416487452443</v>
      </c>
      <c r="C138" s="4">
        <f t="shared" si="50"/>
        <v>9.3475088954568921</v>
      </c>
      <c r="D138" s="4">
        <f t="shared" si="47"/>
        <v>-16.900416487452443</v>
      </c>
      <c r="E138" s="4">
        <f t="shared" si="47"/>
        <v>9.3475088954568921</v>
      </c>
      <c r="F138" s="4">
        <f t="shared" si="48"/>
        <v>5.5250000819489937</v>
      </c>
      <c r="G138" s="4">
        <f t="shared" si="49"/>
        <v>5.5250000819489937</v>
      </c>
      <c r="H138" s="4" t="str">
        <f t="shared" si="51"/>
        <v>V</v>
      </c>
      <c r="I138" s="4">
        <f t="shared" si="52"/>
        <v>0</v>
      </c>
      <c r="J138" s="4">
        <f t="shared" si="53"/>
        <v>-16.900416487452443</v>
      </c>
      <c r="K138" s="4">
        <f t="shared" si="54"/>
        <v>9.3475088954568921</v>
      </c>
      <c r="L138" s="4">
        <f t="shared" si="55"/>
        <v>-16.900416487452443</v>
      </c>
      <c r="M138" s="4">
        <f t="shared" si="56"/>
        <v>9.3475088954568921</v>
      </c>
      <c r="N138" s="4">
        <f t="shared" si="57"/>
        <v>5.5250000819489937</v>
      </c>
      <c r="O138" s="4">
        <f t="shared" si="57"/>
        <v>5.5250000819489937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-16.900416487452443</v>
      </c>
      <c r="C139" s="4">
        <f>E138</f>
        <v>9.3475088954568921</v>
      </c>
      <c r="D139" s="4">
        <f t="shared" si="47"/>
        <v>-16.900416487452443</v>
      </c>
      <c r="E139" s="4">
        <f t="shared" si="47"/>
        <v>9.3475088954568921</v>
      </c>
      <c r="F139" s="4">
        <f t="shared" si="48"/>
        <v>5.5250000819489937</v>
      </c>
      <c r="G139" s="4">
        <f t="shared" si="49"/>
        <v>5.5250000819489937</v>
      </c>
      <c r="H139" s="4" t="str">
        <f t="shared" si="51"/>
        <v>V</v>
      </c>
      <c r="I139" s="4">
        <f t="shared" si="52"/>
        <v>0</v>
      </c>
      <c r="J139" s="4">
        <f t="shared" si="53"/>
        <v>-16.900416487452443</v>
      </c>
      <c r="K139" s="4">
        <f t="shared" si="54"/>
        <v>9.3475088954568921</v>
      </c>
      <c r="L139" s="4">
        <f t="shared" si="55"/>
        <v>-16.900416487452443</v>
      </c>
      <c r="M139" s="4">
        <f t="shared" si="56"/>
        <v>9.3475088954568921</v>
      </c>
      <c r="N139" s="4">
        <f t="shared" si="57"/>
        <v>5.5250000819489937</v>
      </c>
      <c r="O139" s="4">
        <f t="shared" si="57"/>
        <v>5.5250000819489937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262.69519712690368</v>
      </c>
      <c r="Q140" s="4">
        <f>SUM(Q132:Q139)</f>
        <v>1649.8529577709692</v>
      </c>
      <c r="R140" s="4">
        <f>SUM(R132:R139)</f>
        <v>1564.9339317522729</v>
      </c>
    </row>
    <row r="142" spans="1:18" x14ac:dyDescent="0.25">
      <c r="O142" t="s">
        <v>96</v>
      </c>
      <c r="P142" s="1">
        <f>-1*R140/P140</f>
        <v>-5.9572232338769382</v>
      </c>
    </row>
    <row r="143" spans="1:18" x14ac:dyDescent="0.25">
      <c r="O143" t="s">
        <v>97</v>
      </c>
      <c r="P143" s="1">
        <f>Q140/P140</f>
        <v>6.2804839061216358</v>
      </c>
    </row>
    <row r="144" spans="1:18" x14ac:dyDescent="0.25"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-16.900416487452443</v>
      </c>
      <c r="C146" s="9">
        <f>J84</f>
        <v>9.3475088954568921</v>
      </c>
      <c r="D146" s="9">
        <f t="shared" ref="D146:E153" si="61">I85</f>
        <v>-16.900416487452443</v>
      </c>
      <c r="E146">
        <f t="shared" si="61"/>
        <v>9.3475088954568921</v>
      </c>
      <c r="F146" s="4">
        <f>($B$66/$B$65)*(C146-$B$125)</f>
        <v>5.5250000819489937</v>
      </c>
      <c r="G146" s="4">
        <f>($B$66/$B$65)*(E146-$B$125)</f>
        <v>5.5250000819489937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-16.900416487452443</v>
      </c>
      <c r="K146" s="4">
        <f>IF($F146&gt;=0,C146,IF(AND($F146&lt;0,$G146&gt;=0),$B$125,0))</f>
        <v>9.3475088954568921</v>
      </c>
      <c r="L146" s="4">
        <f>IF($G146&gt;=0,D146,IF(AND($G146&lt;0,$F146&gt;=0),IF(H146="V",D146,($B$125-I146)/H146),0))</f>
        <v>-16.900416487452443</v>
      </c>
      <c r="M146" s="4">
        <f>IF($G146&gt;=0,E146,IF(AND($G146&lt;0,$F146&gt;=0),$B$125,0))</f>
        <v>9.3475088954568921</v>
      </c>
      <c r="N146" s="4">
        <f>IF(F146&lt;0,0,F146)</f>
        <v>5.5250000819489937</v>
      </c>
      <c r="O146" s="4">
        <f>IF(G146&lt;0,0,G146)</f>
        <v>5.5250000819489937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-16.900416487452443</v>
      </c>
      <c r="C147">
        <f t="shared" si="62"/>
        <v>9.3475088954568921</v>
      </c>
      <c r="D147" s="9">
        <f t="shared" si="61"/>
        <v>-16.900416487452443</v>
      </c>
      <c r="E147">
        <f t="shared" si="61"/>
        <v>9.3475088954568921</v>
      </c>
      <c r="F147" s="4">
        <f t="shared" ref="F147:F153" si="63">($B$66/$B$65)*(C147-$B$125)</f>
        <v>5.5250000819489937</v>
      </c>
      <c r="G147" s="4">
        <f t="shared" ref="G147:G153" si="64">($B$66/$B$65)*(E147-$B$125)</f>
        <v>5.5250000819489937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-16.900416487452443</v>
      </c>
      <c r="K147" s="4">
        <f t="shared" ref="K147:K153" si="68">IF($F147&gt;=0,C147,IF(AND($F147&lt;0,$G147&gt;=0),$B$125,0))</f>
        <v>9.3475088954568921</v>
      </c>
      <c r="L147" s="4">
        <f t="shared" ref="L147:L153" si="69">IF($G147&gt;=0,D147,IF(AND($G147&lt;0,$F147&gt;=0),IF(H147="V",D147,($B$125-I147)/H147),0))</f>
        <v>-16.900416487452443</v>
      </c>
      <c r="M147" s="4">
        <f t="shared" ref="M147:M153" si="70">IF($G147&gt;=0,E147,IF(AND($G147&lt;0,$F147&gt;=0),$B$125,0))</f>
        <v>9.3475088954568921</v>
      </c>
      <c r="N147" s="4">
        <f t="shared" ref="N147:O153" si="71">IF(F147&lt;0,0,F147)</f>
        <v>5.5250000819489937</v>
      </c>
      <c r="O147" s="4">
        <f t="shared" si="71"/>
        <v>5.5250000819489937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-16.900416487452443</v>
      </c>
      <c r="C148">
        <f t="shared" si="62"/>
        <v>9.3475088954568921</v>
      </c>
      <c r="D148" s="9">
        <f t="shared" si="61"/>
        <v>-16.900416487452443</v>
      </c>
      <c r="E148">
        <f t="shared" si="61"/>
        <v>9.3475088954568921</v>
      </c>
      <c r="F148" s="4">
        <f t="shared" si="63"/>
        <v>5.5250000819489937</v>
      </c>
      <c r="G148" s="4">
        <f t="shared" si="64"/>
        <v>5.5250000819489937</v>
      </c>
      <c r="H148" s="4" t="str">
        <f t="shared" si="65"/>
        <v>V</v>
      </c>
      <c r="I148" s="4">
        <f t="shared" si="66"/>
        <v>0</v>
      </c>
      <c r="J148" s="4">
        <f t="shared" si="67"/>
        <v>-16.900416487452443</v>
      </c>
      <c r="K148" s="4">
        <f t="shared" si="68"/>
        <v>9.3475088954568921</v>
      </c>
      <c r="L148" s="4">
        <f t="shared" si="69"/>
        <v>-16.900416487452443</v>
      </c>
      <c r="M148" s="4">
        <f t="shared" si="70"/>
        <v>9.3475088954568921</v>
      </c>
      <c r="N148" s="4">
        <f t="shared" si="71"/>
        <v>5.5250000819489937</v>
      </c>
      <c r="O148" s="4">
        <f t="shared" si="71"/>
        <v>5.5250000819489937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-16.900416487452443</v>
      </c>
      <c r="C149">
        <f t="shared" si="62"/>
        <v>9.3475088954568921</v>
      </c>
      <c r="D149" s="9">
        <f t="shared" si="61"/>
        <v>-16.900416487452443</v>
      </c>
      <c r="E149">
        <f t="shared" si="61"/>
        <v>9.3475088954568921</v>
      </c>
      <c r="F149" s="4">
        <f t="shared" si="63"/>
        <v>5.5250000819489937</v>
      </c>
      <c r="G149" s="4">
        <f t="shared" si="64"/>
        <v>5.5250000819489937</v>
      </c>
      <c r="H149" s="4" t="str">
        <f t="shared" si="65"/>
        <v>V</v>
      </c>
      <c r="I149" s="4">
        <f t="shared" si="66"/>
        <v>0</v>
      </c>
      <c r="J149" s="4">
        <f t="shared" si="67"/>
        <v>-16.900416487452443</v>
      </c>
      <c r="K149" s="4">
        <f t="shared" si="68"/>
        <v>9.3475088954568921</v>
      </c>
      <c r="L149" s="4">
        <f t="shared" si="69"/>
        <v>-16.900416487452443</v>
      </c>
      <c r="M149" s="4">
        <f t="shared" si="70"/>
        <v>9.3475088954568921</v>
      </c>
      <c r="N149" s="4">
        <f t="shared" si="71"/>
        <v>5.5250000819489937</v>
      </c>
      <c r="O149" s="4">
        <f t="shared" si="71"/>
        <v>5.5250000819489937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-16.900416487452443</v>
      </c>
      <c r="C150">
        <f t="shared" si="62"/>
        <v>9.3475088954568921</v>
      </c>
      <c r="D150" s="9">
        <f t="shared" si="61"/>
        <v>-16.900416487452443</v>
      </c>
      <c r="E150">
        <f t="shared" si="61"/>
        <v>9.3475088954568921</v>
      </c>
      <c r="F150" s="4">
        <f t="shared" si="63"/>
        <v>5.5250000819489937</v>
      </c>
      <c r="G150" s="4">
        <f t="shared" si="64"/>
        <v>5.5250000819489937</v>
      </c>
      <c r="H150" s="4" t="str">
        <f t="shared" si="65"/>
        <v>V</v>
      </c>
      <c r="I150" s="4">
        <f t="shared" si="66"/>
        <v>0</v>
      </c>
      <c r="J150" s="4">
        <f t="shared" si="67"/>
        <v>-16.900416487452443</v>
      </c>
      <c r="K150" s="4">
        <f t="shared" si="68"/>
        <v>9.3475088954568921</v>
      </c>
      <c r="L150" s="4">
        <f t="shared" si="69"/>
        <v>-16.900416487452443</v>
      </c>
      <c r="M150" s="4">
        <f t="shared" si="70"/>
        <v>9.3475088954568921</v>
      </c>
      <c r="N150" s="4">
        <f t="shared" si="71"/>
        <v>5.5250000819489937</v>
      </c>
      <c r="O150" s="4">
        <f t="shared" si="71"/>
        <v>5.5250000819489937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-16.900416487452443</v>
      </c>
      <c r="C151">
        <f t="shared" si="62"/>
        <v>9.3475088954568921</v>
      </c>
      <c r="D151" s="9">
        <f t="shared" si="61"/>
        <v>-16.900416487452443</v>
      </c>
      <c r="E151">
        <f t="shared" si="61"/>
        <v>9.3475088954568921</v>
      </c>
      <c r="F151" s="4">
        <f t="shared" si="63"/>
        <v>5.5250000819489937</v>
      </c>
      <c r="G151" s="4">
        <f t="shared" si="64"/>
        <v>5.5250000819489937</v>
      </c>
      <c r="H151" s="4" t="str">
        <f t="shared" si="65"/>
        <v>V</v>
      </c>
      <c r="I151" s="4">
        <f t="shared" si="66"/>
        <v>0</v>
      </c>
      <c r="J151" s="4">
        <f t="shared" si="67"/>
        <v>-16.900416487452443</v>
      </c>
      <c r="K151" s="4">
        <f t="shared" si="68"/>
        <v>9.3475088954568921</v>
      </c>
      <c r="L151" s="4">
        <f t="shared" si="69"/>
        <v>-16.900416487452443</v>
      </c>
      <c r="M151" s="4">
        <f t="shared" si="70"/>
        <v>9.3475088954568921</v>
      </c>
      <c r="N151" s="4">
        <f t="shared" si="71"/>
        <v>5.5250000819489937</v>
      </c>
      <c r="O151" s="4">
        <f t="shared" si="71"/>
        <v>5.5250000819489937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-16.900416487452443</v>
      </c>
      <c r="C152">
        <f t="shared" si="62"/>
        <v>9.3475088954568921</v>
      </c>
      <c r="D152" s="9">
        <f t="shared" si="61"/>
        <v>-16.900416487452443</v>
      </c>
      <c r="E152">
        <f t="shared" si="61"/>
        <v>9.3475088954568921</v>
      </c>
      <c r="F152" s="4">
        <f t="shared" si="63"/>
        <v>5.5250000819489937</v>
      </c>
      <c r="G152" s="4">
        <f t="shared" si="64"/>
        <v>5.5250000819489937</v>
      </c>
      <c r="H152" s="4" t="str">
        <f t="shared" si="65"/>
        <v>V</v>
      </c>
      <c r="I152" s="4">
        <f t="shared" si="66"/>
        <v>0</v>
      </c>
      <c r="J152" s="4">
        <f t="shared" si="67"/>
        <v>-16.900416487452443</v>
      </c>
      <c r="K152" s="4">
        <f t="shared" si="68"/>
        <v>9.3475088954568921</v>
      </c>
      <c r="L152" s="4">
        <f t="shared" si="69"/>
        <v>-16.900416487452443</v>
      </c>
      <c r="M152" s="4">
        <f t="shared" si="70"/>
        <v>9.3475088954568921</v>
      </c>
      <c r="N152" s="4">
        <f t="shared" si="71"/>
        <v>5.5250000819489937</v>
      </c>
      <c r="O152" s="4">
        <f t="shared" si="71"/>
        <v>5.5250000819489937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-16.900416487452443</v>
      </c>
      <c r="C153">
        <f t="shared" si="62"/>
        <v>9.3475088954568921</v>
      </c>
      <c r="D153" s="9">
        <f t="shared" si="61"/>
        <v>-16.900416487452443</v>
      </c>
      <c r="E153">
        <f t="shared" si="61"/>
        <v>9.3475088954568921</v>
      </c>
      <c r="F153" s="4">
        <f t="shared" si="63"/>
        <v>5.5250000819489937</v>
      </c>
      <c r="G153" s="4">
        <f t="shared" si="64"/>
        <v>5.5250000819489937</v>
      </c>
      <c r="H153" s="4" t="str">
        <f t="shared" si="65"/>
        <v>V</v>
      </c>
      <c r="I153" s="4">
        <f t="shared" si="66"/>
        <v>0</v>
      </c>
      <c r="J153" s="4">
        <f t="shared" si="67"/>
        <v>-16.900416487452443</v>
      </c>
      <c r="K153" s="4">
        <f t="shared" si="68"/>
        <v>9.3475088954568921</v>
      </c>
      <c r="L153" s="4">
        <f t="shared" si="69"/>
        <v>-16.900416487452443</v>
      </c>
      <c r="M153" s="4">
        <f t="shared" si="70"/>
        <v>9.3475088954568921</v>
      </c>
      <c r="N153" s="4">
        <f t="shared" si="71"/>
        <v>5.5250000819489937</v>
      </c>
      <c r="O153" s="4">
        <f t="shared" si="71"/>
        <v>5.5250000819489937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3.8964033137744991E-6</v>
      </c>
      <c r="C159" t="s">
        <v>36</v>
      </c>
    </row>
    <row r="160" spans="1:18" x14ac:dyDescent="0.25">
      <c r="A160" s="1" t="s">
        <v>106</v>
      </c>
      <c r="B160" s="4">
        <f>Q140+I122+Q154-O122</f>
        <v>2699.7896464449022</v>
      </c>
      <c r="C160" t="s">
        <v>102</v>
      </c>
    </row>
    <row r="161" spans="1:9" x14ac:dyDescent="0.25">
      <c r="A161" s="1" t="s">
        <v>107</v>
      </c>
      <c r="B161" s="4">
        <f>R140+J122+R154-P122</f>
        <v>2056.9725551341585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3.8964033137744991E-6</v>
      </c>
      <c r="C164" t="s">
        <v>36</v>
      </c>
      <c r="E164" s="8">
        <f>B2-B164</f>
        <v>-3.8964033137744991E-6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-2400.0000262797926</v>
      </c>
      <c r="C165" t="s">
        <v>102</v>
      </c>
      <c r="E165" s="8">
        <f>B3+B165</f>
        <v>-2.6279792564309901E-5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2400.0000211423403</v>
      </c>
      <c r="C166" t="s">
        <v>102</v>
      </c>
      <c r="E166" s="8">
        <f>B4+B166</f>
        <v>2.1142340301594231E-5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5.5250000819489937</v>
      </c>
      <c r="B169" s="1">
        <f ca="1">IF(E122=0,0,(MIN(H110:H121)*B65)/(B55*B56*E122))</f>
        <v>-15.389452323465239</v>
      </c>
      <c r="C169" s="3">
        <f ca="1">A169+B169</f>
        <v>-9.8644522415162452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2.529101852378573E-8</v>
      </c>
      <c r="C175" s="27">
        <f>B65*SQRT(I175)</f>
        <v>9.1759668609640895E-8</v>
      </c>
      <c r="D175" s="27">
        <f>B66*SQRT(I175)</f>
        <v>8.1948994497907082E-8</v>
      </c>
      <c r="E175" s="27">
        <f>B67*SQRT(I175)</f>
        <v>8.0230558002369209E-7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1.7051201463201833</v>
      </c>
      <c r="C176" s="3">
        <f>B65+C175</f>
        <v>6.1864356873889248</v>
      </c>
      <c r="D176" s="3">
        <f>D175+B66</f>
        <v>5.525000163897988</v>
      </c>
      <c r="E176" s="3">
        <f>B67+E175</f>
        <v>54.091431972852064</v>
      </c>
      <c r="F176" s="16" t="s">
        <v>125</v>
      </c>
    </row>
    <row r="177" spans="1:13" x14ac:dyDescent="0.25">
      <c r="B177" s="27">
        <f>B176-B64</f>
        <v>2.5291018612705329E-8</v>
      </c>
      <c r="C177" s="27">
        <f>C176-B65</f>
        <v>9.1759668308100117E-8</v>
      </c>
      <c r="D177" s="27">
        <f>D176-B66</f>
        <v>8.1948994257174945E-8</v>
      </c>
      <c r="E177" s="27">
        <f>E176-B67</f>
        <v>8.0230557841787231E-7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(d_sigma_p!E135-d_sigma_m!E135)/(2*'Rigid Bearing Plate Analysis'!D177)</f>
        <v>0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16.900416505188179</v>
      </c>
      <c r="B181" s="25">
        <f>(d_alpha_p!E136-d_alpha_m!E136)/(2*B177)</f>
        <v>16.900416505188179</v>
      </c>
      <c r="C181" s="25">
        <f>(d_alpha_p!E137-d_alpha_m!E137)/(2*B177)</f>
        <v>16.900416505188179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3.8964033137744991E-6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2.6279792564309901E-5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-2.1142340301594231E-5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9.8644522415162452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0</v>
      </c>
      <c r="B190" s="25">
        <f>A181</f>
        <v>16.900416505188179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16.900416505188179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16.900416505188179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0</v>
      </c>
      <c r="B201" s="25">
        <f t="shared" ref="B201:C201" si="77">B190</f>
        <v>16.900416505188179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16.900416505188179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16.900416505188179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F129B-1F6B-4DC7-A5D8-085B81E1A971}">
  <sheetPr codeName="Sheet6"/>
  <dimension ref="A1:AC208"/>
  <sheetViews>
    <sheetView topLeftCell="A142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2400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0.79365079365079361</v>
      </c>
      <c r="J3" t="s">
        <v>11</v>
      </c>
    </row>
    <row r="4" spans="1:29" x14ac:dyDescent="0.25">
      <c r="A4" s="10" t="s">
        <v>80</v>
      </c>
      <c r="B4" s="17">
        <f>'Rigid Bearing Plate Analysis'!B4</f>
        <v>-2400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-2.0408163265306123</v>
      </c>
      <c r="J4" t="s">
        <v>11</v>
      </c>
    </row>
    <row r="5" spans="1:29" x14ac:dyDescent="0.25">
      <c r="A5" s="10" t="s">
        <v>104</v>
      </c>
      <c r="B5" s="20">
        <f>ATAN2(B3,B4)</f>
        <v>-0.78539816339744828</v>
      </c>
      <c r="C5" t="s">
        <v>19</v>
      </c>
      <c r="I5">
        <f>SUM(I2:I4)</f>
        <v>-1.2471655328798188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18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20.784609690826528</v>
      </c>
      <c r="L13" s="4">
        <f>SQRT(H22/D22)</f>
        <v>8.0829037686547611</v>
      </c>
      <c r="M13" s="4">
        <f>SQRT(J22/D22)</f>
        <v>22.300971578236975</v>
      </c>
      <c r="N13" s="19">
        <f>G22-(D22*C9*C9)</f>
        <v>54432</v>
      </c>
      <c r="O13" s="19">
        <f>H22-(D22*B9*B9)</f>
        <v>8232</v>
      </c>
      <c r="P13" s="19">
        <f>I22-(D22*B9*C9)</f>
        <v>0</v>
      </c>
      <c r="Q13" s="19">
        <f>N13+O13</f>
        <v>62664</v>
      </c>
      <c r="R13" s="19">
        <f>SQRT(ABS(N13/D22))</f>
        <v>10.392304845413264</v>
      </c>
      <c r="S13" s="19">
        <f>SQRT(O13/D22)</f>
        <v>4.0414518843273806</v>
      </c>
      <c r="T13" s="19">
        <f>SQRT(Q13/D22)</f>
        <v>11.150485789118488</v>
      </c>
      <c r="U13" s="19">
        <f>N13/(MAX(C13:C20)-C9)</f>
        <v>3024</v>
      </c>
      <c r="V13" s="19">
        <f>N13/(MIN(C13:C20)-C9)</f>
        <v>-3024</v>
      </c>
      <c r="W13" s="19">
        <f>O13/(MIN(B13:B20)-B9)</f>
        <v>-1176</v>
      </c>
      <c r="X13" s="19">
        <f>O13/(MAX(B13:B20)-B9)</f>
        <v>1176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-1.1999050379822342</v>
      </c>
      <c r="Y14" s="1">
        <f>$N$13/(C14-$C$9)</f>
        <v>-3024</v>
      </c>
      <c r="Z14">
        <f>$O$13/(B14-$B$9)</f>
        <v>1176</v>
      </c>
      <c r="AA14">
        <f>$B$3/Y14</f>
        <v>-0.79365079365079361</v>
      </c>
      <c r="AB14">
        <f>$B$4/Z14</f>
        <v>-2.0408163265306123</v>
      </c>
      <c r="AC14">
        <f>$I$2+AA14+AB14</f>
        <v>-2.8344671201814058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36</v>
      </c>
      <c r="D15" s="5">
        <f t="shared" ref="D15:D21" si="0">((B14*C15)-(B15*C14))*0.5</f>
        <v>252</v>
      </c>
      <c r="E15" s="5">
        <f t="shared" ref="E15:E21" si="1">(B15+B14)*((B14*C15)-(B15*C14))*(1/6)</f>
        <v>2352</v>
      </c>
      <c r="F15" s="5">
        <f t="shared" ref="F15:F21" si="2">(C15+C14)*((B14*C15)-(B15*C14))*(1/6)</f>
        <v>3024</v>
      </c>
      <c r="G15" s="5">
        <f t="shared" ref="G15:G21" si="3">(((C14*C14)+(C14*C15)+(C15*C15))*((B14*C15)-(B15*C14)))/12</f>
        <v>54432</v>
      </c>
      <c r="H15" s="5">
        <f t="shared" ref="H15:H21" si="4">(((B14*B14)+(B14*B15)+(B15*B15))*((B14*C15)-(B15*C14)))/12</f>
        <v>24696</v>
      </c>
      <c r="I15" s="5">
        <f t="shared" ref="I15:I21" si="5">(((B14*C15)+(2*B14*C14)+(2*B15*C15)+(B15*C14))*((B14*C15)-(B15*C14)))/24</f>
        <v>31752</v>
      </c>
      <c r="J15" s="5">
        <f t="shared" ref="J15:J21" si="6">G15+H15</f>
        <v>79128</v>
      </c>
      <c r="K15">
        <f t="shared" ref="K15:K21" si="7">ATAN2((B15-$E$22),(C15-$F$22))</f>
        <v>1.1999050379822342</v>
      </c>
      <c r="N15" t="s">
        <v>136</v>
      </c>
      <c r="O15">
        <v>4</v>
      </c>
      <c r="Y15" s="1">
        <f t="shared" ref="Y15:Y20" si="8">$N$13/(C15-$C$9)</f>
        <v>3024</v>
      </c>
      <c r="Z15">
        <f t="shared" ref="Z15:Z21" si="9">$O$13/(B15-$B$9)</f>
        <v>1176</v>
      </c>
      <c r="AA15">
        <f t="shared" ref="AA15:AA20" si="10">$B$3/Y15</f>
        <v>0.79365079365079361</v>
      </c>
      <c r="AB15">
        <f t="shared" ref="AB15:AB21" si="11">$B$4/Z15</f>
        <v>-2.0408163265306123</v>
      </c>
      <c r="AC15">
        <f t="shared" ref="AC15:AC20" si="12">$I$2+AA15+AB15</f>
        <v>-1.2471655328798188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1.9416876156075589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3024</v>
      </c>
      <c r="Z16">
        <f t="shared" si="9"/>
        <v>-1176</v>
      </c>
      <c r="AA16">
        <f t="shared" si="10"/>
        <v>0.79365079365079361</v>
      </c>
      <c r="AB16">
        <f t="shared" si="11"/>
        <v>2.0408163265306123</v>
      </c>
      <c r="AC16">
        <f t="shared" si="12"/>
        <v>2.8344671201814058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-1.9416876156075589</v>
      </c>
      <c r="N17" t="s">
        <v>137</v>
      </c>
      <c r="O17">
        <f>K14</f>
        <v>-1.1999050379822342</v>
      </c>
      <c r="Q17" t="s">
        <v>137</v>
      </c>
      <c r="R17">
        <f>U16</f>
        <v>5.497787143782138</v>
      </c>
      <c r="Y17" s="1">
        <f t="shared" si="8"/>
        <v>-3024</v>
      </c>
      <c r="Z17">
        <f t="shared" si="9"/>
        <v>-1176</v>
      </c>
      <c r="AA17">
        <f t="shared" si="10"/>
        <v>-0.79365079365079361</v>
      </c>
      <c r="AB17">
        <f t="shared" si="11"/>
        <v>2.0408163265306123</v>
      </c>
      <c r="AC17">
        <f t="shared" si="12"/>
        <v>1.2471655328798188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-1.9416876156075589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-3024</v>
      </c>
      <c r="Z18">
        <f t="shared" si="9"/>
        <v>-1176</v>
      </c>
      <c r="AA18">
        <f t="shared" si="10"/>
        <v>-0.79365079365079361</v>
      </c>
      <c r="AB18">
        <f t="shared" si="11"/>
        <v>2.0408163265306123</v>
      </c>
      <c r="AC18">
        <f t="shared" si="12"/>
        <v>1.2471655328798188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-1.9416876156075589</v>
      </c>
      <c r="N19">
        <f>E22+(O16*COS(O17))</f>
        <v>8.5692360243970249</v>
      </c>
      <c r="O19">
        <f>F22+(O16*SIN(O17))</f>
        <v>13.964821651550507</v>
      </c>
      <c r="Q19">
        <f>E22+(R16*COS(R17))</f>
        <v>13.010407640085653</v>
      </c>
      <c r="R19">
        <f>F22+(R16*SIN(R17))</f>
        <v>11.989592359914344</v>
      </c>
      <c r="Y19" s="1">
        <f t="shared" si="8"/>
        <v>-3024</v>
      </c>
      <c r="Z19">
        <f t="shared" si="9"/>
        <v>-1176</v>
      </c>
      <c r="AA19">
        <f t="shared" si="10"/>
        <v>-0.79365079365079361</v>
      </c>
      <c r="AB19">
        <f t="shared" si="11"/>
        <v>2.0408163265306123</v>
      </c>
      <c r="AC19">
        <f t="shared" si="12"/>
        <v>1.2471655328798188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-1.9416876156075589</v>
      </c>
      <c r="Y20" s="1">
        <f t="shared" si="8"/>
        <v>-3024</v>
      </c>
      <c r="Z20">
        <f t="shared" si="9"/>
        <v>-1176</v>
      </c>
      <c r="AA20">
        <f t="shared" si="10"/>
        <v>-0.79365079365079361</v>
      </c>
      <c r="AB20">
        <f t="shared" si="11"/>
        <v>2.0408163265306123</v>
      </c>
      <c r="AC20">
        <f t="shared" si="12"/>
        <v>1.2471655328798188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-1.9416876156075589</v>
      </c>
      <c r="Y21" s="1"/>
      <c r="Z21">
        <f t="shared" si="9"/>
        <v>-1176</v>
      </c>
      <c r="AB21">
        <f t="shared" si="11"/>
        <v>2.0408163265306123</v>
      </c>
    </row>
    <row r="22" spans="1:29" x14ac:dyDescent="0.25">
      <c r="D22" s="5">
        <f>SUM(D13:D21)</f>
        <v>504</v>
      </c>
      <c r="E22" s="5">
        <f>SUM(E14:E21)/D22</f>
        <v>7</v>
      </c>
      <c r="F22" s="5">
        <f>SUM(F14:F21)/D22</f>
        <v>18</v>
      </c>
      <c r="G22" s="5">
        <f>SUM(G14:G21)</f>
        <v>217728</v>
      </c>
      <c r="H22" s="5">
        <f>SUM(H14:H21)</f>
        <v>32928</v>
      </c>
      <c r="I22" s="5">
        <f>SUM(I14:I21)</f>
        <v>63504</v>
      </c>
      <c r="J22" s="5">
        <f>SUM(J14:J21)</f>
        <v>250656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36</v>
      </c>
      <c r="U37" s="1">
        <f>T37</f>
        <v>36</v>
      </c>
    </row>
    <row r="38" spans="1:21" x14ac:dyDescent="0.25">
      <c r="A38">
        <v>2</v>
      </c>
      <c r="B38" s="17">
        <f>'Rigid Bearing Plate Analysis'!B38</f>
        <v>3</v>
      </c>
      <c r="C38" s="17">
        <f>'Rigid Bearing Plate Analysis'!C38</f>
        <v>9</v>
      </c>
      <c r="D38" s="17" t="str">
        <f>'Rigid Bearing Plate Analysis'!D38</f>
        <v>y</v>
      </c>
      <c r="Q38" s="12">
        <f t="shared" ref="Q38:R48" si="14">IF($D38="y",B38,NA())</f>
        <v>3</v>
      </c>
      <c r="R38" s="12">
        <f t="shared" si="14"/>
        <v>9</v>
      </c>
    </row>
    <row r="39" spans="1:21" x14ac:dyDescent="0.25">
      <c r="A39">
        <v>3</v>
      </c>
      <c r="B39" s="17">
        <f>'Rigid Bearing Plate Analysis'!B39</f>
        <v>11</v>
      </c>
      <c r="C39" s="17">
        <f>'Rigid Bearing Plate Analysis'!C39</f>
        <v>3</v>
      </c>
      <c r="D39" s="17" t="str">
        <f>'Rigid Bearing Plate Analysis'!D39</f>
        <v>y</v>
      </c>
      <c r="Q39" s="12">
        <f t="shared" si="14"/>
        <v>11</v>
      </c>
      <c r="R39" s="12">
        <f t="shared" si="14"/>
        <v>3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9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9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15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15</v>
      </c>
    </row>
    <row r="42" spans="1:21" x14ac:dyDescent="0.25">
      <c r="A42">
        <v>6</v>
      </c>
      <c r="B42" s="17">
        <f>'Rigid Bearing Plate Analysis'!B42</f>
        <v>3</v>
      </c>
      <c r="C42" s="17">
        <f>'Rigid Bearing Plate Analysis'!C42</f>
        <v>21</v>
      </c>
      <c r="D42" s="17" t="str">
        <f>'Rigid Bearing Plate Analysis'!D42</f>
        <v>y</v>
      </c>
      <c r="Q42" s="12">
        <f t="shared" si="14"/>
        <v>3</v>
      </c>
      <c r="R42" s="12">
        <f t="shared" si="14"/>
        <v>21</v>
      </c>
    </row>
    <row r="43" spans="1:21" x14ac:dyDescent="0.25">
      <c r="A43">
        <v>7</v>
      </c>
      <c r="B43" s="17">
        <f>'Rigid Bearing Plate Analysis'!B43</f>
        <v>11</v>
      </c>
      <c r="C43" s="17">
        <f>'Rigid Bearing Plate Analysis'!C43</f>
        <v>21</v>
      </c>
      <c r="D43" s="17" t="str">
        <f>'Rigid Bearing Plate Analysis'!D43</f>
        <v>y</v>
      </c>
      <c r="Q43" s="12">
        <f t="shared" si="14"/>
        <v>11</v>
      </c>
      <c r="R43" s="12">
        <f t="shared" si="14"/>
        <v>21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15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15</v>
      </c>
    </row>
    <row r="45" spans="1:21" x14ac:dyDescent="0.25">
      <c r="A45">
        <v>9</v>
      </c>
      <c r="B45" s="17">
        <f>'Rigid Bearing Plate Analysis'!B45</f>
        <v>3</v>
      </c>
      <c r="C45" s="17">
        <f>'Rigid Bearing Plate Analysis'!C45</f>
        <v>27</v>
      </c>
      <c r="D45" s="17" t="str">
        <f>'Rigid Bearing Plate Analysis'!D45</f>
        <v>y</v>
      </c>
      <c r="Q45" s="12">
        <f t="shared" si="14"/>
        <v>3</v>
      </c>
      <c r="R45" s="12">
        <f t="shared" si="14"/>
        <v>27</v>
      </c>
    </row>
    <row r="46" spans="1:21" x14ac:dyDescent="0.25">
      <c r="A46">
        <v>10</v>
      </c>
      <c r="B46" s="17">
        <f>'Rigid Bearing Plate Analysis'!B46</f>
        <v>3</v>
      </c>
      <c r="C46" s="17">
        <f>'Rigid Bearing Plate Analysis'!C46</f>
        <v>33</v>
      </c>
      <c r="D46" s="17" t="str">
        <f>'Rigid Bearing Plate Analysis'!D46</f>
        <v>y</v>
      </c>
      <c r="Q46" s="12">
        <f t="shared" si="14"/>
        <v>3</v>
      </c>
      <c r="R46" s="12">
        <f t="shared" si="14"/>
        <v>33</v>
      </c>
    </row>
    <row r="47" spans="1:21" x14ac:dyDescent="0.25">
      <c r="A47">
        <v>11</v>
      </c>
      <c r="B47" s="17">
        <f>'Rigid Bearing Plate Analysis'!B47</f>
        <v>11</v>
      </c>
      <c r="C47" s="17">
        <f>'Rigid Bearing Plate Analysis'!C47</f>
        <v>27</v>
      </c>
      <c r="D47" s="17" t="str">
        <f>'Rigid Bearing Plate Analysis'!D47</f>
        <v>y</v>
      </c>
      <c r="Q47" s="12">
        <f t="shared" si="14"/>
        <v>11</v>
      </c>
      <c r="R47" s="12">
        <f t="shared" si="14"/>
        <v>27</v>
      </c>
    </row>
    <row r="48" spans="1:21" x14ac:dyDescent="0.25">
      <c r="A48">
        <v>12</v>
      </c>
      <c r="B48" s="17">
        <f>'Rigid Bearing Plate Analysis'!B48</f>
        <v>11</v>
      </c>
      <c r="C48" s="17">
        <f>'Rigid Bearing Plate Analysis'!C48</f>
        <v>33</v>
      </c>
      <c r="D48" s="17" t="str">
        <f>'Rigid Bearing Plate Analysis'!D48</f>
        <v>y</v>
      </c>
      <c r="Q48" s="12">
        <f t="shared" si="14"/>
        <v>11</v>
      </c>
      <c r="R48" s="12">
        <f t="shared" si="14"/>
        <v>33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1.7051201210291647</v>
      </c>
      <c r="C64" t="s">
        <v>19</v>
      </c>
      <c r="D64" t="s">
        <v>34</v>
      </c>
      <c r="H64" s="17">
        <f>DEGREES(B64)</f>
        <v>97.696186497807261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6.1864355956292565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Analysis'!B66-'Rigid Bearing Plate Analysis'!D175</f>
        <v>5.524999918051007</v>
      </c>
      <c r="C66" t="s">
        <v>11</v>
      </c>
      <c r="D66">
        <f>B66/B53</f>
        <v>1.3560675714510476E-3</v>
      </c>
      <c r="I66" s="20"/>
    </row>
    <row r="67" spans="1:18" x14ac:dyDescent="0.25">
      <c r="A67" s="1" t="s">
        <v>37</v>
      </c>
      <c r="B67" s="17">
        <f>'Rigid Bearing Plate Analysis'!B67</f>
        <v>54.091431170546485</v>
      </c>
      <c r="C67" t="s">
        <v>36</v>
      </c>
      <c r="D67" t="s">
        <v>122</v>
      </c>
      <c r="G67" s="20">
        <f ca="1">($B$56*$B$66*$B$55*$E$122)/$B$65</f>
        <v>19.419479426753107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-18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-18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-18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-18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18</v>
      </c>
      <c r="H75" s="1">
        <f t="shared" si="18"/>
        <v>3</v>
      </c>
      <c r="I75" s="4">
        <f t="shared" si="19"/>
        <v>-7</v>
      </c>
      <c r="J75" s="4">
        <f t="shared" si="20"/>
        <v>-18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18</v>
      </c>
      <c r="H76" s="1">
        <f t="shared" si="18"/>
        <v>4</v>
      </c>
      <c r="I76" s="4">
        <f t="shared" si="19"/>
        <v>-7</v>
      </c>
      <c r="J76" s="4">
        <f t="shared" si="20"/>
        <v>-18</v>
      </c>
      <c r="Q76" cm="1">
        <f t="array" ref="Q76">(-1*MAX(ABS(B84:C91)))-1</f>
        <v>-19.775299666768252</v>
      </c>
      <c r="R76">
        <f>Q76</f>
        <v>-19.775299666768252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-18</v>
      </c>
      <c r="H77" s="1">
        <f t="shared" si="18"/>
        <v>5</v>
      </c>
      <c r="I77" s="4">
        <f t="shared" si="19"/>
        <v>-7</v>
      </c>
      <c r="J77" s="4">
        <f t="shared" si="20"/>
        <v>-18</v>
      </c>
      <c r="Q77">
        <f>-1*Q76</f>
        <v>19.775299666768252</v>
      </c>
      <c r="R77">
        <f>Q77</f>
        <v>19.775299666768252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-18</v>
      </c>
      <c r="H78" s="1">
        <f t="shared" si="18"/>
        <v>6</v>
      </c>
      <c r="I78" s="4">
        <f t="shared" si="19"/>
        <v>-7</v>
      </c>
      <c r="J78" s="4">
        <f t="shared" si="20"/>
        <v>-18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-18</v>
      </c>
      <c r="H79" s="1">
        <f t="shared" si="18"/>
        <v>7</v>
      </c>
      <c r="I79" s="4">
        <f t="shared" si="19"/>
        <v>-7</v>
      </c>
      <c r="J79" s="4">
        <f t="shared" si="20"/>
        <v>-18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-18</v>
      </c>
      <c r="H80" s="1">
        <f t="shared" si="18"/>
        <v>8</v>
      </c>
      <c r="I80" s="4">
        <f t="shared" si="19"/>
        <v>-7</v>
      </c>
      <c r="J80" s="4">
        <f t="shared" si="20"/>
        <v>-18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-18</v>
      </c>
      <c r="H81" s="1">
        <f t="shared" si="18"/>
        <v>9</v>
      </c>
      <c r="I81" s="4">
        <f t="shared" si="19"/>
        <v>-7</v>
      </c>
      <c r="J81" s="4">
        <f t="shared" si="20"/>
        <v>-18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-16.900416487452443</v>
      </c>
      <c r="C84" s="1">
        <f t="shared" ref="C84:C92" si="23">(-1*B73*SIN($B$64))+(C73*COS($B$64))</f>
        <v>9.3475088954568921</v>
      </c>
      <c r="H84" s="1">
        <f t="shared" ref="H84:H92" si="24">H73</f>
        <v>1</v>
      </c>
      <c r="I84" s="4">
        <f>(I73*COS($B$64))+(J73*SIN($B$64))</f>
        <v>-16.900416487452443</v>
      </c>
      <c r="J84" s="1">
        <f>(-1*I73*SIN($B$64))+(J73*COS($B$64))</f>
        <v>9.3475088954568921</v>
      </c>
    </row>
    <row r="85" spans="1:10" x14ac:dyDescent="0.25">
      <c r="A85" s="1">
        <f t="shared" si="21"/>
        <v>2</v>
      </c>
      <c r="B85" s="4">
        <f t="shared" si="22"/>
        <v>-18.775299666768252</v>
      </c>
      <c r="C85" s="1">
        <f t="shared" si="23"/>
        <v>-4.5263807200733766</v>
      </c>
      <c r="H85" s="1">
        <f t="shared" si="24"/>
        <v>2</v>
      </c>
      <c r="I85" s="4">
        <f t="shared" ref="I85:I92" si="25">(I74*COS($B$64))+(J74*SIN($B$64))</f>
        <v>-16.900416487452443</v>
      </c>
      <c r="J85" s="1">
        <f t="shared" ref="J85:J92" si="26">(-1*I74*SIN($B$64))+(J74*COS($B$64))</f>
        <v>9.3475088954568921</v>
      </c>
    </row>
    <row r="86" spans="1:10" x14ac:dyDescent="0.25">
      <c r="A86" s="1">
        <f t="shared" si="21"/>
        <v>3</v>
      </c>
      <c r="B86" s="4">
        <f t="shared" si="22"/>
        <v>16.900416487452443</v>
      </c>
      <c r="C86" s="1">
        <f t="shared" si="23"/>
        <v>-9.3475088954568921</v>
      </c>
      <c r="H86" s="1">
        <f t="shared" si="24"/>
        <v>3</v>
      </c>
      <c r="I86" s="4">
        <f t="shared" si="25"/>
        <v>-16.900416487452443</v>
      </c>
      <c r="J86" s="1">
        <f t="shared" si="26"/>
        <v>9.3475088954568921</v>
      </c>
    </row>
    <row r="87" spans="1:10" x14ac:dyDescent="0.25">
      <c r="A87" s="1">
        <f t="shared" si="21"/>
        <v>4</v>
      </c>
      <c r="B87" s="4">
        <f t="shared" si="22"/>
        <v>18.775299666768252</v>
      </c>
      <c r="C87" s="1">
        <f t="shared" si="23"/>
        <v>4.5263807200733766</v>
      </c>
      <c r="H87" s="1">
        <f t="shared" si="24"/>
        <v>4</v>
      </c>
      <c r="I87" s="4">
        <f t="shared" si="25"/>
        <v>-16.900416487452443</v>
      </c>
      <c r="J87" s="1">
        <f t="shared" si="26"/>
        <v>9.3475088954568921</v>
      </c>
    </row>
    <row r="88" spans="1:10" x14ac:dyDescent="0.25">
      <c r="A88" s="1">
        <f t="shared" si="21"/>
        <v>5</v>
      </c>
      <c r="B88" s="4">
        <f t="shared" si="22"/>
        <v>-16.900416487452443</v>
      </c>
      <c r="C88" s="1">
        <f t="shared" si="23"/>
        <v>9.3475088954568921</v>
      </c>
      <c r="H88" s="1">
        <f t="shared" si="24"/>
        <v>5</v>
      </c>
      <c r="I88" s="4">
        <f t="shared" si="25"/>
        <v>-16.900416487452443</v>
      </c>
      <c r="J88" s="1">
        <f t="shared" si="26"/>
        <v>9.3475088954568921</v>
      </c>
    </row>
    <row r="89" spans="1:10" x14ac:dyDescent="0.25">
      <c r="A89" s="1">
        <f t="shared" si="21"/>
        <v>6</v>
      </c>
      <c r="B89" s="4">
        <f t="shared" si="22"/>
        <v>-16.900416487452443</v>
      </c>
      <c r="C89" s="1">
        <f t="shared" si="23"/>
        <v>9.3475088954568921</v>
      </c>
      <c r="H89" s="1">
        <f t="shared" si="24"/>
        <v>6</v>
      </c>
      <c r="I89" s="4">
        <f t="shared" si="25"/>
        <v>-16.900416487452443</v>
      </c>
      <c r="J89" s="1">
        <f t="shared" si="26"/>
        <v>9.3475088954568921</v>
      </c>
    </row>
    <row r="90" spans="1:10" x14ac:dyDescent="0.25">
      <c r="A90" s="1">
        <f t="shared" si="21"/>
        <v>7</v>
      </c>
      <c r="B90" s="4">
        <f t="shared" si="22"/>
        <v>-16.900416487452443</v>
      </c>
      <c r="C90" s="1">
        <f t="shared" si="23"/>
        <v>9.3475088954568921</v>
      </c>
      <c r="H90" s="1">
        <f t="shared" si="24"/>
        <v>7</v>
      </c>
      <c r="I90" s="4">
        <f t="shared" si="25"/>
        <v>-16.900416487452443</v>
      </c>
      <c r="J90" s="1">
        <f t="shared" si="26"/>
        <v>9.3475088954568921</v>
      </c>
    </row>
    <row r="91" spans="1:10" x14ac:dyDescent="0.25">
      <c r="A91" s="1">
        <f t="shared" si="21"/>
        <v>8</v>
      </c>
      <c r="B91" s="4">
        <f t="shared" si="22"/>
        <v>-16.900416487452443</v>
      </c>
      <c r="C91" s="1">
        <f t="shared" si="23"/>
        <v>9.3475088954568921</v>
      </c>
      <c r="H91" s="1">
        <f t="shared" si="24"/>
        <v>8</v>
      </c>
      <c r="I91" s="4">
        <f t="shared" si="25"/>
        <v>-16.900416487452443</v>
      </c>
      <c r="J91" s="1">
        <f t="shared" si="26"/>
        <v>9.3475088954568921</v>
      </c>
    </row>
    <row r="92" spans="1:10" x14ac:dyDescent="0.25">
      <c r="A92" s="1">
        <f t="shared" si="21"/>
        <v>9</v>
      </c>
      <c r="B92" s="4">
        <f t="shared" si="22"/>
        <v>-16.900416487452443</v>
      </c>
      <c r="C92" s="1">
        <f t="shared" si="23"/>
        <v>9.3475088954568921</v>
      </c>
      <c r="H92" s="1">
        <f t="shared" si="24"/>
        <v>9</v>
      </c>
      <c r="I92" s="4">
        <f t="shared" si="25"/>
        <v>-16.900416487452443</v>
      </c>
      <c r="J92" s="1">
        <f t="shared" si="26"/>
        <v>9.3475088954568921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-15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-4</v>
      </c>
      <c r="C96" s="4">
        <f t="shared" si="29"/>
        <v>-9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4</v>
      </c>
      <c r="C97" s="4">
        <f t="shared" si="29"/>
        <v>-15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-9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-3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-4</v>
      </c>
      <c r="C100" s="4">
        <f t="shared" si="29"/>
        <v>3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4</v>
      </c>
      <c r="C101" s="4">
        <f t="shared" si="29"/>
        <v>3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-3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-4</v>
      </c>
      <c r="C103" s="4">
        <f t="shared" si="29"/>
        <v>9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-4</v>
      </c>
      <c r="C104" s="4">
        <f t="shared" si="29"/>
        <v>15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4</v>
      </c>
      <c r="C105" s="4">
        <f t="shared" si="29"/>
        <v>9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4</v>
      </c>
      <c r="C106" s="4">
        <f t="shared" si="29"/>
        <v>15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-14.329200822549341</v>
      </c>
      <c r="C110" s="1">
        <f>(-1*B95*SIN($B$64))+(C95*COS($B$64))</f>
        <v>5.9727718679898754</v>
      </c>
      <c r="D110" t="str">
        <f t="shared" ref="D110" si="31">D95</f>
        <v>y</v>
      </c>
      <c r="E110" s="4">
        <f t="shared" ref="E110:E121" si="32">IF($D110="y",$B$125-C110,0)</f>
        <v>-2.8116985681622397</v>
      </c>
      <c r="F110" s="1">
        <f>IF($D110="y",B110,NA())</f>
        <v>-14.329200822549341</v>
      </c>
      <c r="G110" s="1">
        <f>IF($D110="y",C110,NA())</f>
        <v>5.9727718679898754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6.1632473013603401E-4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-8.3832481301792274</v>
      </c>
      <c r="C111" s="1">
        <f t="shared" ref="C111:C121" si="37">(-1*B96*SIN($B$64))+(C96*COS($B$64))</f>
        <v>5.1692505054259561</v>
      </c>
      <c r="D111" t="str">
        <f t="shared" si="35"/>
        <v>y</v>
      </c>
      <c r="E111" s="4">
        <f t="shared" si="32"/>
        <v>-2.0081772055983205</v>
      </c>
      <c r="F111" s="1">
        <f t="shared" ref="F111:G121" si="38">IF($D111="y",B111,NA())</f>
        <v>-8.3832481301792274</v>
      </c>
      <c r="G111" s="1">
        <f t="shared" si="38"/>
        <v>5.1692505054259561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4.4019273200920981E-4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-15.400562639301233</v>
      </c>
      <c r="C112" s="1">
        <f t="shared" si="37"/>
        <v>-1.9551650551702782</v>
      </c>
      <c r="D112" t="str">
        <f t="shared" si="35"/>
        <v>y</v>
      </c>
      <c r="E112" s="4">
        <f t="shared" si="32"/>
        <v>5.1162383549979138</v>
      </c>
      <c r="F112" s="1">
        <f t="shared" si="38"/>
        <v>-15.400562639301233</v>
      </c>
      <c r="G112" s="1">
        <f t="shared" si="38"/>
        <v>-1.9551650551702782</v>
      </c>
      <c r="H112">
        <f t="shared" si="33"/>
        <v>-30.298811699433092</v>
      </c>
      <c r="I112">
        <f t="shared" si="39"/>
        <v>59.239177847915968</v>
      </c>
      <c r="J112">
        <f t="shared" si="40"/>
        <v>-466.61874747351237</v>
      </c>
      <c r="K112">
        <f t="shared" ref="K112:K121" ca="1" si="45">H112/$B$55</f>
        <v>-90.590048081066257</v>
      </c>
      <c r="L112">
        <f t="shared" ca="1" si="41"/>
        <v>-3.1237947614160778E-3</v>
      </c>
      <c r="M112">
        <f t="shared" si="34"/>
        <v>-1.1214801825349036E-3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-9.4546099469311198</v>
      </c>
      <c r="C113" s="1">
        <f t="shared" si="37"/>
        <v>-2.7586864177341974</v>
      </c>
      <c r="D113" t="str">
        <f t="shared" si="35"/>
        <v>y</v>
      </c>
      <c r="E113" s="4">
        <f t="shared" si="32"/>
        <v>5.9197597175618331</v>
      </c>
      <c r="F113" s="1">
        <f t="shared" si="38"/>
        <v>-9.4546099469311198</v>
      </c>
      <c r="G113" s="1">
        <f t="shared" si="38"/>
        <v>-2.7586864177341974</v>
      </c>
      <c r="H113">
        <f t="shared" si="33"/>
        <v>-35.057335593655765</v>
      </c>
      <c r="I113">
        <f t="shared" si="39"/>
        <v>96.712195544167798</v>
      </c>
      <c r="J113">
        <f t="shared" si="40"/>
        <v>-331.45343381668016</v>
      </c>
      <c r="K113">
        <f t="shared" ca="1" si="45"/>
        <v>-104.81750071679454</v>
      </c>
      <c r="L113">
        <f t="shared" ca="1" si="41"/>
        <v>-3.614396576441191E-3</v>
      </c>
      <c r="M113">
        <f t="shared" si="34"/>
        <v>-1.2976121806617278E-3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-2.4372954378091114</v>
      </c>
      <c r="C114" s="1">
        <f t="shared" si="37"/>
        <v>4.3657291428620368</v>
      </c>
      <c r="D114" t="str">
        <f t="shared" si="35"/>
        <v>y</v>
      </c>
      <c r="E114" s="4">
        <f t="shared" si="32"/>
        <v>-1.2046558430344012</v>
      </c>
      <c r="F114" s="1">
        <f t="shared" si="38"/>
        <v>-2.4372954378091114</v>
      </c>
      <c r="G114" s="1">
        <f t="shared" si="38"/>
        <v>4.3657291428620368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2.6406073388238562E-4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3.5086572545610037</v>
      </c>
      <c r="C115" s="1">
        <f t="shared" si="37"/>
        <v>3.5622077802981171</v>
      </c>
      <c r="D115" t="str">
        <f t="shared" si="35"/>
        <v>y</v>
      </c>
      <c r="E115" s="4">
        <f t="shared" si="32"/>
        <v>-0.4011344804704815</v>
      </c>
      <c r="F115" s="1">
        <f t="shared" si="38"/>
        <v>3.5086572545610037</v>
      </c>
      <c r="G115" s="1">
        <f t="shared" si="38"/>
        <v>3.5622077802981171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8.7928735755561324E-5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2.4372954378091114</v>
      </c>
      <c r="C116" s="1">
        <f t="shared" si="37"/>
        <v>-4.3657291428620368</v>
      </c>
      <c r="D116" t="str">
        <f t="shared" si="35"/>
        <v>y</v>
      </c>
      <c r="E116" s="4">
        <f t="shared" si="32"/>
        <v>7.5268024426896725</v>
      </c>
      <c r="F116" s="1">
        <f t="shared" si="38"/>
        <v>2.4372954378091114</v>
      </c>
      <c r="G116" s="1">
        <f t="shared" si="38"/>
        <v>-4.3657291428620368</v>
      </c>
      <c r="H116">
        <f t="shared" si="33"/>
        <v>-44.574383382101125</v>
      </c>
      <c r="I116">
        <f t="shared" si="39"/>
        <v>194.59968455634416</v>
      </c>
      <c r="J116">
        <f t="shared" si="40"/>
        <v>108.64094126034934</v>
      </c>
      <c r="K116">
        <f t="shared" ca="1" si="45"/>
        <v>-133.27240598825117</v>
      </c>
      <c r="L116">
        <f t="shared" ca="1" si="41"/>
        <v>-4.5956002064914195E-3</v>
      </c>
      <c r="M116">
        <f t="shared" si="34"/>
        <v>-1.6498761769153762E-3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-3.5086572545610037</v>
      </c>
      <c r="C117" s="1">
        <f t="shared" si="37"/>
        <v>-3.5622077802981171</v>
      </c>
      <c r="D117" t="str">
        <f t="shared" si="35"/>
        <v>y</v>
      </c>
      <c r="E117" s="4">
        <f t="shared" si="32"/>
        <v>6.7232810801257532</v>
      </c>
      <c r="F117" s="1">
        <f t="shared" si="38"/>
        <v>-3.5086572545610037</v>
      </c>
      <c r="G117" s="1">
        <f t="shared" si="38"/>
        <v>-3.5622077802981171</v>
      </c>
      <c r="H117">
        <f t="shared" si="33"/>
        <v>-39.815859487878448</v>
      </c>
      <c r="I117">
        <f t="shared" si="39"/>
        <v>141.83236444697721</v>
      </c>
      <c r="J117">
        <f t="shared" si="40"/>
        <v>-139.70020423872629</v>
      </c>
      <c r="K117">
        <f t="shared" ca="1" si="45"/>
        <v>-119.04495335252287</v>
      </c>
      <c r="L117">
        <f t="shared" ca="1" si="41"/>
        <v>-4.1049983914663059E-3</v>
      </c>
      <c r="M117">
        <f t="shared" si="34"/>
        <v>-1.473744178788552E-3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9.4546099469311198</v>
      </c>
      <c r="C118" s="1">
        <f t="shared" si="37"/>
        <v>2.7586864177341974</v>
      </c>
      <c r="D118" t="str">
        <f t="shared" si="35"/>
        <v>y</v>
      </c>
      <c r="E118" s="4">
        <f t="shared" si="32"/>
        <v>0.4023868820934382</v>
      </c>
      <c r="F118" s="1">
        <f t="shared" si="38"/>
        <v>9.4546099469311198</v>
      </c>
      <c r="G118" s="1">
        <f t="shared" si="38"/>
        <v>2.7586864177341974</v>
      </c>
      <c r="H118">
        <f t="shared" si="33"/>
        <v>-2.3829703631694934</v>
      </c>
      <c r="I118">
        <f t="shared" si="39"/>
        <v>-6.5738679747388096</v>
      </c>
      <c r="J118">
        <f t="shared" si="40"/>
        <v>22.530055298864355</v>
      </c>
      <c r="K118">
        <f t="shared" ca="1" si="45"/>
        <v>-7.1248140658704262</v>
      </c>
      <c r="L118">
        <f t="shared" ca="1" si="41"/>
        <v>-2.4568324365070433E-4</v>
      </c>
      <c r="M118">
        <f t="shared" si="34"/>
        <v>-8.8203262371262963E-5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15.400562639301233</v>
      </c>
      <c r="C119" s="1">
        <f t="shared" si="37"/>
        <v>1.9551650551702782</v>
      </c>
      <c r="D119" t="str">
        <f t="shared" si="35"/>
        <v>y</v>
      </c>
      <c r="E119" s="4">
        <f t="shared" si="32"/>
        <v>1.2059082446573575</v>
      </c>
      <c r="F119" s="1">
        <f t="shared" si="38"/>
        <v>15.400562639301233</v>
      </c>
      <c r="G119" s="1">
        <f t="shared" si="38"/>
        <v>1.9551650551702782</v>
      </c>
      <c r="H119">
        <f t="shared" si="33"/>
        <v>-7.1414942573921705</v>
      </c>
      <c r="I119">
        <f t="shared" si="39"/>
        <v>-13.962800013752387</v>
      </c>
      <c r="J119">
        <f t="shared" si="40"/>
        <v>109.98302964917816</v>
      </c>
      <c r="K119">
        <f t="shared" ca="1" si="45"/>
        <v>-21.35226670159873</v>
      </c>
      <c r="L119">
        <f t="shared" ca="1" si="41"/>
        <v>-7.3628505867581826E-4</v>
      </c>
      <c r="M119">
        <f t="shared" si="34"/>
        <v>-2.6433526049808717E-4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8.3832481301792274</v>
      </c>
      <c r="C120" s="1">
        <f t="shared" si="37"/>
        <v>-5.1692505054259561</v>
      </c>
      <c r="D120" t="str">
        <f t="shared" si="35"/>
        <v>y</v>
      </c>
      <c r="E120" s="4">
        <f t="shared" si="32"/>
        <v>8.3303238052535917</v>
      </c>
      <c r="F120" s="1">
        <f t="shared" si="38"/>
        <v>8.3832481301792274</v>
      </c>
      <c r="G120" s="1">
        <f t="shared" si="38"/>
        <v>-5.1692505054259561</v>
      </c>
      <c r="H120">
        <f t="shared" si="33"/>
        <v>-49.332907276323802</v>
      </c>
      <c r="I120">
        <f t="shared" si="39"/>
        <v>255.01415587226865</v>
      </c>
      <c r="J120">
        <f t="shared" si="40"/>
        <v>413.57000268054674</v>
      </c>
      <c r="K120">
        <f t="shared" ca="1" si="45"/>
        <v>-147.49985862397949</v>
      </c>
      <c r="L120">
        <f t="shared" ca="1" si="41"/>
        <v>-5.086202021516534E-3</v>
      </c>
      <c r="M120">
        <f t="shared" si="34"/>
        <v>-1.8260081750422004E-3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14.329200822549341</v>
      </c>
      <c r="C121" s="1">
        <f t="shared" si="37"/>
        <v>-5.9727718679898754</v>
      </c>
      <c r="D121" t="str">
        <f t="shared" si="35"/>
        <v>y</v>
      </c>
      <c r="E121" s="4">
        <f t="shared" si="32"/>
        <v>9.1338451678175119</v>
      </c>
      <c r="F121" s="1">
        <f t="shared" si="38"/>
        <v>14.329200822549341</v>
      </c>
      <c r="G121" s="1">
        <f t="shared" si="38"/>
        <v>-5.9727718679898754</v>
      </c>
      <c r="H121" s="23">
        <f t="shared" si="33"/>
        <v>-54.091431170546485</v>
      </c>
      <c r="I121" s="23">
        <f t="shared" si="39"/>
        <v>323.07577839475073</v>
      </c>
      <c r="J121" s="23">
        <f t="shared" si="40"/>
        <v>775.08698002186577</v>
      </c>
      <c r="K121">
        <f t="shared" ca="1" si="45"/>
        <v>-161.72731125970779</v>
      </c>
      <c r="L121">
        <f t="shared" ca="1" si="41"/>
        <v>-5.5768038365416476E-3</v>
      </c>
      <c r="M121">
        <f t="shared" si="34"/>
        <v>-2.002140173169025E-3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9.1338451678175119</v>
      </c>
      <c r="H122">
        <f>SUM(H110:H121)</f>
        <v>-262.69519323050037</v>
      </c>
      <c r="I122">
        <f t="shared" ref="I122:J122" si="46">SUM(I110:I121)</f>
        <v>1049.9366886739333</v>
      </c>
      <c r="J122">
        <f t="shared" si="46"/>
        <v>492.0386233818856</v>
      </c>
      <c r="L122">
        <f ca="1">MIN(L110:L121)</f>
        <v>-5.5768038365416476E-3</v>
      </c>
      <c r="M122">
        <f>MIN(M110:M121)</f>
        <v>-2.002140173169025E-3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3.1610732998276356</v>
      </c>
      <c r="F125" s="1" t="s">
        <v>27</v>
      </c>
      <c r="G125" s="1" t="s">
        <v>28</v>
      </c>
    </row>
    <row r="126" spans="1:16" x14ac:dyDescent="0.25">
      <c r="F126" s="4">
        <f>MIN(B84:B90)-1</f>
        <v>-19.775299666768252</v>
      </c>
      <c r="G126" s="4">
        <f>B125</f>
        <v>3.1610732998276356</v>
      </c>
    </row>
    <row r="127" spans="1:16" x14ac:dyDescent="0.25">
      <c r="F127" s="4">
        <f>MAX(B84:B90)+1</f>
        <v>19.775299666768252</v>
      </c>
      <c r="G127" s="4">
        <f>G126</f>
        <v>3.1610732998276356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-16.900416487452443</v>
      </c>
      <c r="C132" s="4">
        <f>C84</f>
        <v>9.3475088954568921</v>
      </c>
      <c r="D132" s="4">
        <f t="shared" ref="D132:E139" si="47">B85</f>
        <v>-18.775299666768252</v>
      </c>
      <c r="E132" s="4">
        <f t="shared" si="47"/>
        <v>-4.5263807200733766</v>
      </c>
      <c r="F132" s="4">
        <f t="shared" ref="F132:F139" si="48">($B$66/$B$65)*(C132-$B$125)</f>
        <v>5.524999918051007</v>
      </c>
      <c r="G132" s="4">
        <f t="shared" ref="G132:G139" si="49">($B$66/$B$65)*(E132-$B$125)</f>
        <v>-6.8655338237064107</v>
      </c>
      <c r="H132" s="4">
        <f>IF(B132=D132,"V",(C132-E132)/(B132-D132))</f>
        <v>7.3998688390778531</v>
      </c>
      <c r="I132" s="4">
        <f>IF(H132="V",0,(-1*B132*H132)+C132)</f>
        <v>134.4083742283938</v>
      </c>
      <c r="J132" s="4">
        <f>IF($F132&gt;=0,B132,IF(AND($F132&lt;0,$G132&gt;=0),IF(H132="V",B132,($B$125-I132)/H132),0))</f>
        <v>-16.900416487452443</v>
      </c>
      <c r="K132" s="4">
        <f>IF($F132&gt;=0,C132,IF(AND($F132&lt;0,$G132&gt;=0),$B$125,0))</f>
        <v>9.3475088954568921</v>
      </c>
      <c r="L132" s="4">
        <f>IF($G132&gt;=0,D132,IF(AND($G132&lt;0,$F132&gt;=0),IF(H132="V",D132,($B$125-I132)/H132),0))</f>
        <v>-17.736436115659821</v>
      </c>
      <c r="M132" s="4">
        <f>IF($G132&gt;=0,E132,IF(AND($G132&lt;0,$F132&gt;=0),$B$125,0))</f>
        <v>3.1610732998276356</v>
      </c>
      <c r="N132" s="4">
        <f>IF(F132&lt;0,0,F132)</f>
        <v>5.524999918051007</v>
      </c>
      <c r="O132" s="4">
        <f>IF(G132&lt;0,0,G132)</f>
        <v>0</v>
      </c>
      <c r="P132" s="4">
        <f>(1/6)*(M132-K132)*((N132*((2*J132)+L132))+(O132*(J132+(2*L132))))</f>
        <v>293.59112529846408</v>
      </c>
      <c r="Q132" s="4">
        <f>((1/12)*(M132-K132)*(N132*J132*((3*K132)+M132)+N132*L132*(K132+M132)+O132*J132*(K132+M132)+O132*L132*(K132+(3*M132))))</f>
        <v>2134.0076087332191</v>
      </c>
      <c r="R132" s="4">
        <f>((-1/24)*(M132-K132)*(J132*J132*((3*N132)+O132)+2*J132*L132*(N132+O132)+L132*L132*(N132+(3*O132))))</f>
        <v>2522.1459354386056</v>
      </c>
    </row>
    <row r="133" spans="1:18" x14ac:dyDescent="0.25">
      <c r="A133" t="s">
        <v>70</v>
      </c>
      <c r="B133" s="4">
        <f t="shared" ref="B133:C138" si="50">D132</f>
        <v>-18.775299666768252</v>
      </c>
      <c r="C133" s="4">
        <f t="shared" si="50"/>
        <v>-4.5263807200733766</v>
      </c>
      <c r="D133" s="4">
        <f t="shared" si="47"/>
        <v>16.900416487452443</v>
      </c>
      <c r="E133" s="4">
        <f t="shared" si="47"/>
        <v>-9.3475088954568921</v>
      </c>
      <c r="F133" s="4">
        <f t="shared" si="48"/>
        <v>-6.8655338237064107</v>
      </c>
      <c r="G133" s="4">
        <f t="shared" si="49"/>
        <v>-11.171201014798854</v>
      </c>
      <c r="H133" s="4">
        <f t="shared" ref="H133:H139" si="51">IF(B133=D133,"V",(C133-E133)/(B133-D133))</f>
        <v>-0.13513753037339213</v>
      </c>
      <c r="I133" s="4">
        <f t="shared" ref="I133:I139" si="52">IF(H133="V",0,(-1*B133*H133)+C133)</f>
        <v>-7.0636283490608101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16.900416487452443</v>
      </c>
      <c r="C134" s="4">
        <f t="shared" si="50"/>
        <v>-9.3475088954568921</v>
      </c>
      <c r="D134" s="4">
        <f t="shared" si="47"/>
        <v>18.775299666768252</v>
      </c>
      <c r="E134" s="4">
        <f t="shared" si="47"/>
        <v>4.5263807200733766</v>
      </c>
      <c r="F134" s="4">
        <f t="shared" si="48"/>
        <v>-11.171201014798854</v>
      </c>
      <c r="G134" s="4">
        <f t="shared" si="49"/>
        <v>1.2193327269585641</v>
      </c>
      <c r="H134" s="4">
        <f t="shared" si="51"/>
        <v>7.3998688390778531</v>
      </c>
      <c r="I134" s="4">
        <f t="shared" si="52"/>
        <v>-134.4083742283938</v>
      </c>
      <c r="J134" s="4">
        <f t="shared" si="53"/>
        <v>18.590795393795776</v>
      </c>
      <c r="K134" s="4">
        <f t="shared" si="54"/>
        <v>3.1610732998276356</v>
      </c>
      <c r="L134" s="4">
        <f t="shared" si="55"/>
        <v>18.775299666768252</v>
      </c>
      <c r="M134" s="4">
        <f t="shared" si="56"/>
        <v>4.5263807200733766</v>
      </c>
      <c r="N134" s="4">
        <f t="shared" si="57"/>
        <v>0</v>
      </c>
      <c r="O134" s="4">
        <f t="shared" si="57"/>
        <v>1.2193327269585641</v>
      </c>
      <c r="P134" s="4">
        <f t="shared" si="58"/>
        <v>15.577028994516914</v>
      </c>
      <c r="Q134" s="4">
        <f t="shared" si="59"/>
        <v>63.430068250400318</v>
      </c>
      <c r="R134" s="4">
        <f t="shared" si="60"/>
        <v>-145.75347601571698</v>
      </c>
    </row>
    <row r="135" spans="1:18" x14ac:dyDescent="0.25">
      <c r="A135" t="s">
        <v>72</v>
      </c>
      <c r="B135" s="4">
        <f t="shared" si="50"/>
        <v>18.775299666768252</v>
      </c>
      <c r="C135" s="4">
        <f t="shared" si="50"/>
        <v>4.5263807200733766</v>
      </c>
      <c r="D135" s="4">
        <f t="shared" si="47"/>
        <v>-16.900416487452443</v>
      </c>
      <c r="E135" s="4">
        <f t="shared" si="47"/>
        <v>9.3475088954568921</v>
      </c>
      <c r="F135" s="4">
        <f t="shared" si="48"/>
        <v>1.2193327269585641</v>
      </c>
      <c r="G135" s="4">
        <f t="shared" si="49"/>
        <v>5.524999918051007</v>
      </c>
      <c r="H135" s="4">
        <f t="shared" si="51"/>
        <v>-0.13513753037339213</v>
      </c>
      <c r="I135" s="4">
        <f t="shared" si="52"/>
        <v>7.0636283490608101</v>
      </c>
      <c r="J135" s="4">
        <f t="shared" si="53"/>
        <v>18.775299666768252</v>
      </c>
      <c r="K135" s="4">
        <f t="shared" si="54"/>
        <v>4.5263807200733766</v>
      </c>
      <c r="L135" s="4">
        <f t="shared" si="55"/>
        <v>-16.900416487452443</v>
      </c>
      <c r="M135" s="4">
        <f t="shared" si="56"/>
        <v>9.3475088954568921</v>
      </c>
      <c r="N135" s="4">
        <f t="shared" si="57"/>
        <v>1.2193327269585641</v>
      </c>
      <c r="O135" s="4">
        <f t="shared" si="57"/>
        <v>5.524999918051007</v>
      </c>
      <c r="P135" s="4">
        <f t="shared" si="58"/>
        <v>-46.472964958876126</v>
      </c>
      <c r="Q135" s="4">
        <f t="shared" si="59"/>
        <v>-547.58476815519759</v>
      </c>
      <c r="R135" s="4">
        <f t="shared" si="60"/>
        <v>-811.45857409405801</v>
      </c>
    </row>
    <row r="136" spans="1:18" x14ac:dyDescent="0.25">
      <c r="A136" t="s">
        <v>73</v>
      </c>
      <c r="B136" s="4">
        <f t="shared" si="50"/>
        <v>-16.900416487452443</v>
      </c>
      <c r="C136" s="4">
        <f t="shared" si="50"/>
        <v>9.3475088954568921</v>
      </c>
      <c r="D136" s="4">
        <f t="shared" si="47"/>
        <v>-16.900416487452443</v>
      </c>
      <c r="E136" s="4">
        <f t="shared" si="47"/>
        <v>9.3475088954568921</v>
      </c>
      <c r="F136" s="4">
        <f t="shared" si="48"/>
        <v>5.524999918051007</v>
      </c>
      <c r="G136" s="4">
        <f t="shared" si="49"/>
        <v>5.524999918051007</v>
      </c>
      <c r="H136" s="4" t="str">
        <f t="shared" si="51"/>
        <v>V</v>
      </c>
      <c r="I136" s="4">
        <f t="shared" si="52"/>
        <v>0</v>
      </c>
      <c r="J136" s="4">
        <f t="shared" si="53"/>
        <v>-16.900416487452443</v>
      </c>
      <c r="K136" s="4">
        <f t="shared" si="54"/>
        <v>9.3475088954568921</v>
      </c>
      <c r="L136" s="4">
        <f t="shared" si="55"/>
        <v>-16.900416487452443</v>
      </c>
      <c r="M136" s="4">
        <f t="shared" si="56"/>
        <v>9.3475088954568921</v>
      </c>
      <c r="N136" s="4">
        <f t="shared" si="57"/>
        <v>5.524999918051007</v>
      </c>
      <c r="O136" s="4">
        <f t="shared" si="57"/>
        <v>5.524999918051007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-16.900416487452443</v>
      </c>
      <c r="C137" s="4">
        <f t="shared" si="50"/>
        <v>9.3475088954568921</v>
      </c>
      <c r="D137" s="4">
        <f t="shared" si="47"/>
        <v>-16.900416487452443</v>
      </c>
      <c r="E137" s="4">
        <f t="shared" si="47"/>
        <v>9.3475088954568921</v>
      </c>
      <c r="F137" s="4">
        <f t="shared" si="48"/>
        <v>5.524999918051007</v>
      </c>
      <c r="G137" s="4">
        <f t="shared" si="49"/>
        <v>5.524999918051007</v>
      </c>
      <c r="H137" s="4" t="str">
        <f t="shared" si="51"/>
        <v>V</v>
      </c>
      <c r="I137" s="4">
        <f t="shared" si="52"/>
        <v>0</v>
      </c>
      <c r="J137" s="4">
        <f t="shared" si="53"/>
        <v>-16.900416487452443</v>
      </c>
      <c r="K137" s="4">
        <f t="shared" si="54"/>
        <v>9.3475088954568921</v>
      </c>
      <c r="L137" s="4">
        <f t="shared" si="55"/>
        <v>-16.900416487452443</v>
      </c>
      <c r="M137" s="4">
        <f t="shared" si="56"/>
        <v>9.3475088954568921</v>
      </c>
      <c r="N137" s="4">
        <f t="shared" si="57"/>
        <v>5.524999918051007</v>
      </c>
      <c r="O137" s="4">
        <f t="shared" si="57"/>
        <v>5.524999918051007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-16.900416487452443</v>
      </c>
      <c r="C138" s="4">
        <f t="shared" si="50"/>
        <v>9.3475088954568921</v>
      </c>
      <c r="D138" s="4">
        <f t="shared" si="47"/>
        <v>-16.900416487452443</v>
      </c>
      <c r="E138" s="4">
        <f t="shared" si="47"/>
        <v>9.3475088954568921</v>
      </c>
      <c r="F138" s="4">
        <f t="shared" si="48"/>
        <v>5.524999918051007</v>
      </c>
      <c r="G138" s="4">
        <f t="shared" si="49"/>
        <v>5.524999918051007</v>
      </c>
      <c r="H138" s="4" t="str">
        <f t="shared" si="51"/>
        <v>V</v>
      </c>
      <c r="I138" s="4">
        <f t="shared" si="52"/>
        <v>0</v>
      </c>
      <c r="J138" s="4">
        <f t="shared" si="53"/>
        <v>-16.900416487452443</v>
      </c>
      <c r="K138" s="4">
        <f t="shared" si="54"/>
        <v>9.3475088954568921</v>
      </c>
      <c r="L138" s="4">
        <f t="shared" si="55"/>
        <v>-16.900416487452443</v>
      </c>
      <c r="M138" s="4">
        <f t="shared" si="56"/>
        <v>9.3475088954568921</v>
      </c>
      <c r="N138" s="4">
        <f t="shared" si="57"/>
        <v>5.524999918051007</v>
      </c>
      <c r="O138" s="4">
        <f t="shared" si="57"/>
        <v>5.524999918051007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-16.900416487452443</v>
      </c>
      <c r="C139" s="4">
        <f>E138</f>
        <v>9.3475088954568921</v>
      </c>
      <c r="D139" s="4">
        <f t="shared" si="47"/>
        <v>-16.900416487452443</v>
      </c>
      <c r="E139" s="4">
        <f t="shared" si="47"/>
        <v>9.3475088954568921</v>
      </c>
      <c r="F139" s="4">
        <f t="shared" si="48"/>
        <v>5.524999918051007</v>
      </c>
      <c r="G139" s="4">
        <f t="shared" si="49"/>
        <v>5.524999918051007</v>
      </c>
      <c r="H139" s="4" t="str">
        <f t="shared" si="51"/>
        <v>V</v>
      </c>
      <c r="I139" s="4">
        <f t="shared" si="52"/>
        <v>0</v>
      </c>
      <c r="J139" s="4">
        <f t="shared" si="53"/>
        <v>-16.900416487452443</v>
      </c>
      <c r="K139" s="4">
        <f t="shared" si="54"/>
        <v>9.3475088954568921</v>
      </c>
      <c r="L139" s="4">
        <f t="shared" si="55"/>
        <v>-16.900416487452443</v>
      </c>
      <c r="M139" s="4">
        <f t="shared" si="56"/>
        <v>9.3475088954568921</v>
      </c>
      <c r="N139" s="4">
        <f t="shared" si="57"/>
        <v>5.524999918051007</v>
      </c>
      <c r="O139" s="4">
        <f t="shared" si="57"/>
        <v>5.524999918051007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262.6951893341049</v>
      </c>
      <c r="Q140" s="4">
        <f>SUM(Q132:Q139)</f>
        <v>1649.8529088284217</v>
      </c>
      <c r="R140" s="4">
        <f>SUM(R132:R139)</f>
        <v>1564.9338853288309</v>
      </c>
    </row>
    <row r="142" spans="1:18" x14ac:dyDescent="0.25">
      <c r="O142" t="s">
        <v>96</v>
      </c>
      <c r="P142" s="1">
        <f>-1*R140/P140</f>
        <v>-5.9572232338769382</v>
      </c>
    </row>
    <row r="143" spans="1:18" x14ac:dyDescent="0.25">
      <c r="O143" t="s">
        <v>97</v>
      </c>
      <c r="P143" s="1">
        <f>Q140/P140</f>
        <v>6.2804839061216358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-16.900416487452443</v>
      </c>
      <c r="C146" s="9">
        <f>J84</f>
        <v>9.3475088954568921</v>
      </c>
      <c r="D146" s="9">
        <f t="shared" ref="D146:E153" si="61">I85</f>
        <v>-16.900416487452443</v>
      </c>
      <c r="E146">
        <f t="shared" si="61"/>
        <v>9.3475088954568921</v>
      </c>
      <c r="F146" s="4">
        <f>($B$66/$B$65)*(C146-$B$125)</f>
        <v>5.524999918051007</v>
      </c>
      <c r="G146" s="4">
        <f>($B$66/$B$65)*(E146-$B$125)</f>
        <v>5.524999918051007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-16.900416487452443</v>
      </c>
      <c r="K146" s="4">
        <f>IF($F146&gt;=0,C146,IF(AND($F146&lt;0,$G146&gt;=0),$B$125,0))</f>
        <v>9.3475088954568921</v>
      </c>
      <c r="L146" s="4">
        <f>IF($G146&gt;=0,D146,IF(AND($G146&lt;0,$F146&gt;=0),IF(H146="V",D146,($B$125-I146)/H146),0))</f>
        <v>-16.900416487452443</v>
      </c>
      <c r="M146" s="4">
        <f>IF($G146&gt;=0,E146,IF(AND($G146&lt;0,$F146&gt;=0),$B$125,0))</f>
        <v>9.3475088954568921</v>
      </c>
      <c r="N146" s="4">
        <f>IF(F146&lt;0,0,F146)</f>
        <v>5.524999918051007</v>
      </c>
      <c r="O146" s="4">
        <f>IF(G146&lt;0,0,G146)</f>
        <v>5.524999918051007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-16.900416487452443</v>
      </c>
      <c r="C147">
        <f t="shared" si="62"/>
        <v>9.3475088954568921</v>
      </c>
      <c r="D147" s="9">
        <f t="shared" si="61"/>
        <v>-16.900416487452443</v>
      </c>
      <c r="E147">
        <f t="shared" si="61"/>
        <v>9.3475088954568921</v>
      </c>
      <c r="F147" s="4">
        <f t="shared" ref="F147:F153" si="63">($B$66/$B$65)*(C147-$B$125)</f>
        <v>5.524999918051007</v>
      </c>
      <c r="G147" s="4">
        <f t="shared" ref="G147:G153" si="64">($B$66/$B$65)*(E147-$B$125)</f>
        <v>5.524999918051007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-16.900416487452443</v>
      </c>
      <c r="K147" s="4">
        <f t="shared" ref="K147:K153" si="68">IF($F147&gt;=0,C147,IF(AND($F147&lt;0,$G147&gt;=0),$B$125,0))</f>
        <v>9.3475088954568921</v>
      </c>
      <c r="L147" s="4">
        <f t="shared" ref="L147:L153" si="69">IF($G147&gt;=0,D147,IF(AND($G147&lt;0,$F147&gt;=0),IF(H147="V",D147,($B$125-I147)/H147),0))</f>
        <v>-16.900416487452443</v>
      </c>
      <c r="M147" s="4">
        <f t="shared" ref="M147:M153" si="70">IF($G147&gt;=0,E147,IF(AND($G147&lt;0,$F147&gt;=0),$B$125,0))</f>
        <v>9.3475088954568921</v>
      </c>
      <c r="N147" s="4">
        <f t="shared" ref="N147:O153" si="71">IF(F147&lt;0,0,F147)</f>
        <v>5.524999918051007</v>
      </c>
      <c r="O147" s="4">
        <f t="shared" si="71"/>
        <v>5.524999918051007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-16.900416487452443</v>
      </c>
      <c r="C148">
        <f t="shared" si="62"/>
        <v>9.3475088954568921</v>
      </c>
      <c r="D148" s="9">
        <f t="shared" si="61"/>
        <v>-16.900416487452443</v>
      </c>
      <c r="E148">
        <f t="shared" si="61"/>
        <v>9.3475088954568921</v>
      </c>
      <c r="F148" s="4">
        <f t="shared" si="63"/>
        <v>5.524999918051007</v>
      </c>
      <c r="G148" s="4">
        <f t="shared" si="64"/>
        <v>5.524999918051007</v>
      </c>
      <c r="H148" s="4" t="str">
        <f t="shared" si="65"/>
        <v>V</v>
      </c>
      <c r="I148" s="4">
        <f t="shared" si="66"/>
        <v>0</v>
      </c>
      <c r="J148" s="4">
        <f t="shared" si="67"/>
        <v>-16.900416487452443</v>
      </c>
      <c r="K148" s="4">
        <f t="shared" si="68"/>
        <v>9.3475088954568921</v>
      </c>
      <c r="L148" s="4">
        <f t="shared" si="69"/>
        <v>-16.900416487452443</v>
      </c>
      <c r="M148" s="4">
        <f t="shared" si="70"/>
        <v>9.3475088954568921</v>
      </c>
      <c r="N148" s="4">
        <f t="shared" si="71"/>
        <v>5.524999918051007</v>
      </c>
      <c r="O148" s="4">
        <f t="shared" si="71"/>
        <v>5.524999918051007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-16.900416487452443</v>
      </c>
      <c r="C149">
        <f t="shared" si="62"/>
        <v>9.3475088954568921</v>
      </c>
      <c r="D149" s="9">
        <f t="shared" si="61"/>
        <v>-16.900416487452443</v>
      </c>
      <c r="E149">
        <f t="shared" si="61"/>
        <v>9.3475088954568921</v>
      </c>
      <c r="F149" s="4">
        <f t="shared" si="63"/>
        <v>5.524999918051007</v>
      </c>
      <c r="G149" s="4">
        <f t="shared" si="64"/>
        <v>5.524999918051007</v>
      </c>
      <c r="H149" s="4" t="str">
        <f t="shared" si="65"/>
        <v>V</v>
      </c>
      <c r="I149" s="4">
        <f t="shared" si="66"/>
        <v>0</v>
      </c>
      <c r="J149" s="4">
        <f t="shared" si="67"/>
        <v>-16.900416487452443</v>
      </c>
      <c r="K149" s="4">
        <f t="shared" si="68"/>
        <v>9.3475088954568921</v>
      </c>
      <c r="L149" s="4">
        <f t="shared" si="69"/>
        <v>-16.900416487452443</v>
      </c>
      <c r="M149" s="4">
        <f t="shared" si="70"/>
        <v>9.3475088954568921</v>
      </c>
      <c r="N149" s="4">
        <f t="shared" si="71"/>
        <v>5.524999918051007</v>
      </c>
      <c r="O149" s="4">
        <f t="shared" si="71"/>
        <v>5.524999918051007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-16.900416487452443</v>
      </c>
      <c r="C150">
        <f t="shared" si="62"/>
        <v>9.3475088954568921</v>
      </c>
      <c r="D150" s="9">
        <f t="shared" si="61"/>
        <v>-16.900416487452443</v>
      </c>
      <c r="E150">
        <f t="shared" si="61"/>
        <v>9.3475088954568921</v>
      </c>
      <c r="F150" s="4">
        <f t="shared" si="63"/>
        <v>5.524999918051007</v>
      </c>
      <c r="G150" s="4">
        <f t="shared" si="64"/>
        <v>5.524999918051007</v>
      </c>
      <c r="H150" s="4" t="str">
        <f t="shared" si="65"/>
        <v>V</v>
      </c>
      <c r="I150" s="4">
        <f t="shared" si="66"/>
        <v>0</v>
      </c>
      <c r="J150" s="4">
        <f t="shared" si="67"/>
        <v>-16.900416487452443</v>
      </c>
      <c r="K150" s="4">
        <f t="shared" si="68"/>
        <v>9.3475088954568921</v>
      </c>
      <c r="L150" s="4">
        <f t="shared" si="69"/>
        <v>-16.900416487452443</v>
      </c>
      <c r="M150" s="4">
        <f t="shared" si="70"/>
        <v>9.3475088954568921</v>
      </c>
      <c r="N150" s="4">
        <f t="shared" si="71"/>
        <v>5.524999918051007</v>
      </c>
      <c r="O150" s="4">
        <f t="shared" si="71"/>
        <v>5.524999918051007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-16.900416487452443</v>
      </c>
      <c r="C151">
        <f t="shared" si="62"/>
        <v>9.3475088954568921</v>
      </c>
      <c r="D151" s="9">
        <f t="shared" si="61"/>
        <v>-16.900416487452443</v>
      </c>
      <c r="E151">
        <f t="shared" si="61"/>
        <v>9.3475088954568921</v>
      </c>
      <c r="F151" s="4">
        <f t="shared" si="63"/>
        <v>5.524999918051007</v>
      </c>
      <c r="G151" s="4">
        <f t="shared" si="64"/>
        <v>5.524999918051007</v>
      </c>
      <c r="H151" s="4" t="str">
        <f t="shared" si="65"/>
        <v>V</v>
      </c>
      <c r="I151" s="4">
        <f t="shared" si="66"/>
        <v>0</v>
      </c>
      <c r="J151" s="4">
        <f t="shared" si="67"/>
        <v>-16.900416487452443</v>
      </c>
      <c r="K151" s="4">
        <f t="shared" si="68"/>
        <v>9.3475088954568921</v>
      </c>
      <c r="L151" s="4">
        <f t="shared" si="69"/>
        <v>-16.900416487452443</v>
      </c>
      <c r="M151" s="4">
        <f t="shared" si="70"/>
        <v>9.3475088954568921</v>
      </c>
      <c r="N151" s="4">
        <f t="shared" si="71"/>
        <v>5.524999918051007</v>
      </c>
      <c r="O151" s="4">
        <f t="shared" si="71"/>
        <v>5.524999918051007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-16.900416487452443</v>
      </c>
      <c r="C152">
        <f t="shared" si="62"/>
        <v>9.3475088954568921</v>
      </c>
      <c r="D152" s="9">
        <f t="shared" si="61"/>
        <v>-16.900416487452443</v>
      </c>
      <c r="E152">
        <f t="shared" si="61"/>
        <v>9.3475088954568921</v>
      </c>
      <c r="F152" s="4">
        <f t="shared" si="63"/>
        <v>5.524999918051007</v>
      </c>
      <c r="G152" s="4">
        <f t="shared" si="64"/>
        <v>5.524999918051007</v>
      </c>
      <c r="H152" s="4" t="str">
        <f t="shared" si="65"/>
        <v>V</v>
      </c>
      <c r="I152" s="4">
        <f t="shared" si="66"/>
        <v>0</v>
      </c>
      <c r="J152" s="4">
        <f t="shared" si="67"/>
        <v>-16.900416487452443</v>
      </c>
      <c r="K152" s="4">
        <f t="shared" si="68"/>
        <v>9.3475088954568921</v>
      </c>
      <c r="L152" s="4">
        <f t="shared" si="69"/>
        <v>-16.900416487452443</v>
      </c>
      <c r="M152" s="4">
        <f t="shared" si="70"/>
        <v>9.3475088954568921</v>
      </c>
      <c r="N152" s="4">
        <f t="shared" si="71"/>
        <v>5.524999918051007</v>
      </c>
      <c r="O152" s="4">
        <f t="shared" si="71"/>
        <v>5.524999918051007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-16.900416487452443</v>
      </c>
      <c r="C153">
        <f t="shared" si="62"/>
        <v>9.3475088954568921</v>
      </c>
      <c r="D153" s="9">
        <f t="shared" si="61"/>
        <v>-16.900416487452443</v>
      </c>
      <c r="E153">
        <f t="shared" si="61"/>
        <v>9.3475088954568921</v>
      </c>
      <c r="F153" s="4">
        <f t="shared" si="63"/>
        <v>5.524999918051007</v>
      </c>
      <c r="G153" s="4">
        <f t="shared" si="64"/>
        <v>5.524999918051007</v>
      </c>
      <c r="H153" s="4" t="str">
        <f t="shared" si="65"/>
        <v>V</v>
      </c>
      <c r="I153" s="4">
        <f t="shared" si="66"/>
        <v>0</v>
      </c>
      <c r="J153" s="4">
        <f t="shared" si="67"/>
        <v>-16.900416487452443</v>
      </c>
      <c r="K153" s="4">
        <f t="shared" si="68"/>
        <v>9.3475088954568921</v>
      </c>
      <c r="L153" s="4">
        <f t="shared" si="69"/>
        <v>-16.900416487452443</v>
      </c>
      <c r="M153" s="4">
        <f t="shared" si="70"/>
        <v>9.3475088954568921</v>
      </c>
      <c r="N153" s="4">
        <f t="shared" si="71"/>
        <v>5.524999918051007</v>
      </c>
      <c r="O153" s="4">
        <f t="shared" si="71"/>
        <v>5.524999918051007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-3.8963954693826963E-6</v>
      </c>
      <c r="C159" t="s">
        <v>36</v>
      </c>
    </row>
    <row r="160" spans="1:18" x14ac:dyDescent="0.25">
      <c r="A160" s="1" t="s">
        <v>106</v>
      </c>
      <c r="B160" s="4">
        <f>Q140+I122+Q154-O122</f>
        <v>2699.7895975023548</v>
      </c>
      <c r="C160" t="s">
        <v>102</v>
      </c>
    </row>
    <row r="161" spans="1:9" x14ac:dyDescent="0.25">
      <c r="A161" s="1" t="s">
        <v>107</v>
      </c>
      <c r="B161" s="4">
        <f>R140+J122+R154-P122</f>
        <v>2056.9725087107163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-3.8963954693826963E-6</v>
      </c>
      <c r="C164" t="s">
        <v>36</v>
      </c>
      <c r="E164" s="8">
        <f>B2-B164</f>
        <v>3.8963954693826963E-6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-2399.9999737201301</v>
      </c>
      <c r="C165" t="s">
        <v>102</v>
      </c>
      <c r="E165" s="8">
        <f>B3+B165</f>
        <v>2.6279869871359551E-5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2399.9999788576997</v>
      </c>
      <c r="C166" t="s">
        <v>102</v>
      </c>
      <c r="E166" s="8">
        <f>B4+B166</f>
        <v>-2.1142300283827353E-5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5.524999918051007</v>
      </c>
      <c r="B169" s="1">
        <f ca="1">IF(E122=0,0,(MIN(H110:H121)*B65)/(B55*B56*E122))</f>
        <v>-15.389452323465239</v>
      </c>
      <c r="C169" s="3">
        <f ca="1">A169+B169</f>
        <v>-9.864452405414232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2.529101852378573E-8</v>
      </c>
      <c r="C175" s="27">
        <f>B65*SQRT(I175)</f>
        <v>9.1759668609640895E-8</v>
      </c>
      <c r="D175" s="27">
        <f>B66*SQRT(I175)</f>
        <v>8.1948992066907078E-8</v>
      </c>
      <c r="E175" s="27">
        <f>B67*SQRT(I175)</f>
        <v>8.0230558002369209E-7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1.7051201463201833</v>
      </c>
      <c r="C176" s="3">
        <f>B65+C175</f>
        <v>6.1864356873889248</v>
      </c>
      <c r="D176" s="3">
        <f>D175+B66</f>
        <v>5.5249999999999995</v>
      </c>
      <c r="E176" s="3">
        <f>B67+E175</f>
        <v>54.091431972852064</v>
      </c>
      <c r="F176" s="16" t="s">
        <v>125</v>
      </c>
    </row>
    <row r="177" spans="1:13" x14ac:dyDescent="0.25">
      <c r="B177" s="27">
        <f>B176-B64</f>
        <v>2.5291018612705329E-8</v>
      </c>
      <c r="C177" s="27">
        <f>C176-B65</f>
        <v>9.1759668308100117E-8</v>
      </c>
      <c r="D177" s="27">
        <f>D176-B66</f>
        <v>8.1948992480818106E-8</v>
      </c>
      <c r="E177" s="27">
        <f>E176-B67</f>
        <v>8.0230557841787231E-7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-47.54664128739266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16.900416505188179</v>
      </c>
      <c r="B181" s="25">
        <f>(d_alpha_p!E136-d_alpha_m!E136)/(2*B177)</f>
        <v>16.900416505188179</v>
      </c>
      <c r="C181" s="25">
        <f>(d_alpha_p!E137-d_alpha_m!E137)/(2*B177)</f>
        <v>16.900416505188179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-3.8963954693826963E-6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-2.6279869871359551E-5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2.1142300283827353E-5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9.864452405414232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-47.54664128739266</v>
      </c>
      <c r="B190" s="25">
        <f>A181</f>
        <v>16.900416505188179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16.900416505188179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16.900416505188179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-47.54664128739266</v>
      </c>
      <c r="B201" s="25">
        <f t="shared" ref="B201:C201" si="77">B190</f>
        <v>16.900416505188179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16.900416505188179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16.900416505188179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CC3C-18B8-43E9-9258-32A4C7F94703}">
  <sheetPr codeName="Sheet3"/>
  <dimension ref="A1:AC208"/>
  <sheetViews>
    <sheetView topLeftCell="A157" workbookViewId="0">
      <selection activeCell="C171" sqref="C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2400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0.79365079365079361</v>
      </c>
      <c r="J3" t="s">
        <v>11</v>
      </c>
    </row>
    <row r="4" spans="1:29" x14ac:dyDescent="0.25">
      <c r="A4" s="10" t="s">
        <v>80</v>
      </c>
      <c r="B4" s="17">
        <f>'Rigid Bearing Plate Analysis'!B4</f>
        <v>-2400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-2.0408163265306123</v>
      </c>
      <c r="J4" t="s">
        <v>11</v>
      </c>
    </row>
    <row r="5" spans="1:29" x14ac:dyDescent="0.25">
      <c r="A5" s="10" t="s">
        <v>104</v>
      </c>
      <c r="B5" s="20">
        <f>ATAN2(B3,B4)</f>
        <v>-0.78539816339744828</v>
      </c>
      <c r="C5" t="s">
        <v>19</v>
      </c>
      <c r="I5">
        <f>SUM(I2:I4)</f>
        <v>-1.2471655328798188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18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20.784609690826528</v>
      </c>
      <c r="L13" s="4">
        <f>SQRT(H22/D22)</f>
        <v>8.0829037686547611</v>
      </c>
      <c r="M13" s="4">
        <f>SQRT(J22/D22)</f>
        <v>22.300971578236975</v>
      </c>
      <c r="N13" s="19">
        <f>G22-(D22*C9*C9)</f>
        <v>54432</v>
      </c>
      <c r="O13" s="19">
        <f>H22-(D22*B9*B9)</f>
        <v>8232</v>
      </c>
      <c r="P13" s="19">
        <f>I22-(D22*B9*C9)</f>
        <v>0</v>
      </c>
      <c r="Q13" s="19">
        <f>N13+O13</f>
        <v>62664</v>
      </c>
      <c r="R13" s="19">
        <f>SQRT(ABS(N13/D22))</f>
        <v>10.392304845413264</v>
      </c>
      <c r="S13" s="19">
        <f>SQRT(O13/D22)</f>
        <v>4.0414518843273806</v>
      </c>
      <c r="T13" s="19">
        <f>SQRT(Q13/D22)</f>
        <v>11.150485789118488</v>
      </c>
      <c r="U13" s="19">
        <f>N13/(MAX(C13:C20)-C9)</f>
        <v>3024</v>
      </c>
      <c r="V13" s="19">
        <f>N13/(MIN(C13:C20)-C9)</f>
        <v>-3024</v>
      </c>
      <c r="W13" s="19">
        <f>O13/(MIN(B13:B20)-B9)</f>
        <v>-1176</v>
      </c>
      <c r="X13" s="19">
        <f>O13/(MAX(B13:B20)-B9)</f>
        <v>1176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-1.1999050379822342</v>
      </c>
      <c r="Y14" s="1">
        <f>$N$13/(C14-$C$9)</f>
        <v>-3024</v>
      </c>
      <c r="Z14">
        <f>$O$13/(B14-$B$9)</f>
        <v>1176</v>
      </c>
      <c r="AA14">
        <f>$B$3/Y14</f>
        <v>-0.79365079365079361</v>
      </c>
      <c r="AB14">
        <f>$B$4/Z14</f>
        <v>-2.0408163265306123</v>
      </c>
      <c r="AC14">
        <f>$I$2+AA14+AB14</f>
        <v>-2.8344671201814058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36</v>
      </c>
      <c r="D15" s="5">
        <f t="shared" ref="D15:D21" si="0">((B14*C15)-(B15*C14))*0.5</f>
        <v>252</v>
      </c>
      <c r="E15" s="5">
        <f t="shared" ref="E15:E21" si="1">(B15+B14)*((B14*C15)-(B15*C14))*(1/6)</f>
        <v>2352</v>
      </c>
      <c r="F15" s="5">
        <f t="shared" ref="F15:F21" si="2">(C15+C14)*((B14*C15)-(B15*C14))*(1/6)</f>
        <v>3024</v>
      </c>
      <c r="G15" s="5">
        <f t="shared" ref="G15:G21" si="3">(((C14*C14)+(C14*C15)+(C15*C15))*((B14*C15)-(B15*C14)))/12</f>
        <v>54432</v>
      </c>
      <c r="H15" s="5">
        <f t="shared" ref="H15:H21" si="4">(((B14*B14)+(B14*B15)+(B15*B15))*((B14*C15)-(B15*C14)))/12</f>
        <v>24696</v>
      </c>
      <c r="I15" s="5">
        <f t="shared" ref="I15:I21" si="5">(((B14*C15)+(2*B14*C14)+(2*B15*C15)+(B15*C14))*((B14*C15)-(B15*C14)))/24</f>
        <v>31752</v>
      </c>
      <c r="J15" s="5">
        <f t="shared" ref="J15:J21" si="6">G15+H15</f>
        <v>79128</v>
      </c>
      <c r="K15">
        <f t="shared" ref="K15:K21" si="7">ATAN2((B15-$E$22),(C15-$F$22))</f>
        <v>1.1999050379822342</v>
      </c>
      <c r="N15" t="s">
        <v>136</v>
      </c>
      <c r="O15">
        <v>4</v>
      </c>
      <c r="Y15" s="1">
        <f t="shared" ref="Y15:Y20" si="8">$N$13/(C15-$C$9)</f>
        <v>3024</v>
      </c>
      <c r="Z15">
        <f t="shared" ref="Z15:Z21" si="9">$O$13/(B15-$B$9)</f>
        <v>1176</v>
      </c>
      <c r="AA15">
        <f t="shared" ref="AA15:AA20" si="10">$B$3/Y15</f>
        <v>0.79365079365079361</v>
      </c>
      <c r="AB15">
        <f t="shared" ref="AB15:AB21" si="11">$B$4/Z15</f>
        <v>-2.0408163265306123</v>
      </c>
      <c r="AC15">
        <f t="shared" ref="AC15:AC20" si="12">$I$2+AA15+AB15</f>
        <v>-1.2471655328798188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1.9416876156075589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3024</v>
      </c>
      <c r="Z16">
        <f t="shared" si="9"/>
        <v>-1176</v>
      </c>
      <c r="AA16">
        <f t="shared" si="10"/>
        <v>0.79365079365079361</v>
      </c>
      <c r="AB16">
        <f t="shared" si="11"/>
        <v>2.0408163265306123</v>
      </c>
      <c r="AC16">
        <f t="shared" si="12"/>
        <v>2.8344671201814058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-1.9416876156075589</v>
      </c>
      <c r="N17" t="s">
        <v>137</v>
      </c>
      <c r="O17">
        <f>K14</f>
        <v>-1.1999050379822342</v>
      </c>
      <c r="Q17" t="s">
        <v>137</v>
      </c>
      <c r="R17">
        <f>U16</f>
        <v>5.497787143782138</v>
      </c>
      <c r="Y17" s="1">
        <f t="shared" si="8"/>
        <v>-3024</v>
      </c>
      <c r="Z17">
        <f t="shared" si="9"/>
        <v>-1176</v>
      </c>
      <c r="AA17">
        <f t="shared" si="10"/>
        <v>-0.79365079365079361</v>
      </c>
      <c r="AB17">
        <f t="shared" si="11"/>
        <v>2.0408163265306123</v>
      </c>
      <c r="AC17">
        <f t="shared" si="12"/>
        <v>1.2471655328798188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-1.9416876156075589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-3024</v>
      </c>
      <c r="Z18">
        <f t="shared" si="9"/>
        <v>-1176</v>
      </c>
      <c r="AA18">
        <f t="shared" si="10"/>
        <v>-0.79365079365079361</v>
      </c>
      <c r="AB18">
        <f t="shared" si="11"/>
        <v>2.0408163265306123</v>
      </c>
      <c r="AC18">
        <f t="shared" si="12"/>
        <v>1.2471655328798188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-1.9416876156075589</v>
      </c>
      <c r="N19">
        <f>E22+(O16*COS(O17))</f>
        <v>8.5692360243970249</v>
      </c>
      <c r="O19">
        <f>F22+(O16*SIN(O17))</f>
        <v>13.964821651550507</v>
      </c>
      <c r="Q19">
        <f>E22+(R16*COS(R17))</f>
        <v>13.010407640085653</v>
      </c>
      <c r="R19">
        <f>F22+(R16*SIN(R17))</f>
        <v>11.989592359914344</v>
      </c>
      <c r="Y19" s="1">
        <f t="shared" si="8"/>
        <v>-3024</v>
      </c>
      <c r="Z19">
        <f t="shared" si="9"/>
        <v>-1176</v>
      </c>
      <c r="AA19">
        <f t="shared" si="10"/>
        <v>-0.79365079365079361</v>
      </c>
      <c r="AB19">
        <f t="shared" si="11"/>
        <v>2.0408163265306123</v>
      </c>
      <c r="AC19">
        <f t="shared" si="12"/>
        <v>1.2471655328798188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-1.9416876156075589</v>
      </c>
      <c r="Y20" s="1">
        <f t="shared" si="8"/>
        <v>-3024</v>
      </c>
      <c r="Z20">
        <f t="shared" si="9"/>
        <v>-1176</v>
      </c>
      <c r="AA20">
        <f t="shared" si="10"/>
        <v>-0.79365079365079361</v>
      </c>
      <c r="AB20">
        <f t="shared" si="11"/>
        <v>2.0408163265306123</v>
      </c>
      <c r="AC20">
        <f t="shared" si="12"/>
        <v>1.2471655328798188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-1.9416876156075589</v>
      </c>
      <c r="Y21" s="1"/>
      <c r="Z21">
        <f t="shared" si="9"/>
        <v>-1176</v>
      </c>
      <c r="AB21">
        <f t="shared" si="11"/>
        <v>2.0408163265306123</v>
      </c>
    </row>
    <row r="22" spans="1:29" x14ac:dyDescent="0.25">
      <c r="D22" s="5">
        <f>SUM(D13:D21)</f>
        <v>504</v>
      </c>
      <c r="E22" s="5">
        <f>SUM(E14:E21)/D22</f>
        <v>7</v>
      </c>
      <c r="F22" s="5">
        <f>SUM(F14:F21)/D22</f>
        <v>18</v>
      </c>
      <c r="G22" s="5">
        <f>SUM(G14:G21)</f>
        <v>217728</v>
      </c>
      <c r="H22" s="5">
        <f>SUM(H14:H21)</f>
        <v>32928</v>
      </c>
      <c r="I22" s="5">
        <f>SUM(I14:I21)</f>
        <v>63504</v>
      </c>
      <c r="J22" s="5">
        <f>SUM(J14:J21)</f>
        <v>250656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36</v>
      </c>
      <c r="U37" s="1">
        <f>T37</f>
        <v>36</v>
      </c>
    </row>
    <row r="38" spans="1:21" x14ac:dyDescent="0.25">
      <c r="A38">
        <v>2</v>
      </c>
      <c r="B38" s="17">
        <f>'Rigid Bearing Plate Analysis'!B38</f>
        <v>3</v>
      </c>
      <c r="C38" s="17">
        <f>'Rigid Bearing Plate Analysis'!C38</f>
        <v>9</v>
      </c>
      <c r="D38" s="17" t="str">
        <f>'Rigid Bearing Plate Analysis'!D38</f>
        <v>y</v>
      </c>
      <c r="Q38" s="12">
        <f t="shared" ref="Q38:R48" si="14">IF($D38="y",B38,NA())</f>
        <v>3</v>
      </c>
      <c r="R38" s="12">
        <f t="shared" si="14"/>
        <v>9</v>
      </c>
    </row>
    <row r="39" spans="1:21" x14ac:dyDescent="0.25">
      <c r="A39">
        <v>3</v>
      </c>
      <c r="B39" s="17">
        <f>'Rigid Bearing Plate Analysis'!B39</f>
        <v>11</v>
      </c>
      <c r="C39" s="17">
        <f>'Rigid Bearing Plate Analysis'!C39</f>
        <v>3</v>
      </c>
      <c r="D39" s="17" t="str">
        <f>'Rigid Bearing Plate Analysis'!D39</f>
        <v>y</v>
      </c>
      <c r="Q39" s="12">
        <f t="shared" si="14"/>
        <v>11</v>
      </c>
      <c r="R39" s="12">
        <f t="shared" si="14"/>
        <v>3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9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9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15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15</v>
      </c>
    </row>
    <row r="42" spans="1:21" x14ac:dyDescent="0.25">
      <c r="A42">
        <v>6</v>
      </c>
      <c r="B42" s="17">
        <f>'Rigid Bearing Plate Analysis'!B42</f>
        <v>3</v>
      </c>
      <c r="C42" s="17">
        <f>'Rigid Bearing Plate Analysis'!C42</f>
        <v>21</v>
      </c>
      <c r="D42" s="17" t="str">
        <f>'Rigid Bearing Plate Analysis'!D42</f>
        <v>y</v>
      </c>
      <c r="Q42" s="12">
        <f t="shared" si="14"/>
        <v>3</v>
      </c>
      <c r="R42" s="12">
        <f t="shared" si="14"/>
        <v>21</v>
      </c>
    </row>
    <row r="43" spans="1:21" x14ac:dyDescent="0.25">
      <c r="A43">
        <v>7</v>
      </c>
      <c r="B43" s="17">
        <f>'Rigid Bearing Plate Analysis'!B43</f>
        <v>11</v>
      </c>
      <c r="C43" s="17">
        <f>'Rigid Bearing Plate Analysis'!C43</f>
        <v>21</v>
      </c>
      <c r="D43" s="17" t="str">
        <f>'Rigid Bearing Plate Analysis'!D43</f>
        <v>y</v>
      </c>
      <c r="Q43" s="12">
        <f t="shared" si="14"/>
        <v>11</v>
      </c>
      <c r="R43" s="12">
        <f t="shared" si="14"/>
        <v>21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15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15</v>
      </c>
    </row>
    <row r="45" spans="1:21" x14ac:dyDescent="0.25">
      <c r="A45">
        <v>9</v>
      </c>
      <c r="B45" s="17">
        <f>'Rigid Bearing Plate Analysis'!B45</f>
        <v>3</v>
      </c>
      <c r="C45" s="17">
        <f>'Rigid Bearing Plate Analysis'!C45</f>
        <v>27</v>
      </c>
      <c r="D45" s="17" t="str">
        <f>'Rigid Bearing Plate Analysis'!D45</f>
        <v>y</v>
      </c>
      <c r="Q45" s="12">
        <f t="shared" si="14"/>
        <v>3</v>
      </c>
      <c r="R45" s="12">
        <f t="shared" si="14"/>
        <v>27</v>
      </c>
    </row>
    <row r="46" spans="1:21" x14ac:dyDescent="0.25">
      <c r="A46">
        <v>10</v>
      </c>
      <c r="B46" s="17">
        <f>'Rigid Bearing Plate Analysis'!B46</f>
        <v>3</v>
      </c>
      <c r="C46" s="17">
        <f>'Rigid Bearing Plate Analysis'!C46</f>
        <v>33</v>
      </c>
      <c r="D46" s="17" t="str">
        <f>'Rigid Bearing Plate Analysis'!D46</f>
        <v>y</v>
      </c>
      <c r="Q46" s="12">
        <f t="shared" si="14"/>
        <v>3</v>
      </c>
      <c r="R46" s="12">
        <f t="shared" si="14"/>
        <v>33</v>
      </c>
    </row>
    <row r="47" spans="1:21" x14ac:dyDescent="0.25">
      <c r="A47">
        <v>11</v>
      </c>
      <c r="B47" s="17">
        <f>'Rigid Bearing Plate Analysis'!B47</f>
        <v>11</v>
      </c>
      <c r="C47" s="17">
        <f>'Rigid Bearing Plate Analysis'!C47</f>
        <v>27</v>
      </c>
      <c r="D47" s="17" t="str">
        <f>'Rigid Bearing Plate Analysis'!D47</f>
        <v>y</v>
      </c>
      <c r="Q47" s="12">
        <f t="shared" si="14"/>
        <v>11</v>
      </c>
      <c r="R47" s="12">
        <f t="shared" si="14"/>
        <v>27</v>
      </c>
    </row>
    <row r="48" spans="1:21" x14ac:dyDescent="0.25">
      <c r="A48">
        <v>12</v>
      </c>
      <c r="B48" s="17">
        <f>'Rigid Bearing Plate Analysis'!B48</f>
        <v>11</v>
      </c>
      <c r="C48" s="17">
        <f>'Rigid Bearing Plate Analysis'!C48</f>
        <v>33</v>
      </c>
      <c r="D48" s="17" t="str">
        <f>'Rigid Bearing Plate Analysis'!D48</f>
        <v>y</v>
      </c>
      <c r="Q48" s="12">
        <f t="shared" si="14"/>
        <v>11</v>
      </c>
      <c r="R48" s="12">
        <f t="shared" si="14"/>
        <v>33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Analysis'!B64+'Rigid Bearing Plate Analysis'!B175</f>
        <v>1.7051201463201833</v>
      </c>
      <c r="C64" t="s">
        <v>19</v>
      </c>
      <c r="D64" t="s">
        <v>34</v>
      </c>
      <c r="H64" s="17">
        <f>DEGREES(B64)</f>
        <v>97.696187946875895</v>
      </c>
      <c r="I64" t="s">
        <v>41</v>
      </c>
    </row>
    <row r="65" spans="1:18" x14ac:dyDescent="0.25">
      <c r="A65" s="1" t="s">
        <v>40</v>
      </c>
      <c r="B65" s="17">
        <f>'Rigid Bearing Plate Analysis'!B65</f>
        <v>6.1864355956292565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5.5250000000000004</v>
      </c>
      <c r="C66" t="s">
        <v>11</v>
      </c>
      <c r="D66">
        <f>B66/B53</f>
        <v>1.3560675915647805E-3</v>
      </c>
      <c r="I66" s="20"/>
    </row>
    <row r="67" spans="1:18" x14ac:dyDescent="0.25">
      <c r="A67" s="1" t="s">
        <v>37</v>
      </c>
      <c r="B67" s="17">
        <f>'Rigid Bearing Plate Analysis'!B67</f>
        <v>54.091431170546485</v>
      </c>
      <c r="C67" t="s">
        <v>36</v>
      </c>
      <c r="D67" t="s">
        <v>122</v>
      </c>
      <c r="G67" s="20">
        <f ca="1">($B$56*$B$66*$B$55*$E$122)/$B$65</f>
        <v>19.419481394046606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-18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-18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-18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-18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18</v>
      </c>
      <c r="H75" s="1">
        <f t="shared" si="18"/>
        <v>3</v>
      </c>
      <c r="I75" s="4">
        <f t="shared" si="19"/>
        <v>-7</v>
      </c>
      <c r="J75" s="4">
        <f t="shared" si="20"/>
        <v>-18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18</v>
      </c>
      <c r="H76" s="1">
        <f t="shared" si="18"/>
        <v>4</v>
      </c>
      <c r="I76" s="4">
        <f t="shared" si="19"/>
        <v>-7</v>
      </c>
      <c r="J76" s="4">
        <f t="shared" si="20"/>
        <v>-18</v>
      </c>
      <c r="Q76" cm="1">
        <f t="array" ref="Q76">(-1*MAX(ABS(B84:C91)))-1</f>
        <v>-19.775299781245025</v>
      </c>
      <c r="R76">
        <f>Q76</f>
        <v>-19.775299781245025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-18</v>
      </c>
      <c r="H77" s="1">
        <f t="shared" si="18"/>
        <v>5</v>
      </c>
      <c r="I77" s="4">
        <f t="shared" si="19"/>
        <v>-7</v>
      </c>
      <c r="J77" s="4">
        <f t="shared" si="20"/>
        <v>-18</v>
      </c>
      <c r="Q77">
        <f>-1*Q76</f>
        <v>19.775299781245025</v>
      </c>
      <c r="R77">
        <f>Q77</f>
        <v>19.775299781245025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-18</v>
      </c>
      <c r="H78" s="1">
        <f t="shared" si="18"/>
        <v>6</v>
      </c>
      <c r="I78" s="4">
        <f t="shared" si="19"/>
        <v>-7</v>
      </c>
      <c r="J78" s="4">
        <f t="shared" si="20"/>
        <v>-18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-18</v>
      </c>
      <c r="H79" s="1">
        <f t="shared" si="18"/>
        <v>7</v>
      </c>
      <c r="I79" s="4">
        <f t="shared" si="19"/>
        <v>-7</v>
      </c>
      <c r="J79" s="4">
        <f t="shared" si="20"/>
        <v>-18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-18</v>
      </c>
      <c r="H80" s="1">
        <f t="shared" si="18"/>
        <v>8</v>
      </c>
      <c r="I80" s="4">
        <f t="shared" si="19"/>
        <v>-7</v>
      </c>
      <c r="J80" s="4">
        <f t="shared" si="20"/>
        <v>-18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-18</v>
      </c>
      <c r="H81" s="1">
        <f t="shared" si="18"/>
        <v>9</v>
      </c>
      <c r="I81" s="4">
        <f t="shared" si="19"/>
        <v>-7</v>
      </c>
      <c r="J81" s="4">
        <f t="shared" si="20"/>
        <v>-18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-16.900416251044412</v>
      </c>
      <c r="C84" s="1">
        <f t="shared" ref="C84:C92" si="23">(-1*B73*SIN($B$64))+(C73*COS($B$64))</f>
        <v>9.3475093228856387</v>
      </c>
      <c r="H84" s="1">
        <f t="shared" ref="H84:H92" si="24">H73</f>
        <v>1</v>
      </c>
      <c r="I84" s="4">
        <f>(I73*COS($B$64))+(J73*SIN($B$64))</f>
        <v>-16.900416251044412</v>
      </c>
      <c r="J84" s="1">
        <f>(-1*I73*SIN($B$64))+(J73*COS($B$64))</f>
        <v>9.3475093228856387</v>
      </c>
    </row>
    <row r="85" spans="1:10" x14ac:dyDescent="0.25">
      <c r="A85" s="1">
        <f t="shared" si="21"/>
        <v>2</v>
      </c>
      <c r="B85" s="4">
        <f t="shared" si="22"/>
        <v>-18.775299781245025</v>
      </c>
      <c r="C85" s="1">
        <f t="shared" si="23"/>
        <v>-4.526380245226922</v>
      </c>
      <c r="H85" s="1">
        <f t="shared" si="24"/>
        <v>2</v>
      </c>
      <c r="I85" s="4">
        <f t="shared" ref="I85:I92" si="25">(I74*COS($B$64))+(J74*SIN($B$64))</f>
        <v>-16.900416251044412</v>
      </c>
      <c r="J85" s="1">
        <f t="shared" ref="J85:J92" si="26">(-1*I74*SIN($B$64))+(J74*COS($B$64))</f>
        <v>9.3475093228856387</v>
      </c>
    </row>
    <row r="86" spans="1:10" x14ac:dyDescent="0.25">
      <c r="A86" s="1">
        <f t="shared" si="21"/>
        <v>3</v>
      </c>
      <c r="B86" s="4">
        <f t="shared" si="22"/>
        <v>16.900416251044412</v>
      </c>
      <c r="C86" s="1">
        <f t="shared" si="23"/>
        <v>-9.3475093228856387</v>
      </c>
      <c r="H86" s="1">
        <f t="shared" si="24"/>
        <v>3</v>
      </c>
      <c r="I86" s="4">
        <f t="shared" si="25"/>
        <v>-16.900416251044412</v>
      </c>
      <c r="J86" s="1">
        <f t="shared" si="26"/>
        <v>9.3475093228856387</v>
      </c>
    </row>
    <row r="87" spans="1:10" x14ac:dyDescent="0.25">
      <c r="A87" s="1">
        <f t="shared" si="21"/>
        <v>4</v>
      </c>
      <c r="B87" s="4">
        <f t="shared" si="22"/>
        <v>18.775299781245025</v>
      </c>
      <c r="C87" s="1">
        <f t="shared" si="23"/>
        <v>4.526380245226922</v>
      </c>
      <c r="H87" s="1">
        <f t="shared" si="24"/>
        <v>4</v>
      </c>
      <c r="I87" s="4">
        <f t="shared" si="25"/>
        <v>-16.900416251044412</v>
      </c>
      <c r="J87" s="1">
        <f t="shared" si="26"/>
        <v>9.3475093228856387</v>
      </c>
    </row>
    <row r="88" spans="1:10" x14ac:dyDescent="0.25">
      <c r="A88" s="1">
        <f t="shared" si="21"/>
        <v>5</v>
      </c>
      <c r="B88" s="4">
        <f t="shared" si="22"/>
        <v>-16.900416251044412</v>
      </c>
      <c r="C88" s="1">
        <f t="shared" si="23"/>
        <v>9.3475093228856387</v>
      </c>
      <c r="H88" s="1">
        <f t="shared" si="24"/>
        <v>5</v>
      </c>
      <c r="I88" s="4">
        <f t="shared" si="25"/>
        <v>-16.900416251044412</v>
      </c>
      <c r="J88" s="1">
        <f t="shared" si="26"/>
        <v>9.3475093228856387</v>
      </c>
    </row>
    <row r="89" spans="1:10" x14ac:dyDescent="0.25">
      <c r="A89" s="1">
        <f t="shared" si="21"/>
        <v>6</v>
      </c>
      <c r="B89" s="4">
        <f t="shared" si="22"/>
        <v>-16.900416251044412</v>
      </c>
      <c r="C89" s="1">
        <f t="shared" si="23"/>
        <v>9.3475093228856387</v>
      </c>
      <c r="H89" s="1">
        <f t="shared" si="24"/>
        <v>6</v>
      </c>
      <c r="I89" s="4">
        <f t="shared" si="25"/>
        <v>-16.900416251044412</v>
      </c>
      <c r="J89" s="1">
        <f t="shared" si="26"/>
        <v>9.3475093228856387</v>
      </c>
    </row>
    <row r="90" spans="1:10" x14ac:dyDescent="0.25">
      <c r="A90" s="1">
        <f t="shared" si="21"/>
        <v>7</v>
      </c>
      <c r="B90" s="4">
        <f t="shared" si="22"/>
        <v>-16.900416251044412</v>
      </c>
      <c r="C90" s="1">
        <f t="shared" si="23"/>
        <v>9.3475093228856387</v>
      </c>
      <c r="H90" s="1">
        <f t="shared" si="24"/>
        <v>7</v>
      </c>
      <c r="I90" s="4">
        <f t="shared" si="25"/>
        <v>-16.900416251044412</v>
      </c>
      <c r="J90" s="1">
        <f t="shared" si="26"/>
        <v>9.3475093228856387</v>
      </c>
    </row>
    <row r="91" spans="1:10" x14ac:dyDescent="0.25">
      <c r="A91" s="1">
        <f t="shared" si="21"/>
        <v>8</v>
      </c>
      <c r="B91" s="4">
        <f t="shared" si="22"/>
        <v>-16.900416251044412</v>
      </c>
      <c r="C91" s="1">
        <f t="shared" si="23"/>
        <v>9.3475093228856387</v>
      </c>
      <c r="H91" s="1">
        <f t="shared" si="24"/>
        <v>8</v>
      </c>
      <c r="I91" s="4">
        <f t="shared" si="25"/>
        <v>-16.900416251044412</v>
      </c>
      <c r="J91" s="1">
        <f t="shared" si="26"/>
        <v>9.3475093228856387</v>
      </c>
    </row>
    <row r="92" spans="1:10" x14ac:dyDescent="0.25">
      <c r="A92" s="1">
        <f t="shared" si="21"/>
        <v>9</v>
      </c>
      <c r="B92" s="4">
        <f t="shared" si="22"/>
        <v>-16.900416251044412</v>
      </c>
      <c r="C92" s="1">
        <f t="shared" si="23"/>
        <v>9.3475093228856387</v>
      </c>
      <c r="H92" s="1">
        <f t="shared" si="24"/>
        <v>9</v>
      </c>
      <c r="I92" s="4">
        <f t="shared" si="25"/>
        <v>-16.900416251044412</v>
      </c>
      <c r="J92" s="1">
        <f t="shared" si="26"/>
        <v>9.3475093228856387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-15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-4</v>
      </c>
      <c r="C96" s="4">
        <f t="shared" si="29"/>
        <v>-9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4</v>
      </c>
      <c r="C97" s="4">
        <f t="shared" si="29"/>
        <v>-15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-9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-3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-4</v>
      </c>
      <c r="C100" s="4">
        <f t="shared" si="29"/>
        <v>3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4</v>
      </c>
      <c r="C101" s="4">
        <f t="shared" si="29"/>
        <v>3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-3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-4</v>
      </c>
      <c r="C103" s="4">
        <f t="shared" si="29"/>
        <v>9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-4</v>
      </c>
      <c r="C104" s="4">
        <f t="shared" si="29"/>
        <v>15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4</v>
      </c>
      <c r="C105" s="4">
        <f t="shared" si="29"/>
        <v>9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4</v>
      </c>
      <c r="C106" s="4">
        <f t="shared" si="29"/>
        <v>15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-14.329200671491853</v>
      </c>
      <c r="C110" s="1">
        <f>(-1*B95*SIN($B$64))+(C95*COS($B$64))</f>
        <v>5.9727722303899586</v>
      </c>
      <c r="D110" t="str">
        <f t="shared" ref="D110" si="31">D95</f>
        <v>y</v>
      </c>
      <c r="E110" s="4">
        <f t="shared" ref="E110:E121" si="32">IF($D110="y",$B$125-C110,0)</f>
        <v>-2.8116985031335764</v>
      </c>
      <c r="F110" s="1">
        <f>IF($D110="y",B110,NA())</f>
        <v>-14.329200671491853</v>
      </c>
      <c r="G110" s="1">
        <f>IF($D110="y",C110,NA())</f>
        <v>5.9727722303899586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6.1632472502331473E-4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-8.3832479994436131</v>
      </c>
      <c r="C111" s="1">
        <f t="shared" ref="C111:C121" si="37">(-1*B96*SIN($B$64))+(C96*COS($B$64))</f>
        <v>5.1692507174468387</v>
      </c>
      <c r="D111" t="str">
        <f t="shared" si="35"/>
        <v>y</v>
      </c>
      <c r="E111" s="4">
        <f t="shared" si="32"/>
        <v>-2.0081769901904565</v>
      </c>
      <c r="F111" s="1">
        <f t="shared" ref="F111:G121" si="38">IF($D111="y",B111,NA())</f>
        <v>-8.3832479994436131</v>
      </c>
      <c r="G111" s="1">
        <f t="shared" si="38"/>
        <v>5.1692507174468387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4.4019269132088785E-4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-15.400562688749345</v>
      </c>
      <c r="C112" s="1">
        <f t="shared" si="37"/>
        <v>-1.9551646656743613</v>
      </c>
      <c r="D112" t="str">
        <f t="shared" si="35"/>
        <v>y</v>
      </c>
      <c r="E112" s="4">
        <f t="shared" si="32"/>
        <v>5.1162383929307431</v>
      </c>
      <c r="F112" s="1">
        <f t="shared" si="38"/>
        <v>-15.400562688749345</v>
      </c>
      <c r="G112" s="1">
        <f t="shared" si="38"/>
        <v>-1.9551646656743613</v>
      </c>
      <c r="H112">
        <f t="shared" si="33"/>
        <v>-30.298809304052874</v>
      </c>
      <c r="I112">
        <f t="shared" si="39"/>
        <v>59.239161363289767</v>
      </c>
      <c r="J112">
        <f t="shared" si="40"/>
        <v>-466.6187120815282</v>
      </c>
      <c r="K112">
        <f t="shared" ref="K112:K121" ca="1" si="45">H112/$B$55</f>
        <v>-90.590040919148109</v>
      </c>
      <c r="L112">
        <f t="shared" ca="1" si="41"/>
        <v>-3.1237945144533832E-3</v>
      </c>
      <c r="M112">
        <f t="shared" si="34"/>
        <v>-1.121480207484025E-3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-9.4546100167011051</v>
      </c>
      <c r="C113" s="1">
        <f t="shared" si="37"/>
        <v>-2.7586861786174808</v>
      </c>
      <c r="D113" t="str">
        <f t="shared" si="35"/>
        <v>y</v>
      </c>
      <c r="E113" s="4">
        <f t="shared" si="32"/>
        <v>5.919759905873863</v>
      </c>
      <c r="F113" s="1">
        <f t="shared" si="38"/>
        <v>-9.4546100167011051</v>
      </c>
      <c r="G113" s="1">
        <f t="shared" si="38"/>
        <v>-2.7586861786174808</v>
      </c>
      <c r="H113">
        <f t="shared" si="33"/>
        <v>-35.0573336773516</v>
      </c>
      <c r="I113">
        <f t="shared" si="39"/>
        <v>96.712181874891002</v>
      </c>
      <c r="J113">
        <f t="shared" si="40"/>
        <v>-331.45341814472141</v>
      </c>
      <c r="K113">
        <f t="shared" ca="1" si="45"/>
        <v>-104.81749498726006</v>
      </c>
      <c r="L113">
        <f t="shared" ca="1" si="41"/>
        <v>-3.6143963788710367E-3</v>
      </c>
      <c r="M113">
        <f t="shared" si="34"/>
        <v>-1.2976122411864517E-3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-2.4372953273953737</v>
      </c>
      <c r="C114" s="1">
        <f t="shared" si="37"/>
        <v>4.3657292045037197</v>
      </c>
      <c r="D114" t="str">
        <f t="shared" si="35"/>
        <v>y</v>
      </c>
      <c r="E114" s="4">
        <f t="shared" si="32"/>
        <v>-1.2046554772473375</v>
      </c>
      <c r="F114" s="1">
        <f t="shared" si="38"/>
        <v>-2.4372953273953737</v>
      </c>
      <c r="G114" s="1">
        <f t="shared" si="38"/>
        <v>4.3657292045037197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2.6406065761846119E-4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3.5086573446528657</v>
      </c>
      <c r="C115" s="1">
        <f t="shared" si="37"/>
        <v>3.5622076915606002</v>
      </c>
      <c r="D115" t="str">
        <f t="shared" si="35"/>
        <v>y</v>
      </c>
      <c r="E115" s="4">
        <f t="shared" si="32"/>
        <v>-0.40113396430421799</v>
      </c>
      <c r="F115" s="1">
        <f t="shared" si="38"/>
        <v>3.5086573446528657</v>
      </c>
      <c r="G115" s="1">
        <f t="shared" si="38"/>
        <v>3.5622076915606002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8.7928623916034467E-5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2.4372953273953737</v>
      </c>
      <c r="C116" s="1">
        <f t="shared" si="37"/>
        <v>-4.3657292045037197</v>
      </c>
      <c r="D116" t="str">
        <f t="shared" si="35"/>
        <v>y</v>
      </c>
      <c r="E116" s="4">
        <f t="shared" si="32"/>
        <v>7.526802931760102</v>
      </c>
      <c r="F116" s="1">
        <f t="shared" si="38"/>
        <v>2.4372953273953737</v>
      </c>
      <c r="G116" s="1">
        <f t="shared" si="38"/>
        <v>-4.3657292045037197</v>
      </c>
      <c r="H116">
        <f t="shared" si="33"/>
        <v>-44.574382423949046</v>
      </c>
      <c r="I116">
        <f t="shared" si="39"/>
        <v>194.59968312095165</v>
      </c>
      <c r="J116">
        <f t="shared" si="40"/>
        <v>108.64093400342549</v>
      </c>
      <c r="K116">
        <f t="shared" ca="1" si="45"/>
        <v>-133.27240312348394</v>
      </c>
      <c r="L116">
        <f t="shared" ca="1" si="41"/>
        <v>-4.595600107706343E-3</v>
      </c>
      <c r="M116">
        <f t="shared" si="34"/>
        <v>-1.6498763085913053E-3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-3.5086573446528657</v>
      </c>
      <c r="C117" s="1">
        <f t="shared" si="37"/>
        <v>-3.5622076915606002</v>
      </c>
      <c r="D117" t="str">
        <f t="shared" si="35"/>
        <v>y</v>
      </c>
      <c r="E117" s="4">
        <f t="shared" si="32"/>
        <v>6.7232814188169829</v>
      </c>
      <c r="F117" s="1">
        <f t="shared" si="38"/>
        <v>-3.5086573446528657</v>
      </c>
      <c r="G117" s="1">
        <f t="shared" si="38"/>
        <v>-3.5622076915606002</v>
      </c>
      <c r="H117">
        <f t="shared" si="33"/>
        <v>-39.815858050650327</v>
      </c>
      <c r="I117">
        <f t="shared" si="39"/>
        <v>141.83235579411163</v>
      </c>
      <c r="J117">
        <f t="shared" si="40"/>
        <v>-139.70020278307021</v>
      </c>
      <c r="K117">
        <f t="shared" ca="1" si="45"/>
        <v>-119.04494905537202</v>
      </c>
      <c r="L117">
        <f t="shared" ca="1" si="41"/>
        <v>-4.1049982432886899E-3</v>
      </c>
      <c r="M117">
        <f t="shared" si="34"/>
        <v>-1.4737442748888787E-3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9.4546100167011051</v>
      </c>
      <c r="C118" s="1">
        <f t="shared" si="37"/>
        <v>2.7586861786174808</v>
      </c>
      <c r="D118" t="str">
        <f t="shared" si="35"/>
        <v>y</v>
      </c>
      <c r="E118" s="4">
        <f t="shared" si="32"/>
        <v>0.40238754863890147</v>
      </c>
      <c r="F118" s="1">
        <f t="shared" si="38"/>
        <v>9.4546100167011051</v>
      </c>
      <c r="G118" s="1">
        <f t="shared" si="38"/>
        <v>2.7586861786174808</v>
      </c>
      <c r="H118">
        <f t="shared" si="33"/>
        <v>-2.3829741044477584</v>
      </c>
      <c r="I118">
        <f t="shared" si="39"/>
        <v>-6.5738777259434</v>
      </c>
      <c r="J118">
        <f t="shared" si="40"/>
        <v>22.530090837451123</v>
      </c>
      <c r="K118">
        <f t="shared" ca="1" si="45"/>
        <v>-7.1248252518727444</v>
      </c>
      <c r="L118">
        <f t="shared" ca="1" si="41"/>
        <v>-2.456836293749222E-4</v>
      </c>
      <c r="M118">
        <f t="shared" si="34"/>
        <v>-8.8203409786392274E-5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15.400562688749345</v>
      </c>
      <c r="C119" s="1">
        <f t="shared" si="37"/>
        <v>1.9551646656743613</v>
      </c>
      <c r="D119" t="str">
        <f t="shared" si="35"/>
        <v>y</v>
      </c>
      <c r="E119" s="4">
        <f t="shared" si="32"/>
        <v>1.2059090615820209</v>
      </c>
      <c r="F119" s="1">
        <f t="shared" si="38"/>
        <v>15.400562688749345</v>
      </c>
      <c r="G119" s="1">
        <f t="shared" si="38"/>
        <v>1.9551646656743613</v>
      </c>
      <c r="H119">
        <f t="shared" si="33"/>
        <v>-7.1414984777464818</v>
      </c>
      <c r="I119">
        <f t="shared" si="39"/>
        <v>-13.96280548365716</v>
      </c>
      <c r="J119">
        <f t="shared" si="40"/>
        <v>109.9830949981427</v>
      </c>
      <c r="K119">
        <f t="shared" ca="1" si="45"/>
        <v>-21.352279319984685</v>
      </c>
      <c r="L119">
        <f t="shared" ca="1" si="41"/>
        <v>-7.3628549379257534E-4</v>
      </c>
      <c r="M119">
        <f t="shared" si="34"/>
        <v>-2.64335443488819E-4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8.3832479994436131</v>
      </c>
      <c r="C120" s="1">
        <f t="shared" si="37"/>
        <v>-5.1692507174468387</v>
      </c>
      <c r="D120" t="str">
        <f t="shared" si="35"/>
        <v>y</v>
      </c>
      <c r="E120" s="4">
        <f t="shared" si="32"/>
        <v>8.330324444703221</v>
      </c>
      <c r="F120" s="1">
        <f t="shared" si="38"/>
        <v>8.3832479994436131</v>
      </c>
      <c r="G120" s="1">
        <f t="shared" si="38"/>
        <v>-5.1692507174468387</v>
      </c>
      <c r="H120">
        <f t="shared" si="33"/>
        <v>-49.332906797247766</v>
      </c>
      <c r="I120">
        <f t="shared" si="39"/>
        <v>255.01416385541103</v>
      </c>
      <c r="J120">
        <f t="shared" si="40"/>
        <v>413.56999221476553</v>
      </c>
      <c r="K120">
        <f t="shared" ca="1" si="45"/>
        <v>-147.49985719159588</v>
      </c>
      <c r="L120">
        <f t="shared" ca="1" si="41"/>
        <v>-5.0862019721239961E-3</v>
      </c>
      <c r="M120">
        <f t="shared" si="34"/>
        <v>-1.826008342293732E-3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14.329200671491853</v>
      </c>
      <c r="C121" s="1">
        <f t="shared" si="37"/>
        <v>-5.9727722303899586</v>
      </c>
      <c r="D121" t="str">
        <f t="shared" si="35"/>
        <v>y</v>
      </c>
      <c r="E121" s="4">
        <f t="shared" si="32"/>
        <v>9.13384595764634</v>
      </c>
      <c r="F121" s="1">
        <f t="shared" si="38"/>
        <v>14.329200671491853</v>
      </c>
      <c r="G121" s="1">
        <f t="shared" si="38"/>
        <v>-5.9727722303899586</v>
      </c>
      <c r="H121" s="23">
        <f t="shared" si="33"/>
        <v>-54.091431170546485</v>
      </c>
      <c r="I121" s="23">
        <f t="shared" si="39"/>
        <v>323.07579799748987</v>
      </c>
      <c r="J121" s="23">
        <f t="shared" si="40"/>
        <v>775.08697185095002</v>
      </c>
      <c r="K121">
        <f t="shared" ca="1" si="45"/>
        <v>-161.72731125970779</v>
      </c>
      <c r="L121">
        <f t="shared" ca="1" si="41"/>
        <v>-5.5768038365416476E-3</v>
      </c>
      <c r="M121">
        <f t="shared" si="34"/>
        <v>-2.0021403759961586E-3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9.13384595764634</v>
      </c>
      <c r="H122">
        <f>SUM(H110:H121)</f>
        <v>-262.69519400599233</v>
      </c>
      <c r="I122">
        <f t="shared" ref="I122:J122" si="46">SUM(I110:I121)</f>
        <v>1049.9366607965444</v>
      </c>
      <c r="J122">
        <f t="shared" si="46"/>
        <v>492.03875089541509</v>
      </c>
      <c r="L122">
        <f ca="1">MIN(L110:L121)</f>
        <v>-5.5768038365416476E-3</v>
      </c>
      <c r="M122">
        <f>MIN(M110:M121)</f>
        <v>-2.0021403759961586E-3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3.1610737272563822</v>
      </c>
      <c r="F125" s="1" t="s">
        <v>27</v>
      </c>
      <c r="G125" s="1" t="s">
        <v>28</v>
      </c>
    </row>
    <row r="126" spans="1:16" x14ac:dyDescent="0.25">
      <c r="F126" s="4">
        <f>MIN(B84:B90)-1</f>
        <v>-19.775299781245025</v>
      </c>
      <c r="G126" s="4">
        <f>B125</f>
        <v>3.1610737272563822</v>
      </c>
    </row>
    <row r="127" spans="1:16" x14ac:dyDescent="0.25">
      <c r="F127" s="4">
        <f>MAX(B84:B90)+1</f>
        <v>19.775299781245025</v>
      </c>
      <c r="G127" s="4">
        <f>G126</f>
        <v>3.1610737272563822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-16.900416251044412</v>
      </c>
      <c r="C132" s="4">
        <f>C84</f>
        <v>9.3475093228856387</v>
      </c>
      <c r="D132" s="4">
        <f t="shared" ref="D132:E139" si="47">B85</f>
        <v>-18.775299781245025</v>
      </c>
      <c r="E132" s="4">
        <f t="shared" si="47"/>
        <v>-4.526380245226922</v>
      </c>
      <c r="F132" s="4">
        <f t="shared" ref="F132:F139" si="48">($B$66/$B$65)*(C132-$B$125)</f>
        <v>5.5250000000000004</v>
      </c>
      <c r="G132" s="4">
        <f t="shared" ref="G132:G139" si="49">($B$66/$B$65)*(E132-$B$125)</f>
        <v>-6.8655338831907899</v>
      </c>
      <c r="H132" s="4">
        <f>IF(B132=D132,"V",(C132-E132)/(B132-D132))</f>
        <v>7.3998674288999977</v>
      </c>
      <c r="I132" s="4">
        <f>IF(H132="V",0,(-1*B132*H132)+C132)</f>
        <v>134.40834907384138</v>
      </c>
      <c r="J132" s="4">
        <f>IF($F132&gt;=0,B132,IF(AND($F132&lt;0,$G132&gt;=0),IF(H132="V",B132,($B$125-I132)/H132),0))</f>
        <v>-16.900416251044412</v>
      </c>
      <c r="K132" s="4">
        <f>IF($F132&gt;=0,C132,IF(AND($F132&lt;0,$G132&gt;=0),$B$125,0))</f>
        <v>9.3475093228856387</v>
      </c>
      <c r="L132" s="4">
        <f>IF($G132&gt;=0,D132,IF(AND($G132&lt;0,$F132&gt;=0),IF(H132="V",D132,($B$125-I132)/H132),0))</f>
        <v>-17.736436038570371</v>
      </c>
      <c r="M132" s="4">
        <f>IF($G132&gt;=0,E132,IF(AND($G132&lt;0,$F132&gt;=0),$B$125,0))</f>
        <v>3.1610737272563822</v>
      </c>
      <c r="N132" s="4">
        <f>IF(F132&lt;0,0,F132)</f>
        <v>5.5250000000000004</v>
      </c>
      <c r="O132" s="4">
        <f>IF(G132&lt;0,0,G132)</f>
        <v>0</v>
      </c>
      <c r="P132" s="4">
        <f>(1/6)*(M132-K132)*((N132*((2*J132)+L132))+(O132*(J132+(2*L132))))</f>
        <v>293.59112652049077</v>
      </c>
      <c r="Q132" s="4">
        <f>((1/12)*(M132-K132)*(N132*J132*((3*K132)+M132)+N132*L132*(K132+M132)+O132*J132*(K132+M132)+O132*L132*(K132+(3*M132))))</f>
        <v>2134.0077421167925</v>
      </c>
      <c r="R132" s="4">
        <f>((-1/24)*(M132-K132)*(J132*J132*((3*N132)+O132)+2*J132*L132*(N132+O132)+L132*L132*(N132+(3*O132))))</f>
        <v>2522.1459191587428</v>
      </c>
    </row>
    <row r="133" spans="1:18" x14ac:dyDescent="0.25">
      <c r="A133" t="s">
        <v>70</v>
      </c>
      <c r="B133" s="4">
        <f t="shared" ref="B133:C138" si="50">D132</f>
        <v>-18.775299781245025</v>
      </c>
      <c r="C133" s="4">
        <f t="shared" si="50"/>
        <v>-4.526380245226922</v>
      </c>
      <c r="D133" s="4">
        <f t="shared" si="47"/>
        <v>16.900416251044412</v>
      </c>
      <c r="E133" s="4">
        <f t="shared" si="47"/>
        <v>-9.3475093228856387</v>
      </c>
      <c r="F133" s="4">
        <f t="shared" si="48"/>
        <v>-6.8655338831907899</v>
      </c>
      <c r="G133" s="4">
        <f t="shared" si="49"/>
        <v>-11.171201943953177</v>
      </c>
      <c r="H133" s="4">
        <f t="shared" ref="H133:H139" si="51">IF(B133=D133,"V",(C133-E133)/(B133-D133))</f>
        <v>-0.13513755612627931</v>
      </c>
      <c r="I133" s="4">
        <f t="shared" ref="I133:I139" si="52">IF(H133="V",0,(-1*B133*H133)+C133)</f>
        <v>-7.0636283732026417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16.900416251044412</v>
      </c>
      <c r="C134" s="4">
        <f t="shared" si="50"/>
        <v>-9.3475093228856387</v>
      </c>
      <c r="D134" s="4">
        <f t="shared" si="47"/>
        <v>18.775299781245025</v>
      </c>
      <c r="E134" s="4">
        <f t="shared" si="47"/>
        <v>4.526380245226922</v>
      </c>
      <c r="F134" s="4">
        <f t="shared" si="48"/>
        <v>-11.171201943953177</v>
      </c>
      <c r="G134" s="4">
        <f t="shared" si="49"/>
        <v>1.2193319392376152</v>
      </c>
      <c r="H134" s="4">
        <f t="shared" si="51"/>
        <v>7.3998674288999977</v>
      </c>
      <c r="I134" s="4">
        <f t="shared" si="52"/>
        <v>-134.40834907384138</v>
      </c>
      <c r="J134" s="4">
        <f t="shared" si="53"/>
        <v>18.590795595043208</v>
      </c>
      <c r="K134" s="4">
        <f t="shared" si="54"/>
        <v>3.1610737272563822</v>
      </c>
      <c r="L134" s="4">
        <f t="shared" si="55"/>
        <v>18.775299781245025</v>
      </c>
      <c r="M134" s="4">
        <f t="shared" si="56"/>
        <v>4.526380245226922</v>
      </c>
      <c r="N134" s="4">
        <f t="shared" si="57"/>
        <v>0</v>
      </c>
      <c r="O134" s="4">
        <f t="shared" si="57"/>
        <v>1.2193319392376152</v>
      </c>
      <c r="P134" s="4">
        <f t="shared" si="58"/>
        <v>15.577008756503478</v>
      </c>
      <c r="Q134" s="4">
        <f t="shared" si="59"/>
        <v>63.429983115644816</v>
      </c>
      <c r="R134" s="4">
        <f t="shared" si="60"/>
        <v>-145.75328776577194</v>
      </c>
    </row>
    <row r="135" spans="1:18" x14ac:dyDescent="0.25">
      <c r="A135" t="s">
        <v>72</v>
      </c>
      <c r="B135" s="4">
        <f t="shared" si="50"/>
        <v>18.775299781245025</v>
      </c>
      <c r="C135" s="4">
        <f t="shared" si="50"/>
        <v>4.526380245226922</v>
      </c>
      <c r="D135" s="4">
        <f t="shared" si="47"/>
        <v>-16.900416251044412</v>
      </c>
      <c r="E135" s="4">
        <f t="shared" si="47"/>
        <v>9.3475093228856387</v>
      </c>
      <c r="F135" s="4">
        <f t="shared" si="48"/>
        <v>1.2193319392376152</v>
      </c>
      <c r="G135" s="4">
        <f t="shared" si="49"/>
        <v>5.5250000000000004</v>
      </c>
      <c r="H135" s="4">
        <f t="shared" si="51"/>
        <v>-0.13513755612627931</v>
      </c>
      <c r="I135" s="4">
        <f t="shared" si="52"/>
        <v>7.0636283732026417</v>
      </c>
      <c r="J135" s="4">
        <f t="shared" si="53"/>
        <v>18.775299781245025</v>
      </c>
      <c r="K135" s="4">
        <f t="shared" si="54"/>
        <v>4.526380245226922</v>
      </c>
      <c r="L135" s="4">
        <f t="shared" si="55"/>
        <v>-16.900416251044412</v>
      </c>
      <c r="M135" s="4">
        <f t="shared" si="56"/>
        <v>9.3475093228856387</v>
      </c>
      <c r="N135" s="4">
        <f t="shared" si="57"/>
        <v>1.2193319392376152</v>
      </c>
      <c r="O135" s="4">
        <f t="shared" si="57"/>
        <v>5.5250000000000004</v>
      </c>
      <c r="P135" s="4">
        <f t="shared" si="58"/>
        <v>-46.472984653044733</v>
      </c>
      <c r="Q135" s="4">
        <f t="shared" si="59"/>
        <v>-547.58495974111304</v>
      </c>
      <c r="R135" s="4">
        <f t="shared" si="60"/>
        <v>-811.45860945389052</v>
      </c>
    </row>
    <row r="136" spans="1:18" x14ac:dyDescent="0.25">
      <c r="A136" t="s">
        <v>73</v>
      </c>
      <c r="B136" s="4">
        <f t="shared" si="50"/>
        <v>-16.900416251044412</v>
      </c>
      <c r="C136" s="4">
        <f t="shared" si="50"/>
        <v>9.3475093228856387</v>
      </c>
      <c r="D136" s="4">
        <f t="shared" si="47"/>
        <v>-16.900416251044412</v>
      </c>
      <c r="E136" s="4">
        <f t="shared" si="47"/>
        <v>9.3475093228856387</v>
      </c>
      <c r="F136" s="4">
        <f t="shared" si="48"/>
        <v>5.5250000000000004</v>
      </c>
      <c r="G136" s="4">
        <f t="shared" si="49"/>
        <v>5.5250000000000004</v>
      </c>
      <c r="H136" s="4" t="str">
        <f t="shared" si="51"/>
        <v>V</v>
      </c>
      <c r="I136" s="4">
        <f t="shared" si="52"/>
        <v>0</v>
      </c>
      <c r="J136" s="4">
        <f t="shared" si="53"/>
        <v>-16.900416251044412</v>
      </c>
      <c r="K136" s="4">
        <f t="shared" si="54"/>
        <v>9.3475093228856387</v>
      </c>
      <c r="L136" s="4">
        <f t="shared" si="55"/>
        <v>-16.900416251044412</v>
      </c>
      <c r="M136" s="4">
        <f t="shared" si="56"/>
        <v>9.3475093228856387</v>
      </c>
      <c r="N136" s="4">
        <f t="shared" si="57"/>
        <v>5.5250000000000004</v>
      </c>
      <c r="O136" s="4">
        <f t="shared" si="57"/>
        <v>5.5250000000000004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-16.900416251044412</v>
      </c>
      <c r="C137" s="4">
        <f t="shared" si="50"/>
        <v>9.3475093228856387</v>
      </c>
      <c r="D137" s="4">
        <f t="shared" si="47"/>
        <v>-16.900416251044412</v>
      </c>
      <c r="E137" s="4">
        <f t="shared" si="47"/>
        <v>9.3475093228856387</v>
      </c>
      <c r="F137" s="4">
        <f t="shared" si="48"/>
        <v>5.5250000000000004</v>
      </c>
      <c r="G137" s="4">
        <f t="shared" si="49"/>
        <v>5.5250000000000004</v>
      </c>
      <c r="H137" s="4" t="str">
        <f t="shared" si="51"/>
        <v>V</v>
      </c>
      <c r="I137" s="4">
        <f t="shared" si="52"/>
        <v>0</v>
      </c>
      <c r="J137" s="4">
        <f t="shared" si="53"/>
        <v>-16.900416251044412</v>
      </c>
      <c r="K137" s="4">
        <f t="shared" si="54"/>
        <v>9.3475093228856387</v>
      </c>
      <c r="L137" s="4">
        <f t="shared" si="55"/>
        <v>-16.900416251044412</v>
      </c>
      <c r="M137" s="4">
        <f t="shared" si="56"/>
        <v>9.3475093228856387</v>
      </c>
      <c r="N137" s="4">
        <f t="shared" si="57"/>
        <v>5.5250000000000004</v>
      </c>
      <c r="O137" s="4">
        <f t="shared" si="57"/>
        <v>5.5250000000000004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-16.900416251044412</v>
      </c>
      <c r="C138" s="4">
        <f t="shared" si="50"/>
        <v>9.3475093228856387</v>
      </c>
      <c r="D138" s="4">
        <f t="shared" si="47"/>
        <v>-16.900416251044412</v>
      </c>
      <c r="E138" s="4">
        <f t="shared" si="47"/>
        <v>9.3475093228856387</v>
      </c>
      <c r="F138" s="4">
        <f t="shared" si="48"/>
        <v>5.5250000000000004</v>
      </c>
      <c r="G138" s="4">
        <f t="shared" si="49"/>
        <v>5.5250000000000004</v>
      </c>
      <c r="H138" s="4" t="str">
        <f t="shared" si="51"/>
        <v>V</v>
      </c>
      <c r="I138" s="4">
        <f t="shared" si="52"/>
        <v>0</v>
      </c>
      <c r="J138" s="4">
        <f t="shared" si="53"/>
        <v>-16.900416251044412</v>
      </c>
      <c r="K138" s="4">
        <f t="shared" si="54"/>
        <v>9.3475093228856387</v>
      </c>
      <c r="L138" s="4">
        <f t="shared" si="55"/>
        <v>-16.900416251044412</v>
      </c>
      <c r="M138" s="4">
        <f t="shared" si="56"/>
        <v>9.3475093228856387</v>
      </c>
      <c r="N138" s="4">
        <f t="shared" si="57"/>
        <v>5.5250000000000004</v>
      </c>
      <c r="O138" s="4">
        <f t="shared" si="57"/>
        <v>5.5250000000000004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-16.900416251044412</v>
      </c>
      <c r="C139" s="4">
        <f>E138</f>
        <v>9.3475093228856387</v>
      </c>
      <c r="D139" s="4">
        <f t="shared" si="47"/>
        <v>-16.900416251044412</v>
      </c>
      <c r="E139" s="4">
        <f t="shared" si="47"/>
        <v>9.3475093228856387</v>
      </c>
      <c r="F139" s="4">
        <f t="shared" si="48"/>
        <v>5.5250000000000004</v>
      </c>
      <c r="G139" s="4">
        <f t="shared" si="49"/>
        <v>5.5250000000000004</v>
      </c>
      <c r="H139" s="4" t="str">
        <f t="shared" si="51"/>
        <v>V</v>
      </c>
      <c r="I139" s="4">
        <f t="shared" si="52"/>
        <v>0</v>
      </c>
      <c r="J139" s="4">
        <f t="shared" si="53"/>
        <v>-16.900416251044412</v>
      </c>
      <c r="K139" s="4">
        <f t="shared" si="54"/>
        <v>9.3475093228856387</v>
      </c>
      <c r="L139" s="4">
        <f t="shared" si="55"/>
        <v>-16.900416251044412</v>
      </c>
      <c r="M139" s="4">
        <f t="shared" si="56"/>
        <v>9.3475093228856387</v>
      </c>
      <c r="N139" s="4">
        <f t="shared" si="57"/>
        <v>5.5250000000000004</v>
      </c>
      <c r="O139" s="4">
        <f t="shared" si="57"/>
        <v>5.5250000000000004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262.69515062394953</v>
      </c>
      <c r="Q140" s="4">
        <f>SUM(Q132:Q139)</f>
        <v>1649.8527654913246</v>
      </c>
      <c r="R140" s="4">
        <f>SUM(R132:R139)</f>
        <v>1564.9340219390806</v>
      </c>
    </row>
    <row r="142" spans="1:18" x14ac:dyDescent="0.25">
      <c r="O142" t="s">
        <v>96</v>
      </c>
      <c r="P142" s="1">
        <f>-1*R140/P140</f>
        <v>-5.9572246317530917</v>
      </c>
    </row>
    <row r="143" spans="1:18" x14ac:dyDescent="0.25">
      <c r="O143" t="s">
        <v>97</v>
      </c>
      <c r="P143" s="1">
        <f>Q140/P140</f>
        <v>6.2804842859589121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-16.900416251044412</v>
      </c>
      <c r="C146" s="9">
        <f>J84</f>
        <v>9.3475093228856387</v>
      </c>
      <c r="D146" s="9">
        <f t="shared" ref="D146:E153" si="61">I85</f>
        <v>-16.900416251044412</v>
      </c>
      <c r="E146">
        <f t="shared" si="61"/>
        <v>9.3475093228856387</v>
      </c>
      <c r="F146" s="4">
        <f>($B$66/$B$65)*(C146-$B$125)</f>
        <v>5.5250000000000004</v>
      </c>
      <c r="G146" s="4">
        <f>($B$66/$B$65)*(E146-$B$125)</f>
        <v>5.5250000000000004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-16.900416251044412</v>
      </c>
      <c r="K146" s="4">
        <f>IF($F146&gt;=0,C146,IF(AND($F146&lt;0,$G146&gt;=0),$B$125,0))</f>
        <v>9.3475093228856387</v>
      </c>
      <c r="L146" s="4">
        <f>IF($G146&gt;=0,D146,IF(AND($G146&lt;0,$F146&gt;=0),IF(H146="V",D146,($B$125-I146)/H146),0))</f>
        <v>-16.900416251044412</v>
      </c>
      <c r="M146" s="4">
        <f>IF($G146&gt;=0,E146,IF(AND($G146&lt;0,$F146&gt;=0),$B$125,0))</f>
        <v>9.3475093228856387</v>
      </c>
      <c r="N146" s="4">
        <f>IF(F146&lt;0,0,F146)</f>
        <v>5.5250000000000004</v>
      </c>
      <c r="O146" s="4">
        <f>IF(G146&lt;0,0,G146)</f>
        <v>5.5250000000000004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-16.900416251044412</v>
      </c>
      <c r="C147">
        <f t="shared" si="62"/>
        <v>9.3475093228856387</v>
      </c>
      <c r="D147" s="9">
        <f t="shared" si="61"/>
        <v>-16.900416251044412</v>
      </c>
      <c r="E147">
        <f t="shared" si="61"/>
        <v>9.3475093228856387</v>
      </c>
      <c r="F147" s="4">
        <f t="shared" ref="F147:F153" si="63">($B$66/$B$65)*(C147-$B$125)</f>
        <v>5.5250000000000004</v>
      </c>
      <c r="G147" s="4">
        <f t="shared" ref="G147:G153" si="64">($B$66/$B$65)*(E147-$B$125)</f>
        <v>5.5250000000000004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-16.900416251044412</v>
      </c>
      <c r="K147" s="4">
        <f t="shared" ref="K147:K153" si="68">IF($F147&gt;=0,C147,IF(AND($F147&lt;0,$G147&gt;=0),$B$125,0))</f>
        <v>9.3475093228856387</v>
      </c>
      <c r="L147" s="4">
        <f t="shared" ref="L147:L153" si="69">IF($G147&gt;=0,D147,IF(AND($G147&lt;0,$F147&gt;=0),IF(H147="V",D147,($B$125-I147)/H147),0))</f>
        <v>-16.900416251044412</v>
      </c>
      <c r="M147" s="4">
        <f t="shared" ref="M147:M153" si="70">IF($G147&gt;=0,E147,IF(AND($G147&lt;0,$F147&gt;=0),$B$125,0))</f>
        <v>9.3475093228856387</v>
      </c>
      <c r="N147" s="4">
        <f t="shared" ref="N147:O153" si="71">IF(F147&lt;0,0,F147)</f>
        <v>5.5250000000000004</v>
      </c>
      <c r="O147" s="4">
        <f t="shared" si="71"/>
        <v>5.5250000000000004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-16.900416251044412</v>
      </c>
      <c r="C148">
        <f t="shared" si="62"/>
        <v>9.3475093228856387</v>
      </c>
      <c r="D148" s="9">
        <f t="shared" si="61"/>
        <v>-16.900416251044412</v>
      </c>
      <c r="E148">
        <f t="shared" si="61"/>
        <v>9.3475093228856387</v>
      </c>
      <c r="F148" s="4">
        <f t="shared" si="63"/>
        <v>5.5250000000000004</v>
      </c>
      <c r="G148" s="4">
        <f t="shared" si="64"/>
        <v>5.5250000000000004</v>
      </c>
      <c r="H148" s="4" t="str">
        <f t="shared" si="65"/>
        <v>V</v>
      </c>
      <c r="I148" s="4">
        <f t="shared" si="66"/>
        <v>0</v>
      </c>
      <c r="J148" s="4">
        <f t="shared" si="67"/>
        <v>-16.900416251044412</v>
      </c>
      <c r="K148" s="4">
        <f t="shared" si="68"/>
        <v>9.3475093228856387</v>
      </c>
      <c r="L148" s="4">
        <f t="shared" si="69"/>
        <v>-16.900416251044412</v>
      </c>
      <c r="M148" s="4">
        <f t="shared" si="70"/>
        <v>9.3475093228856387</v>
      </c>
      <c r="N148" s="4">
        <f t="shared" si="71"/>
        <v>5.5250000000000004</v>
      </c>
      <c r="O148" s="4">
        <f t="shared" si="71"/>
        <v>5.5250000000000004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-16.900416251044412</v>
      </c>
      <c r="C149">
        <f t="shared" si="62"/>
        <v>9.3475093228856387</v>
      </c>
      <c r="D149" s="9">
        <f t="shared" si="61"/>
        <v>-16.900416251044412</v>
      </c>
      <c r="E149">
        <f t="shared" si="61"/>
        <v>9.3475093228856387</v>
      </c>
      <c r="F149" s="4">
        <f t="shared" si="63"/>
        <v>5.5250000000000004</v>
      </c>
      <c r="G149" s="4">
        <f t="shared" si="64"/>
        <v>5.5250000000000004</v>
      </c>
      <c r="H149" s="4" t="str">
        <f t="shared" si="65"/>
        <v>V</v>
      </c>
      <c r="I149" s="4">
        <f t="shared" si="66"/>
        <v>0</v>
      </c>
      <c r="J149" s="4">
        <f t="shared" si="67"/>
        <v>-16.900416251044412</v>
      </c>
      <c r="K149" s="4">
        <f t="shared" si="68"/>
        <v>9.3475093228856387</v>
      </c>
      <c r="L149" s="4">
        <f t="shared" si="69"/>
        <v>-16.900416251044412</v>
      </c>
      <c r="M149" s="4">
        <f t="shared" si="70"/>
        <v>9.3475093228856387</v>
      </c>
      <c r="N149" s="4">
        <f t="shared" si="71"/>
        <v>5.5250000000000004</v>
      </c>
      <c r="O149" s="4">
        <f t="shared" si="71"/>
        <v>5.5250000000000004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-16.900416251044412</v>
      </c>
      <c r="C150">
        <f t="shared" si="62"/>
        <v>9.3475093228856387</v>
      </c>
      <c r="D150" s="9">
        <f t="shared" si="61"/>
        <v>-16.900416251044412</v>
      </c>
      <c r="E150">
        <f t="shared" si="61"/>
        <v>9.3475093228856387</v>
      </c>
      <c r="F150" s="4">
        <f t="shared" si="63"/>
        <v>5.5250000000000004</v>
      </c>
      <c r="G150" s="4">
        <f t="shared" si="64"/>
        <v>5.5250000000000004</v>
      </c>
      <c r="H150" s="4" t="str">
        <f t="shared" si="65"/>
        <v>V</v>
      </c>
      <c r="I150" s="4">
        <f t="shared" si="66"/>
        <v>0</v>
      </c>
      <c r="J150" s="4">
        <f t="shared" si="67"/>
        <v>-16.900416251044412</v>
      </c>
      <c r="K150" s="4">
        <f t="shared" si="68"/>
        <v>9.3475093228856387</v>
      </c>
      <c r="L150" s="4">
        <f t="shared" si="69"/>
        <v>-16.900416251044412</v>
      </c>
      <c r="M150" s="4">
        <f t="shared" si="70"/>
        <v>9.3475093228856387</v>
      </c>
      <c r="N150" s="4">
        <f t="shared" si="71"/>
        <v>5.5250000000000004</v>
      </c>
      <c r="O150" s="4">
        <f t="shared" si="71"/>
        <v>5.5250000000000004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-16.900416251044412</v>
      </c>
      <c r="C151">
        <f t="shared" si="62"/>
        <v>9.3475093228856387</v>
      </c>
      <c r="D151" s="9">
        <f t="shared" si="61"/>
        <v>-16.900416251044412</v>
      </c>
      <c r="E151">
        <f t="shared" si="61"/>
        <v>9.3475093228856387</v>
      </c>
      <c r="F151" s="4">
        <f t="shared" si="63"/>
        <v>5.5250000000000004</v>
      </c>
      <c r="G151" s="4">
        <f t="shared" si="64"/>
        <v>5.5250000000000004</v>
      </c>
      <c r="H151" s="4" t="str">
        <f t="shared" si="65"/>
        <v>V</v>
      </c>
      <c r="I151" s="4">
        <f t="shared" si="66"/>
        <v>0</v>
      </c>
      <c r="J151" s="4">
        <f t="shared" si="67"/>
        <v>-16.900416251044412</v>
      </c>
      <c r="K151" s="4">
        <f t="shared" si="68"/>
        <v>9.3475093228856387</v>
      </c>
      <c r="L151" s="4">
        <f t="shared" si="69"/>
        <v>-16.900416251044412</v>
      </c>
      <c r="M151" s="4">
        <f t="shared" si="70"/>
        <v>9.3475093228856387</v>
      </c>
      <c r="N151" s="4">
        <f t="shared" si="71"/>
        <v>5.5250000000000004</v>
      </c>
      <c r="O151" s="4">
        <f t="shared" si="71"/>
        <v>5.5250000000000004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-16.900416251044412</v>
      </c>
      <c r="C152">
        <f t="shared" si="62"/>
        <v>9.3475093228856387</v>
      </c>
      <c r="D152" s="9">
        <f t="shared" si="61"/>
        <v>-16.900416251044412</v>
      </c>
      <c r="E152">
        <f t="shared" si="61"/>
        <v>9.3475093228856387</v>
      </c>
      <c r="F152" s="4">
        <f t="shared" si="63"/>
        <v>5.5250000000000004</v>
      </c>
      <c r="G152" s="4">
        <f t="shared" si="64"/>
        <v>5.5250000000000004</v>
      </c>
      <c r="H152" s="4" t="str">
        <f t="shared" si="65"/>
        <v>V</v>
      </c>
      <c r="I152" s="4">
        <f t="shared" si="66"/>
        <v>0</v>
      </c>
      <c r="J152" s="4">
        <f t="shared" si="67"/>
        <v>-16.900416251044412</v>
      </c>
      <c r="K152" s="4">
        <f t="shared" si="68"/>
        <v>9.3475093228856387</v>
      </c>
      <c r="L152" s="4">
        <f t="shared" si="69"/>
        <v>-16.900416251044412</v>
      </c>
      <c r="M152" s="4">
        <f t="shared" si="70"/>
        <v>9.3475093228856387</v>
      </c>
      <c r="N152" s="4">
        <f t="shared" si="71"/>
        <v>5.5250000000000004</v>
      </c>
      <c r="O152" s="4">
        <f t="shared" si="71"/>
        <v>5.5250000000000004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-16.900416251044412</v>
      </c>
      <c r="C153">
        <f t="shared" si="62"/>
        <v>9.3475093228856387</v>
      </c>
      <c r="D153" s="9">
        <f t="shared" si="61"/>
        <v>-16.900416251044412</v>
      </c>
      <c r="E153">
        <f t="shared" si="61"/>
        <v>9.3475093228856387</v>
      </c>
      <c r="F153" s="4">
        <f t="shared" si="63"/>
        <v>5.5250000000000004</v>
      </c>
      <c r="G153" s="4">
        <f t="shared" si="64"/>
        <v>5.5250000000000004</v>
      </c>
      <c r="H153" s="4" t="str">
        <f t="shared" si="65"/>
        <v>V</v>
      </c>
      <c r="I153" s="4">
        <f t="shared" si="66"/>
        <v>0</v>
      </c>
      <c r="J153" s="4">
        <f t="shared" si="67"/>
        <v>-16.900416251044412</v>
      </c>
      <c r="K153" s="4">
        <f t="shared" si="68"/>
        <v>9.3475093228856387</v>
      </c>
      <c r="L153" s="4">
        <f t="shared" si="69"/>
        <v>-16.900416251044412</v>
      </c>
      <c r="M153" s="4">
        <f t="shared" si="70"/>
        <v>9.3475093228856387</v>
      </c>
      <c r="N153" s="4">
        <f t="shared" si="71"/>
        <v>5.5250000000000004</v>
      </c>
      <c r="O153" s="4">
        <f t="shared" si="71"/>
        <v>5.5250000000000004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-4.3382042804296361E-5</v>
      </c>
      <c r="C159" t="s">
        <v>36</v>
      </c>
    </row>
    <row r="160" spans="1:18" x14ac:dyDescent="0.25">
      <c r="A160" s="1" t="s">
        <v>106</v>
      </c>
      <c r="B160" s="4">
        <f>Q140+I122+Q154-O122</f>
        <v>2699.789426287869</v>
      </c>
      <c r="C160" t="s">
        <v>102</v>
      </c>
    </row>
    <row r="161" spans="1:9" x14ac:dyDescent="0.25">
      <c r="A161" s="1" t="s">
        <v>107</v>
      </c>
      <c r="B161" s="4">
        <f>R140+J122+R154-P122</f>
        <v>2056.9727728344956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-4.3382042804296361E-5</v>
      </c>
      <c r="C164" t="s">
        <v>36</v>
      </c>
      <c r="E164" s="8">
        <f>B2-B164</f>
        <v>4.3382042804296361E-5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-2400.0002732340681</v>
      </c>
      <c r="C165" t="s">
        <v>102</v>
      </c>
      <c r="E165" s="8">
        <f>B3+B165</f>
        <v>-2.7323406811774475E-4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2399.9997131155269</v>
      </c>
      <c r="C166" t="s">
        <v>102</v>
      </c>
      <c r="E166" s="8">
        <f>B4+B166</f>
        <v>-2.8688447309832554E-4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5.5250000000000004</v>
      </c>
      <c r="B169" s="1">
        <f ca="1">IF(E122=0,0,(MIN(H110:H121)*B65)/(B55*B56*E122))</f>
        <v>-15.389450992696888</v>
      </c>
      <c r="C169" s="3">
        <f ca="1">A169+B169</f>
        <v>-9.864450992696888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2.5291018898912157E-8</v>
      </c>
      <c r="C175" s="27">
        <f>B65*SQRT(I175)</f>
        <v>9.1759668609640895E-8</v>
      </c>
      <c r="D175" s="27">
        <f>B66*SQRT(I175)</f>
        <v>8.1948993282407074E-8</v>
      </c>
      <c r="E175" s="27">
        <f>B67*SQRT(I175)</f>
        <v>8.0230558002369209E-7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1.7051201716112021</v>
      </c>
      <c r="C176" s="3">
        <f>B65+C175</f>
        <v>6.1864356873889248</v>
      </c>
      <c r="D176" s="3">
        <f>D175+B66</f>
        <v>5.5250000819489937</v>
      </c>
      <c r="E176" s="3">
        <f>B67+E175</f>
        <v>54.091431972852064</v>
      </c>
      <c r="F176" s="16" t="s">
        <v>125</v>
      </c>
    </row>
    <row r="177" spans="1:13" x14ac:dyDescent="0.25">
      <c r="B177" s="27">
        <f>B176-B64</f>
        <v>2.5291018834749934E-8</v>
      </c>
      <c r="C177" s="27">
        <f>C176-B65</f>
        <v>9.1759668308100117E-8</v>
      </c>
      <c r="D177" s="27">
        <f>D176-B66</f>
        <v>8.1948993368996526E-8</v>
      </c>
      <c r="E177" s="27">
        <f>E176-B67</f>
        <v>8.0230557841787231E-7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-47.54664128739266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16.900416356809568</v>
      </c>
      <c r="B181" s="25">
        <f>(d_alpha_p!E136-d_alpha_m!E136)/(2*B177)</f>
        <v>16.900416356809568</v>
      </c>
      <c r="C181" s="25">
        <f>(d_alpha_p!E137-d_alpha_m!E137)/(2*B177)</f>
        <v>16.900416356809568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-4.3382042804296361E-5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2.7323406811774475E-4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2.8688447309832554E-4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9.864450992696888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-47.54664128739266</v>
      </c>
      <c r="B190" s="25">
        <f>A181</f>
        <v>16.900416356809568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16.900416356809568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16.900416356809568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-47.54664128739266</v>
      </c>
      <c r="B201" s="25">
        <f t="shared" ref="B201:C201" si="77">B190</f>
        <v>16.900416356809568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16.900416356809568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16.900416356809568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0B6B9-2163-4B27-9995-7FC432A715DE}">
  <sheetPr codeName="Sheet7"/>
  <dimension ref="A1:AC208"/>
  <sheetViews>
    <sheetView topLeftCell="A157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2400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0.79365079365079361</v>
      </c>
      <c r="J3" t="s">
        <v>11</v>
      </c>
    </row>
    <row r="4" spans="1:29" x14ac:dyDescent="0.25">
      <c r="A4" s="10" t="s">
        <v>80</v>
      </c>
      <c r="B4" s="17">
        <f>'Rigid Bearing Plate Analysis'!B4</f>
        <v>-2400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-2.0408163265306123</v>
      </c>
      <c r="J4" t="s">
        <v>11</v>
      </c>
    </row>
    <row r="5" spans="1:29" x14ac:dyDescent="0.25">
      <c r="A5" s="10" t="s">
        <v>104</v>
      </c>
      <c r="B5" s="20">
        <f>ATAN2(B3,B4)</f>
        <v>-0.78539816339744828</v>
      </c>
      <c r="C5" t="s">
        <v>19</v>
      </c>
      <c r="I5">
        <f>SUM(I2:I4)</f>
        <v>-1.2471655328798188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18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20.784609690826528</v>
      </c>
      <c r="L13" s="4">
        <f>SQRT(H22/D22)</f>
        <v>8.0829037686547611</v>
      </c>
      <c r="M13" s="4">
        <f>SQRT(J22/D22)</f>
        <v>22.300971578236975</v>
      </c>
      <c r="N13" s="19">
        <f>G22-(D22*C9*C9)</f>
        <v>54432</v>
      </c>
      <c r="O13" s="19">
        <f>H22-(D22*B9*B9)</f>
        <v>8232</v>
      </c>
      <c r="P13" s="19">
        <f>I22-(D22*B9*C9)</f>
        <v>0</v>
      </c>
      <c r="Q13" s="19">
        <f>N13+O13</f>
        <v>62664</v>
      </c>
      <c r="R13" s="19">
        <f>SQRT(ABS(N13/D22))</f>
        <v>10.392304845413264</v>
      </c>
      <c r="S13" s="19">
        <f>SQRT(O13/D22)</f>
        <v>4.0414518843273806</v>
      </c>
      <c r="T13" s="19">
        <f>SQRT(Q13/D22)</f>
        <v>11.150485789118488</v>
      </c>
      <c r="U13" s="19">
        <f>N13/(MAX(C13:C20)-C9)</f>
        <v>3024</v>
      </c>
      <c r="V13" s="19">
        <f>N13/(MIN(C13:C20)-C9)</f>
        <v>-3024</v>
      </c>
      <c r="W13" s="19">
        <f>O13/(MIN(B13:B20)-B9)</f>
        <v>-1176</v>
      </c>
      <c r="X13" s="19">
        <f>O13/(MAX(B13:B20)-B9)</f>
        <v>1176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-1.1999050379822342</v>
      </c>
      <c r="Y14" s="1">
        <f>$N$13/(C14-$C$9)</f>
        <v>-3024</v>
      </c>
      <c r="Z14">
        <f>$O$13/(B14-$B$9)</f>
        <v>1176</v>
      </c>
      <c r="AA14">
        <f>$B$3/Y14</f>
        <v>-0.79365079365079361</v>
      </c>
      <c r="AB14">
        <f>$B$4/Z14</f>
        <v>-2.0408163265306123</v>
      </c>
      <c r="AC14">
        <f>$I$2+AA14+AB14</f>
        <v>-2.8344671201814058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36</v>
      </c>
      <c r="D15" s="5">
        <f t="shared" ref="D15:D21" si="0">((B14*C15)-(B15*C14))*0.5</f>
        <v>252</v>
      </c>
      <c r="E15" s="5">
        <f t="shared" ref="E15:E21" si="1">(B15+B14)*((B14*C15)-(B15*C14))*(1/6)</f>
        <v>2352</v>
      </c>
      <c r="F15" s="5">
        <f t="shared" ref="F15:F21" si="2">(C15+C14)*((B14*C15)-(B15*C14))*(1/6)</f>
        <v>3024</v>
      </c>
      <c r="G15" s="5">
        <f t="shared" ref="G15:G21" si="3">(((C14*C14)+(C14*C15)+(C15*C15))*((B14*C15)-(B15*C14)))/12</f>
        <v>54432</v>
      </c>
      <c r="H15" s="5">
        <f t="shared" ref="H15:H21" si="4">(((B14*B14)+(B14*B15)+(B15*B15))*((B14*C15)-(B15*C14)))/12</f>
        <v>24696</v>
      </c>
      <c r="I15" s="5">
        <f t="shared" ref="I15:I21" si="5">(((B14*C15)+(2*B14*C14)+(2*B15*C15)+(B15*C14))*((B14*C15)-(B15*C14)))/24</f>
        <v>31752</v>
      </c>
      <c r="J15" s="5">
        <f t="shared" ref="J15:J21" si="6">G15+H15</f>
        <v>79128</v>
      </c>
      <c r="K15">
        <f t="shared" ref="K15:K21" si="7">ATAN2((B15-$E$22),(C15-$F$22))</f>
        <v>1.1999050379822342</v>
      </c>
      <c r="N15" t="s">
        <v>136</v>
      </c>
      <c r="O15">
        <v>4</v>
      </c>
      <c r="Y15" s="1">
        <f t="shared" ref="Y15:Y20" si="8">$N$13/(C15-$C$9)</f>
        <v>3024</v>
      </c>
      <c r="Z15">
        <f t="shared" ref="Z15:Z21" si="9">$O$13/(B15-$B$9)</f>
        <v>1176</v>
      </c>
      <c r="AA15">
        <f t="shared" ref="AA15:AA20" si="10">$B$3/Y15</f>
        <v>0.79365079365079361</v>
      </c>
      <c r="AB15">
        <f t="shared" ref="AB15:AB21" si="11">$B$4/Z15</f>
        <v>-2.0408163265306123</v>
      </c>
      <c r="AC15">
        <f t="shared" ref="AC15:AC20" si="12">$I$2+AA15+AB15</f>
        <v>-1.2471655328798188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1.9416876156075589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3024</v>
      </c>
      <c r="Z16">
        <f t="shared" si="9"/>
        <v>-1176</v>
      </c>
      <c r="AA16">
        <f t="shared" si="10"/>
        <v>0.79365079365079361</v>
      </c>
      <c r="AB16">
        <f t="shared" si="11"/>
        <v>2.0408163265306123</v>
      </c>
      <c r="AC16">
        <f t="shared" si="12"/>
        <v>2.8344671201814058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-1.9416876156075589</v>
      </c>
      <c r="N17" t="s">
        <v>137</v>
      </c>
      <c r="O17">
        <f>K14</f>
        <v>-1.1999050379822342</v>
      </c>
      <c r="Q17" t="s">
        <v>137</v>
      </c>
      <c r="R17">
        <f>U16</f>
        <v>5.497787143782138</v>
      </c>
      <c r="Y17" s="1">
        <f t="shared" si="8"/>
        <v>-3024</v>
      </c>
      <c r="Z17">
        <f t="shared" si="9"/>
        <v>-1176</v>
      </c>
      <c r="AA17">
        <f t="shared" si="10"/>
        <v>-0.79365079365079361</v>
      </c>
      <c r="AB17">
        <f t="shared" si="11"/>
        <v>2.0408163265306123</v>
      </c>
      <c r="AC17">
        <f t="shared" si="12"/>
        <v>1.2471655328798188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-1.9416876156075589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-3024</v>
      </c>
      <c r="Z18">
        <f t="shared" si="9"/>
        <v>-1176</v>
      </c>
      <c r="AA18">
        <f t="shared" si="10"/>
        <v>-0.79365079365079361</v>
      </c>
      <c r="AB18">
        <f t="shared" si="11"/>
        <v>2.0408163265306123</v>
      </c>
      <c r="AC18">
        <f t="shared" si="12"/>
        <v>1.2471655328798188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-1.9416876156075589</v>
      </c>
      <c r="N19">
        <f>E22+(O16*COS(O17))</f>
        <v>8.5692360243970249</v>
      </c>
      <c r="O19">
        <f>F22+(O16*SIN(O17))</f>
        <v>13.964821651550507</v>
      </c>
      <c r="Q19">
        <f>E22+(R16*COS(R17))</f>
        <v>13.010407640085653</v>
      </c>
      <c r="R19">
        <f>F22+(R16*SIN(R17))</f>
        <v>11.989592359914344</v>
      </c>
      <c r="Y19" s="1">
        <f t="shared" si="8"/>
        <v>-3024</v>
      </c>
      <c r="Z19">
        <f t="shared" si="9"/>
        <v>-1176</v>
      </c>
      <c r="AA19">
        <f t="shared" si="10"/>
        <v>-0.79365079365079361</v>
      </c>
      <c r="AB19">
        <f t="shared" si="11"/>
        <v>2.0408163265306123</v>
      </c>
      <c r="AC19">
        <f t="shared" si="12"/>
        <v>1.2471655328798188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-1.9416876156075589</v>
      </c>
      <c r="Y20" s="1">
        <f t="shared" si="8"/>
        <v>-3024</v>
      </c>
      <c r="Z20">
        <f t="shared" si="9"/>
        <v>-1176</v>
      </c>
      <c r="AA20">
        <f t="shared" si="10"/>
        <v>-0.79365079365079361</v>
      </c>
      <c r="AB20">
        <f t="shared" si="11"/>
        <v>2.0408163265306123</v>
      </c>
      <c r="AC20">
        <f t="shared" si="12"/>
        <v>1.2471655328798188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-1.9416876156075589</v>
      </c>
      <c r="Y21" s="1"/>
      <c r="Z21">
        <f t="shared" si="9"/>
        <v>-1176</v>
      </c>
      <c r="AB21">
        <f t="shared" si="11"/>
        <v>2.0408163265306123</v>
      </c>
    </row>
    <row r="22" spans="1:29" x14ac:dyDescent="0.25">
      <c r="D22" s="5">
        <f>SUM(D13:D21)</f>
        <v>504</v>
      </c>
      <c r="E22" s="5">
        <f>SUM(E14:E21)/D22</f>
        <v>7</v>
      </c>
      <c r="F22" s="5">
        <f>SUM(F14:F21)/D22</f>
        <v>18</v>
      </c>
      <c r="G22" s="5">
        <f>SUM(G14:G21)</f>
        <v>217728</v>
      </c>
      <c r="H22" s="5">
        <f>SUM(H14:H21)</f>
        <v>32928</v>
      </c>
      <c r="I22" s="5">
        <f>SUM(I14:I21)</f>
        <v>63504</v>
      </c>
      <c r="J22" s="5">
        <f>SUM(J14:J21)</f>
        <v>250656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36</v>
      </c>
      <c r="U37" s="1">
        <f>T37</f>
        <v>36</v>
      </c>
    </row>
    <row r="38" spans="1:21" x14ac:dyDescent="0.25">
      <c r="A38">
        <v>2</v>
      </c>
      <c r="B38" s="17">
        <f>'Rigid Bearing Plate Analysis'!B38</f>
        <v>3</v>
      </c>
      <c r="C38" s="17">
        <f>'Rigid Bearing Plate Analysis'!C38</f>
        <v>9</v>
      </c>
      <c r="D38" s="17" t="str">
        <f>'Rigid Bearing Plate Analysis'!D38</f>
        <v>y</v>
      </c>
      <c r="Q38" s="12">
        <f t="shared" ref="Q38:R48" si="14">IF($D38="y",B38,NA())</f>
        <v>3</v>
      </c>
      <c r="R38" s="12">
        <f t="shared" si="14"/>
        <v>9</v>
      </c>
    </row>
    <row r="39" spans="1:21" x14ac:dyDescent="0.25">
      <c r="A39">
        <v>3</v>
      </c>
      <c r="B39" s="17">
        <f>'Rigid Bearing Plate Analysis'!B39</f>
        <v>11</v>
      </c>
      <c r="C39" s="17">
        <f>'Rigid Bearing Plate Analysis'!C39</f>
        <v>3</v>
      </c>
      <c r="D39" s="17" t="str">
        <f>'Rigid Bearing Plate Analysis'!D39</f>
        <v>y</v>
      </c>
      <c r="Q39" s="12">
        <f t="shared" si="14"/>
        <v>11</v>
      </c>
      <c r="R39" s="12">
        <f t="shared" si="14"/>
        <v>3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9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9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15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15</v>
      </c>
    </row>
    <row r="42" spans="1:21" x14ac:dyDescent="0.25">
      <c r="A42">
        <v>6</v>
      </c>
      <c r="B42" s="17">
        <f>'Rigid Bearing Plate Analysis'!B42</f>
        <v>3</v>
      </c>
      <c r="C42" s="17">
        <f>'Rigid Bearing Plate Analysis'!C42</f>
        <v>21</v>
      </c>
      <c r="D42" s="17" t="str">
        <f>'Rigid Bearing Plate Analysis'!D42</f>
        <v>y</v>
      </c>
      <c r="Q42" s="12">
        <f t="shared" si="14"/>
        <v>3</v>
      </c>
      <c r="R42" s="12">
        <f t="shared" si="14"/>
        <v>21</v>
      </c>
    </row>
    <row r="43" spans="1:21" x14ac:dyDescent="0.25">
      <c r="A43">
        <v>7</v>
      </c>
      <c r="B43" s="17">
        <f>'Rigid Bearing Plate Analysis'!B43</f>
        <v>11</v>
      </c>
      <c r="C43" s="17">
        <f>'Rigid Bearing Plate Analysis'!C43</f>
        <v>21</v>
      </c>
      <c r="D43" s="17" t="str">
        <f>'Rigid Bearing Plate Analysis'!D43</f>
        <v>y</v>
      </c>
      <c r="Q43" s="12">
        <f t="shared" si="14"/>
        <v>11</v>
      </c>
      <c r="R43" s="12">
        <f t="shared" si="14"/>
        <v>21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15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15</v>
      </c>
    </row>
    <row r="45" spans="1:21" x14ac:dyDescent="0.25">
      <c r="A45">
        <v>9</v>
      </c>
      <c r="B45" s="17">
        <f>'Rigid Bearing Plate Analysis'!B45</f>
        <v>3</v>
      </c>
      <c r="C45" s="17">
        <f>'Rigid Bearing Plate Analysis'!C45</f>
        <v>27</v>
      </c>
      <c r="D45" s="17" t="str">
        <f>'Rigid Bearing Plate Analysis'!D45</f>
        <v>y</v>
      </c>
      <c r="Q45" s="12">
        <f t="shared" si="14"/>
        <v>3</v>
      </c>
      <c r="R45" s="12">
        <f t="shared" si="14"/>
        <v>27</v>
      </c>
    </row>
    <row r="46" spans="1:21" x14ac:dyDescent="0.25">
      <c r="A46">
        <v>10</v>
      </c>
      <c r="B46" s="17">
        <f>'Rigid Bearing Plate Analysis'!B46</f>
        <v>3</v>
      </c>
      <c r="C46" s="17">
        <f>'Rigid Bearing Plate Analysis'!C46</f>
        <v>33</v>
      </c>
      <c r="D46" s="17" t="str">
        <f>'Rigid Bearing Plate Analysis'!D46</f>
        <v>y</v>
      </c>
      <c r="Q46" s="12">
        <f t="shared" si="14"/>
        <v>3</v>
      </c>
      <c r="R46" s="12">
        <f t="shared" si="14"/>
        <v>33</v>
      </c>
    </row>
    <row r="47" spans="1:21" x14ac:dyDescent="0.25">
      <c r="A47">
        <v>11</v>
      </c>
      <c r="B47" s="17">
        <f>'Rigid Bearing Plate Analysis'!B47</f>
        <v>11</v>
      </c>
      <c r="C47" s="17">
        <f>'Rigid Bearing Plate Analysis'!C47</f>
        <v>27</v>
      </c>
      <c r="D47" s="17" t="str">
        <f>'Rigid Bearing Plate Analysis'!D47</f>
        <v>y</v>
      </c>
      <c r="Q47" s="12">
        <f t="shared" si="14"/>
        <v>11</v>
      </c>
      <c r="R47" s="12">
        <f t="shared" si="14"/>
        <v>27</v>
      </c>
    </row>
    <row r="48" spans="1:21" x14ac:dyDescent="0.25">
      <c r="A48">
        <v>12</v>
      </c>
      <c r="B48" s="17">
        <f>'Rigid Bearing Plate Analysis'!B48</f>
        <v>11</v>
      </c>
      <c r="C48" s="17">
        <f>'Rigid Bearing Plate Analysis'!C48</f>
        <v>33</v>
      </c>
      <c r="D48" s="17" t="str">
        <f>'Rigid Bearing Plate Analysis'!D48</f>
        <v>y</v>
      </c>
      <c r="Q48" s="12">
        <f t="shared" si="14"/>
        <v>11</v>
      </c>
      <c r="R48" s="12">
        <f t="shared" si="14"/>
        <v>33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Analysis'!B64-'Rigid Bearing Plate Analysis'!B175</f>
        <v>1.705120095738146</v>
      </c>
      <c r="C64" t="s">
        <v>19</v>
      </c>
      <c r="D64" t="s">
        <v>34</v>
      </c>
      <c r="H64" s="17">
        <f>DEGREES(B64)</f>
        <v>97.696185048738641</v>
      </c>
      <c r="I64" t="s">
        <v>41</v>
      </c>
    </row>
    <row r="65" spans="1:18" x14ac:dyDescent="0.25">
      <c r="A65" s="1" t="s">
        <v>40</v>
      </c>
      <c r="B65" s="17">
        <f>'Rigid Bearing Plate Analysis'!B65</f>
        <v>6.1864355956292565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5.5250000000000004</v>
      </c>
      <c r="C66" t="s">
        <v>11</v>
      </c>
      <c r="D66">
        <f>B66/B53</f>
        <v>1.3560675915647805E-3</v>
      </c>
      <c r="I66" s="20"/>
    </row>
    <row r="67" spans="1:18" x14ac:dyDescent="0.25">
      <c r="A67" s="1" t="s">
        <v>37</v>
      </c>
      <c r="B67" s="17">
        <f>'Rigid Bearing Plate Analysis'!B67</f>
        <v>54.091431170546485</v>
      </c>
      <c r="C67" t="s">
        <v>36</v>
      </c>
      <c r="D67" t="s">
        <v>122</v>
      </c>
      <c r="G67" s="20">
        <f ca="1">($B$56*$B$66*$B$55*$E$122)/$B$65</f>
        <v>19.41947803553445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-18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-18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-18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-18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18</v>
      </c>
      <c r="H75" s="1">
        <f t="shared" si="18"/>
        <v>3</v>
      </c>
      <c r="I75" s="4">
        <f t="shared" si="19"/>
        <v>-7</v>
      </c>
      <c r="J75" s="4">
        <f t="shared" si="20"/>
        <v>-18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18</v>
      </c>
      <c r="H76" s="1">
        <f t="shared" si="18"/>
        <v>4</v>
      </c>
      <c r="I76" s="4">
        <f t="shared" si="19"/>
        <v>-7</v>
      </c>
      <c r="J76" s="4">
        <f t="shared" si="20"/>
        <v>-18</v>
      </c>
      <c r="Q76" cm="1">
        <f t="array" ref="Q76">(-1*MAX(ABS(B84:C91)))-1</f>
        <v>-19.775299552291468</v>
      </c>
      <c r="R76">
        <f>Q76</f>
        <v>-19.775299552291468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-18</v>
      </c>
      <c r="H77" s="1">
        <f t="shared" si="18"/>
        <v>5</v>
      </c>
      <c r="I77" s="4">
        <f t="shared" si="19"/>
        <v>-7</v>
      </c>
      <c r="J77" s="4">
        <f t="shared" si="20"/>
        <v>-18</v>
      </c>
      <c r="Q77">
        <f>-1*Q76</f>
        <v>19.775299552291468</v>
      </c>
      <c r="R77">
        <f>Q77</f>
        <v>19.775299552291468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-18</v>
      </c>
      <c r="H78" s="1">
        <f t="shared" si="18"/>
        <v>6</v>
      </c>
      <c r="I78" s="4">
        <f t="shared" si="19"/>
        <v>-7</v>
      </c>
      <c r="J78" s="4">
        <f t="shared" si="20"/>
        <v>-18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-18</v>
      </c>
      <c r="H79" s="1">
        <f t="shared" si="18"/>
        <v>7</v>
      </c>
      <c r="I79" s="4">
        <f t="shared" si="19"/>
        <v>-7</v>
      </c>
      <c r="J79" s="4">
        <f t="shared" si="20"/>
        <v>-18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-18</v>
      </c>
      <c r="H80" s="1">
        <f t="shared" si="18"/>
        <v>8</v>
      </c>
      <c r="I80" s="4">
        <f t="shared" si="19"/>
        <v>-7</v>
      </c>
      <c r="J80" s="4">
        <f t="shared" si="20"/>
        <v>-18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-18</v>
      </c>
      <c r="H81" s="1">
        <f t="shared" si="18"/>
        <v>9</v>
      </c>
      <c r="I81" s="4">
        <f t="shared" si="19"/>
        <v>-7</v>
      </c>
      <c r="J81" s="4">
        <f t="shared" si="20"/>
        <v>-18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-16.900416723860456</v>
      </c>
      <c r="C84" s="1">
        <f t="shared" ref="C84:C92" si="23">(-1*B73*SIN($B$64))+(C73*COS($B$64))</f>
        <v>9.3475084680281419</v>
      </c>
      <c r="H84" s="1">
        <f t="shared" ref="H84:H92" si="24">H73</f>
        <v>1</v>
      </c>
      <c r="I84" s="4">
        <f>(I73*COS($B$64))+(J73*SIN($B$64))</f>
        <v>-16.900416723860456</v>
      </c>
      <c r="J84" s="1">
        <f>(-1*I73*SIN($B$64))+(J73*COS($B$64))</f>
        <v>9.3475084680281419</v>
      </c>
    </row>
    <row r="85" spans="1:10" x14ac:dyDescent="0.25">
      <c r="A85" s="1">
        <f t="shared" si="21"/>
        <v>2</v>
      </c>
      <c r="B85" s="4">
        <f t="shared" si="22"/>
        <v>-18.775299552291468</v>
      </c>
      <c r="C85" s="1">
        <f t="shared" si="23"/>
        <v>-4.5263811949198285</v>
      </c>
      <c r="H85" s="1">
        <f t="shared" si="24"/>
        <v>2</v>
      </c>
      <c r="I85" s="4">
        <f t="shared" ref="I85:I92" si="25">(I74*COS($B$64))+(J74*SIN($B$64))</f>
        <v>-16.900416723860456</v>
      </c>
      <c r="J85" s="1">
        <f t="shared" ref="J85:J92" si="26">(-1*I74*SIN($B$64))+(J74*COS($B$64))</f>
        <v>9.3475084680281419</v>
      </c>
    </row>
    <row r="86" spans="1:10" x14ac:dyDescent="0.25">
      <c r="A86" s="1">
        <f t="shared" si="21"/>
        <v>3</v>
      </c>
      <c r="B86" s="4">
        <f t="shared" si="22"/>
        <v>16.900416723860456</v>
      </c>
      <c r="C86" s="1">
        <f t="shared" si="23"/>
        <v>-9.3475084680281419</v>
      </c>
      <c r="H86" s="1">
        <f t="shared" si="24"/>
        <v>3</v>
      </c>
      <c r="I86" s="4">
        <f t="shared" si="25"/>
        <v>-16.900416723860456</v>
      </c>
      <c r="J86" s="1">
        <f t="shared" si="26"/>
        <v>9.3475084680281419</v>
      </c>
    </row>
    <row r="87" spans="1:10" x14ac:dyDescent="0.25">
      <c r="A87" s="1">
        <f t="shared" si="21"/>
        <v>4</v>
      </c>
      <c r="B87" s="4">
        <f t="shared" si="22"/>
        <v>18.775299552291468</v>
      </c>
      <c r="C87" s="1">
        <f t="shared" si="23"/>
        <v>4.5263811949198285</v>
      </c>
      <c r="H87" s="1">
        <f t="shared" si="24"/>
        <v>4</v>
      </c>
      <c r="I87" s="4">
        <f t="shared" si="25"/>
        <v>-16.900416723860456</v>
      </c>
      <c r="J87" s="1">
        <f t="shared" si="26"/>
        <v>9.3475084680281419</v>
      </c>
    </row>
    <row r="88" spans="1:10" x14ac:dyDescent="0.25">
      <c r="A88" s="1">
        <f t="shared" si="21"/>
        <v>5</v>
      </c>
      <c r="B88" s="4">
        <f t="shared" si="22"/>
        <v>-16.900416723860456</v>
      </c>
      <c r="C88" s="1">
        <f t="shared" si="23"/>
        <v>9.3475084680281419</v>
      </c>
      <c r="H88" s="1">
        <f t="shared" si="24"/>
        <v>5</v>
      </c>
      <c r="I88" s="4">
        <f t="shared" si="25"/>
        <v>-16.900416723860456</v>
      </c>
      <c r="J88" s="1">
        <f t="shared" si="26"/>
        <v>9.3475084680281419</v>
      </c>
    </row>
    <row r="89" spans="1:10" x14ac:dyDescent="0.25">
      <c r="A89" s="1">
        <f t="shared" si="21"/>
        <v>6</v>
      </c>
      <c r="B89" s="4">
        <f t="shared" si="22"/>
        <v>-16.900416723860456</v>
      </c>
      <c r="C89" s="1">
        <f t="shared" si="23"/>
        <v>9.3475084680281419</v>
      </c>
      <c r="H89" s="1">
        <f t="shared" si="24"/>
        <v>6</v>
      </c>
      <c r="I89" s="4">
        <f t="shared" si="25"/>
        <v>-16.900416723860456</v>
      </c>
      <c r="J89" s="1">
        <f t="shared" si="26"/>
        <v>9.3475084680281419</v>
      </c>
    </row>
    <row r="90" spans="1:10" x14ac:dyDescent="0.25">
      <c r="A90" s="1">
        <f t="shared" si="21"/>
        <v>7</v>
      </c>
      <c r="B90" s="4">
        <f t="shared" si="22"/>
        <v>-16.900416723860456</v>
      </c>
      <c r="C90" s="1">
        <f t="shared" si="23"/>
        <v>9.3475084680281419</v>
      </c>
      <c r="H90" s="1">
        <f t="shared" si="24"/>
        <v>7</v>
      </c>
      <c r="I90" s="4">
        <f t="shared" si="25"/>
        <v>-16.900416723860456</v>
      </c>
      <c r="J90" s="1">
        <f t="shared" si="26"/>
        <v>9.3475084680281419</v>
      </c>
    </row>
    <row r="91" spans="1:10" x14ac:dyDescent="0.25">
      <c r="A91" s="1">
        <f t="shared" si="21"/>
        <v>8</v>
      </c>
      <c r="B91" s="4">
        <f t="shared" si="22"/>
        <v>-16.900416723860456</v>
      </c>
      <c r="C91" s="1">
        <f t="shared" si="23"/>
        <v>9.3475084680281419</v>
      </c>
      <c r="H91" s="1">
        <f t="shared" si="24"/>
        <v>8</v>
      </c>
      <c r="I91" s="4">
        <f t="shared" si="25"/>
        <v>-16.900416723860456</v>
      </c>
      <c r="J91" s="1">
        <f t="shared" si="26"/>
        <v>9.3475084680281419</v>
      </c>
    </row>
    <row r="92" spans="1:10" x14ac:dyDescent="0.25">
      <c r="A92" s="1">
        <f t="shared" si="21"/>
        <v>9</v>
      </c>
      <c r="B92" s="4">
        <f t="shared" si="22"/>
        <v>-16.900416723860456</v>
      </c>
      <c r="C92" s="1">
        <f t="shared" si="23"/>
        <v>9.3475084680281419</v>
      </c>
      <c r="H92" s="1">
        <f t="shared" si="24"/>
        <v>9</v>
      </c>
      <c r="I92" s="4">
        <f t="shared" si="25"/>
        <v>-16.900416723860456</v>
      </c>
      <c r="J92" s="1">
        <f t="shared" si="26"/>
        <v>9.3475084680281419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-15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-4</v>
      </c>
      <c r="C96" s="4">
        <f t="shared" si="29"/>
        <v>-9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4</v>
      </c>
      <c r="C97" s="4">
        <f t="shared" si="29"/>
        <v>-15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-9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-3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-4</v>
      </c>
      <c r="C100" s="4">
        <f t="shared" si="29"/>
        <v>3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4</v>
      </c>
      <c r="C101" s="4">
        <f t="shared" si="29"/>
        <v>3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-3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-4</v>
      </c>
      <c r="C103" s="4">
        <f t="shared" si="29"/>
        <v>9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-4</v>
      </c>
      <c r="C104" s="4">
        <f t="shared" si="29"/>
        <v>15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4</v>
      </c>
      <c r="C105" s="4">
        <f t="shared" si="29"/>
        <v>9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4</v>
      </c>
      <c r="C106" s="4">
        <f t="shared" si="29"/>
        <v>15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-14.329200973606822</v>
      </c>
      <c r="C110" s="1">
        <f>(-1*B95*SIN($B$64))+(C95*COS($B$64))</f>
        <v>5.9727715055897885</v>
      </c>
      <c r="D110" t="str">
        <f t="shared" ref="D110" si="31">D95</f>
        <v>y</v>
      </c>
      <c r="E110" s="4">
        <f t="shared" ref="E110:E121" si="32">IF($D110="y",$B$125-C110,0)</f>
        <v>-2.8116986331909031</v>
      </c>
      <c r="F110" s="1">
        <f>IF($D110="y",B110,NA())</f>
        <v>-14.329200973606822</v>
      </c>
      <c r="G110" s="1">
        <f>IF($D110="y",C110,NA())</f>
        <v>5.9727715055897885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6.1632475353189976E-4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-8.3832482609148347</v>
      </c>
      <c r="C111" s="1">
        <f t="shared" ref="C111:C121" si="37">(-1*B96*SIN($B$64))+(C96*COS($B$64))</f>
        <v>5.1692502934050699</v>
      </c>
      <c r="D111" t="str">
        <f t="shared" si="35"/>
        <v>y</v>
      </c>
      <c r="E111" s="4">
        <f t="shared" si="32"/>
        <v>-2.0081774210061845</v>
      </c>
      <c r="F111" s="1">
        <f t="shared" ref="F111:G121" si="38">IF($D111="y",B111,NA())</f>
        <v>-8.3832482609148347</v>
      </c>
      <c r="G111" s="1">
        <f t="shared" si="38"/>
        <v>5.1692502934050699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4.4019278575575875E-4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-15.400562589853115</v>
      </c>
      <c r="C112" s="1">
        <f t="shared" si="37"/>
        <v>-1.9551654446661941</v>
      </c>
      <c r="D112" t="str">
        <f t="shared" si="35"/>
        <v>y</v>
      </c>
      <c r="E112" s="4">
        <f t="shared" si="32"/>
        <v>5.1162383170650791</v>
      </c>
      <c r="F112" s="1">
        <f t="shared" si="38"/>
        <v>-15.400562589853115</v>
      </c>
      <c r="G112" s="1">
        <f t="shared" si="38"/>
        <v>-1.9551654446661941</v>
      </c>
      <c r="H112">
        <f t="shared" si="33"/>
        <v>-30.298814094813725</v>
      </c>
      <c r="I112">
        <f t="shared" si="39"/>
        <v>59.239194332544827</v>
      </c>
      <c r="J112">
        <f t="shared" si="40"/>
        <v>-466.61878286550251</v>
      </c>
      <c r="K112">
        <f t="shared" ref="K112:K121" ca="1" si="45">H112/$B$55</f>
        <v>-90.590055242985642</v>
      </c>
      <c r="L112">
        <f t="shared" ca="1" si="41"/>
        <v>-3.1237950083788154E-3</v>
      </c>
      <c r="M112">
        <f t="shared" si="34"/>
        <v>-1.1214801908542604E-3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-9.4546098771611273</v>
      </c>
      <c r="C113" s="1">
        <f t="shared" si="37"/>
        <v>-2.7586866568509132</v>
      </c>
      <c r="D113" t="str">
        <f t="shared" si="35"/>
        <v>y</v>
      </c>
      <c r="E113" s="4">
        <f t="shared" si="32"/>
        <v>5.9197595292497986</v>
      </c>
      <c r="F113" s="1">
        <f t="shared" si="38"/>
        <v>-9.4546098771611273</v>
      </c>
      <c r="G113" s="1">
        <f t="shared" si="38"/>
        <v>-2.7586866568509132</v>
      </c>
      <c r="H113">
        <f t="shared" si="33"/>
        <v>-35.057337509960284</v>
      </c>
      <c r="I113">
        <f t="shared" si="39"/>
        <v>96.712209213446457</v>
      </c>
      <c r="J113">
        <f t="shared" si="40"/>
        <v>-331.45344948864181</v>
      </c>
      <c r="K113">
        <f t="shared" ca="1" si="45"/>
        <v>-104.81750644633009</v>
      </c>
      <c r="L113">
        <f t="shared" ca="1" si="41"/>
        <v>-3.6143967740113821E-3</v>
      </c>
      <c r="M113">
        <f t="shared" si="34"/>
        <v>-1.2976121586304016E-3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-2.4372955482228478</v>
      </c>
      <c r="C114" s="1">
        <f t="shared" si="37"/>
        <v>4.3657290812203513</v>
      </c>
      <c r="D114" t="str">
        <f t="shared" si="35"/>
        <v>y</v>
      </c>
      <c r="E114" s="4">
        <f t="shared" si="32"/>
        <v>-1.2046562088214658</v>
      </c>
      <c r="F114" s="1">
        <f t="shared" si="38"/>
        <v>-2.4372955482228478</v>
      </c>
      <c r="G114" s="1">
        <f t="shared" si="38"/>
        <v>4.3657290812203513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2.6406081797961762E-4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3.5086571644691396</v>
      </c>
      <c r="C115" s="1">
        <f t="shared" si="37"/>
        <v>3.5622078690356318</v>
      </c>
      <c r="D115" t="str">
        <f t="shared" si="35"/>
        <v>y</v>
      </c>
      <c r="E115" s="4">
        <f t="shared" si="32"/>
        <v>-0.40113499663674634</v>
      </c>
      <c r="F115" s="1">
        <f t="shared" si="38"/>
        <v>3.5086571644691396</v>
      </c>
      <c r="G115" s="1">
        <f t="shared" si="38"/>
        <v>3.5622078690356318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8.7928850203476363E-5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2.4372955482228478</v>
      </c>
      <c r="C116" s="1">
        <f t="shared" si="37"/>
        <v>-4.3657290812203513</v>
      </c>
      <c r="D116" t="str">
        <f t="shared" si="35"/>
        <v>y</v>
      </c>
      <c r="E116" s="4">
        <f t="shared" si="32"/>
        <v>7.5268019536192368</v>
      </c>
      <c r="F116" s="1">
        <f t="shared" si="38"/>
        <v>2.4372955482228478</v>
      </c>
      <c r="G116" s="1">
        <f t="shared" si="38"/>
        <v>-4.3657290812203513</v>
      </c>
      <c r="H116">
        <f t="shared" si="33"/>
        <v>-44.574384340253388</v>
      </c>
      <c r="I116">
        <f t="shared" si="39"/>
        <v>194.59968599173723</v>
      </c>
      <c r="J116">
        <f t="shared" si="40"/>
        <v>108.6409485172738</v>
      </c>
      <c r="K116">
        <f t="shared" ca="1" si="45"/>
        <v>-133.27240885301896</v>
      </c>
      <c r="L116">
        <f t="shared" ca="1" si="41"/>
        <v>-4.5956003052765159E-3</v>
      </c>
      <c r="M116">
        <f t="shared" si="34"/>
        <v>-1.649876094182684E-3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-3.5086571644691396</v>
      </c>
      <c r="C117" s="1">
        <f t="shared" si="37"/>
        <v>-3.5622078690356318</v>
      </c>
      <c r="D117" t="str">
        <f t="shared" si="35"/>
        <v>y</v>
      </c>
      <c r="E117" s="4">
        <f t="shared" si="32"/>
        <v>6.7232807414345173</v>
      </c>
      <c r="F117" s="1">
        <f t="shared" si="38"/>
        <v>-3.5086571644691396</v>
      </c>
      <c r="G117" s="1">
        <f t="shared" si="38"/>
        <v>-3.5622078690356318</v>
      </c>
      <c r="H117">
        <f t="shared" si="33"/>
        <v>-39.815860925106833</v>
      </c>
      <c r="I117">
        <f t="shared" si="39"/>
        <v>141.83237309984389</v>
      </c>
      <c r="J117">
        <f t="shared" si="40"/>
        <v>-139.70020569438296</v>
      </c>
      <c r="K117">
        <f t="shared" ca="1" si="45"/>
        <v>-119.04495764967452</v>
      </c>
      <c r="L117">
        <f t="shared" ca="1" si="41"/>
        <v>-4.1049985396439488E-3</v>
      </c>
      <c r="M117">
        <f t="shared" si="34"/>
        <v>-1.4737441264065427E-3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9.4546098771611273</v>
      </c>
      <c r="C118" s="1">
        <f t="shared" si="37"/>
        <v>2.7586866568509132</v>
      </c>
      <c r="D118" t="str">
        <f t="shared" si="35"/>
        <v>y</v>
      </c>
      <c r="E118" s="4">
        <f t="shared" si="32"/>
        <v>0.40238621554797227</v>
      </c>
      <c r="F118" s="1">
        <f t="shared" si="38"/>
        <v>9.4546098771611273</v>
      </c>
      <c r="G118" s="1">
        <f t="shared" si="38"/>
        <v>2.7586866568509132</v>
      </c>
      <c r="H118">
        <f t="shared" si="33"/>
        <v>-2.3829666218905681</v>
      </c>
      <c r="I118">
        <f t="shared" si="39"/>
        <v>-6.5738582235306051</v>
      </c>
      <c r="J118">
        <f t="shared" si="40"/>
        <v>22.530019760271852</v>
      </c>
      <c r="K118">
        <f t="shared" ca="1" si="45"/>
        <v>-7.1248028798661336</v>
      </c>
      <c r="L118">
        <f t="shared" ca="1" si="41"/>
        <v>-2.4568285792641838E-4</v>
      </c>
      <c r="M118">
        <f t="shared" si="34"/>
        <v>-8.8203117572664721E-5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15.400562589853115</v>
      </c>
      <c r="C119" s="1">
        <f t="shared" si="37"/>
        <v>1.9551654446661941</v>
      </c>
      <c r="D119" t="str">
        <f t="shared" si="35"/>
        <v>y</v>
      </c>
      <c r="E119" s="4">
        <f t="shared" si="32"/>
        <v>1.2059074277326913</v>
      </c>
      <c r="F119" s="1">
        <f t="shared" si="38"/>
        <v>15.400562589853115</v>
      </c>
      <c r="G119" s="1">
        <f t="shared" si="38"/>
        <v>1.9551654446661941</v>
      </c>
      <c r="H119">
        <f t="shared" si="33"/>
        <v>-7.1414900370371219</v>
      </c>
      <c r="I119">
        <f t="shared" si="39"/>
        <v>-13.962794543842879</v>
      </c>
      <c r="J119">
        <f t="shared" si="40"/>
        <v>109.98296430020264</v>
      </c>
      <c r="K119">
        <f t="shared" ca="1" si="45"/>
        <v>-21.352254083210571</v>
      </c>
      <c r="L119">
        <f t="shared" ca="1" si="41"/>
        <v>-7.3628462355898518E-4</v>
      </c>
      <c r="M119">
        <f t="shared" si="34"/>
        <v>-2.6433508534880591E-4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8.3832482609148347</v>
      </c>
      <c r="C120" s="1">
        <f t="shared" si="37"/>
        <v>-5.1692502934050699</v>
      </c>
      <c r="D120" t="str">
        <f t="shared" si="35"/>
        <v>y</v>
      </c>
      <c r="E120" s="4">
        <f t="shared" si="32"/>
        <v>8.3303231658039554</v>
      </c>
      <c r="F120" s="1">
        <f t="shared" si="38"/>
        <v>8.3832482609148347</v>
      </c>
      <c r="G120" s="1">
        <f t="shared" si="38"/>
        <v>-5.1692502934050699</v>
      </c>
      <c r="H120">
        <f t="shared" si="33"/>
        <v>-49.332907755399944</v>
      </c>
      <c r="I120">
        <f t="shared" si="39"/>
        <v>255.01414788912641</v>
      </c>
      <c r="J120">
        <f t="shared" si="40"/>
        <v>413.57001314632856</v>
      </c>
      <c r="K120">
        <f t="shared" ca="1" si="45"/>
        <v>-147.49986005636339</v>
      </c>
      <c r="L120">
        <f t="shared" ca="1" si="41"/>
        <v>-5.0862020709090822E-3</v>
      </c>
      <c r="M120">
        <f t="shared" si="34"/>
        <v>-1.8260080619588251E-3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14.329200973606822</v>
      </c>
      <c r="C121" s="1">
        <f t="shared" si="37"/>
        <v>-5.9727715055897885</v>
      </c>
      <c r="D121" t="str">
        <f t="shared" si="35"/>
        <v>y</v>
      </c>
      <c r="E121" s="4">
        <f t="shared" si="32"/>
        <v>9.1338443779886731</v>
      </c>
      <c r="F121" s="1">
        <f t="shared" si="38"/>
        <v>14.329200973606822</v>
      </c>
      <c r="G121" s="1">
        <f t="shared" si="38"/>
        <v>-5.9727715055897885</v>
      </c>
      <c r="H121" s="23">
        <f t="shared" si="33"/>
        <v>-54.091431170546485</v>
      </c>
      <c r="I121" s="23">
        <f t="shared" si="39"/>
        <v>323.07575879201136</v>
      </c>
      <c r="J121" s="23">
        <f t="shared" si="40"/>
        <v>775.08698819278106</v>
      </c>
      <c r="K121">
        <f t="shared" ca="1" si="45"/>
        <v>-161.72731125970779</v>
      </c>
      <c r="L121">
        <f t="shared" ca="1" si="41"/>
        <v>-5.5768038365416476E-3</v>
      </c>
      <c r="M121">
        <f t="shared" si="34"/>
        <v>-2.0021400297349661E-3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9.1338443779886731</v>
      </c>
      <c r="H122">
        <f>SUM(H110:H121)</f>
        <v>-262.6951924550084</v>
      </c>
      <c r="I122">
        <f t="shared" ref="I122:J122" si="46">SUM(I110:I121)</f>
        <v>1049.9367165513368</v>
      </c>
      <c r="J122">
        <f t="shared" si="46"/>
        <v>492.03849586833081</v>
      </c>
      <c r="L122">
        <f ca="1">MIN(L110:L121)</f>
        <v>-5.5768038365416476E-3</v>
      </c>
      <c r="M122">
        <f>MIN(M110:M121)</f>
        <v>-2.0021400297349661E-3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3.1610728723988855</v>
      </c>
      <c r="F125" s="1" t="s">
        <v>27</v>
      </c>
      <c r="G125" s="1" t="s">
        <v>28</v>
      </c>
    </row>
    <row r="126" spans="1:16" x14ac:dyDescent="0.25">
      <c r="F126" s="4">
        <f>MIN(B84:B90)-1</f>
        <v>-19.775299552291468</v>
      </c>
      <c r="G126" s="4">
        <f>B125</f>
        <v>3.1610728723988855</v>
      </c>
    </row>
    <row r="127" spans="1:16" x14ac:dyDescent="0.25">
      <c r="F127" s="4">
        <f>MAX(B84:B90)+1</f>
        <v>19.775299552291468</v>
      </c>
      <c r="G127" s="4">
        <f>G126</f>
        <v>3.1610728723988855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-16.900416723860456</v>
      </c>
      <c r="C132" s="4">
        <f>C84</f>
        <v>9.3475084680281419</v>
      </c>
      <c r="D132" s="4">
        <f t="shared" ref="D132:E139" si="47">B85</f>
        <v>-18.775299552291468</v>
      </c>
      <c r="E132" s="4">
        <f t="shared" si="47"/>
        <v>-4.5263811949198285</v>
      </c>
      <c r="F132" s="4">
        <f t="shared" ref="F132:F139" si="48">($B$66/$B$65)*(C132-$B$125)</f>
        <v>5.5250000000000004</v>
      </c>
      <c r="G132" s="4">
        <f t="shared" ref="G132:G139" si="49">($B$66/$B$65)*(E132-$B$125)</f>
        <v>-6.8655339678866758</v>
      </c>
      <c r="H132" s="4">
        <f>IF(B132=D132,"V",(C132-E132)/(B132-D132))</f>
        <v>7.3998702492562041</v>
      </c>
      <c r="I132" s="4">
        <f>IF(H132="V",0,(-1*B132*H132)+C132)</f>
        <v>134.40839938295514</v>
      </c>
      <c r="J132" s="4">
        <f>IF($F132&gt;=0,B132,IF(AND($F132&lt;0,$G132&gt;=0),IF(H132="V",B132,($B$125-I132)/H132),0))</f>
        <v>-16.900416723860456</v>
      </c>
      <c r="K132" s="4">
        <f>IF($F132&gt;=0,C132,IF(AND($F132&lt;0,$G132&gt;=0),$B$125,0))</f>
        <v>9.3475084680281419</v>
      </c>
      <c r="L132" s="4">
        <f>IF($G132&gt;=0,D132,IF(AND($G132&lt;0,$F132&gt;=0),IF(H132="V",D132,($B$125-I132)/H132),0))</f>
        <v>-17.736436192749267</v>
      </c>
      <c r="M132" s="4">
        <f>IF($G132&gt;=0,E132,IF(AND($G132&lt;0,$F132&gt;=0),$B$125,0))</f>
        <v>3.1610728723988855</v>
      </c>
      <c r="N132" s="4">
        <f>IF(F132&lt;0,0,F132)</f>
        <v>5.5250000000000004</v>
      </c>
      <c r="O132" s="4">
        <f>IF(G132&lt;0,0,G132)</f>
        <v>0</v>
      </c>
      <c r="P132" s="4">
        <f>(1/6)*(M132-K132)*((N132*((2*J132)+L132))+(O132*(J132+(2*L132))))</f>
        <v>293.59113278575768</v>
      </c>
      <c r="Q132" s="4">
        <f>((1/12)*(M132-K132)*(N132*J132*((3*K132)+M132)+N132*L132*(K132+M132)+O132*J132*(K132+M132)+O132*L132*(K132+(3*M132))))</f>
        <v>2134.0075386545377</v>
      </c>
      <c r="R132" s="4">
        <f>((-1/24)*(M132-K132)*(J132*J132*((3*N132)+O132)+2*J132*L132*(N132+O132)+L132*L132*(N132+(3*O132))))</f>
        <v>2522.1460265374062</v>
      </c>
    </row>
    <row r="133" spans="1:18" x14ac:dyDescent="0.25">
      <c r="A133" t="s">
        <v>70</v>
      </c>
      <c r="B133" s="4">
        <f t="shared" ref="B133:C138" si="50">D132</f>
        <v>-18.775299552291468</v>
      </c>
      <c r="C133" s="4">
        <f t="shared" si="50"/>
        <v>-4.5263811949198285</v>
      </c>
      <c r="D133" s="4">
        <f t="shared" si="47"/>
        <v>16.900416723860456</v>
      </c>
      <c r="E133" s="4">
        <f t="shared" si="47"/>
        <v>-9.3475084680281419</v>
      </c>
      <c r="F133" s="4">
        <f t="shared" si="48"/>
        <v>-6.8655339678866758</v>
      </c>
      <c r="G133" s="4">
        <f t="shared" si="49"/>
        <v>-11.171200417035909</v>
      </c>
      <c r="H133" s="4">
        <f t="shared" ref="H133:H139" si="51">IF(B133=D133,"V",(C133-E133)/(B133-D133))</f>
        <v>-0.13513750462050519</v>
      </c>
      <c r="I133" s="4">
        <f t="shared" ref="I133:I139" si="52">IF(H133="V",0,(-1*B133*H133)+C133)</f>
        <v>-7.0636283249189855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16.900416723860456</v>
      </c>
      <c r="C134" s="4">
        <f t="shared" si="50"/>
        <v>-9.3475084680281419</v>
      </c>
      <c r="D134" s="4">
        <f t="shared" si="47"/>
        <v>18.775299552291468</v>
      </c>
      <c r="E134" s="4">
        <f t="shared" si="47"/>
        <v>4.5263811949198285</v>
      </c>
      <c r="F134" s="4">
        <f t="shared" si="48"/>
        <v>-11.171200417035909</v>
      </c>
      <c r="G134" s="4">
        <f t="shared" si="49"/>
        <v>1.2193335508507686</v>
      </c>
      <c r="H134" s="4">
        <f t="shared" si="51"/>
        <v>7.3998702492562041</v>
      </c>
      <c r="I134" s="4">
        <f t="shared" si="52"/>
        <v>-134.40839938295514</v>
      </c>
      <c r="J134" s="4">
        <f t="shared" si="53"/>
        <v>18.590795192548381</v>
      </c>
      <c r="K134" s="4">
        <f t="shared" si="54"/>
        <v>3.1610728723988855</v>
      </c>
      <c r="L134" s="4">
        <f t="shared" si="55"/>
        <v>18.775299552291468</v>
      </c>
      <c r="M134" s="4">
        <f t="shared" si="56"/>
        <v>4.5263811949198285</v>
      </c>
      <c r="N134" s="4">
        <f t="shared" si="57"/>
        <v>0</v>
      </c>
      <c r="O134" s="4">
        <f t="shared" si="57"/>
        <v>1.2193335508507686</v>
      </c>
      <c r="P134" s="4">
        <f t="shared" si="58"/>
        <v>15.577049694633024</v>
      </c>
      <c r="Q134" s="4">
        <f t="shared" si="59"/>
        <v>63.430155266857142</v>
      </c>
      <c r="R134" s="4">
        <f t="shared" si="60"/>
        <v>-145.75366858953061</v>
      </c>
    </row>
    <row r="135" spans="1:18" x14ac:dyDescent="0.25">
      <c r="A135" t="s">
        <v>72</v>
      </c>
      <c r="B135" s="4">
        <f t="shared" si="50"/>
        <v>18.775299552291468</v>
      </c>
      <c r="C135" s="4">
        <f t="shared" si="50"/>
        <v>4.5263811949198285</v>
      </c>
      <c r="D135" s="4">
        <f t="shared" si="47"/>
        <v>-16.900416723860456</v>
      </c>
      <c r="E135" s="4">
        <f t="shared" si="47"/>
        <v>9.3475084680281419</v>
      </c>
      <c r="F135" s="4">
        <f t="shared" si="48"/>
        <v>1.2193335508507686</v>
      </c>
      <c r="G135" s="4">
        <f t="shared" si="49"/>
        <v>5.5250000000000004</v>
      </c>
      <c r="H135" s="4">
        <f t="shared" si="51"/>
        <v>-0.13513750462050519</v>
      </c>
      <c r="I135" s="4">
        <f t="shared" si="52"/>
        <v>7.0636283249189855</v>
      </c>
      <c r="J135" s="4">
        <f t="shared" si="53"/>
        <v>18.775299552291468</v>
      </c>
      <c r="K135" s="4">
        <f t="shared" si="54"/>
        <v>4.5263811949198285</v>
      </c>
      <c r="L135" s="4">
        <f t="shared" si="55"/>
        <v>-16.900416723860456</v>
      </c>
      <c r="M135" s="4">
        <f t="shared" si="56"/>
        <v>9.3475084680281419</v>
      </c>
      <c r="N135" s="4">
        <f t="shared" si="57"/>
        <v>1.2193335508507686</v>
      </c>
      <c r="O135" s="4">
        <f t="shared" si="57"/>
        <v>5.5250000000000004</v>
      </c>
      <c r="P135" s="4">
        <f t="shared" si="58"/>
        <v>-46.472946643322793</v>
      </c>
      <c r="Q135" s="4">
        <f t="shared" si="59"/>
        <v>-547.58459281329203</v>
      </c>
      <c r="R135" s="4">
        <f t="shared" si="60"/>
        <v>-811.45856280592579</v>
      </c>
    </row>
    <row r="136" spans="1:18" x14ac:dyDescent="0.25">
      <c r="A136" t="s">
        <v>73</v>
      </c>
      <c r="B136" s="4">
        <f t="shared" si="50"/>
        <v>-16.900416723860456</v>
      </c>
      <c r="C136" s="4">
        <f t="shared" si="50"/>
        <v>9.3475084680281419</v>
      </c>
      <c r="D136" s="4">
        <f t="shared" si="47"/>
        <v>-16.900416723860456</v>
      </c>
      <c r="E136" s="4">
        <f t="shared" si="47"/>
        <v>9.3475084680281419</v>
      </c>
      <c r="F136" s="4">
        <f t="shared" si="48"/>
        <v>5.5250000000000004</v>
      </c>
      <c r="G136" s="4">
        <f t="shared" si="49"/>
        <v>5.5250000000000004</v>
      </c>
      <c r="H136" s="4" t="str">
        <f t="shared" si="51"/>
        <v>V</v>
      </c>
      <c r="I136" s="4">
        <f t="shared" si="52"/>
        <v>0</v>
      </c>
      <c r="J136" s="4">
        <f t="shared" si="53"/>
        <v>-16.900416723860456</v>
      </c>
      <c r="K136" s="4">
        <f t="shared" si="54"/>
        <v>9.3475084680281419</v>
      </c>
      <c r="L136" s="4">
        <f t="shared" si="55"/>
        <v>-16.900416723860456</v>
      </c>
      <c r="M136" s="4">
        <f t="shared" si="56"/>
        <v>9.3475084680281419</v>
      </c>
      <c r="N136" s="4">
        <f t="shared" si="57"/>
        <v>5.5250000000000004</v>
      </c>
      <c r="O136" s="4">
        <f t="shared" si="57"/>
        <v>5.5250000000000004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-16.900416723860456</v>
      </c>
      <c r="C137" s="4">
        <f t="shared" si="50"/>
        <v>9.3475084680281419</v>
      </c>
      <c r="D137" s="4">
        <f t="shared" si="47"/>
        <v>-16.900416723860456</v>
      </c>
      <c r="E137" s="4">
        <f t="shared" si="47"/>
        <v>9.3475084680281419</v>
      </c>
      <c r="F137" s="4">
        <f t="shared" si="48"/>
        <v>5.5250000000000004</v>
      </c>
      <c r="G137" s="4">
        <f t="shared" si="49"/>
        <v>5.5250000000000004</v>
      </c>
      <c r="H137" s="4" t="str">
        <f t="shared" si="51"/>
        <v>V</v>
      </c>
      <c r="I137" s="4">
        <f t="shared" si="52"/>
        <v>0</v>
      </c>
      <c r="J137" s="4">
        <f t="shared" si="53"/>
        <v>-16.900416723860456</v>
      </c>
      <c r="K137" s="4">
        <f t="shared" si="54"/>
        <v>9.3475084680281419</v>
      </c>
      <c r="L137" s="4">
        <f t="shared" si="55"/>
        <v>-16.900416723860456</v>
      </c>
      <c r="M137" s="4">
        <f t="shared" si="56"/>
        <v>9.3475084680281419</v>
      </c>
      <c r="N137" s="4">
        <f t="shared" si="57"/>
        <v>5.5250000000000004</v>
      </c>
      <c r="O137" s="4">
        <f t="shared" si="57"/>
        <v>5.5250000000000004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-16.900416723860456</v>
      </c>
      <c r="C138" s="4">
        <f t="shared" si="50"/>
        <v>9.3475084680281419</v>
      </c>
      <c r="D138" s="4">
        <f t="shared" si="47"/>
        <v>-16.900416723860456</v>
      </c>
      <c r="E138" s="4">
        <f t="shared" si="47"/>
        <v>9.3475084680281419</v>
      </c>
      <c r="F138" s="4">
        <f t="shared" si="48"/>
        <v>5.5250000000000004</v>
      </c>
      <c r="G138" s="4">
        <f t="shared" si="49"/>
        <v>5.5250000000000004</v>
      </c>
      <c r="H138" s="4" t="str">
        <f t="shared" si="51"/>
        <v>V</v>
      </c>
      <c r="I138" s="4">
        <f t="shared" si="52"/>
        <v>0</v>
      </c>
      <c r="J138" s="4">
        <f t="shared" si="53"/>
        <v>-16.900416723860456</v>
      </c>
      <c r="K138" s="4">
        <f t="shared" si="54"/>
        <v>9.3475084680281419</v>
      </c>
      <c r="L138" s="4">
        <f t="shared" si="55"/>
        <v>-16.900416723860456</v>
      </c>
      <c r="M138" s="4">
        <f t="shared" si="56"/>
        <v>9.3475084680281419</v>
      </c>
      <c r="N138" s="4">
        <f t="shared" si="57"/>
        <v>5.5250000000000004</v>
      </c>
      <c r="O138" s="4">
        <f t="shared" si="57"/>
        <v>5.5250000000000004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-16.900416723860456</v>
      </c>
      <c r="C139" s="4">
        <f>E138</f>
        <v>9.3475084680281419</v>
      </c>
      <c r="D139" s="4">
        <f t="shared" si="47"/>
        <v>-16.900416723860456</v>
      </c>
      <c r="E139" s="4">
        <f t="shared" si="47"/>
        <v>9.3475084680281419</v>
      </c>
      <c r="F139" s="4">
        <f t="shared" si="48"/>
        <v>5.5250000000000004</v>
      </c>
      <c r="G139" s="4">
        <f t="shared" si="49"/>
        <v>5.5250000000000004</v>
      </c>
      <c r="H139" s="4" t="str">
        <f t="shared" si="51"/>
        <v>V</v>
      </c>
      <c r="I139" s="4">
        <f t="shared" si="52"/>
        <v>0</v>
      </c>
      <c r="J139" s="4">
        <f t="shared" si="53"/>
        <v>-16.900416723860456</v>
      </c>
      <c r="K139" s="4">
        <f t="shared" si="54"/>
        <v>9.3475084680281419</v>
      </c>
      <c r="L139" s="4">
        <f t="shared" si="55"/>
        <v>-16.900416723860456</v>
      </c>
      <c r="M139" s="4">
        <f t="shared" si="56"/>
        <v>9.3475084680281419</v>
      </c>
      <c r="N139" s="4">
        <f t="shared" si="57"/>
        <v>5.5250000000000004</v>
      </c>
      <c r="O139" s="4">
        <f t="shared" si="57"/>
        <v>5.5250000000000004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262.69523583706791</v>
      </c>
      <c r="Q140" s="4">
        <f>SUM(Q132:Q139)</f>
        <v>1649.8531011081027</v>
      </c>
      <c r="R140" s="4">
        <f>SUM(R132:R139)</f>
        <v>1564.9337951419498</v>
      </c>
    </row>
    <row r="142" spans="1:18" x14ac:dyDescent="0.25">
      <c r="O142" t="s">
        <v>96</v>
      </c>
      <c r="P142" s="1">
        <f>-1*R140/P140</f>
        <v>-5.9572218360007581</v>
      </c>
    </row>
    <row r="143" spans="1:18" x14ac:dyDescent="0.25">
      <c r="O143" t="s">
        <v>97</v>
      </c>
      <c r="P143" s="1">
        <f>Q140/P140</f>
        <v>6.2804835262844092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-16.900416723860456</v>
      </c>
      <c r="C146" s="9">
        <f>J84</f>
        <v>9.3475084680281419</v>
      </c>
      <c r="D146" s="9">
        <f t="shared" ref="D146:E153" si="61">I85</f>
        <v>-16.900416723860456</v>
      </c>
      <c r="E146">
        <f t="shared" si="61"/>
        <v>9.3475084680281419</v>
      </c>
      <c r="F146" s="4">
        <f>($B$66/$B$65)*(C146-$B$125)</f>
        <v>5.5250000000000004</v>
      </c>
      <c r="G146" s="4">
        <f>($B$66/$B$65)*(E146-$B$125)</f>
        <v>5.5250000000000004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-16.900416723860456</v>
      </c>
      <c r="K146" s="4">
        <f>IF($F146&gt;=0,C146,IF(AND($F146&lt;0,$G146&gt;=0),$B$125,0))</f>
        <v>9.3475084680281419</v>
      </c>
      <c r="L146" s="4">
        <f>IF($G146&gt;=0,D146,IF(AND($G146&lt;0,$F146&gt;=0),IF(H146="V",D146,($B$125-I146)/H146),0))</f>
        <v>-16.900416723860456</v>
      </c>
      <c r="M146" s="4">
        <f>IF($G146&gt;=0,E146,IF(AND($G146&lt;0,$F146&gt;=0),$B$125,0))</f>
        <v>9.3475084680281419</v>
      </c>
      <c r="N146" s="4">
        <f>IF(F146&lt;0,0,F146)</f>
        <v>5.5250000000000004</v>
      </c>
      <c r="O146" s="4">
        <f>IF(G146&lt;0,0,G146)</f>
        <v>5.5250000000000004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-16.900416723860456</v>
      </c>
      <c r="C147">
        <f t="shared" si="62"/>
        <v>9.3475084680281419</v>
      </c>
      <c r="D147" s="9">
        <f t="shared" si="61"/>
        <v>-16.900416723860456</v>
      </c>
      <c r="E147">
        <f t="shared" si="61"/>
        <v>9.3475084680281419</v>
      </c>
      <c r="F147" s="4">
        <f t="shared" ref="F147:F153" si="63">($B$66/$B$65)*(C147-$B$125)</f>
        <v>5.5250000000000004</v>
      </c>
      <c r="G147" s="4">
        <f t="shared" ref="G147:G153" si="64">($B$66/$B$65)*(E147-$B$125)</f>
        <v>5.5250000000000004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-16.900416723860456</v>
      </c>
      <c r="K147" s="4">
        <f t="shared" ref="K147:K153" si="68">IF($F147&gt;=0,C147,IF(AND($F147&lt;0,$G147&gt;=0),$B$125,0))</f>
        <v>9.3475084680281419</v>
      </c>
      <c r="L147" s="4">
        <f t="shared" ref="L147:L153" si="69">IF($G147&gt;=0,D147,IF(AND($G147&lt;0,$F147&gt;=0),IF(H147="V",D147,($B$125-I147)/H147),0))</f>
        <v>-16.900416723860456</v>
      </c>
      <c r="M147" s="4">
        <f t="shared" ref="M147:M153" si="70">IF($G147&gt;=0,E147,IF(AND($G147&lt;0,$F147&gt;=0),$B$125,0))</f>
        <v>9.3475084680281419</v>
      </c>
      <c r="N147" s="4">
        <f t="shared" ref="N147:O153" si="71">IF(F147&lt;0,0,F147)</f>
        <v>5.5250000000000004</v>
      </c>
      <c r="O147" s="4">
        <f t="shared" si="71"/>
        <v>5.5250000000000004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-16.900416723860456</v>
      </c>
      <c r="C148">
        <f t="shared" si="62"/>
        <v>9.3475084680281419</v>
      </c>
      <c r="D148" s="9">
        <f t="shared" si="61"/>
        <v>-16.900416723860456</v>
      </c>
      <c r="E148">
        <f t="shared" si="61"/>
        <v>9.3475084680281419</v>
      </c>
      <c r="F148" s="4">
        <f t="shared" si="63"/>
        <v>5.5250000000000004</v>
      </c>
      <c r="G148" s="4">
        <f t="shared" si="64"/>
        <v>5.5250000000000004</v>
      </c>
      <c r="H148" s="4" t="str">
        <f t="shared" si="65"/>
        <v>V</v>
      </c>
      <c r="I148" s="4">
        <f t="shared" si="66"/>
        <v>0</v>
      </c>
      <c r="J148" s="4">
        <f t="shared" si="67"/>
        <v>-16.900416723860456</v>
      </c>
      <c r="K148" s="4">
        <f t="shared" si="68"/>
        <v>9.3475084680281419</v>
      </c>
      <c r="L148" s="4">
        <f t="shared" si="69"/>
        <v>-16.900416723860456</v>
      </c>
      <c r="M148" s="4">
        <f t="shared" si="70"/>
        <v>9.3475084680281419</v>
      </c>
      <c r="N148" s="4">
        <f t="shared" si="71"/>
        <v>5.5250000000000004</v>
      </c>
      <c r="O148" s="4">
        <f t="shared" si="71"/>
        <v>5.5250000000000004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-16.900416723860456</v>
      </c>
      <c r="C149">
        <f t="shared" si="62"/>
        <v>9.3475084680281419</v>
      </c>
      <c r="D149" s="9">
        <f t="shared" si="61"/>
        <v>-16.900416723860456</v>
      </c>
      <c r="E149">
        <f t="shared" si="61"/>
        <v>9.3475084680281419</v>
      </c>
      <c r="F149" s="4">
        <f t="shared" si="63"/>
        <v>5.5250000000000004</v>
      </c>
      <c r="G149" s="4">
        <f t="shared" si="64"/>
        <v>5.5250000000000004</v>
      </c>
      <c r="H149" s="4" t="str">
        <f t="shared" si="65"/>
        <v>V</v>
      </c>
      <c r="I149" s="4">
        <f t="shared" si="66"/>
        <v>0</v>
      </c>
      <c r="J149" s="4">
        <f t="shared" si="67"/>
        <v>-16.900416723860456</v>
      </c>
      <c r="K149" s="4">
        <f t="shared" si="68"/>
        <v>9.3475084680281419</v>
      </c>
      <c r="L149" s="4">
        <f t="shared" si="69"/>
        <v>-16.900416723860456</v>
      </c>
      <c r="M149" s="4">
        <f t="shared" si="70"/>
        <v>9.3475084680281419</v>
      </c>
      <c r="N149" s="4">
        <f t="shared" si="71"/>
        <v>5.5250000000000004</v>
      </c>
      <c r="O149" s="4">
        <f t="shared" si="71"/>
        <v>5.5250000000000004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-16.900416723860456</v>
      </c>
      <c r="C150">
        <f t="shared" si="62"/>
        <v>9.3475084680281419</v>
      </c>
      <c r="D150" s="9">
        <f t="shared" si="61"/>
        <v>-16.900416723860456</v>
      </c>
      <c r="E150">
        <f t="shared" si="61"/>
        <v>9.3475084680281419</v>
      </c>
      <c r="F150" s="4">
        <f t="shared" si="63"/>
        <v>5.5250000000000004</v>
      </c>
      <c r="G150" s="4">
        <f t="shared" si="64"/>
        <v>5.5250000000000004</v>
      </c>
      <c r="H150" s="4" t="str">
        <f t="shared" si="65"/>
        <v>V</v>
      </c>
      <c r="I150" s="4">
        <f t="shared" si="66"/>
        <v>0</v>
      </c>
      <c r="J150" s="4">
        <f t="shared" si="67"/>
        <v>-16.900416723860456</v>
      </c>
      <c r="K150" s="4">
        <f t="shared" si="68"/>
        <v>9.3475084680281419</v>
      </c>
      <c r="L150" s="4">
        <f t="shared" si="69"/>
        <v>-16.900416723860456</v>
      </c>
      <c r="M150" s="4">
        <f t="shared" si="70"/>
        <v>9.3475084680281419</v>
      </c>
      <c r="N150" s="4">
        <f t="shared" si="71"/>
        <v>5.5250000000000004</v>
      </c>
      <c r="O150" s="4">
        <f t="shared" si="71"/>
        <v>5.5250000000000004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-16.900416723860456</v>
      </c>
      <c r="C151">
        <f t="shared" si="62"/>
        <v>9.3475084680281419</v>
      </c>
      <c r="D151" s="9">
        <f t="shared" si="61"/>
        <v>-16.900416723860456</v>
      </c>
      <c r="E151">
        <f t="shared" si="61"/>
        <v>9.3475084680281419</v>
      </c>
      <c r="F151" s="4">
        <f t="shared" si="63"/>
        <v>5.5250000000000004</v>
      </c>
      <c r="G151" s="4">
        <f t="shared" si="64"/>
        <v>5.5250000000000004</v>
      </c>
      <c r="H151" s="4" t="str">
        <f t="shared" si="65"/>
        <v>V</v>
      </c>
      <c r="I151" s="4">
        <f t="shared" si="66"/>
        <v>0</v>
      </c>
      <c r="J151" s="4">
        <f t="shared" si="67"/>
        <v>-16.900416723860456</v>
      </c>
      <c r="K151" s="4">
        <f t="shared" si="68"/>
        <v>9.3475084680281419</v>
      </c>
      <c r="L151" s="4">
        <f t="shared" si="69"/>
        <v>-16.900416723860456</v>
      </c>
      <c r="M151" s="4">
        <f t="shared" si="70"/>
        <v>9.3475084680281419</v>
      </c>
      <c r="N151" s="4">
        <f t="shared" si="71"/>
        <v>5.5250000000000004</v>
      </c>
      <c r="O151" s="4">
        <f t="shared" si="71"/>
        <v>5.5250000000000004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-16.900416723860456</v>
      </c>
      <c r="C152">
        <f t="shared" si="62"/>
        <v>9.3475084680281419</v>
      </c>
      <c r="D152" s="9">
        <f t="shared" si="61"/>
        <v>-16.900416723860456</v>
      </c>
      <c r="E152">
        <f t="shared" si="61"/>
        <v>9.3475084680281419</v>
      </c>
      <c r="F152" s="4">
        <f t="shared" si="63"/>
        <v>5.5250000000000004</v>
      </c>
      <c r="G152" s="4">
        <f t="shared" si="64"/>
        <v>5.5250000000000004</v>
      </c>
      <c r="H152" s="4" t="str">
        <f t="shared" si="65"/>
        <v>V</v>
      </c>
      <c r="I152" s="4">
        <f t="shared" si="66"/>
        <v>0</v>
      </c>
      <c r="J152" s="4">
        <f t="shared" si="67"/>
        <v>-16.900416723860456</v>
      </c>
      <c r="K152" s="4">
        <f t="shared" si="68"/>
        <v>9.3475084680281419</v>
      </c>
      <c r="L152" s="4">
        <f t="shared" si="69"/>
        <v>-16.900416723860456</v>
      </c>
      <c r="M152" s="4">
        <f t="shared" si="70"/>
        <v>9.3475084680281419</v>
      </c>
      <c r="N152" s="4">
        <f t="shared" si="71"/>
        <v>5.5250000000000004</v>
      </c>
      <c r="O152" s="4">
        <f t="shared" si="71"/>
        <v>5.5250000000000004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-16.900416723860456</v>
      </c>
      <c r="C153">
        <f t="shared" si="62"/>
        <v>9.3475084680281419</v>
      </c>
      <c r="D153" s="9">
        <f t="shared" si="61"/>
        <v>-16.900416723860456</v>
      </c>
      <c r="E153">
        <f t="shared" si="61"/>
        <v>9.3475084680281419</v>
      </c>
      <c r="F153" s="4">
        <f t="shared" si="63"/>
        <v>5.5250000000000004</v>
      </c>
      <c r="G153" s="4">
        <f t="shared" si="64"/>
        <v>5.5250000000000004</v>
      </c>
      <c r="H153" s="4" t="str">
        <f t="shared" si="65"/>
        <v>V</v>
      </c>
      <c r="I153" s="4">
        <f t="shared" si="66"/>
        <v>0</v>
      </c>
      <c r="J153" s="4">
        <f t="shared" si="67"/>
        <v>-16.900416723860456</v>
      </c>
      <c r="K153" s="4">
        <f t="shared" si="68"/>
        <v>9.3475084680281419</v>
      </c>
      <c r="L153" s="4">
        <f t="shared" si="69"/>
        <v>-16.900416723860456</v>
      </c>
      <c r="M153" s="4">
        <f t="shared" si="70"/>
        <v>9.3475084680281419</v>
      </c>
      <c r="N153" s="4">
        <f t="shared" si="71"/>
        <v>5.5250000000000004</v>
      </c>
      <c r="O153" s="4">
        <f t="shared" si="71"/>
        <v>5.5250000000000004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4.3382059516261506E-5</v>
      </c>
      <c r="C159" t="s">
        <v>36</v>
      </c>
    </row>
    <row r="160" spans="1:18" x14ac:dyDescent="0.25">
      <c r="A160" s="1" t="s">
        <v>106</v>
      </c>
      <c r="B160" s="4">
        <f>Q140+I122+Q154-O122</f>
        <v>2699.7898176594394</v>
      </c>
      <c r="C160" t="s">
        <v>102</v>
      </c>
    </row>
    <row r="161" spans="1:9" x14ac:dyDescent="0.25">
      <c r="A161" s="1" t="s">
        <v>107</v>
      </c>
      <c r="B161" s="4">
        <f>R140+J122+R154-P122</f>
        <v>2056.9722910102805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4.3382059516261506E-5</v>
      </c>
      <c r="C164" t="s">
        <v>36</v>
      </c>
      <c r="E164" s="8">
        <f>B2-B164</f>
        <v>-4.3382059516261506E-5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-2399.9997267657509</v>
      </c>
      <c r="C165" t="s">
        <v>102</v>
      </c>
      <c r="E165" s="8">
        <f>B3+B165</f>
        <v>2.7323424910719041E-4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2400.000286884565</v>
      </c>
      <c r="C166" t="s">
        <v>102</v>
      </c>
      <c r="E166" s="8">
        <f>B4+B166</f>
        <v>2.8688456495729042E-4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5.5250000000000004</v>
      </c>
      <c r="B169" s="1">
        <f ca="1">IF(E122=0,0,(MIN(H110:H121)*B65)/(B55*B56*E122))</f>
        <v>-15.389453654233833</v>
      </c>
      <c r="C169" s="3">
        <f ca="1">A169+B169</f>
        <v>-9.8644536542338326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2.5291018148659302E-8</v>
      </c>
      <c r="C175" s="27">
        <f>B65*SQRT(I175)</f>
        <v>9.1759668609640895E-8</v>
      </c>
      <c r="D175" s="27">
        <f>B66*SQRT(I175)</f>
        <v>8.1948993282407074E-8</v>
      </c>
      <c r="E175" s="27">
        <f>B67*SQRT(I175)</f>
        <v>8.0230558002369209E-7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1.7051201210291642</v>
      </c>
      <c r="C176" s="3">
        <f>B65+C175</f>
        <v>6.1864356873889248</v>
      </c>
      <c r="D176" s="3">
        <f>D175+B66</f>
        <v>5.5250000819489937</v>
      </c>
      <c r="E176" s="3">
        <f>B67+E175</f>
        <v>54.091431972852064</v>
      </c>
      <c r="F176" s="16" t="s">
        <v>125</v>
      </c>
    </row>
    <row r="177" spans="1:13" x14ac:dyDescent="0.25">
      <c r="B177" s="27">
        <f>B176-B64</f>
        <v>2.529101816861612E-8</v>
      </c>
      <c r="C177" s="27">
        <f>C176-B65</f>
        <v>9.1759668308100117E-8</v>
      </c>
      <c r="D177" s="27">
        <f>D176-B66</f>
        <v>8.1948993368996526E-8</v>
      </c>
      <c r="E177" s="27">
        <f>E176-B67</f>
        <v>8.0230557841787231E-7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-47.54664128739266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16.900416801945415</v>
      </c>
      <c r="B181" s="25">
        <f>(d_alpha_p!E136-d_alpha_m!E136)/(2*B177)</f>
        <v>16.900416801945415</v>
      </c>
      <c r="C181" s="25">
        <f>(d_alpha_p!E137-d_alpha_m!E137)/(2*B177)</f>
        <v>16.900416801945415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4.3382059516261506E-5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-2.7323424910719041E-4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-2.8688456495729042E-4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9.8644536542338326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-47.54664128739266</v>
      </c>
      <c r="B190" s="25">
        <f>A181</f>
        <v>16.900416801945415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16.900416801945415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16.900416801945415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-47.54664128739266</v>
      </c>
      <c r="B201" s="25">
        <f t="shared" ref="B201:C201" si="77">B190</f>
        <v>16.900416801945415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16.900416801945415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16.900416801945415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AF897-5DBD-4F4D-AA32-C80595FDFB37}">
  <sheetPr codeName="Sheet4"/>
  <dimension ref="A1:AC208"/>
  <sheetViews>
    <sheetView topLeftCell="A151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2400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0.79365079365079361</v>
      </c>
      <c r="J3" t="s">
        <v>11</v>
      </c>
    </row>
    <row r="4" spans="1:29" x14ac:dyDescent="0.25">
      <c r="A4" s="10" t="s">
        <v>80</v>
      </c>
      <c r="B4" s="17">
        <f>'Rigid Bearing Plate Analysis'!B4</f>
        <v>-2400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-2.0408163265306123</v>
      </c>
      <c r="J4" t="s">
        <v>11</v>
      </c>
    </row>
    <row r="5" spans="1:29" x14ac:dyDescent="0.25">
      <c r="A5" s="10" t="s">
        <v>104</v>
      </c>
      <c r="B5" s="20">
        <f>ATAN2(B3,B4)</f>
        <v>-0.78539816339744828</v>
      </c>
      <c r="C5" t="s">
        <v>19</v>
      </c>
      <c r="I5">
        <f>SUM(I2:I4)</f>
        <v>-1.2471655328798188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18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20.784609690826528</v>
      </c>
      <c r="L13" s="4">
        <f>SQRT(H22/D22)</f>
        <v>8.0829037686547611</v>
      </c>
      <c r="M13" s="4">
        <f>SQRT(J22/D22)</f>
        <v>22.300971578236975</v>
      </c>
      <c r="N13" s="19">
        <f>G22-(D22*C9*C9)</f>
        <v>54432</v>
      </c>
      <c r="O13" s="19">
        <f>H22-(D22*B9*B9)</f>
        <v>8232</v>
      </c>
      <c r="P13" s="19">
        <f>I22-(D22*B9*C9)</f>
        <v>0</v>
      </c>
      <c r="Q13" s="19">
        <f>N13+O13</f>
        <v>62664</v>
      </c>
      <c r="R13" s="19">
        <f>SQRT(ABS(N13/D22))</f>
        <v>10.392304845413264</v>
      </c>
      <c r="S13" s="19">
        <f>SQRT(O13/D22)</f>
        <v>4.0414518843273806</v>
      </c>
      <c r="T13" s="19">
        <f>SQRT(Q13/D22)</f>
        <v>11.150485789118488</v>
      </c>
      <c r="U13" s="19">
        <f>N13/(MAX(C13:C20)-C9)</f>
        <v>3024</v>
      </c>
      <c r="V13" s="19">
        <f>N13/(MIN(C13:C20)-C9)</f>
        <v>-3024</v>
      </c>
      <c r="W13" s="19">
        <f>O13/(MIN(B13:B20)-B9)</f>
        <v>-1176</v>
      </c>
      <c r="X13" s="19">
        <f>O13/(MAX(B13:B20)-B9)</f>
        <v>1176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-1.1999050379822342</v>
      </c>
      <c r="Y14" s="1">
        <f>$N$13/(C14-$C$9)</f>
        <v>-3024</v>
      </c>
      <c r="Z14">
        <f>$O$13/(B14-$B$9)</f>
        <v>1176</v>
      </c>
      <c r="AA14">
        <f>$B$3/Y14</f>
        <v>-0.79365079365079361</v>
      </c>
      <c r="AB14">
        <f>$B$4/Z14</f>
        <v>-2.0408163265306123</v>
      </c>
      <c r="AC14">
        <f>$I$2+AA14+AB14</f>
        <v>-2.8344671201814058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36</v>
      </c>
      <c r="D15" s="5">
        <f t="shared" ref="D15:D21" si="0">((B14*C15)-(B15*C14))*0.5</f>
        <v>252</v>
      </c>
      <c r="E15" s="5">
        <f t="shared" ref="E15:E21" si="1">(B15+B14)*((B14*C15)-(B15*C14))*(1/6)</f>
        <v>2352</v>
      </c>
      <c r="F15" s="5">
        <f t="shared" ref="F15:F21" si="2">(C15+C14)*((B14*C15)-(B15*C14))*(1/6)</f>
        <v>3024</v>
      </c>
      <c r="G15" s="5">
        <f t="shared" ref="G15:G21" si="3">(((C14*C14)+(C14*C15)+(C15*C15))*((B14*C15)-(B15*C14)))/12</f>
        <v>54432</v>
      </c>
      <c r="H15" s="5">
        <f t="shared" ref="H15:H21" si="4">(((B14*B14)+(B14*B15)+(B15*B15))*((B14*C15)-(B15*C14)))/12</f>
        <v>24696</v>
      </c>
      <c r="I15" s="5">
        <f t="shared" ref="I15:I21" si="5">(((B14*C15)+(2*B14*C14)+(2*B15*C15)+(B15*C14))*((B14*C15)-(B15*C14)))/24</f>
        <v>31752</v>
      </c>
      <c r="J15" s="5">
        <f t="shared" ref="J15:J21" si="6">G15+H15</f>
        <v>79128</v>
      </c>
      <c r="K15">
        <f t="shared" ref="K15:K21" si="7">ATAN2((B15-$E$22),(C15-$F$22))</f>
        <v>1.1999050379822342</v>
      </c>
      <c r="N15" t="s">
        <v>136</v>
      </c>
      <c r="O15">
        <v>4</v>
      </c>
      <c r="Y15" s="1">
        <f t="shared" ref="Y15:Y20" si="8">$N$13/(C15-$C$9)</f>
        <v>3024</v>
      </c>
      <c r="Z15">
        <f t="shared" ref="Z15:Z21" si="9">$O$13/(B15-$B$9)</f>
        <v>1176</v>
      </c>
      <c r="AA15">
        <f t="shared" ref="AA15:AA20" si="10">$B$3/Y15</f>
        <v>0.79365079365079361</v>
      </c>
      <c r="AB15">
        <f t="shared" ref="AB15:AB21" si="11">$B$4/Z15</f>
        <v>-2.0408163265306123</v>
      </c>
      <c r="AC15">
        <f t="shared" ref="AC15:AC20" si="12">$I$2+AA15+AB15</f>
        <v>-1.2471655328798188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1.9416876156075589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3024</v>
      </c>
      <c r="Z16">
        <f t="shared" si="9"/>
        <v>-1176</v>
      </c>
      <c r="AA16">
        <f t="shared" si="10"/>
        <v>0.79365079365079361</v>
      </c>
      <c r="AB16">
        <f t="shared" si="11"/>
        <v>2.0408163265306123</v>
      </c>
      <c r="AC16">
        <f t="shared" si="12"/>
        <v>2.8344671201814058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-1.9416876156075589</v>
      </c>
      <c r="N17" t="s">
        <v>137</v>
      </c>
      <c r="O17">
        <f>K14</f>
        <v>-1.1999050379822342</v>
      </c>
      <c r="Q17" t="s">
        <v>137</v>
      </c>
      <c r="R17">
        <f>U16</f>
        <v>5.497787143782138</v>
      </c>
      <c r="Y17" s="1">
        <f t="shared" si="8"/>
        <v>-3024</v>
      </c>
      <c r="Z17">
        <f t="shared" si="9"/>
        <v>-1176</v>
      </c>
      <c r="AA17">
        <f t="shared" si="10"/>
        <v>-0.79365079365079361</v>
      </c>
      <c r="AB17">
        <f t="shared" si="11"/>
        <v>2.0408163265306123</v>
      </c>
      <c r="AC17">
        <f t="shared" si="12"/>
        <v>1.2471655328798188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-1.9416876156075589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-3024</v>
      </c>
      <c r="Z18">
        <f t="shared" si="9"/>
        <v>-1176</v>
      </c>
      <c r="AA18">
        <f t="shared" si="10"/>
        <v>-0.79365079365079361</v>
      </c>
      <c r="AB18">
        <f t="shared" si="11"/>
        <v>2.0408163265306123</v>
      </c>
      <c r="AC18">
        <f t="shared" si="12"/>
        <v>1.2471655328798188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-1.9416876156075589</v>
      </c>
      <c r="N19">
        <f>E22+(O16*COS(O17))</f>
        <v>8.5692360243970249</v>
      </c>
      <c r="O19">
        <f>F22+(O16*SIN(O17))</f>
        <v>13.964821651550507</v>
      </c>
      <c r="Q19">
        <f>E22+(R16*COS(R17))</f>
        <v>13.010407640085653</v>
      </c>
      <c r="R19">
        <f>F22+(R16*SIN(R17))</f>
        <v>11.989592359914344</v>
      </c>
      <c r="Y19" s="1">
        <f t="shared" si="8"/>
        <v>-3024</v>
      </c>
      <c r="Z19">
        <f t="shared" si="9"/>
        <v>-1176</v>
      </c>
      <c r="AA19">
        <f t="shared" si="10"/>
        <v>-0.79365079365079361</v>
      </c>
      <c r="AB19">
        <f t="shared" si="11"/>
        <v>2.0408163265306123</v>
      </c>
      <c r="AC19">
        <f t="shared" si="12"/>
        <v>1.2471655328798188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-1.9416876156075589</v>
      </c>
      <c r="Y20" s="1">
        <f t="shared" si="8"/>
        <v>-3024</v>
      </c>
      <c r="Z20">
        <f t="shared" si="9"/>
        <v>-1176</v>
      </c>
      <c r="AA20">
        <f t="shared" si="10"/>
        <v>-0.79365079365079361</v>
      </c>
      <c r="AB20">
        <f t="shared" si="11"/>
        <v>2.0408163265306123</v>
      </c>
      <c r="AC20">
        <f t="shared" si="12"/>
        <v>1.2471655328798188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-1.9416876156075589</v>
      </c>
      <c r="Y21" s="1"/>
      <c r="Z21">
        <f t="shared" si="9"/>
        <v>-1176</v>
      </c>
      <c r="AB21">
        <f t="shared" si="11"/>
        <v>2.0408163265306123</v>
      </c>
    </row>
    <row r="22" spans="1:29" x14ac:dyDescent="0.25">
      <c r="D22" s="5">
        <f>SUM(D13:D21)</f>
        <v>504</v>
      </c>
      <c r="E22" s="5">
        <f>SUM(E14:E21)/D22</f>
        <v>7</v>
      </c>
      <c r="F22" s="5">
        <f>SUM(F14:F21)/D22</f>
        <v>18</v>
      </c>
      <c r="G22" s="5">
        <f>SUM(G14:G21)</f>
        <v>217728</v>
      </c>
      <c r="H22" s="5">
        <f>SUM(H14:H21)</f>
        <v>32928</v>
      </c>
      <c r="I22" s="5">
        <f>SUM(I14:I21)</f>
        <v>63504</v>
      </c>
      <c r="J22" s="5">
        <f>SUM(J14:J21)</f>
        <v>250656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36</v>
      </c>
      <c r="U37" s="1">
        <f>T37</f>
        <v>36</v>
      </c>
    </row>
    <row r="38" spans="1:21" x14ac:dyDescent="0.25">
      <c r="A38">
        <v>2</v>
      </c>
      <c r="B38" s="17">
        <f>'Rigid Bearing Plate Analysis'!B38</f>
        <v>3</v>
      </c>
      <c r="C38" s="17">
        <f>'Rigid Bearing Plate Analysis'!C38</f>
        <v>9</v>
      </c>
      <c r="D38" s="17" t="str">
        <f>'Rigid Bearing Plate Analysis'!D38</f>
        <v>y</v>
      </c>
      <c r="Q38" s="12">
        <f t="shared" ref="Q38:R48" si="14">IF($D38="y",B38,NA())</f>
        <v>3</v>
      </c>
      <c r="R38" s="12">
        <f t="shared" si="14"/>
        <v>9</v>
      </c>
    </row>
    <row r="39" spans="1:21" x14ac:dyDescent="0.25">
      <c r="A39">
        <v>3</v>
      </c>
      <c r="B39" s="17">
        <f>'Rigid Bearing Plate Analysis'!B39</f>
        <v>11</v>
      </c>
      <c r="C39" s="17">
        <f>'Rigid Bearing Plate Analysis'!C39</f>
        <v>3</v>
      </c>
      <c r="D39" s="17" t="str">
        <f>'Rigid Bearing Plate Analysis'!D39</f>
        <v>y</v>
      </c>
      <c r="Q39" s="12">
        <f t="shared" si="14"/>
        <v>11</v>
      </c>
      <c r="R39" s="12">
        <f t="shared" si="14"/>
        <v>3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9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9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15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15</v>
      </c>
    </row>
    <row r="42" spans="1:21" x14ac:dyDescent="0.25">
      <c r="A42">
        <v>6</v>
      </c>
      <c r="B42" s="17">
        <f>'Rigid Bearing Plate Analysis'!B42</f>
        <v>3</v>
      </c>
      <c r="C42" s="17">
        <f>'Rigid Bearing Plate Analysis'!C42</f>
        <v>21</v>
      </c>
      <c r="D42" s="17" t="str">
        <f>'Rigid Bearing Plate Analysis'!D42</f>
        <v>y</v>
      </c>
      <c r="Q42" s="12">
        <f t="shared" si="14"/>
        <v>3</v>
      </c>
      <c r="R42" s="12">
        <f t="shared" si="14"/>
        <v>21</v>
      </c>
    </row>
    <row r="43" spans="1:21" x14ac:dyDescent="0.25">
      <c r="A43">
        <v>7</v>
      </c>
      <c r="B43" s="17">
        <f>'Rigid Bearing Plate Analysis'!B43</f>
        <v>11</v>
      </c>
      <c r="C43" s="17">
        <f>'Rigid Bearing Plate Analysis'!C43</f>
        <v>21</v>
      </c>
      <c r="D43" s="17" t="str">
        <f>'Rigid Bearing Plate Analysis'!D43</f>
        <v>y</v>
      </c>
      <c r="Q43" s="12">
        <f t="shared" si="14"/>
        <v>11</v>
      </c>
      <c r="R43" s="12">
        <f t="shared" si="14"/>
        <v>21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15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15</v>
      </c>
    </row>
    <row r="45" spans="1:21" x14ac:dyDescent="0.25">
      <c r="A45">
        <v>9</v>
      </c>
      <c r="B45" s="17">
        <f>'Rigid Bearing Plate Analysis'!B45</f>
        <v>3</v>
      </c>
      <c r="C45" s="17">
        <f>'Rigid Bearing Plate Analysis'!C45</f>
        <v>27</v>
      </c>
      <c r="D45" s="17" t="str">
        <f>'Rigid Bearing Plate Analysis'!D45</f>
        <v>y</v>
      </c>
      <c r="Q45" s="12">
        <f t="shared" si="14"/>
        <v>3</v>
      </c>
      <c r="R45" s="12">
        <f t="shared" si="14"/>
        <v>27</v>
      </c>
    </row>
    <row r="46" spans="1:21" x14ac:dyDescent="0.25">
      <c r="A46">
        <v>10</v>
      </c>
      <c r="B46" s="17">
        <f>'Rigid Bearing Plate Analysis'!B46</f>
        <v>3</v>
      </c>
      <c r="C46" s="17">
        <f>'Rigid Bearing Plate Analysis'!C46</f>
        <v>33</v>
      </c>
      <c r="D46" s="17" t="str">
        <f>'Rigid Bearing Plate Analysis'!D46</f>
        <v>y</v>
      </c>
      <c r="Q46" s="12">
        <f t="shared" si="14"/>
        <v>3</v>
      </c>
      <c r="R46" s="12">
        <f t="shared" si="14"/>
        <v>33</v>
      </c>
    </row>
    <row r="47" spans="1:21" x14ac:dyDescent="0.25">
      <c r="A47">
        <v>11</v>
      </c>
      <c r="B47" s="17">
        <f>'Rigid Bearing Plate Analysis'!B47</f>
        <v>11</v>
      </c>
      <c r="C47" s="17">
        <f>'Rigid Bearing Plate Analysis'!C47</f>
        <v>27</v>
      </c>
      <c r="D47" s="17" t="str">
        <f>'Rigid Bearing Plate Analysis'!D47</f>
        <v>y</v>
      </c>
      <c r="Q47" s="12">
        <f t="shared" si="14"/>
        <v>11</v>
      </c>
      <c r="R47" s="12">
        <f t="shared" si="14"/>
        <v>27</v>
      </c>
    </row>
    <row r="48" spans="1:21" x14ac:dyDescent="0.25">
      <c r="A48">
        <v>12</v>
      </c>
      <c r="B48" s="17">
        <f>'Rigid Bearing Plate Analysis'!B48</f>
        <v>11</v>
      </c>
      <c r="C48" s="17">
        <f>'Rigid Bearing Plate Analysis'!C48</f>
        <v>33</v>
      </c>
      <c r="D48" s="17" t="str">
        <f>'Rigid Bearing Plate Analysis'!D48</f>
        <v>y</v>
      </c>
      <c r="Q48" s="12">
        <f t="shared" si="14"/>
        <v>11</v>
      </c>
      <c r="R48" s="12">
        <f t="shared" si="14"/>
        <v>33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1.7051201210291647</v>
      </c>
      <c r="C64" t="s">
        <v>19</v>
      </c>
      <c r="D64" t="s">
        <v>34</v>
      </c>
      <c r="H64" s="17">
        <f>DEGREES(B64)</f>
        <v>97.696186497807261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Analysis'!B65+'Rigid Bearing Plate Analysis'!C175</f>
        <v>6.1864356873889248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5.5250000000000004</v>
      </c>
      <c r="C66" t="s">
        <v>11</v>
      </c>
      <c r="D66">
        <f>B66/B53</f>
        <v>1.3560675915647805E-3</v>
      </c>
      <c r="I66" s="20"/>
    </row>
    <row r="67" spans="1:18" x14ac:dyDescent="0.25">
      <c r="A67" s="1" t="s">
        <v>37</v>
      </c>
      <c r="B67" s="17">
        <f>'Rigid Bearing Plate Analysis'!B67</f>
        <v>54.091431170546485</v>
      </c>
      <c r="C67" t="s">
        <v>36</v>
      </c>
      <c r="D67" t="s">
        <v>122</v>
      </c>
      <c r="G67" s="20">
        <f ca="1">($B$56*$B$66*$B$55*$E$122)/$B$65</f>
        <v>19.419479231662766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-18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-18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-18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-18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18</v>
      </c>
      <c r="H75" s="1">
        <f t="shared" si="18"/>
        <v>3</v>
      </c>
      <c r="I75" s="4">
        <f t="shared" si="19"/>
        <v>-7</v>
      </c>
      <c r="J75" s="4">
        <f t="shared" si="20"/>
        <v>-18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18</v>
      </c>
      <c r="H76" s="1">
        <f t="shared" si="18"/>
        <v>4</v>
      </c>
      <c r="I76" s="4">
        <f t="shared" si="19"/>
        <v>-7</v>
      </c>
      <c r="J76" s="4">
        <f t="shared" si="20"/>
        <v>-18</v>
      </c>
      <c r="Q76" cm="1">
        <f t="array" ref="Q76">(-1*MAX(ABS(B84:C91)))-1</f>
        <v>-19.775299666768252</v>
      </c>
      <c r="R76">
        <f>Q76</f>
        <v>-19.775299666768252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-18</v>
      </c>
      <c r="H77" s="1">
        <f t="shared" si="18"/>
        <v>5</v>
      </c>
      <c r="I77" s="4">
        <f t="shared" si="19"/>
        <v>-7</v>
      </c>
      <c r="J77" s="4">
        <f t="shared" si="20"/>
        <v>-18</v>
      </c>
      <c r="Q77">
        <f>-1*Q76</f>
        <v>19.775299666768252</v>
      </c>
      <c r="R77">
        <f>Q77</f>
        <v>19.775299666768252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-18</v>
      </c>
      <c r="H78" s="1">
        <f t="shared" si="18"/>
        <v>6</v>
      </c>
      <c r="I78" s="4">
        <f t="shared" si="19"/>
        <v>-7</v>
      </c>
      <c r="J78" s="4">
        <f t="shared" si="20"/>
        <v>-18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-18</v>
      </c>
      <c r="H79" s="1">
        <f t="shared" si="18"/>
        <v>7</v>
      </c>
      <c r="I79" s="4">
        <f t="shared" si="19"/>
        <v>-7</v>
      </c>
      <c r="J79" s="4">
        <f t="shared" si="20"/>
        <v>-18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-18</v>
      </c>
      <c r="H80" s="1">
        <f t="shared" si="18"/>
        <v>8</v>
      </c>
      <c r="I80" s="4">
        <f t="shared" si="19"/>
        <v>-7</v>
      </c>
      <c r="J80" s="4">
        <f t="shared" si="20"/>
        <v>-18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-18</v>
      </c>
      <c r="H81" s="1">
        <f t="shared" si="18"/>
        <v>9</v>
      </c>
      <c r="I81" s="4">
        <f t="shared" si="19"/>
        <v>-7</v>
      </c>
      <c r="J81" s="4">
        <f t="shared" si="20"/>
        <v>-18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-16.900416487452443</v>
      </c>
      <c r="C84" s="1">
        <f t="shared" ref="C84:C92" si="23">(-1*B73*SIN($B$64))+(C73*COS($B$64))</f>
        <v>9.3475088954568921</v>
      </c>
      <c r="H84" s="1">
        <f t="shared" ref="H84:H92" si="24">H73</f>
        <v>1</v>
      </c>
      <c r="I84" s="4">
        <f>(I73*COS($B$64))+(J73*SIN($B$64))</f>
        <v>-16.900416487452443</v>
      </c>
      <c r="J84" s="1">
        <f>(-1*I73*SIN($B$64))+(J73*COS($B$64))</f>
        <v>9.3475088954568921</v>
      </c>
    </row>
    <row r="85" spans="1:10" x14ac:dyDescent="0.25">
      <c r="A85" s="1">
        <f t="shared" si="21"/>
        <v>2</v>
      </c>
      <c r="B85" s="4">
        <f t="shared" si="22"/>
        <v>-18.775299666768252</v>
      </c>
      <c r="C85" s="1">
        <f t="shared" si="23"/>
        <v>-4.5263807200733766</v>
      </c>
      <c r="H85" s="1">
        <f t="shared" si="24"/>
        <v>2</v>
      </c>
      <c r="I85" s="4">
        <f t="shared" ref="I85:I92" si="25">(I74*COS($B$64))+(J74*SIN($B$64))</f>
        <v>-16.900416487452443</v>
      </c>
      <c r="J85" s="1">
        <f t="shared" ref="J85:J92" si="26">(-1*I74*SIN($B$64))+(J74*COS($B$64))</f>
        <v>9.3475088954568921</v>
      </c>
    </row>
    <row r="86" spans="1:10" x14ac:dyDescent="0.25">
      <c r="A86" s="1">
        <f t="shared" si="21"/>
        <v>3</v>
      </c>
      <c r="B86" s="4">
        <f t="shared" si="22"/>
        <v>16.900416487452443</v>
      </c>
      <c r="C86" s="1">
        <f t="shared" si="23"/>
        <v>-9.3475088954568921</v>
      </c>
      <c r="H86" s="1">
        <f t="shared" si="24"/>
        <v>3</v>
      </c>
      <c r="I86" s="4">
        <f t="shared" si="25"/>
        <v>-16.900416487452443</v>
      </c>
      <c r="J86" s="1">
        <f t="shared" si="26"/>
        <v>9.3475088954568921</v>
      </c>
    </row>
    <row r="87" spans="1:10" x14ac:dyDescent="0.25">
      <c r="A87" s="1">
        <f t="shared" si="21"/>
        <v>4</v>
      </c>
      <c r="B87" s="4">
        <f t="shared" si="22"/>
        <v>18.775299666768252</v>
      </c>
      <c r="C87" s="1">
        <f t="shared" si="23"/>
        <v>4.5263807200733766</v>
      </c>
      <c r="H87" s="1">
        <f t="shared" si="24"/>
        <v>4</v>
      </c>
      <c r="I87" s="4">
        <f t="shared" si="25"/>
        <v>-16.900416487452443</v>
      </c>
      <c r="J87" s="1">
        <f t="shared" si="26"/>
        <v>9.3475088954568921</v>
      </c>
    </row>
    <row r="88" spans="1:10" x14ac:dyDescent="0.25">
      <c r="A88" s="1">
        <f t="shared" si="21"/>
        <v>5</v>
      </c>
      <c r="B88" s="4">
        <f t="shared" si="22"/>
        <v>-16.900416487452443</v>
      </c>
      <c r="C88" s="1">
        <f t="shared" si="23"/>
        <v>9.3475088954568921</v>
      </c>
      <c r="H88" s="1">
        <f t="shared" si="24"/>
        <v>5</v>
      </c>
      <c r="I88" s="4">
        <f t="shared" si="25"/>
        <v>-16.900416487452443</v>
      </c>
      <c r="J88" s="1">
        <f t="shared" si="26"/>
        <v>9.3475088954568921</v>
      </c>
    </row>
    <row r="89" spans="1:10" x14ac:dyDescent="0.25">
      <c r="A89" s="1">
        <f t="shared" si="21"/>
        <v>6</v>
      </c>
      <c r="B89" s="4">
        <f t="shared" si="22"/>
        <v>-16.900416487452443</v>
      </c>
      <c r="C89" s="1">
        <f t="shared" si="23"/>
        <v>9.3475088954568921</v>
      </c>
      <c r="H89" s="1">
        <f t="shared" si="24"/>
        <v>6</v>
      </c>
      <c r="I89" s="4">
        <f t="shared" si="25"/>
        <v>-16.900416487452443</v>
      </c>
      <c r="J89" s="1">
        <f t="shared" si="26"/>
        <v>9.3475088954568921</v>
      </c>
    </row>
    <row r="90" spans="1:10" x14ac:dyDescent="0.25">
      <c r="A90" s="1">
        <f t="shared" si="21"/>
        <v>7</v>
      </c>
      <c r="B90" s="4">
        <f t="shared" si="22"/>
        <v>-16.900416487452443</v>
      </c>
      <c r="C90" s="1">
        <f t="shared" si="23"/>
        <v>9.3475088954568921</v>
      </c>
      <c r="H90" s="1">
        <f t="shared" si="24"/>
        <v>7</v>
      </c>
      <c r="I90" s="4">
        <f t="shared" si="25"/>
        <v>-16.900416487452443</v>
      </c>
      <c r="J90" s="1">
        <f t="shared" si="26"/>
        <v>9.3475088954568921</v>
      </c>
    </row>
    <row r="91" spans="1:10" x14ac:dyDescent="0.25">
      <c r="A91" s="1">
        <f t="shared" si="21"/>
        <v>8</v>
      </c>
      <c r="B91" s="4">
        <f t="shared" si="22"/>
        <v>-16.900416487452443</v>
      </c>
      <c r="C91" s="1">
        <f t="shared" si="23"/>
        <v>9.3475088954568921</v>
      </c>
      <c r="H91" s="1">
        <f t="shared" si="24"/>
        <v>8</v>
      </c>
      <c r="I91" s="4">
        <f t="shared" si="25"/>
        <v>-16.900416487452443</v>
      </c>
      <c r="J91" s="1">
        <f t="shared" si="26"/>
        <v>9.3475088954568921</v>
      </c>
    </row>
    <row r="92" spans="1:10" x14ac:dyDescent="0.25">
      <c r="A92" s="1">
        <f t="shared" si="21"/>
        <v>9</v>
      </c>
      <c r="B92" s="4">
        <f t="shared" si="22"/>
        <v>-16.900416487452443</v>
      </c>
      <c r="C92" s="1">
        <f t="shared" si="23"/>
        <v>9.3475088954568921</v>
      </c>
      <c r="H92" s="1">
        <f t="shared" si="24"/>
        <v>9</v>
      </c>
      <c r="I92" s="4">
        <f t="shared" si="25"/>
        <v>-16.900416487452443</v>
      </c>
      <c r="J92" s="1">
        <f t="shared" si="26"/>
        <v>9.3475088954568921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-15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-4</v>
      </c>
      <c r="C96" s="4">
        <f t="shared" si="29"/>
        <v>-9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4</v>
      </c>
      <c r="C97" s="4">
        <f t="shared" si="29"/>
        <v>-15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-9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-3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-4</v>
      </c>
      <c r="C100" s="4">
        <f t="shared" si="29"/>
        <v>3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4</v>
      </c>
      <c r="C101" s="4">
        <f t="shared" si="29"/>
        <v>3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-3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-4</v>
      </c>
      <c r="C103" s="4">
        <f t="shared" si="29"/>
        <v>9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-4</v>
      </c>
      <c r="C104" s="4">
        <f t="shared" si="29"/>
        <v>15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4</v>
      </c>
      <c r="C105" s="4">
        <f t="shared" si="29"/>
        <v>9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4</v>
      </c>
      <c r="C106" s="4">
        <f t="shared" si="29"/>
        <v>15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-14.329200822549341</v>
      </c>
      <c r="C110" s="1">
        <f>(-1*B95*SIN($B$64))+(C95*COS($B$64))</f>
        <v>5.9727718679898754</v>
      </c>
      <c r="D110" t="str">
        <f t="shared" ref="D110" si="31">D95</f>
        <v>y</v>
      </c>
      <c r="E110" s="4">
        <f t="shared" ref="E110:E121" si="32">IF($D110="y",$B$125-C110,0)</f>
        <v>-2.811698659921908</v>
      </c>
      <c r="F110" s="1">
        <f>IF($D110="y",B110,NA())</f>
        <v>-14.329200822549341</v>
      </c>
      <c r="G110" s="1">
        <f>IF($D110="y",C110,NA())</f>
        <v>5.9727718679898754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6.1632475024976673E-4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-8.3832481301792274</v>
      </c>
      <c r="C111" s="1">
        <f t="shared" ref="C111:C121" si="37">(-1*B96*SIN($B$64))+(C96*COS($B$64))</f>
        <v>5.1692505054259561</v>
      </c>
      <c r="D111" t="str">
        <f t="shared" si="35"/>
        <v>y</v>
      </c>
      <c r="E111" s="4">
        <f t="shared" si="32"/>
        <v>-2.0081772973579888</v>
      </c>
      <c r="F111" s="1">
        <f t="shared" ref="F111:G121" si="38">IF($D111="y",B111,NA())</f>
        <v>-8.3832481301792274</v>
      </c>
      <c r="G111" s="1">
        <f t="shared" si="38"/>
        <v>5.1692505054259561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4.4019275212294243E-4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-15.400562639301233</v>
      </c>
      <c r="C112" s="1">
        <f t="shared" si="37"/>
        <v>-1.9551650551702782</v>
      </c>
      <c r="D112" t="str">
        <f t="shared" si="35"/>
        <v>y</v>
      </c>
      <c r="E112" s="4">
        <f t="shared" si="32"/>
        <v>5.1162382632382455</v>
      </c>
      <c r="F112" s="1">
        <f t="shared" si="38"/>
        <v>-15.400562639301233</v>
      </c>
      <c r="G112" s="1">
        <f t="shared" si="38"/>
        <v>-1.9551650551702782</v>
      </c>
      <c r="H112">
        <f t="shared" si="33"/>
        <v>-30.298811460409677</v>
      </c>
      <c r="I112">
        <f t="shared" si="39"/>
        <v>59.239177380585744</v>
      </c>
      <c r="J112">
        <f t="shared" si="40"/>
        <v>-466.61874379241732</v>
      </c>
      <c r="K112">
        <f t="shared" ref="K112:K121" ca="1" si="45">H112/$B$55</f>
        <v>-90.59004736641306</v>
      </c>
      <c r="L112">
        <f t="shared" ca="1" si="41"/>
        <v>-3.1237947367728641E-3</v>
      </c>
      <c r="M112">
        <f t="shared" si="34"/>
        <v>-1.1214801624211716E-3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-9.4546099469311198</v>
      </c>
      <c r="C113" s="1">
        <f t="shared" si="37"/>
        <v>-2.7586864177341974</v>
      </c>
      <c r="D113" t="str">
        <f t="shared" si="35"/>
        <v>y</v>
      </c>
      <c r="E113" s="4">
        <f t="shared" si="32"/>
        <v>5.9197596258021647</v>
      </c>
      <c r="F113" s="1">
        <f t="shared" si="38"/>
        <v>-9.4546099469311198</v>
      </c>
      <c r="G113" s="1">
        <f t="shared" si="38"/>
        <v>-2.7586864177341974</v>
      </c>
      <c r="H113">
        <f t="shared" si="33"/>
        <v>-35.05733540243704</v>
      </c>
      <c r="I113">
        <f t="shared" si="39"/>
        <v>96.712195016655301</v>
      </c>
      <c r="J113">
        <f t="shared" si="40"/>
        <v>-331.4534320087817</v>
      </c>
      <c r="K113">
        <f t="shared" ca="1" si="45"/>
        <v>-104.81750014507202</v>
      </c>
      <c r="L113">
        <f t="shared" ca="1" si="41"/>
        <v>-3.6143965567266212E-3</v>
      </c>
      <c r="M113">
        <f t="shared" si="34"/>
        <v>-1.2976121605479958E-3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-2.4372954378091114</v>
      </c>
      <c r="C114" s="1">
        <f t="shared" si="37"/>
        <v>4.3657291428620368</v>
      </c>
      <c r="D114" t="str">
        <f t="shared" si="35"/>
        <v>y</v>
      </c>
      <c r="E114" s="4">
        <f t="shared" si="32"/>
        <v>-1.2046559347940695</v>
      </c>
      <c r="F114" s="1">
        <f t="shared" si="38"/>
        <v>-2.4372954378091114</v>
      </c>
      <c r="G114" s="1">
        <f t="shared" si="38"/>
        <v>4.3657291428620368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2.6406075399611819E-4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3.5086572545610037</v>
      </c>
      <c r="C115" s="1">
        <f t="shared" si="37"/>
        <v>3.5622077802981171</v>
      </c>
      <c r="D115" t="str">
        <f t="shared" si="35"/>
        <v>y</v>
      </c>
      <c r="E115" s="4">
        <f t="shared" si="32"/>
        <v>-0.40113457223014981</v>
      </c>
      <c r="F115" s="1">
        <f t="shared" si="38"/>
        <v>3.5086572545610037</v>
      </c>
      <c r="G115" s="1">
        <f t="shared" si="38"/>
        <v>3.5622077802981171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8.7928755869293835E-5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2.4372954378091114</v>
      </c>
      <c r="C116" s="1">
        <f t="shared" si="37"/>
        <v>-4.3657291428620368</v>
      </c>
      <c r="D116" t="str">
        <f t="shared" si="35"/>
        <v>y</v>
      </c>
      <c r="E116" s="4">
        <f t="shared" si="32"/>
        <v>7.5268023509300042</v>
      </c>
      <c r="F116" s="1">
        <f t="shared" si="38"/>
        <v>2.4372954378091114</v>
      </c>
      <c r="G116" s="1">
        <f t="shared" si="38"/>
        <v>-4.3657291428620368</v>
      </c>
      <c r="H116">
        <f t="shared" si="33"/>
        <v>-44.574383286491766</v>
      </c>
      <c r="I116">
        <f t="shared" si="39"/>
        <v>194.59968413893961</v>
      </c>
      <c r="J116">
        <f t="shared" si="40"/>
        <v>108.64094102732109</v>
      </c>
      <c r="K116">
        <f t="shared" ca="1" si="45"/>
        <v>-133.2724057023899</v>
      </c>
      <c r="L116">
        <f t="shared" ca="1" si="41"/>
        <v>-4.5956001966341344E-3</v>
      </c>
      <c r="M116">
        <f t="shared" si="34"/>
        <v>-1.6498761568016444E-3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-3.5086572545610037</v>
      </c>
      <c r="C117" s="1">
        <f t="shared" si="37"/>
        <v>-3.5622077802981171</v>
      </c>
      <c r="D117" t="str">
        <f t="shared" si="35"/>
        <v>y</v>
      </c>
      <c r="E117" s="4">
        <f t="shared" si="32"/>
        <v>6.7232809883660849</v>
      </c>
      <c r="F117" s="1">
        <f t="shared" si="38"/>
        <v>-3.5086572545610037</v>
      </c>
      <c r="G117" s="1">
        <f t="shared" si="38"/>
        <v>-3.5622077802981171</v>
      </c>
      <c r="H117">
        <f t="shared" si="33"/>
        <v>-39.815859344464407</v>
      </c>
      <c r="I117">
        <f t="shared" si="39"/>
        <v>141.83236393610659</v>
      </c>
      <c r="J117">
        <f t="shared" si="40"/>
        <v>-139.70020373553558</v>
      </c>
      <c r="K117">
        <f t="shared" ca="1" si="45"/>
        <v>-119.04495292373097</v>
      </c>
      <c r="L117">
        <f t="shared" ca="1" si="41"/>
        <v>-4.1049983766803782E-3</v>
      </c>
      <c r="M117">
        <f t="shared" si="34"/>
        <v>-1.4737441586748202E-3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9.4546099469311198</v>
      </c>
      <c r="C118" s="1">
        <f t="shared" si="37"/>
        <v>2.7586864177341974</v>
      </c>
      <c r="D118" t="str">
        <f t="shared" si="35"/>
        <v>y</v>
      </c>
      <c r="E118" s="4">
        <f t="shared" si="32"/>
        <v>0.40238679033376989</v>
      </c>
      <c r="F118" s="1">
        <f t="shared" si="38"/>
        <v>9.4546099469311198</v>
      </c>
      <c r="G118" s="1">
        <f t="shared" si="38"/>
        <v>2.7586864177341974</v>
      </c>
      <c r="H118">
        <f t="shared" si="33"/>
        <v>-2.3829698437002915</v>
      </c>
      <c r="I118">
        <f t="shared" si="39"/>
        <v>-6.5738665416861775</v>
      </c>
      <c r="J118">
        <f t="shared" si="40"/>
        <v>22.530050387485673</v>
      </c>
      <c r="K118">
        <f t="shared" ca="1" si="45"/>
        <v>-7.1248125127157858</v>
      </c>
      <c r="L118">
        <f t="shared" ca="1" si="41"/>
        <v>-2.4568319009364776E-4</v>
      </c>
      <c r="M118">
        <f t="shared" si="34"/>
        <v>-8.8203242257530519E-5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15.400562639301233</v>
      </c>
      <c r="C119" s="1">
        <f t="shared" si="37"/>
        <v>1.9551650551702782</v>
      </c>
      <c r="D119" t="str">
        <f t="shared" si="35"/>
        <v>y</v>
      </c>
      <c r="E119" s="4">
        <f t="shared" si="32"/>
        <v>1.2059081528976892</v>
      </c>
      <c r="F119" s="1">
        <f t="shared" si="38"/>
        <v>15.400562639301233</v>
      </c>
      <c r="G119" s="1">
        <f t="shared" si="38"/>
        <v>1.9551650551702782</v>
      </c>
      <c r="H119">
        <f t="shared" si="33"/>
        <v>-7.1414937857276524</v>
      </c>
      <c r="I119">
        <f t="shared" si="39"/>
        <v>-13.962799091570405</v>
      </c>
      <c r="J119">
        <f t="shared" si="40"/>
        <v>109.98302238527921</v>
      </c>
      <c r="K119">
        <f t="shared" ca="1" si="45"/>
        <v>-21.352265291374732</v>
      </c>
      <c r="L119">
        <f t="shared" ca="1" si="41"/>
        <v>-7.3628501004740457E-4</v>
      </c>
      <c r="M119">
        <f t="shared" si="34"/>
        <v>-2.6433524038435476E-4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8.3832481301792274</v>
      </c>
      <c r="C120" s="1">
        <f t="shared" si="37"/>
        <v>-5.1692505054259561</v>
      </c>
      <c r="D120" t="str">
        <f t="shared" si="35"/>
        <v>y</v>
      </c>
      <c r="E120" s="4">
        <f t="shared" si="32"/>
        <v>8.3303237134939234</v>
      </c>
      <c r="F120" s="1">
        <f t="shared" si="38"/>
        <v>8.3832481301792274</v>
      </c>
      <c r="G120" s="1">
        <f t="shared" si="38"/>
        <v>-5.1692505054259561</v>
      </c>
      <c r="H120">
        <f t="shared" si="33"/>
        <v>-49.332907228519126</v>
      </c>
      <c r="I120">
        <f t="shared" si="39"/>
        <v>255.0141556251543</v>
      </c>
      <c r="J120">
        <f t="shared" si="40"/>
        <v>413.57000227978824</v>
      </c>
      <c r="K120">
        <f t="shared" ca="1" si="45"/>
        <v>-147.49985848104885</v>
      </c>
      <c r="L120">
        <f t="shared" ca="1" si="41"/>
        <v>-5.0862020165878914E-3</v>
      </c>
      <c r="M120">
        <f t="shared" si="34"/>
        <v>-1.8260081549284688E-3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14.329200822549341</v>
      </c>
      <c r="C121" s="1">
        <f t="shared" si="37"/>
        <v>-5.9727718679898754</v>
      </c>
      <c r="D121" t="str">
        <f t="shared" si="35"/>
        <v>y</v>
      </c>
      <c r="E121" s="4">
        <f t="shared" si="32"/>
        <v>9.1338450760578418</v>
      </c>
      <c r="F121" s="1">
        <f t="shared" si="38"/>
        <v>14.329200822549341</v>
      </c>
      <c r="G121" s="1">
        <f t="shared" si="38"/>
        <v>-5.9727718679898754</v>
      </c>
      <c r="H121" s="23">
        <f t="shared" si="33"/>
        <v>-54.091431170546478</v>
      </c>
      <c r="I121" s="23">
        <f t="shared" si="39"/>
        <v>323.07577839475067</v>
      </c>
      <c r="J121" s="23">
        <f t="shared" si="40"/>
        <v>775.08698002186566</v>
      </c>
      <c r="K121">
        <f t="shared" ca="1" si="45"/>
        <v>-161.72731125970779</v>
      </c>
      <c r="L121">
        <f t="shared" ca="1" si="41"/>
        <v>-5.5768038365416476E-3</v>
      </c>
      <c r="M121">
        <f t="shared" si="34"/>
        <v>-2.0021401530552927E-3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9.1338450760578418</v>
      </c>
      <c r="H122">
        <f>SUM(H110:H121)</f>
        <v>-262.69519152229645</v>
      </c>
      <c r="I122">
        <f t="shared" ref="I122:J122" si="46">SUM(I110:I121)</f>
        <v>1049.9366888589357</v>
      </c>
      <c r="J122">
        <f t="shared" si="46"/>
        <v>492.03861656500521</v>
      </c>
      <c r="L122">
        <f ca="1">MIN(L110:L121)</f>
        <v>-5.5768038365416476E-3</v>
      </c>
      <c r="M122">
        <f>MIN(M110:M121)</f>
        <v>-2.0021401530552927E-3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3.1610732080679673</v>
      </c>
      <c r="F125" s="1" t="s">
        <v>27</v>
      </c>
      <c r="G125" s="1" t="s">
        <v>28</v>
      </c>
    </row>
    <row r="126" spans="1:16" x14ac:dyDescent="0.25">
      <c r="F126" s="4">
        <f>MIN(B84:B90)-1</f>
        <v>-19.775299666768252</v>
      </c>
      <c r="G126" s="4">
        <f>B125</f>
        <v>3.1610732080679673</v>
      </c>
    </row>
    <row r="127" spans="1:16" x14ac:dyDescent="0.25">
      <c r="F127" s="4">
        <f>MAX(B84:B90)+1</f>
        <v>19.775299666768252</v>
      </c>
      <c r="G127" s="4">
        <f>G126</f>
        <v>3.1610732080679673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-16.900416487452443</v>
      </c>
      <c r="C132" s="4">
        <f>C84</f>
        <v>9.3475088954568921</v>
      </c>
      <c r="D132" s="4">
        <f t="shared" ref="D132:E139" si="47">B85</f>
        <v>-18.775299666768252</v>
      </c>
      <c r="E132" s="4">
        <f t="shared" si="47"/>
        <v>-4.5263807200733766</v>
      </c>
      <c r="F132" s="4">
        <f t="shared" ref="F132:F139" si="48">($B$66/$B$65)*(C132-$B$125)</f>
        <v>5.5250000000000004</v>
      </c>
      <c r="G132" s="4">
        <f t="shared" ref="G132:G139" si="49">($B$66/$B$65)*(E132-$B$125)</f>
        <v>-6.8655337417574209</v>
      </c>
      <c r="H132" s="4">
        <f>IF(B132=D132,"V",(C132-E132)/(B132-D132))</f>
        <v>7.3998688390778531</v>
      </c>
      <c r="I132" s="4">
        <f>IF(H132="V",0,(-1*B132*H132)+C132)</f>
        <v>134.4083742283938</v>
      </c>
      <c r="J132" s="4">
        <f>IF($F132&gt;=0,B132,IF(AND($F132&lt;0,$G132&gt;=0),IF(H132="V",B132,($B$125-I132)/H132),0))</f>
        <v>-16.900416487452443</v>
      </c>
      <c r="K132" s="4">
        <f>IF($F132&gt;=0,C132,IF(AND($F132&lt;0,$G132&gt;=0),$B$125,0))</f>
        <v>9.3475088954568921</v>
      </c>
      <c r="L132" s="4">
        <f>IF($G132&gt;=0,D132,IF(AND($G132&lt;0,$F132&gt;=0),IF(H132="V",D132,($B$125-I132)/H132),0))</f>
        <v>-17.736436128059999</v>
      </c>
      <c r="M132" s="4">
        <f>IF($G132&gt;=0,E132,IF(AND($G132&lt;0,$F132&gt;=0),$B$125,0))</f>
        <v>3.1610732080679673</v>
      </c>
      <c r="N132" s="4">
        <f>IF(F132&lt;0,0,F132)</f>
        <v>5.5250000000000004</v>
      </c>
      <c r="O132" s="4">
        <f>IF(G132&lt;0,0,G132)</f>
        <v>0</v>
      </c>
      <c r="P132" s="4">
        <f>(1/6)*(M132-K132)*((N132*((2*J132)+L132))+(O132*(J132+(2*L132))))</f>
        <v>293.59113407842432</v>
      </c>
      <c r="Q132" s="4">
        <f>((1/12)*(M132-K132)*(N132*J132*((3*K132)+M132)+N132*L132*(K132+M132)+O132*J132*(K132+M132)+O132*L132*(K132+(3*M132))))</f>
        <v>2134.0076634271418</v>
      </c>
      <c r="R132" s="4">
        <f>((-1/24)*(M132-K132)*(J132*J132*((3*N132)+O132)+2*J132*L132*(N132+O132)+L132*L132*(N132+(3*O132))))</f>
        <v>2522.1460114809174</v>
      </c>
    </row>
    <row r="133" spans="1:18" x14ac:dyDescent="0.25">
      <c r="A133" t="s">
        <v>70</v>
      </c>
      <c r="B133" s="4">
        <f t="shared" ref="B133:C138" si="50">D132</f>
        <v>-18.775299666768252</v>
      </c>
      <c r="C133" s="4">
        <f t="shared" si="50"/>
        <v>-4.5263807200733766</v>
      </c>
      <c r="D133" s="4">
        <f t="shared" si="47"/>
        <v>16.900416487452443</v>
      </c>
      <c r="E133" s="4">
        <f t="shared" si="47"/>
        <v>-9.3475088954568921</v>
      </c>
      <c r="F133" s="4">
        <f t="shared" si="48"/>
        <v>-6.8655337417574209</v>
      </c>
      <c r="G133" s="4">
        <f t="shared" si="49"/>
        <v>-11.171200932849864</v>
      </c>
      <c r="H133" s="4">
        <f t="shared" ref="H133:H139" si="51">IF(B133=D133,"V",(C133-E133)/(B133-D133))</f>
        <v>-0.13513753037339213</v>
      </c>
      <c r="I133" s="4">
        <f t="shared" ref="I133:I139" si="52">IF(H133="V",0,(-1*B133*H133)+C133)</f>
        <v>-7.0636283490608101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16.900416487452443</v>
      </c>
      <c r="C134" s="4">
        <f t="shared" si="50"/>
        <v>-9.3475088954568921</v>
      </c>
      <c r="D134" s="4">
        <f t="shared" si="47"/>
        <v>18.775299666768252</v>
      </c>
      <c r="E134" s="4">
        <f t="shared" si="47"/>
        <v>4.5263807200733766</v>
      </c>
      <c r="F134" s="4">
        <f t="shared" si="48"/>
        <v>-11.171200932849864</v>
      </c>
      <c r="G134" s="4">
        <f t="shared" si="49"/>
        <v>1.2193328089075561</v>
      </c>
      <c r="H134" s="4">
        <f t="shared" si="51"/>
        <v>7.3998688390778531</v>
      </c>
      <c r="I134" s="4">
        <f t="shared" si="52"/>
        <v>-134.4083742283938</v>
      </c>
      <c r="J134" s="4">
        <f t="shared" si="53"/>
        <v>18.590795381395598</v>
      </c>
      <c r="K134" s="4">
        <f t="shared" si="54"/>
        <v>3.1610732080679673</v>
      </c>
      <c r="L134" s="4">
        <f t="shared" si="55"/>
        <v>18.775299666768252</v>
      </c>
      <c r="M134" s="4">
        <f t="shared" si="56"/>
        <v>4.5263807200733766</v>
      </c>
      <c r="N134" s="4">
        <f t="shared" si="57"/>
        <v>0</v>
      </c>
      <c r="O134" s="4">
        <f t="shared" si="57"/>
        <v>1.2193328089075561</v>
      </c>
      <c r="P134" s="4">
        <f t="shared" si="58"/>
        <v>15.577031084880346</v>
      </c>
      <c r="Q134" s="4">
        <f t="shared" si="59"/>
        <v>63.430076287535378</v>
      </c>
      <c r="R134" s="4">
        <f t="shared" si="60"/>
        <v>-145.75349554305532</v>
      </c>
    </row>
    <row r="135" spans="1:18" x14ac:dyDescent="0.25">
      <c r="A135" t="s">
        <v>72</v>
      </c>
      <c r="B135" s="4">
        <f t="shared" si="50"/>
        <v>18.775299666768252</v>
      </c>
      <c r="C135" s="4">
        <f t="shared" si="50"/>
        <v>4.5263807200733766</v>
      </c>
      <c r="D135" s="4">
        <f t="shared" si="47"/>
        <v>-16.900416487452443</v>
      </c>
      <c r="E135" s="4">
        <f t="shared" si="47"/>
        <v>9.3475088954568921</v>
      </c>
      <c r="F135" s="4">
        <f t="shared" si="48"/>
        <v>1.2193328089075561</v>
      </c>
      <c r="G135" s="4">
        <f t="shared" si="49"/>
        <v>5.5250000000000004</v>
      </c>
      <c r="H135" s="4">
        <f t="shared" si="51"/>
        <v>-0.13513753037339213</v>
      </c>
      <c r="I135" s="4">
        <f t="shared" si="52"/>
        <v>7.0636283490608101</v>
      </c>
      <c r="J135" s="4">
        <f t="shared" si="53"/>
        <v>18.775299666768252</v>
      </c>
      <c r="K135" s="4">
        <f t="shared" si="54"/>
        <v>4.5263807200733766</v>
      </c>
      <c r="L135" s="4">
        <f t="shared" si="55"/>
        <v>-16.900416487452443</v>
      </c>
      <c r="M135" s="4">
        <f t="shared" si="56"/>
        <v>9.3475088954568921</v>
      </c>
      <c r="N135" s="4">
        <f t="shared" si="57"/>
        <v>1.2193328089075561</v>
      </c>
      <c r="O135" s="4">
        <f t="shared" si="57"/>
        <v>5.5250000000000004</v>
      </c>
      <c r="P135" s="4">
        <f t="shared" si="58"/>
        <v>-46.472964588505548</v>
      </c>
      <c r="Q135" s="4">
        <f t="shared" si="59"/>
        <v>-547.58477124877311</v>
      </c>
      <c r="R135" s="4">
        <f t="shared" si="60"/>
        <v>-811.45859521970578</v>
      </c>
    </row>
    <row r="136" spans="1:18" x14ac:dyDescent="0.25">
      <c r="A136" t="s">
        <v>73</v>
      </c>
      <c r="B136" s="4">
        <f t="shared" si="50"/>
        <v>-16.900416487452443</v>
      </c>
      <c r="C136" s="4">
        <f t="shared" si="50"/>
        <v>9.3475088954568921</v>
      </c>
      <c r="D136" s="4">
        <f t="shared" si="47"/>
        <v>-16.900416487452443</v>
      </c>
      <c r="E136" s="4">
        <f t="shared" si="47"/>
        <v>9.3475088954568921</v>
      </c>
      <c r="F136" s="4">
        <f t="shared" si="48"/>
        <v>5.5250000000000004</v>
      </c>
      <c r="G136" s="4">
        <f t="shared" si="49"/>
        <v>5.5250000000000004</v>
      </c>
      <c r="H136" s="4" t="str">
        <f t="shared" si="51"/>
        <v>V</v>
      </c>
      <c r="I136" s="4">
        <f t="shared" si="52"/>
        <v>0</v>
      </c>
      <c r="J136" s="4">
        <f t="shared" si="53"/>
        <v>-16.900416487452443</v>
      </c>
      <c r="K136" s="4">
        <f t="shared" si="54"/>
        <v>9.3475088954568921</v>
      </c>
      <c r="L136" s="4">
        <f t="shared" si="55"/>
        <v>-16.900416487452443</v>
      </c>
      <c r="M136" s="4">
        <f t="shared" si="56"/>
        <v>9.3475088954568921</v>
      </c>
      <c r="N136" s="4">
        <f t="shared" si="57"/>
        <v>5.5250000000000004</v>
      </c>
      <c r="O136" s="4">
        <f t="shared" si="57"/>
        <v>5.5250000000000004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-16.900416487452443</v>
      </c>
      <c r="C137" s="4">
        <f t="shared" si="50"/>
        <v>9.3475088954568921</v>
      </c>
      <c r="D137" s="4">
        <f t="shared" si="47"/>
        <v>-16.900416487452443</v>
      </c>
      <c r="E137" s="4">
        <f t="shared" si="47"/>
        <v>9.3475088954568921</v>
      </c>
      <c r="F137" s="4">
        <f t="shared" si="48"/>
        <v>5.5250000000000004</v>
      </c>
      <c r="G137" s="4">
        <f t="shared" si="49"/>
        <v>5.5250000000000004</v>
      </c>
      <c r="H137" s="4" t="str">
        <f t="shared" si="51"/>
        <v>V</v>
      </c>
      <c r="I137" s="4">
        <f t="shared" si="52"/>
        <v>0</v>
      </c>
      <c r="J137" s="4">
        <f t="shared" si="53"/>
        <v>-16.900416487452443</v>
      </c>
      <c r="K137" s="4">
        <f t="shared" si="54"/>
        <v>9.3475088954568921</v>
      </c>
      <c r="L137" s="4">
        <f t="shared" si="55"/>
        <v>-16.900416487452443</v>
      </c>
      <c r="M137" s="4">
        <f t="shared" si="56"/>
        <v>9.3475088954568921</v>
      </c>
      <c r="N137" s="4">
        <f t="shared" si="57"/>
        <v>5.5250000000000004</v>
      </c>
      <c r="O137" s="4">
        <f t="shared" si="57"/>
        <v>5.5250000000000004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-16.900416487452443</v>
      </c>
      <c r="C138" s="4">
        <f t="shared" si="50"/>
        <v>9.3475088954568921</v>
      </c>
      <c r="D138" s="4">
        <f t="shared" si="47"/>
        <v>-16.900416487452443</v>
      </c>
      <c r="E138" s="4">
        <f t="shared" si="47"/>
        <v>9.3475088954568921</v>
      </c>
      <c r="F138" s="4">
        <f t="shared" si="48"/>
        <v>5.5250000000000004</v>
      </c>
      <c r="G138" s="4">
        <f t="shared" si="49"/>
        <v>5.5250000000000004</v>
      </c>
      <c r="H138" s="4" t="str">
        <f t="shared" si="51"/>
        <v>V</v>
      </c>
      <c r="I138" s="4">
        <f t="shared" si="52"/>
        <v>0</v>
      </c>
      <c r="J138" s="4">
        <f t="shared" si="53"/>
        <v>-16.900416487452443</v>
      </c>
      <c r="K138" s="4">
        <f t="shared" si="54"/>
        <v>9.3475088954568921</v>
      </c>
      <c r="L138" s="4">
        <f t="shared" si="55"/>
        <v>-16.900416487452443</v>
      </c>
      <c r="M138" s="4">
        <f t="shared" si="56"/>
        <v>9.3475088954568921</v>
      </c>
      <c r="N138" s="4">
        <f t="shared" si="57"/>
        <v>5.5250000000000004</v>
      </c>
      <c r="O138" s="4">
        <f t="shared" si="57"/>
        <v>5.5250000000000004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-16.900416487452443</v>
      </c>
      <c r="C139" s="4">
        <f>E138</f>
        <v>9.3475088954568921</v>
      </c>
      <c r="D139" s="4">
        <f t="shared" si="47"/>
        <v>-16.900416487452443</v>
      </c>
      <c r="E139" s="4">
        <f t="shared" si="47"/>
        <v>9.3475088954568921</v>
      </c>
      <c r="F139" s="4">
        <f t="shared" si="48"/>
        <v>5.5250000000000004</v>
      </c>
      <c r="G139" s="4">
        <f t="shared" si="49"/>
        <v>5.5250000000000004</v>
      </c>
      <c r="H139" s="4" t="str">
        <f t="shared" si="51"/>
        <v>V</v>
      </c>
      <c r="I139" s="4">
        <f t="shared" si="52"/>
        <v>0</v>
      </c>
      <c r="J139" s="4">
        <f t="shared" si="53"/>
        <v>-16.900416487452443</v>
      </c>
      <c r="K139" s="4">
        <f t="shared" si="54"/>
        <v>9.3475088954568921</v>
      </c>
      <c r="L139" s="4">
        <f t="shared" si="55"/>
        <v>-16.900416487452443</v>
      </c>
      <c r="M139" s="4">
        <f t="shared" si="56"/>
        <v>9.3475088954568921</v>
      </c>
      <c r="N139" s="4">
        <f t="shared" si="57"/>
        <v>5.5250000000000004</v>
      </c>
      <c r="O139" s="4">
        <f t="shared" si="57"/>
        <v>5.5250000000000004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262.69520057479912</v>
      </c>
      <c r="Q140" s="4">
        <f>SUM(Q132:Q139)</f>
        <v>1649.8529684659043</v>
      </c>
      <c r="R140" s="4">
        <f>SUM(R132:R139)</f>
        <v>1564.9339207181565</v>
      </c>
    </row>
    <row r="142" spans="1:18" x14ac:dyDescent="0.25">
      <c r="O142" t="s">
        <v>96</v>
      </c>
      <c r="P142" s="1">
        <f>-1*R140/P140</f>
        <v>-5.9572231136844138</v>
      </c>
    </row>
    <row r="143" spans="1:18" x14ac:dyDescent="0.25">
      <c r="O143" t="s">
        <v>97</v>
      </c>
      <c r="P143" s="1">
        <f>Q140/P140</f>
        <v>6.2804838644021199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-16.900416487452443</v>
      </c>
      <c r="C146" s="9">
        <f>J84</f>
        <v>9.3475088954568921</v>
      </c>
      <c r="D146" s="9">
        <f t="shared" ref="D146:E153" si="61">I85</f>
        <v>-16.900416487452443</v>
      </c>
      <c r="E146">
        <f t="shared" si="61"/>
        <v>9.3475088954568921</v>
      </c>
      <c r="F146" s="4">
        <f>($B$66/$B$65)*(C146-$B$125)</f>
        <v>5.5250000000000004</v>
      </c>
      <c r="G146" s="4">
        <f>($B$66/$B$65)*(E146-$B$125)</f>
        <v>5.5250000000000004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-16.900416487452443</v>
      </c>
      <c r="K146" s="4">
        <f>IF($F146&gt;=0,C146,IF(AND($F146&lt;0,$G146&gt;=0),$B$125,0))</f>
        <v>9.3475088954568921</v>
      </c>
      <c r="L146" s="4">
        <f>IF($G146&gt;=0,D146,IF(AND($G146&lt;0,$F146&gt;=0),IF(H146="V",D146,($B$125-I146)/H146),0))</f>
        <v>-16.900416487452443</v>
      </c>
      <c r="M146" s="4">
        <f>IF($G146&gt;=0,E146,IF(AND($G146&lt;0,$F146&gt;=0),$B$125,0))</f>
        <v>9.3475088954568921</v>
      </c>
      <c r="N146" s="4">
        <f>IF(F146&lt;0,0,F146)</f>
        <v>5.5250000000000004</v>
      </c>
      <c r="O146" s="4">
        <f>IF(G146&lt;0,0,G146)</f>
        <v>5.5250000000000004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-16.900416487452443</v>
      </c>
      <c r="C147">
        <f t="shared" si="62"/>
        <v>9.3475088954568921</v>
      </c>
      <c r="D147" s="9">
        <f t="shared" si="61"/>
        <v>-16.900416487452443</v>
      </c>
      <c r="E147">
        <f t="shared" si="61"/>
        <v>9.3475088954568921</v>
      </c>
      <c r="F147" s="4">
        <f t="shared" ref="F147:F153" si="63">($B$66/$B$65)*(C147-$B$125)</f>
        <v>5.5250000000000004</v>
      </c>
      <c r="G147" s="4">
        <f t="shared" ref="G147:G153" si="64">($B$66/$B$65)*(E147-$B$125)</f>
        <v>5.5250000000000004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-16.900416487452443</v>
      </c>
      <c r="K147" s="4">
        <f t="shared" ref="K147:K153" si="68">IF($F147&gt;=0,C147,IF(AND($F147&lt;0,$G147&gt;=0),$B$125,0))</f>
        <v>9.3475088954568921</v>
      </c>
      <c r="L147" s="4">
        <f t="shared" ref="L147:L153" si="69">IF($G147&gt;=0,D147,IF(AND($G147&lt;0,$F147&gt;=0),IF(H147="V",D147,($B$125-I147)/H147),0))</f>
        <v>-16.900416487452443</v>
      </c>
      <c r="M147" s="4">
        <f t="shared" ref="M147:M153" si="70">IF($G147&gt;=0,E147,IF(AND($G147&lt;0,$F147&gt;=0),$B$125,0))</f>
        <v>9.3475088954568921</v>
      </c>
      <c r="N147" s="4">
        <f t="shared" ref="N147:O153" si="71">IF(F147&lt;0,0,F147)</f>
        <v>5.5250000000000004</v>
      </c>
      <c r="O147" s="4">
        <f t="shared" si="71"/>
        <v>5.5250000000000004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-16.900416487452443</v>
      </c>
      <c r="C148">
        <f t="shared" si="62"/>
        <v>9.3475088954568921</v>
      </c>
      <c r="D148" s="9">
        <f t="shared" si="61"/>
        <v>-16.900416487452443</v>
      </c>
      <c r="E148">
        <f t="shared" si="61"/>
        <v>9.3475088954568921</v>
      </c>
      <c r="F148" s="4">
        <f t="shared" si="63"/>
        <v>5.5250000000000004</v>
      </c>
      <c r="G148" s="4">
        <f t="shared" si="64"/>
        <v>5.5250000000000004</v>
      </c>
      <c r="H148" s="4" t="str">
        <f t="shared" si="65"/>
        <v>V</v>
      </c>
      <c r="I148" s="4">
        <f t="shared" si="66"/>
        <v>0</v>
      </c>
      <c r="J148" s="4">
        <f t="shared" si="67"/>
        <v>-16.900416487452443</v>
      </c>
      <c r="K148" s="4">
        <f t="shared" si="68"/>
        <v>9.3475088954568921</v>
      </c>
      <c r="L148" s="4">
        <f t="shared" si="69"/>
        <v>-16.900416487452443</v>
      </c>
      <c r="M148" s="4">
        <f t="shared" si="70"/>
        <v>9.3475088954568921</v>
      </c>
      <c r="N148" s="4">
        <f t="shared" si="71"/>
        <v>5.5250000000000004</v>
      </c>
      <c r="O148" s="4">
        <f t="shared" si="71"/>
        <v>5.5250000000000004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-16.900416487452443</v>
      </c>
      <c r="C149">
        <f t="shared" si="62"/>
        <v>9.3475088954568921</v>
      </c>
      <c r="D149" s="9">
        <f t="shared" si="61"/>
        <v>-16.900416487452443</v>
      </c>
      <c r="E149">
        <f t="shared" si="61"/>
        <v>9.3475088954568921</v>
      </c>
      <c r="F149" s="4">
        <f t="shared" si="63"/>
        <v>5.5250000000000004</v>
      </c>
      <c r="G149" s="4">
        <f t="shared" si="64"/>
        <v>5.5250000000000004</v>
      </c>
      <c r="H149" s="4" t="str">
        <f t="shared" si="65"/>
        <v>V</v>
      </c>
      <c r="I149" s="4">
        <f t="shared" si="66"/>
        <v>0</v>
      </c>
      <c r="J149" s="4">
        <f t="shared" si="67"/>
        <v>-16.900416487452443</v>
      </c>
      <c r="K149" s="4">
        <f t="shared" si="68"/>
        <v>9.3475088954568921</v>
      </c>
      <c r="L149" s="4">
        <f t="shared" si="69"/>
        <v>-16.900416487452443</v>
      </c>
      <c r="M149" s="4">
        <f t="shared" si="70"/>
        <v>9.3475088954568921</v>
      </c>
      <c r="N149" s="4">
        <f t="shared" si="71"/>
        <v>5.5250000000000004</v>
      </c>
      <c r="O149" s="4">
        <f t="shared" si="71"/>
        <v>5.5250000000000004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-16.900416487452443</v>
      </c>
      <c r="C150">
        <f t="shared" si="62"/>
        <v>9.3475088954568921</v>
      </c>
      <c r="D150" s="9">
        <f t="shared" si="61"/>
        <v>-16.900416487452443</v>
      </c>
      <c r="E150">
        <f t="shared" si="61"/>
        <v>9.3475088954568921</v>
      </c>
      <c r="F150" s="4">
        <f t="shared" si="63"/>
        <v>5.5250000000000004</v>
      </c>
      <c r="G150" s="4">
        <f t="shared" si="64"/>
        <v>5.5250000000000004</v>
      </c>
      <c r="H150" s="4" t="str">
        <f t="shared" si="65"/>
        <v>V</v>
      </c>
      <c r="I150" s="4">
        <f t="shared" si="66"/>
        <v>0</v>
      </c>
      <c r="J150" s="4">
        <f t="shared" si="67"/>
        <v>-16.900416487452443</v>
      </c>
      <c r="K150" s="4">
        <f t="shared" si="68"/>
        <v>9.3475088954568921</v>
      </c>
      <c r="L150" s="4">
        <f t="shared" si="69"/>
        <v>-16.900416487452443</v>
      </c>
      <c r="M150" s="4">
        <f t="shared" si="70"/>
        <v>9.3475088954568921</v>
      </c>
      <c r="N150" s="4">
        <f t="shared" si="71"/>
        <v>5.5250000000000004</v>
      </c>
      <c r="O150" s="4">
        <f t="shared" si="71"/>
        <v>5.5250000000000004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-16.900416487452443</v>
      </c>
      <c r="C151">
        <f t="shared" si="62"/>
        <v>9.3475088954568921</v>
      </c>
      <c r="D151" s="9">
        <f t="shared" si="61"/>
        <v>-16.900416487452443</v>
      </c>
      <c r="E151">
        <f t="shared" si="61"/>
        <v>9.3475088954568921</v>
      </c>
      <c r="F151" s="4">
        <f t="shared" si="63"/>
        <v>5.5250000000000004</v>
      </c>
      <c r="G151" s="4">
        <f t="shared" si="64"/>
        <v>5.5250000000000004</v>
      </c>
      <c r="H151" s="4" t="str">
        <f t="shared" si="65"/>
        <v>V</v>
      </c>
      <c r="I151" s="4">
        <f t="shared" si="66"/>
        <v>0</v>
      </c>
      <c r="J151" s="4">
        <f t="shared" si="67"/>
        <v>-16.900416487452443</v>
      </c>
      <c r="K151" s="4">
        <f t="shared" si="68"/>
        <v>9.3475088954568921</v>
      </c>
      <c r="L151" s="4">
        <f t="shared" si="69"/>
        <v>-16.900416487452443</v>
      </c>
      <c r="M151" s="4">
        <f t="shared" si="70"/>
        <v>9.3475088954568921</v>
      </c>
      <c r="N151" s="4">
        <f t="shared" si="71"/>
        <v>5.5250000000000004</v>
      </c>
      <c r="O151" s="4">
        <f t="shared" si="71"/>
        <v>5.5250000000000004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-16.900416487452443</v>
      </c>
      <c r="C152">
        <f t="shared" si="62"/>
        <v>9.3475088954568921</v>
      </c>
      <c r="D152" s="9">
        <f t="shared" si="61"/>
        <v>-16.900416487452443</v>
      </c>
      <c r="E152">
        <f t="shared" si="61"/>
        <v>9.3475088954568921</v>
      </c>
      <c r="F152" s="4">
        <f t="shared" si="63"/>
        <v>5.5250000000000004</v>
      </c>
      <c r="G152" s="4">
        <f t="shared" si="64"/>
        <v>5.5250000000000004</v>
      </c>
      <c r="H152" s="4" t="str">
        <f t="shared" si="65"/>
        <v>V</v>
      </c>
      <c r="I152" s="4">
        <f t="shared" si="66"/>
        <v>0</v>
      </c>
      <c r="J152" s="4">
        <f t="shared" si="67"/>
        <v>-16.900416487452443</v>
      </c>
      <c r="K152" s="4">
        <f t="shared" si="68"/>
        <v>9.3475088954568921</v>
      </c>
      <c r="L152" s="4">
        <f t="shared" si="69"/>
        <v>-16.900416487452443</v>
      </c>
      <c r="M152" s="4">
        <f t="shared" si="70"/>
        <v>9.3475088954568921</v>
      </c>
      <c r="N152" s="4">
        <f t="shared" si="71"/>
        <v>5.5250000000000004</v>
      </c>
      <c r="O152" s="4">
        <f t="shared" si="71"/>
        <v>5.5250000000000004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-16.900416487452443</v>
      </c>
      <c r="C153">
        <f t="shared" si="62"/>
        <v>9.3475088954568921</v>
      </c>
      <c r="D153" s="9">
        <f t="shared" si="61"/>
        <v>-16.900416487452443</v>
      </c>
      <c r="E153">
        <f t="shared" si="61"/>
        <v>9.3475088954568921</v>
      </c>
      <c r="F153" s="4">
        <f t="shared" si="63"/>
        <v>5.5250000000000004</v>
      </c>
      <c r="G153" s="4">
        <f t="shared" si="64"/>
        <v>5.5250000000000004</v>
      </c>
      <c r="H153" s="4" t="str">
        <f t="shared" si="65"/>
        <v>V</v>
      </c>
      <c r="I153" s="4">
        <f t="shared" si="66"/>
        <v>0</v>
      </c>
      <c r="J153" s="4">
        <f t="shared" si="67"/>
        <v>-16.900416487452443</v>
      </c>
      <c r="K153" s="4">
        <f t="shared" si="68"/>
        <v>9.3475088954568921</v>
      </c>
      <c r="L153" s="4">
        <f t="shared" si="69"/>
        <v>-16.900416487452443</v>
      </c>
      <c r="M153" s="4">
        <f t="shared" si="70"/>
        <v>9.3475088954568921</v>
      </c>
      <c r="N153" s="4">
        <f t="shared" si="71"/>
        <v>5.5250000000000004</v>
      </c>
      <c r="O153" s="4">
        <f t="shared" si="71"/>
        <v>5.5250000000000004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9.0525026621435245E-6</v>
      </c>
      <c r="C159" t="s">
        <v>36</v>
      </c>
    </row>
    <row r="160" spans="1:18" x14ac:dyDescent="0.25">
      <c r="A160" s="1" t="s">
        <v>106</v>
      </c>
      <c r="B160" s="4">
        <f>Q140+I122+Q154-O122</f>
        <v>2699.7896573248399</v>
      </c>
      <c r="C160" t="s">
        <v>102</v>
      </c>
    </row>
    <row r="161" spans="1:9" x14ac:dyDescent="0.25">
      <c r="A161" s="1" t="s">
        <v>107</v>
      </c>
      <c r="B161" s="4">
        <f>R140+J122+R154-P122</f>
        <v>2056.9725372831617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9.0525026621435245E-6</v>
      </c>
      <c r="C164" t="s">
        <v>36</v>
      </c>
      <c r="E164" s="8">
        <f>B2-B164</f>
        <v>-9.0525026621435245E-6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-2400.0000100466391</v>
      </c>
      <c r="C165" t="s">
        <v>102</v>
      </c>
      <c r="E165" s="8">
        <f>B3+B165</f>
        <v>-1.0046639090433018E-5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2400.0000343148822</v>
      </c>
      <c r="C166" t="s">
        <v>102</v>
      </c>
      <c r="E166" s="8">
        <f>B4+B166</f>
        <v>3.4314882213948295E-5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5.5250000000000004</v>
      </c>
      <c r="B169" s="1">
        <f ca="1">IF(E122=0,0,(MIN(H110:H121)*B65)/(B55*B56*E122))</f>
        <v>-15.389452706331932</v>
      </c>
      <c r="C169" s="3">
        <f ca="1">A169+B169</f>
        <v>-9.8644527063319316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2.529101852378573E-8</v>
      </c>
      <c r="C175" s="27">
        <f>B65*SQRT(I175)</f>
        <v>9.1759669970656717E-8</v>
      </c>
      <c r="D175" s="27">
        <f>B66*SQRT(I175)</f>
        <v>8.1948993282407074E-8</v>
      </c>
      <c r="E175" s="27">
        <f>B67*SQRT(I175)</f>
        <v>8.0230558002369209E-7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1.7051201463201833</v>
      </c>
      <c r="C176" s="3">
        <f>B65+C175</f>
        <v>6.1864357791485949</v>
      </c>
      <c r="D176" s="3">
        <f>D175+B66</f>
        <v>5.5250000819489937</v>
      </c>
      <c r="E176" s="3">
        <f>B67+E175</f>
        <v>54.091431972852064</v>
      </c>
      <c r="F176" s="16" t="s">
        <v>125</v>
      </c>
    </row>
    <row r="177" spans="1:13" x14ac:dyDescent="0.25">
      <c r="B177" s="27">
        <f>B176-B64</f>
        <v>2.5291018612705329E-8</v>
      </c>
      <c r="C177" s="27">
        <f>C176-B65</f>
        <v>9.1759670084456957E-8</v>
      </c>
      <c r="D177" s="27">
        <f>D176-B66</f>
        <v>8.1948993368996526E-8</v>
      </c>
      <c r="E177" s="27">
        <f>E176-B67</f>
        <v>8.0230557841787231E-7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-47.54664128739266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16.900416505188179</v>
      </c>
      <c r="B181" s="25">
        <f>(d_alpha_p!E136-d_alpha_m!E136)/(2*B177)</f>
        <v>16.900416505188179</v>
      </c>
      <c r="C181" s="25">
        <f>(d_alpha_p!E137-d_alpha_m!E137)/(2*B177)</f>
        <v>16.900416505188179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9.0525026621435245E-6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1.0046639090433018E-5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-3.4314882213948295E-5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9.8644527063319316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-47.54664128739266</v>
      </c>
      <c r="B190" s="25">
        <f>A181</f>
        <v>16.900416505188179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16.900416505188179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16.900416505188179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-47.54664128739266</v>
      </c>
      <c r="B201" s="25">
        <f t="shared" ref="B201:C201" si="77">B190</f>
        <v>16.900416505188179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16.900416505188179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16.900416505188179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A75F6-58AF-4D16-B7A8-D8118490640D}">
  <sheetPr codeName="Sheet8"/>
  <dimension ref="A1:AC208"/>
  <sheetViews>
    <sheetView topLeftCell="A148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2400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0.79365079365079361</v>
      </c>
      <c r="J3" t="s">
        <v>11</v>
      </c>
    </row>
    <row r="4" spans="1:29" x14ac:dyDescent="0.25">
      <c r="A4" s="10" t="s">
        <v>80</v>
      </c>
      <c r="B4" s="17">
        <f>'Rigid Bearing Plate Analysis'!B4</f>
        <v>-2400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-2.0408163265306123</v>
      </c>
      <c r="J4" t="s">
        <v>11</v>
      </c>
    </row>
    <row r="5" spans="1:29" x14ac:dyDescent="0.25">
      <c r="A5" s="10" t="s">
        <v>104</v>
      </c>
      <c r="B5" s="20">
        <f>ATAN2(B3,B4)</f>
        <v>-0.78539816339744828</v>
      </c>
      <c r="C5" t="s">
        <v>19</v>
      </c>
      <c r="I5">
        <f>SUM(I2:I4)</f>
        <v>-1.2471655328798188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18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20.784609690826528</v>
      </c>
      <c r="L13" s="4">
        <f>SQRT(H22/D22)</f>
        <v>8.0829037686547611</v>
      </c>
      <c r="M13" s="4">
        <f>SQRT(J22/D22)</f>
        <v>22.300971578236975</v>
      </c>
      <c r="N13" s="19">
        <f>G22-(D22*C9*C9)</f>
        <v>54432</v>
      </c>
      <c r="O13" s="19">
        <f>H22-(D22*B9*B9)</f>
        <v>8232</v>
      </c>
      <c r="P13" s="19">
        <f>I22-(D22*B9*C9)</f>
        <v>0</v>
      </c>
      <c r="Q13" s="19">
        <f>N13+O13</f>
        <v>62664</v>
      </c>
      <c r="R13" s="19">
        <f>SQRT(ABS(N13/D22))</f>
        <v>10.392304845413264</v>
      </c>
      <c r="S13" s="19">
        <f>SQRT(O13/D22)</f>
        <v>4.0414518843273806</v>
      </c>
      <c r="T13" s="19">
        <f>SQRT(Q13/D22)</f>
        <v>11.150485789118488</v>
      </c>
      <c r="U13" s="19">
        <f>N13/(MAX(C13:C20)-C9)</f>
        <v>3024</v>
      </c>
      <c r="V13" s="19">
        <f>N13/(MIN(C13:C20)-C9)</f>
        <v>-3024</v>
      </c>
      <c r="W13" s="19">
        <f>O13/(MIN(B13:B20)-B9)</f>
        <v>-1176</v>
      </c>
      <c r="X13" s="19">
        <f>O13/(MAX(B13:B20)-B9)</f>
        <v>1176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-1.1999050379822342</v>
      </c>
      <c r="Y14" s="1">
        <f>$N$13/(C14-$C$9)</f>
        <v>-3024</v>
      </c>
      <c r="Z14">
        <f>$O$13/(B14-$B$9)</f>
        <v>1176</v>
      </c>
      <c r="AA14">
        <f>$B$3/Y14</f>
        <v>-0.79365079365079361</v>
      </c>
      <c r="AB14">
        <f>$B$4/Z14</f>
        <v>-2.0408163265306123</v>
      </c>
      <c r="AC14">
        <f>$I$2+AA14+AB14</f>
        <v>-2.8344671201814058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36</v>
      </c>
      <c r="D15" s="5">
        <f t="shared" ref="D15:D21" si="0">((B14*C15)-(B15*C14))*0.5</f>
        <v>252</v>
      </c>
      <c r="E15" s="5">
        <f t="shared" ref="E15:E21" si="1">(B15+B14)*((B14*C15)-(B15*C14))*(1/6)</f>
        <v>2352</v>
      </c>
      <c r="F15" s="5">
        <f t="shared" ref="F15:F21" si="2">(C15+C14)*((B14*C15)-(B15*C14))*(1/6)</f>
        <v>3024</v>
      </c>
      <c r="G15" s="5">
        <f t="shared" ref="G15:G21" si="3">(((C14*C14)+(C14*C15)+(C15*C15))*((B14*C15)-(B15*C14)))/12</f>
        <v>54432</v>
      </c>
      <c r="H15" s="5">
        <f t="shared" ref="H15:H21" si="4">(((B14*B14)+(B14*B15)+(B15*B15))*((B14*C15)-(B15*C14)))/12</f>
        <v>24696</v>
      </c>
      <c r="I15" s="5">
        <f t="shared" ref="I15:I21" si="5">(((B14*C15)+(2*B14*C14)+(2*B15*C15)+(B15*C14))*((B14*C15)-(B15*C14)))/24</f>
        <v>31752</v>
      </c>
      <c r="J15" s="5">
        <f t="shared" ref="J15:J21" si="6">G15+H15</f>
        <v>79128</v>
      </c>
      <c r="K15">
        <f t="shared" ref="K15:K21" si="7">ATAN2((B15-$E$22),(C15-$F$22))</f>
        <v>1.1999050379822342</v>
      </c>
      <c r="N15" t="s">
        <v>136</v>
      </c>
      <c r="O15">
        <v>4</v>
      </c>
      <c r="Y15" s="1">
        <f t="shared" ref="Y15:Y20" si="8">$N$13/(C15-$C$9)</f>
        <v>3024</v>
      </c>
      <c r="Z15">
        <f t="shared" ref="Z15:Z21" si="9">$O$13/(B15-$B$9)</f>
        <v>1176</v>
      </c>
      <c r="AA15">
        <f t="shared" ref="AA15:AA20" si="10">$B$3/Y15</f>
        <v>0.79365079365079361</v>
      </c>
      <c r="AB15">
        <f t="shared" ref="AB15:AB21" si="11">$B$4/Z15</f>
        <v>-2.0408163265306123</v>
      </c>
      <c r="AC15">
        <f t="shared" ref="AC15:AC20" si="12">$I$2+AA15+AB15</f>
        <v>-1.2471655328798188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1.9416876156075589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3024</v>
      </c>
      <c r="Z16">
        <f t="shared" si="9"/>
        <v>-1176</v>
      </c>
      <c r="AA16">
        <f t="shared" si="10"/>
        <v>0.79365079365079361</v>
      </c>
      <c r="AB16">
        <f t="shared" si="11"/>
        <v>2.0408163265306123</v>
      </c>
      <c r="AC16">
        <f t="shared" si="12"/>
        <v>2.8344671201814058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-1.9416876156075589</v>
      </c>
      <c r="N17" t="s">
        <v>137</v>
      </c>
      <c r="O17">
        <f>K14</f>
        <v>-1.1999050379822342</v>
      </c>
      <c r="Q17" t="s">
        <v>137</v>
      </c>
      <c r="R17">
        <f>U16</f>
        <v>5.497787143782138</v>
      </c>
      <c r="Y17" s="1">
        <f t="shared" si="8"/>
        <v>-3024</v>
      </c>
      <c r="Z17">
        <f t="shared" si="9"/>
        <v>-1176</v>
      </c>
      <c r="AA17">
        <f t="shared" si="10"/>
        <v>-0.79365079365079361</v>
      </c>
      <c r="AB17">
        <f t="shared" si="11"/>
        <v>2.0408163265306123</v>
      </c>
      <c r="AC17">
        <f t="shared" si="12"/>
        <v>1.2471655328798188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-1.9416876156075589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-3024</v>
      </c>
      <c r="Z18">
        <f t="shared" si="9"/>
        <v>-1176</v>
      </c>
      <c r="AA18">
        <f t="shared" si="10"/>
        <v>-0.79365079365079361</v>
      </c>
      <c r="AB18">
        <f t="shared" si="11"/>
        <v>2.0408163265306123</v>
      </c>
      <c r="AC18">
        <f t="shared" si="12"/>
        <v>1.2471655328798188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-1.9416876156075589</v>
      </c>
      <c r="N19">
        <f>E22+(O16*COS(O17))</f>
        <v>8.5692360243970249</v>
      </c>
      <c r="O19">
        <f>F22+(O16*SIN(O17))</f>
        <v>13.964821651550507</v>
      </c>
      <c r="Q19">
        <f>E22+(R16*COS(R17))</f>
        <v>13.010407640085653</v>
      </c>
      <c r="R19">
        <f>F22+(R16*SIN(R17))</f>
        <v>11.989592359914344</v>
      </c>
      <c r="Y19" s="1">
        <f t="shared" si="8"/>
        <v>-3024</v>
      </c>
      <c r="Z19">
        <f t="shared" si="9"/>
        <v>-1176</v>
      </c>
      <c r="AA19">
        <f t="shared" si="10"/>
        <v>-0.79365079365079361</v>
      </c>
      <c r="AB19">
        <f t="shared" si="11"/>
        <v>2.0408163265306123</v>
      </c>
      <c r="AC19">
        <f t="shared" si="12"/>
        <v>1.2471655328798188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-1.9416876156075589</v>
      </c>
      <c r="Y20" s="1">
        <f t="shared" si="8"/>
        <v>-3024</v>
      </c>
      <c r="Z20">
        <f t="shared" si="9"/>
        <v>-1176</v>
      </c>
      <c r="AA20">
        <f t="shared" si="10"/>
        <v>-0.79365079365079361</v>
      </c>
      <c r="AB20">
        <f t="shared" si="11"/>
        <v>2.0408163265306123</v>
      </c>
      <c r="AC20">
        <f t="shared" si="12"/>
        <v>1.2471655328798188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-1.9416876156075589</v>
      </c>
      <c r="Y21" s="1"/>
      <c r="Z21">
        <f t="shared" si="9"/>
        <v>-1176</v>
      </c>
      <c r="AB21">
        <f t="shared" si="11"/>
        <v>2.0408163265306123</v>
      </c>
    </row>
    <row r="22" spans="1:29" x14ac:dyDescent="0.25">
      <c r="D22" s="5">
        <f>SUM(D13:D21)</f>
        <v>504</v>
      </c>
      <c r="E22" s="5">
        <f>SUM(E14:E21)/D22</f>
        <v>7</v>
      </c>
      <c r="F22" s="5">
        <f>SUM(F14:F21)/D22</f>
        <v>18</v>
      </c>
      <c r="G22" s="5">
        <f>SUM(G14:G21)</f>
        <v>217728</v>
      </c>
      <c r="H22" s="5">
        <f>SUM(H14:H21)</f>
        <v>32928</v>
      </c>
      <c r="I22" s="5">
        <f>SUM(I14:I21)</f>
        <v>63504</v>
      </c>
      <c r="J22" s="5">
        <f>SUM(J14:J21)</f>
        <v>250656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36</v>
      </c>
      <c r="U37" s="1">
        <f>T37</f>
        <v>36</v>
      </c>
    </row>
    <row r="38" spans="1:21" x14ac:dyDescent="0.25">
      <c r="A38">
        <v>2</v>
      </c>
      <c r="B38" s="17">
        <f>'Rigid Bearing Plate Analysis'!B38</f>
        <v>3</v>
      </c>
      <c r="C38" s="17">
        <f>'Rigid Bearing Plate Analysis'!C38</f>
        <v>9</v>
      </c>
      <c r="D38" s="17" t="str">
        <f>'Rigid Bearing Plate Analysis'!D38</f>
        <v>y</v>
      </c>
      <c r="Q38" s="12">
        <f t="shared" ref="Q38:R48" si="14">IF($D38="y",B38,NA())</f>
        <v>3</v>
      </c>
      <c r="R38" s="12">
        <f t="shared" si="14"/>
        <v>9</v>
      </c>
    </row>
    <row r="39" spans="1:21" x14ac:dyDescent="0.25">
      <c r="A39">
        <v>3</v>
      </c>
      <c r="B39" s="17">
        <f>'Rigid Bearing Plate Analysis'!B39</f>
        <v>11</v>
      </c>
      <c r="C39" s="17">
        <f>'Rigid Bearing Plate Analysis'!C39</f>
        <v>3</v>
      </c>
      <c r="D39" s="17" t="str">
        <f>'Rigid Bearing Plate Analysis'!D39</f>
        <v>y</v>
      </c>
      <c r="Q39" s="12">
        <f t="shared" si="14"/>
        <v>11</v>
      </c>
      <c r="R39" s="12">
        <f t="shared" si="14"/>
        <v>3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9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9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15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15</v>
      </c>
    </row>
    <row r="42" spans="1:21" x14ac:dyDescent="0.25">
      <c r="A42">
        <v>6</v>
      </c>
      <c r="B42" s="17">
        <f>'Rigid Bearing Plate Analysis'!B42</f>
        <v>3</v>
      </c>
      <c r="C42" s="17">
        <f>'Rigid Bearing Plate Analysis'!C42</f>
        <v>21</v>
      </c>
      <c r="D42" s="17" t="str">
        <f>'Rigid Bearing Plate Analysis'!D42</f>
        <v>y</v>
      </c>
      <c r="Q42" s="12">
        <f t="shared" si="14"/>
        <v>3</v>
      </c>
      <c r="R42" s="12">
        <f t="shared" si="14"/>
        <v>21</v>
      </c>
    </row>
    <row r="43" spans="1:21" x14ac:dyDescent="0.25">
      <c r="A43">
        <v>7</v>
      </c>
      <c r="B43" s="17">
        <f>'Rigid Bearing Plate Analysis'!B43</f>
        <v>11</v>
      </c>
      <c r="C43" s="17">
        <f>'Rigid Bearing Plate Analysis'!C43</f>
        <v>21</v>
      </c>
      <c r="D43" s="17" t="str">
        <f>'Rigid Bearing Plate Analysis'!D43</f>
        <v>y</v>
      </c>
      <c r="Q43" s="12">
        <f t="shared" si="14"/>
        <v>11</v>
      </c>
      <c r="R43" s="12">
        <f t="shared" si="14"/>
        <v>21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15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15</v>
      </c>
    </row>
    <row r="45" spans="1:21" x14ac:dyDescent="0.25">
      <c r="A45">
        <v>9</v>
      </c>
      <c r="B45" s="17">
        <f>'Rigid Bearing Plate Analysis'!B45</f>
        <v>3</v>
      </c>
      <c r="C45" s="17">
        <f>'Rigid Bearing Plate Analysis'!C45</f>
        <v>27</v>
      </c>
      <c r="D45" s="17" t="str">
        <f>'Rigid Bearing Plate Analysis'!D45</f>
        <v>y</v>
      </c>
      <c r="Q45" s="12">
        <f t="shared" si="14"/>
        <v>3</v>
      </c>
      <c r="R45" s="12">
        <f t="shared" si="14"/>
        <v>27</v>
      </c>
    </row>
    <row r="46" spans="1:21" x14ac:dyDescent="0.25">
      <c r="A46">
        <v>10</v>
      </c>
      <c r="B46" s="17">
        <f>'Rigid Bearing Plate Analysis'!B46</f>
        <v>3</v>
      </c>
      <c r="C46" s="17">
        <f>'Rigid Bearing Plate Analysis'!C46</f>
        <v>33</v>
      </c>
      <c r="D46" s="17" t="str">
        <f>'Rigid Bearing Plate Analysis'!D46</f>
        <v>y</v>
      </c>
      <c r="Q46" s="12">
        <f t="shared" si="14"/>
        <v>3</v>
      </c>
      <c r="R46" s="12">
        <f t="shared" si="14"/>
        <v>33</v>
      </c>
    </row>
    <row r="47" spans="1:21" x14ac:dyDescent="0.25">
      <c r="A47">
        <v>11</v>
      </c>
      <c r="B47" s="17">
        <f>'Rigid Bearing Plate Analysis'!B47</f>
        <v>11</v>
      </c>
      <c r="C47" s="17">
        <f>'Rigid Bearing Plate Analysis'!C47</f>
        <v>27</v>
      </c>
      <c r="D47" s="17" t="str">
        <f>'Rigid Bearing Plate Analysis'!D47</f>
        <v>y</v>
      </c>
      <c r="Q47" s="12">
        <f t="shared" si="14"/>
        <v>11</v>
      </c>
      <c r="R47" s="12">
        <f t="shared" si="14"/>
        <v>27</v>
      </c>
    </row>
    <row r="48" spans="1:21" x14ac:dyDescent="0.25">
      <c r="A48">
        <v>12</v>
      </c>
      <c r="B48" s="17">
        <f>'Rigid Bearing Plate Analysis'!B48</f>
        <v>11</v>
      </c>
      <c r="C48" s="17">
        <f>'Rigid Bearing Plate Analysis'!C48</f>
        <v>33</v>
      </c>
      <c r="D48" s="17" t="str">
        <f>'Rigid Bearing Plate Analysis'!D48</f>
        <v>y</v>
      </c>
      <c r="Q48" s="12">
        <f t="shared" si="14"/>
        <v>11</v>
      </c>
      <c r="R48" s="12">
        <f t="shared" si="14"/>
        <v>33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1.7051201210291647</v>
      </c>
      <c r="C64" t="s">
        <v>19</v>
      </c>
      <c r="D64" t="s">
        <v>34</v>
      </c>
      <c r="H64" s="17">
        <f>DEGREES(B64)</f>
        <v>97.696186497807261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Analysis'!B65-'Rigid Bearing Plate Analysis'!C175</f>
        <v>6.1864355038695882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5.5250000000000004</v>
      </c>
      <c r="C66" t="s">
        <v>11</v>
      </c>
      <c r="D66">
        <f>B66/B53</f>
        <v>1.3560675915647805E-3</v>
      </c>
      <c r="I66" s="20"/>
    </row>
    <row r="67" spans="1:18" x14ac:dyDescent="0.25">
      <c r="A67" s="1" t="s">
        <v>37</v>
      </c>
      <c r="B67" s="17">
        <f>'Rigid Bearing Plate Analysis'!B67</f>
        <v>54.091431170546485</v>
      </c>
      <c r="C67" t="s">
        <v>36</v>
      </c>
      <c r="D67" t="s">
        <v>122</v>
      </c>
      <c r="G67" s="20">
        <f ca="1">($B$56*$B$66*$B$55*$E$122)/$B$65</f>
        <v>19.419480197918322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-18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-18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-18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-18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18</v>
      </c>
      <c r="H75" s="1">
        <f t="shared" si="18"/>
        <v>3</v>
      </c>
      <c r="I75" s="4">
        <f t="shared" si="19"/>
        <v>-7</v>
      </c>
      <c r="J75" s="4">
        <f t="shared" si="20"/>
        <v>-18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18</v>
      </c>
      <c r="H76" s="1">
        <f t="shared" si="18"/>
        <v>4</v>
      </c>
      <c r="I76" s="4">
        <f t="shared" si="19"/>
        <v>-7</v>
      </c>
      <c r="J76" s="4">
        <f t="shared" si="20"/>
        <v>-18</v>
      </c>
      <c r="Q76" cm="1">
        <f t="array" ref="Q76">(-1*MAX(ABS(B84:C91)))-1</f>
        <v>-19.775299666768252</v>
      </c>
      <c r="R76">
        <f>Q76</f>
        <v>-19.775299666768252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-18</v>
      </c>
      <c r="H77" s="1">
        <f t="shared" si="18"/>
        <v>5</v>
      </c>
      <c r="I77" s="4">
        <f t="shared" si="19"/>
        <v>-7</v>
      </c>
      <c r="J77" s="4">
        <f t="shared" si="20"/>
        <v>-18</v>
      </c>
      <c r="Q77">
        <f>-1*Q76</f>
        <v>19.775299666768252</v>
      </c>
      <c r="R77">
        <f>Q77</f>
        <v>19.775299666768252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-18</v>
      </c>
      <c r="H78" s="1">
        <f t="shared" si="18"/>
        <v>6</v>
      </c>
      <c r="I78" s="4">
        <f t="shared" si="19"/>
        <v>-7</v>
      </c>
      <c r="J78" s="4">
        <f t="shared" si="20"/>
        <v>-18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-18</v>
      </c>
      <c r="H79" s="1">
        <f t="shared" si="18"/>
        <v>7</v>
      </c>
      <c r="I79" s="4">
        <f t="shared" si="19"/>
        <v>-7</v>
      </c>
      <c r="J79" s="4">
        <f t="shared" si="20"/>
        <v>-18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-18</v>
      </c>
      <c r="H80" s="1">
        <f t="shared" si="18"/>
        <v>8</v>
      </c>
      <c r="I80" s="4">
        <f t="shared" si="19"/>
        <v>-7</v>
      </c>
      <c r="J80" s="4">
        <f t="shared" si="20"/>
        <v>-18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-18</v>
      </c>
      <c r="H81" s="1">
        <f t="shared" si="18"/>
        <v>9</v>
      </c>
      <c r="I81" s="4">
        <f t="shared" si="19"/>
        <v>-7</v>
      </c>
      <c r="J81" s="4">
        <f t="shared" si="20"/>
        <v>-18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-16.900416487452443</v>
      </c>
      <c r="C84" s="1">
        <f t="shared" ref="C84:C92" si="23">(-1*B73*SIN($B$64))+(C73*COS($B$64))</f>
        <v>9.3475088954568921</v>
      </c>
      <c r="H84" s="1">
        <f t="shared" ref="H84:H92" si="24">H73</f>
        <v>1</v>
      </c>
      <c r="I84" s="4">
        <f>(I73*COS($B$64))+(J73*SIN($B$64))</f>
        <v>-16.900416487452443</v>
      </c>
      <c r="J84" s="1">
        <f>(-1*I73*SIN($B$64))+(J73*COS($B$64))</f>
        <v>9.3475088954568921</v>
      </c>
    </row>
    <row r="85" spans="1:10" x14ac:dyDescent="0.25">
      <c r="A85" s="1">
        <f t="shared" si="21"/>
        <v>2</v>
      </c>
      <c r="B85" s="4">
        <f t="shared" si="22"/>
        <v>-18.775299666768252</v>
      </c>
      <c r="C85" s="1">
        <f t="shared" si="23"/>
        <v>-4.5263807200733766</v>
      </c>
      <c r="H85" s="1">
        <f t="shared" si="24"/>
        <v>2</v>
      </c>
      <c r="I85" s="4">
        <f t="shared" ref="I85:I92" si="25">(I74*COS($B$64))+(J74*SIN($B$64))</f>
        <v>-16.900416487452443</v>
      </c>
      <c r="J85" s="1">
        <f t="shared" ref="J85:J92" si="26">(-1*I74*SIN($B$64))+(J74*COS($B$64))</f>
        <v>9.3475088954568921</v>
      </c>
    </row>
    <row r="86" spans="1:10" x14ac:dyDescent="0.25">
      <c r="A86" s="1">
        <f t="shared" si="21"/>
        <v>3</v>
      </c>
      <c r="B86" s="4">
        <f t="shared" si="22"/>
        <v>16.900416487452443</v>
      </c>
      <c r="C86" s="1">
        <f t="shared" si="23"/>
        <v>-9.3475088954568921</v>
      </c>
      <c r="H86" s="1">
        <f t="shared" si="24"/>
        <v>3</v>
      </c>
      <c r="I86" s="4">
        <f t="shared" si="25"/>
        <v>-16.900416487452443</v>
      </c>
      <c r="J86" s="1">
        <f t="shared" si="26"/>
        <v>9.3475088954568921</v>
      </c>
    </row>
    <row r="87" spans="1:10" x14ac:dyDescent="0.25">
      <c r="A87" s="1">
        <f t="shared" si="21"/>
        <v>4</v>
      </c>
      <c r="B87" s="4">
        <f t="shared" si="22"/>
        <v>18.775299666768252</v>
      </c>
      <c r="C87" s="1">
        <f t="shared" si="23"/>
        <v>4.5263807200733766</v>
      </c>
      <c r="H87" s="1">
        <f t="shared" si="24"/>
        <v>4</v>
      </c>
      <c r="I87" s="4">
        <f t="shared" si="25"/>
        <v>-16.900416487452443</v>
      </c>
      <c r="J87" s="1">
        <f t="shared" si="26"/>
        <v>9.3475088954568921</v>
      </c>
    </row>
    <row r="88" spans="1:10" x14ac:dyDescent="0.25">
      <c r="A88" s="1">
        <f t="shared" si="21"/>
        <v>5</v>
      </c>
      <c r="B88" s="4">
        <f t="shared" si="22"/>
        <v>-16.900416487452443</v>
      </c>
      <c r="C88" s="1">
        <f t="shared" si="23"/>
        <v>9.3475088954568921</v>
      </c>
      <c r="H88" s="1">
        <f t="shared" si="24"/>
        <v>5</v>
      </c>
      <c r="I88" s="4">
        <f t="shared" si="25"/>
        <v>-16.900416487452443</v>
      </c>
      <c r="J88" s="1">
        <f t="shared" si="26"/>
        <v>9.3475088954568921</v>
      </c>
    </row>
    <row r="89" spans="1:10" x14ac:dyDescent="0.25">
      <c r="A89" s="1">
        <f t="shared" si="21"/>
        <v>6</v>
      </c>
      <c r="B89" s="4">
        <f t="shared" si="22"/>
        <v>-16.900416487452443</v>
      </c>
      <c r="C89" s="1">
        <f t="shared" si="23"/>
        <v>9.3475088954568921</v>
      </c>
      <c r="H89" s="1">
        <f t="shared" si="24"/>
        <v>6</v>
      </c>
      <c r="I89" s="4">
        <f t="shared" si="25"/>
        <v>-16.900416487452443</v>
      </c>
      <c r="J89" s="1">
        <f t="shared" si="26"/>
        <v>9.3475088954568921</v>
      </c>
    </row>
    <row r="90" spans="1:10" x14ac:dyDescent="0.25">
      <c r="A90" s="1">
        <f t="shared" si="21"/>
        <v>7</v>
      </c>
      <c r="B90" s="4">
        <f t="shared" si="22"/>
        <v>-16.900416487452443</v>
      </c>
      <c r="C90" s="1">
        <f t="shared" si="23"/>
        <v>9.3475088954568921</v>
      </c>
      <c r="H90" s="1">
        <f t="shared" si="24"/>
        <v>7</v>
      </c>
      <c r="I90" s="4">
        <f t="shared" si="25"/>
        <v>-16.900416487452443</v>
      </c>
      <c r="J90" s="1">
        <f t="shared" si="26"/>
        <v>9.3475088954568921</v>
      </c>
    </row>
    <row r="91" spans="1:10" x14ac:dyDescent="0.25">
      <c r="A91" s="1">
        <f t="shared" si="21"/>
        <v>8</v>
      </c>
      <c r="B91" s="4">
        <f t="shared" si="22"/>
        <v>-16.900416487452443</v>
      </c>
      <c r="C91" s="1">
        <f t="shared" si="23"/>
        <v>9.3475088954568921</v>
      </c>
      <c r="H91" s="1">
        <f t="shared" si="24"/>
        <v>8</v>
      </c>
      <c r="I91" s="4">
        <f t="shared" si="25"/>
        <v>-16.900416487452443</v>
      </c>
      <c r="J91" s="1">
        <f t="shared" si="26"/>
        <v>9.3475088954568921</v>
      </c>
    </row>
    <row r="92" spans="1:10" x14ac:dyDescent="0.25">
      <c r="A92" s="1">
        <f t="shared" si="21"/>
        <v>9</v>
      </c>
      <c r="B92" s="4">
        <f t="shared" si="22"/>
        <v>-16.900416487452443</v>
      </c>
      <c r="C92" s="1">
        <f t="shared" si="23"/>
        <v>9.3475088954568921</v>
      </c>
      <c r="H92" s="1">
        <f t="shared" si="24"/>
        <v>9</v>
      </c>
      <c r="I92" s="4">
        <f t="shared" si="25"/>
        <v>-16.900416487452443</v>
      </c>
      <c r="J92" s="1">
        <f t="shared" si="26"/>
        <v>9.3475088954568921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-15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-4</v>
      </c>
      <c r="C96" s="4">
        <f t="shared" si="29"/>
        <v>-9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4</v>
      </c>
      <c r="C97" s="4">
        <f t="shared" si="29"/>
        <v>-15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-9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-3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-4</v>
      </c>
      <c r="C100" s="4">
        <f t="shared" si="29"/>
        <v>3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4</v>
      </c>
      <c r="C101" s="4">
        <f t="shared" si="29"/>
        <v>3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-3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-4</v>
      </c>
      <c r="C103" s="4">
        <f t="shared" si="29"/>
        <v>9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-4</v>
      </c>
      <c r="C104" s="4">
        <f t="shared" si="29"/>
        <v>15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4</v>
      </c>
      <c r="C105" s="4">
        <f t="shared" si="29"/>
        <v>9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4</v>
      </c>
      <c r="C106" s="4">
        <f t="shared" si="29"/>
        <v>15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-14.329200822549341</v>
      </c>
      <c r="C110" s="1">
        <f>(-1*B95*SIN($B$64))+(C95*COS($B$64))</f>
        <v>5.9727718679898754</v>
      </c>
      <c r="D110" t="str">
        <f t="shared" ref="D110" si="31">D95</f>
        <v>y</v>
      </c>
      <c r="E110" s="4">
        <f t="shared" ref="E110:E121" si="32">IF($D110="y",$B$125-C110,0)</f>
        <v>-2.8116984764025714</v>
      </c>
      <c r="F110" s="1">
        <f>IF($D110="y",B110,NA())</f>
        <v>-14.329200822549341</v>
      </c>
      <c r="G110" s="1">
        <f>IF($D110="y",C110,NA())</f>
        <v>5.9727718679898754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6.1632472830544743E-4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-8.3832481301792274</v>
      </c>
      <c r="C111" s="1">
        <f t="shared" ref="C111:C121" si="37">(-1*B96*SIN($B$64))+(C96*COS($B$64))</f>
        <v>5.1692505054259561</v>
      </c>
      <c r="D111" t="str">
        <f t="shared" si="35"/>
        <v>y</v>
      </c>
      <c r="E111" s="4">
        <f t="shared" si="32"/>
        <v>-2.0081771138386522</v>
      </c>
      <c r="F111" s="1">
        <f t="shared" ref="F111:G121" si="38">IF($D111="y",B111,NA())</f>
        <v>-8.3832481301792274</v>
      </c>
      <c r="G111" s="1">
        <f t="shared" si="38"/>
        <v>5.1692505054259561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4.4019272495370373E-4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-15.400562639301233</v>
      </c>
      <c r="C112" s="1">
        <f t="shared" si="37"/>
        <v>-1.9551650551702782</v>
      </c>
      <c r="D112" t="str">
        <f t="shared" si="35"/>
        <v>y</v>
      </c>
      <c r="E112" s="4">
        <f t="shared" si="32"/>
        <v>5.1162384467575821</v>
      </c>
      <c r="F112" s="1">
        <f t="shared" si="38"/>
        <v>-15.400562639301233</v>
      </c>
      <c r="G112" s="1">
        <f t="shared" si="38"/>
        <v>-1.9551650551702782</v>
      </c>
      <c r="H112">
        <f t="shared" si="33"/>
        <v>-30.29881193845651</v>
      </c>
      <c r="I112">
        <f t="shared" si="39"/>
        <v>59.239178315246207</v>
      </c>
      <c r="J112">
        <f t="shared" si="40"/>
        <v>-466.61875115460748</v>
      </c>
      <c r="K112">
        <f t="shared" ref="K112:K121" ca="1" si="45">H112/$B$55</f>
        <v>-90.590048795719454</v>
      </c>
      <c r="L112">
        <f t="shared" ca="1" si="41"/>
        <v>-3.1237947860592915E-3</v>
      </c>
      <c r="M112">
        <f t="shared" si="34"/>
        <v>-1.1214802359171159E-3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-9.4546099469311198</v>
      </c>
      <c r="C113" s="1">
        <f t="shared" si="37"/>
        <v>-2.7586864177341974</v>
      </c>
      <c r="D113" t="str">
        <f t="shared" si="35"/>
        <v>y</v>
      </c>
      <c r="E113" s="4">
        <f t="shared" si="32"/>
        <v>5.9197598093215014</v>
      </c>
      <c r="F113" s="1">
        <f t="shared" si="38"/>
        <v>-9.4546099469311198</v>
      </c>
      <c r="G113" s="1">
        <f t="shared" si="38"/>
        <v>-2.7586864177341974</v>
      </c>
      <c r="H113">
        <f t="shared" si="33"/>
        <v>-35.057335784874503</v>
      </c>
      <c r="I113">
        <f t="shared" si="39"/>
        <v>96.712196071680339</v>
      </c>
      <c r="J113">
        <f t="shared" si="40"/>
        <v>-331.45343562457879</v>
      </c>
      <c r="K113">
        <f t="shared" ca="1" si="45"/>
        <v>-104.81750128851712</v>
      </c>
      <c r="L113">
        <f t="shared" ca="1" si="41"/>
        <v>-3.614396596155763E-3</v>
      </c>
      <c r="M113">
        <f t="shared" si="34"/>
        <v>-1.2976122392688598E-3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-2.4372954378091114</v>
      </c>
      <c r="C114" s="1">
        <f t="shared" si="37"/>
        <v>4.3657291428620368</v>
      </c>
      <c r="D114" t="str">
        <f t="shared" si="35"/>
        <v>y</v>
      </c>
      <c r="E114" s="4">
        <f t="shared" si="32"/>
        <v>-1.2046557512747329</v>
      </c>
      <c r="F114" s="1">
        <f t="shared" si="38"/>
        <v>-2.4372954378091114</v>
      </c>
      <c r="G114" s="1">
        <f t="shared" si="38"/>
        <v>4.3657291428620368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2.6406072160195998E-4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3.5086572545610037</v>
      </c>
      <c r="C115" s="1">
        <f t="shared" si="37"/>
        <v>3.5622077802981171</v>
      </c>
      <c r="D115" t="str">
        <f t="shared" si="35"/>
        <v>y</v>
      </c>
      <c r="E115" s="4">
        <f t="shared" si="32"/>
        <v>-0.40113438871081319</v>
      </c>
      <c r="F115" s="1">
        <f t="shared" si="38"/>
        <v>3.5086572545610037</v>
      </c>
      <c r="G115" s="1">
        <f t="shared" si="38"/>
        <v>3.5622077802981171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8.7928718250216141E-5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2.4372954378091114</v>
      </c>
      <c r="C116" s="1">
        <f t="shared" si="37"/>
        <v>-4.3657291428620368</v>
      </c>
      <c r="D116" t="str">
        <f t="shared" si="35"/>
        <v>y</v>
      </c>
      <c r="E116" s="4">
        <f t="shared" si="32"/>
        <v>7.5268025344493408</v>
      </c>
      <c r="F116" s="1">
        <f t="shared" si="38"/>
        <v>2.4372954378091114</v>
      </c>
      <c r="G116" s="1">
        <f t="shared" si="38"/>
        <v>-4.3657291428620368</v>
      </c>
      <c r="H116">
        <f t="shared" si="33"/>
        <v>-44.574383477710498</v>
      </c>
      <c r="I116">
        <f t="shared" si="39"/>
        <v>194.59968497374879</v>
      </c>
      <c r="J116">
        <f t="shared" si="40"/>
        <v>108.64094149337762</v>
      </c>
      <c r="K116">
        <f t="shared" ca="1" si="45"/>
        <v>-133.27240627411248</v>
      </c>
      <c r="L116">
        <f t="shared" ca="1" si="41"/>
        <v>-4.5956002163487063E-3</v>
      </c>
      <c r="M116">
        <f t="shared" si="34"/>
        <v>-1.6498762459723473E-3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-3.5086572545610037</v>
      </c>
      <c r="C117" s="1">
        <f t="shared" si="37"/>
        <v>-3.5622077802981171</v>
      </c>
      <c r="D117" t="str">
        <f t="shared" si="35"/>
        <v>y</v>
      </c>
      <c r="E117" s="4">
        <f t="shared" si="32"/>
        <v>6.7232811718854215</v>
      </c>
      <c r="F117" s="1">
        <f t="shared" si="38"/>
        <v>-3.5086572545610037</v>
      </c>
      <c r="G117" s="1">
        <f t="shared" si="38"/>
        <v>-3.5622077802981171</v>
      </c>
      <c r="H117">
        <f t="shared" si="33"/>
        <v>-39.815859631292504</v>
      </c>
      <c r="I117">
        <f t="shared" si="39"/>
        <v>141.83236495784789</v>
      </c>
      <c r="J117">
        <f t="shared" si="40"/>
        <v>-139.70020474191705</v>
      </c>
      <c r="K117">
        <f t="shared" ca="1" si="45"/>
        <v>-119.0449537813148</v>
      </c>
      <c r="L117">
        <f t="shared" ca="1" si="41"/>
        <v>-4.1049984062522344E-3</v>
      </c>
      <c r="M117">
        <f t="shared" si="34"/>
        <v>-1.4737442426206037E-3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9.4546099469311198</v>
      </c>
      <c r="C118" s="1">
        <f t="shared" si="37"/>
        <v>2.7586864177341974</v>
      </c>
      <c r="D118" t="str">
        <f t="shared" si="35"/>
        <v>y</v>
      </c>
      <c r="E118" s="4">
        <f t="shared" si="32"/>
        <v>0.40238697385310651</v>
      </c>
      <c r="F118" s="1">
        <f t="shared" si="38"/>
        <v>9.4546099469311198</v>
      </c>
      <c r="G118" s="1">
        <f t="shared" si="38"/>
        <v>2.7586864177341974</v>
      </c>
      <c r="H118">
        <f t="shared" si="33"/>
        <v>-2.3829708826386851</v>
      </c>
      <c r="I118">
        <f t="shared" si="39"/>
        <v>-6.5738694077914124</v>
      </c>
      <c r="J118">
        <f t="shared" si="40"/>
        <v>22.53006021024294</v>
      </c>
      <c r="K118">
        <f t="shared" ca="1" si="45"/>
        <v>-7.1248156190250356</v>
      </c>
      <c r="L118">
        <f t="shared" ca="1" si="41"/>
        <v>-2.4568329720775983E-4</v>
      </c>
      <c r="M118">
        <f t="shared" si="34"/>
        <v>-8.8203285101527695E-5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15.400562639301233</v>
      </c>
      <c r="C119" s="1">
        <f t="shared" si="37"/>
        <v>1.9551650551702782</v>
      </c>
      <c r="D119" t="str">
        <f t="shared" si="35"/>
        <v>y</v>
      </c>
      <c r="E119" s="4">
        <f t="shared" si="32"/>
        <v>1.2059083364170258</v>
      </c>
      <c r="F119" s="1">
        <f t="shared" si="38"/>
        <v>15.400562639301233</v>
      </c>
      <c r="G119" s="1">
        <f t="shared" si="38"/>
        <v>1.9551650551702782</v>
      </c>
      <c r="H119">
        <f t="shared" si="33"/>
        <v>-7.1414947290566797</v>
      </c>
      <c r="I119">
        <f t="shared" si="39"/>
        <v>-13.962800935934354</v>
      </c>
      <c r="J119">
        <f t="shared" si="40"/>
        <v>109.98303691307699</v>
      </c>
      <c r="K119">
        <f t="shared" ca="1" si="45"/>
        <v>-21.352268111822703</v>
      </c>
      <c r="L119">
        <f t="shared" ca="1" si="41"/>
        <v>-7.3628510730423108E-4</v>
      </c>
      <c r="M119">
        <f t="shared" si="34"/>
        <v>-2.6433528845327145E-4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8.3832481301792274</v>
      </c>
      <c r="C120" s="1">
        <f t="shared" si="37"/>
        <v>-5.1692505054259561</v>
      </c>
      <c r="D120" t="str">
        <f t="shared" si="35"/>
        <v>y</v>
      </c>
      <c r="E120" s="4">
        <f t="shared" si="32"/>
        <v>8.33032389701326</v>
      </c>
      <c r="F120" s="1">
        <f t="shared" si="38"/>
        <v>8.3832481301792274</v>
      </c>
      <c r="G120" s="1">
        <f t="shared" si="38"/>
        <v>-5.1692505054259561</v>
      </c>
      <c r="H120">
        <f t="shared" si="33"/>
        <v>-49.332907324128492</v>
      </c>
      <c r="I120">
        <f t="shared" si="39"/>
        <v>255.01415611938305</v>
      </c>
      <c r="J120">
        <f t="shared" si="40"/>
        <v>413.57000308130529</v>
      </c>
      <c r="K120">
        <f t="shared" ca="1" si="45"/>
        <v>-147.49985876691014</v>
      </c>
      <c r="L120">
        <f t="shared" ca="1" si="41"/>
        <v>-5.0862020264451774E-3</v>
      </c>
      <c r="M120">
        <f t="shared" si="34"/>
        <v>-1.8260082493240912E-3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14.329200822549341</v>
      </c>
      <c r="C121" s="1">
        <f t="shared" si="37"/>
        <v>-5.9727718679898754</v>
      </c>
      <c r="D121" t="str">
        <f t="shared" si="35"/>
        <v>y</v>
      </c>
      <c r="E121" s="4">
        <f t="shared" si="32"/>
        <v>9.1338452595771784</v>
      </c>
      <c r="F121" s="1">
        <f t="shared" si="38"/>
        <v>14.329200822549341</v>
      </c>
      <c r="G121" s="1">
        <f t="shared" si="38"/>
        <v>-5.9727718679898754</v>
      </c>
      <c r="H121" s="23">
        <f t="shared" si="33"/>
        <v>-54.091431170546485</v>
      </c>
      <c r="I121" s="23">
        <f t="shared" si="39"/>
        <v>323.07577839475073</v>
      </c>
      <c r="J121" s="23">
        <f t="shared" si="40"/>
        <v>775.08698002186577</v>
      </c>
      <c r="K121">
        <f t="shared" ca="1" si="45"/>
        <v>-161.72731125970779</v>
      </c>
      <c r="L121">
        <f t="shared" ca="1" si="41"/>
        <v>-5.5768038365416476E-3</v>
      </c>
      <c r="M121">
        <f t="shared" si="34"/>
        <v>-2.0021402526758346E-3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9.1338452595771784</v>
      </c>
      <c r="H122">
        <f>SUM(H110:H121)</f>
        <v>-262.69519493870439</v>
      </c>
      <c r="I122">
        <f t="shared" ref="I122:J122" si="46">SUM(I110:I121)</f>
        <v>1049.9366884889314</v>
      </c>
      <c r="J122">
        <f t="shared" si="46"/>
        <v>492.03863019876513</v>
      </c>
      <c r="L122">
        <f ca="1">MIN(L110:L121)</f>
        <v>-5.5768038365416476E-3</v>
      </c>
      <c r="M122">
        <f>MIN(M110:M121)</f>
        <v>-2.0021402526758346E-3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3.1610733915873039</v>
      </c>
      <c r="F125" s="1" t="s">
        <v>27</v>
      </c>
      <c r="G125" s="1" t="s">
        <v>28</v>
      </c>
    </row>
    <row r="126" spans="1:16" x14ac:dyDescent="0.25">
      <c r="F126" s="4">
        <f>MIN(B84:B90)-1</f>
        <v>-19.775299666768252</v>
      </c>
      <c r="G126" s="4">
        <f>B125</f>
        <v>3.1610733915873039</v>
      </c>
    </row>
    <row r="127" spans="1:16" x14ac:dyDescent="0.25">
      <c r="F127" s="4">
        <f>MAX(B84:B90)+1</f>
        <v>19.775299666768252</v>
      </c>
      <c r="G127" s="4">
        <f>G126</f>
        <v>3.1610733915873039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-16.900416487452443</v>
      </c>
      <c r="C132" s="4">
        <f>C84</f>
        <v>9.3475088954568921</v>
      </c>
      <c r="D132" s="4">
        <f t="shared" ref="D132:E139" si="47">B85</f>
        <v>-18.775299666768252</v>
      </c>
      <c r="E132" s="4">
        <f t="shared" si="47"/>
        <v>-4.5263807200733766</v>
      </c>
      <c r="F132" s="4">
        <f t="shared" ref="F132:F139" si="48">($B$66/$B$65)*(C132-$B$125)</f>
        <v>5.5250000000000004</v>
      </c>
      <c r="G132" s="4">
        <f t="shared" ref="G132:G139" si="49">($B$66/$B$65)*(E132-$B$125)</f>
        <v>-6.8655341093200555</v>
      </c>
      <c r="H132" s="4">
        <f>IF(B132=D132,"V",(C132-E132)/(B132-D132))</f>
        <v>7.3998688390778531</v>
      </c>
      <c r="I132" s="4">
        <f>IF(H132="V",0,(-1*B132*H132)+C132)</f>
        <v>134.4083742283938</v>
      </c>
      <c r="J132" s="4">
        <f>IF($F132&gt;=0,B132,IF(AND($F132&lt;0,$G132&gt;=0),IF(H132="V",B132,($B$125-I132)/H132),0))</f>
        <v>-16.900416487452443</v>
      </c>
      <c r="K132" s="4">
        <f>IF($F132&gt;=0,C132,IF(AND($F132&lt;0,$G132&gt;=0),$B$125,0))</f>
        <v>9.3475088954568921</v>
      </c>
      <c r="L132" s="4">
        <f>IF($G132&gt;=0,D132,IF(AND($G132&lt;0,$F132&gt;=0),IF(H132="V",D132,($B$125-I132)/H132),0))</f>
        <v>-17.736436103259649</v>
      </c>
      <c r="M132" s="4">
        <f>IF($G132&gt;=0,E132,IF(AND($G132&lt;0,$F132&gt;=0),$B$125,0))</f>
        <v>3.1610733915873039</v>
      </c>
      <c r="N132" s="4">
        <f>IF(F132&lt;0,0,F132)</f>
        <v>5.5250000000000004</v>
      </c>
      <c r="O132" s="4">
        <f>IF(G132&lt;0,0,G132)</f>
        <v>0</v>
      </c>
      <c r="P132" s="4">
        <f>(1/6)*(M132-K132)*((N132*((2*J132)+L132))+(O132*(J132+(2*L132))))</f>
        <v>293.59112522782436</v>
      </c>
      <c r="Q132" s="4">
        <f>((1/12)*(M132-K132)*(N132*J132*((3*K132)+M132)+N132*L132*(K132+M132)+O132*J132*(K132+M132)+O132*L132*(K132+(3*M132))))</f>
        <v>2134.0076173441935</v>
      </c>
      <c r="R132" s="4">
        <f>((-1/24)*(M132-K132)*(J132*J132*((3*N132)+O132)+2*J132*L132*(N132+O132)+L132*L132*(N132+(3*O132))))</f>
        <v>2522.145934215237</v>
      </c>
    </row>
    <row r="133" spans="1:18" x14ac:dyDescent="0.25">
      <c r="A133" t="s">
        <v>70</v>
      </c>
      <c r="B133" s="4">
        <f t="shared" ref="B133:C138" si="50">D132</f>
        <v>-18.775299666768252</v>
      </c>
      <c r="C133" s="4">
        <f t="shared" si="50"/>
        <v>-4.5263807200733766</v>
      </c>
      <c r="D133" s="4">
        <f t="shared" si="47"/>
        <v>16.900416487452443</v>
      </c>
      <c r="E133" s="4">
        <f t="shared" si="47"/>
        <v>-9.3475088954568921</v>
      </c>
      <c r="F133" s="4">
        <f t="shared" si="48"/>
        <v>-6.8655341093200555</v>
      </c>
      <c r="G133" s="4">
        <f t="shared" si="49"/>
        <v>-11.171201428139231</v>
      </c>
      <c r="H133" s="4">
        <f t="shared" ref="H133:H139" si="51">IF(B133=D133,"V",(C133-E133)/(B133-D133))</f>
        <v>-0.13513753037339213</v>
      </c>
      <c r="I133" s="4">
        <f t="shared" ref="I133:I139" si="52">IF(H133="V",0,(-1*B133*H133)+C133)</f>
        <v>-7.0636283490608101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16.900416487452443</v>
      </c>
      <c r="C134" s="4">
        <f t="shared" si="50"/>
        <v>-9.3475088954568921</v>
      </c>
      <c r="D134" s="4">
        <f t="shared" si="47"/>
        <v>18.775299666768252</v>
      </c>
      <c r="E134" s="4">
        <f t="shared" si="47"/>
        <v>4.5263807200733766</v>
      </c>
      <c r="F134" s="4">
        <f t="shared" si="48"/>
        <v>-11.171201428139231</v>
      </c>
      <c r="G134" s="4">
        <f t="shared" si="49"/>
        <v>1.2193326811808247</v>
      </c>
      <c r="H134" s="4">
        <f t="shared" si="51"/>
        <v>7.3998688390778531</v>
      </c>
      <c r="I134" s="4">
        <f t="shared" si="52"/>
        <v>-134.4083742283938</v>
      </c>
      <c r="J134" s="4">
        <f t="shared" si="53"/>
        <v>18.590795406195948</v>
      </c>
      <c r="K134" s="4">
        <f t="shared" si="54"/>
        <v>3.1610733915873039</v>
      </c>
      <c r="L134" s="4">
        <f t="shared" si="55"/>
        <v>18.775299666768252</v>
      </c>
      <c r="M134" s="4">
        <f t="shared" si="56"/>
        <v>4.5263807200733766</v>
      </c>
      <c r="N134" s="4">
        <f t="shared" si="57"/>
        <v>0</v>
      </c>
      <c r="O134" s="4">
        <f t="shared" si="57"/>
        <v>1.2193326811808247</v>
      </c>
      <c r="P134" s="4">
        <f t="shared" si="58"/>
        <v>15.577027366242927</v>
      </c>
      <c r="Q134" s="4">
        <f t="shared" si="59"/>
        <v>63.430062094905452</v>
      </c>
      <c r="R134" s="4">
        <f t="shared" si="60"/>
        <v>-145.75346081212626</v>
      </c>
    </row>
    <row r="135" spans="1:18" x14ac:dyDescent="0.25">
      <c r="A135" t="s">
        <v>72</v>
      </c>
      <c r="B135" s="4">
        <f t="shared" si="50"/>
        <v>18.775299666768252</v>
      </c>
      <c r="C135" s="4">
        <f t="shared" si="50"/>
        <v>4.5263807200733766</v>
      </c>
      <c r="D135" s="4">
        <f t="shared" si="47"/>
        <v>-16.900416487452443</v>
      </c>
      <c r="E135" s="4">
        <f t="shared" si="47"/>
        <v>9.3475088954568921</v>
      </c>
      <c r="F135" s="4">
        <f t="shared" si="48"/>
        <v>1.2193326811808247</v>
      </c>
      <c r="G135" s="4">
        <f t="shared" si="49"/>
        <v>5.5250000000000004</v>
      </c>
      <c r="H135" s="4">
        <f t="shared" si="51"/>
        <v>-0.13513753037339213</v>
      </c>
      <c r="I135" s="4">
        <f t="shared" si="52"/>
        <v>7.0636283490608101</v>
      </c>
      <c r="J135" s="4">
        <f t="shared" si="53"/>
        <v>18.775299666768252</v>
      </c>
      <c r="K135" s="4">
        <f t="shared" si="54"/>
        <v>4.5263807200733766</v>
      </c>
      <c r="L135" s="4">
        <f t="shared" si="55"/>
        <v>-16.900416487452443</v>
      </c>
      <c r="M135" s="4">
        <f t="shared" si="56"/>
        <v>9.3475088954568921</v>
      </c>
      <c r="N135" s="4">
        <f t="shared" si="57"/>
        <v>1.2193326811808247</v>
      </c>
      <c r="O135" s="4">
        <f t="shared" si="57"/>
        <v>5.5250000000000004</v>
      </c>
      <c r="P135" s="4">
        <f t="shared" si="58"/>
        <v>-46.472966707857701</v>
      </c>
      <c r="Q135" s="4">
        <f t="shared" si="59"/>
        <v>-547.58478130561218</v>
      </c>
      <c r="R135" s="4">
        <f t="shared" si="60"/>
        <v>-811.4585770401626</v>
      </c>
    </row>
    <row r="136" spans="1:18" x14ac:dyDescent="0.25">
      <c r="A136" t="s">
        <v>73</v>
      </c>
      <c r="B136" s="4">
        <f t="shared" si="50"/>
        <v>-16.900416487452443</v>
      </c>
      <c r="C136" s="4">
        <f t="shared" si="50"/>
        <v>9.3475088954568921</v>
      </c>
      <c r="D136" s="4">
        <f t="shared" si="47"/>
        <v>-16.900416487452443</v>
      </c>
      <c r="E136" s="4">
        <f t="shared" si="47"/>
        <v>9.3475088954568921</v>
      </c>
      <c r="F136" s="4">
        <f t="shared" si="48"/>
        <v>5.5250000000000004</v>
      </c>
      <c r="G136" s="4">
        <f t="shared" si="49"/>
        <v>5.5250000000000004</v>
      </c>
      <c r="H136" s="4" t="str">
        <f t="shared" si="51"/>
        <v>V</v>
      </c>
      <c r="I136" s="4">
        <f t="shared" si="52"/>
        <v>0</v>
      </c>
      <c r="J136" s="4">
        <f t="shared" si="53"/>
        <v>-16.900416487452443</v>
      </c>
      <c r="K136" s="4">
        <f t="shared" si="54"/>
        <v>9.3475088954568921</v>
      </c>
      <c r="L136" s="4">
        <f t="shared" si="55"/>
        <v>-16.900416487452443</v>
      </c>
      <c r="M136" s="4">
        <f t="shared" si="56"/>
        <v>9.3475088954568921</v>
      </c>
      <c r="N136" s="4">
        <f t="shared" si="57"/>
        <v>5.5250000000000004</v>
      </c>
      <c r="O136" s="4">
        <f t="shared" si="57"/>
        <v>5.5250000000000004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-16.900416487452443</v>
      </c>
      <c r="C137" s="4">
        <f t="shared" si="50"/>
        <v>9.3475088954568921</v>
      </c>
      <c r="D137" s="4">
        <f t="shared" si="47"/>
        <v>-16.900416487452443</v>
      </c>
      <c r="E137" s="4">
        <f t="shared" si="47"/>
        <v>9.3475088954568921</v>
      </c>
      <c r="F137" s="4">
        <f t="shared" si="48"/>
        <v>5.5250000000000004</v>
      </c>
      <c r="G137" s="4">
        <f t="shared" si="49"/>
        <v>5.5250000000000004</v>
      </c>
      <c r="H137" s="4" t="str">
        <f t="shared" si="51"/>
        <v>V</v>
      </c>
      <c r="I137" s="4">
        <f t="shared" si="52"/>
        <v>0</v>
      </c>
      <c r="J137" s="4">
        <f t="shared" si="53"/>
        <v>-16.900416487452443</v>
      </c>
      <c r="K137" s="4">
        <f t="shared" si="54"/>
        <v>9.3475088954568921</v>
      </c>
      <c r="L137" s="4">
        <f t="shared" si="55"/>
        <v>-16.900416487452443</v>
      </c>
      <c r="M137" s="4">
        <f t="shared" si="56"/>
        <v>9.3475088954568921</v>
      </c>
      <c r="N137" s="4">
        <f t="shared" si="57"/>
        <v>5.5250000000000004</v>
      </c>
      <c r="O137" s="4">
        <f t="shared" si="57"/>
        <v>5.5250000000000004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-16.900416487452443</v>
      </c>
      <c r="C138" s="4">
        <f t="shared" si="50"/>
        <v>9.3475088954568921</v>
      </c>
      <c r="D138" s="4">
        <f t="shared" si="47"/>
        <v>-16.900416487452443</v>
      </c>
      <c r="E138" s="4">
        <f t="shared" si="47"/>
        <v>9.3475088954568921</v>
      </c>
      <c r="F138" s="4">
        <f t="shared" si="48"/>
        <v>5.5250000000000004</v>
      </c>
      <c r="G138" s="4">
        <f t="shared" si="49"/>
        <v>5.5250000000000004</v>
      </c>
      <c r="H138" s="4" t="str">
        <f t="shared" si="51"/>
        <v>V</v>
      </c>
      <c r="I138" s="4">
        <f t="shared" si="52"/>
        <v>0</v>
      </c>
      <c r="J138" s="4">
        <f t="shared" si="53"/>
        <v>-16.900416487452443</v>
      </c>
      <c r="K138" s="4">
        <f t="shared" si="54"/>
        <v>9.3475088954568921</v>
      </c>
      <c r="L138" s="4">
        <f t="shared" si="55"/>
        <v>-16.900416487452443</v>
      </c>
      <c r="M138" s="4">
        <f t="shared" si="56"/>
        <v>9.3475088954568921</v>
      </c>
      <c r="N138" s="4">
        <f t="shared" si="57"/>
        <v>5.5250000000000004</v>
      </c>
      <c r="O138" s="4">
        <f t="shared" si="57"/>
        <v>5.5250000000000004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-16.900416487452443</v>
      </c>
      <c r="C139" s="4">
        <f>E138</f>
        <v>9.3475088954568921</v>
      </c>
      <c r="D139" s="4">
        <f t="shared" si="47"/>
        <v>-16.900416487452443</v>
      </c>
      <c r="E139" s="4">
        <f t="shared" si="47"/>
        <v>9.3475088954568921</v>
      </c>
      <c r="F139" s="4">
        <f t="shared" si="48"/>
        <v>5.5250000000000004</v>
      </c>
      <c r="G139" s="4">
        <f t="shared" si="49"/>
        <v>5.5250000000000004</v>
      </c>
      <c r="H139" s="4" t="str">
        <f t="shared" si="51"/>
        <v>V</v>
      </c>
      <c r="I139" s="4">
        <f t="shared" si="52"/>
        <v>0</v>
      </c>
      <c r="J139" s="4">
        <f t="shared" si="53"/>
        <v>-16.900416487452443</v>
      </c>
      <c r="K139" s="4">
        <f t="shared" si="54"/>
        <v>9.3475088954568921</v>
      </c>
      <c r="L139" s="4">
        <f t="shared" si="55"/>
        <v>-16.900416487452443</v>
      </c>
      <c r="M139" s="4">
        <f t="shared" si="56"/>
        <v>9.3475088954568921</v>
      </c>
      <c r="N139" s="4">
        <f t="shared" si="57"/>
        <v>5.5250000000000004</v>
      </c>
      <c r="O139" s="4">
        <f t="shared" si="57"/>
        <v>5.5250000000000004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262.69518588620957</v>
      </c>
      <c r="Q140" s="4">
        <f>SUM(Q132:Q139)</f>
        <v>1649.8528981334871</v>
      </c>
      <c r="R140" s="4">
        <f>SUM(R132:R139)</f>
        <v>1564.933896362948</v>
      </c>
    </row>
    <row r="142" spans="1:18" x14ac:dyDescent="0.25">
      <c r="O142" t="s">
        <v>96</v>
      </c>
      <c r="P142" s="1">
        <f>-1*R140/P140</f>
        <v>-5.9572233540694688</v>
      </c>
    </row>
    <row r="143" spans="1:18" x14ac:dyDescent="0.25">
      <c r="O143" t="s">
        <v>97</v>
      </c>
      <c r="P143" s="1">
        <f>Q140/P140</f>
        <v>6.2804839478411534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-16.900416487452443</v>
      </c>
      <c r="C146" s="9">
        <f>J84</f>
        <v>9.3475088954568921</v>
      </c>
      <c r="D146" s="9">
        <f t="shared" ref="D146:E153" si="61">I85</f>
        <v>-16.900416487452443</v>
      </c>
      <c r="E146">
        <f t="shared" si="61"/>
        <v>9.3475088954568921</v>
      </c>
      <c r="F146" s="4">
        <f>($B$66/$B$65)*(C146-$B$125)</f>
        <v>5.5250000000000004</v>
      </c>
      <c r="G146" s="4">
        <f>($B$66/$B$65)*(E146-$B$125)</f>
        <v>5.5250000000000004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-16.900416487452443</v>
      </c>
      <c r="K146" s="4">
        <f>IF($F146&gt;=0,C146,IF(AND($F146&lt;0,$G146&gt;=0),$B$125,0))</f>
        <v>9.3475088954568921</v>
      </c>
      <c r="L146" s="4">
        <f>IF($G146&gt;=0,D146,IF(AND($G146&lt;0,$F146&gt;=0),IF(H146="V",D146,($B$125-I146)/H146),0))</f>
        <v>-16.900416487452443</v>
      </c>
      <c r="M146" s="4">
        <f>IF($G146&gt;=0,E146,IF(AND($G146&lt;0,$F146&gt;=0),$B$125,0))</f>
        <v>9.3475088954568921</v>
      </c>
      <c r="N146" s="4">
        <f>IF(F146&lt;0,0,F146)</f>
        <v>5.5250000000000004</v>
      </c>
      <c r="O146" s="4">
        <f>IF(G146&lt;0,0,G146)</f>
        <v>5.5250000000000004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-16.900416487452443</v>
      </c>
      <c r="C147">
        <f t="shared" si="62"/>
        <v>9.3475088954568921</v>
      </c>
      <c r="D147" s="9">
        <f t="shared" si="61"/>
        <v>-16.900416487452443</v>
      </c>
      <c r="E147">
        <f t="shared" si="61"/>
        <v>9.3475088954568921</v>
      </c>
      <c r="F147" s="4">
        <f t="shared" ref="F147:F153" si="63">($B$66/$B$65)*(C147-$B$125)</f>
        <v>5.5250000000000004</v>
      </c>
      <c r="G147" s="4">
        <f t="shared" ref="G147:G153" si="64">($B$66/$B$65)*(E147-$B$125)</f>
        <v>5.5250000000000004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-16.900416487452443</v>
      </c>
      <c r="K147" s="4">
        <f t="shared" ref="K147:K153" si="68">IF($F147&gt;=0,C147,IF(AND($F147&lt;0,$G147&gt;=0),$B$125,0))</f>
        <v>9.3475088954568921</v>
      </c>
      <c r="L147" s="4">
        <f t="shared" ref="L147:L153" si="69">IF($G147&gt;=0,D147,IF(AND($G147&lt;0,$F147&gt;=0),IF(H147="V",D147,($B$125-I147)/H147),0))</f>
        <v>-16.900416487452443</v>
      </c>
      <c r="M147" s="4">
        <f t="shared" ref="M147:M153" si="70">IF($G147&gt;=0,E147,IF(AND($G147&lt;0,$F147&gt;=0),$B$125,0))</f>
        <v>9.3475088954568921</v>
      </c>
      <c r="N147" s="4">
        <f t="shared" ref="N147:O153" si="71">IF(F147&lt;0,0,F147)</f>
        <v>5.5250000000000004</v>
      </c>
      <c r="O147" s="4">
        <f t="shared" si="71"/>
        <v>5.5250000000000004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-16.900416487452443</v>
      </c>
      <c r="C148">
        <f t="shared" si="62"/>
        <v>9.3475088954568921</v>
      </c>
      <c r="D148" s="9">
        <f t="shared" si="61"/>
        <v>-16.900416487452443</v>
      </c>
      <c r="E148">
        <f t="shared" si="61"/>
        <v>9.3475088954568921</v>
      </c>
      <c r="F148" s="4">
        <f t="shared" si="63"/>
        <v>5.5250000000000004</v>
      </c>
      <c r="G148" s="4">
        <f t="shared" si="64"/>
        <v>5.5250000000000004</v>
      </c>
      <c r="H148" s="4" t="str">
        <f t="shared" si="65"/>
        <v>V</v>
      </c>
      <c r="I148" s="4">
        <f t="shared" si="66"/>
        <v>0</v>
      </c>
      <c r="J148" s="4">
        <f t="shared" si="67"/>
        <v>-16.900416487452443</v>
      </c>
      <c r="K148" s="4">
        <f t="shared" si="68"/>
        <v>9.3475088954568921</v>
      </c>
      <c r="L148" s="4">
        <f t="shared" si="69"/>
        <v>-16.900416487452443</v>
      </c>
      <c r="M148" s="4">
        <f t="shared" si="70"/>
        <v>9.3475088954568921</v>
      </c>
      <c r="N148" s="4">
        <f t="shared" si="71"/>
        <v>5.5250000000000004</v>
      </c>
      <c r="O148" s="4">
        <f t="shared" si="71"/>
        <v>5.5250000000000004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-16.900416487452443</v>
      </c>
      <c r="C149">
        <f t="shared" si="62"/>
        <v>9.3475088954568921</v>
      </c>
      <c r="D149" s="9">
        <f t="shared" si="61"/>
        <v>-16.900416487452443</v>
      </c>
      <c r="E149">
        <f t="shared" si="61"/>
        <v>9.3475088954568921</v>
      </c>
      <c r="F149" s="4">
        <f t="shared" si="63"/>
        <v>5.5250000000000004</v>
      </c>
      <c r="G149" s="4">
        <f t="shared" si="64"/>
        <v>5.5250000000000004</v>
      </c>
      <c r="H149" s="4" t="str">
        <f t="shared" si="65"/>
        <v>V</v>
      </c>
      <c r="I149" s="4">
        <f t="shared" si="66"/>
        <v>0</v>
      </c>
      <c r="J149" s="4">
        <f t="shared" si="67"/>
        <v>-16.900416487452443</v>
      </c>
      <c r="K149" s="4">
        <f t="shared" si="68"/>
        <v>9.3475088954568921</v>
      </c>
      <c r="L149" s="4">
        <f t="shared" si="69"/>
        <v>-16.900416487452443</v>
      </c>
      <c r="M149" s="4">
        <f t="shared" si="70"/>
        <v>9.3475088954568921</v>
      </c>
      <c r="N149" s="4">
        <f t="shared" si="71"/>
        <v>5.5250000000000004</v>
      </c>
      <c r="O149" s="4">
        <f t="shared" si="71"/>
        <v>5.5250000000000004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-16.900416487452443</v>
      </c>
      <c r="C150">
        <f t="shared" si="62"/>
        <v>9.3475088954568921</v>
      </c>
      <c r="D150" s="9">
        <f t="shared" si="61"/>
        <v>-16.900416487452443</v>
      </c>
      <c r="E150">
        <f t="shared" si="61"/>
        <v>9.3475088954568921</v>
      </c>
      <c r="F150" s="4">
        <f t="shared" si="63"/>
        <v>5.5250000000000004</v>
      </c>
      <c r="G150" s="4">
        <f t="shared" si="64"/>
        <v>5.5250000000000004</v>
      </c>
      <c r="H150" s="4" t="str">
        <f t="shared" si="65"/>
        <v>V</v>
      </c>
      <c r="I150" s="4">
        <f t="shared" si="66"/>
        <v>0</v>
      </c>
      <c r="J150" s="4">
        <f t="shared" si="67"/>
        <v>-16.900416487452443</v>
      </c>
      <c r="K150" s="4">
        <f t="shared" si="68"/>
        <v>9.3475088954568921</v>
      </c>
      <c r="L150" s="4">
        <f t="shared" si="69"/>
        <v>-16.900416487452443</v>
      </c>
      <c r="M150" s="4">
        <f t="shared" si="70"/>
        <v>9.3475088954568921</v>
      </c>
      <c r="N150" s="4">
        <f t="shared" si="71"/>
        <v>5.5250000000000004</v>
      </c>
      <c r="O150" s="4">
        <f t="shared" si="71"/>
        <v>5.5250000000000004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-16.900416487452443</v>
      </c>
      <c r="C151">
        <f t="shared" si="62"/>
        <v>9.3475088954568921</v>
      </c>
      <c r="D151" s="9">
        <f t="shared" si="61"/>
        <v>-16.900416487452443</v>
      </c>
      <c r="E151">
        <f t="shared" si="61"/>
        <v>9.3475088954568921</v>
      </c>
      <c r="F151" s="4">
        <f t="shared" si="63"/>
        <v>5.5250000000000004</v>
      </c>
      <c r="G151" s="4">
        <f t="shared" si="64"/>
        <v>5.5250000000000004</v>
      </c>
      <c r="H151" s="4" t="str">
        <f t="shared" si="65"/>
        <v>V</v>
      </c>
      <c r="I151" s="4">
        <f t="shared" si="66"/>
        <v>0</v>
      </c>
      <c r="J151" s="4">
        <f t="shared" si="67"/>
        <v>-16.900416487452443</v>
      </c>
      <c r="K151" s="4">
        <f t="shared" si="68"/>
        <v>9.3475088954568921</v>
      </c>
      <c r="L151" s="4">
        <f t="shared" si="69"/>
        <v>-16.900416487452443</v>
      </c>
      <c r="M151" s="4">
        <f t="shared" si="70"/>
        <v>9.3475088954568921</v>
      </c>
      <c r="N151" s="4">
        <f t="shared" si="71"/>
        <v>5.5250000000000004</v>
      </c>
      <c r="O151" s="4">
        <f t="shared" si="71"/>
        <v>5.5250000000000004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-16.900416487452443</v>
      </c>
      <c r="C152">
        <f t="shared" si="62"/>
        <v>9.3475088954568921</v>
      </c>
      <c r="D152" s="9">
        <f t="shared" si="61"/>
        <v>-16.900416487452443</v>
      </c>
      <c r="E152">
        <f t="shared" si="61"/>
        <v>9.3475088954568921</v>
      </c>
      <c r="F152" s="4">
        <f t="shared" si="63"/>
        <v>5.5250000000000004</v>
      </c>
      <c r="G152" s="4">
        <f t="shared" si="64"/>
        <v>5.5250000000000004</v>
      </c>
      <c r="H152" s="4" t="str">
        <f t="shared" si="65"/>
        <v>V</v>
      </c>
      <c r="I152" s="4">
        <f t="shared" si="66"/>
        <v>0</v>
      </c>
      <c r="J152" s="4">
        <f t="shared" si="67"/>
        <v>-16.900416487452443</v>
      </c>
      <c r="K152" s="4">
        <f t="shared" si="68"/>
        <v>9.3475088954568921</v>
      </c>
      <c r="L152" s="4">
        <f t="shared" si="69"/>
        <v>-16.900416487452443</v>
      </c>
      <c r="M152" s="4">
        <f t="shared" si="70"/>
        <v>9.3475088954568921</v>
      </c>
      <c r="N152" s="4">
        <f t="shared" si="71"/>
        <v>5.5250000000000004</v>
      </c>
      <c r="O152" s="4">
        <f t="shared" si="71"/>
        <v>5.5250000000000004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-16.900416487452443</v>
      </c>
      <c r="C153">
        <f t="shared" si="62"/>
        <v>9.3475088954568921</v>
      </c>
      <c r="D153" s="9">
        <f t="shared" si="61"/>
        <v>-16.900416487452443</v>
      </c>
      <c r="E153">
        <f t="shared" si="61"/>
        <v>9.3475088954568921</v>
      </c>
      <c r="F153" s="4">
        <f t="shared" si="63"/>
        <v>5.5250000000000004</v>
      </c>
      <c r="G153" s="4">
        <f t="shared" si="64"/>
        <v>5.5250000000000004</v>
      </c>
      <c r="H153" s="4" t="str">
        <f t="shared" si="65"/>
        <v>V</v>
      </c>
      <c r="I153" s="4">
        <f t="shared" si="66"/>
        <v>0</v>
      </c>
      <c r="J153" s="4">
        <f t="shared" si="67"/>
        <v>-16.900416487452443</v>
      </c>
      <c r="K153" s="4">
        <f t="shared" si="68"/>
        <v>9.3475088954568921</v>
      </c>
      <c r="L153" s="4">
        <f t="shared" si="69"/>
        <v>-16.900416487452443</v>
      </c>
      <c r="M153" s="4">
        <f t="shared" si="70"/>
        <v>9.3475088954568921</v>
      </c>
      <c r="N153" s="4">
        <f t="shared" si="71"/>
        <v>5.5250000000000004</v>
      </c>
      <c r="O153" s="4">
        <f t="shared" si="71"/>
        <v>5.5250000000000004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-9.0524948177517217E-6</v>
      </c>
      <c r="C159" t="s">
        <v>36</v>
      </c>
    </row>
    <row r="160" spans="1:18" x14ac:dyDescent="0.25">
      <c r="A160" s="1" t="s">
        <v>106</v>
      </c>
      <c r="B160" s="4">
        <f>Q140+I122+Q154-O122</f>
        <v>2699.7895866224185</v>
      </c>
      <c r="C160" t="s">
        <v>102</v>
      </c>
    </row>
    <row r="161" spans="1:9" x14ac:dyDescent="0.25">
      <c r="A161" s="1" t="s">
        <v>107</v>
      </c>
      <c r="B161" s="4">
        <f>R140+J122+R154-P122</f>
        <v>2056.972526561713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-9.0524948177517217E-6</v>
      </c>
      <c r="C164" t="s">
        <v>36</v>
      </c>
      <c r="E164" s="8">
        <f>B2-B164</f>
        <v>9.0524948177517217E-6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-2399.9999899532836</v>
      </c>
      <c r="C165" t="s">
        <v>102</v>
      </c>
      <c r="E165" s="8">
        <f>B3+B165</f>
        <v>1.0046716397482669E-5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2399.9999656851587</v>
      </c>
      <c r="C166" t="s">
        <v>102</v>
      </c>
      <c r="E166" s="8">
        <f>B4+B166</f>
        <v>-3.4314841286686715E-5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5.5250000000000004</v>
      </c>
      <c r="B169" s="1">
        <f ca="1">IF(E122=0,0,(MIN(H110:H121)*B65)/(B55*B56*E122))</f>
        <v>-15.389451940598557</v>
      </c>
      <c r="C169" s="3">
        <f ca="1">A169+B169</f>
        <v>-9.8644519405985562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2.529101852378573E-8</v>
      </c>
      <c r="C175" s="27">
        <f>B65*SQRT(I175)</f>
        <v>9.1759667248625073E-8</v>
      </c>
      <c r="D175" s="27">
        <f>B66*SQRT(I175)</f>
        <v>8.1948993282407074E-8</v>
      </c>
      <c r="E175" s="27">
        <f>B67*SQRT(I175)</f>
        <v>8.0230558002369209E-7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1.7051201463201833</v>
      </c>
      <c r="C176" s="3">
        <f>B65+C175</f>
        <v>6.1864355956292556</v>
      </c>
      <c r="D176" s="3">
        <f>D175+B66</f>
        <v>5.5250000819489937</v>
      </c>
      <c r="E176" s="3">
        <f>B67+E175</f>
        <v>54.091431972852064</v>
      </c>
      <c r="F176" s="16" t="s">
        <v>125</v>
      </c>
    </row>
    <row r="177" spans="1:13" x14ac:dyDescent="0.25">
      <c r="B177" s="27">
        <f>B176-B64</f>
        <v>2.5291018612705329E-8</v>
      </c>
      <c r="C177" s="27">
        <f>C176-B65</f>
        <v>9.1759667419921698E-8</v>
      </c>
      <c r="D177" s="27">
        <f>D176-B66</f>
        <v>8.1948993368996526E-8</v>
      </c>
      <c r="E177" s="27">
        <f>E176-B67</f>
        <v>8.0230557841787231E-7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-47.54664128739266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16.900416505188179</v>
      </c>
      <c r="B181" s="25">
        <f>(d_alpha_p!E136-d_alpha_m!E136)/(2*B177)</f>
        <v>16.900416505188179</v>
      </c>
      <c r="C181" s="25">
        <f>(d_alpha_p!E137-d_alpha_m!E137)/(2*B177)</f>
        <v>16.900416505188179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-9.0524948177517217E-6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-1.0046716397482669E-5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3.4314841286686715E-5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9.8644519405985562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-47.54664128739266</v>
      </c>
      <c r="B190" s="25">
        <f>A181</f>
        <v>16.900416505188179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16.900416505188179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16.900416505188179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-47.54664128739266</v>
      </c>
      <c r="B201" s="25">
        <f t="shared" ref="B201:C201" si="77">B190</f>
        <v>16.900416505188179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16.900416505188179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16.900416505188179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4830C-FAFD-4803-B6CC-DCECCD59B126}">
  <sheetPr codeName="Sheet5"/>
  <dimension ref="A1:AC208"/>
  <sheetViews>
    <sheetView topLeftCell="A154" workbookViewId="0">
      <selection activeCell="D173" sqref="D17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2400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0.79365079365079361</v>
      </c>
      <c r="J3" t="s">
        <v>11</v>
      </c>
    </row>
    <row r="4" spans="1:29" x14ac:dyDescent="0.25">
      <c r="A4" s="10" t="s">
        <v>80</v>
      </c>
      <c r="B4" s="17">
        <f>'Rigid Bearing Plate Analysis'!B4</f>
        <v>-2400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-2.0408163265306123</v>
      </c>
      <c r="J4" t="s">
        <v>11</v>
      </c>
    </row>
    <row r="5" spans="1:29" x14ac:dyDescent="0.25">
      <c r="A5" s="10" t="s">
        <v>104</v>
      </c>
      <c r="B5" s="20">
        <f>ATAN2(B3,B4)</f>
        <v>-0.78539816339744828</v>
      </c>
      <c r="C5" t="s">
        <v>19</v>
      </c>
      <c r="I5">
        <f>SUM(I2:I4)</f>
        <v>-1.2471655328798188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18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20.784609690826528</v>
      </c>
      <c r="L13" s="4">
        <f>SQRT(H22/D22)</f>
        <v>8.0829037686547611</v>
      </c>
      <c r="M13" s="4">
        <f>SQRT(J22/D22)</f>
        <v>22.300971578236975</v>
      </c>
      <c r="N13" s="19">
        <f>G22-(D22*C9*C9)</f>
        <v>54432</v>
      </c>
      <c r="O13" s="19">
        <f>H22-(D22*B9*B9)</f>
        <v>8232</v>
      </c>
      <c r="P13" s="19">
        <f>I22-(D22*B9*C9)</f>
        <v>0</v>
      </c>
      <c r="Q13" s="19">
        <f>N13+O13</f>
        <v>62664</v>
      </c>
      <c r="R13" s="19">
        <f>SQRT(ABS(N13/D22))</f>
        <v>10.392304845413264</v>
      </c>
      <c r="S13" s="19">
        <f>SQRT(O13/D22)</f>
        <v>4.0414518843273806</v>
      </c>
      <c r="T13" s="19">
        <f>SQRT(Q13/D22)</f>
        <v>11.150485789118488</v>
      </c>
      <c r="U13" s="19">
        <f>N13/(MAX(C13:C20)-C9)</f>
        <v>3024</v>
      </c>
      <c r="V13" s="19">
        <f>N13/(MIN(C13:C20)-C9)</f>
        <v>-3024</v>
      </c>
      <c r="W13" s="19">
        <f>O13/(MIN(B13:B20)-B9)</f>
        <v>-1176</v>
      </c>
      <c r="X13" s="19">
        <f>O13/(MAX(B13:B20)-B9)</f>
        <v>1176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-1.1999050379822342</v>
      </c>
      <c r="Y14" s="1">
        <f>$N$13/(C14-$C$9)</f>
        <v>-3024</v>
      </c>
      <c r="Z14">
        <f>$O$13/(B14-$B$9)</f>
        <v>1176</v>
      </c>
      <c r="AA14">
        <f>$B$3/Y14</f>
        <v>-0.79365079365079361</v>
      </c>
      <c r="AB14">
        <f>$B$4/Z14</f>
        <v>-2.0408163265306123</v>
      </c>
      <c r="AC14">
        <f>$I$2+AA14+AB14</f>
        <v>-2.8344671201814058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36</v>
      </c>
      <c r="D15" s="5">
        <f t="shared" ref="D15:D21" si="0">((B14*C15)-(B15*C14))*0.5</f>
        <v>252</v>
      </c>
      <c r="E15" s="5">
        <f t="shared" ref="E15:E21" si="1">(B15+B14)*((B14*C15)-(B15*C14))*(1/6)</f>
        <v>2352</v>
      </c>
      <c r="F15" s="5">
        <f t="shared" ref="F15:F21" si="2">(C15+C14)*((B14*C15)-(B15*C14))*(1/6)</f>
        <v>3024</v>
      </c>
      <c r="G15" s="5">
        <f t="shared" ref="G15:G21" si="3">(((C14*C14)+(C14*C15)+(C15*C15))*((B14*C15)-(B15*C14)))/12</f>
        <v>54432</v>
      </c>
      <c r="H15" s="5">
        <f t="shared" ref="H15:H21" si="4">(((B14*B14)+(B14*B15)+(B15*B15))*((B14*C15)-(B15*C14)))/12</f>
        <v>24696</v>
      </c>
      <c r="I15" s="5">
        <f t="shared" ref="I15:I21" si="5">(((B14*C15)+(2*B14*C14)+(2*B15*C15)+(B15*C14))*((B14*C15)-(B15*C14)))/24</f>
        <v>31752</v>
      </c>
      <c r="J15" s="5">
        <f t="shared" ref="J15:J21" si="6">G15+H15</f>
        <v>79128</v>
      </c>
      <c r="K15">
        <f t="shared" ref="K15:K21" si="7">ATAN2((B15-$E$22),(C15-$F$22))</f>
        <v>1.1999050379822342</v>
      </c>
      <c r="N15" t="s">
        <v>136</v>
      </c>
      <c r="O15">
        <v>4</v>
      </c>
      <c r="Y15" s="1">
        <f t="shared" ref="Y15:Y20" si="8">$N$13/(C15-$C$9)</f>
        <v>3024</v>
      </c>
      <c r="Z15">
        <f t="shared" ref="Z15:Z21" si="9">$O$13/(B15-$B$9)</f>
        <v>1176</v>
      </c>
      <c r="AA15">
        <f t="shared" ref="AA15:AA20" si="10">$B$3/Y15</f>
        <v>0.79365079365079361</v>
      </c>
      <c r="AB15">
        <f t="shared" ref="AB15:AB21" si="11">$B$4/Z15</f>
        <v>-2.0408163265306123</v>
      </c>
      <c r="AC15">
        <f t="shared" ref="AC15:AC20" si="12">$I$2+AA15+AB15</f>
        <v>-1.2471655328798188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1.9416876156075589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3024</v>
      </c>
      <c r="Z16">
        <f t="shared" si="9"/>
        <v>-1176</v>
      </c>
      <c r="AA16">
        <f t="shared" si="10"/>
        <v>0.79365079365079361</v>
      </c>
      <c r="AB16">
        <f t="shared" si="11"/>
        <v>2.0408163265306123</v>
      </c>
      <c r="AC16">
        <f t="shared" si="12"/>
        <v>2.8344671201814058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-1.9416876156075589</v>
      </c>
      <c r="N17" t="s">
        <v>137</v>
      </c>
      <c r="O17">
        <f>K14</f>
        <v>-1.1999050379822342</v>
      </c>
      <c r="Q17" t="s">
        <v>137</v>
      </c>
      <c r="R17">
        <f>U16</f>
        <v>5.497787143782138</v>
      </c>
      <c r="Y17" s="1">
        <f t="shared" si="8"/>
        <v>-3024</v>
      </c>
      <c r="Z17">
        <f t="shared" si="9"/>
        <v>-1176</v>
      </c>
      <c r="AA17">
        <f t="shared" si="10"/>
        <v>-0.79365079365079361</v>
      </c>
      <c r="AB17">
        <f t="shared" si="11"/>
        <v>2.0408163265306123</v>
      </c>
      <c r="AC17">
        <f t="shared" si="12"/>
        <v>1.2471655328798188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-1.9416876156075589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-3024</v>
      </c>
      <c r="Z18">
        <f t="shared" si="9"/>
        <v>-1176</v>
      </c>
      <c r="AA18">
        <f t="shared" si="10"/>
        <v>-0.79365079365079361</v>
      </c>
      <c r="AB18">
        <f t="shared" si="11"/>
        <v>2.0408163265306123</v>
      </c>
      <c r="AC18">
        <f t="shared" si="12"/>
        <v>1.2471655328798188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-1.9416876156075589</v>
      </c>
      <c r="N19">
        <f>E22+(O16*COS(O17))</f>
        <v>8.5692360243970249</v>
      </c>
      <c r="O19">
        <f>F22+(O16*SIN(O17))</f>
        <v>13.964821651550507</v>
      </c>
      <c r="Q19">
        <f>E22+(R16*COS(R17))</f>
        <v>13.010407640085653</v>
      </c>
      <c r="R19">
        <f>F22+(R16*SIN(R17))</f>
        <v>11.989592359914344</v>
      </c>
      <c r="Y19" s="1">
        <f t="shared" si="8"/>
        <v>-3024</v>
      </c>
      <c r="Z19">
        <f t="shared" si="9"/>
        <v>-1176</v>
      </c>
      <c r="AA19">
        <f t="shared" si="10"/>
        <v>-0.79365079365079361</v>
      </c>
      <c r="AB19">
        <f t="shared" si="11"/>
        <v>2.0408163265306123</v>
      </c>
      <c r="AC19">
        <f t="shared" si="12"/>
        <v>1.2471655328798188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-1.9416876156075589</v>
      </c>
      <c r="Y20" s="1">
        <f t="shared" si="8"/>
        <v>-3024</v>
      </c>
      <c r="Z20">
        <f t="shared" si="9"/>
        <v>-1176</v>
      </c>
      <c r="AA20">
        <f t="shared" si="10"/>
        <v>-0.79365079365079361</v>
      </c>
      <c r="AB20">
        <f t="shared" si="11"/>
        <v>2.0408163265306123</v>
      </c>
      <c r="AC20">
        <f t="shared" si="12"/>
        <v>1.2471655328798188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-1.9416876156075589</v>
      </c>
      <c r="Y21" s="1"/>
      <c r="Z21">
        <f t="shared" si="9"/>
        <v>-1176</v>
      </c>
      <c r="AB21">
        <f t="shared" si="11"/>
        <v>2.0408163265306123</v>
      </c>
    </row>
    <row r="22" spans="1:29" x14ac:dyDescent="0.25">
      <c r="D22" s="5">
        <f>SUM(D13:D21)</f>
        <v>504</v>
      </c>
      <c r="E22" s="5">
        <f>SUM(E14:E21)/D22</f>
        <v>7</v>
      </c>
      <c r="F22" s="5">
        <f>SUM(F14:F21)/D22</f>
        <v>18</v>
      </c>
      <c r="G22" s="5">
        <f>SUM(G14:G21)</f>
        <v>217728</v>
      </c>
      <c r="H22" s="5">
        <f>SUM(H14:H21)</f>
        <v>32928</v>
      </c>
      <c r="I22" s="5">
        <f>SUM(I14:I21)</f>
        <v>63504</v>
      </c>
      <c r="J22" s="5">
        <f>SUM(J14:J21)</f>
        <v>250656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36</v>
      </c>
      <c r="U37" s="1">
        <f>T37</f>
        <v>36</v>
      </c>
    </row>
    <row r="38" spans="1:21" x14ac:dyDescent="0.25">
      <c r="A38">
        <v>2</v>
      </c>
      <c r="B38" s="17">
        <f>'Rigid Bearing Plate Analysis'!B38</f>
        <v>3</v>
      </c>
      <c r="C38" s="17">
        <f>'Rigid Bearing Plate Analysis'!C38</f>
        <v>9</v>
      </c>
      <c r="D38" s="17" t="str">
        <f>'Rigid Bearing Plate Analysis'!D38</f>
        <v>y</v>
      </c>
      <c r="Q38" s="12">
        <f t="shared" ref="Q38:R48" si="14">IF($D38="y",B38,NA())</f>
        <v>3</v>
      </c>
      <c r="R38" s="12">
        <f t="shared" si="14"/>
        <v>9</v>
      </c>
    </row>
    <row r="39" spans="1:21" x14ac:dyDescent="0.25">
      <c r="A39">
        <v>3</v>
      </c>
      <c r="B39" s="17">
        <f>'Rigid Bearing Plate Analysis'!B39</f>
        <v>11</v>
      </c>
      <c r="C39" s="17">
        <f>'Rigid Bearing Plate Analysis'!C39</f>
        <v>3</v>
      </c>
      <c r="D39" s="17" t="str">
        <f>'Rigid Bearing Plate Analysis'!D39</f>
        <v>y</v>
      </c>
      <c r="Q39" s="12">
        <f t="shared" si="14"/>
        <v>11</v>
      </c>
      <c r="R39" s="12">
        <f t="shared" si="14"/>
        <v>3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9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9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15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15</v>
      </c>
    </row>
    <row r="42" spans="1:21" x14ac:dyDescent="0.25">
      <c r="A42">
        <v>6</v>
      </c>
      <c r="B42" s="17">
        <f>'Rigid Bearing Plate Analysis'!B42</f>
        <v>3</v>
      </c>
      <c r="C42" s="17">
        <f>'Rigid Bearing Plate Analysis'!C42</f>
        <v>21</v>
      </c>
      <c r="D42" s="17" t="str">
        <f>'Rigid Bearing Plate Analysis'!D42</f>
        <v>y</v>
      </c>
      <c r="Q42" s="12">
        <f t="shared" si="14"/>
        <v>3</v>
      </c>
      <c r="R42" s="12">
        <f t="shared" si="14"/>
        <v>21</v>
      </c>
    </row>
    <row r="43" spans="1:21" x14ac:dyDescent="0.25">
      <c r="A43">
        <v>7</v>
      </c>
      <c r="B43" s="17">
        <f>'Rigid Bearing Plate Analysis'!B43</f>
        <v>11</v>
      </c>
      <c r="C43" s="17">
        <f>'Rigid Bearing Plate Analysis'!C43</f>
        <v>21</v>
      </c>
      <c r="D43" s="17" t="str">
        <f>'Rigid Bearing Plate Analysis'!D43</f>
        <v>y</v>
      </c>
      <c r="Q43" s="12">
        <f t="shared" si="14"/>
        <v>11</v>
      </c>
      <c r="R43" s="12">
        <f t="shared" si="14"/>
        <v>21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15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15</v>
      </c>
    </row>
    <row r="45" spans="1:21" x14ac:dyDescent="0.25">
      <c r="A45">
        <v>9</v>
      </c>
      <c r="B45" s="17">
        <f>'Rigid Bearing Plate Analysis'!B45</f>
        <v>3</v>
      </c>
      <c r="C45" s="17">
        <f>'Rigid Bearing Plate Analysis'!C45</f>
        <v>27</v>
      </c>
      <c r="D45" s="17" t="str">
        <f>'Rigid Bearing Plate Analysis'!D45</f>
        <v>y</v>
      </c>
      <c r="Q45" s="12">
        <f t="shared" si="14"/>
        <v>3</v>
      </c>
      <c r="R45" s="12">
        <f t="shared" si="14"/>
        <v>27</v>
      </c>
    </row>
    <row r="46" spans="1:21" x14ac:dyDescent="0.25">
      <c r="A46">
        <v>10</v>
      </c>
      <c r="B46" s="17">
        <f>'Rigid Bearing Plate Analysis'!B46</f>
        <v>3</v>
      </c>
      <c r="C46" s="17">
        <f>'Rigid Bearing Plate Analysis'!C46</f>
        <v>33</v>
      </c>
      <c r="D46" s="17" t="str">
        <f>'Rigid Bearing Plate Analysis'!D46</f>
        <v>y</v>
      </c>
      <c r="Q46" s="12">
        <f t="shared" si="14"/>
        <v>3</v>
      </c>
      <c r="R46" s="12">
        <f t="shared" si="14"/>
        <v>33</v>
      </c>
    </row>
    <row r="47" spans="1:21" x14ac:dyDescent="0.25">
      <c r="A47">
        <v>11</v>
      </c>
      <c r="B47" s="17">
        <f>'Rigid Bearing Plate Analysis'!B47</f>
        <v>11</v>
      </c>
      <c r="C47" s="17">
        <f>'Rigid Bearing Plate Analysis'!C47</f>
        <v>27</v>
      </c>
      <c r="D47" s="17" t="str">
        <f>'Rigid Bearing Plate Analysis'!D47</f>
        <v>y</v>
      </c>
      <c r="Q47" s="12">
        <f t="shared" si="14"/>
        <v>11</v>
      </c>
      <c r="R47" s="12">
        <f t="shared" si="14"/>
        <v>27</v>
      </c>
    </row>
    <row r="48" spans="1:21" x14ac:dyDescent="0.25">
      <c r="A48">
        <v>12</v>
      </c>
      <c r="B48" s="17">
        <f>'Rigid Bearing Plate Analysis'!B48</f>
        <v>11</v>
      </c>
      <c r="C48" s="17">
        <f>'Rigid Bearing Plate Analysis'!C48</f>
        <v>33</v>
      </c>
      <c r="D48" s="17" t="str">
        <f>'Rigid Bearing Plate Analysis'!D48</f>
        <v>y</v>
      </c>
      <c r="Q48" s="12">
        <f t="shared" si="14"/>
        <v>11</v>
      </c>
      <c r="R48" s="12">
        <f t="shared" si="14"/>
        <v>33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1.7051201210291647</v>
      </c>
      <c r="C64" t="s">
        <v>19</v>
      </c>
      <c r="D64" t="s">
        <v>34</v>
      </c>
      <c r="H64" s="17">
        <f>DEGREES(B64)</f>
        <v>97.696186497807261</v>
      </c>
      <c r="I64" t="s">
        <v>41</v>
      </c>
    </row>
    <row r="65" spans="1:18" x14ac:dyDescent="0.25">
      <c r="A65" s="1" t="s">
        <v>40</v>
      </c>
      <c r="B65" s="17">
        <f>'Rigid Bearing Plate Analysis'!B65</f>
        <v>6.1864355956292565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5.5250000000000004</v>
      </c>
      <c r="C66" t="s">
        <v>11</v>
      </c>
      <c r="D66">
        <f>B66/B53</f>
        <v>1.3560675915647805E-3</v>
      </c>
      <c r="I66" s="20"/>
    </row>
    <row r="67" spans="1:18" ht="15.75" thickBot="1" x14ac:dyDescent="0.3">
      <c r="A67" s="34" t="s">
        <v>37</v>
      </c>
      <c r="B67" s="33">
        <f>'Rigid Bearing Plate Analysis'!B67+'Rigid Bearing Plate Analysis'!E175</f>
        <v>54.091431972852064</v>
      </c>
      <c r="C67" t="s">
        <v>36</v>
      </c>
      <c r="D67" t="s">
        <v>122</v>
      </c>
      <c r="G67" s="20">
        <f ca="1">($B$56*$B$66*$B$55*$E$122)/$B$65</f>
        <v>19.419479714790537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-18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-18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-18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-18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18</v>
      </c>
      <c r="H75" s="1">
        <f t="shared" si="18"/>
        <v>3</v>
      </c>
      <c r="I75" s="4">
        <f t="shared" si="19"/>
        <v>-7</v>
      </c>
      <c r="J75" s="4">
        <f t="shared" si="20"/>
        <v>-18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18</v>
      </c>
      <c r="H76" s="1">
        <f t="shared" si="18"/>
        <v>4</v>
      </c>
      <c r="I76" s="4">
        <f t="shared" si="19"/>
        <v>-7</v>
      </c>
      <c r="J76" s="4">
        <f t="shared" si="20"/>
        <v>-18</v>
      </c>
      <c r="Q76" cm="1">
        <f t="array" ref="Q76">(-1*MAX(ABS(B84:C91)))-1</f>
        <v>-19.775299666768252</v>
      </c>
      <c r="R76">
        <f>Q76</f>
        <v>-19.775299666768252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-18</v>
      </c>
      <c r="H77" s="1">
        <f t="shared" si="18"/>
        <v>5</v>
      </c>
      <c r="I77" s="4">
        <f t="shared" si="19"/>
        <v>-7</v>
      </c>
      <c r="J77" s="4">
        <f t="shared" si="20"/>
        <v>-18</v>
      </c>
      <c r="Q77">
        <f>-1*Q76</f>
        <v>19.775299666768252</v>
      </c>
      <c r="R77">
        <f>Q77</f>
        <v>19.775299666768252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-18</v>
      </c>
      <c r="H78" s="1">
        <f t="shared" si="18"/>
        <v>6</v>
      </c>
      <c r="I78" s="4">
        <f t="shared" si="19"/>
        <v>-7</v>
      </c>
      <c r="J78" s="4">
        <f t="shared" si="20"/>
        <v>-18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-18</v>
      </c>
      <c r="H79" s="1">
        <f t="shared" si="18"/>
        <v>7</v>
      </c>
      <c r="I79" s="4">
        <f t="shared" si="19"/>
        <v>-7</v>
      </c>
      <c r="J79" s="4">
        <f t="shared" si="20"/>
        <v>-18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-18</v>
      </c>
      <c r="H80" s="1">
        <f t="shared" si="18"/>
        <v>8</v>
      </c>
      <c r="I80" s="4">
        <f t="shared" si="19"/>
        <v>-7</v>
      </c>
      <c r="J80" s="4">
        <f t="shared" si="20"/>
        <v>-18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-18</v>
      </c>
      <c r="H81" s="1">
        <f t="shared" si="18"/>
        <v>9</v>
      </c>
      <c r="I81" s="4">
        <f t="shared" si="19"/>
        <v>-7</v>
      </c>
      <c r="J81" s="4">
        <f t="shared" si="20"/>
        <v>-18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-16.900416487452443</v>
      </c>
      <c r="C84" s="1">
        <f t="shared" ref="C84:C92" si="23">(-1*B73*SIN($B$64))+(C73*COS($B$64))</f>
        <v>9.3475088954568921</v>
      </c>
      <c r="H84" s="1">
        <f t="shared" ref="H84:H92" si="24">H73</f>
        <v>1</v>
      </c>
      <c r="I84" s="4">
        <f>(I73*COS($B$64))+(J73*SIN($B$64))</f>
        <v>-16.900416487452443</v>
      </c>
      <c r="J84" s="1">
        <f>(-1*I73*SIN($B$64))+(J73*COS($B$64))</f>
        <v>9.3475088954568921</v>
      </c>
    </row>
    <row r="85" spans="1:10" x14ac:dyDescent="0.25">
      <c r="A85" s="1">
        <f t="shared" si="21"/>
        <v>2</v>
      </c>
      <c r="B85" s="4">
        <f t="shared" si="22"/>
        <v>-18.775299666768252</v>
      </c>
      <c r="C85" s="1">
        <f t="shared" si="23"/>
        <v>-4.5263807200733766</v>
      </c>
      <c r="H85" s="1">
        <f t="shared" si="24"/>
        <v>2</v>
      </c>
      <c r="I85" s="4">
        <f t="shared" ref="I85:I92" si="25">(I74*COS($B$64))+(J74*SIN($B$64))</f>
        <v>-16.900416487452443</v>
      </c>
      <c r="J85" s="1">
        <f t="shared" ref="J85:J92" si="26">(-1*I74*SIN($B$64))+(J74*COS($B$64))</f>
        <v>9.3475088954568921</v>
      </c>
    </row>
    <row r="86" spans="1:10" x14ac:dyDescent="0.25">
      <c r="A86" s="1">
        <f t="shared" si="21"/>
        <v>3</v>
      </c>
      <c r="B86" s="4">
        <f t="shared" si="22"/>
        <v>16.900416487452443</v>
      </c>
      <c r="C86" s="1">
        <f t="shared" si="23"/>
        <v>-9.3475088954568921</v>
      </c>
      <c r="H86" s="1">
        <f t="shared" si="24"/>
        <v>3</v>
      </c>
      <c r="I86" s="4">
        <f t="shared" si="25"/>
        <v>-16.900416487452443</v>
      </c>
      <c r="J86" s="1">
        <f t="shared" si="26"/>
        <v>9.3475088954568921</v>
      </c>
    </row>
    <row r="87" spans="1:10" x14ac:dyDescent="0.25">
      <c r="A87" s="1">
        <f t="shared" si="21"/>
        <v>4</v>
      </c>
      <c r="B87" s="4">
        <f t="shared" si="22"/>
        <v>18.775299666768252</v>
      </c>
      <c r="C87" s="1">
        <f t="shared" si="23"/>
        <v>4.5263807200733766</v>
      </c>
      <c r="H87" s="1">
        <f t="shared" si="24"/>
        <v>4</v>
      </c>
      <c r="I87" s="4">
        <f t="shared" si="25"/>
        <v>-16.900416487452443</v>
      </c>
      <c r="J87" s="1">
        <f t="shared" si="26"/>
        <v>9.3475088954568921</v>
      </c>
    </row>
    <row r="88" spans="1:10" x14ac:dyDescent="0.25">
      <c r="A88" s="1">
        <f t="shared" si="21"/>
        <v>5</v>
      </c>
      <c r="B88" s="4">
        <f t="shared" si="22"/>
        <v>-16.900416487452443</v>
      </c>
      <c r="C88" s="1">
        <f t="shared" si="23"/>
        <v>9.3475088954568921</v>
      </c>
      <c r="H88" s="1">
        <f t="shared" si="24"/>
        <v>5</v>
      </c>
      <c r="I88" s="4">
        <f t="shared" si="25"/>
        <v>-16.900416487452443</v>
      </c>
      <c r="J88" s="1">
        <f t="shared" si="26"/>
        <v>9.3475088954568921</v>
      </c>
    </row>
    <row r="89" spans="1:10" x14ac:dyDescent="0.25">
      <c r="A89" s="1">
        <f t="shared" si="21"/>
        <v>6</v>
      </c>
      <c r="B89" s="4">
        <f t="shared" si="22"/>
        <v>-16.900416487452443</v>
      </c>
      <c r="C89" s="1">
        <f t="shared" si="23"/>
        <v>9.3475088954568921</v>
      </c>
      <c r="H89" s="1">
        <f t="shared" si="24"/>
        <v>6</v>
      </c>
      <c r="I89" s="4">
        <f t="shared" si="25"/>
        <v>-16.900416487452443</v>
      </c>
      <c r="J89" s="1">
        <f t="shared" si="26"/>
        <v>9.3475088954568921</v>
      </c>
    </row>
    <row r="90" spans="1:10" x14ac:dyDescent="0.25">
      <c r="A90" s="1">
        <f t="shared" si="21"/>
        <v>7</v>
      </c>
      <c r="B90" s="4">
        <f t="shared" si="22"/>
        <v>-16.900416487452443</v>
      </c>
      <c r="C90" s="1">
        <f t="shared" si="23"/>
        <v>9.3475088954568921</v>
      </c>
      <c r="H90" s="1">
        <f t="shared" si="24"/>
        <v>7</v>
      </c>
      <c r="I90" s="4">
        <f t="shared" si="25"/>
        <v>-16.900416487452443</v>
      </c>
      <c r="J90" s="1">
        <f t="shared" si="26"/>
        <v>9.3475088954568921</v>
      </c>
    </row>
    <row r="91" spans="1:10" x14ac:dyDescent="0.25">
      <c r="A91" s="1">
        <f t="shared" si="21"/>
        <v>8</v>
      </c>
      <c r="B91" s="4">
        <f t="shared" si="22"/>
        <v>-16.900416487452443</v>
      </c>
      <c r="C91" s="1">
        <f t="shared" si="23"/>
        <v>9.3475088954568921</v>
      </c>
      <c r="H91" s="1">
        <f t="shared" si="24"/>
        <v>8</v>
      </c>
      <c r="I91" s="4">
        <f t="shared" si="25"/>
        <v>-16.900416487452443</v>
      </c>
      <c r="J91" s="1">
        <f t="shared" si="26"/>
        <v>9.3475088954568921</v>
      </c>
    </row>
    <row r="92" spans="1:10" x14ac:dyDescent="0.25">
      <c r="A92" s="1">
        <f t="shared" si="21"/>
        <v>9</v>
      </c>
      <c r="B92" s="4">
        <f t="shared" si="22"/>
        <v>-16.900416487452443</v>
      </c>
      <c r="C92" s="1">
        <f t="shared" si="23"/>
        <v>9.3475088954568921</v>
      </c>
      <c r="H92" s="1">
        <f t="shared" si="24"/>
        <v>9</v>
      </c>
      <c r="I92" s="4">
        <f t="shared" si="25"/>
        <v>-16.900416487452443</v>
      </c>
      <c r="J92" s="1">
        <f t="shared" si="26"/>
        <v>9.3475088954568921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-15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-4</v>
      </c>
      <c r="C96" s="4">
        <f t="shared" si="29"/>
        <v>-9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4</v>
      </c>
      <c r="C97" s="4">
        <f t="shared" si="29"/>
        <v>-15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-9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-3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-4</v>
      </c>
      <c r="C100" s="4">
        <f t="shared" si="29"/>
        <v>3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4</v>
      </c>
      <c r="C101" s="4">
        <f t="shared" si="29"/>
        <v>3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-3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-4</v>
      </c>
      <c r="C103" s="4">
        <f t="shared" si="29"/>
        <v>9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-4</v>
      </c>
      <c r="C104" s="4">
        <f t="shared" si="29"/>
        <v>15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4</v>
      </c>
      <c r="C105" s="4">
        <f t="shared" si="29"/>
        <v>9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4</v>
      </c>
      <c r="C106" s="4">
        <f t="shared" si="29"/>
        <v>15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-14.329200822549341</v>
      </c>
      <c r="C110" s="1">
        <f>(-1*B95*SIN($B$64))+(C95*COS($B$64))</f>
        <v>5.9727718679898754</v>
      </c>
      <c r="D110" t="str">
        <f t="shared" ref="D110" si="31">D95</f>
        <v>y</v>
      </c>
      <c r="E110" s="4">
        <f t="shared" ref="E110:E121" si="32">IF($D110="y",$B$125-C110,0)</f>
        <v>-2.8116985681622397</v>
      </c>
      <c r="F110" s="1">
        <f>IF($D110="y",B110,NA())</f>
        <v>-14.329200822549341</v>
      </c>
      <c r="G110" s="1">
        <f>IF($D110="y",C110,NA())</f>
        <v>5.9727718679898754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6.1632473927760725E-4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-8.3832481301792274</v>
      </c>
      <c r="C111" s="1">
        <f t="shared" ref="C111:C121" si="37">(-1*B96*SIN($B$64))+(C96*COS($B$64))</f>
        <v>5.1692505054259561</v>
      </c>
      <c r="D111" t="str">
        <f t="shared" si="35"/>
        <v>y</v>
      </c>
      <c r="E111" s="4">
        <f t="shared" si="32"/>
        <v>-2.0081772055983205</v>
      </c>
      <c r="F111" s="1">
        <f t="shared" ref="F111:G121" si="38">IF($D111="y",B111,NA())</f>
        <v>-8.3832481301792274</v>
      </c>
      <c r="G111" s="1">
        <f t="shared" si="38"/>
        <v>5.1692505054259561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4.4019273853832327E-4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-15.400562639301233</v>
      </c>
      <c r="C112" s="1">
        <f t="shared" si="37"/>
        <v>-1.9551650551702782</v>
      </c>
      <c r="D112" t="str">
        <f t="shared" si="35"/>
        <v>y</v>
      </c>
      <c r="E112" s="4">
        <f t="shared" si="32"/>
        <v>5.1162383549979138</v>
      </c>
      <c r="F112" s="1">
        <f t="shared" si="38"/>
        <v>-15.400562639301233</v>
      </c>
      <c r="G112" s="1">
        <f t="shared" si="38"/>
        <v>-1.9551650551702782</v>
      </c>
      <c r="H112">
        <f t="shared" si="33"/>
        <v>-30.298812148837094</v>
      </c>
      <c r="I112">
        <f t="shared" si="39"/>
        <v>59.23917872657497</v>
      </c>
      <c r="J112">
        <f t="shared" si="40"/>
        <v>-466.61875439458686</v>
      </c>
      <c r="K112">
        <f t="shared" ref="K112:K121" ca="1" si="45">H112/$B$55</f>
        <v>-90.590049424733806</v>
      </c>
      <c r="L112">
        <f t="shared" ca="1" si="41"/>
        <v>-3.1237948077494416E-3</v>
      </c>
      <c r="M112">
        <f t="shared" si="34"/>
        <v>-1.1214801991691432E-3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-9.4546099469311198</v>
      </c>
      <c r="C113" s="1">
        <f t="shared" si="37"/>
        <v>-2.7586864177341974</v>
      </c>
      <c r="D113" t="str">
        <f t="shared" si="35"/>
        <v>y</v>
      </c>
      <c r="E113" s="4">
        <f t="shared" si="32"/>
        <v>5.9197597175618331</v>
      </c>
      <c r="F113" s="1">
        <f t="shared" si="38"/>
        <v>-9.4546099469311198</v>
      </c>
      <c r="G113" s="1">
        <f t="shared" si="38"/>
        <v>-2.7586864177341974</v>
      </c>
      <c r="H113">
        <f t="shared" si="33"/>
        <v>-35.057336113640083</v>
      </c>
      <c r="I113">
        <f t="shared" si="39"/>
        <v>96.712196978641472</v>
      </c>
      <c r="J113">
        <f t="shared" si="40"/>
        <v>-331.4534387329291</v>
      </c>
      <c r="K113">
        <f t="shared" ca="1" si="45"/>
        <v>-104.81750227148933</v>
      </c>
      <c r="L113">
        <f t="shared" ca="1" si="41"/>
        <v>-3.6143966300513563E-3</v>
      </c>
      <c r="M113">
        <f t="shared" si="34"/>
        <v>-1.2976121999084271E-3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-2.4372954378091114</v>
      </c>
      <c r="C114" s="1">
        <f t="shared" si="37"/>
        <v>4.3657291428620368</v>
      </c>
      <c r="D114" t="str">
        <f t="shared" si="35"/>
        <v>y</v>
      </c>
      <c r="E114" s="4">
        <f t="shared" si="32"/>
        <v>-1.2046558430344012</v>
      </c>
      <c r="F114" s="1">
        <f t="shared" si="38"/>
        <v>-2.4372954378091114</v>
      </c>
      <c r="G114" s="1">
        <f t="shared" si="38"/>
        <v>4.3657291428620368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2.6406073779903935E-4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3.5086572545610037</v>
      </c>
      <c r="C115" s="1">
        <f t="shared" si="37"/>
        <v>3.5622077802981171</v>
      </c>
      <c r="D115" t="str">
        <f t="shared" si="35"/>
        <v>y</v>
      </c>
      <c r="E115" s="4">
        <f t="shared" si="32"/>
        <v>-0.4011344804704815</v>
      </c>
      <c r="F115" s="1">
        <f t="shared" si="38"/>
        <v>3.5086572545610037</v>
      </c>
      <c r="G115" s="1">
        <f t="shared" si="38"/>
        <v>3.5622077802981171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8.7928737059755273E-5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2.4372954378091114</v>
      </c>
      <c r="C116" s="1">
        <f t="shared" si="37"/>
        <v>-4.3657291428620368</v>
      </c>
      <c r="D116" t="str">
        <f t="shared" si="35"/>
        <v>y</v>
      </c>
      <c r="E116" s="4">
        <f t="shared" si="32"/>
        <v>7.5268024426896725</v>
      </c>
      <c r="F116" s="1">
        <f t="shared" si="38"/>
        <v>2.4372954378091114</v>
      </c>
      <c r="G116" s="1">
        <f t="shared" si="38"/>
        <v>-4.3657291428620368</v>
      </c>
      <c r="H116">
        <f t="shared" si="33"/>
        <v>-44.574384043246077</v>
      </c>
      <c r="I116">
        <f t="shared" si="39"/>
        <v>194.59968744272396</v>
      </c>
      <c r="J116">
        <f t="shared" si="40"/>
        <v>108.64094287175492</v>
      </c>
      <c r="K116">
        <f t="shared" ca="1" si="45"/>
        <v>-133.27240796500041</v>
      </c>
      <c r="L116">
        <f t="shared" ca="1" si="41"/>
        <v>-4.5956002746551866E-3</v>
      </c>
      <c r="M116">
        <f t="shared" si="34"/>
        <v>-1.6498762013869954E-3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-3.5086572545610037</v>
      </c>
      <c r="C117" s="1">
        <f t="shared" si="37"/>
        <v>-3.5622077802981171</v>
      </c>
      <c r="D117" t="str">
        <f t="shared" si="35"/>
        <v>y</v>
      </c>
      <c r="E117" s="4">
        <f t="shared" si="32"/>
        <v>6.7232810801257532</v>
      </c>
      <c r="F117" s="1">
        <f t="shared" si="38"/>
        <v>-3.5086572545610037</v>
      </c>
      <c r="G117" s="1">
        <f t="shared" si="38"/>
        <v>-3.5622077802981171</v>
      </c>
      <c r="H117">
        <f t="shared" si="33"/>
        <v>-39.81586007844308</v>
      </c>
      <c r="I117">
        <f t="shared" si="39"/>
        <v>141.83236655069115</v>
      </c>
      <c r="J117">
        <f t="shared" si="40"/>
        <v>-139.70020631081516</v>
      </c>
      <c r="K117">
        <f t="shared" ca="1" si="45"/>
        <v>-119.04495511824487</v>
      </c>
      <c r="L117">
        <f t="shared" ca="1" si="41"/>
        <v>-4.1049984523532715E-3</v>
      </c>
      <c r="M117">
        <f t="shared" si="34"/>
        <v>-1.4737442006477113E-3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9.4546099469311198</v>
      </c>
      <c r="C118" s="1">
        <f t="shared" si="37"/>
        <v>2.7586864177341974</v>
      </c>
      <c r="D118" t="str">
        <f t="shared" si="35"/>
        <v>y</v>
      </c>
      <c r="E118" s="4">
        <f t="shared" si="32"/>
        <v>0.4023868820934382</v>
      </c>
      <c r="F118" s="1">
        <f t="shared" si="38"/>
        <v>9.4546099469311198</v>
      </c>
      <c r="G118" s="1">
        <f t="shared" si="38"/>
        <v>2.7586864177341974</v>
      </c>
      <c r="H118">
        <f t="shared" si="33"/>
        <v>-2.3829703985146558</v>
      </c>
      <c r="I118">
        <f t="shared" si="39"/>
        <v>-6.5738680722450287</v>
      </c>
      <c r="J118">
        <f t="shared" si="40"/>
        <v>22.53005563303908</v>
      </c>
      <c r="K118">
        <f t="shared" ca="1" si="45"/>
        <v>-7.1248141715484961</v>
      </c>
      <c r="L118">
        <f t="shared" ca="1" si="41"/>
        <v>-2.4568324729477571E-4</v>
      </c>
      <c r="M118">
        <f t="shared" si="34"/>
        <v>-8.8203263679528796E-5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15.400562639301233</v>
      </c>
      <c r="C119" s="1">
        <f t="shared" si="37"/>
        <v>1.9551650551702782</v>
      </c>
      <c r="D119" t="str">
        <f t="shared" si="35"/>
        <v>y</v>
      </c>
      <c r="E119" s="4">
        <f t="shared" si="32"/>
        <v>1.2059082446573575</v>
      </c>
      <c r="F119" s="1">
        <f t="shared" si="38"/>
        <v>15.400562639301233</v>
      </c>
      <c r="G119" s="1">
        <f t="shared" si="38"/>
        <v>1.9551650551702782</v>
      </c>
      <c r="H119">
        <f t="shared" si="33"/>
        <v>-7.1414943633176478</v>
      </c>
      <c r="I119">
        <f t="shared" si="39"/>
        <v>-13.962800220854179</v>
      </c>
      <c r="J119">
        <f t="shared" si="40"/>
        <v>109.98303128049011</v>
      </c>
      <c r="K119">
        <f t="shared" ca="1" si="45"/>
        <v>-21.352267018304026</v>
      </c>
      <c r="L119">
        <f t="shared" ca="1" si="41"/>
        <v>-7.3628506959669054E-4</v>
      </c>
      <c r="M119">
        <f t="shared" si="34"/>
        <v>-2.6433526441881278E-4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8.3832481301792274</v>
      </c>
      <c r="C120" s="1">
        <f t="shared" si="37"/>
        <v>-5.1692505054259561</v>
      </c>
      <c r="D120" t="str">
        <f t="shared" si="35"/>
        <v>y</v>
      </c>
      <c r="E120" s="4">
        <f t="shared" si="32"/>
        <v>8.3303238052535917</v>
      </c>
      <c r="F120" s="1">
        <f t="shared" si="38"/>
        <v>8.3832481301792274</v>
      </c>
      <c r="G120" s="1">
        <f t="shared" si="38"/>
        <v>-5.1692505054259561</v>
      </c>
      <c r="H120">
        <f t="shared" si="33"/>
        <v>-49.332908008049067</v>
      </c>
      <c r="I120">
        <f t="shared" si="39"/>
        <v>255.01415965473984</v>
      </c>
      <c r="J120">
        <f t="shared" si="40"/>
        <v>413.5700088147812</v>
      </c>
      <c r="K120">
        <f t="shared" ca="1" si="45"/>
        <v>-147.49986081175592</v>
      </c>
      <c r="L120">
        <f t="shared" ca="1" si="41"/>
        <v>-5.0862020969571009E-3</v>
      </c>
      <c r="M120">
        <f t="shared" si="34"/>
        <v>-1.8260082021262793E-3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14.329200822549341</v>
      </c>
      <c r="C121" s="1">
        <f t="shared" si="37"/>
        <v>-5.9727718679898754</v>
      </c>
      <c r="D121" t="str">
        <f t="shared" si="35"/>
        <v>y</v>
      </c>
      <c r="E121" s="4">
        <f t="shared" si="32"/>
        <v>9.1338451678175119</v>
      </c>
      <c r="F121" s="1">
        <f t="shared" si="38"/>
        <v>14.329200822549341</v>
      </c>
      <c r="G121" s="1">
        <f t="shared" si="38"/>
        <v>-5.9727718679898754</v>
      </c>
      <c r="H121" s="23">
        <f t="shared" si="33"/>
        <v>-54.091431972852064</v>
      </c>
      <c r="I121" s="23">
        <f t="shared" si="39"/>
        <v>323.07578318673887</v>
      </c>
      <c r="J121" s="23">
        <f t="shared" si="40"/>
        <v>775.08699151826352</v>
      </c>
      <c r="K121">
        <f t="shared" ca="1" si="45"/>
        <v>-161.72731365851149</v>
      </c>
      <c r="L121">
        <f t="shared" ca="1" si="41"/>
        <v>-5.576803919259017E-3</v>
      </c>
      <c r="M121">
        <f t="shared" si="34"/>
        <v>-2.0021402028655632E-3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9.1338451678175119</v>
      </c>
      <c r="H122">
        <f>SUM(H110:H121)</f>
        <v>-262.69519712689976</v>
      </c>
      <c r="I122">
        <f t="shared" ref="I122:J122" si="46">SUM(I110:I121)</f>
        <v>1049.936704247011</v>
      </c>
      <c r="J122">
        <f t="shared" si="46"/>
        <v>492.03863067999771</v>
      </c>
      <c r="L122">
        <f ca="1">MIN(L110:L121)</f>
        <v>-5.576803919259017E-3</v>
      </c>
      <c r="M122">
        <f>MIN(M110:M121)</f>
        <v>-2.0021402028655632E-3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3.1610732998276356</v>
      </c>
      <c r="F125" s="1" t="s">
        <v>27</v>
      </c>
      <c r="G125" s="1" t="s">
        <v>28</v>
      </c>
    </row>
    <row r="126" spans="1:16" x14ac:dyDescent="0.25">
      <c r="F126" s="4">
        <f>MIN(B84:B90)-1</f>
        <v>-19.775299666768252</v>
      </c>
      <c r="G126" s="4">
        <f>B125</f>
        <v>3.1610732998276356</v>
      </c>
    </row>
    <row r="127" spans="1:16" x14ac:dyDescent="0.25">
      <c r="F127" s="4">
        <f>MAX(B84:B90)+1</f>
        <v>19.775299666768252</v>
      </c>
      <c r="G127" s="4">
        <f>G126</f>
        <v>3.1610732998276356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-16.900416487452443</v>
      </c>
      <c r="C132" s="4">
        <f>C84</f>
        <v>9.3475088954568921</v>
      </c>
      <c r="D132" s="4">
        <f t="shared" ref="D132:E139" si="47">B85</f>
        <v>-18.775299666768252</v>
      </c>
      <c r="E132" s="4">
        <f t="shared" si="47"/>
        <v>-4.5263807200733766</v>
      </c>
      <c r="F132" s="4">
        <f t="shared" ref="F132:F139" si="48">($B$66/$B$65)*(C132-$B$125)</f>
        <v>5.5250000000000004</v>
      </c>
      <c r="G132" s="4">
        <f t="shared" ref="G132:G139" si="49">($B$66/$B$65)*(E132-$B$125)</f>
        <v>-6.8655339255387355</v>
      </c>
      <c r="H132" s="4">
        <f>IF(B132=D132,"V",(C132-E132)/(B132-D132))</f>
        <v>7.3998688390778531</v>
      </c>
      <c r="I132" s="4">
        <f>IF(H132="V",0,(-1*B132*H132)+C132)</f>
        <v>134.4083742283938</v>
      </c>
      <c r="J132" s="4">
        <f>IF($F132&gt;=0,B132,IF(AND($F132&lt;0,$G132&gt;=0),IF(H132="V",B132,($B$125-I132)/H132),0))</f>
        <v>-16.900416487452443</v>
      </c>
      <c r="K132" s="4">
        <f>IF($F132&gt;=0,C132,IF(AND($F132&lt;0,$G132&gt;=0),$B$125,0))</f>
        <v>9.3475088954568921</v>
      </c>
      <c r="L132" s="4">
        <f>IF($G132&gt;=0,D132,IF(AND($G132&lt;0,$F132&gt;=0),IF(H132="V",D132,($B$125-I132)/H132),0))</f>
        <v>-17.736436115659821</v>
      </c>
      <c r="M132" s="4">
        <f>IF($G132&gt;=0,E132,IF(AND($G132&lt;0,$F132&gt;=0),$B$125,0))</f>
        <v>3.1610732998276356</v>
      </c>
      <c r="N132" s="4">
        <f>IF(F132&lt;0,0,F132)</f>
        <v>5.5250000000000004</v>
      </c>
      <c r="O132" s="4">
        <f>IF(G132&lt;0,0,G132)</f>
        <v>0</v>
      </c>
      <c r="P132" s="4">
        <f>(1/6)*(M132-K132)*((N132*((2*J132)+L132))+(O132*(J132+(2*L132))))</f>
        <v>293.59112965312431</v>
      </c>
      <c r="Q132" s="4">
        <f>((1/12)*(M132-K132)*(N132*J132*((3*K132)+M132)+N132*L132*(K132+M132)+O132*J132*(K132+M132)+O132*L132*(K132+(3*M132))))</f>
        <v>2134.0076403856679</v>
      </c>
      <c r="R132" s="4">
        <f>((-1/24)*(M132-K132)*(J132*J132*((3*N132)+O132)+2*J132*L132*(N132+O132)+L132*L132*(N132+(3*O132))))</f>
        <v>2522.1459728480763</v>
      </c>
    </row>
    <row r="133" spans="1:18" x14ac:dyDescent="0.25">
      <c r="A133" t="s">
        <v>70</v>
      </c>
      <c r="B133" s="4">
        <f t="shared" ref="B133:C138" si="50">D132</f>
        <v>-18.775299666768252</v>
      </c>
      <c r="C133" s="4">
        <f t="shared" si="50"/>
        <v>-4.5263807200733766</v>
      </c>
      <c r="D133" s="4">
        <f t="shared" si="47"/>
        <v>16.900416487452443</v>
      </c>
      <c r="E133" s="4">
        <f t="shared" si="47"/>
        <v>-9.3475088954568921</v>
      </c>
      <c r="F133" s="4">
        <f t="shared" si="48"/>
        <v>-6.8655339255387355</v>
      </c>
      <c r="G133" s="4">
        <f t="shared" si="49"/>
        <v>-11.171201180494545</v>
      </c>
      <c r="H133" s="4">
        <f t="shared" ref="H133:H139" si="51">IF(B133=D133,"V",(C133-E133)/(B133-D133))</f>
        <v>-0.13513753037339213</v>
      </c>
      <c r="I133" s="4">
        <f t="shared" ref="I133:I139" si="52">IF(H133="V",0,(-1*B133*H133)+C133)</f>
        <v>-7.0636283490608101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16.900416487452443</v>
      </c>
      <c r="C134" s="4">
        <f t="shared" si="50"/>
        <v>-9.3475088954568921</v>
      </c>
      <c r="D134" s="4">
        <f t="shared" si="47"/>
        <v>18.775299666768252</v>
      </c>
      <c r="E134" s="4">
        <f t="shared" si="47"/>
        <v>4.5263807200733766</v>
      </c>
      <c r="F134" s="4">
        <f t="shared" si="48"/>
        <v>-11.171201180494545</v>
      </c>
      <c r="G134" s="4">
        <f t="shared" si="49"/>
        <v>1.2193327450441915</v>
      </c>
      <c r="H134" s="4">
        <f t="shared" si="51"/>
        <v>7.3998688390778531</v>
      </c>
      <c r="I134" s="4">
        <f t="shared" si="52"/>
        <v>-134.4083742283938</v>
      </c>
      <c r="J134" s="4">
        <f t="shared" si="53"/>
        <v>18.590795393795776</v>
      </c>
      <c r="K134" s="4">
        <f t="shared" si="54"/>
        <v>3.1610732998276356</v>
      </c>
      <c r="L134" s="4">
        <f t="shared" si="55"/>
        <v>18.775299666768252</v>
      </c>
      <c r="M134" s="4">
        <f t="shared" si="56"/>
        <v>4.5263807200733766</v>
      </c>
      <c r="N134" s="4">
        <f t="shared" si="57"/>
        <v>0</v>
      </c>
      <c r="O134" s="4">
        <f t="shared" si="57"/>
        <v>1.2193327450441915</v>
      </c>
      <c r="P134" s="4">
        <f t="shared" si="58"/>
        <v>15.577029225561597</v>
      </c>
      <c r="Q134" s="4">
        <f t="shared" si="59"/>
        <v>63.430069191220312</v>
      </c>
      <c r="R134" s="4">
        <f t="shared" si="60"/>
        <v>-145.75347817759044</v>
      </c>
    </row>
    <row r="135" spans="1:18" x14ac:dyDescent="0.25">
      <c r="A135" t="s">
        <v>72</v>
      </c>
      <c r="B135" s="4">
        <f t="shared" si="50"/>
        <v>18.775299666768252</v>
      </c>
      <c r="C135" s="4">
        <f t="shared" si="50"/>
        <v>4.5263807200733766</v>
      </c>
      <c r="D135" s="4">
        <f t="shared" si="47"/>
        <v>-16.900416487452443</v>
      </c>
      <c r="E135" s="4">
        <f t="shared" si="47"/>
        <v>9.3475088954568921</v>
      </c>
      <c r="F135" s="4">
        <f t="shared" si="48"/>
        <v>1.2193327450441915</v>
      </c>
      <c r="G135" s="4">
        <f t="shared" si="49"/>
        <v>5.5250000000000004</v>
      </c>
      <c r="H135" s="4">
        <f t="shared" si="51"/>
        <v>-0.13513753037339213</v>
      </c>
      <c r="I135" s="4">
        <f t="shared" si="52"/>
        <v>7.0636283490608101</v>
      </c>
      <c r="J135" s="4">
        <f t="shared" si="53"/>
        <v>18.775299666768252</v>
      </c>
      <c r="K135" s="4">
        <f t="shared" si="54"/>
        <v>4.5263807200733766</v>
      </c>
      <c r="L135" s="4">
        <f t="shared" si="55"/>
        <v>-16.900416487452443</v>
      </c>
      <c r="M135" s="4">
        <f t="shared" si="56"/>
        <v>9.3475088954568921</v>
      </c>
      <c r="N135" s="4">
        <f t="shared" si="57"/>
        <v>1.2193327450441915</v>
      </c>
      <c r="O135" s="4">
        <f t="shared" si="57"/>
        <v>5.5250000000000004</v>
      </c>
      <c r="P135" s="4">
        <f t="shared" si="58"/>
        <v>-46.472965648181606</v>
      </c>
      <c r="Q135" s="4">
        <f t="shared" si="59"/>
        <v>-547.58477627719253</v>
      </c>
      <c r="R135" s="4">
        <f t="shared" si="60"/>
        <v>-811.45858612993447</v>
      </c>
    </row>
    <row r="136" spans="1:18" x14ac:dyDescent="0.25">
      <c r="A136" t="s">
        <v>73</v>
      </c>
      <c r="B136" s="4">
        <f t="shared" si="50"/>
        <v>-16.900416487452443</v>
      </c>
      <c r="C136" s="4">
        <f t="shared" si="50"/>
        <v>9.3475088954568921</v>
      </c>
      <c r="D136" s="4">
        <f t="shared" si="47"/>
        <v>-16.900416487452443</v>
      </c>
      <c r="E136" s="4">
        <f t="shared" si="47"/>
        <v>9.3475088954568921</v>
      </c>
      <c r="F136" s="4">
        <f t="shared" si="48"/>
        <v>5.5250000000000004</v>
      </c>
      <c r="G136" s="4">
        <f t="shared" si="49"/>
        <v>5.5250000000000004</v>
      </c>
      <c r="H136" s="4" t="str">
        <f t="shared" si="51"/>
        <v>V</v>
      </c>
      <c r="I136" s="4">
        <f t="shared" si="52"/>
        <v>0</v>
      </c>
      <c r="J136" s="4">
        <f t="shared" si="53"/>
        <v>-16.900416487452443</v>
      </c>
      <c r="K136" s="4">
        <f t="shared" si="54"/>
        <v>9.3475088954568921</v>
      </c>
      <c r="L136" s="4">
        <f t="shared" si="55"/>
        <v>-16.900416487452443</v>
      </c>
      <c r="M136" s="4">
        <f t="shared" si="56"/>
        <v>9.3475088954568921</v>
      </c>
      <c r="N136" s="4">
        <f t="shared" si="57"/>
        <v>5.5250000000000004</v>
      </c>
      <c r="O136" s="4">
        <f t="shared" si="57"/>
        <v>5.5250000000000004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-16.900416487452443</v>
      </c>
      <c r="C137" s="4">
        <f t="shared" si="50"/>
        <v>9.3475088954568921</v>
      </c>
      <c r="D137" s="4">
        <f t="shared" si="47"/>
        <v>-16.900416487452443</v>
      </c>
      <c r="E137" s="4">
        <f t="shared" si="47"/>
        <v>9.3475088954568921</v>
      </c>
      <c r="F137" s="4">
        <f t="shared" si="48"/>
        <v>5.5250000000000004</v>
      </c>
      <c r="G137" s="4">
        <f t="shared" si="49"/>
        <v>5.5250000000000004</v>
      </c>
      <c r="H137" s="4" t="str">
        <f t="shared" si="51"/>
        <v>V</v>
      </c>
      <c r="I137" s="4">
        <f t="shared" si="52"/>
        <v>0</v>
      </c>
      <c r="J137" s="4">
        <f t="shared" si="53"/>
        <v>-16.900416487452443</v>
      </c>
      <c r="K137" s="4">
        <f t="shared" si="54"/>
        <v>9.3475088954568921</v>
      </c>
      <c r="L137" s="4">
        <f t="shared" si="55"/>
        <v>-16.900416487452443</v>
      </c>
      <c r="M137" s="4">
        <f t="shared" si="56"/>
        <v>9.3475088954568921</v>
      </c>
      <c r="N137" s="4">
        <f t="shared" si="57"/>
        <v>5.5250000000000004</v>
      </c>
      <c r="O137" s="4">
        <f t="shared" si="57"/>
        <v>5.5250000000000004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-16.900416487452443</v>
      </c>
      <c r="C138" s="4">
        <f t="shared" si="50"/>
        <v>9.3475088954568921</v>
      </c>
      <c r="D138" s="4">
        <f t="shared" si="47"/>
        <v>-16.900416487452443</v>
      </c>
      <c r="E138" s="4">
        <f t="shared" si="47"/>
        <v>9.3475088954568921</v>
      </c>
      <c r="F138" s="4">
        <f t="shared" si="48"/>
        <v>5.5250000000000004</v>
      </c>
      <c r="G138" s="4">
        <f t="shared" si="49"/>
        <v>5.5250000000000004</v>
      </c>
      <c r="H138" s="4" t="str">
        <f t="shared" si="51"/>
        <v>V</v>
      </c>
      <c r="I138" s="4">
        <f t="shared" si="52"/>
        <v>0</v>
      </c>
      <c r="J138" s="4">
        <f t="shared" si="53"/>
        <v>-16.900416487452443</v>
      </c>
      <c r="K138" s="4">
        <f t="shared" si="54"/>
        <v>9.3475088954568921</v>
      </c>
      <c r="L138" s="4">
        <f t="shared" si="55"/>
        <v>-16.900416487452443</v>
      </c>
      <c r="M138" s="4">
        <f t="shared" si="56"/>
        <v>9.3475088954568921</v>
      </c>
      <c r="N138" s="4">
        <f t="shared" si="57"/>
        <v>5.5250000000000004</v>
      </c>
      <c r="O138" s="4">
        <f t="shared" si="57"/>
        <v>5.5250000000000004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-16.900416487452443</v>
      </c>
      <c r="C139" s="4">
        <f>E138</f>
        <v>9.3475088954568921</v>
      </c>
      <c r="D139" s="4">
        <f t="shared" si="47"/>
        <v>-16.900416487452443</v>
      </c>
      <c r="E139" s="4">
        <f t="shared" si="47"/>
        <v>9.3475088954568921</v>
      </c>
      <c r="F139" s="4">
        <f t="shared" si="48"/>
        <v>5.5250000000000004</v>
      </c>
      <c r="G139" s="4">
        <f t="shared" si="49"/>
        <v>5.5250000000000004</v>
      </c>
      <c r="H139" s="4" t="str">
        <f t="shared" si="51"/>
        <v>V</v>
      </c>
      <c r="I139" s="4">
        <f t="shared" si="52"/>
        <v>0</v>
      </c>
      <c r="J139" s="4">
        <f t="shared" si="53"/>
        <v>-16.900416487452443</v>
      </c>
      <c r="K139" s="4">
        <f t="shared" si="54"/>
        <v>9.3475088954568921</v>
      </c>
      <c r="L139" s="4">
        <f t="shared" si="55"/>
        <v>-16.900416487452443</v>
      </c>
      <c r="M139" s="4">
        <f t="shared" si="56"/>
        <v>9.3475088954568921</v>
      </c>
      <c r="N139" s="4">
        <f t="shared" si="57"/>
        <v>5.5250000000000004</v>
      </c>
      <c r="O139" s="4">
        <f t="shared" si="57"/>
        <v>5.5250000000000004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262.69519323050429</v>
      </c>
      <c r="Q140" s="4">
        <f>SUM(Q132:Q139)</f>
        <v>1649.8529332996957</v>
      </c>
      <c r="R140" s="4">
        <f>SUM(R132:R139)</f>
        <v>1564.9339085405516</v>
      </c>
    </row>
    <row r="142" spans="1:18" x14ac:dyDescent="0.25">
      <c r="O142" t="s">
        <v>96</v>
      </c>
      <c r="P142" s="1">
        <f>-1*R140/P140</f>
        <v>-5.9572232338769364</v>
      </c>
    </row>
    <row r="143" spans="1:18" x14ac:dyDescent="0.25">
      <c r="O143" t="s">
        <v>97</v>
      </c>
      <c r="P143" s="1">
        <f>Q140/P140</f>
        <v>6.2804839061216367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-16.900416487452443</v>
      </c>
      <c r="C146" s="9">
        <f>J84</f>
        <v>9.3475088954568921</v>
      </c>
      <c r="D146" s="9">
        <f t="shared" ref="D146:E153" si="61">I85</f>
        <v>-16.900416487452443</v>
      </c>
      <c r="E146">
        <f t="shared" si="61"/>
        <v>9.3475088954568921</v>
      </c>
      <c r="F146" s="4">
        <f>($B$66/$B$65)*(C146-$B$125)</f>
        <v>5.5250000000000004</v>
      </c>
      <c r="G146" s="4">
        <f>($B$66/$B$65)*(E146-$B$125)</f>
        <v>5.5250000000000004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-16.900416487452443</v>
      </c>
      <c r="K146" s="4">
        <f>IF($F146&gt;=0,C146,IF(AND($F146&lt;0,$G146&gt;=0),$B$125,0))</f>
        <v>9.3475088954568921</v>
      </c>
      <c r="L146" s="4">
        <f>IF($G146&gt;=0,D146,IF(AND($G146&lt;0,$F146&gt;=0),IF(H146="V",D146,($B$125-I146)/H146),0))</f>
        <v>-16.900416487452443</v>
      </c>
      <c r="M146" s="4">
        <f>IF($G146&gt;=0,E146,IF(AND($G146&lt;0,$F146&gt;=0),$B$125,0))</f>
        <v>9.3475088954568921</v>
      </c>
      <c r="N146" s="4">
        <f>IF(F146&lt;0,0,F146)</f>
        <v>5.5250000000000004</v>
      </c>
      <c r="O146" s="4">
        <f>IF(G146&lt;0,0,G146)</f>
        <v>5.5250000000000004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-16.900416487452443</v>
      </c>
      <c r="C147">
        <f t="shared" si="62"/>
        <v>9.3475088954568921</v>
      </c>
      <c r="D147" s="9">
        <f t="shared" si="61"/>
        <v>-16.900416487452443</v>
      </c>
      <c r="E147">
        <f t="shared" si="61"/>
        <v>9.3475088954568921</v>
      </c>
      <c r="F147" s="4">
        <f t="shared" ref="F147:F153" si="63">($B$66/$B$65)*(C147-$B$125)</f>
        <v>5.5250000000000004</v>
      </c>
      <c r="G147" s="4">
        <f t="shared" ref="G147:G153" si="64">($B$66/$B$65)*(E147-$B$125)</f>
        <v>5.5250000000000004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-16.900416487452443</v>
      </c>
      <c r="K147" s="4">
        <f t="shared" ref="K147:K153" si="68">IF($F147&gt;=0,C147,IF(AND($F147&lt;0,$G147&gt;=0),$B$125,0))</f>
        <v>9.3475088954568921</v>
      </c>
      <c r="L147" s="4">
        <f t="shared" ref="L147:L153" si="69">IF($G147&gt;=0,D147,IF(AND($G147&lt;0,$F147&gt;=0),IF(H147="V",D147,($B$125-I147)/H147),0))</f>
        <v>-16.900416487452443</v>
      </c>
      <c r="M147" s="4">
        <f t="shared" ref="M147:M153" si="70">IF($G147&gt;=0,E147,IF(AND($G147&lt;0,$F147&gt;=0),$B$125,0))</f>
        <v>9.3475088954568921</v>
      </c>
      <c r="N147" s="4">
        <f t="shared" ref="N147:O153" si="71">IF(F147&lt;0,0,F147)</f>
        <v>5.5250000000000004</v>
      </c>
      <c r="O147" s="4">
        <f t="shared" si="71"/>
        <v>5.5250000000000004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-16.900416487452443</v>
      </c>
      <c r="C148">
        <f t="shared" si="62"/>
        <v>9.3475088954568921</v>
      </c>
      <c r="D148" s="9">
        <f t="shared" si="61"/>
        <v>-16.900416487452443</v>
      </c>
      <c r="E148">
        <f t="shared" si="61"/>
        <v>9.3475088954568921</v>
      </c>
      <c r="F148" s="4">
        <f t="shared" si="63"/>
        <v>5.5250000000000004</v>
      </c>
      <c r="G148" s="4">
        <f t="shared" si="64"/>
        <v>5.5250000000000004</v>
      </c>
      <c r="H148" s="4" t="str">
        <f t="shared" si="65"/>
        <v>V</v>
      </c>
      <c r="I148" s="4">
        <f t="shared" si="66"/>
        <v>0</v>
      </c>
      <c r="J148" s="4">
        <f t="shared" si="67"/>
        <v>-16.900416487452443</v>
      </c>
      <c r="K148" s="4">
        <f t="shared" si="68"/>
        <v>9.3475088954568921</v>
      </c>
      <c r="L148" s="4">
        <f t="shared" si="69"/>
        <v>-16.900416487452443</v>
      </c>
      <c r="M148" s="4">
        <f t="shared" si="70"/>
        <v>9.3475088954568921</v>
      </c>
      <c r="N148" s="4">
        <f t="shared" si="71"/>
        <v>5.5250000000000004</v>
      </c>
      <c r="O148" s="4">
        <f t="shared" si="71"/>
        <v>5.5250000000000004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-16.900416487452443</v>
      </c>
      <c r="C149">
        <f t="shared" si="62"/>
        <v>9.3475088954568921</v>
      </c>
      <c r="D149" s="9">
        <f t="shared" si="61"/>
        <v>-16.900416487452443</v>
      </c>
      <c r="E149">
        <f t="shared" si="61"/>
        <v>9.3475088954568921</v>
      </c>
      <c r="F149" s="4">
        <f t="shared" si="63"/>
        <v>5.5250000000000004</v>
      </c>
      <c r="G149" s="4">
        <f t="shared" si="64"/>
        <v>5.5250000000000004</v>
      </c>
      <c r="H149" s="4" t="str">
        <f t="shared" si="65"/>
        <v>V</v>
      </c>
      <c r="I149" s="4">
        <f t="shared" si="66"/>
        <v>0</v>
      </c>
      <c r="J149" s="4">
        <f t="shared" si="67"/>
        <v>-16.900416487452443</v>
      </c>
      <c r="K149" s="4">
        <f t="shared" si="68"/>
        <v>9.3475088954568921</v>
      </c>
      <c r="L149" s="4">
        <f t="shared" si="69"/>
        <v>-16.900416487452443</v>
      </c>
      <c r="M149" s="4">
        <f t="shared" si="70"/>
        <v>9.3475088954568921</v>
      </c>
      <c r="N149" s="4">
        <f t="shared" si="71"/>
        <v>5.5250000000000004</v>
      </c>
      <c r="O149" s="4">
        <f t="shared" si="71"/>
        <v>5.5250000000000004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-16.900416487452443</v>
      </c>
      <c r="C150">
        <f t="shared" si="62"/>
        <v>9.3475088954568921</v>
      </c>
      <c r="D150" s="9">
        <f t="shared" si="61"/>
        <v>-16.900416487452443</v>
      </c>
      <c r="E150">
        <f t="shared" si="61"/>
        <v>9.3475088954568921</v>
      </c>
      <c r="F150" s="4">
        <f t="shared" si="63"/>
        <v>5.5250000000000004</v>
      </c>
      <c r="G150" s="4">
        <f t="shared" si="64"/>
        <v>5.5250000000000004</v>
      </c>
      <c r="H150" s="4" t="str">
        <f t="shared" si="65"/>
        <v>V</v>
      </c>
      <c r="I150" s="4">
        <f t="shared" si="66"/>
        <v>0</v>
      </c>
      <c r="J150" s="4">
        <f t="shared" si="67"/>
        <v>-16.900416487452443</v>
      </c>
      <c r="K150" s="4">
        <f t="shared" si="68"/>
        <v>9.3475088954568921</v>
      </c>
      <c r="L150" s="4">
        <f t="shared" si="69"/>
        <v>-16.900416487452443</v>
      </c>
      <c r="M150" s="4">
        <f t="shared" si="70"/>
        <v>9.3475088954568921</v>
      </c>
      <c r="N150" s="4">
        <f t="shared" si="71"/>
        <v>5.5250000000000004</v>
      </c>
      <c r="O150" s="4">
        <f t="shared" si="71"/>
        <v>5.5250000000000004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-16.900416487452443</v>
      </c>
      <c r="C151">
        <f t="shared" si="62"/>
        <v>9.3475088954568921</v>
      </c>
      <c r="D151" s="9">
        <f t="shared" si="61"/>
        <v>-16.900416487452443</v>
      </c>
      <c r="E151">
        <f t="shared" si="61"/>
        <v>9.3475088954568921</v>
      </c>
      <c r="F151" s="4">
        <f t="shared" si="63"/>
        <v>5.5250000000000004</v>
      </c>
      <c r="G151" s="4">
        <f t="shared" si="64"/>
        <v>5.5250000000000004</v>
      </c>
      <c r="H151" s="4" t="str">
        <f t="shared" si="65"/>
        <v>V</v>
      </c>
      <c r="I151" s="4">
        <f t="shared" si="66"/>
        <v>0</v>
      </c>
      <c r="J151" s="4">
        <f t="shared" si="67"/>
        <v>-16.900416487452443</v>
      </c>
      <c r="K151" s="4">
        <f t="shared" si="68"/>
        <v>9.3475088954568921</v>
      </c>
      <c r="L151" s="4">
        <f t="shared" si="69"/>
        <v>-16.900416487452443</v>
      </c>
      <c r="M151" s="4">
        <f t="shared" si="70"/>
        <v>9.3475088954568921</v>
      </c>
      <c r="N151" s="4">
        <f t="shared" si="71"/>
        <v>5.5250000000000004</v>
      </c>
      <c r="O151" s="4">
        <f t="shared" si="71"/>
        <v>5.5250000000000004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-16.900416487452443</v>
      </c>
      <c r="C152">
        <f t="shared" si="62"/>
        <v>9.3475088954568921</v>
      </c>
      <c r="D152" s="9">
        <f t="shared" si="61"/>
        <v>-16.900416487452443</v>
      </c>
      <c r="E152">
        <f t="shared" si="61"/>
        <v>9.3475088954568921</v>
      </c>
      <c r="F152" s="4">
        <f t="shared" si="63"/>
        <v>5.5250000000000004</v>
      </c>
      <c r="G152" s="4">
        <f t="shared" si="64"/>
        <v>5.5250000000000004</v>
      </c>
      <c r="H152" s="4" t="str">
        <f t="shared" si="65"/>
        <v>V</v>
      </c>
      <c r="I152" s="4">
        <f t="shared" si="66"/>
        <v>0</v>
      </c>
      <c r="J152" s="4">
        <f t="shared" si="67"/>
        <v>-16.900416487452443</v>
      </c>
      <c r="K152" s="4">
        <f t="shared" si="68"/>
        <v>9.3475088954568921</v>
      </c>
      <c r="L152" s="4">
        <f t="shared" si="69"/>
        <v>-16.900416487452443</v>
      </c>
      <c r="M152" s="4">
        <f t="shared" si="70"/>
        <v>9.3475088954568921</v>
      </c>
      <c r="N152" s="4">
        <f t="shared" si="71"/>
        <v>5.5250000000000004</v>
      </c>
      <c r="O152" s="4">
        <f t="shared" si="71"/>
        <v>5.5250000000000004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-16.900416487452443</v>
      </c>
      <c r="C153">
        <f t="shared" si="62"/>
        <v>9.3475088954568921</v>
      </c>
      <c r="D153" s="9">
        <f t="shared" si="61"/>
        <v>-16.900416487452443</v>
      </c>
      <c r="E153">
        <f t="shared" si="61"/>
        <v>9.3475088954568921</v>
      </c>
      <c r="F153" s="4">
        <f t="shared" si="63"/>
        <v>5.5250000000000004</v>
      </c>
      <c r="G153" s="4">
        <f t="shared" si="64"/>
        <v>5.5250000000000004</v>
      </c>
      <c r="H153" s="4" t="str">
        <f t="shared" si="65"/>
        <v>V</v>
      </c>
      <c r="I153" s="4">
        <f t="shared" si="66"/>
        <v>0</v>
      </c>
      <c r="J153" s="4">
        <f t="shared" si="67"/>
        <v>-16.900416487452443</v>
      </c>
      <c r="K153" s="4">
        <f t="shared" si="68"/>
        <v>9.3475088954568921</v>
      </c>
      <c r="L153" s="4">
        <f t="shared" si="69"/>
        <v>-16.900416487452443</v>
      </c>
      <c r="M153" s="4">
        <f t="shared" si="70"/>
        <v>9.3475088954568921</v>
      </c>
      <c r="N153" s="4">
        <f t="shared" si="71"/>
        <v>5.5250000000000004</v>
      </c>
      <c r="O153" s="4">
        <f t="shared" si="71"/>
        <v>5.5250000000000004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-3.8963954693826963E-6</v>
      </c>
      <c r="C159" t="s">
        <v>36</v>
      </c>
    </row>
    <row r="160" spans="1:18" x14ac:dyDescent="0.25">
      <c r="A160" s="1" t="s">
        <v>106</v>
      </c>
      <c r="B160" s="4">
        <f>Q140+I122+Q154-O122</f>
        <v>2699.7896375467067</v>
      </c>
      <c r="C160" t="s">
        <v>102</v>
      </c>
    </row>
    <row r="161" spans="1:9" x14ac:dyDescent="0.25">
      <c r="A161" s="1" t="s">
        <v>107</v>
      </c>
      <c r="B161" s="4">
        <f>R140+J122+R154-P122</f>
        <v>2056.9725392205492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-3.8963954693826963E-6</v>
      </c>
      <c r="C164" t="s">
        <v>36</v>
      </c>
      <c r="E164" s="8">
        <f>B2-B164</f>
        <v>3.8963954693826963E-6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-2400.0000093178828</v>
      </c>
      <c r="C165" t="s">
        <v>102</v>
      </c>
      <c r="E165" s="8">
        <f>B3+B165</f>
        <v>-9.3178828137752134E-6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2400.0000144554529</v>
      </c>
      <c r="C166" t="s">
        <v>102</v>
      </c>
      <c r="E166" s="8">
        <f>B4+B166</f>
        <v>1.4455452856054762E-5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5.5250000000000004</v>
      </c>
      <c r="B169" s="1">
        <f ca="1">IF(E122=0,0,(MIN(H110:H121)*B65)/(B55*B56*E122))</f>
        <v>-15.389452551727706</v>
      </c>
      <c r="C169" s="3">
        <f ca="1">A169+B169</f>
        <v>-9.8644525517277053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2.529101852378573E-8</v>
      </c>
      <c r="C175" s="27">
        <f>B65*SQRT(I175)</f>
        <v>9.1759668609640895E-8</v>
      </c>
      <c r="D175" s="27">
        <f>B66*SQRT(I175)</f>
        <v>8.1948993282407074E-8</v>
      </c>
      <c r="E175" s="27">
        <f>B67*SQRT(I175)</f>
        <v>8.0230559192380683E-7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1.7051201463201833</v>
      </c>
      <c r="C176" s="3">
        <f>B65+C175</f>
        <v>6.1864356873889248</v>
      </c>
      <c r="D176" s="3">
        <f>D175+B66</f>
        <v>5.5250000819489937</v>
      </c>
      <c r="E176" s="3">
        <f>B67+E175</f>
        <v>54.091432775157656</v>
      </c>
      <c r="F176" s="16" t="s">
        <v>125</v>
      </c>
    </row>
    <row r="177" spans="1:13" x14ac:dyDescent="0.25">
      <c r="B177" s="27">
        <f>B176-B64</f>
        <v>2.5291018612705329E-8</v>
      </c>
      <c r="C177" s="27">
        <f>C176-B65</f>
        <v>9.1759668308100117E-8</v>
      </c>
      <c r="D177" s="27">
        <f>D176-B66</f>
        <v>8.1948993368996526E-8</v>
      </c>
      <c r="E177" s="27">
        <f>E176-B67</f>
        <v>8.0230559262872703E-7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-47.54664128739266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16.900416505188179</v>
      </c>
      <c r="B181" s="25">
        <f>(d_alpha_p!E136-d_alpha_m!E136)/(2*B177)</f>
        <v>16.900416505188179</v>
      </c>
      <c r="C181" s="25">
        <f>(d_alpha_p!E137-d_alpha_m!E137)/(2*B177)</f>
        <v>16.900416505188179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-3.8963954693826963E-6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9.3178828137752134E-6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-1.4455452856054762E-5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9.8644525517277053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-47.54664128739266</v>
      </c>
      <c r="B190" s="25">
        <f>A181</f>
        <v>16.900416505188179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16.900416505188179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16.900416505188179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-47.54664128739266</v>
      </c>
      <c r="B201" s="25">
        <f t="shared" ref="B201:C201" si="77">B190</f>
        <v>16.900416505188179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16.900416505188179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16.900416505188179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1B6B4-D202-4352-BFA1-AC0FBCC0D888}">
  <sheetPr codeName="Sheet9"/>
  <dimension ref="A1:AC208"/>
  <sheetViews>
    <sheetView topLeftCell="A160" workbookViewId="0">
      <selection activeCell="D166" sqref="D166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2400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0.79365079365079361</v>
      </c>
      <c r="J3" t="s">
        <v>11</v>
      </c>
    </row>
    <row r="4" spans="1:29" x14ac:dyDescent="0.25">
      <c r="A4" s="10" t="s">
        <v>80</v>
      </c>
      <c r="B4" s="17">
        <f>'Rigid Bearing Plate Analysis'!B4</f>
        <v>-2400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-2.0408163265306123</v>
      </c>
      <c r="J4" t="s">
        <v>11</v>
      </c>
    </row>
    <row r="5" spans="1:29" x14ac:dyDescent="0.25">
      <c r="A5" s="10" t="s">
        <v>104</v>
      </c>
      <c r="B5" s="20">
        <f>ATAN2(B3,B4)</f>
        <v>-0.78539816339744828</v>
      </c>
      <c r="C5" t="s">
        <v>19</v>
      </c>
      <c r="I5">
        <f>SUM(I2:I4)</f>
        <v>-1.2471655328798188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18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20.784609690826528</v>
      </c>
      <c r="L13" s="4">
        <f>SQRT(H22/D22)</f>
        <v>8.0829037686547611</v>
      </c>
      <c r="M13" s="4">
        <f>SQRT(J22/D22)</f>
        <v>22.300971578236975</v>
      </c>
      <c r="N13" s="19">
        <f>G22-(D22*C9*C9)</f>
        <v>54432</v>
      </c>
      <c r="O13" s="19">
        <f>H22-(D22*B9*B9)</f>
        <v>8232</v>
      </c>
      <c r="P13" s="19">
        <f>I22-(D22*B9*C9)</f>
        <v>0</v>
      </c>
      <c r="Q13" s="19">
        <f>N13+O13</f>
        <v>62664</v>
      </c>
      <c r="R13" s="19">
        <f>SQRT(ABS(N13/D22))</f>
        <v>10.392304845413264</v>
      </c>
      <c r="S13" s="19">
        <f>SQRT(O13/D22)</f>
        <v>4.0414518843273806</v>
      </c>
      <c r="T13" s="19">
        <f>SQRT(Q13/D22)</f>
        <v>11.150485789118488</v>
      </c>
      <c r="U13" s="19">
        <f>N13/(MAX(C13:C20)-C9)</f>
        <v>3024</v>
      </c>
      <c r="V13" s="19">
        <f>N13/(MIN(C13:C20)-C9)</f>
        <v>-3024</v>
      </c>
      <c r="W13" s="19">
        <f>O13/(MIN(B13:B20)-B9)</f>
        <v>-1176</v>
      </c>
      <c r="X13" s="19">
        <f>O13/(MAX(B13:B20)-B9)</f>
        <v>1176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-1.1999050379822342</v>
      </c>
      <c r="Y14" s="1">
        <f>$N$13/(C14-$C$9)</f>
        <v>-3024</v>
      </c>
      <c r="Z14">
        <f>$O$13/(B14-$B$9)</f>
        <v>1176</v>
      </c>
      <c r="AA14">
        <f>$B$3/Y14</f>
        <v>-0.79365079365079361</v>
      </c>
      <c r="AB14">
        <f>$B$4/Z14</f>
        <v>-2.0408163265306123</v>
      </c>
      <c r="AC14">
        <f>$I$2+AA14+AB14</f>
        <v>-2.8344671201814058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36</v>
      </c>
      <c r="D15" s="5">
        <f t="shared" ref="D15:D21" si="0">((B14*C15)-(B15*C14))*0.5</f>
        <v>252</v>
      </c>
      <c r="E15" s="5">
        <f t="shared" ref="E15:E21" si="1">(B15+B14)*((B14*C15)-(B15*C14))*(1/6)</f>
        <v>2352</v>
      </c>
      <c r="F15" s="5">
        <f t="shared" ref="F15:F21" si="2">(C15+C14)*((B14*C15)-(B15*C14))*(1/6)</f>
        <v>3024</v>
      </c>
      <c r="G15" s="5">
        <f t="shared" ref="G15:G21" si="3">(((C14*C14)+(C14*C15)+(C15*C15))*((B14*C15)-(B15*C14)))/12</f>
        <v>54432</v>
      </c>
      <c r="H15" s="5">
        <f t="shared" ref="H15:H21" si="4">(((B14*B14)+(B14*B15)+(B15*B15))*((B14*C15)-(B15*C14)))/12</f>
        <v>24696</v>
      </c>
      <c r="I15" s="5">
        <f t="shared" ref="I15:I21" si="5">(((B14*C15)+(2*B14*C14)+(2*B15*C15)+(B15*C14))*((B14*C15)-(B15*C14)))/24</f>
        <v>31752</v>
      </c>
      <c r="J15" s="5">
        <f t="shared" ref="J15:J21" si="6">G15+H15</f>
        <v>79128</v>
      </c>
      <c r="K15">
        <f t="shared" ref="K15:K21" si="7">ATAN2((B15-$E$22),(C15-$F$22))</f>
        <v>1.1999050379822342</v>
      </c>
      <c r="N15" t="s">
        <v>136</v>
      </c>
      <c r="O15">
        <v>4</v>
      </c>
      <c r="Y15" s="1">
        <f t="shared" ref="Y15:Y20" si="8">$N$13/(C15-$C$9)</f>
        <v>3024</v>
      </c>
      <c r="Z15">
        <f t="shared" ref="Z15:Z21" si="9">$O$13/(B15-$B$9)</f>
        <v>1176</v>
      </c>
      <c r="AA15">
        <f t="shared" ref="AA15:AA20" si="10">$B$3/Y15</f>
        <v>0.79365079365079361</v>
      </c>
      <c r="AB15">
        <f t="shared" ref="AB15:AB21" si="11">$B$4/Z15</f>
        <v>-2.0408163265306123</v>
      </c>
      <c r="AC15">
        <f t="shared" ref="AC15:AC20" si="12">$I$2+AA15+AB15</f>
        <v>-1.2471655328798188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1.9416876156075589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3024</v>
      </c>
      <c r="Z16">
        <f t="shared" si="9"/>
        <v>-1176</v>
      </c>
      <c r="AA16">
        <f t="shared" si="10"/>
        <v>0.79365079365079361</v>
      </c>
      <c r="AB16">
        <f t="shared" si="11"/>
        <v>2.0408163265306123</v>
      </c>
      <c r="AC16">
        <f t="shared" si="12"/>
        <v>2.8344671201814058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-1.9416876156075589</v>
      </c>
      <c r="N17" t="s">
        <v>137</v>
      </c>
      <c r="O17">
        <f>K14</f>
        <v>-1.1999050379822342</v>
      </c>
      <c r="Q17" t="s">
        <v>137</v>
      </c>
      <c r="R17">
        <f>U16</f>
        <v>5.497787143782138</v>
      </c>
      <c r="Y17" s="1">
        <f t="shared" si="8"/>
        <v>-3024</v>
      </c>
      <c r="Z17">
        <f t="shared" si="9"/>
        <v>-1176</v>
      </c>
      <c r="AA17">
        <f t="shared" si="10"/>
        <v>-0.79365079365079361</v>
      </c>
      <c r="AB17">
        <f t="shared" si="11"/>
        <v>2.0408163265306123</v>
      </c>
      <c r="AC17">
        <f t="shared" si="12"/>
        <v>1.2471655328798188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-1.9416876156075589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-3024</v>
      </c>
      <c r="Z18">
        <f t="shared" si="9"/>
        <v>-1176</v>
      </c>
      <c r="AA18">
        <f t="shared" si="10"/>
        <v>-0.79365079365079361</v>
      </c>
      <c r="AB18">
        <f t="shared" si="11"/>
        <v>2.0408163265306123</v>
      </c>
      <c r="AC18">
        <f t="shared" si="12"/>
        <v>1.2471655328798188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-1.9416876156075589</v>
      </c>
      <c r="N19">
        <f>E22+(O16*COS(O17))</f>
        <v>8.5692360243970249</v>
      </c>
      <c r="O19">
        <f>F22+(O16*SIN(O17))</f>
        <v>13.964821651550507</v>
      </c>
      <c r="Q19">
        <f>E22+(R16*COS(R17))</f>
        <v>13.010407640085653</v>
      </c>
      <c r="R19">
        <f>F22+(R16*SIN(R17))</f>
        <v>11.989592359914344</v>
      </c>
      <c r="Y19" s="1">
        <f t="shared" si="8"/>
        <v>-3024</v>
      </c>
      <c r="Z19">
        <f t="shared" si="9"/>
        <v>-1176</v>
      </c>
      <c r="AA19">
        <f t="shared" si="10"/>
        <v>-0.79365079365079361</v>
      </c>
      <c r="AB19">
        <f t="shared" si="11"/>
        <v>2.0408163265306123</v>
      </c>
      <c r="AC19">
        <f t="shared" si="12"/>
        <v>1.2471655328798188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-1.9416876156075589</v>
      </c>
      <c r="Y20" s="1">
        <f t="shared" si="8"/>
        <v>-3024</v>
      </c>
      <c r="Z20">
        <f t="shared" si="9"/>
        <v>-1176</v>
      </c>
      <c r="AA20">
        <f t="shared" si="10"/>
        <v>-0.79365079365079361</v>
      </c>
      <c r="AB20">
        <f t="shared" si="11"/>
        <v>2.0408163265306123</v>
      </c>
      <c r="AC20">
        <f t="shared" si="12"/>
        <v>1.2471655328798188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-1.9416876156075589</v>
      </c>
      <c r="Y21" s="1"/>
      <c r="Z21">
        <f t="shared" si="9"/>
        <v>-1176</v>
      </c>
      <c r="AB21">
        <f t="shared" si="11"/>
        <v>2.0408163265306123</v>
      </c>
    </row>
    <row r="22" spans="1:29" x14ac:dyDescent="0.25">
      <c r="D22" s="5">
        <f>SUM(D13:D21)</f>
        <v>504</v>
      </c>
      <c r="E22" s="5">
        <f>SUM(E14:E21)/D22</f>
        <v>7</v>
      </c>
      <c r="F22" s="5">
        <f>SUM(F14:F21)/D22</f>
        <v>18</v>
      </c>
      <c r="G22" s="5">
        <f>SUM(G14:G21)</f>
        <v>217728</v>
      </c>
      <c r="H22" s="5">
        <f>SUM(H14:H21)</f>
        <v>32928</v>
      </c>
      <c r="I22" s="5">
        <f>SUM(I14:I21)</f>
        <v>63504</v>
      </c>
      <c r="J22" s="5">
        <f>SUM(J14:J21)</f>
        <v>250656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36</v>
      </c>
      <c r="U37" s="1">
        <f>T37</f>
        <v>36</v>
      </c>
    </row>
    <row r="38" spans="1:21" x14ac:dyDescent="0.25">
      <c r="A38">
        <v>2</v>
      </c>
      <c r="B38" s="17">
        <f>'Rigid Bearing Plate Analysis'!B38</f>
        <v>3</v>
      </c>
      <c r="C38" s="17">
        <f>'Rigid Bearing Plate Analysis'!C38</f>
        <v>9</v>
      </c>
      <c r="D38" s="17" t="str">
        <f>'Rigid Bearing Plate Analysis'!D38</f>
        <v>y</v>
      </c>
      <c r="Q38" s="12">
        <f t="shared" ref="Q38:R48" si="14">IF($D38="y",B38,NA())</f>
        <v>3</v>
      </c>
      <c r="R38" s="12">
        <f t="shared" si="14"/>
        <v>9</v>
      </c>
    </row>
    <row r="39" spans="1:21" x14ac:dyDescent="0.25">
      <c r="A39">
        <v>3</v>
      </c>
      <c r="B39" s="17">
        <f>'Rigid Bearing Plate Analysis'!B39</f>
        <v>11</v>
      </c>
      <c r="C39" s="17">
        <f>'Rigid Bearing Plate Analysis'!C39</f>
        <v>3</v>
      </c>
      <c r="D39" s="17" t="str">
        <f>'Rigid Bearing Plate Analysis'!D39</f>
        <v>y</v>
      </c>
      <c r="Q39" s="12">
        <f t="shared" si="14"/>
        <v>11</v>
      </c>
      <c r="R39" s="12">
        <f t="shared" si="14"/>
        <v>3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9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9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15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15</v>
      </c>
    </row>
    <row r="42" spans="1:21" x14ac:dyDescent="0.25">
      <c r="A42">
        <v>6</v>
      </c>
      <c r="B42" s="17">
        <f>'Rigid Bearing Plate Analysis'!B42</f>
        <v>3</v>
      </c>
      <c r="C42" s="17">
        <f>'Rigid Bearing Plate Analysis'!C42</f>
        <v>21</v>
      </c>
      <c r="D42" s="17" t="str">
        <f>'Rigid Bearing Plate Analysis'!D42</f>
        <v>y</v>
      </c>
      <c r="Q42" s="12">
        <f t="shared" si="14"/>
        <v>3</v>
      </c>
      <c r="R42" s="12">
        <f t="shared" si="14"/>
        <v>21</v>
      </c>
    </row>
    <row r="43" spans="1:21" x14ac:dyDescent="0.25">
      <c r="A43">
        <v>7</v>
      </c>
      <c r="B43" s="17">
        <f>'Rigid Bearing Plate Analysis'!B43</f>
        <v>11</v>
      </c>
      <c r="C43" s="17">
        <f>'Rigid Bearing Plate Analysis'!C43</f>
        <v>21</v>
      </c>
      <c r="D43" s="17" t="str">
        <f>'Rigid Bearing Plate Analysis'!D43</f>
        <v>y</v>
      </c>
      <c r="Q43" s="12">
        <f t="shared" si="14"/>
        <v>11</v>
      </c>
      <c r="R43" s="12">
        <f t="shared" si="14"/>
        <v>21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15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15</v>
      </c>
    </row>
    <row r="45" spans="1:21" x14ac:dyDescent="0.25">
      <c r="A45">
        <v>9</v>
      </c>
      <c r="B45" s="17">
        <f>'Rigid Bearing Plate Analysis'!B45</f>
        <v>3</v>
      </c>
      <c r="C45" s="17">
        <f>'Rigid Bearing Plate Analysis'!C45</f>
        <v>27</v>
      </c>
      <c r="D45" s="17" t="str">
        <f>'Rigid Bearing Plate Analysis'!D45</f>
        <v>y</v>
      </c>
      <c r="Q45" s="12">
        <f t="shared" si="14"/>
        <v>3</v>
      </c>
      <c r="R45" s="12">
        <f t="shared" si="14"/>
        <v>27</v>
      </c>
    </row>
    <row r="46" spans="1:21" x14ac:dyDescent="0.25">
      <c r="A46">
        <v>10</v>
      </c>
      <c r="B46" s="17">
        <f>'Rigid Bearing Plate Analysis'!B46</f>
        <v>3</v>
      </c>
      <c r="C46" s="17">
        <f>'Rigid Bearing Plate Analysis'!C46</f>
        <v>33</v>
      </c>
      <c r="D46" s="17" t="str">
        <f>'Rigid Bearing Plate Analysis'!D46</f>
        <v>y</v>
      </c>
      <c r="Q46" s="12">
        <f t="shared" si="14"/>
        <v>3</v>
      </c>
      <c r="R46" s="12">
        <f t="shared" si="14"/>
        <v>33</v>
      </c>
    </row>
    <row r="47" spans="1:21" x14ac:dyDescent="0.25">
      <c r="A47">
        <v>11</v>
      </c>
      <c r="B47" s="17">
        <f>'Rigid Bearing Plate Analysis'!B47</f>
        <v>11</v>
      </c>
      <c r="C47" s="17">
        <f>'Rigid Bearing Plate Analysis'!C47</f>
        <v>27</v>
      </c>
      <c r="D47" s="17" t="str">
        <f>'Rigid Bearing Plate Analysis'!D47</f>
        <v>y</v>
      </c>
      <c r="Q47" s="12">
        <f t="shared" si="14"/>
        <v>11</v>
      </c>
      <c r="R47" s="12">
        <f t="shared" si="14"/>
        <v>27</v>
      </c>
    </row>
    <row r="48" spans="1:21" x14ac:dyDescent="0.25">
      <c r="A48">
        <v>12</v>
      </c>
      <c r="B48" s="17">
        <f>'Rigid Bearing Plate Analysis'!B48</f>
        <v>11</v>
      </c>
      <c r="C48" s="17">
        <f>'Rigid Bearing Plate Analysis'!C48</f>
        <v>33</v>
      </c>
      <c r="D48" s="17" t="str">
        <f>'Rigid Bearing Plate Analysis'!D48</f>
        <v>y</v>
      </c>
      <c r="Q48" s="12">
        <f t="shared" si="14"/>
        <v>11</v>
      </c>
      <c r="R48" s="12">
        <f t="shared" si="14"/>
        <v>33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1.7051201210291647</v>
      </c>
      <c r="C64" t="s">
        <v>19</v>
      </c>
      <c r="D64" t="s">
        <v>34</v>
      </c>
      <c r="H64" s="17">
        <f>DEGREES(B64)</f>
        <v>97.696186497807261</v>
      </c>
      <c r="I64" t="s">
        <v>41</v>
      </c>
    </row>
    <row r="65" spans="1:18" x14ac:dyDescent="0.25">
      <c r="A65" s="1" t="s">
        <v>40</v>
      </c>
      <c r="B65" s="17">
        <f>'Rigid Bearing Plate Analysis'!B65</f>
        <v>6.1864355956292565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5.5250000000000004</v>
      </c>
      <c r="C66" t="s">
        <v>11</v>
      </c>
      <c r="D66">
        <f>B66/B53</f>
        <v>1.3560675915647805E-3</v>
      </c>
      <c r="I66" s="20"/>
    </row>
    <row r="67" spans="1:18" ht="15.75" thickBot="1" x14ac:dyDescent="0.3">
      <c r="A67" s="34" t="s">
        <v>37</v>
      </c>
      <c r="B67" s="33">
        <f>'Rigid Bearing Plate Analysis'!B67-'Rigid Bearing Plate Analysis'!E175</f>
        <v>54.091430368240907</v>
      </c>
      <c r="C67" t="s">
        <v>36</v>
      </c>
      <c r="D67" t="s">
        <v>122</v>
      </c>
      <c r="G67" s="20">
        <f ca="1">($B$56*$B$66*$B$55*$E$122)/$B$65</f>
        <v>19.419479714790537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-18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-18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-18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-18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18</v>
      </c>
      <c r="H75" s="1">
        <f t="shared" si="18"/>
        <v>3</v>
      </c>
      <c r="I75" s="4">
        <f t="shared" si="19"/>
        <v>-7</v>
      </c>
      <c r="J75" s="4">
        <f t="shared" si="20"/>
        <v>-18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18</v>
      </c>
      <c r="H76" s="1">
        <f t="shared" si="18"/>
        <v>4</v>
      </c>
      <c r="I76" s="4">
        <f t="shared" si="19"/>
        <v>-7</v>
      </c>
      <c r="J76" s="4">
        <f t="shared" si="20"/>
        <v>-18</v>
      </c>
      <c r="Q76" cm="1">
        <f t="array" ref="Q76">(-1*MAX(ABS(B84:C91)))-1</f>
        <v>-19.775299666768252</v>
      </c>
      <c r="R76">
        <f>Q76</f>
        <v>-19.775299666768252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-18</v>
      </c>
      <c r="H77" s="1">
        <f t="shared" si="18"/>
        <v>5</v>
      </c>
      <c r="I77" s="4">
        <f t="shared" si="19"/>
        <v>-7</v>
      </c>
      <c r="J77" s="4">
        <f t="shared" si="20"/>
        <v>-18</v>
      </c>
      <c r="Q77">
        <f>-1*Q76</f>
        <v>19.775299666768252</v>
      </c>
      <c r="R77">
        <f>Q77</f>
        <v>19.775299666768252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-18</v>
      </c>
      <c r="H78" s="1">
        <f t="shared" si="18"/>
        <v>6</v>
      </c>
      <c r="I78" s="4">
        <f t="shared" si="19"/>
        <v>-7</v>
      </c>
      <c r="J78" s="4">
        <f t="shared" si="20"/>
        <v>-18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-18</v>
      </c>
      <c r="H79" s="1">
        <f t="shared" si="18"/>
        <v>7</v>
      </c>
      <c r="I79" s="4">
        <f t="shared" si="19"/>
        <v>-7</v>
      </c>
      <c r="J79" s="4">
        <f t="shared" si="20"/>
        <v>-18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-18</v>
      </c>
      <c r="H80" s="1">
        <f t="shared" si="18"/>
        <v>8</v>
      </c>
      <c r="I80" s="4">
        <f t="shared" si="19"/>
        <v>-7</v>
      </c>
      <c r="J80" s="4">
        <f t="shared" si="20"/>
        <v>-18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-18</v>
      </c>
      <c r="H81" s="1">
        <f t="shared" si="18"/>
        <v>9</v>
      </c>
      <c r="I81" s="4">
        <f t="shared" si="19"/>
        <v>-7</v>
      </c>
      <c r="J81" s="4">
        <f t="shared" si="20"/>
        <v>-18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-16.900416487452443</v>
      </c>
      <c r="C84" s="1">
        <f t="shared" ref="C84:C92" si="23">(-1*B73*SIN($B$64))+(C73*COS($B$64))</f>
        <v>9.3475088954568921</v>
      </c>
      <c r="H84" s="1">
        <f t="shared" ref="H84:H92" si="24">H73</f>
        <v>1</v>
      </c>
      <c r="I84" s="4">
        <f>(I73*COS($B$64))+(J73*SIN($B$64))</f>
        <v>-16.900416487452443</v>
      </c>
      <c r="J84" s="1">
        <f>(-1*I73*SIN($B$64))+(J73*COS($B$64))</f>
        <v>9.3475088954568921</v>
      </c>
    </row>
    <row r="85" spans="1:10" x14ac:dyDescent="0.25">
      <c r="A85" s="1">
        <f t="shared" si="21"/>
        <v>2</v>
      </c>
      <c r="B85" s="4">
        <f t="shared" si="22"/>
        <v>-18.775299666768252</v>
      </c>
      <c r="C85" s="1">
        <f t="shared" si="23"/>
        <v>-4.5263807200733766</v>
      </c>
      <c r="H85" s="1">
        <f t="shared" si="24"/>
        <v>2</v>
      </c>
      <c r="I85" s="4">
        <f t="shared" ref="I85:I92" si="25">(I74*COS($B$64))+(J74*SIN($B$64))</f>
        <v>-16.900416487452443</v>
      </c>
      <c r="J85" s="1">
        <f t="shared" ref="J85:J92" si="26">(-1*I74*SIN($B$64))+(J74*COS($B$64))</f>
        <v>9.3475088954568921</v>
      </c>
    </row>
    <row r="86" spans="1:10" x14ac:dyDescent="0.25">
      <c r="A86" s="1">
        <f t="shared" si="21"/>
        <v>3</v>
      </c>
      <c r="B86" s="4">
        <f t="shared" si="22"/>
        <v>16.900416487452443</v>
      </c>
      <c r="C86" s="1">
        <f t="shared" si="23"/>
        <v>-9.3475088954568921</v>
      </c>
      <c r="H86" s="1">
        <f t="shared" si="24"/>
        <v>3</v>
      </c>
      <c r="I86" s="4">
        <f t="shared" si="25"/>
        <v>-16.900416487452443</v>
      </c>
      <c r="J86" s="1">
        <f t="shared" si="26"/>
        <v>9.3475088954568921</v>
      </c>
    </row>
    <row r="87" spans="1:10" x14ac:dyDescent="0.25">
      <c r="A87" s="1">
        <f t="shared" si="21"/>
        <v>4</v>
      </c>
      <c r="B87" s="4">
        <f t="shared" si="22"/>
        <v>18.775299666768252</v>
      </c>
      <c r="C87" s="1">
        <f t="shared" si="23"/>
        <v>4.5263807200733766</v>
      </c>
      <c r="H87" s="1">
        <f t="shared" si="24"/>
        <v>4</v>
      </c>
      <c r="I87" s="4">
        <f t="shared" si="25"/>
        <v>-16.900416487452443</v>
      </c>
      <c r="J87" s="1">
        <f t="shared" si="26"/>
        <v>9.3475088954568921</v>
      </c>
    </row>
    <row r="88" spans="1:10" x14ac:dyDescent="0.25">
      <c r="A88" s="1">
        <f t="shared" si="21"/>
        <v>5</v>
      </c>
      <c r="B88" s="4">
        <f t="shared" si="22"/>
        <v>-16.900416487452443</v>
      </c>
      <c r="C88" s="1">
        <f t="shared" si="23"/>
        <v>9.3475088954568921</v>
      </c>
      <c r="H88" s="1">
        <f t="shared" si="24"/>
        <v>5</v>
      </c>
      <c r="I88" s="4">
        <f t="shared" si="25"/>
        <v>-16.900416487452443</v>
      </c>
      <c r="J88" s="1">
        <f t="shared" si="26"/>
        <v>9.3475088954568921</v>
      </c>
    </row>
    <row r="89" spans="1:10" x14ac:dyDescent="0.25">
      <c r="A89" s="1">
        <f t="shared" si="21"/>
        <v>6</v>
      </c>
      <c r="B89" s="4">
        <f t="shared" si="22"/>
        <v>-16.900416487452443</v>
      </c>
      <c r="C89" s="1">
        <f t="shared" si="23"/>
        <v>9.3475088954568921</v>
      </c>
      <c r="H89" s="1">
        <f t="shared" si="24"/>
        <v>6</v>
      </c>
      <c r="I89" s="4">
        <f t="shared" si="25"/>
        <v>-16.900416487452443</v>
      </c>
      <c r="J89" s="1">
        <f t="shared" si="26"/>
        <v>9.3475088954568921</v>
      </c>
    </row>
    <row r="90" spans="1:10" x14ac:dyDescent="0.25">
      <c r="A90" s="1">
        <f t="shared" si="21"/>
        <v>7</v>
      </c>
      <c r="B90" s="4">
        <f t="shared" si="22"/>
        <v>-16.900416487452443</v>
      </c>
      <c r="C90" s="1">
        <f t="shared" si="23"/>
        <v>9.3475088954568921</v>
      </c>
      <c r="H90" s="1">
        <f t="shared" si="24"/>
        <v>7</v>
      </c>
      <c r="I90" s="4">
        <f t="shared" si="25"/>
        <v>-16.900416487452443</v>
      </c>
      <c r="J90" s="1">
        <f t="shared" si="26"/>
        <v>9.3475088954568921</v>
      </c>
    </row>
    <row r="91" spans="1:10" x14ac:dyDescent="0.25">
      <c r="A91" s="1">
        <f t="shared" si="21"/>
        <v>8</v>
      </c>
      <c r="B91" s="4">
        <f t="shared" si="22"/>
        <v>-16.900416487452443</v>
      </c>
      <c r="C91" s="1">
        <f t="shared" si="23"/>
        <v>9.3475088954568921</v>
      </c>
      <c r="H91" s="1">
        <f t="shared" si="24"/>
        <v>8</v>
      </c>
      <c r="I91" s="4">
        <f t="shared" si="25"/>
        <v>-16.900416487452443</v>
      </c>
      <c r="J91" s="1">
        <f t="shared" si="26"/>
        <v>9.3475088954568921</v>
      </c>
    </row>
    <row r="92" spans="1:10" x14ac:dyDescent="0.25">
      <c r="A92" s="1">
        <f t="shared" si="21"/>
        <v>9</v>
      </c>
      <c r="B92" s="4">
        <f t="shared" si="22"/>
        <v>-16.900416487452443</v>
      </c>
      <c r="C92" s="1">
        <f t="shared" si="23"/>
        <v>9.3475088954568921</v>
      </c>
      <c r="H92" s="1">
        <f t="shared" si="24"/>
        <v>9</v>
      </c>
      <c r="I92" s="4">
        <f t="shared" si="25"/>
        <v>-16.900416487452443</v>
      </c>
      <c r="J92" s="1">
        <f t="shared" si="26"/>
        <v>9.3475088954568921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-15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-4</v>
      </c>
      <c r="C96" s="4">
        <f t="shared" si="29"/>
        <v>-9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4</v>
      </c>
      <c r="C97" s="4">
        <f t="shared" si="29"/>
        <v>-15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-9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-3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-4</v>
      </c>
      <c r="C100" s="4">
        <f t="shared" si="29"/>
        <v>3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4</v>
      </c>
      <c r="C101" s="4">
        <f t="shared" si="29"/>
        <v>3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-3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-4</v>
      </c>
      <c r="C103" s="4">
        <f t="shared" si="29"/>
        <v>9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-4</v>
      </c>
      <c r="C104" s="4">
        <f t="shared" si="29"/>
        <v>15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4</v>
      </c>
      <c r="C105" s="4">
        <f t="shared" si="29"/>
        <v>9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4</v>
      </c>
      <c r="C106" s="4">
        <f t="shared" si="29"/>
        <v>15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-14.329200822549341</v>
      </c>
      <c r="C110" s="1">
        <f>(-1*B95*SIN($B$64))+(C95*COS($B$64))</f>
        <v>5.9727718679898754</v>
      </c>
      <c r="D110" t="str">
        <f t="shared" ref="D110" si="31">D95</f>
        <v>y</v>
      </c>
      <c r="E110" s="4">
        <f t="shared" ref="E110:E121" si="32">IF($D110="y",$B$125-C110,0)</f>
        <v>-2.8116985681622397</v>
      </c>
      <c r="F110" s="1">
        <f>IF($D110="y",B110,NA())</f>
        <v>-14.329200822549341</v>
      </c>
      <c r="G110" s="1">
        <f>IF($D110="y",C110,NA())</f>
        <v>5.9727718679898754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6.1632473927760725E-4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-8.3832481301792274</v>
      </c>
      <c r="C111" s="1">
        <f t="shared" ref="C111:C121" si="37">(-1*B96*SIN($B$64))+(C96*COS($B$64))</f>
        <v>5.1692505054259561</v>
      </c>
      <c r="D111" t="str">
        <f t="shared" si="35"/>
        <v>y</v>
      </c>
      <c r="E111" s="4">
        <f t="shared" si="32"/>
        <v>-2.0081772055983205</v>
      </c>
      <c r="F111" s="1">
        <f t="shared" ref="F111:G121" si="38">IF($D111="y",B111,NA())</f>
        <v>-8.3832481301792274</v>
      </c>
      <c r="G111" s="1">
        <f t="shared" si="38"/>
        <v>5.1692505054259561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4.4019273853832327E-4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-15.400562639301233</v>
      </c>
      <c r="C112" s="1">
        <f t="shared" si="37"/>
        <v>-1.9551650551702782</v>
      </c>
      <c r="D112" t="str">
        <f t="shared" si="35"/>
        <v>y</v>
      </c>
      <c r="E112" s="4">
        <f t="shared" si="32"/>
        <v>5.1162383549979138</v>
      </c>
      <c r="F112" s="1">
        <f t="shared" si="38"/>
        <v>-15.400562639301233</v>
      </c>
      <c r="G112" s="1">
        <f t="shared" si="38"/>
        <v>-1.9551650551702782</v>
      </c>
      <c r="H112">
        <f t="shared" si="33"/>
        <v>-30.29881125002909</v>
      </c>
      <c r="I112">
        <f t="shared" si="39"/>
        <v>59.239176969256967</v>
      </c>
      <c r="J112">
        <f t="shared" si="40"/>
        <v>-466.61874055243788</v>
      </c>
      <c r="K112">
        <f t="shared" ref="K112:K121" ca="1" si="45">H112/$B$55</f>
        <v>-90.590046737398694</v>
      </c>
      <c r="L112">
        <f t="shared" ca="1" si="41"/>
        <v>-3.1237947150827136E-3</v>
      </c>
      <c r="M112">
        <f t="shared" si="34"/>
        <v>-1.1214801991691432E-3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-9.4546099469311198</v>
      </c>
      <c r="C113" s="1">
        <f t="shared" si="37"/>
        <v>-2.7586864177341974</v>
      </c>
      <c r="D113" t="str">
        <f t="shared" si="35"/>
        <v>y</v>
      </c>
      <c r="E113" s="4">
        <f t="shared" si="32"/>
        <v>5.9197597175618331</v>
      </c>
      <c r="F113" s="1">
        <f t="shared" si="38"/>
        <v>-9.4546099469311198</v>
      </c>
      <c r="G113" s="1">
        <f t="shared" si="38"/>
        <v>-2.7586864177341974</v>
      </c>
      <c r="H113">
        <f t="shared" si="33"/>
        <v>-35.057335073671453</v>
      </c>
      <c r="I113">
        <f t="shared" si="39"/>
        <v>96.712194109694138</v>
      </c>
      <c r="J113">
        <f t="shared" si="40"/>
        <v>-331.45342890043133</v>
      </c>
      <c r="K113">
        <f t="shared" ca="1" si="45"/>
        <v>-104.81749916209979</v>
      </c>
      <c r="L113">
        <f t="shared" ca="1" si="41"/>
        <v>-3.6143965228310274E-3</v>
      </c>
      <c r="M113">
        <f t="shared" si="34"/>
        <v>-1.2976121999084271E-3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-2.4372954378091114</v>
      </c>
      <c r="C114" s="1">
        <f t="shared" si="37"/>
        <v>4.3657291428620368</v>
      </c>
      <c r="D114" t="str">
        <f t="shared" si="35"/>
        <v>y</v>
      </c>
      <c r="E114" s="4">
        <f t="shared" si="32"/>
        <v>-1.2046558430344012</v>
      </c>
      <c r="F114" s="1">
        <f t="shared" si="38"/>
        <v>-2.4372954378091114</v>
      </c>
      <c r="G114" s="1">
        <f t="shared" si="38"/>
        <v>4.3657291428620368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2.6406073779903935E-4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3.5086572545610037</v>
      </c>
      <c r="C115" s="1">
        <f t="shared" si="37"/>
        <v>3.5622077802981171</v>
      </c>
      <c r="D115" t="str">
        <f t="shared" si="35"/>
        <v>y</v>
      </c>
      <c r="E115" s="4">
        <f t="shared" si="32"/>
        <v>-0.4011344804704815</v>
      </c>
      <c r="F115" s="1">
        <f t="shared" si="38"/>
        <v>3.5086572545610037</v>
      </c>
      <c r="G115" s="1">
        <f t="shared" si="38"/>
        <v>3.5622077802981171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8.7928737059755273E-5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2.4372954378091114</v>
      </c>
      <c r="C116" s="1">
        <f t="shared" si="37"/>
        <v>-4.3657291428620368</v>
      </c>
      <c r="D116" t="str">
        <f t="shared" si="35"/>
        <v>y</v>
      </c>
      <c r="E116" s="4">
        <f t="shared" si="32"/>
        <v>7.5268024426896725</v>
      </c>
      <c r="F116" s="1">
        <f t="shared" si="38"/>
        <v>2.4372954378091114</v>
      </c>
      <c r="G116" s="1">
        <f t="shared" si="38"/>
        <v>-4.3657291428620368</v>
      </c>
      <c r="H116">
        <f t="shared" si="33"/>
        <v>-44.57438272095618</v>
      </c>
      <c r="I116">
        <f t="shared" si="39"/>
        <v>194.59968166996441</v>
      </c>
      <c r="J116">
        <f t="shared" si="40"/>
        <v>108.64093964894379</v>
      </c>
      <c r="K116">
        <f t="shared" ca="1" si="45"/>
        <v>-133.27240401150195</v>
      </c>
      <c r="L116">
        <f t="shared" ca="1" si="41"/>
        <v>-4.5956001383276532E-3</v>
      </c>
      <c r="M116">
        <f t="shared" si="34"/>
        <v>-1.6498762013869954E-3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-3.5086572545610037</v>
      </c>
      <c r="C117" s="1">
        <f t="shared" si="37"/>
        <v>-3.5622077802981171</v>
      </c>
      <c r="D117" t="str">
        <f t="shared" si="35"/>
        <v>y</v>
      </c>
      <c r="E117" s="4">
        <f t="shared" si="32"/>
        <v>6.7232810801257532</v>
      </c>
      <c r="F117" s="1">
        <f t="shared" si="38"/>
        <v>-3.5086572545610037</v>
      </c>
      <c r="G117" s="1">
        <f t="shared" si="38"/>
        <v>-3.5622077802981171</v>
      </c>
      <c r="H117">
        <f t="shared" si="33"/>
        <v>-39.815858897313817</v>
      </c>
      <c r="I117">
        <f t="shared" si="39"/>
        <v>141.8323623432633</v>
      </c>
      <c r="J117">
        <f t="shared" si="40"/>
        <v>-139.70020216663741</v>
      </c>
      <c r="K117">
        <f t="shared" ca="1" si="45"/>
        <v>-119.04495158680088</v>
      </c>
      <c r="L117">
        <f t="shared" ca="1" si="41"/>
        <v>-4.1049983305793403E-3</v>
      </c>
      <c r="M117">
        <f t="shared" si="34"/>
        <v>-1.4737442006477113E-3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9.4546099469311198</v>
      </c>
      <c r="C118" s="1">
        <f t="shared" si="37"/>
        <v>2.7586864177341974</v>
      </c>
      <c r="D118" t="str">
        <f t="shared" si="35"/>
        <v>y</v>
      </c>
      <c r="E118" s="4">
        <f t="shared" si="32"/>
        <v>0.4023868820934382</v>
      </c>
      <c r="F118" s="1">
        <f t="shared" si="38"/>
        <v>9.4546099469311198</v>
      </c>
      <c r="G118" s="1">
        <f t="shared" si="38"/>
        <v>2.7586864177341974</v>
      </c>
      <c r="H118">
        <f t="shared" si="33"/>
        <v>-2.3829703278243306</v>
      </c>
      <c r="I118">
        <f t="shared" si="39"/>
        <v>-6.5738678772325887</v>
      </c>
      <c r="J118">
        <f t="shared" si="40"/>
        <v>22.530054964689626</v>
      </c>
      <c r="K118">
        <f t="shared" ca="1" si="45"/>
        <v>-7.1248139601923546</v>
      </c>
      <c r="L118">
        <f t="shared" ca="1" si="41"/>
        <v>-2.4568324000663291E-4</v>
      </c>
      <c r="M118">
        <f t="shared" si="34"/>
        <v>-8.8203263679528796E-5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15.400562639301233</v>
      </c>
      <c r="C119" s="1">
        <f t="shared" si="37"/>
        <v>1.9551650551702782</v>
      </c>
      <c r="D119" t="str">
        <f t="shared" si="35"/>
        <v>y</v>
      </c>
      <c r="E119" s="4">
        <f t="shared" si="32"/>
        <v>1.2059082446573575</v>
      </c>
      <c r="F119" s="1">
        <f t="shared" si="38"/>
        <v>15.400562639301233</v>
      </c>
      <c r="G119" s="1">
        <f t="shared" si="38"/>
        <v>1.9551650551702782</v>
      </c>
      <c r="H119">
        <f t="shared" si="33"/>
        <v>-7.1414941514666923</v>
      </c>
      <c r="I119">
        <f t="shared" si="39"/>
        <v>-13.962799806650594</v>
      </c>
      <c r="J119">
        <f t="shared" si="40"/>
        <v>109.9830280178662</v>
      </c>
      <c r="K119">
        <f t="shared" ca="1" si="45"/>
        <v>-21.352266384893433</v>
      </c>
      <c r="L119">
        <f t="shared" ca="1" si="41"/>
        <v>-7.3628504775494598E-4</v>
      </c>
      <c r="M119">
        <f t="shared" si="34"/>
        <v>-2.6433526441881278E-4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8.3832481301792274</v>
      </c>
      <c r="C120" s="1">
        <f t="shared" si="37"/>
        <v>-5.1692505054259561</v>
      </c>
      <c r="D120" t="str">
        <f t="shared" si="35"/>
        <v>y</v>
      </c>
      <c r="E120" s="4">
        <f t="shared" si="32"/>
        <v>8.3303238052535917</v>
      </c>
      <c r="F120" s="1">
        <f t="shared" si="38"/>
        <v>8.3832481301792274</v>
      </c>
      <c r="G120" s="1">
        <f t="shared" si="38"/>
        <v>-5.1692505054259561</v>
      </c>
      <c r="H120">
        <f t="shared" si="33"/>
        <v>-49.332906544598536</v>
      </c>
      <c r="I120">
        <f t="shared" si="39"/>
        <v>255.01415208979745</v>
      </c>
      <c r="J120">
        <f t="shared" si="40"/>
        <v>413.56999654631227</v>
      </c>
      <c r="K120">
        <f t="shared" ca="1" si="45"/>
        <v>-147.49985643620303</v>
      </c>
      <c r="L120">
        <f t="shared" ca="1" si="41"/>
        <v>-5.086201946075967E-3</v>
      </c>
      <c r="M120">
        <f t="shared" si="34"/>
        <v>-1.8260082021262793E-3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14.329200822549341</v>
      </c>
      <c r="C121" s="1">
        <f t="shared" si="37"/>
        <v>-5.9727718679898754</v>
      </c>
      <c r="D121" t="str">
        <f t="shared" si="35"/>
        <v>y</v>
      </c>
      <c r="E121" s="4">
        <f t="shared" si="32"/>
        <v>9.1338451678175119</v>
      </c>
      <c r="F121" s="1">
        <f t="shared" si="38"/>
        <v>14.329200822549341</v>
      </c>
      <c r="G121" s="1">
        <f t="shared" si="38"/>
        <v>-5.9727718679898754</v>
      </c>
      <c r="H121" s="23">
        <f t="shared" si="33"/>
        <v>-54.091430368240907</v>
      </c>
      <c r="I121" s="23">
        <f t="shared" si="39"/>
        <v>323.07577360276252</v>
      </c>
      <c r="J121" s="23">
        <f t="shared" si="40"/>
        <v>775.08696852546802</v>
      </c>
      <c r="K121">
        <f t="shared" ca="1" si="45"/>
        <v>-161.72730886090412</v>
      </c>
      <c r="L121">
        <f t="shared" ca="1" si="41"/>
        <v>-5.5768037538242799E-3</v>
      </c>
      <c r="M121">
        <f t="shared" si="34"/>
        <v>-2.0021402028655632E-3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9.1338451678175119</v>
      </c>
      <c r="H122">
        <f>SUM(H110:H121)</f>
        <v>-262.69518933410097</v>
      </c>
      <c r="I122">
        <f t="shared" ref="I122:J122" si="46">SUM(I110:I121)</f>
        <v>1049.9366731008554</v>
      </c>
      <c r="J122">
        <f t="shared" si="46"/>
        <v>492.03861608377326</v>
      </c>
      <c r="L122">
        <f ca="1">MIN(L110:L121)</f>
        <v>-5.5768037538242799E-3</v>
      </c>
      <c r="M122">
        <f>MIN(M110:M121)</f>
        <v>-2.0021402028655632E-3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3.1610732998276356</v>
      </c>
      <c r="F125" s="1" t="s">
        <v>27</v>
      </c>
      <c r="G125" s="1" t="s">
        <v>28</v>
      </c>
    </row>
    <row r="126" spans="1:16" x14ac:dyDescent="0.25">
      <c r="F126" s="4">
        <f>MIN(B84:B90)-1</f>
        <v>-19.775299666768252</v>
      </c>
      <c r="G126" s="4">
        <f>B125</f>
        <v>3.1610732998276356</v>
      </c>
    </row>
    <row r="127" spans="1:16" x14ac:dyDescent="0.25">
      <c r="F127" s="4">
        <f>MAX(B84:B90)+1</f>
        <v>19.775299666768252</v>
      </c>
      <c r="G127" s="4">
        <f>G126</f>
        <v>3.1610732998276356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-16.900416487452443</v>
      </c>
      <c r="C132" s="4">
        <f>C84</f>
        <v>9.3475088954568921</v>
      </c>
      <c r="D132" s="4">
        <f t="shared" ref="D132:E139" si="47">B85</f>
        <v>-18.775299666768252</v>
      </c>
      <c r="E132" s="4">
        <f t="shared" si="47"/>
        <v>-4.5263807200733766</v>
      </c>
      <c r="F132" s="4">
        <f t="shared" ref="F132:F139" si="48">($B$66/$B$65)*(C132-$B$125)</f>
        <v>5.5250000000000004</v>
      </c>
      <c r="G132" s="4">
        <f t="shared" ref="G132:G139" si="49">($B$66/$B$65)*(E132-$B$125)</f>
        <v>-6.8655339255387355</v>
      </c>
      <c r="H132" s="4">
        <f>IF(B132=D132,"V",(C132-E132)/(B132-D132))</f>
        <v>7.3998688390778531</v>
      </c>
      <c r="I132" s="4">
        <f>IF(H132="V",0,(-1*B132*H132)+C132)</f>
        <v>134.4083742283938</v>
      </c>
      <c r="J132" s="4">
        <f>IF($F132&gt;=0,B132,IF(AND($F132&lt;0,$G132&gt;=0),IF(H132="V",B132,($B$125-I132)/H132),0))</f>
        <v>-16.900416487452443</v>
      </c>
      <c r="K132" s="4">
        <f>IF($F132&gt;=0,C132,IF(AND($F132&lt;0,$G132&gt;=0),$B$125,0))</f>
        <v>9.3475088954568921</v>
      </c>
      <c r="L132" s="4">
        <f>IF($G132&gt;=0,D132,IF(AND($G132&lt;0,$F132&gt;=0),IF(H132="V",D132,($B$125-I132)/H132),0))</f>
        <v>-17.736436115659821</v>
      </c>
      <c r="M132" s="4">
        <f>IF($G132&gt;=0,E132,IF(AND($G132&lt;0,$F132&gt;=0),$B$125,0))</f>
        <v>3.1610732998276356</v>
      </c>
      <c r="N132" s="4">
        <f>IF(F132&lt;0,0,F132)</f>
        <v>5.5250000000000004</v>
      </c>
      <c r="O132" s="4">
        <f>IF(G132&lt;0,0,G132)</f>
        <v>0</v>
      </c>
      <c r="P132" s="4">
        <f>(1/6)*(M132-K132)*((N132*((2*J132)+L132))+(O132*(J132+(2*L132))))</f>
        <v>293.59112965312431</v>
      </c>
      <c r="Q132" s="4">
        <f>((1/12)*(M132-K132)*(N132*J132*((3*K132)+M132)+N132*L132*(K132+M132)+O132*J132*(K132+M132)+O132*L132*(K132+(3*M132))))</f>
        <v>2134.0076403856679</v>
      </c>
      <c r="R132" s="4">
        <f>((-1/24)*(M132-K132)*(J132*J132*((3*N132)+O132)+2*J132*L132*(N132+O132)+L132*L132*(N132+(3*O132))))</f>
        <v>2522.1459728480763</v>
      </c>
    </row>
    <row r="133" spans="1:18" x14ac:dyDescent="0.25">
      <c r="A133" t="s">
        <v>70</v>
      </c>
      <c r="B133" s="4">
        <f t="shared" ref="B133:C138" si="50">D132</f>
        <v>-18.775299666768252</v>
      </c>
      <c r="C133" s="4">
        <f t="shared" si="50"/>
        <v>-4.5263807200733766</v>
      </c>
      <c r="D133" s="4">
        <f t="shared" si="47"/>
        <v>16.900416487452443</v>
      </c>
      <c r="E133" s="4">
        <f t="shared" si="47"/>
        <v>-9.3475088954568921</v>
      </c>
      <c r="F133" s="4">
        <f t="shared" si="48"/>
        <v>-6.8655339255387355</v>
      </c>
      <c r="G133" s="4">
        <f t="shared" si="49"/>
        <v>-11.171201180494545</v>
      </c>
      <c r="H133" s="4">
        <f t="shared" ref="H133:H139" si="51">IF(B133=D133,"V",(C133-E133)/(B133-D133))</f>
        <v>-0.13513753037339213</v>
      </c>
      <c r="I133" s="4">
        <f t="shared" ref="I133:I139" si="52">IF(H133="V",0,(-1*B133*H133)+C133)</f>
        <v>-7.0636283490608101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16.900416487452443</v>
      </c>
      <c r="C134" s="4">
        <f t="shared" si="50"/>
        <v>-9.3475088954568921</v>
      </c>
      <c r="D134" s="4">
        <f t="shared" si="47"/>
        <v>18.775299666768252</v>
      </c>
      <c r="E134" s="4">
        <f t="shared" si="47"/>
        <v>4.5263807200733766</v>
      </c>
      <c r="F134" s="4">
        <f t="shared" si="48"/>
        <v>-11.171201180494545</v>
      </c>
      <c r="G134" s="4">
        <f t="shared" si="49"/>
        <v>1.2193327450441915</v>
      </c>
      <c r="H134" s="4">
        <f t="shared" si="51"/>
        <v>7.3998688390778531</v>
      </c>
      <c r="I134" s="4">
        <f t="shared" si="52"/>
        <v>-134.4083742283938</v>
      </c>
      <c r="J134" s="4">
        <f t="shared" si="53"/>
        <v>18.590795393795776</v>
      </c>
      <c r="K134" s="4">
        <f t="shared" si="54"/>
        <v>3.1610732998276356</v>
      </c>
      <c r="L134" s="4">
        <f t="shared" si="55"/>
        <v>18.775299666768252</v>
      </c>
      <c r="M134" s="4">
        <f t="shared" si="56"/>
        <v>4.5263807200733766</v>
      </c>
      <c r="N134" s="4">
        <f t="shared" si="57"/>
        <v>0</v>
      </c>
      <c r="O134" s="4">
        <f t="shared" si="57"/>
        <v>1.2193327450441915</v>
      </c>
      <c r="P134" s="4">
        <f t="shared" si="58"/>
        <v>15.577029225561597</v>
      </c>
      <c r="Q134" s="4">
        <f t="shared" si="59"/>
        <v>63.430069191220312</v>
      </c>
      <c r="R134" s="4">
        <f t="shared" si="60"/>
        <v>-145.75347817759044</v>
      </c>
    </row>
    <row r="135" spans="1:18" x14ac:dyDescent="0.25">
      <c r="A135" t="s">
        <v>72</v>
      </c>
      <c r="B135" s="4">
        <f t="shared" si="50"/>
        <v>18.775299666768252</v>
      </c>
      <c r="C135" s="4">
        <f t="shared" si="50"/>
        <v>4.5263807200733766</v>
      </c>
      <c r="D135" s="4">
        <f t="shared" si="47"/>
        <v>-16.900416487452443</v>
      </c>
      <c r="E135" s="4">
        <f t="shared" si="47"/>
        <v>9.3475088954568921</v>
      </c>
      <c r="F135" s="4">
        <f t="shared" si="48"/>
        <v>1.2193327450441915</v>
      </c>
      <c r="G135" s="4">
        <f t="shared" si="49"/>
        <v>5.5250000000000004</v>
      </c>
      <c r="H135" s="4">
        <f t="shared" si="51"/>
        <v>-0.13513753037339213</v>
      </c>
      <c r="I135" s="4">
        <f t="shared" si="52"/>
        <v>7.0636283490608101</v>
      </c>
      <c r="J135" s="4">
        <f t="shared" si="53"/>
        <v>18.775299666768252</v>
      </c>
      <c r="K135" s="4">
        <f t="shared" si="54"/>
        <v>4.5263807200733766</v>
      </c>
      <c r="L135" s="4">
        <f t="shared" si="55"/>
        <v>-16.900416487452443</v>
      </c>
      <c r="M135" s="4">
        <f t="shared" si="56"/>
        <v>9.3475088954568921</v>
      </c>
      <c r="N135" s="4">
        <f t="shared" si="57"/>
        <v>1.2193327450441915</v>
      </c>
      <c r="O135" s="4">
        <f t="shared" si="57"/>
        <v>5.5250000000000004</v>
      </c>
      <c r="P135" s="4">
        <f t="shared" si="58"/>
        <v>-46.472965648181606</v>
      </c>
      <c r="Q135" s="4">
        <f t="shared" si="59"/>
        <v>-547.58477627719253</v>
      </c>
      <c r="R135" s="4">
        <f t="shared" si="60"/>
        <v>-811.45858612993447</v>
      </c>
    </row>
    <row r="136" spans="1:18" x14ac:dyDescent="0.25">
      <c r="A136" t="s">
        <v>73</v>
      </c>
      <c r="B136" s="4">
        <f t="shared" si="50"/>
        <v>-16.900416487452443</v>
      </c>
      <c r="C136" s="4">
        <f t="shared" si="50"/>
        <v>9.3475088954568921</v>
      </c>
      <c r="D136" s="4">
        <f t="shared" si="47"/>
        <v>-16.900416487452443</v>
      </c>
      <c r="E136" s="4">
        <f t="shared" si="47"/>
        <v>9.3475088954568921</v>
      </c>
      <c r="F136" s="4">
        <f t="shared" si="48"/>
        <v>5.5250000000000004</v>
      </c>
      <c r="G136" s="4">
        <f t="shared" si="49"/>
        <v>5.5250000000000004</v>
      </c>
      <c r="H136" s="4" t="str">
        <f t="shared" si="51"/>
        <v>V</v>
      </c>
      <c r="I136" s="4">
        <f t="shared" si="52"/>
        <v>0</v>
      </c>
      <c r="J136" s="4">
        <f t="shared" si="53"/>
        <v>-16.900416487452443</v>
      </c>
      <c r="K136" s="4">
        <f t="shared" si="54"/>
        <v>9.3475088954568921</v>
      </c>
      <c r="L136" s="4">
        <f t="shared" si="55"/>
        <v>-16.900416487452443</v>
      </c>
      <c r="M136" s="4">
        <f t="shared" si="56"/>
        <v>9.3475088954568921</v>
      </c>
      <c r="N136" s="4">
        <f t="shared" si="57"/>
        <v>5.5250000000000004</v>
      </c>
      <c r="O136" s="4">
        <f t="shared" si="57"/>
        <v>5.5250000000000004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-16.900416487452443</v>
      </c>
      <c r="C137" s="4">
        <f t="shared" si="50"/>
        <v>9.3475088954568921</v>
      </c>
      <c r="D137" s="4">
        <f t="shared" si="47"/>
        <v>-16.900416487452443</v>
      </c>
      <c r="E137" s="4">
        <f t="shared" si="47"/>
        <v>9.3475088954568921</v>
      </c>
      <c r="F137" s="4">
        <f t="shared" si="48"/>
        <v>5.5250000000000004</v>
      </c>
      <c r="G137" s="4">
        <f t="shared" si="49"/>
        <v>5.5250000000000004</v>
      </c>
      <c r="H137" s="4" t="str">
        <f t="shared" si="51"/>
        <v>V</v>
      </c>
      <c r="I137" s="4">
        <f t="shared" si="52"/>
        <v>0</v>
      </c>
      <c r="J137" s="4">
        <f t="shared" si="53"/>
        <v>-16.900416487452443</v>
      </c>
      <c r="K137" s="4">
        <f t="shared" si="54"/>
        <v>9.3475088954568921</v>
      </c>
      <c r="L137" s="4">
        <f t="shared" si="55"/>
        <v>-16.900416487452443</v>
      </c>
      <c r="M137" s="4">
        <f t="shared" si="56"/>
        <v>9.3475088954568921</v>
      </c>
      <c r="N137" s="4">
        <f t="shared" si="57"/>
        <v>5.5250000000000004</v>
      </c>
      <c r="O137" s="4">
        <f t="shared" si="57"/>
        <v>5.5250000000000004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-16.900416487452443</v>
      </c>
      <c r="C138" s="4">
        <f t="shared" si="50"/>
        <v>9.3475088954568921</v>
      </c>
      <c r="D138" s="4">
        <f t="shared" si="47"/>
        <v>-16.900416487452443</v>
      </c>
      <c r="E138" s="4">
        <f t="shared" si="47"/>
        <v>9.3475088954568921</v>
      </c>
      <c r="F138" s="4">
        <f t="shared" si="48"/>
        <v>5.5250000000000004</v>
      </c>
      <c r="G138" s="4">
        <f t="shared" si="49"/>
        <v>5.5250000000000004</v>
      </c>
      <c r="H138" s="4" t="str">
        <f t="shared" si="51"/>
        <v>V</v>
      </c>
      <c r="I138" s="4">
        <f t="shared" si="52"/>
        <v>0</v>
      </c>
      <c r="J138" s="4">
        <f t="shared" si="53"/>
        <v>-16.900416487452443</v>
      </c>
      <c r="K138" s="4">
        <f t="shared" si="54"/>
        <v>9.3475088954568921</v>
      </c>
      <c r="L138" s="4">
        <f t="shared" si="55"/>
        <v>-16.900416487452443</v>
      </c>
      <c r="M138" s="4">
        <f t="shared" si="56"/>
        <v>9.3475088954568921</v>
      </c>
      <c r="N138" s="4">
        <f t="shared" si="57"/>
        <v>5.5250000000000004</v>
      </c>
      <c r="O138" s="4">
        <f t="shared" si="57"/>
        <v>5.5250000000000004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-16.900416487452443</v>
      </c>
      <c r="C139" s="4">
        <f>E138</f>
        <v>9.3475088954568921</v>
      </c>
      <c r="D139" s="4">
        <f t="shared" si="47"/>
        <v>-16.900416487452443</v>
      </c>
      <c r="E139" s="4">
        <f t="shared" si="47"/>
        <v>9.3475088954568921</v>
      </c>
      <c r="F139" s="4">
        <f t="shared" si="48"/>
        <v>5.5250000000000004</v>
      </c>
      <c r="G139" s="4">
        <f t="shared" si="49"/>
        <v>5.5250000000000004</v>
      </c>
      <c r="H139" s="4" t="str">
        <f t="shared" si="51"/>
        <v>V</v>
      </c>
      <c r="I139" s="4">
        <f t="shared" si="52"/>
        <v>0</v>
      </c>
      <c r="J139" s="4">
        <f t="shared" si="53"/>
        <v>-16.900416487452443</v>
      </c>
      <c r="K139" s="4">
        <f t="shared" si="54"/>
        <v>9.3475088954568921</v>
      </c>
      <c r="L139" s="4">
        <f t="shared" si="55"/>
        <v>-16.900416487452443</v>
      </c>
      <c r="M139" s="4">
        <f t="shared" si="56"/>
        <v>9.3475088954568921</v>
      </c>
      <c r="N139" s="4">
        <f t="shared" si="57"/>
        <v>5.5250000000000004</v>
      </c>
      <c r="O139" s="4">
        <f t="shared" si="57"/>
        <v>5.5250000000000004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262.69519323050429</v>
      </c>
      <c r="Q140" s="4">
        <f>SUM(Q132:Q139)</f>
        <v>1649.8529332996957</v>
      </c>
      <c r="R140" s="4">
        <f>SUM(R132:R139)</f>
        <v>1564.9339085405516</v>
      </c>
    </row>
    <row r="142" spans="1:18" x14ac:dyDescent="0.25">
      <c r="O142" t="s">
        <v>96</v>
      </c>
      <c r="P142" s="1">
        <f>-1*R140/P140</f>
        <v>-5.9572232338769364</v>
      </c>
    </row>
    <row r="143" spans="1:18" x14ac:dyDescent="0.25">
      <c r="O143" t="s">
        <v>97</v>
      </c>
      <c r="P143" s="1">
        <f>Q140/P140</f>
        <v>6.2804839061216367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-16.900416487452443</v>
      </c>
      <c r="C146" s="9">
        <f>J84</f>
        <v>9.3475088954568921</v>
      </c>
      <c r="D146" s="9">
        <f t="shared" ref="D146:E153" si="61">I85</f>
        <v>-16.900416487452443</v>
      </c>
      <c r="E146">
        <f t="shared" si="61"/>
        <v>9.3475088954568921</v>
      </c>
      <c r="F146" s="4">
        <f>($B$66/$B$65)*(C146-$B$125)</f>
        <v>5.5250000000000004</v>
      </c>
      <c r="G146" s="4">
        <f>($B$66/$B$65)*(E146-$B$125)</f>
        <v>5.5250000000000004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-16.900416487452443</v>
      </c>
      <c r="K146" s="4">
        <f>IF($F146&gt;=0,C146,IF(AND($F146&lt;0,$G146&gt;=0),$B$125,0))</f>
        <v>9.3475088954568921</v>
      </c>
      <c r="L146" s="4">
        <f>IF($G146&gt;=0,D146,IF(AND($G146&lt;0,$F146&gt;=0),IF(H146="V",D146,($B$125-I146)/H146),0))</f>
        <v>-16.900416487452443</v>
      </c>
      <c r="M146" s="4">
        <f>IF($G146&gt;=0,E146,IF(AND($G146&lt;0,$F146&gt;=0),$B$125,0))</f>
        <v>9.3475088954568921</v>
      </c>
      <c r="N146" s="4">
        <f>IF(F146&lt;0,0,F146)</f>
        <v>5.5250000000000004</v>
      </c>
      <c r="O146" s="4">
        <f>IF(G146&lt;0,0,G146)</f>
        <v>5.5250000000000004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-16.900416487452443</v>
      </c>
      <c r="C147">
        <f t="shared" si="62"/>
        <v>9.3475088954568921</v>
      </c>
      <c r="D147" s="9">
        <f t="shared" si="61"/>
        <v>-16.900416487452443</v>
      </c>
      <c r="E147">
        <f t="shared" si="61"/>
        <v>9.3475088954568921</v>
      </c>
      <c r="F147" s="4">
        <f t="shared" ref="F147:F153" si="63">($B$66/$B$65)*(C147-$B$125)</f>
        <v>5.5250000000000004</v>
      </c>
      <c r="G147" s="4">
        <f t="shared" ref="G147:G153" si="64">($B$66/$B$65)*(E147-$B$125)</f>
        <v>5.5250000000000004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-16.900416487452443</v>
      </c>
      <c r="K147" s="4">
        <f t="shared" ref="K147:K153" si="68">IF($F147&gt;=0,C147,IF(AND($F147&lt;0,$G147&gt;=0),$B$125,0))</f>
        <v>9.3475088954568921</v>
      </c>
      <c r="L147" s="4">
        <f t="shared" ref="L147:L153" si="69">IF($G147&gt;=0,D147,IF(AND($G147&lt;0,$F147&gt;=0),IF(H147="V",D147,($B$125-I147)/H147),0))</f>
        <v>-16.900416487452443</v>
      </c>
      <c r="M147" s="4">
        <f t="shared" ref="M147:M153" si="70">IF($G147&gt;=0,E147,IF(AND($G147&lt;0,$F147&gt;=0),$B$125,0))</f>
        <v>9.3475088954568921</v>
      </c>
      <c r="N147" s="4">
        <f t="shared" ref="N147:O153" si="71">IF(F147&lt;0,0,F147)</f>
        <v>5.5250000000000004</v>
      </c>
      <c r="O147" s="4">
        <f t="shared" si="71"/>
        <v>5.5250000000000004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-16.900416487452443</v>
      </c>
      <c r="C148">
        <f t="shared" si="62"/>
        <v>9.3475088954568921</v>
      </c>
      <c r="D148" s="9">
        <f t="shared" si="61"/>
        <v>-16.900416487452443</v>
      </c>
      <c r="E148">
        <f t="shared" si="61"/>
        <v>9.3475088954568921</v>
      </c>
      <c r="F148" s="4">
        <f t="shared" si="63"/>
        <v>5.5250000000000004</v>
      </c>
      <c r="G148" s="4">
        <f t="shared" si="64"/>
        <v>5.5250000000000004</v>
      </c>
      <c r="H148" s="4" t="str">
        <f t="shared" si="65"/>
        <v>V</v>
      </c>
      <c r="I148" s="4">
        <f t="shared" si="66"/>
        <v>0</v>
      </c>
      <c r="J148" s="4">
        <f t="shared" si="67"/>
        <v>-16.900416487452443</v>
      </c>
      <c r="K148" s="4">
        <f t="shared" si="68"/>
        <v>9.3475088954568921</v>
      </c>
      <c r="L148" s="4">
        <f t="shared" si="69"/>
        <v>-16.900416487452443</v>
      </c>
      <c r="M148" s="4">
        <f t="shared" si="70"/>
        <v>9.3475088954568921</v>
      </c>
      <c r="N148" s="4">
        <f t="shared" si="71"/>
        <v>5.5250000000000004</v>
      </c>
      <c r="O148" s="4">
        <f t="shared" si="71"/>
        <v>5.5250000000000004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-16.900416487452443</v>
      </c>
      <c r="C149">
        <f t="shared" si="62"/>
        <v>9.3475088954568921</v>
      </c>
      <c r="D149" s="9">
        <f t="shared" si="61"/>
        <v>-16.900416487452443</v>
      </c>
      <c r="E149">
        <f t="shared" si="61"/>
        <v>9.3475088954568921</v>
      </c>
      <c r="F149" s="4">
        <f t="shared" si="63"/>
        <v>5.5250000000000004</v>
      </c>
      <c r="G149" s="4">
        <f t="shared" si="64"/>
        <v>5.5250000000000004</v>
      </c>
      <c r="H149" s="4" t="str">
        <f t="shared" si="65"/>
        <v>V</v>
      </c>
      <c r="I149" s="4">
        <f t="shared" si="66"/>
        <v>0</v>
      </c>
      <c r="J149" s="4">
        <f t="shared" si="67"/>
        <v>-16.900416487452443</v>
      </c>
      <c r="K149" s="4">
        <f t="shared" si="68"/>
        <v>9.3475088954568921</v>
      </c>
      <c r="L149" s="4">
        <f t="shared" si="69"/>
        <v>-16.900416487452443</v>
      </c>
      <c r="M149" s="4">
        <f t="shared" si="70"/>
        <v>9.3475088954568921</v>
      </c>
      <c r="N149" s="4">
        <f t="shared" si="71"/>
        <v>5.5250000000000004</v>
      </c>
      <c r="O149" s="4">
        <f t="shared" si="71"/>
        <v>5.5250000000000004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-16.900416487452443</v>
      </c>
      <c r="C150">
        <f t="shared" si="62"/>
        <v>9.3475088954568921</v>
      </c>
      <c r="D150" s="9">
        <f t="shared" si="61"/>
        <v>-16.900416487452443</v>
      </c>
      <c r="E150">
        <f t="shared" si="61"/>
        <v>9.3475088954568921</v>
      </c>
      <c r="F150" s="4">
        <f t="shared" si="63"/>
        <v>5.5250000000000004</v>
      </c>
      <c r="G150" s="4">
        <f t="shared" si="64"/>
        <v>5.5250000000000004</v>
      </c>
      <c r="H150" s="4" t="str">
        <f t="shared" si="65"/>
        <v>V</v>
      </c>
      <c r="I150" s="4">
        <f t="shared" si="66"/>
        <v>0</v>
      </c>
      <c r="J150" s="4">
        <f t="shared" si="67"/>
        <v>-16.900416487452443</v>
      </c>
      <c r="K150" s="4">
        <f t="shared" si="68"/>
        <v>9.3475088954568921</v>
      </c>
      <c r="L150" s="4">
        <f t="shared" si="69"/>
        <v>-16.900416487452443</v>
      </c>
      <c r="M150" s="4">
        <f t="shared" si="70"/>
        <v>9.3475088954568921</v>
      </c>
      <c r="N150" s="4">
        <f t="shared" si="71"/>
        <v>5.5250000000000004</v>
      </c>
      <c r="O150" s="4">
        <f t="shared" si="71"/>
        <v>5.5250000000000004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-16.900416487452443</v>
      </c>
      <c r="C151">
        <f t="shared" si="62"/>
        <v>9.3475088954568921</v>
      </c>
      <c r="D151" s="9">
        <f t="shared" si="61"/>
        <v>-16.900416487452443</v>
      </c>
      <c r="E151">
        <f t="shared" si="61"/>
        <v>9.3475088954568921</v>
      </c>
      <c r="F151" s="4">
        <f t="shared" si="63"/>
        <v>5.5250000000000004</v>
      </c>
      <c r="G151" s="4">
        <f t="shared" si="64"/>
        <v>5.5250000000000004</v>
      </c>
      <c r="H151" s="4" t="str">
        <f t="shared" si="65"/>
        <v>V</v>
      </c>
      <c r="I151" s="4">
        <f t="shared" si="66"/>
        <v>0</v>
      </c>
      <c r="J151" s="4">
        <f t="shared" si="67"/>
        <v>-16.900416487452443</v>
      </c>
      <c r="K151" s="4">
        <f t="shared" si="68"/>
        <v>9.3475088954568921</v>
      </c>
      <c r="L151" s="4">
        <f t="shared" si="69"/>
        <v>-16.900416487452443</v>
      </c>
      <c r="M151" s="4">
        <f t="shared" si="70"/>
        <v>9.3475088954568921</v>
      </c>
      <c r="N151" s="4">
        <f t="shared" si="71"/>
        <v>5.5250000000000004</v>
      </c>
      <c r="O151" s="4">
        <f t="shared" si="71"/>
        <v>5.5250000000000004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-16.900416487452443</v>
      </c>
      <c r="C152">
        <f t="shared" si="62"/>
        <v>9.3475088954568921</v>
      </c>
      <c r="D152" s="9">
        <f t="shared" si="61"/>
        <v>-16.900416487452443</v>
      </c>
      <c r="E152">
        <f t="shared" si="61"/>
        <v>9.3475088954568921</v>
      </c>
      <c r="F152" s="4">
        <f t="shared" si="63"/>
        <v>5.5250000000000004</v>
      </c>
      <c r="G152" s="4">
        <f t="shared" si="64"/>
        <v>5.5250000000000004</v>
      </c>
      <c r="H152" s="4" t="str">
        <f t="shared" si="65"/>
        <v>V</v>
      </c>
      <c r="I152" s="4">
        <f t="shared" si="66"/>
        <v>0</v>
      </c>
      <c r="J152" s="4">
        <f t="shared" si="67"/>
        <v>-16.900416487452443</v>
      </c>
      <c r="K152" s="4">
        <f t="shared" si="68"/>
        <v>9.3475088954568921</v>
      </c>
      <c r="L152" s="4">
        <f t="shared" si="69"/>
        <v>-16.900416487452443</v>
      </c>
      <c r="M152" s="4">
        <f t="shared" si="70"/>
        <v>9.3475088954568921</v>
      </c>
      <c r="N152" s="4">
        <f t="shared" si="71"/>
        <v>5.5250000000000004</v>
      </c>
      <c r="O152" s="4">
        <f t="shared" si="71"/>
        <v>5.5250000000000004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-16.900416487452443</v>
      </c>
      <c r="C153">
        <f t="shared" si="62"/>
        <v>9.3475088954568921</v>
      </c>
      <c r="D153" s="9">
        <f t="shared" si="61"/>
        <v>-16.900416487452443</v>
      </c>
      <c r="E153">
        <f t="shared" si="61"/>
        <v>9.3475088954568921</v>
      </c>
      <c r="F153" s="4">
        <f t="shared" si="63"/>
        <v>5.5250000000000004</v>
      </c>
      <c r="G153" s="4">
        <f t="shared" si="64"/>
        <v>5.5250000000000004</v>
      </c>
      <c r="H153" s="4" t="str">
        <f t="shared" si="65"/>
        <v>V</v>
      </c>
      <c r="I153" s="4">
        <f t="shared" si="66"/>
        <v>0</v>
      </c>
      <c r="J153" s="4">
        <f t="shared" si="67"/>
        <v>-16.900416487452443</v>
      </c>
      <c r="K153" s="4">
        <f t="shared" si="68"/>
        <v>9.3475088954568921</v>
      </c>
      <c r="L153" s="4">
        <f t="shared" si="69"/>
        <v>-16.900416487452443</v>
      </c>
      <c r="M153" s="4">
        <f t="shared" si="70"/>
        <v>9.3475088954568921</v>
      </c>
      <c r="N153" s="4">
        <f t="shared" si="71"/>
        <v>5.5250000000000004</v>
      </c>
      <c r="O153" s="4">
        <f t="shared" si="71"/>
        <v>5.5250000000000004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3.8964033137744991E-6</v>
      </c>
      <c r="C159" t="s">
        <v>36</v>
      </c>
    </row>
    <row r="160" spans="1:18" x14ac:dyDescent="0.25">
      <c r="A160" s="1" t="s">
        <v>106</v>
      </c>
      <c r="B160" s="4">
        <f>Q140+I122+Q154-O122</f>
        <v>2699.7896064005508</v>
      </c>
      <c r="C160" t="s">
        <v>102</v>
      </c>
    </row>
    <row r="161" spans="1:9" x14ac:dyDescent="0.25">
      <c r="A161" s="1" t="s">
        <v>107</v>
      </c>
      <c r="B161" s="4">
        <f>R140+J122+R154-P122</f>
        <v>2056.9725246243247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3.8964033137744991E-6</v>
      </c>
      <c r="C164" t="s">
        <v>36</v>
      </c>
      <c r="E164" s="8">
        <f>B2-B164</f>
        <v>-3.8964033137744991E-6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-2399.9999906820394</v>
      </c>
      <c r="C165" t="s">
        <v>102</v>
      </c>
      <c r="E165" s="8">
        <f>B3+B165</f>
        <v>9.317960575572215E-6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2399.9999855445876</v>
      </c>
      <c r="C166" t="s">
        <v>102</v>
      </c>
      <c r="E166" s="8">
        <f>B4+B166</f>
        <v>-1.4455412383540533E-5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5.5250000000000004</v>
      </c>
      <c r="B169" s="1">
        <f ca="1">IF(E122=0,0,(MIN(H110:H121)*B65)/(B55*B56*E122))</f>
        <v>-15.389452095202774</v>
      </c>
      <c r="C169" s="3">
        <f ca="1">A169+B169</f>
        <v>-9.8644520952027737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2.529101852378573E-8</v>
      </c>
      <c r="C175" s="27">
        <f>B65*SQRT(I175)</f>
        <v>9.1759668609640895E-8</v>
      </c>
      <c r="D175" s="27">
        <f>B66*SQRT(I175)</f>
        <v>8.1948993282407074E-8</v>
      </c>
      <c r="E175" s="27">
        <f>B67*SQRT(I175)</f>
        <v>8.0230556812357724E-7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1.7051201463201833</v>
      </c>
      <c r="C176" s="3">
        <f>B65+C175</f>
        <v>6.1864356873889248</v>
      </c>
      <c r="D176" s="3">
        <f>D175+B66</f>
        <v>5.5250000819489937</v>
      </c>
      <c r="E176" s="3">
        <f>B67+E175</f>
        <v>54.091431170546478</v>
      </c>
      <c r="F176" s="16" t="s">
        <v>125</v>
      </c>
    </row>
    <row r="177" spans="1:13" x14ac:dyDescent="0.25">
      <c r="B177" s="27">
        <f>B176-B64</f>
        <v>2.5291018612705329E-8</v>
      </c>
      <c r="C177" s="27">
        <f>C176-B65</f>
        <v>9.1759668308100117E-8</v>
      </c>
      <c r="D177" s="27">
        <f>D176-B66</f>
        <v>8.1948993368996526E-8</v>
      </c>
      <c r="E177" s="27">
        <f>E176-B67</f>
        <v>8.0230557131244495E-7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-47.54664128739266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16.900416505188179</v>
      </c>
      <c r="B181" s="25">
        <f>(d_alpha_p!E136-d_alpha_m!E136)/(2*B177)</f>
        <v>16.900416505188179</v>
      </c>
      <c r="C181" s="25">
        <f>(d_alpha_p!E137-d_alpha_m!E137)/(2*B177)</f>
        <v>16.900416505188179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3.8964033137744991E-6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-9.317960575572215E-6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1.4455412383540533E-5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9.8644520952027737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-47.54664128739266</v>
      </c>
      <c r="B190" s="25">
        <f>A181</f>
        <v>16.900416505188179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16.900416505188179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16.900416505188179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-47.54664128739266</v>
      </c>
      <c r="B201" s="25">
        <f t="shared" ref="B201:C201" si="77">B190</f>
        <v>16.900416505188179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16.900416505188179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16.900416505188179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</vt:vector>
  </HeadingPairs>
  <TitlesOfParts>
    <vt:vector size="10" baseType="lpstr">
      <vt:lpstr>Rigid Bearing Plate Analysis</vt:lpstr>
      <vt:lpstr>d_sigma_p</vt:lpstr>
      <vt:lpstr>d_sigma_m</vt:lpstr>
      <vt:lpstr>d_alpha_p</vt:lpstr>
      <vt:lpstr>d_alpha_m</vt:lpstr>
      <vt:lpstr>d_Y_p</vt:lpstr>
      <vt:lpstr>d_Y_m</vt:lpstr>
      <vt:lpstr>d_T_p</vt:lpstr>
      <vt:lpstr>d_T_m</vt:lpstr>
      <vt:lpstr>Results_Chart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2020-10-27T13:55:59Z</dcterms:created>
  <dcterms:modified xsi:type="dcterms:W3CDTF">2020-11-04T04:28:50Z</dcterms:modified>
</cp:coreProperties>
</file>