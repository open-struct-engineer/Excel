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907CB7E9-3BC4-45D3-A26A-0B9F5884301F}" xr6:coauthVersionLast="45" xr6:coauthVersionMax="45" xr10:uidLastSave="{00000000-0000-0000-0000-000000000000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4" i="6" l="1"/>
  <c r="N55" i="6"/>
  <c r="N56" i="6"/>
  <c r="N57" i="6"/>
  <c r="N58" i="6"/>
  <c r="N59" i="6"/>
  <c r="N60" i="6"/>
  <c r="L54" i="6"/>
  <c r="M54" i="6"/>
  <c r="L55" i="6"/>
  <c r="M55" i="6"/>
  <c r="L56" i="6"/>
  <c r="M56" i="6"/>
  <c r="L58" i="6"/>
  <c r="M58" i="6"/>
  <c r="L59" i="6"/>
  <c r="L60" i="6"/>
  <c r="G54" i="6"/>
  <c r="H54" i="6"/>
  <c r="I54" i="6"/>
  <c r="J54" i="6"/>
  <c r="K54" i="6"/>
  <c r="G55" i="6"/>
  <c r="H55" i="6"/>
  <c r="J55" i="6"/>
  <c r="K55" i="6"/>
  <c r="G56" i="6"/>
  <c r="H56" i="6"/>
  <c r="J56" i="6"/>
  <c r="K56" i="6"/>
  <c r="G57" i="6"/>
  <c r="H57" i="6"/>
  <c r="J57" i="6"/>
  <c r="K57" i="6"/>
  <c r="G58" i="6"/>
  <c r="H58" i="6"/>
  <c r="I58" i="6"/>
  <c r="J58" i="6"/>
  <c r="K58" i="6"/>
  <c r="G59" i="6"/>
  <c r="H59" i="6"/>
  <c r="I59" i="6"/>
  <c r="J59" i="6"/>
  <c r="K59" i="6"/>
  <c r="G60" i="6"/>
  <c r="H60" i="6"/>
  <c r="I60" i="6"/>
  <c r="J60" i="6"/>
  <c r="K60" i="6"/>
  <c r="F55" i="6"/>
  <c r="F56" i="6"/>
  <c r="F57" i="6"/>
  <c r="F58" i="6"/>
  <c r="F59" i="6"/>
  <c r="F60" i="6"/>
  <c r="F54" i="6"/>
  <c r="G54" i="3"/>
  <c r="H54" i="3"/>
  <c r="I54" i="3"/>
  <c r="J54" i="3"/>
  <c r="K54" i="3"/>
  <c r="L54" i="3"/>
  <c r="M54" i="3"/>
  <c r="N54" i="3"/>
  <c r="O54" i="3"/>
  <c r="G55" i="3"/>
  <c r="H55" i="3"/>
  <c r="J55" i="3"/>
  <c r="K55" i="3"/>
  <c r="L55" i="3"/>
  <c r="M55" i="3"/>
  <c r="N55" i="3"/>
  <c r="O55" i="3"/>
  <c r="G56" i="3"/>
  <c r="H56" i="3"/>
  <c r="J56" i="3"/>
  <c r="K56" i="3"/>
  <c r="L56" i="3"/>
  <c r="M56" i="3"/>
  <c r="N56" i="3"/>
  <c r="O56" i="3"/>
  <c r="G57" i="3"/>
  <c r="H57" i="3"/>
  <c r="J57" i="3"/>
  <c r="K57" i="3"/>
  <c r="N57" i="3"/>
  <c r="O57" i="3"/>
  <c r="G58" i="3"/>
  <c r="H58" i="3"/>
  <c r="I58" i="3"/>
  <c r="J58" i="3"/>
  <c r="K58" i="3"/>
  <c r="L58" i="3"/>
  <c r="M58" i="3"/>
  <c r="N58" i="3"/>
  <c r="O58" i="3"/>
  <c r="G59" i="3"/>
  <c r="H59" i="3"/>
  <c r="I59" i="3"/>
  <c r="J59" i="3"/>
  <c r="K59" i="3"/>
  <c r="L59" i="3"/>
  <c r="N59" i="3"/>
  <c r="O59" i="3"/>
  <c r="G60" i="3"/>
  <c r="H60" i="3"/>
  <c r="I60" i="3"/>
  <c r="J60" i="3"/>
  <c r="K60" i="3"/>
  <c r="L60" i="3"/>
  <c r="N60" i="3"/>
  <c r="O60" i="3"/>
  <c r="F55" i="3"/>
  <c r="F56" i="3"/>
  <c r="F57" i="3"/>
  <c r="F58" i="3"/>
  <c r="F59" i="3"/>
  <c r="F60" i="3"/>
  <c r="F54" i="3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G54" i="7"/>
  <c r="H54" i="7"/>
  <c r="I54" i="7"/>
  <c r="J54" i="7"/>
  <c r="K54" i="7"/>
  <c r="L54" i="7"/>
  <c r="M54" i="7"/>
  <c r="G55" i="7"/>
  <c r="H55" i="7"/>
  <c r="J55" i="7"/>
  <c r="K55" i="7"/>
  <c r="L55" i="7"/>
  <c r="M55" i="7"/>
  <c r="G56" i="7"/>
  <c r="H56" i="7"/>
  <c r="J56" i="7"/>
  <c r="K56" i="7"/>
  <c r="L56" i="7"/>
  <c r="M56" i="7"/>
  <c r="G57" i="7"/>
  <c r="H57" i="7"/>
  <c r="J57" i="7"/>
  <c r="K57" i="7"/>
  <c r="G58" i="7"/>
  <c r="H58" i="7"/>
  <c r="I58" i="7"/>
  <c r="J58" i="7"/>
  <c r="K58" i="7"/>
  <c r="L58" i="7"/>
  <c r="M58" i="7"/>
  <c r="G59" i="7"/>
  <c r="H59" i="7"/>
  <c r="I59" i="7"/>
  <c r="J59" i="7"/>
  <c r="K59" i="7"/>
  <c r="L59" i="7"/>
  <c r="G60" i="7"/>
  <c r="H60" i="7"/>
  <c r="I60" i="7"/>
  <c r="J60" i="7"/>
  <c r="K60" i="7"/>
  <c r="L60" i="7"/>
  <c r="F55" i="7"/>
  <c r="F56" i="7"/>
  <c r="F57" i="7"/>
  <c r="F58" i="7"/>
  <c r="F59" i="7"/>
  <c r="F60" i="7"/>
  <c r="F54" i="7"/>
  <c r="G54" i="4"/>
  <c r="H54" i="4"/>
  <c r="I54" i="4"/>
  <c r="J54" i="4"/>
  <c r="K54" i="4"/>
  <c r="L54" i="4"/>
  <c r="M54" i="4"/>
  <c r="G55" i="4"/>
  <c r="H55" i="4"/>
  <c r="J55" i="4"/>
  <c r="K55" i="4"/>
  <c r="L55" i="4"/>
  <c r="M55" i="4"/>
  <c r="G56" i="4"/>
  <c r="H56" i="4"/>
  <c r="J56" i="4"/>
  <c r="K56" i="4"/>
  <c r="L56" i="4"/>
  <c r="M56" i="4"/>
  <c r="G57" i="4"/>
  <c r="H57" i="4"/>
  <c r="J57" i="4"/>
  <c r="K57" i="4"/>
  <c r="G58" i="4"/>
  <c r="H58" i="4"/>
  <c r="I58" i="4"/>
  <c r="J58" i="4"/>
  <c r="K58" i="4"/>
  <c r="L58" i="4"/>
  <c r="M58" i="4"/>
  <c r="G59" i="4"/>
  <c r="H59" i="4"/>
  <c r="I59" i="4"/>
  <c r="J59" i="4"/>
  <c r="K59" i="4"/>
  <c r="L59" i="4"/>
  <c r="G60" i="4"/>
  <c r="H60" i="4"/>
  <c r="I60" i="4"/>
  <c r="J60" i="4"/>
  <c r="K60" i="4"/>
  <c r="L60" i="4"/>
  <c r="F55" i="4"/>
  <c r="F56" i="4"/>
  <c r="F57" i="4"/>
  <c r="F58" i="4"/>
  <c r="F59" i="4"/>
  <c r="F60" i="4"/>
  <c r="F54" i="4"/>
  <c r="G54" i="8"/>
  <c r="H54" i="8"/>
  <c r="I54" i="8"/>
  <c r="J54" i="8"/>
  <c r="K54" i="8"/>
  <c r="L54" i="8"/>
  <c r="M54" i="8"/>
  <c r="N54" i="8"/>
  <c r="G55" i="8"/>
  <c r="H55" i="8"/>
  <c r="J55" i="8"/>
  <c r="K55" i="8"/>
  <c r="L55" i="8"/>
  <c r="M55" i="8"/>
  <c r="N55" i="8"/>
  <c r="G56" i="8"/>
  <c r="H56" i="8"/>
  <c r="J56" i="8"/>
  <c r="K56" i="8"/>
  <c r="L56" i="8"/>
  <c r="M56" i="8"/>
  <c r="N56" i="8"/>
  <c r="G57" i="8"/>
  <c r="H57" i="8"/>
  <c r="J57" i="8"/>
  <c r="K57" i="8"/>
  <c r="N57" i="8"/>
  <c r="G58" i="8"/>
  <c r="H58" i="8"/>
  <c r="I58" i="8"/>
  <c r="J58" i="8"/>
  <c r="K58" i="8"/>
  <c r="L58" i="8"/>
  <c r="M58" i="8"/>
  <c r="N58" i="8"/>
  <c r="G59" i="8"/>
  <c r="H59" i="8"/>
  <c r="I59" i="8"/>
  <c r="J59" i="8"/>
  <c r="K59" i="8"/>
  <c r="L59" i="8"/>
  <c r="N59" i="8"/>
  <c r="G60" i="8"/>
  <c r="H60" i="8"/>
  <c r="I60" i="8"/>
  <c r="J60" i="8"/>
  <c r="K60" i="8"/>
  <c r="L60" i="8"/>
  <c r="N60" i="8"/>
  <c r="F55" i="8"/>
  <c r="F56" i="8"/>
  <c r="F57" i="8"/>
  <c r="F58" i="8"/>
  <c r="F59" i="8"/>
  <c r="F60" i="8"/>
  <c r="F54" i="8"/>
  <c r="G54" i="5"/>
  <c r="H54" i="5"/>
  <c r="I54" i="5"/>
  <c r="J54" i="5"/>
  <c r="K54" i="5"/>
  <c r="L54" i="5"/>
  <c r="M54" i="5"/>
  <c r="G55" i="5"/>
  <c r="H55" i="5"/>
  <c r="J55" i="5"/>
  <c r="K55" i="5"/>
  <c r="L55" i="5"/>
  <c r="M55" i="5"/>
  <c r="G56" i="5"/>
  <c r="H56" i="5"/>
  <c r="J56" i="5"/>
  <c r="K56" i="5"/>
  <c r="L56" i="5"/>
  <c r="M56" i="5"/>
  <c r="G57" i="5"/>
  <c r="H57" i="5"/>
  <c r="J57" i="5"/>
  <c r="K57" i="5"/>
  <c r="G58" i="5"/>
  <c r="H58" i="5"/>
  <c r="I58" i="5"/>
  <c r="J58" i="5"/>
  <c r="K58" i="5"/>
  <c r="L58" i="5"/>
  <c r="M58" i="5"/>
  <c r="G59" i="5"/>
  <c r="H59" i="5"/>
  <c r="I59" i="5"/>
  <c r="J59" i="5"/>
  <c r="K59" i="5"/>
  <c r="L59" i="5"/>
  <c r="G60" i="5"/>
  <c r="H60" i="5"/>
  <c r="I60" i="5"/>
  <c r="J60" i="5"/>
  <c r="K60" i="5"/>
  <c r="L60" i="5"/>
  <c r="F55" i="5"/>
  <c r="F56" i="5"/>
  <c r="F57" i="5"/>
  <c r="F58" i="5"/>
  <c r="F59" i="5"/>
  <c r="F60" i="5"/>
  <c r="F54" i="5"/>
  <c r="G54" i="9"/>
  <c r="H54" i="9"/>
  <c r="I54" i="9"/>
  <c r="J54" i="9"/>
  <c r="K54" i="9"/>
  <c r="L54" i="9"/>
  <c r="M54" i="9"/>
  <c r="N54" i="9"/>
  <c r="G55" i="9"/>
  <c r="H55" i="9"/>
  <c r="J55" i="9"/>
  <c r="K55" i="9"/>
  <c r="L55" i="9"/>
  <c r="M55" i="9"/>
  <c r="N55" i="9"/>
  <c r="G56" i="9"/>
  <c r="H56" i="9"/>
  <c r="J56" i="9"/>
  <c r="K56" i="9"/>
  <c r="L56" i="9"/>
  <c r="M56" i="9"/>
  <c r="N56" i="9"/>
  <c r="G57" i="9"/>
  <c r="H57" i="9"/>
  <c r="J57" i="9"/>
  <c r="K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N59" i="9"/>
  <c r="G60" i="9"/>
  <c r="H60" i="9"/>
  <c r="I60" i="9"/>
  <c r="J60" i="9"/>
  <c r="K60" i="9"/>
  <c r="L60" i="9"/>
  <c r="N60" i="9"/>
  <c r="F55" i="9"/>
  <c r="F56" i="9"/>
  <c r="F57" i="9"/>
  <c r="F58" i="9"/>
  <c r="F59" i="9"/>
  <c r="F60" i="9"/>
  <c r="F54" i="9"/>
  <c r="H54" i="2"/>
  <c r="I54" i="2"/>
  <c r="G55" i="2"/>
  <c r="H55" i="2"/>
  <c r="J55" i="2"/>
  <c r="K55" i="2"/>
  <c r="H56" i="2"/>
  <c r="J56" i="2"/>
  <c r="H57" i="2"/>
  <c r="J57" i="2"/>
  <c r="H59" i="2"/>
  <c r="I59" i="2"/>
  <c r="K59" i="2"/>
  <c r="L59" i="2"/>
  <c r="H60" i="2"/>
  <c r="I60" i="2"/>
  <c r="L60" i="2"/>
  <c r="F54" i="2"/>
  <c r="F56" i="2"/>
  <c r="F58" i="2"/>
  <c r="F59" i="2"/>
  <c r="Q25" i="1" l="1"/>
  <c r="M60" i="1" l="1"/>
  <c r="W218" i="1"/>
  <c r="L218" i="1"/>
  <c r="M60" i="2" l="1"/>
  <c r="M60" i="5"/>
  <c r="M60" i="6"/>
  <c r="M60" i="7"/>
  <c r="M60" i="4"/>
  <c r="M60" i="8"/>
  <c r="M60" i="9"/>
  <c r="M60" i="3"/>
  <c r="AU48" i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7" i="1" l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R45" i="9" l="1"/>
  <c r="D27" i="7"/>
  <c r="C101" i="7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AE32" i="1"/>
  <c r="AK29" i="1"/>
  <c r="AJ29" i="1"/>
  <c r="AJ31" i="1" s="1"/>
  <c r="D180" i="2" l="1"/>
  <c r="A193" i="2" s="1"/>
  <c r="D178" i="6"/>
  <c r="D180" i="6"/>
  <c r="A193" i="6" s="1"/>
  <c r="J65" i="1"/>
  <c r="Q65" i="1"/>
  <c r="AE34" i="1"/>
  <c r="AE36" i="1" s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9" i="1" l="1"/>
  <c r="G118" i="1"/>
  <c r="G117" i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9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H152" i="1" s="1"/>
  <c r="I152" i="1" s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E118" i="1" l="1"/>
  <c r="E115" i="1"/>
  <c r="E120" i="1"/>
  <c r="E121" i="1"/>
  <c r="G119" i="4"/>
  <c r="G119" i="5"/>
  <c r="G119" i="6"/>
  <c r="G119" i="8"/>
  <c r="G119" i="2"/>
  <c r="G119" i="7"/>
  <c r="G119" i="9"/>
  <c r="G118" i="8"/>
  <c r="G118" i="9"/>
  <c r="G118" i="2"/>
  <c r="G118" i="5"/>
  <c r="G118" i="4"/>
  <c r="G118" i="6"/>
  <c r="G118" i="7"/>
  <c r="E116" i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O151" i="1" s="1"/>
  <c r="H132" i="1"/>
  <c r="I132" i="1" s="1"/>
  <c r="G138" i="1"/>
  <c r="O138" i="1" s="1"/>
  <c r="F147" i="1"/>
  <c r="N147" i="1" s="1"/>
  <c r="M115" i="1"/>
  <c r="N115" i="1" s="1"/>
  <c r="M119" i="1"/>
  <c r="N119" i="1" s="1"/>
  <c r="G147" i="1"/>
  <c r="O147" i="1" s="1"/>
  <c r="G148" i="1"/>
  <c r="O148" i="1" s="1"/>
  <c r="M113" i="1"/>
  <c r="Y113" i="1" s="1"/>
  <c r="M116" i="1"/>
  <c r="Y116" i="1" s="1"/>
  <c r="F151" i="1"/>
  <c r="N151" i="1" s="1"/>
  <c r="F139" i="1"/>
  <c r="N139" i="1" s="1"/>
  <c r="F153" i="1"/>
  <c r="N153" i="1" s="1"/>
  <c r="M112" i="1"/>
  <c r="N112" i="1" s="1"/>
  <c r="G153" i="1"/>
  <c r="O153" i="1" s="1"/>
  <c r="F148" i="1"/>
  <c r="N148" i="1" s="1"/>
  <c r="F149" i="1"/>
  <c r="N149" i="1" s="1"/>
  <c r="G135" i="1"/>
  <c r="O135" i="1" s="1"/>
  <c r="M120" i="1"/>
  <c r="N120" i="1" s="1"/>
  <c r="G149" i="1"/>
  <c r="O149" i="1" s="1"/>
  <c r="G146" i="1"/>
  <c r="O146" i="1" s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O136" i="1" s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N132" i="1" s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N136" i="1" s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N137" i="1" s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N150" i="1" s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9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9" i="7" s="1"/>
  <c r="C134" i="5"/>
  <c r="H134" i="5" s="1"/>
  <c r="I134" i="5" s="1"/>
  <c r="C147" i="5"/>
  <c r="H147" i="5" s="1"/>
  <c r="I147" i="5" s="1"/>
  <c r="H135" i="1"/>
  <c r="I135" i="1" s="1"/>
  <c r="F135" i="1"/>
  <c r="N135" i="1" s="1"/>
  <c r="C138" i="9"/>
  <c r="H138" i="9" s="1"/>
  <c r="I138" i="9" s="1"/>
  <c r="C132" i="2"/>
  <c r="B125" i="2"/>
  <c r="E119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N138" i="1" s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N133" i="1" s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N134" i="1" s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H153" i="9"/>
  <c r="I153" i="9" s="1"/>
  <c r="C136" i="9"/>
  <c r="H146" i="9"/>
  <c r="I146" i="9" s="1"/>
  <c r="E111" i="1"/>
  <c r="G126" i="1"/>
  <c r="E110" i="1"/>
  <c r="M111" i="1"/>
  <c r="E114" i="5" l="1"/>
  <c r="E121" i="5"/>
  <c r="E120" i="5"/>
  <c r="E118" i="7"/>
  <c r="E118" i="2"/>
  <c r="E119" i="5"/>
  <c r="E114" i="9"/>
  <c r="E121" i="9"/>
  <c r="E120" i="9"/>
  <c r="E113" i="4"/>
  <c r="E120" i="4"/>
  <c r="E121" i="4"/>
  <c r="M110" i="6"/>
  <c r="N110" i="6" s="1"/>
  <c r="E120" i="6"/>
  <c r="E121" i="6"/>
  <c r="E118" i="6"/>
  <c r="E118" i="9"/>
  <c r="E119" i="4"/>
  <c r="E118" i="4"/>
  <c r="E118" i="8"/>
  <c r="E115" i="7"/>
  <c r="E121" i="7"/>
  <c r="E120" i="7"/>
  <c r="E113" i="2"/>
  <c r="E120" i="2"/>
  <c r="E121" i="2"/>
  <c r="E115" i="8"/>
  <c r="E120" i="8"/>
  <c r="E121" i="8"/>
  <c r="E118" i="5"/>
  <c r="E119" i="9"/>
  <c r="E119" i="6"/>
  <c r="G119" i="3"/>
  <c r="G118" i="3"/>
  <c r="E116" i="5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O139" i="8" s="1"/>
  <c r="F149" i="5"/>
  <c r="N149" i="5" s="1"/>
  <c r="G147" i="8"/>
  <c r="O147" i="8" s="1"/>
  <c r="G147" i="5"/>
  <c r="O147" i="5" s="1"/>
  <c r="G138" i="8"/>
  <c r="O138" i="8" s="1"/>
  <c r="G149" i="5"/>
  <c r="O149" i="5" s="1"/>
  <c r="F139" i="8"/>
  <c r="N139" i="8" s="1"/>
  <c r="M121" i="8"/>
  <c r="N121" i="8" s="1"/>
  <c r="O121" i="8" s="1"/>
  <c r="F139" i="5"/>
  <c r="N139" i="5" s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J152" i="1"/>
  <c r="F149" i="2"/>
  <c r="N149" i="2" s="1"/>
  <c r="M113" i="7"/>
  <c r="N113" i="7" s="1"/>
  <c r="P113" i="7" s="1"/>
  <c r="K151" i="1"/>
  <c r="K148" i="1"/>
  <c r="K152" i="1"/>
  <c r="M114" i="8"/>
  <c r="N114" i="8" s="1"/>
  <c r="P114" i="8" s="1"/>
  <c r="G151" i="2"/>
  <c r="O151" i="2" s="1"/>
  <c r="G135" i="5"/>
  <c r="O135" i="5" s="1"/>
  <c r="F147" i="5"/>
  <c r="N147" i="5" s="1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N134" i="2" s="1"/>
  <c r="M117" i="5"/>
  <c r="N117" i="5" s="1"/>
  <c r="O117" i="5" s="1"/>
  <c r="M121" i="5"/>
  <c r="N121" i="5" s="1"/>
  <c r="P121" i="5" s="1"/>
  <c r="G150" i="8"/>
  <c r="O150" i="8" s="1"/>
  <c r="M112" i="8"/>
  <c r="N112" i="8" s="1"/>
  <c r="P112" i="8" s="1"/>
  <c r="G132" i="8"/>
  <c r="O132" i="8" s="1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N133" i="8" s="1"/>
  <c r="F150" i="5"/>
  <c r="N150" i="5" s="1"/>
  <c r="G149" i="8"/>
  <c r="O149" i="8" s="1"/>
  <c r="G148" i="2"/>
  <c r="O148" i="2" s="1"/>
  <c r="G134" i="8"/>
  <c r="O134" i="8" s="1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O135" i="8" s="1"/>
  <c r="F148" i="5"/>
  <c r="N148" i="5" s="1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N132" i="2" s="1"/>
  <c r="G134" i="9"/>
  <c r="O134" i="9" s="1"/>
  <c r="G150" i="9"/>
  <c r="O150" i="9" s="1"/>
  <c r="M153" i="1"/>
  <c r="F134" i="8"/>
  <c r="N134" i="8" s="1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F147" i="9"/>
  <c r="N147" i="9" s="1"/>
  <c r="G134" i="4"/>
  <c r="O134" i="4" s="1"/>
  <c r="N116" i="1"/>
  <c r="P116" i="1" s="1"/>
  <c r="G147" i="2"/>
  <c r="O147" i="2" s="1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N132" i="7" s="1"/>
  <c r="G146" i="8"/>
  <c r="O146" i="8" s="1"/>
  <c r="G134" i="2"/>
  <c r="O134" i="2" s="1"/>
  <c r="M114" i="7"/>
  <c r="N114" i="7" s="1"/>
  <c r="O114" i="7" s="1"/>
  <c r="G146" i="2"/>
  <c r="O146" i="2" s="1"/>
  <c r="M115" i="7"/>
  <c r="N115" i="7" s="1"/>
  <c r="P115" i="7" s="1"/>
  <c r="F151" i="2"/>
  <c r="N151" i="2" s="1"/>
  <c r="G133" i="9"/>
  <c r="O133" i="9" s="1"/>
  <c r="F149" i="9"/>
  <c r="N149" i="9" s="1"/>
  <c r="F139" i="9"/>
  <c r="N139" i="9" s="1"/>
  <c r="M118" i="2"/>
  <c r="N118" i="2" s="1"/>
  <c r="P118" i="2" s="1"/>
  <c r="M117" i="2"/>
  <c r="N117" i="2" s="1"/>
  <c r="O117" i="2" s="1"/>
  <c r="F146" i="9"/>
  <c r="N146" i="9" s="1"/>
  <c r="N113" i="1"/>
  <c r="O113" i="1" s="1"/>
  <c r="F148" i="2"/>
  <c r="N148" i="2" s="1"/>
  <c r="G149" i="7"/>
  <c r="O149" i="7" s="1"/>
  <c r="F150" i="2"/>
  <c r="N150" i="2" s="1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O152" i="5" s="1"/>
  <c r="F136" i="9"/>
  <c r="N136" i="9" s="1"/>
  <c r="M116" i="2"/>
  <c r="N116" i="2" s="1"/>
  <c r="O116" i="2" s="1"/>
  <c r="F137" i="7"/>
  <c r="N137" i="7" s="1"/>
  <c r="G133" i="2"/>
  <c r="O133" i="2" s="1"/>
  <c r="F147" i="7"/>
  <c r="N147" i="7" s="1"/>
  <c r="G153" i="2"/>
  <c r="O153" i="2" s="1"/>
  <c r="F132" i="8"/>
  <c r="N132" i="8" s="1"/>
  <c r="F146" i="5"/>
  <c r="N146" i="5" s="1"/>
  <c r="F153" i="5"/>
  <c r="N153" i="5" s="1"/>
  <c r="G148" i="6"/>
  <c r="O148" i="6" s="1"/>
  <c r="F151" i="6"/>
  <c r="N151" i="6" s="1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N138" i="6" s="1"/>
  <c r="F148" i="9"/>
  <c r="N148" i="9" s="1"/>
  <c r="H132" i="7"/>
  <c r="I132" i="7" s="1"/>
  <c r="E110" i="7"/>
  <c r="E111" i="7"/>
  <c r="G126" i="7"/>
  <c r="G127" i="7" s="1"/>
  <c r="G153" i="4"/>
  <c r="O153" i="4" s="1"/>
  <c r="M113" i="8"/>
  <c r="N113" i="8" s="1"/>
  <c r="F152" i="8"/>
  <c r="N152" i="8" s="1"/>
  <c r="H136" i="9"/>
  <c r="I136" i="9" s="1"/>
  <c r="G135" i="2"/>
  <c r="O135" i="2" s="1"/>
  <c r="G146" i="9"/>
  <c r="O146" i="9" s="1"/>
  <c r="F146" i="7"/>
  <c r="N146" i="7" s="1"/>
  <c r="F152" i="4"/>
  <c r="N152" i="4" s="1"/>
  <c r="M121" i="6"/>
  <c r="N121" i="6" s="1"/>
  <c r="M116" i="8"/>
  <c r="N116" i="8" s="1"/>
  <c r="F136" i="5"/>
  <c r="N136" i="5" s="1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N153" i="9" s="1"/>
  <c r="F152" i="7"/>
  <c r="N152" i="7" s="1"/>
  <c r="F148" i="4"/>
  <c r="N148" i="4" s="1"/>
  <c r="F137" i="6"/>
  <c r="N137" i="6" s="1"/>
  <c r="F152" i="9"/>
  <c r="N152" i="9" s="1"/>
  <c r="F135" i="5"/>
  <c r="N135" i="5" s="1"/>
  <c r="M117" i="7"/>
  <c r="N117" i="7" s="1"/>
  <c r="H136" i="4"/>
  <c r="I136" i="4" s="1"/>
  <c r="M120" i="6"/>
  <c r="N120" i="6" s="1"/>
  <c r="F146" i="4"/>
  <c r="N146" i="4" s="1"/>
  <c r="P115" i="1"/>
  <c r="O115" i="1"/>
  <c r="K137" i="1"/>
  <c r="J137" i="1"/>
  <c r="K136" i="1"/>
  <c r="J136" i="1"/>
  <c r="N111" i="1"/>
  <c r="Y111" i="1"/>
  <c r="M119" i="6"/>
  <c r="N119" i="6" s="1"/>
  <c r="F151" i="4"/>
  <c r="N151" i="4" s="1"/>
  <c r="F147" i="6"/>
  <c r="N147" i="6" s="1"/>
  <c r="F150" i="4"/>
  <c r="N150" i="4" s="1"/>
  <c r="G147" i="6"/>
  <c r="O147" i="6" s="1"/>
  <c r="F149" i="6"/>
  <c r="N149" i="6" s="1"/>
  <c r="F132" i="6"/>
  <c r="N132" i="6" s="1"/>
  <c r="E110" i="9"/>
  <c r="E111" i="9"/>
  <c r="G126" i="9"/>
  <c r="G127" i="9" s="1"/>
  <c r="K134" i="1"/>
  <c r="J134" i="1"/>
  <c r="M119" i="7"/>
  <c r="N119" i="7" s="1"/>
  <c r="M120" i="7"/>
  <c r="N120" i="7" s="1"/>
  <c r="M111" i="4"/>
  <c r="N111" i="4" s="1"/>
  <c r="F135" i="6"/>
  <c r="N135" i="6" s="1"/>
  <c r="G136" i="7"/>
  <c r="O136" i="7" s="1"/>
  <c r="G149" i="9"/>
  <c r="O149" i="9" s="1"/>
  <c r="G146" i="7"/>
  <c r="O146" i="7" s="1"/>
  <c r="M120" i="4"/>
  <c r="N120" i="4" s="1"/>
  <c r="E110" i="2"/>
  <c r="E111" i="2"/>
  <c r="G126" i="2"/>
  <c r="G127" i="2" s="1"/>
  <c r="G153" i="9"/>
  <c r="O153" i="9" s="1"/>
  <c r="F136" i="7"/>
  <c r="N136" i="7" s="1"/>
  <c r="F138" i="4"/>
  <c r="N138" i="4" s="1"/>
  <c r="F133" i="6"/>
  <c r="N133" i="6" s="1"/>
  <c r="E111" i="8"/>
  <c r="E110" i="8"/>
  <c r="G126" i="8"/>
  <c r="G127" i="8" s="1"/>
  <c r="F135" i="2"/>
  <c r="N135" i="2" s="1"/>
  <c r="E110" i="5"/>
  <c r="E111" i="5"/>
  <c r="G126" i="5"/>
  <c r="G127" i="5" s="1"/>
  <c r="H134" i="2"/>
  <c r="I134" i="2" s="1"/>
  <c r="F151" i="9"/>
  <c r="N151" i="9" s="1"/>
  <c r="G151" i="5"/>
  <c r="O151" i="5" s="1"/>
  <c r="F133" i="7"/>
  <c r="N133" i="7" s="1"/>
  <c r="G148" i="4"/>
  <c r="O148" i="4" s="1"/>
  <c r="G153" i="6"/>
  <c r="O153" i="6" s="1"/>
  <c r="F146" i="8"/>
  <c r="N146" i="8" s="1"/>
  <c r="G132" i="2"/>
  <c r="O132" i="2" s="1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O148" i="8" s="1"/>
  <c r="F152" i="2"/>
  <c r="N152" i="2" s="1"/>
  <c r="G153" i="5"/>
  <c r="O153" i="5" s="1"/>
  <c r="F134" i="7"/>
  <c r="N134" i="7" s="1"/>
  <c r="M117" i="4"/>
  <c r="N117" i="4" s="1"/>
  <c r="F148" i="6"/>
  <c r="N148" i="6" s="1"/>
  <c r="M115" i="8"/>
  <c r="N115" i="8" s="1"/>
  <c r="M112" i="2"/>
  <c r="N112" i="2" s="1"/>
  <c r="F134" i="9"/>
  <c r="N134" i="9" s="1"/>
  <c r="G150" i="5"/>
  <c r="O150" i="5" s="1"/>
  <c r="M113" i="5"/>
  <c r="N113" i="5" s="1"/>
  <c r="G136" i="4"/>
  <c r="O136" i="4" s="1"/>
  <c r="M115" i="6"/>
  <c r="N115" i="6" s="1"/>
  <c r="Q77" i="8"/>
  <c r="R77" i="8" s="1"/>
  <c r="R76" i="8"/>
  <c r="O112" i="1"/>
  <c r="P112" i="1"/>
  <c r="G139" i="6"/>
  <c r="O139" i="6" s="1"/>
  <c r="D181" i="3"/>
  <c r="B193" i="3" s="1"/>
  <c r="B178" i="3"/>
  <c r="F135" i="4"/>
  <c r="N135" i="4" s="1"/>
  <c r="G137" i="4"/>
  <c r="O137" i="4" s="1"/>
  <c r="M115" i="4"/>
  <c r="N115" i="4" s="1"/>
  <c r="M118" i="4"/>
  <c r="N118" i="4" s="1"/>
  <c r="G133" i="4"/>
  <c r="O133" i="4" s="1"/>
  <c r="K138" i="1"/>
  <c r="J138" i="1"/>
  <c r="F150" i="9"/>
  <c r="N150" i="9" s="1"/>
  <c r="M112" i="4"/>
  <c r="N112" i="4" s="1"/>
  <c r="R76" i="6"/>
  <c r="Q77" i="6"/>
  <c r="R77" i="6" s="1"/>
  <c r="G137" i="9"/>
  <c r="O137" i="9" s="1"/>
  <c r="G148" i="7"/>
  <c r="O148" i="7" s="1"/>
  <c r="M116" i="6"/>
  <c r="N116" i="6" s="1"/>
  <c r="Q77" i="9"/>
  <c r="R77" i="9" s="1"/>
  <c r="R76" i="9"/>
  <c r="M113" i="2"/>
  <c r="N113" i="2" s="1"/>
  <c r="M111" i="2"/>
  <c r="N111" i="2" s="1"/>
  <c r="G132" i="9"/>
  <c r="O132" i="9" s="1"/>
  <c r="F152" i="5"/>
  <c r="N152" i="5" s="1"/>
  <c r="H136" i="7"/>
  <c r="I136" i="7" s="1"/>
  <c r="F149" i="4"/>
  <c r="N149" i="4" s="1"/>
  <c r="G133" i="6"/>
  <c r="O133" i="6" s="1"/>
  <c r="H136" i="8"/>
  <c r="I136" i="8" s="1"/>
  <c r="F133" i="2"/>
  <c r="N133" i="2" s="1"/>
  <c r="C132" i="3"/>
  <c r="B125" i="3"/>
  <c r="E118" i="3" s="1"/>
  <c r="C153" i="3"/>
  <c r="H153" i="3" s="1"/>
  <c r="I153" i="3" s="1"/>
  <c r="F149" i="8"/>
  <c r="N149" i="8" s="1"/>
  <c r="G137" i="2"/>
  <c r="O137" i="2" s="1"/>
  <c r="H135" i="9"/>
  <c r="I135" i="9" s="1"/>
  <c r="M110" i="5"/>
  <c r="G150" i="7"/>
  <c r="O150" i="7" s="1"/>
  <c r="H132" i="4"/>
  <c r="I132" i="4" s="1"/>
  <c r="G146" i="4"/>
  <c r="O146" i="4" s="1"/>
  <c r="H133" i="6"/>
  <c r="I133" i="6" s="1"/>
  <c r="Q77" i="2"/>
  <c r="R77" i="2" s="1"/>
  <c r="R76" i="2"/>
  <c r="K132" i="1"/>
  <c r="J132" i="1"/>
  <c r="M113" i="9"/>
  <c r="N113" i="9" s="1"/>
  <c r="F151" i="5"/>
  <c r="N151" i="5" s="1"/>
  <c r="F137" i="4"/>
  <c r="N137" i="4" s="1"/>
  <c r="M113" i="6"/>
  <c r="N113" i="6" s="1"/>
  <c r="G149" i="6"/>
  <c r="O149" i="6" s="1"/>
  <c r="H134" i="8"/>
  <c r="I134" i="8" s="1"/>
  <c r="G149" i="4"/>
  <c r="O149" i="4" s="1"/>
  <c r="F132" i="4"/>
  <c r="N132" i="4" s="1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N146" i="6" s="1"/>
  <c r="B181" i="6"/>
  <c r="B191" i="6" s="1"/>
  <c r="B202" i="6" s="1"/>
  <c r="M111" i="9"/>
  <c r="N111" i="9" s="1"/>
  <c r="H135" i="4"/>
  <c r="I135" i="4" s="1"/>
  <c r="F138" i="9"/>
  <c r="N138" i="9" s="1"/>
  <c r="F149" i="7"/>
  <c r="N149" i="7" s="1"/>
  <c r="M111" i="6"/>
  <c r="N111" i="6" s="1"/>
  <c r="G152" i="7"/>
  <c r="O152" i="7" s="1"/>
  <c r="J150" i="1"/>
  <c r="K150" i="1"/>
  <c r="F133" i="9"/>
  <c r="N133" i="9" s="1"/>
  <c r="G137" i="7"/>
  <c r="O137" i="7" s="1"/>
  <c r="G132" i="4"/>
  <c r="O132" i="4" s="1"/>
  <c r="F134" i="6"/>
  <c r="N134" i="6" s="1"/>
  <c r="G136" i="2"/>
  <c r="O136" i="2" s="1"/>
  <c r="C133" i="3"/>
  <c r="C149" i="3"/>
  <c r="H149" i="3" s="1"/>
  <c r="I149" i="3" s="1"/>
  <c r="C151" i="3"/>
  <c r="H151" i="3" s="1"/>
  <c r="I151" i="3" s="1"/>
  <c r="M120" i="8"/>
  <c r="N120" i="8" s="1"/>
  <c r="F138" i="2"/>
  <c r="N138" i="2" s="1"/>
  <c r="M116" i="9"/>
  <c r="N116" i="9" s="1"/>
  <c r="F151" i="7"/>
  <c r="N151" i="7" s="1"/>
  <c r="G135" i="4"/>
  <c r="O135" i="4" s="1"/>
  <c r="F147" i="4"/>
  <c r="N147" i="4" s="1"/>
  <c r="G136" i="8"/>
  <c r="O136" i="8" s="1"/>
  <c r="G136" i="5"/>
  <c r="O136" i="5" s="1"/>
  <c r="F137" i="5"/>
  <c r="N137" i="5" s="1"/>
  <c r="G147" i="7"/>
  <c r="O147" i="7" s="1"/>
  <c r="H132" i="8"/>
  <c r="I132" i="8" s="1"/>
  <c r="F150" i="6"/>
  <c r="N150" i="6" s="1"/>
  <c r="O119" i="1"/>
  <c r="P119" i="1"/>
  <c r="J133" i="1"/>
  <c r="K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O134" i="6" s="1"/>
  <c r="R76" i="4"/>
  <c r="Q77" i="4"/>
  <c r="R77" i="4" s="1"/>
  <c r="G138" i="6"/>
  <c r="O138" i="6" s="1"/>
  <c r="M110" i="7"/>
  <c r="G135" i="6"/>
  <c r="O135" i="6" s="1"/>
  <c r="M116" i="4"/>
  <c r="N116" i="4" s="1"/>
  <c r="G136" i="9"/>
  <c r="O136" i="9" s="1"/>
  <c r="M114" i="4"/>
  <c r="N114" i="4" s="1"/>
  <c r="H132" i="6"/>
  <c r="I132" i="6" s="1"/>
  <c r="M110" i="9"/>
  <c r="F138" i="8"/>
  <c r="N138" i="8" s="1"/>
  <c r="F153" i="7"/>
  <c r="N153" i="7" s="1"/>
  <c r="H136" i="2"/>
  <c r="I136" i="2" s="1"/>
  <c r="Y110" i="1"/>
  <c r="M122" i="1"/>
  <c r="N110" i="1"/>
  <c r="M121" i="9"/>
  <c r="N121" i="9" s="1"/>
  <c r="G132" i="5"/>
  <c r="O132" i="5" s="1"/>
  <c r="F138" i="7"/>
  <c r="N138" i="7" s="1"/>
  <c r="F133" i="4"/>
  <c r="N133" i="4" s="1"/>
  <c r="M117" i="6"/>
  <c r="N117" i="6" s="1"/>
  <c r="M119" i="8"/>
  <c r="N119" i="8" s="1"/>
  <c r="F137" i="2"/>
  <c r="N137" i="2" s="1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O152" i="2" s="1"/>
  <c r="G138" i="2"/>
  <c r="O138" i="2" s="1"/>
  <c r="M120" i="9"/>
  <c r="N120" i="9" s="1"/>
  <c r="G138" i="7"/>
  <c r="O138" i="7" s="1"/>
  <c r="F136" i="4"/>
  <c r="N136" i="4" s="1"/>
  <c r="F152" i="6"/>
  <c r="N152" i="6" s="1"/>
  <c r="F137" i="8"/>
  <c r="N137" i="8" s="1"/>
  <c r="M116" i="5"/>
  <c r="N116" i="5" s="1"/>
  <c r="F148" i="7"/>
  <c r="N148" i="7" s="1"/>
  <c r="M112" i="6"/>
  <c r="N112" i="6" s="1"/>
  <c r="G152" i="8"/>
  <c r="O152" i="8" s="1"/>
  <c r="H135" i="8"/>
  <c r="I135" i="8" s="1"/>
  <c r="E110" i="4"/>
  <c r="G126" i="4"/>
  <c r="G127" i="4" s="1"/>
  <c r="E111" i="4"/>
  <c r="M110" i="4"/>
  <c r="G132" i="6"/>
  <c r="O132" i="6" s="1"/>
  <c r="F153" i="6"/>
  <c r="N153" i="6" s="1"/>
  <c r="P120" i="1"/>
  <c r="O120" i="1"/>
  <c r="M113" i="4"/>
  <c r="N113" i="4" s="1"/>
  <c r="F134" i="4"/>
  <c r="N134" i="4" s="1"/>
  <c r="G138" i="4"/>
  <c r="O138" i="4" s="1"/>
  <c r="E122" i="1"/>
  <c r="G135" i="9"/>
  <c r="O135" i="9" s="1"/>
  <c r="F139" i="4"/>
  <c r="N139" i="4" s="1"/>
  <c r="F139" i="6"/>
  <c r="N139" i="6" s="1"/>
  <c r="H135" i="7"/>
  <c r="I135" i="7" s="1"/>
  <c r="G139" i="4"/>
  <c r="O139" i="4" s="1"/>
  <c r="F136" i="6"/>
  <c r="N136" i="6" s="1"/>
  <c r="H133" i="8"/>
  <c r="I133" i="8" s="1"/>
  <c r="G137" i="6"/>
  <c r="O137" i="6" s="1"/>
  <c r="G147" i="9"/>
  <c r="O147" i="9" s="1"/>
  <c r="F137" i="9"/>
  <c r="N137" i="9" s="1"/>
  <c r="Q77" i="7"/>
  <c r="R77" i="7" s="1"/>
  <c r="R76" i="7"/>
  <c r="J135" i="1"/>
  <c r="K135" i="1"/>
  <c r="F134" i="5"/>
  <c r="N134" i="5" s="1"/>
  <c r="F153" i="4"/>
  <c r="N153" i="4" s="1"/>
  <c r="G151" i="8"/>
  <c r="O151" i="8" s="1"/>
  <c r="H132" i="9"/>
  <c r="I132" i="9" s="1"/>
  <c r="H135" i="2"/>
  <c r="I135" i="2" s="1"/>
  <c r="H133" i="9"/>
  <c r="I133" i="9" s="1"/>
  <c r="M134" i="1"/>
  <c r="F133" i="5"/>
  <c r="N133" i="5" s="1"/>
  <c r="F138" i="5"/>
  <c r="N138" i="5" s="1"/>
  <c r="H133" i="7"/>
  <c r="I133" i="7" s="1"/>
  <c r="G151" i="4"/>
  <c r="O151" i="4" s="1"/>
  <c r="M118" i="6"/>
  <c r="N118" i="6" s="1"/>
  <c r="M118" i="8"/>
  <c r="N118" i="8" s="1"/>
  <c r="M117" i="9"/>
  <c r="N117" i="9" s="1"/>
  <c r="C148" i="3"/>
  <c r="H148" i="3" s="1"/>
  <c r="I148" i="3" s="1"/>
  <c r="F153" i="2"/>
  <c r="N153" i="2" s="1"/>
  <c r="F139" i="2"/>
  <c r="N139" i="2" s="1"/>
  <c r="G152" i="9"/>
  <c r="O152" i="9" s="1"/>
  <c r="G151" i="7"/>
  <c r="O151" i="7" s="1"/>
  <c r="F139" i="7"/>
  <c r="N139" i="7" s="1"/>
  <c r="G147" i="4"/>
  <c r="O147" i="4" s="1"/>
  <c r="G136" i="6"/>
  <c r="O136" i="6" s="1"/>
  <c r="M120" i="2"/>
  <c r="N120" i="2" s="1"/>
  <c r="H132" i="2"/>
  <c r="I132" i="2" s="1"/>
  <c r="G151" i="9"/>
  <c r="O151" i="9" s="1"/>
  <c r="G134" i="5"/>
  <c r="O134" i="5" s="1"/>
  <c r="M112" i="7"/>
  <c r="N112" i="7" s="1"/>
  <c r="F153" i="8"/>
  <c r="N153" i="8" s="1"/>
  <c r="G139" i="7"/>
  <c r="O139" i="7" s="1"/>
  <c r="G67" i="1" l="1"/>
  <c r="E113" i="3"/>
  <c r="E120" i="3"/>
  <c r="E121" i="3"/>
  <c r="E119" i="3"/>
  <c r="E117" i="3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M148" i="9"/>
  <c r="U152" i="1"/>
  <c r="AD152" i="1"/>
  <c r="K132" i="9"/>
  <c r="P118" i="5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K147" i="8"/>
  <c r="P118" i="7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J150" i="7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K132" i="5"/>
  <c r="O119" i="9"/>
  <c r="O115" i="5"/>
  <c r="M133" i="2"/>
  <c r="L146" i="6"/>
  <c r="L146" i="8"/>
  <c r="K139" i="5"/>
  <c r="L139" i="5"/>
  <c r="O112" i="8"/>
  <c r="M150" i="9"/>
  <c r="K148" i="8"/>
  <c r="L139" i="2"/>
  <c r="P113" i="1"/>
  <c r="L135" i="8"/>
  <c r="K147" i="9"/>
  <c r="M133" i="7"/>
  <c r="M135" i="8"/>
  <c r="K147" i="7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3" i="1"/>
  <c r="L132" i="7"/>
  <c r="M132" i="8"/>
  <c r="M134" i="4"/>
  <c r="P153" i="1"/>
  <c r="AD153" i="1"/>
  <c r="O121" i="7"/>
  <c r="R153" i="1"/>
  <c r="M132" i="7"/>
  <c r="M153" i="2"/>
  <c r="K149" i="2"/>
  <c r="U153" i="1"/>
  <c r="L135" i="5"/>
  <c r="O120" i="5"/>
  <c r="AE153" i="1"/>
  <c r="M135" i="5"/>
  <c r="K148" i="5"/>
  <c r="L153" i="2"/>
  <c r="P121" i="2"/>
  <c r="P117" i="8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O136" i="3" s="1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L149" i="7"/>
  <c r="L134" i="9"/>
  <c r="P137" i="1"/>
  <c r="M138" i="5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O151" i="3" s="1"/>
  <c r="G153" i="3"/>
  <c r="O153" i="3" s="1"/>
  <c r="K150" i="2"/>
  <c r="M153" i="7"/>
  <c r="M117" i="3"/>
  <c r="N117" i="3" s="1"/>
  <c r="O117" i="3" s="1"/>
  <c r="L134" i="8"/>
  <c r="O115" i="2"/>
  <c r="G133" i="3"/>
  <c r="O133" i="3" s="1"/>
  <c r="J133" i="8"/>
  <c r="G149" i="3"/>
  <c r="O149" i="3" s="1"/>
  <c r="F152" i="3"/>
  <c r="N152" i="3" s="1"/>
  <c r="G150" i="3"/>
  <c r="O150" i="3" s="1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N147" i="3" s="1"/>
  <c r="L146" i="5"/>
  <c r="H133" i="3"/>
  <c r="I133" i="3" s="1"/>
  <c r="G134" i="3"/>
  <c r="O134" i="3" s="1"/>
  <c r="F150" i="3"/>
  <c r="N150" i="3" s="1"/>
  <c r="L134" i="2"/>
  <c r="M152" i="6"/>
  <c r="AD149" i="1"/>
  <c r="F151" i="3"/>
  <c r="N151" i="3" s="1"/>
  <c r="J150" i="2"/>
  <c r="M139" i="9"/>
  <c r="G152" i="3"/>
  <c r="O152" i="3" s="1"/>
  <c r="M114" i="3"/>
  <c r="N114" i="3" s="1"/>
  <c r="P114" i="3" s="1"/>
  <c r="J147" i="7"/>
  <c r="Q138" i="1"/>
  <c r="G135" i="3"/>
  <c r="O135" i="3" s="1"/>
  <c r="R136" i="1"/>
  <c r="K135" i="7"/>
  <c r="L137" i="5"/>
  <c r="G147" i="3"/>
  <c r="O147" i="3" s="1"/>
  <c r="M153" i="8"/>
  <c r="F135" i="3"/>
  <c r="N135" i="3" s="1"/>
  <c r="M134" i="2"/>
  <c r="M152" i="5"/>
  <c r="AF149" i="1"/>
  <c r="G148" i="3"/>
  <c r="O148" i="3" s="1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M152" i="8"/>
  <c r="L152" i="8"/>
  <c r="L135" i="6"/>
  <c r="M135" i="6"/>
  <c r="O116" i="9"/>
  <c r="P116" i="9"/>
  <c r="AF138" i="1"/>
  <c r="V138" i="1"/>
  <c r="U138" i="1"/>
  <c r="AD138" i="1"/>
  <c r="W138" i="1"/>
  <c r="AE138" i="1"/>
  <c r="K152" i="2"/>
  <c r="J152" i="2"/>
  <c r="M147" i="6"/>
  <c r="L147" i="6"/>
  <c r="P110" i="6"/>
  <c r="O110" i="6"/>
  <c r="N122" i="6"/>
  <c r="J136" i="4"/>
  <c r="K136" i="4"/>
  <c r="K137" i="4"/>
  <c r="J137" i="4"/>
  <c r="J139" i="2"/>
  <c r="K139" i="2"/>
  <c r="P117" i="9"/>
  <c r="O117" i="9"/>
  <c r="L139" i="4"/>
  <c r="M139" i="4"/>
  <c r="Q136" i="1"/>
  <c r="K137" i="2"/>
  <c r="J137" i="2"/>
  <c r="M136" i="9"/>
  <c r="L136" i="9"/>
  <c r="E122" i="6"/>
  <c r="J151" i="7"/>
  <c r="K151" i="7"/>
  <c r="P110" i="8"/>
  <c r="N122" i="8"/>
  <c r="O110" i="8"/>
  <c r="H136" i="3"/>
  <c r="I136" i="3" s="1"/>
  <c r="M149" i="6"/>
  <c r="L149" i="6"/>
  <c r="M137" i="2"/>
  <c r="L137" i="2"/>
  <c r="K152" i="5"/>
  <c r="J152" i="5"/>
  <c r="L137" i="9"/>
  <c r="M137" i="9"/>
  <c r="O113" i="5"/>
  <c r="P113" i="5"/>
  <c r="M153" i="5"/>
  <c r="L153" i="5"/>
  <c r="F139" i="3"/>
  <c r="N139" i="3" s="1"/>
  <c r="M151" i="5"/>
  <c r="L151" i="5"/>
  <c r="E122" i="8"/>
  <c r="M153" i="9"/>
  <c r="L153" i="9"/>
  <c r="M149" i="9"/>
  <c r="L149" i="9"/>
  <c r="P111" i="1"/>
  <c r="O111" i="1"/>
  <c r="J135" i="5"/>
  <c r="K135" i="5"/>
  <c r="G137" i="3"/>
  <c r="O137" i="3" s="1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M137" i="4"/>
  <c r="L137" i="4"/>
  <c r="J149" i="6"/>
  <c r="K149" i="6"/>
  <c r="K137" i="6"/>
  <c r="J137" i="6"/>
  <c r="J152" i="4"/>
  <c r="K152" i="4"/>
  <c r="M151" i="9"/>
  <c r="L151" i="9"/>
  <c r="M136" i="6"/>
  <c r="L136" i="6"/>
  <c r="M151" i="4"/>
  <c r="L151" i="4"/>
  <c r="M151" i="8"/>
  <c r="L151" i="8"/>
  <c r="P138" i="1"/>
  <c r="K139" i="4"/>
  <c r="J139" i="4"/>
  <c r="M132" i="6"/>
  <c r="L132" i="6"/>
  <c r="J148" i="7"/>
  <c r="K148" i="7"/>
  <c r="M138" i="7"/>
  <c r="L138" i="7"/>
  <c r="J133" i="4"/>
  <c r="K133" i="4"/>
  <c r="J153" i="7"/>
  <c r="K153" i="7"/>
  <c r="N110" i="9"/>
  <c r="M122" i="9"/>
  <c r="L134" i="6"/>
  <c r="M134" i="6"/>
  <c r="J137" i="5"/>
  <c r="K137" i="5"/>
  <c r="O120" i="8"/>
  <c r="P120" i="8"/>
  <c r="J149" i="7"/>
  <c r="K149" i="7"/>
  <c r="K132" i="4"/>
  <c r="J132" i="4"/>
  <c r="K151" i="5"/>
  <c r="J151" i="5"/>
  <c r="M146" i="4"/>
  <c r="L146" i="4"/>
  <c r="F153" i="3"/>
  <c r="N153" i="3" s="1"/>
  <c r="K133" i="2"/>
  <c r="J133" i="2"/>
  <c r="P113" i="2"/>
  <c r="O113" i="2"/>
  <c r="M122" i="2"/>
  <c r="J135" i="4"/>
  <c r="K135" i="4"/>
  <c r="O115" i="6"/>
  <c r="P115" i="6"/>
  <c r="P112" i="2"/>
  <c r="O112" i="2"/>
  <c r="L132" i="2"/>
  <c r="M132" i="2"/>
  <c r="K138" i="4"/>
  <c r="J138" i="4"/>
  <c r="E122" i="2"/>
  <c r="K147" i="6"/>
  <c r="J147" i="6"/>
  <c r="K148" i="4"/>
  <c r="J148" i="4"/>
  <c r="F134" i="3"/>
  <c r="N134" i="3" s="1"/>
  <c r="J146" i="7"/>
  <c r="K146" i="7"/>
  <c r="J138" i="6"/>
  <c r="K138" i="6"/>
  <c r="R80" i="1"/>
  <c r="R83" i="1" s="1"/>
  <c r="Q80" i="1"/>
  <c r="Q83" i="1" s="1"/>
  <c r="O118" i="8"/>
  <c r="P118" i="8"/>
  <c r="J149" i="8"/>
  <c r="K149" i="8"/>
  <c r="M150" i="5"/>
  <c r="L150" i="5"/>
  <c r="P120" i="2"/>
  <c r="O120" i="2"/>
  <c r="R138" i="1"/>
  <c r="J138" i="2"/>
  <c r="K138" i="2"/>
  <c r="K153" i="4"/>
  <c r="J153" i="4"/>
  <c r="M135" i="9"/>
  <c r="L135" i="9"/>
  <c r="K153" i="6"/>
  <c r="J153" i="6"/>
  <c r="P116" i="5"/>
  <c r="O116" i="5"/>
  <c r="P120" i="9"/>
  <c r="O120" i="9"/>
  <c r="K138" i="7"/>
  <c r="J138" i="7"/>
  <c r="K138" i="8"/>
  <c r="J138" i="8"/>
  <c r="P116" i="4"/>
  <c r="O116" i="4"/>
  <c r="L136" i="5"/>
  <c r="M136" i="5"/>
  <c r="M136" i="2"/>
  <c r="L136" i="2"/>
  <c r="J135" i="9"/>
  <c r="P113" i="9"/>
  <c r="O113" i="9"/>
  <c r="P116" i="6"/>
  <c r="O116" i="6"/>
  <c r="O110" i="2"/>
  <c r="P110" i="2"/>
  <c r="N122" i="2"/>
  <c r="L136" i="4"/>
  <c r="M136" i="4"/>
  <c r="P115" i="8"/>
  <c r="O115" i="8"/>
  <c r="F146" i="3"/>
  <c r="N146" i="3" s="1"/>
  <c r="K146" i="8"/>
  <c r="J146" i="8"/>
  <c r="J136" i="7"/>
  <c r="K136" i="7"/>
  <c r="P120" i="4"/>
  <c r="O120" i="4"/>
  <c r="AE134" i="1"/>
  <c r="AF134" i="1"/>
  <c r="U134" i="1"/>
  <c r="AD134" i="1"/>
  <c r="V134" i="1"/>
  <c r="V137" i="1"/>
  <c r="U137" i="1"/>
  <c r="AD137" i="1"/>
  <c r="AE137" i="1"/>
  <c r="AF137" i="1"/>
  <c r="W137" i="1"/>
  <c r="J146" i="4"/>
  <c r="K146" i="4"/>
  <c r="M120" i="3"/>
  <c r="N120" i="3" s="1"/>
  <c r="M146" i="9"/>
  <c r="L146" i="9"/>
  <c r="E122" i="7"/>
  <c r="O121" i="4"/>
  <c r="P121" i="4"/>
  <c r="L134" i="4"/>
  <c r="P113" i="6"/>
  <c r="O113" i="6"/>
  <c r="M137" i="6"/>
  <c r="L137" i="6"/>
  <c r="P112" i="6"/>
  <c r="O112" i="6"/>
  <c r="J133" i="9"/>
  <c r="K133" i="9"/>
  <c r="M148" i="8"/>
  <c r="L148" i="8"/>
  <c r="J133" i="6"/>
  <c r="K133" i="6"/>
  <c r="J150" i="4"/>
  <c r="K150" i="4"/>
  <c r="K137" i="8"/>
  <c r="J137" i="8"/>
  <c r="L138" i="2"/>
  <c r="M138" i="2"/>
  <c r="M132" i="5"/>
  <c r="L132" i="5"/>
  <c r="O114" i="4"/>
  <c r="P114" i="4"/>
  <c r="M136" i="8"/>
  <c r="L136" i="8"/>
  <c r="J134" i="6"/>
  <c r="K134" i="6"/>
  <c r="AF150" i="1"/>
  <c r="V150" i="1"/>
  <c r="U150" i="1"/>
  <c r="AD150" i="1"/>
  <c r="AE150" i="1"/>
  <c r="K135" i="9"/>
  <c r="M149" i="4"/>
  <c r="L149" i="4"/>
  <c r="M150" i="7"/>
  <c r="L150" i="7"/>
  <c r="M133" i="6"/>
  <c r="L133" i="6"/>
  <c r="L148" i="7"/>
  <c r="M148" i="7"/>
  <c r="P118" i="4"/>
  <c r="O118" i="4"/>
  <c r="J148" i="6"/>
  <c r="K148" i="6"/>
  <c r="L153" i="6"/>
  <c r="M153" i="6"/>
  <c r="E122" i="5"/>
  <c r="M146" i="7"/>
  <c r="L146" i="7"/>
  <c r="K135" i="6"/>
  <c r="J135" i="6"/>
  <c r="P120" i="6"/>
  <c r="O120" i="6"/>
  <c r="M135" i="2"/>
  <c r="L135" i="2"/>
  <c r="R137" i="1"/>
  <c r="U133" i="1"/>
  <c r="AD133" i="1"/>
  <c r="AF133" i="1"/>
  <c r="AE133" i="1"/>
  <c r="W133" i="1"/>
  <c r="V133" i="1"/>
  <c r="M133" i="4"/>
  <c r="L133" i="4"/>
  <c r="K151" i="9"/>
  <c r="J151" i="9"/>
  <c r="AF136" i="1"/>
  <c r="W136" i="1"/>
  <c r="AE136" i="1"/>
  <c r="AD136" i="1"/>
  <c r="V136" i="1"/>
  <c r="U136" i="1"/>
  <c r="K152" i="9"/>
  <c r="J152" i="9"/>
  <c r="M153" i="4"/>
  <c r="L153" i="4"/>
  <c r="K139" i="6"/>
  <c r="J139" i="6"/>
  <c r="P117" i="6"/>
  <c r="O117" i="6"/>
  <c r="M138" i="6"/>
  <c r="L138" i="6"/>
  <c r="M147" i="7"/>
  <c r="L147" i="7"/>
  <c r="P111" i="2"/>
  <c r="O111" i="2"/>
  <c r="O119" i="7"/>
  <c r="P119" i="7"/>
  <c r="M147" i="4"/>
  <c r="L147" i="4"/>
  <c r="J138" i="5"/>
  <c r="K138" i="5"/>
  <c r="J137" i="9"/>
  <c r="K137" i="9"/>
  <c r="M151" i="7"/>
  <c r="L151" i="7"/>
  <c r="K133" i="5"/>
  <c r="J133" i="5"/>
  <c r="P121" i="9"/>
  <c r="O121" i="9"/>
  <c r="K150" i="6"/>
  <c r="J150" i="6"/>
  <c r="K147" i="4"/>
  <c r="J147" i="4"/>
  <c r="M132" i="4"/>
  <c r="L132" i="4"/>
  <c r="M152" i="7"/>
  <c r="L152" i="7"/>
  <c r="J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K149" i="4"/>
  <c r="J149" i="4"/>
  <c r="O112" i="4"/>
  <c r="P112" i="4"/>
  <c r="O115" i="4"/>
  <c r="P115" i="4"/>
  <c r="M112" i="3"/>
  <c r="N112" i="3" s="1"/>
  <c r="M139" i="6"/>
  <c r="L139" i="6"/>
  <c r="O117" i="4"/>
  <c r="P117" i="4"/>
  <c r="M148" i="4"/>
  <c r="L148" i="4"/>
  <c r="K135" i="2"/>
  <c r="J135" i="2"/>
  <c r="P111" i="4"/>
  <c r="O111" i="4"/>
  <c r="P119" i="6"/>
  <c r="O119" i="6"/>
  <c r="K152" i="7"/>
  <c r="J152" i="7"/>
  <c r="M116" i="3"/>
  <c r="N116" i="3" s="1"/>
  <c r="Q137" i="1"/>
  <c r="K153" i="2"/>
  <c r="J153" i="2"/>
  <c r="M132" i="9"/>
  <c r="L132" i="9"/>
  <c r="L136" i="7"/>
  <c r="M136" i="7"/>
  <c r="K151" i="6"/>
  <c r="J151" i="6"/>
  <c r="L134" i="5"/>
  <c r="M134" i="5"/>
  <c r="R76" i="3"/>
  <c r="Q77" i="3"/>
  <c r="R77" i="3" s="1"/>
  <c r="O111" i="6"/>
  <c r="P111" i="6"/>
  <c r="J134" i="9"/>
  <c r="K134" i="9"/>
  <c r="K151" i="4"/>
  <c r="J151" i="4"/>
  <c r="J135" i="7"/>
  <c r="R79" i="1"/>
  <c r="R82" i="1" s="1"/>
  <c r="Q79" i="1"/>
  <c r="Q82" i="1" s="1"/>
  <c r="M139" i="7"/>
  <c r="L139" i="7"/>
  <c r="J153" i="8"/>
  <c r="K153" i="8"/>
  <c r="K139" i="7"/>
  <c r="J139" i="7"/>
  <c r="K134" i="5"/>
  <c r="J134" i="5"/>
  <c r="M147" i="9"/>
  <c r="L147" i="9"/>
  <c r="M138" i="4"/>
  <c r="L138" i="4"/>
  <c r="K134" i="4"/>
  <c r="J134" i="4"/>
  <c r="K152" i="6"/>
  <c r="J152" i="6"/>
  <c r="M152" i="2"/>
  <c r="L152" i="2"/>
  <c r="P133" i="1"/>
  <c r="L152" i="9"/>
  <c r="M152" i="9"/>
  <c r="AE135" i="1"/>
  <c r="AD135" i="1"/>
  <c r="AF135" i="1"/>
  <c r="V135" i="1"/>
  <c r="U135" i="1"/>
  <c r="J136" i="6"/>
  <c r="K136" i="6"/>
  <c r="O113" i="4"/>
  <c r="P113" i="4"/>
  <c r="N110" i="4"/>
  <c r="M122" i="4"/>
  <c r="O110" i="1"/>
  <c r="P110" i="1"/>
  <c r="N122" i="1"/>
  <c r="N110" i="7"/>
  <c r="M122" i="7"/>
  <c r="G146" i="3"/>
  <c r="O146" i="3" s="1"/>
  <c r="A201" i="2"/>
  <c r="A205" i="2" s="1" a="1"/>
  <c r="M135" i="4"/>
  <c r="L135" i="4"/>
  <c r="F149" i="3"/>
  <c r="N149" i="3" s="1"/>
  <c r="L137" i="7"/>
  <c r="M137" i="7"/>
  <c r="M122" i="8"/>
  <c r="K146" i="6"/>
  <c r="J146" i="6"/>
  <c r="F132" i="3"/>
  <c r="N132" i="3" s="1"/>
  <c r="J150" i="9"/>
  <c r="K150" i="9"/>
  <c r="K134" i="7"/>
  <c r="J134" i="7"/>
  <c r="G138" i="3"/>
  <c r="O138" i="3" s="1"/>
  <c r="K133" i="7"/>
  <c r="J133" i="7"/>
  <c r="P120" i="7"/>
  <c r="O120" i="7"/>
  <c r="J132" i="6"/>
  <c r="K132" i="6"/>
  <c r="M118" i="3"/>
  <c r="N118" i="3" s="1"/>
  <c r="O117" i="7"/>
  <c r="P117" i="7"/>
  <c r="J153" i="9"/>
  <c r="K153" i="9"/>
  <c r="K136" i="5"/>
  <c r="J136" i="5"/>
  <c r="J152" i="8"/>
  <c r="K152" i="8"/>
  <c r="J148" i="9"/>
  <c r="K148" i="9"/>
  <c r="J151" i="3" l="1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P132" i="8"/>
  <c r="Q148" i="2"/>
  <c r="K136" i="3"/>
  <c r="P134" i="8"/>
  <c r="P121" i="3"/>
  <c r="J136" i="3"/>
  <c r="M147" i="3"/>
  <c r="K147" i="3"/>
  <c r="M133" i="3"/>
  <c r="M136" i="3"/>
  <c r="Y149" i="1"/>
  <c r="AB149" i="1" s="1"/>
  <c r="P135" i="5"/>
  <c r="P132" i="7"/>
  <c r="M135" i="3"/>
  <c r="K152" i="3"/>
  <c r="K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K137" i="3"/>
  <c r="X151" i="1"/>
  <c r="AA151" i="1" s="1"/>
  <c r="AH147" i="1"/>
  <c r="Q149" i="2"/>
  <c r="Q133" i="8"/>
  <c r="R149" i="2"/>
  <c r="R148" i="5"/>
  <c r="Q148" i="5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K134" i="3"/>
  <c r="J134" i="3"/>
  <c r="P136" i="9"/>
  <c r="Q136" i="9"/>
  <c r="R136" i="9"/>
  <c r="Q150" i="9"/>
  <c r="K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J153" i="3"/>
  <c r="P118" i="3"/>
  <c r="O118" i="3"/>
  <c r="J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L137" i="3"/>
  <c r="M137" i="3"/>
  <c r="Q149" i="9"/>
  <c r="P149" i="9"/>
  <c r="R149" i="9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P156" i="1" l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Q97" i="1" s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P142" i="8"/>
  <c r="P143" i="2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P157" i="3" l="1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B67" i="9" s="1"/>
  <c r="E176" i="1" l="1"/>
  <c r="E177" i="1" s="1"/>
  <c r="E178" i="1" s="1"/>
  <c r="AB113" i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H119" i="9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C182" i="1"/>
  <c r="A195" i="7" a="1"/>
  <c r="A201" i="7"/>
  <c r="A205" i="7" s="1" a="1"/>
  <c r="B182" i="1"/>
  <c r="F186" i="4"/>
  <c r="A202" i="1" l="1"/>
  <c r="C183" i="1"/>
  <c r="D192" i="1" s="1"/>
  <c r="Z192" i="1" s="1"/>
  <c r="B183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205" i="1" a="1"/>
  <c r="A205" i="1" s="1"/>
  <c r="C217" i="1" l="1"/>
  <c r="B216" i="1"/>
  <c r="C218" i="1"/>
  <c r="A217" i="1"/>
  <c r="B217" i="1"/>
  <c r="B218" i="1"/>
  <c r="A216" i="1"/>
  <c r="C216" i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B205" i="1"/>
  <c r="C207" i="1"/>
  <c r="C205" i="1"/>
  <c r="C206" i="1"/>
  <c r="A206" i="1"/>
  <c r="A207" i="1"/>
  <c r="B207" i="1"/>
  <c r="B206" i="1"/>
  <c r="P135" i="1"/>
  <c r="W135" i="1"/>
  <c r="Q135" i="1"/>
  <c r="R135" i="1"/>
  <c r="P134" i="1"/>
  <c r="R134" i="1"/>
  <c r="Q134" i="1"/>
  <c r="W134" i="1"/>
  <c r="R140" i="1" l="1"/>
  <c r="B161" i="1" s="1"/>
  <c r="Q140" i="1"/>
  <c r="B160" i="1" s="1"/>
  <c r="P140" i="1"/>
  <c r="T140" i="1" s="1"/>
  <c r="B166" i="1" l="1"/>
  <c r="E166" i="1" s="1"/>
  <c r="AE192" i="1" s="1"/>
  <c r="B165" i="1"/>
  <c r="E165" i="1" s="1"/>
  <c r="AD191" i="1" s="1"/>
  <c r="B159" i="1"/>
  <c r="B164" i="1" s="1"/>
  <c r="E164" i="1" s="1"/>
  <c r="AD190" i="1" s="1"/>
  <c r="P143" i="1"/>
  <c r="P142" i="1"/>
  <c r="AD192" i="1" l="1"/>
  <c r="I57" i="1"/>
  <c r="I57" i="3" s="1"/>
  <c r="AB192" i="1"/>
  <c r="F187" i="1"/>
  <c r="AC192" i="1"/>
  <c r="I55" i="1"/>
  <c r="I55" i="7" s="1"/>
  <c r="F185" i="1"/>
  <c r="AE190" i="1"/>
  <c r="I56" i="1"/>
  <c r="I56" i="8" s="1"/>
  <c r="AB191" i="1"/>
  <c r="AC190" i="1"/>
  <c r="F186" i="1"/>
  <c r="AB190" i="1"/>
  <c r="AC191" i="1"/>
  <c r="AE191" i="1"/>
  <c r="Q87" i="1"/>
  <c r="Q90" i="1" s="1"/>
  <c r="R87" i="1"/>
  <c r="R90" i="1" s="1"/>
  <c r="I55" i="3" l="1"/>
  <c r="I57" i="9"/>
  <c r="I57" i="7"/>
  <c r="I57" i="5"/>
  <c r="I57" i="8"/>
  <c r="I57" i="2"/>
  <c r="I57" i="4"/>
  <c r="I57" i="6"/>
  <c r="I55" i="4"/>
  <c r="I55" i="8"/>
  <c r="I55" i="2"/>
  <c r="I55" i="6"/>
  <c r="H195" i="1" a="1"/>
  <c r="H196" i="1" s="1"/>
  <c r="I55" i="9"/>
  <c r="I55" i="5"/>
  <c r="I56" i="4"/>
  <c r="I56" i="7"/>
  <c r="I56" i="2"/>
  <c r="I56" i="3"/>
  <c r="L57" i="1"/>
  <c r="L57" i="8" s="1"/>
  <c r="I56" i="9"/>
  <c r="H205" i="1" a="1"/>
  <c r="H205" i="1" s="1"/>
  <c r="H216" i="1" a="1"/>
  <c r="S218" i="1" s="1"/>
  <c r="U218" i="1" s="1"/>
  <c r="W219" i="1" s="1"/>
  <c r="H185" i="1" a="1"/>
  <c r="H185" i="1" s="1"/>
  <c r="J185" i="1" s="1"/>
  <c r="L187" i="1" s="1"/>
  <c r="I56" i="5"/>
  <c r="I56" i="6"/>
  <c r="AB195" i="1" a="1"/>
  <c r="AD197" i="1" s="1"/>
  <c r="H198" i="1" l="1"/>
  <c r="J198" i="1" s="1"/>
  <c r="L198" i="1" s="1"/>
  <c r="H195" i="1"/>
  <c r="J195" i="1" s="1"/>
  <c r="L197" i="1" s="1"/>
  <c r="H197" i="1"/>
  <c r="J197" i="1" s="1"/>
  <c r="L196" i="1" s="1"/>
  <c r="M59" i="1"/>
  <c r="M59" i="6" s="1"/>
  <c r="L57" i="4"/>
  <c r="L57" i="3"/>
  <c r="L57" i="6"/>
  <c r="L57" i="9"/>
  <c r="L57" i="5"/>
  <c r="L57" i="7"/>
  <c r="J217" i="1"/>
  <c r="L217" i="1" s="1"/>
  <c r="J218" i="1"/>
  <c r="L219" i="1" s="1"/>
  <c r="H206" i="1"/>
  <c r="S206" i="1" s="1"/>
  <c r="U206" i="1" s="1"/>
  <c r="W205" i="1" s="1"/>
  <c r="H207" i="1"/>
  <c r="J207" i="1" s="1"/>
  <c r="L206" i="1" s="1"/>
  <c r="H216" i="1"/>
  <c r="J216" i="1" s="1"/>
  <c r="L216" i="1" s="1"/>
  <c r="H187" i="1"/>
  <c r="J187" i="1" s="1"/>
  <c r="L186" i="1" s="1"/>
  <c r="S217" i="1"/>
  <c r="U217" i="1" s="1"/>
  <c r="W217" i="1" s="1"/>
  <c r="H188" i="1"/>
  <c r="J188" i="1" s="1"/>
  <c r="L188" i="1" s="1"/>
  <c r="H186" i="1"/>
  <c r="J186" i="1" s="1"/>
  <c r="L185" i="1" s="1"/>
  <c r="AD198" i="1"/>
  <c r="AE196" i="1"/>
  <c r="AE197" i="1"/>
  <c r="AC197" i="1"/>
  <c r="AB197" i="1"/>
  <c r="AB196" i="1"/>
  <c r="AE198" i="1"/>
  <c r="AC195" i="1"/>
  <c r="AD196" i="1"/>
  <c r="AC196" i="1"/>
  <c r="AB195" i="1"/>
  <c r="AE195" i="1"/>
  <c r="AC198" i="1"/>
  <c r="AB198" i="1"/>
  <c r="AD195" i="1"/>
  <c r="S205" i="1"/>
  <c r="U205" i="1" s="1"/>
  <c r="W207" i="1" s="1"/>
  <c r="J205" i="1"/>
  <c r="L207" i="1" s="1"/>
  <c r="S196" i="1"/>
  <c r="U196" i="1" s="1"/>
  <c r="W195" i="1" s="1"/>
  <c r="J196" i="1"/>
  <c r="L195" i="1" s="1"/>
  <c r="S195" i="1" l="1"/>
  <c r="U195" i="1" s="1"/>
  <c r="W197" i="1" s="1"/>
  <c r="S198" i="1"/>
  <c r="U198" i="1" s="1"/>
  <c r="W198" i="1" s="1"/>
  <c r="S197" i="1"/>
  <c r="U197" i="1" s="1"/>
  <c r="W196" i="1" s="1"/>
  <c r="M59" i="3"/>
  <c r="M57" i="1"/>
  <c r="M57" i="4" s="1"/>
  <c r="M59" i="4"/>
  <c r="M59" i="7"/>
  <c r="M59" i="5"/>
  <c r="M59" i="8"/>
  <c r="M59" i="2"/>
  <c r="M59" i="9"/>
  <c r="J206" i="1"/>
  <c r="L205" i="1" s="1"/>
  <c r="S207" i="1"/>
  <c r="U207" i="1" s="1"/>
  <c r="W206" i="1" s="1"/>
  <c r="S216" i="1"/>
  <c r="U216" i="1" s="1"/>
  <c r="W216" i="1" s="1"/>
  <c r="AG195" i="1" a="1"/>
  <c r="AH198" i="1" s="1"/>
  <c r="Q30" i="1" l="1"/>
  <c r="M57" i="9"/>
  <c r="M57" i="6"/>
  <c r="M57" i="3"/>
  <c r="M57" i="7"/>
  <c r="M57" i="5"/>
  <c r="M57" i="8"/>
  <c r="M57" i="2"/>
  <c r="AJ198" i="1"/>
  <c r="AH196" i="1"/>
  <c r="AI196" i="1"/>
  <c r="AJ196" i="1"/>
  <c r="AH197" i="1"/>
  <c r="AJ197" i="1"/>
  <c r="AI198" i="1"/>
  <c r="AJ195" i="1"/>
  <c r="AG195" i="1"/>
  <c r="AG198" i="1"/>
  <c r="AG197" i="1"/>
  <c r="AI195" i="1"/>
  <c r="AI197" i="1"/>
  <c r="AG196" i="1"/>
  <c r="AH195" i="1"/>
  <c r="AL195" i="1" l="1" a="1"/>
  <c r="AL198" i="1" s="1"/>
  <c r="AL197" i="1" l="1"/>
  <c r="AL196" i="1"/>
  <c r="AL19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<sst xmlns="http://schemas.openxmlformats.org/spreadsheetml/2006/main" count="2463" uniqueCount="236">
  <si>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</si>
  <si>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</si>
  <si>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</si>
  <si>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</si>
  <si>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</si>
  <si>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</si>
  <si>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</si>
  <si>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</si>
  <si>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</si>
  <si>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</si>
  <si>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</si>
  <si>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</si>
  <si>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</si>
  <si>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</si>
  <si>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</si>
  <si>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</si>
  <si>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</si>
  <si>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</si>
  <si>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</si>
  <si>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</si>
  <si>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</si>
  <si>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</si>
  <si>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</si>
  <si>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</si>
  <si>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</si>
  <si>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</si>
  <si>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</si>
  <si>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</si>
  <si>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</si>
  <si>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</si>
  <si>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</si>
  <si>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</si>
  <si>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</si>
  <si>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</si>
  <si>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</si>
  <si>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</si>
  <si>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</si>
  <si>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</si>
  <si>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</si>
  <si>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</si>
  <si>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</si>
  <si>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</si>
  <si>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</si>
  <si>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</si>
  <si>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</si>
  <si>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</si>
  <si>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</si>
  <si>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</si>
  <si>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</si>
  <si>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</si>
  <si>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</si>
  <si>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</si>
  <si>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</si>
  <si>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</si>
  <si>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</si>
  <si>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</si>
  <si>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</si>
  <si>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</si>
  <si>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</si>
  <si>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</si>
  <si>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</si>
  <si>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</si>
  <si>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</si>
  <si>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</si>
  <si>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</si>
  <si>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</si>
  <si>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</si>
  <si>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</si>
  <si>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</si>
  <si>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</si>
  <si>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</si>
  <si>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</si>
  <si>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</si>
  <si>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</si>
  <si>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</si>
  <si>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</si>
  <si>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</si>
  <si>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</si>
  <si>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</si>
  <si>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</si>
  <si>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</si>
  <si>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</si>
  <si>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</si>
  <si>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</si>
  <si>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</si>
  <si>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</si>
  <si>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</si>
  <si>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</si>
  <si>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</si>
  <si>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</si>
  <si>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</si>
  <si>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</si>
  <si>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</si>
  <si>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</si>
  <si>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</si>
  <si>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</si>
  <si>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</si>
  <si>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</si>
  <si>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</si>
  <si>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</si>
  <si>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</si>
  <si>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</si>
  <si>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</si>
  <si>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</si>
  <si>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</si>
  <si>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</si>
  <si>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</si>
  <si>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</si>
  <si>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</si>
  <si>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</si>
  <si>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</si>
  <si>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</si>
  <si>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</si>
  <si>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</si>
  <si>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</si>
  <si>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</si>
  <si>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</si>
  <si>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</si>
  <si>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</si>
  <si>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</si>
  <si>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</si>
  <si>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</si>
  <si>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</si>
  <si>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</si>
  <si>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</si>
  <si>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</si>
  <si>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</si>
  <si>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</si>
  <si>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</si>
  <si>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</si>
  <si>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</si>
  <si>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</si>
  <si>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</si>
  <si>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</si>
  <si>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</si>
  <si>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</si>
  <si>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</si>
  <si>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</si>
  <si>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</si>
  <si>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</si>
  <si>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</si>
  <si>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</si>
  <si>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</si>
  <si>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</si>
  <si>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</si>
  <si>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</si>
  <si>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</si>
  <si>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</si>
  <si>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</si>
  <si>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</si>
  <si>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</si>
  <si>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</si>
  <si>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</si>
  <si>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</si>
  <si>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</si>
  <si>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</si>
  <si>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</si>
  <si>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</si>
  <si>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</si>
  <si>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</si>
  <si>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</si>
  <si>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</si>
  <si>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</si>
  <si>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</si>
  <si>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</si>
  <si>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</si>
  <si>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</si>
  <si>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</si>
  <si>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</si>
  <si>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</si>
  <si>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</si>
  <si>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</si>
  <si>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</si>
  <si>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</si>
  <si>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</si>
  <si>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</si>
  <si>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</si>
  <si>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</si>
  <si>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</si>
  <si>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</si>
  <si>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</si>
  <si>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</si>
  <si>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</si>
  <si>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</si>
  <si>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</si>
  <si>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</si>
  <si>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</si>
  <si>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</si>
  <si>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</si>
  <si>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</si>
  <si>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</si>
  <si>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</si>
  <si>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</si>
  <si>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</si>
  <si>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</si>
  <si>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</si>
  <si>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</si>
  <si>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</si>
  <si>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</si>
  <si>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</si>
  <si>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</si>
  <si>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</si>
  <si>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</si>
  <si>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</si>
  <si>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</si>
  <si>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</si>
  <si>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</si>
  <si>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</si>
  <si>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</si>
  <si>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</si>
  <si>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</si>
  <si>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</si>
  <si>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</si>
  <si>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</si>
  <si>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</si>
  <si>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</si>
  <si>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</si>
  <si>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</si>
  <si>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</si>
  <si>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</si>
  <si>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</si>
  <si>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</si>
  <si>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</si>
  <si>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</si>
  <si>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</si>
  <si>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</si>
  <si>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</si>
  <si>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</si>
  <si>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</si>
  <si>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</si>
  <si>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</si>
  <si>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</si>
  <si>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</si>
  <si>
    <t>Consider Bolt Hole?</t>
  </si>
  <si>
    <t>Stress Block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</si>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</sst>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5.525 ksi
Design Status: OK
SOLUTION IF STRAIN IGNORED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67319B6-2AB7-457E-812A-3776C46B6C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38A583-3099-4C9B-9AFE-EB28D5CB7A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7BDDA9-7BDD-46DA-AB65-37C49B1000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C42ED8-3C3D-427E-B715-8CB7DCFABC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C9EF9D-54C7-4CA4-B799-A9CEBC740C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44982C-235B-4D60-8D1A-DCD422EB4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A3321A-6D9A-4FCF-9CDB-F7CDD7BCF1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802DB8-7FFC-45BD-A07A-833BD64A61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BDEDCE-1C8B-4D0E-9DCB-43BBA99B0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DC2329-E697-44D0-A6A4-FD37701008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DAA107-2B89-456D-8150-CDC208443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A54E83-EE80-4D9C-B665-86C7655462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4.5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7.5</c:v>
                </c:pt>
                <c:pt idx="6">
                  <c:v>2</c:v>
                </c:pt>
                <c:pt idx="7">
                  <c:v>9</c:v>
                </c:pt>
                <c:pt idx="8">
                  <c:v>2</c:v>
                </c:pt>
                <c:pt idx="9">
                  <c:v>10.5</c:v>
                </c:pt>
                <c:pt idx="10">
                  <c:v>2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3">
                    <c:v>
2.5296 kips</c:v>
                  </c:pt>
                  <c:pt idx="5">
                    <c:v>
13.6233 kips</c:v>
                  </c:pt>
                  <c:pt idx="7">
                    <c:v>
24.7169 kips</c:v>
                  </c:pt>
                  <c:pt idx="8">
                    <c:v>
4.4037 kips</c:v>
                  </c:pt>
                  <c:pt idx="9">
                    <c:v>
35.8105 kips</c:v>
                  </c:pt>
                  <c:pt idx="10">
                    <c:v>
9.9549 kips</c:v>
                  </c:pt>
                  <c:pt idx="11">
                    <c:v>
46.9042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Analysis'!$Q$25</c:f>
              <c:strCache>
                <c:ptCount val="1"/>
                <c:pt idx="0">
                  <c:v>P: 50 kips
Mx: 3200 kip-in
My: -1235 kip-in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Analysis'!$B$9</c:f>
              <c:numCache>
                <c:formatCode>General</c:formatCode>
                <c:ptCount val="1"/>
                <c:pt idx="0">
                  <c:v>5.2666666666666666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20.399999999999999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7.4836813688926576</c:v>
                </c:pt>
                <c:pt idx="1">
                  <c:v>-1.8386610905207172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-0.65935993654245451</c:v>
                </c:pt>
                <c:pt idx="1">
                  <c:v>36.570473087950177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1.8151759201618902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7.3274360054313998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</c:v>
                </c:pt>
                <c:pt idx="4">
                  <c:v>#N/A</c:v>
                </c:pt>
                <c:pt idx="5">
                  <c:v>7.5</c:v>
                </c:pt>
                <c:pt idx="6">
                  <c:v>#N/A</c:v>
                </c:pt>
                <c:pt idx="7">
                  <c:v>9</c:v>
                </c:pt>
                <c:pt idx="8">
                  <c:v>2</c:v>
                </c:pt>
                <c:pt idx="9">
                  <c:v>10.5</c:v>
                </c:pt>
                <c:pt idx="10">
                  <c:v>2.0000000000000004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8.0000000000000018</c:v>
                </c:pt>
                <c:pt idx="4">
                  <c:v>#N/A</c:v>
                </c:pt>
                <c:pt idx="5">
                  <c:v>14</c:v>
                </c:pt>
                <c:pt idx="6">
                  <c:v>#N/A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86E6AD-50BC-45D4-8349-1A592D02A1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2BD0A8-3BFD-49CD-A1A1-C5241ACA30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D6E8F6-5B00-47D8-B8DF-4D4C361A3B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D64E88-07CF-42CD-8BD6-499A33D518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70EC56-6D32-4BB3-9215-1F0B1098D5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FF0324-5BD3-43DB-A335-10A40B7450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036FD0-3C92-40B6-8B41-791B3CA439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6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29.227571270435806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5.525 ksi</c:v>
                  </c:pt>
                  <c:pt idx="1">
                    <c:v>0.9954 ksi</c:v>
                  </c:pt>
                  <c:pt idx="3">
                    <c:v>0 ksi</c:v>
                  </c:pt>
                  <c:pt idx="4">
                    <c:v>5.525 ksi</c:v>
                  </c:pt>
                  <c:pt idx="5">
                    <c:v>5.525 ksi</c:v>
                  </c:pt>
                  <c:pt idx="6">
                    <c:v>5.525 ksi</c:v>
                  </c:pt>
                  <c:pt idx="7">
                    <c:v>5.525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6.6199823006141827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2.789920352763815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66F080-4A06-46AB-9460-1E8796E760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AA-44B0-BC48-A52CD247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96E1C2-5CA1-45F3-8055-B7B62C2A43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AA-44B0-BC48-A52CD247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E1ACD3-4066-4B4E-BFB4-47D7347A2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AA-44B0-BC48-A52CD247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279B41-7134-45A7-8900-F4A3CEC4B7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AA-44B0-BC48-A52CD247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46430E-66E2-4792-8534-C63D051BEA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AA-44B0-BC48-A52CD247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5BD869-F8CF-4A23-AF98-2C0D802374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2AA-44B0-BC48-A52CD247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40B5DE-215D-4D8C-BE3B-3BE409E18C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2AA-44B0-BC48-A52CD247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C84F95-4FD8-461A-B8B5-2B73CC7D0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2AA-44B0-BC48-A52CD247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12507225062831639"/>
          <c:w val="0.19671740273727115"/>
          <c:h val="0.850939984843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4.5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7.5</c:v>
                </c:pt>
                <c:pt idx="6">
                  <c:v>2</c:v>
                </c:pt>
                <c:pt idx="7">
                  <c:v>9</c:v>
                </c:pt>
                <c:pt idx="8">
                  <c:v>2</c:v>
                </c:pt>
                <c:pt idx="9">
                  <c:v>10.5</c:v>
                </c:pt>
                <c:pt idx="10">
                  <c:v>2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7AAD7637-18F8-4EBD-BDC3-2493B2D01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5.2666666666666666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20.399999999999999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5.525 ksi
Design Status: OK
SOLUTION IF STRAIN IGNORED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7.4836813688926576</c:v>
                </c:pt>
                <c:pt idx="1">
                  <c:v>-1.8386610905207172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-0.65935993654245451</c:v>
                </c:pt>
                <c:pt idx="1">
                  <c:v>36.570473087950177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1.8151759201618902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7.3274360054313998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</c:v>
                </c:pt>
                <c:pt idx="4">
                  <c:v>#N/A</c:v>
                </c:pt>
                <c:pt idx="5">
                  <c:v>7.5</c:v>
                </c:pt>
                <c:pt idx="6">
                  <c:v>#N/A</c:v>
                </c:pt>
                <c:pt idx="7">
                  <c:v>9</c:v>
                </c:pt>
                <c:pt idx="8">
                  <c:v>2</c:v>
                </c:pt>
                <c:pt idx="9">
                  <c:v>10.5</c:v>
                </c:pt>
                <c:pt idx="10">
                  <c:v>2.0000000000000004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8.0000000000000018</c:v>
                </c:pt>
                <c:pt idx="4">
                  <c:v>#N/A</c:v>
                </c:pt>
                <c:pt idx="5">
                  <c:v>14</c:v>
                </c:pt>
                <c:pt idx="6">
                  <c:v>#N/A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5.2666666666666666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20.399999999999999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-18.509767503382292</c:v>
                </c:pt>
                <c:pt idx="1">
                  <c:v>-19.967171187665297</c:v>
                </c:pt>
                <c:pt idx="2">
                  <c:v>13.011466377658614</c:v>
                </c:pt>
                <c:pt idx="3">
                  <c:v>16.412074974318958</c:v>
                </c:pt>
                <c:pt idx="4">
                  <c:v>-18.509767503382292</c:v>
                </c:pt>
                <c:pt idx="5">
                  <c:v>-18.509767503382292</c:v>
                </c:pt>
                <c:pt idx="6">
                  <c:v>-18.509767503382292</c:v>
                </c:pt>
                <c:pt idx="7">
                  <c:v>-18.509767503382292</c:v>
                </c:pt>
                <c:pt idx="8">
                  <c:v>-18.509767503382292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10.064108740892586</c:v>
                </c:pt>
                <c:pt idx="1">
                  <c:v>4.2438016612757101</c:v>
                </c:pt>
                <c:pt idx="2">
                  <c:v>-12.26102988391149</c:v>
                </c:pt>
                <c:pt idx="3">
                  <c:v>1.3196866351945546</c:v>
                </c:pt>
                <c:pt idx="4">
                  <c:v>10.064108740892586</c:v>
                </c:pt>
                <c:pt idx="5">
                  <c:v>10.064108740892586</c:v>
                </c:pt>
                <c:pt idx="6">
                  <c:v>10.064108740892586</c:v>
                </c:pt>
                <c:pt idx="7">
                  <c:v>10.064108740892586</c:v>
                </c:pt>
                <c:pt idx="8">
                  <c:v>10.064108740892586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-17.055466371604336</c:v>
                </c:pt>
                <c:pt idx="1">
                  <c:v>-17.662717906722257</c:v>
                </c:pt>
                <c:pt idx="2">
                  <c:v>-11.235159291987461</c:v>
                </c:pt>
                <c:pt idx="3">
                  <c:v>-12.206761748176131</c:v>
                </c:pt>
                <c:pt idx="4">
                  <c:v>-5.4148522123705849</c:v>
                </c:pt>
                <c:pt idx="5">
                  <c:v>-6.7508055896300068</c:v>
                </c:pt>
                <c:pt idx="6">
                  <c:v>0.40545486724629032</c:v>
                </c:pt>
                <c:pt idx="7">
                  <c:v>-1.2948494310838825</c:v>
                </c:pt>
                <c:pt idx="8">
                  <c:v>6.225761946863166</c:v>
                </c:pt>
                <c:pt idx="9">
                  <c:v>4.1611067274622418</c:v>
                </c:pt>
                <c:pt idx="10">
                  <c:v>12.046069026480041</c:v>
                </c:pt>
                <c:pt idx="11">
                  <c:v>9.617062886008366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7.6382051529259591</c:v>
                </c:pt>
                <c:pt idx="1">
                  <c:v>5.2130772030855939</c:v>
                </c:pt>
                <c:pt idx="2">
                  <c:v>6.1808014686429535</c:v>
                </c:pt>
                <c:pt idx="3">
                  <c:v>2.3005967488983701</c:v>
                </c:pt>
                <c:pt idx="4">
                  <c:v>4.7233977843599479</c:v>
                </c:pt>
                <c:pt idx="5">
                  <c:v>-0.61188370528885416</c:v>
                </c:pt>
                <c:pt idx="6">
                  <c:v>3.2659941000769432</c:v>
                </c:pt>
                <c:pt idx="7">
                  <c:v>-3.524364159476078</c:v>
                </c:pt>
                <c:pt idx="8">
                  <c:v>1.8085904157939381</c:v>
                </c:pt>
                <c:pt idx="9">
                  <c:v>-6.4368446136633022</c:v>
                </c:pt>
                <c:pt idx="10">
                  <c:v>0.35118673151093294</c:v>
                </c:pt>
                <c:pt idx="11">
                  <c:v>-9.3493250678505255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-20.967171187665297</c:v>
                </c:pt>
                <c:pt idx="1">
                  <c:v>17.412074974318958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2.9647137321963761</c:v>
                </c:pt>
                <c:pt idx="1">
                  <c:v>2.9647137321963761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-18.509767503382292</c:v>
                </c:pt>
                <c:pt idx="1">
                  <c:v>-19.967171187665297</c:v>
                </c:pt>
                <c:pt idx="2">
                  <c:v>0</c:v>
                </c:pt>
                <c:pt idx="3">
                  <c:v>9.8424724941717603</c:v>
                </c:pt>
                <c:pt idx="4">
                  <c:v>-18.509767503382292</c:v>
                </c:pt>
                <c:pt idx="5">
                  <c:v>-18.509767503382292</c:v>
                </c:pt>
                <c:pt idx="6">
                  <c:v>-18.509767503382292</c:v>
                </c:pt>
                <c:pt idx="7">
                  <c:v>-18.509767503382292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10.064108740892586</c:v>
                </c:pt>
                <c:pt idx="1">
                  <c:v>4.2438016612757101</c:v>
                </c:pt>
                <c:pt idx="2">
                  <c:v>0</c:v>
                </c:pt>
                <c:pt idx="3">
                  <c:v>2.9647137321963761</c:v>
                </c:pt>
                <c:pt idx="4">
                  <c:v>10.064108740892586</c:v>
                </c:pt>
                <c:pt idx="5">
                  <c:v>10.064108740892586</c:v>
                </c:pt>
                <c:pt idx="6">
                  <c:v>10.064108740892586</c:v>
                </c:pt>
                <c:pt idx="7">
                  <c:v>10.064108740892586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-19.967171187665297</c:v>
                </c:pt>
                <c:pt idx="1">
                  <c:v>-17.411399739056453</c:v>
                </c:pt>
                <c:pt idx="2">
                  <c:v>0</c:v>
                </c:pt>
                <c:pt idx="3">
                  <c:v>-18.509767503382292</c:v>
                </c:pt>
                <c:pt idx="4">
                  <c:v>-18.509767503382292</c:v>
                </c:pt>
                <c:pt idx="5">
                  <c:v>-18.509767503382292</c:v>
                </c:pt>
                <c:pt idx="6">
                  <c:v>-18.509767503382292</c:v>
                </c:pt>
                <c:pt idx="7">
                  <c:v>-18.509767503382292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4.2438016612757101</c:v>
                </c:pt>
                <c:pt idx="1">
                  <c:v>2.9647137321963761</c:v>
                </c:pt>
                <c:pt idx="2">
                  <c:v>0</c:v>
                </c:pt>
                <c:pt idx="3">
                  <c:v>10.064108740892586</c:v>
                </c:pt>
                <c:pt idx="4">
                  <c:v>10.064108740892586</c:v>
                </c:pt>
                <c:pt idx="5">
                  <c:v>10.064108740892586</c:v>
                </c:pt>
                <c:pt idx="6">
                  <c:v>10.064108740892586</c:v>
                </c:pt>
                <c:pt idx="7">
                  <c:v>10.064108740892586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-11.842686906017919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6.523456492637254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-20.967171187665297</c:v>
                </c:pt>
                <c:pt idx="1">
                  <c:v>20.967171187665297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-20.967171187665297</c:v>
                </c:pt>
                <c:pt idx="1">
                  <c:v>20.967171187665297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-18.509767503382292</c:v>
                </c:pt>
                <c:pt idx="1">
                  <c:v>-18.509767503382292</c:v>
                </c:pt>
                <c:pt idx="2">
                  <c:v>-18.509767503382292</c:v>
                </c:pt>
                <c:pt idx="3">
                  <c:v>-18.509767503382292</c:v>
                </c:pt>
                <c:pt idx="4">
                  <c:v>-18.509767503382292</c:v>
                </c:pt>
                <c:pt idx="5">
                  <c:v>-18.509767503382292</c:v>
                </c:pt>
                <c:pt idx="6">
                  <c:v>-18.509767503382292</c:v>
                </c:pt>
                <c:pt idx="7">
                  <c:v>-18.509767503382292</c:v>
                </c:pt>
                <c:pt idx="8">
                  <c:v>-18.509767503382292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10.064108740892586</c:v>
                </c:pt>
                <c:pt idx="1">
                  <c:v>10.064108740892586</c:v>
                </c:pt>
                <c:pt idx="2">
                  <c:v>10.064108740892586</c:v>
                </c:pt>
                <c:pt idx="3">
                  <c:v>10.064108740892586</c:v>
                </c:pt>
                <c:pt idx="4">
                  <c:v>10.064108740892586</c:v>
                </c:pt>
                <c:pt idx="5">
                  <c:v>10.064108740892586</c:v>
                </c:pt>
                <c:pt idx="6">
                  <c:v>10.064108740892586</c:v>
                </c:pt>
                <c:pt idx="7">
                  <c:v>10.064108740892586</c:v>
                </c:pt>
                <c:pt idx="8">
                  <c:v>10.064108740892586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-18.509767503382292</c:v>
                </c:pt>
                <c:pt idx="1">
                  <c:v>-18.509767503382292</c:v>
                </c:pt>
                <c:pt idx="2">
                  <c:v>-18.509767503382292</c:v>
                </c:pt>
                <c:pt idx="3">
                  <c:v>-18.509767503382292</c:v>
                </c:pt>
                <c:pt idx="4">
                  <c:v>-18.509767503382292</c:v>
                </c:pt>
                <c:pt idx="5">
                  <c:v>-18.509767503382292</c:v>
                </c:pt>
                <c:pt idx="6">
                  <c:v>-18.509767503382292</c:v>
                </c:pt>
                <c:pt idx="7">
                  <c:v>-18.509767503382292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10.064108740892586</c:v>
                </c:pt>
                <c:pt idx="1">
                  <c:v>10.064108740892586</c:v>
                </c:pt>
                <c:pt idx="2">
                  <c:v>10.064108740892586</c:v>
                </c:pt>
                <c:pt idx="3">
                  <c:v>10.064108740892586</c:v>
                </c:pt>
                <c:pt idx="4">
                  <c:v>10.064108740892586</c:v>
                </c:pt>
                <c:pt idx="5">
                  <c:v>10.064108740892586</c:v>
                </c:pt>
                <c:pt idx="6">
                  <c:v>10.064108740892586</c:v>
                </c:pt>
                <c:pt idx="7">
                  <c:v>10.064108740892586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-18.509767503382292</c:v>
                </c:pt>
                <c:pt idx="1">
                  <c:v>-18.509767503382292</c:v>
                </c:pt>
                <c:pt idx="2">
                  <c:v>-18.509767503382292</c:v>
                </c:pt>
                <c:pt idx="3">
                  <c:v>-18.509767503382292</c:v>
                </c:pt>
                <c:pt idx="4">
                  <c:v>-18.509767503382292</c:v>
                </c:pt>
                <c:pt idx="5">
                  <c:v>-18.509767503382292</c:v>
                </c:pt>
                <c:pt idx="6">
                  <c:v>-18.509767503382292</c:v>
                </c:pt>
                <c:pt idx="7">
                  <c:v>-18.509767503382292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10.064108740892586</c:v>
                </c:pt>
                <c:pt idx="1">
                  <c:v>10.064108740892586</c:v>
                </c:pt>
                <c:pt idx="2">
                  <c:v>10.064108740892586</c:v>
                </c:pt>
                <c:pt idx="3">
                  <c:v>10.064108740892586</c:v>
                </c:pt>
                <c:pt idx="4">
                  <c:v>10.064108740892586</c:v>
                </c:pt>
                <c:pt idx="5">
                  <c:v>10.064108740892586</c:v>
                </c:pt>
                <c:pt idx="6">
                  <c:v>10.064108740892586</c:v>
                </c:pt>
                <c:pt idx="7">
                  <c:v>10.064108740892586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-12.206761748176131</c:v>
                </c:pt>
                <c:pt idx="4">
                  <c:v>#N/A</c:v>
                </c:pt>
                <c:pt idx="5">
                  <c:v>-6.7508055896300068</c:v>
                </c:pt>
                <c:pt idx="6">
                  <c:v>#N/A</c:v>
                </c:pt>
                <c:pt idx="7">
                  <c:v>-1.2948494310838825</c:v>
                </c:pt>
                <c:pt idx="8">
                  <c:v>6.225761946863166</c:v>
                </c:pt>
                <c:pt idx="9">
                  <c:v>4.1611067274622418</c:v>
                </c:pt>
                <c:pt idx="10">
                  <c:v>12.046069026480041</c:v>
                </c:pt>
                <c:pt idx="11">
                  <c:v>9.617062886008366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2.3005967488983701</c:v>
                </c:pt>
                <c:pt idx="4">
                  <c:v>#N/A</c:v>
                </c:pt>
                <c:pt idx="5">
                  <c:v>-0.61188370528885416</c:v>
                </c:pt>
                <c:pt idx="6">
                  <c:v>#N/A</c:v>
                </c:pt>
                <c:pt idx="7">
                  <c:v>-3.524364159476078</c:v>
                </c:pt>
                <c:pt idx="8">
                  <c:v>1.8085904157939381</c:v>
                </c:pt>
                <c:pt idx="9">
                  <c:v>-6.4368446136633022</c:v>
                </c:pt>
                <c:pt idx="10">
                  <c:v>0.35118673151093294</c:v>
                </c:pt>
                <c:pt idx="11">
                  <c:v>-9.3493250678505255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0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6.6092800674104595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16.995291601912609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40.161448242897116</c:v>
                </c:pt>
                <c:pt idx="1">
                  <c:v>-26.942888108076197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3.9472262003344714</c:v>
                </c:pt>
                <c:pt idx="1">
                  <c:v>30.043357003490748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40.161448242897116</c:v>
                </c:pt>
                <c:pt idx="1">
                  <c:v>-40.161448242897116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40.161448242897116</c:v>
                </c:pt>
                <c:pt idx="1">
                  <c:v>-40.161448242897116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704850</xdr:colOff>
          <xdr:row>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 Centroid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E3" sqref="E3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209</v>
      </c>
    </row>
    <row r="4" spans="1:1" x14ac:dyDescent="0.25">
      <c r="A4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211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212</v>
      </c>
      <c r="B10" s="2">
        <v>24</v>
      </c>
      <c r="C10" t="s">
        <v>22</v>
      </c>
    </row>
    <row r="12" spans="1:10" x14ac:dyDescent="0.25">
      <c r="A12" t="s">
        <v>0</v>
      </c>
      <c r="B12" t="s">
        <v>202</v>
      </c>
      <c r="H12" t="s">
        <v>133</v>
      </c>
      <c r="I12" t="s">
        <v>201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topLeftCell="A7" zoomScale="85" zoomScaleNormal="85" workbookViewId="0">
      <selection activeCell="I54" sqref="I5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203</v>
      </c>
    </row>
    <row r="2" spans="1:40" x14ac:dyDescent="0.25">
      <c r="A2" s="10" t="s">
        <v>78</v>
      </c>
      <c r="B2" s="7">
        <v>50</v>
      </c>
      <c r="C2" t="s">
        <v>36</v>
      </c>
      <c r="D2" t="s">
        <v>103</v>
      </c>
      <c r="G2" s="1" t="s">
        <v>204</v>
      </c>
      <c r="H2" s="10" t="s">
        <v>185</v>
      </c>
      <c r="I2">
        <f>B2/D22</f>
        <v>0.1388888888888889</v>
      </c>
      <c r="J2" t="s">
        <v>11</v>
      </c>
      <c r="N2" t="s">
        <v>187</v>
      </c>
      <c r="V2" s="10" t="s">
        <v>227</v>
      </c>
      <c r="W2" s="2">
        <v>5</v>
      </c>
      <c r="X2" s="10" t="s">
        <v>22</v>
      </c>
    </row>
    <row r="3" spans="1:40" x14ac:dyDescent="0.25">
      <c r="A3" s="10" t="s">
        <v>79</v>
      </c>
      <c r="B3" s="7">
        <v>3200</v>
      </c>
      <c r="C3" t="s">
        <v>102</v>
      </c>
      <c r="D3" t="str">
        <f>"- Mx puts compression on +y"</f>
        <v>- Mx puts compression on +y</v>
      </c>
      <c r="G3" s="4">
        <f>B3/12</f>
        <v>266.66666666666669</v>
      </c>
      <c r="H3" s="10" t="s">
        <v>176</v>
      </c>
      <c r="I3" s="3">
        <f>B9-E22</f>
        <v>0</v>
      </c>
      <c r="J3" t="s">
        <v>22</v>
      </c>
      <c r="K3" t="s">
        <v>178</v>
      </c>
      <c r="L3" s="4">
        <f>B2*I3</f>
        <v>0</v>
      </c>
      <c r="M3" t="str">
        <f>"+My"</f>
        <v>+My</v>
      </c>
      <c r="N3" s="4">
        <f>L3+B4</f>
        <v>-1235</v>
      </c>
      <c r="O3" t="s">
        <v>102</v>
      </c>
      <c r="V3" s="10" t="s">
        <v>226</v>
      </c>
      <c r="W3" s="2">
        <v>5</v>
      </c>
      <c r="X3" s="10" t="s">
        <v>22</v>
      </c>
    </row>
    <row r="4" spans="1:40" x14ac:dyDescent="0.25">
      <c r="A4" s="10" t="s">
        <v>80</v>
      </c>
      <c r="B4" s="7">
        <v>-1235</v>
      </c>
      <c r="C4" t="s">
        <v>102</v>
      </c>
      <c r="D4" t="str">
        <f>"- My puts compression on -x"</f>
        <v>- My puts compression on -x</v>
      </c>
      <c r="G4" s="4">
        <f>B4/12</f>
        <v>-102.91666666666667</v>
      </c>
      <c r="H4" s="10" t="s">
        <v>177</v>
      </c>
      <c r="I4" s="3">
        <f>C9-F22</f>
        <v>0</v>
      </c>
      <c r="J4" t="s">
        <v>22</v>
      </c>
      <c r="K4" t="s">
        <v>179</v>
      </c>
      <c r="L4" s="4">
        <f>B2*I4*-1</f>
        <v>0</v>
      </c>
      <c r="M4" t="str">
        <f>"+Mx"</f>
        <v>+Mx</v>
      </c>
      <c r="N4" s="4">
        <f>B3+L4</f>
        <v>3200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-0.36832506303229151</v>
      </c>
      <c r="C5" t="s">
        <v>19</v>
      </c>
      <c r="M5" s="10" t="s">
        <v>104</v>
      </c>
      <c r="N5" s="20">
        <f>IF(AND(N4=0,N3=0),0,ATAN2(N4,N3))</f>
        <v>-0.36832506303229151</v>
      </c>
      <c r="O5" t="s">
        <v>19</v>
      </c>
      <c r="P5" t="s">
        <v>186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  <c r="S8" s="8"/>
    </row>
    <row r="9" spans="1:40" x14ac:dyDescent="0.25">
      <c r="B9" s="2">
        <v>5.2666666666666666</v>
      </c>
      <c r="C9" s="2">
        <v>20.399999999999999</v>
      </c>
      <c r="D9" t="s">
        <v>21</v>
      </c>
    </row>
    <row r="11" spans="1:40" x14ac:dyDescent="0.25">
      <c r="A11" t="s">
        <v>0</v>
      </c>
      <c r="B11" t="s">
        <v>202</v>
      </c>
      <c r="E11" s="59" t="str">
        <f>IF(D22&lt;0,"Plate Coordinates entered in the wrong order","")</f>
        <v/>
      </c>
      <c r="N11" t="s">
        <v>175</v>
      </c>
      <c r="AD11" t="s">
        <v>180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181</v>
      </c>
      <c r="AE12" s="18"/>
      <c r="AG12" s="18" t="s">
        <v>182</v>
      </c>
      <c r="AH12" s="18" t="s">
        <v>183</v>
      </c>
      <c r="AK12" s="18" t="s">
        <v>184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G22-(D22*F22*F22)</f>
        <v>36806.400000000023</v>
      </c>
      <c r="O13" s="19">
        <f>H22-(D22*E22*E22)</f>
        <v>3934.3999999999996</v>
      </c>
      <c r="P13" s="19">
        <f>I22-(D22*E22*F22)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N13/(MAX(C13:C20)-F22)</f>
        <v>2359.3846153846166</v>
      </c>
      <c r="V13" s="19">
        <f>N13/(MIN(C13:C20)-F22)</f>
        <v>-1804.2352941176484</v>
      </c>
      <c r="W13" s="19">
        <f>O13/(MIN(B13:B20)-E22)</f>
        <v>-747.03797468354423</v>
      </c>
      <c r="X13" s="19">
        <f>O13/(MAX(B13:B20)-E22)</f>
        <v>450.50381679389307</v>
      </c>
    </row>
    <row r="14" spans="1:40" x14ac:dyDescent="0.25">
      <c r="A14">
        <v>2</v>
      </c>
      <c r="B14" s="7">
        <v>6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L14">
        <f>IF(AND(B14=B15,C14=C15),0,1)</f>
        <v>1</v>
      </c>
      <c r="Y14" s="1">
        <f>$N$13/(C14-$F$22)</f>
        <v>-1804.2352941176484</v>
      </c>
      <c r="Z14">
        <f>$O$13/(B14-$E$22)</f>
        <v>5365.0909090909081</v>
      </c>
      <c r="AA14">
        <f>-1*$B$3/Y14</f>
        <v>1.7736045905059976</v>
      </c>
      <c r="AB14">
        <f>$B$4/Z14</f>
        <v>-0.23019181238986042</v>
      </c>
      <c r="AC14">
        <f>$I$2+AG14+AK14</f>
        <v>1.1543517169427786</v>
      </c>
      <c r="AD14" s="9">
        <f>C14-$F$22</f>
        <v>-20.399999999999999</v>
      </c>
      <c r="AE14">
        <f>(AD14*$N$4*$O$13)/(($N$13*$O$13)-($P$13*$P$13))</f>
        <v>-2.005192500254827</v>
      </c>
      <c r="AF14">
        <f>(AD14*$N$3*$P$13)/(($N$13*$O$13)-($P$13*$P$13))</f>
        <v>0.80440613026820007</v>
      </c>
      <c r="AG14">
        <f>(AE14+AF14)*-1</f>
        <v>1.200786369986627</v>
      </c>
      <c r="AH14" s="9">
        <f>B14-$E$22</f>
        <v>0.73333333333333339</v>
      </c>
      <c r="AI14">
        <f>(-1*AH14*$N$3*$N$13)/(($N$13*$O$13)-($P$13*$P$13))</f>
        <v>0.26024904214559397</v>
      </c>
      <c r="AJ14">
        <f>(-1*AH14*$N$4*$P$13)/(($N$13*$O$13)-($P$13*$P$13))</f>
        <v>-7.4925500212856627E-2</v>
      </c>
      <c r="AK14">
        <f>(AI14+AJ14)*-1</f>
        <v>-0.18532354193273734</v>
      </c>
      <c r="AM14">
        <f>AA14+AB14+$I$2</f>
        <v>1.6823016670050261</v>
      </c>
      <c r="AN14" t="b">
        <f>AM14=AC14</f>
        <v>0</v>
      </c>
    </row>
    <row r="15" spans="1:40" x14ac:dyDescent="0.25">
      <c r="A15">
        <v>3</v>
      </c>
      <c r="B15" s="7">
        <v>14</v>
      </c>
      <c r="C15" s="7">
        <v>36</v>
      </c>
      <c r="D15" s="5">
        <f t="shared" ref="D15:D18" si="0">((B14*C15)-(B15*C14))*0.5</f>
        <v>108</v>
      </c>
      <c r="E15" s="5">
        <f t="shared" ref="E15:E18" si="1">(B15+B14)*((B14*C15)-(B15*C14))*(1/6)</f>
        <v>720</v>
      </c>
      <c r="F15" s="5">
        <f t="shared" ref="F15:F18" si="2">(C15+C14)*((B14*C15)-(B15*C14))*(1/6)</f>
        <v>1296</v>
      </c>
      <c r="G15" s="5">
        <f t="shared" ref="G15:G18" si="3">(((C14*C14)+(C14*C15)+(C15*C15))*((B14*C15)-(B15*C14)))/12</f>
        <v>23328</v>
      </c>
      <c r="H15" s="5">
        <f t="shared" ref="H15:H18" si="4">(((B14*B14)+(B14*B15)+(B15*B15))*((B14*C15)-(B15*C14)))/12</f>
        <v>5688</v>
      </c>
      <c r="I15" s="5">
        <f t="shared" ref="I15:I18" si="5">(((B14*C15)+(2*B14*C14)+(2*B15*C15)+(B15*C14))*((B14*C15)-(B15*C14)))/24</f>
        <v>11016</v>
      </c>
      <c r="J15" s="5">
        <f t="shared" ref="J15:J18" si="6">G15+H15</f>
        <v>29016</v>
      </c>
      <c r="K15">
        <f t="shared" ref="K15:K21" si="7">ATAN2((B15-$E$22),(C15-$F$22))</f>
        <v>1.060438145429182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2359.3846153846166</v>
      </c>
      <c r="Z15">
        <f t="shared" ref="Z15:Z21" si="10">$O$13/(B15-$E$22)</f>
        <v>450.50381679389307</v>
      </c>
      <c r="AA15">
        <f t="shared" ref="AA15:AA21" si="11">-1*$B$3/Y15</f>
        <v>-1.3562858633281161</v>
      </c>
      <c r="AB15">
        <f t="shared" ref="AB15:AB21" si="12">$B$4/Z15</f>
        <v>-2.7413752202792465</v>
      </c>
      <c r="AC15">
        <f t="shared" ref="AC15:AC21" si="13">$I$2+AG15+AK15</f>
        <v>-2.9863944201608108</v>
      </c>
      <c r="AD15" s="9">
        <f t="shared" ref="AD15:AD21" si="14">C15-$F$22</f>
        <v>15.600000000000001</v>
      </c>
      <c r="AE15">
        <f t="shared" ref="AE15:AE21" si="15">(AD15*$N$4*$O$13)/(($N$13*$O$13)-($P$13*$P$13))</f>
        <v>1.5333825001948682</v>
      </c>
      <c r="AF15">
        <f t="shared" ref="AF15:AF21" si="16">(AD15*$N$3*$P$13)/(($N$13*$O$13)-($P$13*$P$13))</f>
        <v>-0.61513409961685894</v>
      </c>
      <c r="AG15">
        <f t="shared" ref="AG15:AG21" si="17">(AE15+AF15)*-1</f>
        <v>-0.91824840057800927</v>
      </c>
      <c r="AH15" s="9">
        <f t="shared" ref="AH15:AH21" si="18">B15-$E$22</f>
        <v>8.7333333333333343</v>
      </c>
      <c r="AI15">
        <f t="shared" ref="AI15:AI21" si="19">(-1*AH15*$N$3*$N$13)/(($N$13*$O$13)-($P$13*$P$13))</f>
        <v>3.0993295019157103</v>
      </c>
      <c r="AJ15">
        <f t="shared" ref="AJ15:AJ21" si="20">(-1*AH15*$N$4*$P$13)/(($N$13*$O$13)-($P$13*$P$13))</f>
        <v>-0.89229459344401985</v>
      </c>
      <c r="AK15">
        <f t="shared" ref="AK15:AK21" si="21">(AI15+AJ15)*-1</f>
        <v>-2.2070349084716905</v>
      </c>
      <c r="AM15">
        <f t="shared" ref="AM15:AM21" si="22">AA15+AB15+$I$2</f>
        <v>-3.9587721947184735</v>
      </c>
      <c r="AN15" t="b">
        <f t="shared" ref="AN15:AN21" si="23">AM15=AC15</f>
        <v>0</v>
      </c>
    </row>
    <row r="16" spans="1:40" x14ac:dyDescent="0.25">
      <c r="A16">
        <v>4</v>
      </c>
      <c r="B16" s="7">
        <v>0</v>
      </c>
      <c r="C16" s="7"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2359.3846153846166</v>
      </c>
      <c r="Z16">
        <f t="shared" si="10"/>
        <v>-747.03797468354423</v>
      </c>
      <c r="AA16">
        <f t="shared" si="11"/>
        <v>-1.3562858633281161</v>
      </c>
      <c r="AB16">
        <f t="shared" si="12"/>
        <v>1.6531957435271791</v>
      </c>
      <c r="AC16">
        <f t="shared" si="13"/>
        <v>0.55160047128235679</v>
      </c>
      <c r="AD16" s="9">
        <f t="shared" si="14"/>
        <v>15.600000000000001</v>
      </c>
      <c r="AE16">
        <f t="shared" si="15"/>
        <v>1.5333825001948682</v>
      </c>
      <c r="AF16">
        <f t="shared" si="16"/>
        <v>-0.61513409961685894</v>
      </c>
      <c r="AG16">
        <f t="shared" si="17"/>
        <v>-0.91824840057800927</v>
      </c>
      <c r="AH16" s="9">
        <f t="shared" si="18"/>
        <v>-5.2666666666666666</v>
      </c>
      <c r="AI16">
        <f t="shared" si="19"/>
        <v>-1.8690613026819929</v>
      </c>
      <c r="AJ16">
        <f t="shared" si="20"/>
        <v>0.53810131971051567</v>
      </c>
      <c r="AK16">
        <f t="shared" si="21"/>
        <v>1.3309599829714771</v>
      </c>
      <c r="AM16">
        <f t="shared" si="22"/>
        <v>0.43579876908795195</v>
      </c>
      <c r="AN16" t="b">
        <f t="shared" si="23"/>
        <v>0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L17">
        <f t="shared" si="8"/>
        <v>0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9"/>
        <v>-1804.2352941176484</v>
      </c>
      <c r="Z17">
        <f t="shared" si="10"/>
        <v>-747.03797468354423</v>
      </c>
      <c r="AA17">
        <f t="shared" si="11"/>
        <v>1.7736045905059976</v>
      </c>
      <c r="AB17">
        <f t="shared" si="12"/>
        <v>1.6531957435271791</v>
      </c>
      <c r="AC17">
        <f t="shared" si="13"/>
        <v>2.670635241846993</v>
      </c>
      <c r="AD17" s="9">
        <f t="shared" si="14"/>
        <v>-20.399999999999999</v>
      </c>
      <c r="AE17">
        <f t="shared" si="15"/>
        <v>-2.005192500254827</v>
      </c>
      <c r="AF17">
        <f t="shared" si="16"/>
        <v>0.80440613026820007</v>
      </c>
      <c r="AG17">
        <f t="shared" si="17"/>
        <v>1.200786369986627</v>
      </c>
      <c r="AH17" s="9">
        <f t="shared" si="18"/>
        <v>-5.2666666666666666</v>
      </c>
      <c r="AI17">
        <f t="shared" si="19"/>
        <v>-1.8690613026819929</v>
      </c>
      <c r="AJ17">
        <f t="shared" si="20"/>
        <v>0.53810131971051567</v>
      </c>
      <c r="AK17">
        <f t="shared" si="21"/>
        <v>1.3309599829714771</v>
      </c>
      <c r="AM17">
        <f t="shared" si="22"/>
        <v>3.5656892229220656</v>
      </c>
      <c r="AN17" t="b">
        <f t="shared" si="23"/>
        <v>0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-1804.2352941176484</v>
      </c>
      <c r="Z18">
        <f t="shared" si="10"/>
        <v>-747.03797468354423</v>
      </c>
      <c r="AA18">
        <f t="shared" si="11"/>
        <v>1.7736045905059976</v>
      </c>
      <c r="AB18">
        <f t="shared" si="12"/>
        <v>1.6531957435271791</v>
      </c>
      <c r="AC18">
        <f t="shared" si="13"/>
        <v>2.670635241846993</v>
      </c>
      <c r="AD18" s="9">
        <f t="shared" si="14"/>
        <v>-20.399999999999999</v>
      </c>
      <c r="AE18">
        <f t="shared" si="15"/>
        <v>-2.005192500254827</v>
      </c>
      <c r="AF18">
        <f t="shared" si="16"/>
        <v>0.80440613026820007</v>
      </c>
      <c r="AG18">
        <f t="shared" si="17"/>
        <v>1.200786369986627</v>
      </c>
      <c r="AH18" s="9">
        <f t="shared" si="18"/>
        <v>-5.2666666666666666</v>
      </c>
      <c r="AI18">
        <f t="shared" si="19"/>
        <v>-1.8690613026819929</v>
      </c>
      <c r="AJ18">
        <f t="shared" si="20"/>
        <v>0.53810131971051567</v>
      </c>
      <c r="AK18">
        <f t="shared" si="21"/>
        <v>1.3309599829714771</v>
      </c>
      <c r="AM18">
        <f t="shared" si="22"/>
        <v>3.5656892229220656</v>
      </c>
      <c r="AN18" t="b">
        <f t="shared" si="23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-1.8234494363342473</v>
      </c>
      <c r="L19">
        <f t="shared" si="8"/>
        <v>0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9"/>
        <v>-1804.2352941176484</v>
      </c>
      <c r="Z19">
        <f t="shared" si="10"/>
        <v>-747.03797468354423</v>
      </c>
      <c r="AA19">
        <f t="shared" si="11"/>
        <v>1.7736045905059976</v>
      </c>
      <c r="AB19">
        <f t="shared" si="12"/>
        <v>1.6531957435271791</v>
      </c>
      <c r="AC19">
        <f t="shared" si="13"/>
        <v>2.670635241846993</v>
      </c>
      <c r="AD19" s="9">
        <f t="shared" si="14"/>
        <v>-20.399999999999999</v>
      </c>
      <c r="AE19">
        <f t="shared" si="15"/>
        <v>-2.005192500254827</v>
      </c>
      <c r="AF19">
        <f t="shared" si="16"/>
        <v>0.80440613026820007</v>
      </c>
      <c r="AG19">
        <f t="shared" si="17"/>
        <v>1.200786369986627</v>
      </c>
      <c r="AH19" s="9">
        <f t="shared" si="18"/>
        <v>-5.2666666666666666</v>
      </c>
      <c r="AI19">
        <f t="shared" si="19"/>
        <v>-1.8690613026819929</v>
      </c>
      <c r="AJ19">
        <f t="shared" si="20"/>
        <v>0.53810131971051567</v>
      </c>
      <c r="AK19">
        <f t="shared" si="21"/>
        <v>1.3309599829714771</v>
      </c>
      <c r="AM19">
        <f t="shared" si="22"/>
        <v>3.5656892229220656</v>
      </c>
      <c r="AN19" t="b">
        <f t="shared" si="23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-1.8234494363342473</v>
      </c>
      <c r="L20">
        <f t="shared" si="8"/>
        <v>0</v>
      </c>
      <c r="Y20" s="1">
        <f t="shared" si="9"/>
        <v>-1804.2352941176484</v>
      </c>
      <c r="Z20">
        <f t="shared" si="10"/>
        <v>-747.03797468354423</v>
      </c>
      <c r="AA20">
        <f t="shared" si="11"/>
        <v>1.7736045905059976</v>
      </c>
      <c r="AB20">
        <f t="shared" si="12"/>
        <v>1.6531957435271791</v>
      </c>
      <c r="AC20">
        <f t="shared" si="13"/>
        <v>2.670635241846993</v>
      </c>
      <c r="AD20" s="9">
        <f t="shared" si="14"/>
        <v>-20.399999999999999</v>
      </c>
      <c r="AE20">
        <f t="shared" si="15"/>
        <v>-2.005192500254827</v>
      </c>
      <c r="AF20">
        <f t="shared" si="16"/>
        <v>0.80440613026820007</v>
      </c>
      <c r="AG20">
        <f t="shared" si="17"/>
        <v>1.200786369986627</v>
      </c>
      <c r="AH20" s="9">
        <f t="shared" si="18"/>
        <v>-5.2666666666666666</v>
      </c>
      <c r="AI20">
        <f t="shared" si="19"/>
        <v>-1.8690613026819929</v>
      </c>
      <c r="AJ20">
        <f t="shared" si="20"/>
        <v>0.53810131971051567</v>
      </c>
      <c r="AK20">
        <f t="shared" si="21"/>
        <v>1.3309599829714771</v>
      </c>
      <c r="AM20">
        <f t="shared" si="22"/>
        <v>3.5656892229220656</v>
      </c>
      <c r="AN20" t="b">
        <f t="shared" si="23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-1.8234494363342473</v>
      </c>
      <c r="L21">
        <v>1</v>
      </c>
      <c r="Y21" s="1">
        <f t="shared" si="9"/>
        <v>-1804.2352941176484</v>
      </c>
      <c r="Z21">
        <f t="shared" si="10"/>
        <v>-747.03797468354423</v>
      </c>
      <c r="AA21">
        <f t="shared" si="11"/>
        <v>1.7736045905059976</v>
      </c>
      <c r="AB21">
        <f t="shared" si="12"/>
        <v>1.6531957435271791</v>
      </c>
      <c r="AC21">
        <f t="shared" si="13"/>
        <v>2.670635241846993</v>
      </c>
      <c r="AD21" s="9">
        <f t="shared" si="14"/>
        <v>-20.399999999999999</v>
      </c>
      <c r="AE21">
        <f t="shared" si="15"/>
        <v>-2.005192500254827</v>
      </c>
      <c r="AF21">
        <f t="shared" si="16"/>
        <v>0.80440613026820007</v>
      </c>
      <c r="AG21">
        <f t="shared" si="17"/>
        <v>1.200786369986627</v>
      </c>
      <c r="AH21" s="9">
        <f t="shared" si="18"/>
        <v>-5.2666666666666666</v>
      </c>
      <c r="AI21">
        <f t="shared" si="19"/>
        <v>-1.8690613026819929</v>
      </c>
      <c r="AJ21">
        <f t="shared" si="20"/>
        <v>0.53810131971051567</v>
      </c>
      <c r="AK21">
        <f t="shared" si="21"/>
        <v>1.3309599829714771</v>
      </c>
      <c r="AM21">
        <f t="shared" si="22"/>
        <v>3.5656892229220656</v>
      </c>
      <c r="AN21" t="b">
        <f t="shared" si="23"/>
        <v>0</v>
      </c>
    </row>
    <row r="22" spans="1:40" x14ac:dyDescent="0.25">
      <c r="D22" s="5">
        <f>SUM(D13:D21)</f>
        <v>360</v>
      </c>
      <c r="E22" s="3">
        <f>SUM(E14:E21)/D22</f>
        <v>5.2666666666666666</v>
      </c>
      <c r="F22" s="3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  <c r="AC22">
        <f>COUNTIF(AC14:AC21,"&gt;0")</f>
        <v>7</v>
      </c>
    </row>
    <row r="23" spans="1:40" x14ac:dyDescent="0.25">
      <c r="A23" t="s">
        <v>133</v>
      </c>
      <c r="B23" t="s">
        <v>201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1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50 kips
Mx: 3200 kip-in
My: -1235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2.670635241846993</v>
      </c>
      <c r="AD26">
        <f>COUNTIFS(AC14:AC21,AC26,L14:L21,1)</f>
        <v>1</v>
      </c>
      <c r="AE26">
        <f>SUMIF(AC14:AC21,AC26,B14:B21)/AD26</f>
        <v>0</v>
      </c>
      <c r="AF26">
        <f>SUMIF(AC14:AC21,AC26,C14:C21)/AD26</f>
        <v>0</v>
      </c>
      <c r="AG26" t="s">
        <v>199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-2.9863944201608108</v>
      </c>
      <c r="AD27">
        <f>COUNTIFS(AC14:AC21,AC27,L14:L21,1)</f>
        <v>1</v>
      </c>
      <c r="AE27">
        <f>SUMIF(AC14:AC21,AC27,B14:B21)/AD27</f>
        <v>14</v>
      </c>
      <c r="AF27">
        <f>SUMIF(AC14:AC21,AC27,C14:C21)/AD27</f>
        <v>36</v>
      </c>
      <c r="AG27" t="s">
        <v>198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191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195</v>
      </c>
      <c r="AE29">
        <f>SQRT(POWER(AE27-AE26,2)+POWER(AF27-AF26,2))</f>
        <v>38.626415831655933</v>
      </c>
      <c r="AG29">
        <f>(AE27-AE26)</f>
        <v>14</v>
      </c>
      <c r="AH29">
        <f>AF27-AF26</f>
        <v>36</v>
      </c>
      <c r="AJ29">
        <f>AG29/AE29</f>
        <v>0.36244626115494838</v>
      </c>
      <c r="AK29">
        <f>AH29/AE29</f>
        <v>0.93200467154129585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5.525 ksi
Design Status: OK
SOLUTION IF STRAIN IGNORED</v>
      </c>
      <c r="AD30" t="s">
        <v>196</v>
      </c>
      <c r="AE30">
        <f>(AC27-AC26)/AE29</f>
        <v>-0.14645494644552642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1.1999050379822342</v>
      </c>
      <c r="AK31" t="s">
        <v>192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188</v>
      </c>
      <c r="AE32">
        <f>IF(AND(AG29=0,AH29=0),0,(-1*AC26/AE30))</f>
        <v>18.235200016547953</v>
      </c>
      <c r="AF32" t="s">
        <v>194</v>
      </c>
      <c r="AJ32">
        <f>AJ31+(PI()/2)</f>
        <v>2.770701364777131</v>
      </c>
      <c r="AK32" t="s">
        <v>193</v>
      </c>
    </row>
    <row r="33" spans="1:48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219</v>
      </c>
      <c r="AJ33">
        <f>AJ31-(PI()/2)</f>
        <v>-0.37089128881266231</v>
      </c>
    </row>
    <row r="34" spans="1:48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218</v>
      </c>
      <c r="W34" s="3">
        <f>SQRT(D22/W36)</f>
        <v>18.973665961010276</v>
      </c>
      <c r="X34" t="s">
        <v>221</v>
      </c>
      <c r="AD34" t="s">
        <v>197</v>
      </c>
      <c r="AE34">
        <f>AE32/AE29</f>
        <v>0.47209143338646137</v>
      </c>
    </row>
    <row r="35" spans="1:48" x14ac:dyDescent="0.25">
      <c r="A35" t="s">
        <v>4</v>
      </c>
      <c r="Q35" t="s">
        <v>25</v>
      </c>
      <c r="T35" t="s">
        <v>14</v>
      </c>
      <c r="V35" s="1" t="s">
        <v>200</v>
      </c>
      <c r="W35" s="67">
        <v>5.2105010572168808</v>
      </c>
      <c r="X35" s="1" t="s">
        <v>22</v>
      </c>
      <c r="AE35" t="s">
        <v>189</v>
      </c>
      <c r="AF35" t="s">
        <v>190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213</v>
      </c>
      <c r="W36" s="65">
        <f>W3/W2</f>
        <v>1</v>
      </c>
      <c r="X36" s="63" t="s">
        <v>220</v>
      </c>
      <c r="AE36">
        <f>AE26+(AE34*(AE27-AE26))</f>
        <v>6.6092800674104595</v>
      </c>
      <c r="AF36">
        <f>AF26+(AE34*(AF27-AF26))</f>
        <v>16.995291601912609</v>
      </c>
      <c r="AI36">
        <f>MAX(B13:C21)*-1</f>
        <v>-36</v>
      </c>
      <c r="AJ36">
        <f>AE36+(AI36*COS(AJ32))</f>
        <v>40.161448242897116</v>
      </c>
      <c r="AK36">
        <f>AF36+(AI36*SIN(AJ32))</f>
        <v>3.9472262003344714</v>
      </c>
    </row>
    <row r="37" spans="1:48" x14ac:dyDescent="0.25">
      <c r="A37">
        <v>1</v>
      </c>
      <c r="B37" s="7">
        <v>2</v>
      </c>
      <c r="C37" s="7">
        <v>2</v>
      </c>
      <c r="D37" s="13" t="s">
        <v>2</v>
      </c>
      <c r="Q37" s="12">
        <f>IF($D37="y",B37,NA())</f>
        <v>2</v>
      </c>
      <c r="R37" s="12">
        <f>IF($D37="y",C37,NA())</f>
        <v>2</v>
      </c>
      <c r="T37" s="4">
        <f>MAX(MAX(B13:B20),MAX(C13:C20))</f>
        <v>36</v>
      </c>
      <c r="U37" s="1">
        <f>T37</f>
        <v>36</v>
      </c>
      <c r="V37" s="1" t="s">
        <v>214</v>
      </c>
      <c r="W37" s="66">
        <f>W35*(W36*W35)</f>
        <v>27.149321267258234</v>
      </c>
      <c r="X37" s="1" t="s">
        <v>22</v>
      </c>
      <c r="AA37" t="str">
        <f>IF(W44=0,"Reduced Bearing Area","")</f>
        <v/>
      </c>
      <c r="AI37">
        <f>-1*AI36</f>
        <v>36</v>
      </c>
      <c r="AJ37">
        <f>AE36+(AI37*COS(AJ32))</f>
        <v>-26.942888108076197</v>
      </c>
      <c r="AK37">
        <f>AF36+(AI37*SIN(AJ32))</f>
        <v>30.043357003490748</v>
      </c>
    </row>
    <row r="38" spans="1:48" x14ac:dyDescent="0.25">
      <c r="A38">
        <v>2</v>
      </c>
      <c r="B38" s="7">
        <v>4.5</v>
      </c>
      <c r="C38" s="7">
        <v>2</v>
      </c>
      <c r="D38" s="13" t="s">
        <v>2</v>
      </c>
      <c r="Q38" s="12">
        <f t="shared" ref="Q38:Q48" si="46">IF($D38="y",B38,NA())</f>
        <v>4.5</v>
      </c>
      <c r="R38" s="12">
        <f t="shared" ref="R38:R48" si="47">IF($D38="y",C38,NA())</f>
        <v>2</v>
      </c>
      <c r="V38" s="1" t="s">
        <v>215</v>
      </c>
      <c r="W38" s="3">
        <f>W35*POWER(W36*W35,2)*(1/6)</f>
        <v>23.576927860961625</v>
      </c>
      <c r="X38" s="1" t="s">
        <v>217</v>
      </c>
      <c r="Y38" s="1" t="s">
        <v>1</v>
      </c>
      <c r="Z38" s="1" t="s">
        <v>2</v>
      </c>
      <c r="AA38" s="1" t="s">
        <v>224</v>
      </c>
      <c r="AB38" s="1" t="s">
        <v>225</v>
      </c>
      <c r="AM38" s="9" cm="1">
        <f t="array" ref="AM38">MAX(ABS(AJ36:AJ37),ABS(AE36),ABS(AE26:AE27),ABS(B13:B21),ABS(C13:C21),ABS(AK36:AK37),ABS(AF36),ABS(AF26:AF27))</f>
        <v>40.161448242897116</v>
      </c>
      <c r="AN38" s="9">
        <f>AM38</f>
        <v>40.161448242897116</v>
      </c>
    </row>
    <row r="39" spans="1:48" x14ac:dyDescent="0.25">
      <c r="A39">
        <v>3</v>
      </c>
      <c r="B39" s="7">
        <v>2</v>
      </c>
      <c r="C39" s="7">
        <v>8</v>
      </c>
      <c r="D39" s="13" t="s">
        <v>2</v>
      </c>
      <c r="Q39" s="12">
        <f t="shared" si="46"/>
        <v>2</v>
      </c>
      <c r="R39" s="12">
        <f t="shared" si="47"/>
        <v>8</v>
      </c>
      <c r="V39" s="1" t="s">
        <v>216</v>
      </c>
      <c r="W39" s="3">
        <f>(W36*W35)*POWER(W35,2)*(1/6)</f>
        <v>23.576927860961625</v>
      </c>
      <c r="X39" s="1" t="s">
        <v>217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-40.161448242897116</v>
      </c>
      <c r="AN39">
        <f>AM39</f>
        <v>-40.161448242897116</v>
      </c>
    </row>
    <row r="40" spans="1:48" x14ac:dyDescent="0.25">
      <c r="A40">
        <v>4</v>
      </c>
      <c r="B40" s="7">
        <v>6</v>
      </c>
      <c r="C40" s="7">
        <v>8</v>
      </c>
      <c r="D40" s="13" t="s">
        <v>2</v>
      </c>
      <c r="Q40" s="12">
        <f t="shared" si="46"/>
        <v>6</v>
      </c>
      <c r="R40" s="12">
        <f t="shared" si="47"/>
        <v>8</v>
      </c>
      <c r="W40" s="3">
        <f>(B2/W37)+(B3/W38)+(B4/W39)</f>
        <v>85.185858564253039</v>
      </c>
      <c r="X40" s="1" t="s">
        <v>11</v>
      </c>
      <c r="Y40" s="5">
        <f>W35</f>
        <v>5.2105010572168808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2</v>
      </c>
      <c r="C41" s="7">
        <v>14</v>
      </c>
      <c r="D41" s="13" t="s">
        <v>2</v>
      </c>
      <c r="Q41" s="12">
        <f t="shared" si="46"/>
        <v>2</v>
      </c>
      <c r="R41" s="12">
        <f t="shared" si="47"/>
        <v>14</v>
      </c>
      <c r="W41" s="3">
        <f>(B2/W37)-(B3/W38)-(B4/W39)</f>
        <v>-81.502525230959037</v>
      </c>
      <c r="X41" s="1" t="s">
        <v>11</v>
      </c>
      <c r="Y41" s="5">
        <f>W35</f>
        <v>5.2105010572168808</v>
      </c>
      <c r="Z41" s="5">
        <f>W35*W36</f>
        <v>5.2105010572168808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7.5</v>
      </c>
      <c r="C42" s="7">
        <v>14</v>
      </c>
      <c r="D42" s="13" t="s">
        <v>2</v>
      </c>
      <c r="Q42" s="12">
        <f t="shared" si="46"/>
        <v>7.5</v>
      </c>
      <c r="R42" s="12">
        <f t="shared" si="47"/>
        <v>14</v>
      </c>
      <c r="W42" s="3">
        <f>(B2/W37)+(B3/W38)-(B4/W39)</f>
        <v>189.94929570780872</v>
      </c>
      <c r="X42" s="1" t="s">
        <v>11</v>
      </c>
      <c r="Y42" s="5">
        <v>0</v>
      </c>
      <c r="Z42" s="5">
        <f>Z41</f>
        <v>5.2105010572168808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2</v>
      </c>
      <c r="C43" s="7">
        <v>20</v>
      </c>
      <c r="D43" s="13" t="s">
        <v>2</v>
      </c>
      <c r="Q43" s="12">
        <f t="shared" si="46"/>
        <v>2</v>
      </c>
      <c r="R43" s="12">
        <f t="shared" si="47"/>
        <v>20</v>
      </c>
      <c r="W43" s="3">
        <f>(B2/W37)-(B3/W38)+(B4/W39)</f>
        <v>-186.26596237451471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9</v>
      </c>
      <c r="C44" s="7">
        <v>20</v>
      </c>
      <c r="D44" s="13" t="s">
        <v>2</v>
      </c>
      <c r="Q44" s="12">
        <f t="shared" si="46"/>
        <v>9</v>
      </c>
      <c r="R44" s="12">
        <f t="shared" si="47"/>
        <v>20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2</v>
      </c>
      <c r="C45" s="7">
        <v>26</v>
      </c>
      <c r="D45" s="13" t="s">
        <v>2</v>
      </c>
      <c r="Q45" s="12">
        <f t="shared" si="46"/>
        <v>2</v>
      </c>
      <c r="R45" s="12">
        <f t="shared" si="47"/>
        <v>26</v>
      </c>
      <c r="Y45" t="s">
        <v>222</v>
      </c>
      <c r="Z45" s="1">
        <f>Y40/2</f>
        <v>2.6052505286084404</v>
      </c>
      <c r="AC45" s="5" t="e">
        <f>AC44=W37</f>
        <v>#N/A</v>
      </c>
    </row>
    <row r="46" spans="1:48" x14ac:dyDescent="0.25">
      <c r="A46">
        <v>10</v>
      </c>
      <c r="B46" s="7">
        <v>10.5</v>
      </c>
      <c r="C46" s="7">
        <v>26</v>
      </c>
      <c r="D46" s="13" t="s">
        <v>2</v>
      </c>
      <c r="Q46" s="12">
        <f t="shared" si="46"/>
        <v>10.5</v>
      </c>
      <c r="R46" s="12">
        <f t="shared" si="47"/>
        <v>26</v>
      </c>
      <c r="Y46" t="s">
        <v>223</v>
      </c>
      <c r="Z46" s="1">
        <f>Z41/2</f>
        <v>2.6052505286084404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2</v>
      </c>
      <c r="C47" s="7">
        <v>32</v>
      </c>
      <c r="D47" s="13" t="s">
        <v>2</v>
      </c>
      <c r="Q47" s="12">
        <f t="shared" si="46"/>
        <v>2</v>
      </c>
      <c r="R47" s="12">
        <f t="shared" si="47"/>
        <v>32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12</v>
      </c>
      <c r="C48" s="7">
        <v>32</v>
      </c>
      <c r="D48" s="13" t="s">
        <v>2</v>
      </c>
      <c r="Q48" s="12">
        <f t="shared" si="46"/>
        <v>12</v>
      </c>
      <c r="R48" s="12">
        <f t="shared" si="47"/>
        <v>32</v>
      </c>
      <c r="AU48">
        <f>IF(AND(AR46=0,AS46=0),0,ATAN2(AU46,AV46))</f>
        <v>-0.46364760900080609</v>
      </c>
      <c r="AV48" t="s">
        <v>192</v>
      </c>
    </row>
    <row r="49" spans="1:48" x14ac:dyDescent="0.25">
      <c r="AU49">
        <f>AU48+(PI()/2)</f>
        <v>1.1071487177940904</v>
      </c>
      <c r="AV49" t="s">
        <v>193</v>
      </c>
    </row>
    <row r="50" spans="1:48" x14ac:dyDescent="0.25">
      <c r="A50" t="s">
        <v>174</v>
      </c>
      <c r="B50" s="13" t="s">
        <v>208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164</v>
      </c>
      <c r="Y52" s="54" t="s">
        <v>163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164</v>
      </c>
      <c r="E54" s="47">
        <v>1</v>
      </c>
      <c r="F54" t="s">
        <v>22</v>
      </c>
      <c r="H54" t="s">
        <v>234</v>
      </c>
      <c r="I54" s="13" t="s">
        <v>235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0.60574540107571861</v>
      </c>
      <c r="C55" t="s">
        <v>67</v>
      </c>
      <c r="D55" s="54" t="s">
        <v>163</v>
      </c>
      <c r="E55" s="1">
        <f ca="1">OFFSET(X52,MATCH(E54,X53:X73,0),1)</f>
        <v>8</v>
      </c>
      <c r="F55" s="7">
        <v>0</v>
      </c>
      <c r="G55" t="s">
        <v>173</v>
      </c>
      <c r="H55" s="48" t="s">
        <v>158</v>
      </c>
      <c r="I55" s="55">
        <f>E164</f>
        <v>-9.9475983006414026E-14</v>
      </c>
      <c r="J55" s="49" t="str">
        <f>F164</f>
        <v>kips</v>
      </c>
      <c r="K55" t="s">
        <v>166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0.60574540107571861</v>
      </c>
      <c r="F56" t="s">
        <v>67</v>
      </c>
      <c r="H56" s="50" t="s">
        <v>159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154</v>
      </c>
      <c r="E57" s="13" t="s">
        <v>171</v>
      </c>
      <c r="H57" s="52" t="s">
        <v>160</v>
      </c>
      <c r="I57" s="57">
        <f t="shared" si="53"/>
        <v>0</v>
      </c>
      <c r="J57" s="53" t="str">
        <f t="shared" si="53"/>
        <v>kip-in</v>
      </c>
      <c r="L57" s="1">
        <f>SQRT(POWER(I57,2)+POWER(I56,2)+POWER(I55,2))</f>
        <v>9.9475983006414026E-14</v>
      </c>
      <c r="M57" s="44" t="str">
        <f ca="1">IF(M59=TRUE,IF(AND(ABS(L57)&lt;=L59,B66=B61),"SOLUTION IF STRAIN IGNORED","NOT A SOLUTION"),"SOLUTION FOUND")</f>
        <v>SOLUTION IF STRAIN IGNORED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165</v>
      </c>
      <c r="E58" s="3">
        <f>IF(E57="STD",E54+(1/16),E54+(5/16))</f>
        <v>1.0625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162</v>
      </c>
      <c r="E59" s="46">
        <f>PI()*(1/4)*E58*E58</f>
        <v>0.8866408953979007</v>
      </c>
      <c r="F59" t="s">
        <v>67</v>
      </c>
      <c r="H59" s="10" t="s">
        <v>167</v>
      </c>
      <c r="I59" s="2">
        <v>200</v>
      </c>
      <c r="K59" t="s">
        <v>169</v>
      </c>
      <c r="L59" s="58">
        <v>9.9999999999999994E-12</v>
      </c>
      <c r="M59" t="b">
        <f ca="1">OR(ABS(L57)&gt;L59,B66&lt;0,ABS(I67)&gt;(L59*10000))</f>
        <v>1</v>
      </c>
      <c r="X59">
        <v>1</v>
      </c>
      <c r="Y59">
        <v>8</v>
      </c>
    </row>
    <row r="60" spans="1:48" x14ac:dyDescent="0.25">
      <c r="D60" s="54" t="s">
        <v>233</v>
      </c>
      <c r="E60" s="13" t="s">
        <v>2</v>
      </c>
      <c r="H60" s="10" t="s">
        <v>168</v>
      </c>
      <c r="I60" s="1">
        <v>4</v>
      </c>
      <c r="L60" s="69">
        <v>0</v>
      </c>
      <c r="M60" s="70" t="str">
        <f>IF(L60=1,"Used Higher Precision for Solution","")</f>
        <v/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170</v>
      </c>
      <c r="X63">
        <v>1.5</v>
      </c>
      <c r="Y63">
        <v>6</v>
      </c>
    </row>
    <row r="64" spans="1:48" x14ac:dyDescent="0.25">
      <c r="A64" s="11" t="s">
        <v>39</v>
      </c>
      <c r="B64" s="24"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  <c r="J64" s="3">
        <f>AJ32</f>
        <v>2.770701364777131</v>
      </c>
      <c r="N64" s="8">
        <f>J64</f>
        <v>2.770701364777131</v>
      </c>
      <c r="P64" s="8">
        <f>Q64</f>
        <v>2.770701364777131</v>
      </c>
      <c r="Q64" s="8">
        <f>J64</f>
        <v>2.770701364777131</v>
      </c>
      <c r="X64">
        <v>1.75</v>
      </c>
      <c r="Y64">
        <v>5</v>
      </c>
    </row>
    <row r="65" spans="1:36" x14ac:dyDescent="0.25">
      <c r="A65" s="1" t="s">
        <v>40</v>
      </c>
      <c r="B65" s="24">
        <v>7.0993950086962094</v>
      </c>
      <c r="C65" t="s">
        <v>22</v>
      </c>
      <c r="D65" t="s">
        <v>29</v>
      </c>
      <c r="J65" s="1">
        <f>AE32</f>
        <v>18.235200016547953</v>
      </c>
      <c r="N65">
        <f>0.5*J65</f>
        <v>9.1176000082739765</v>
      </c>
      <c r="P65">
        <f>0.5*Q65</f>
        <v>9.1176000082739765</v>
      </c>
      <c r="Q65">
        <f>AE32</f>
        <v>18.235200016547953</v>
      </c>
      <c r="X65">
        <v>2</v>
      </c>
      <c r="Y65">
        <v>4.5</v>
      </c>
    </row>
    <row r="66" spans="1:36" x14ac:dyDescent="0.25">
      <c r="A66" s="11" t="s">
        <v>42</v>
      </c>
      <c r="B66" s="24">
        <v>5.5250000000000004</v>
      </c>
      <c r="C66" t="s">
        <v>11</v>
      </c>
      <c r="D66">
        <f>B66/B53</f>
        <v>1.3560675915647805E-3</v>
      </c>
      <c r="I66" s="20"/>
      <c r="J66" s="4">
        <f>MAX(AC14:AC21)*2</f>
        <v>5.3412704836939859</v>
      </c>
      <c r="N66">
        <f>2*J66</f>
        <v>10.682540967387972</v>
      </c>
      <c r="P66">
        <f>0.5*Q66</f>
        <v>1.3353176209234965</v>
      </c>
      <c r="Q66">
        <f>MAX(AC14:AC21)</f>
        <v>2.670635241846993</v>
      </c>
      <c r="X66">
        <v>2.25</v>
      </c>
      <c r="Y66">
        <v>4.5</v>
      </c>
    </row>
    <row r="67" spans="1:36" x14ac:dyDescent="0.25">
      <c r="A67" s="1" t="s">
        <v>37</v>
      </c>
      <c r="B67" s="24">
        <v>46.904179972821332</v>
      </c>
      <c r="C67" t="s">
        <v>36</v>
      </c>
      <c r="D67" t="s">
        <v>122</v>
      </c>
      <c r="G67" s="20">
        <f ca="1">MAX(($B$56*$B$66*$B$55*$E$122)/$B$65,0)</f>
        <v>41.318889162533921</v>
      </c>
      <c r="H67" t="s">
        <v>36</v>
      </c>
      <c r="I67">
        <f ca="1">IF(B67=0,0,1-G67/B67)</f>
        <v>0.11907874337689761</v>
      </c>
      <c r="Q67">
        <v>0</v>
      </c>
      <c r="X67">
        <v>2.5</v>
      </c>
      <c r="Y67">
        <v>4</v>
      </c>
    </row>
    <row r="68" spans="1:36" x14ac:dyDescent="0.25">
      <c r="N68" t="s">
        <v>205</v>
      </c>
      <c r="P68" t="s">
        <v>206</v>
      </c>
      <c r="X68">
        <v>2.75</v>
      </c>
      <c r="Y68">
        <v>4</v>
      </c>
      <c r="AE68" t="s">
        <v>228</v>
      </c>
      <c r="AF68" t="s">
        <v>229</v>
      </c>
      <c r="AG68" t="s">
        <v>230</v>
      </c>
      <c r="AH68" t="s">
        <v>229</v>
      </c>
      <c r="AI68" t="s">
        <v>231</v>
      </c>
      <c r="AJ68" t="s">
        <v>229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-5.2666666666666666</v>
      </c>
      <c r="C73" s="4">
        <f t="shared" ref="C73:C81" si="56">C13-$C$9</f>
        <v>-20.399999999999999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-5.2666666666666666</v>
      </c>
      <c r="J73" s="4">
        <f>C25-$C$9</f>
        <v>-20.399999999999999</v>
      </c>
      <c r="Q73" cm="1">
        <f t="array" ref="Q73">(-1*MAX(ABS(B84:C91)))-1</f>
        <v>-20.967171187665297</v>
      </c>
      <c r="R73">
        <f>Q73</f>
        <v>-20.967171187665297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0.73333333333333339</v>
      </c>
      <c r="C74" s="4">
        <f t="shared" si="56"/>
        <v>-20.399999999999999</v>
      </c>
      <c r="H74" s="1">
        <f t="shared" si="57"/>
        <v>2</v>
      </c>
      <c r="I74" s="4">
        <f t="shared" ref="I74:I81" si="58">B26-$B$9</f>
        <v>-5.2666666666666666</v>
      </c>
      <c r="J74" s="4">
        <f t="shared" ref="J74:J81" si="59">C26-$C$9</f>
        <v>-20.399999999999999</v>
      </c>
      <c r="Q74">
        <f>-1*Q73</f>
        <v>20.967171187665297</v>
      </c>
      <c r="R74">
        <f>Q74</f>
        <v>20.967171187665297</v>
      </c>
    </row>
    <row r="75" spans="1:36" x14ac:dyDescent="0.25">
      <c r="A75" s="1">
        <f t="shared" si="54"/>
        <v>3</v>
      </c>
      <c r="B75" s="4">
        <f t="shared" si="55"/>
        <v>8.7333333333333343</v>
      </c>
      <c r="C75" s="4">
        <f t="shared" si="56"/>
        <v>15.600000000000001</v>
      </c>
      <c r="H75" s="1">
        <f t="shared" si="57"/>
        <v>3</v>
      </c>
      <c r="I75" s="4">
        <f t="shared" si="58"/>
        <v>-5.2666666666666666</v>
      </c>
      <c r="J75" s="4">
        <f t="shared" si="59"/>
        <v>-20.399999999999999</v>
      </c>
    </row>
    <row r="76" spans="1:36" x14ac:dyDescent="0.25">
      <c r="A76" s="1">
        <f t="shared" si="54"/>
        <v>4</v>
      </c>
      <c r="B76" s="4">
        <f t="shared" si="55"/>
        <v>-5.2666666666666666</v>
      </c>
      <c r="C76" s="4">
        <f t="shared" si="56"/>
        <v>15.600000000000001</v>
      </c>
      <c r="H76" s="1">
        <f t="shared" si="57"/>
        <v>4</v>
      </c>
      <c r="I76" s="4">
        <f t="shared" si="58"/>
        <v>-5.2666666666666666</v>
      </c>
      <c r="J76" s="4">
        <f t="shared" si="59"/>
        <v>-20.399999999999999</v>
      </c>
    </row>
    <row r="77" spans="1:36" x14ac:dyDescent="0.25">
      <c r="A77" s="1">
        <f t="shared" si="54"/>
        <v>5</v>
      </c>
      <c r="B77" s="4">
        <f t="shared" si="55"/>
        <v>-5.2666666666666666</v>
      </c>
      <c r="C77" s="4">
        <f t="shared" si="56"/>
        <v>-20.399999999999999</v>
      </c>
      <c r="H77" s="1">
        <f t="shared" si="57"/>
        <v>5</v>
      </c>
      <c r="I77" s="4">
        <f t="shared" si="58"/>
        <v>-5.2666666666666666</v>
      </c>
      <c r="J77" s="4">
        <f t="shared" si="59"/>
        <v>-20.399999999999999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-5.2666666666666666</v>
      </c>
      <c r="C78" s="4">
        <f t="shared" si="56"/>
        <v>-20.399999999999999</v>
      </c>
      <c r="H78" s="1">
        <f t="shared" si="57"/>
        <v>6</v>
      </c>
      <c r="I78" s="4">
        <f t="shared" si="58"/>
        <v>-5.2666666666666666</v>
      </c>
      <c r="J78" s="4">
        <f t="shared" si="59"/>
        <v>-20.399999999999999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-5.2666666666666666</v>
      </c>
      <c r="C79" s="4">
        <f t="shared" si="56"/>
        <v>-20.399999999999999</v>
      </c>
      <c r="H79" s="1">
        <f t="shared" si="57"/>
        <v>7</v>
      </c>
      <c r="I79" s="4">
        <f t="shared" si="58"/>
        <v>-5.2666666666666666</v>
      </c>
      <c r="J79" s="4">
        <f t="shared" si="59"/>
        <v>-20.399999999999999</v>
      </c>
      <c r="Q79">
        <f>(I126*COS(-1*$B$64))+(J126*SIN(-1*$B$64))</f>
        <v>2.2170147022259905</v>
      </c>
      <c r="R79">
        <f>(-1*I126*SIN(-1*$B$64))+(J126*COS(-1*$B$64))</f>
        <v>-21.059359936542453</v>
      </c>
    </row>
    <row r="80" spans="1:36" x14ac:dyDescent="0.25">
      <c r="A80" s="1">
        <f t="shared" si="54"/>
        <v>8</v>
      </c>
      <c r="B80" s="4">
        <f t="shared" si="55"/>
        <v>-5.2666666666666666</v>
      </c>
      <c r="C80" s="4">
        <f t="shared" si="56"/>
        <v>-20.399999999999999</v>
      </c>
      <c r="H80" s="1">
        <f t="shared" si="57"/>
        <v>8</v>
      </c>
      <c r="I80" s="4">
        <f t="shared" si="58"/>
        <v>-5.2666666666666666</v>
      </c>
      <c r="J80" s="4">
        <f t="shared" si="59"/>
        <v>-20.399999999999999</v>
      </c>
      <c r="Q80">
        <f>(I127*COS(-1*$B$64))+(J127*SIN(-1*$B$64))</f>
        <v>-7.1053277571873839</v>
      </c>
      <c r="R80">
        <f>(-1*I127*SIN(-1*$B$64))+(J127*COS(-1*$B$64))</f>
        <v>16.170473087950175</v>
      </c>
    </row>
    <row r="81" spans="1:18" x14ac:dyDescent="0.25">
      <c r="A81" s="1">
        <f t="shared" si="54"/>
        <v>9</v>
      </c>
      <c r="B81" s="4">
        <f t="shared" si="55"/>
        <v>-5.2666666666666666</v>
      </c>
      <c r="C81" s="4">
        <f t="shared" si="56"/>
        <v>-20.399999999999999</v>
      </c>
      <c r="H81" s="1">
        <f t="shared" si="57"/>
        <v>9</v>
      </c>
      <c r="I81" s="4">
        <f t="shared" si="58"/>
        <v>-5.2666666666666666</v>
      </c>
      <c r="J81" s="4">
        <f t="shared" si="59"/>
        <v>-20.399999999999999</v>
      </c>
    </row>
    <row r="82" spans="1:18" x14ac:dyDescent="0.25">
      <c r="A82" t="s">
        <v>30</v>
      </c>
      <c r="B82" s="9"/>
      <c r="H82" t="s">
        <v>139</v>
      </c>
      <c r="Q82" s="4">
        <f>Q79+$B$9</f>
        <v>7.4836813688926576</v>
      </c>
      <c r="R82" s="4">
        <f>R79+$C$9</f>
        <v>-0.65935993654245451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-1.8386610905207172</v>
      </c>
      <c r="R83" s="4">
        <f>R80+$C$9</f>
        <v>36.570473087950177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-18.509767503382292</v>
      </c>
      <c r="C84" s="1">
        <f t="shared" ref="C84:C92" si="62">(-1*B73*SIN($B$64))+(C73*COS($B$64))</f>
        <v>10.064108740892586</v>
      </c>
      <c r="H84" s="1">
        <f t="shared" ref="H84:H92" si="63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8" x14ac:dyDescent="0.25">
      <c r="A85" s="1">
        <f t="shared" si="60"/>
        <v>2</v>
      </c>
      <c r="B85" s="4">
        <f t="shared" si="61"/>
        <v>-19.967171187665297</v>
      </c>
      <c r="C85" s="1">
        <f t="shared" si="62"/>
        <v>4.2438016612757101</v>
      </c>
      <c r="H85" s="1">
        <f t="shared" si="63"/>
        <v>2</v>
      </c>
      <c r="I85" s="4">
        <f t="shared" ref="I85:I92" si="64">(I74*COS($B$64))+(J74*SIN($B$64))</f>
        <v>-18.509767503382292</v>
      </c>
      <c r="J85" s="1">
        <f t="shared" ref="J85:J92" si="65">(-1*I74*SIN($B$64))+(J74*COS($B$64))</f>
        <v>10.064108740892586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13.011466377658614</v>
      </c>
      <c r="C86" s="1">
        <f t="shared" si="62"/>
        <v>-12.26102988391149</v>
      </c>
      <c r="H86" s="1">
        <f t="shared" si="63"/>
        <v>3</v>
      </c>
      <c r="I86" s="4">
        <f t="shared" si="64"/>
        <v>-18.509767503382292</v>
      </c>
      <c r="J86" s="1">
        <f t="shared" si="65"/>
        <v>10.064108740892586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16.412074974318958</v>
      </c>
      <c r="C87" s="1">
        <f t="shared" si="62"/>
        <v>1.3196866351945546</v>
      </c>
      <c r="H87" s="1">
        <f t="shared" si="63"/>
        <v>4</v>
      </c>
      <c r="I87" s="4">
        <f t="shared" si="64"/>
        <v>-18.509767503382292</v>
      </c>
      <c r="J87" s="1">
        <f t="shared" si="65"/>
        <v>10.064108740892586</v>
      </c>
      <c r="Q87">
        <f>(P142*COS(-1*$B$64))+(P143*SIN(-1*$B$64))</f>
        <v>-3.4514907465047764</v>
      </c>
      <c r="R87">
        <f>(-1*P142*SIN(-1*$B$64))+(P143*COS(-1*$B$64))</f>
        <v>-13.072563994568599</v>
      </c>
    </row>
    <row r="88" spans="1:18" x14ac:dyDescent="0.25">
      <c r="A88" s="1">
        <f t="shared" si="60"/>
        <v>5</v>
      </c>
      <c r="B88" s="4">
        <f t="shared" si="61"/>
        <v>-18.509767503382292</v>
      </c>
      <c r="C88" s="1">
        <f t="shared" si="62"/>
        <v>10.064108740892586</v>
      </c>
      <c r="H88" s="1">
        <f t="shared" si="63"/>
        <v>5</v>
      </c>
      <c r="I88" s="4">
        <f t="shared" si="64"/>
        <v>-18.509767503382292</v>
      </c>
      <c r="J88" s="1">
        <f t="shared" si="65"/>
        <v>10.064108740892586</v>
      </c>
    </row>
    <row r="89" spans="1:18" x14ac:dyDescent="0.25">
      <c r="A89" s="1">
        <f t="shared" si="60"/>
        <v>6</v>
      </c>
      <c r="B89" s="4">
        <f t="shared" si="61"/>
        <v>-18.509767503382292</v>
      </c>
      <c r="C89" s="1">
        <f t="shared" si="62"/>
        <v>10.064108740892586</v>
      </c>
      <c r="H89" s="1">
        <f t="shared" si="63"/>
        <v>6</v>
      </c>
      <c r="I89" s="4">
        <f t="shared" si="64"/>
        <v>-18.509767503382292</v>
      </c>
      <c r="J89" s="1">
        <f t="shared" si="65"/>
        <v>10.064108740892586</v>
      </c>
    </row>
    <row r="90" spans="1:18" x14ac:dyDescent="0.25">
      <c r="A90" s="1">
        <f t="shared" si="60"/>
        <v>7</v>
      </c>
      <c r="B90" s="4">
        <f t="shared" si="61"/>
        <v>-18.509767503382292</v>
      </c>
      <c r="C90" s="1">
        <f t="shared" si="62"/>
        <v>10.064108740892586</v>
      </c>
      <c r="H90" s="1">
        <f t="shared" si="63"/>
        <v>7</v>
      </c>
      <c r="I90" s="4">
        <f t="shared" si="64"/>
        <v>-18.509767503382292</v>
      </c>
      <c r="J90" s="1">
        <f t="shared" si="65"/>
        <v>10.064108740892586</v>
      </c>
      <c r="Q90" s="4">
        <f>Q87+$B$9</f>
        <v>1.8151759201618902</v>
      </c>
      <c r="R90" s="4">
        <f>R87+$C$9</f>
        <v>7.3274360054313998</v>
      </c>
    </row>
    <row r="91" spans="1:18" x14ac:dyDescent="0.25">
      <c r="A91" s="1">
        <f t="shared" si="60"/>
        <v>8</v>
      </c>
      <c r="B91" s="4">
        <f t="shared" si="61"/>
        <v>-18.509767503382292</v>
      </c>
      <c r="C91" s="1">
        <f t="shared" si="62"/>
        <v>10.064108740892586</v>
      </c>
      <c r="H91" s="1">
        <f t="shared" si="63"/>
        <v>8</v>
      </c>
      <c r="I91" s="4">
        <f t="shared" si="64"/>
        <v>-18.509767503382292</v>
      </c>
      <c r="J91" s="1">
        <f t="shared" si="65"/>
        <v>10.064108740892586</v>
      </c>
    </row>
    <row r="92" spans="1:18" x14ac:dyDescent="0.25">
      <c r="A92" s="1">
        <f t="shared" si="60"/>
        <v>9</v>
      </c>
      <c r="B92" s="4">
        <f t="shared" si="61"/>
        <v>-18.509767503382292</v>
      </c>
      <c r="C92" s="1">
        <f t="shared" si="62"/>
        <v>10.064108740892586</v>
      </c>
      <c r="H92" s="1">
        <f t="shared" si="63"/>
        <v>9</v>
      </c>
      <c r="I92" s="4">
        <f t="shared" si="64"/>
        <v>-18.509767503382292</v>
      </c>
      <c r="J92" s="1">
        <f t="shared" si="65"/>
        <v>10.064108740892586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-3.2666666666666666</v>
      </c>
      <c r="C95" s="4">
        <f t="shared" ref="C95:C106" si="68">C37-$C$9</f>
        <v>-18.399999999999999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-0.76666666666666661</v>
      </c>
      <c r="C96" s="4">
        <f t="shared" si="68"/>
        <v>-18.399999999999999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-3.2666666666666666</v>
      </c>
      <c r="C97" s="4">
        <f t="shared" si="68"/>
        <v>-12.399999999999999</v>
      </c>
      <c r="D97" t="str">
        <f t="shared" si="69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0.73333333333333339</v>
      </c>
      <c r="C98" s="4">
        <f t="shared" si="68"/>
        <v>-12.399999999999999</v>
      </c>
      <c r="D98" t="str">
        <f t="shared" si="69"/>
        <v>y</v>
      </c>
    </row>
    <row r="99" spans="1:28" x14ac:dyDescent="0.25">
      <c r="A99">
        <f t="shared" si="66"/>
        <v>5</v>
      </c>
      <c r="B99" s="4">
        <f t="shared" si="67"/>
        <v>-3.2666666666666666</v>
      </c>
      <c r="C99" s="4">
        <f t="shared" si="68"/>
        <v>-6.3999999999999986</v>
      </c>
      <c r="D99" t="str">
        <f t="shared" si="69"/>
        <v>y</v>
      </c>
    </row>
    <row r="100" spans="1:28" x14ac:dyDescent="0.25">
      <c r="A100">
        <f t="shared" si="66"/>
        <v>6</v>
      </c>
      <c r="B100" s="4">
        <f t="shared" si="67"/>
        <v>2.2333333333333334</v>
      </c>
      <c r="C100" s="4">
        <f t="shared" si="68"/>
        <v>-6.3999999999999986</v>
      </c>
      <c r="D100" t="str">
        <f t="shared" si="69"/>
        <v>y</v>
      </c>
    </row>
    <row r="101" spans="1:28" x14ac:dyDescent="0.25">
      <c r="A101">
        <f t="shared" si="66"/>
        <v>7</v>
      </c>
      <c r="B101" s="4">
        <f t="shared" si="67"/>
        <v>-3.2666666666666666</v>
      </c>
      <c r="C101" s="4">
        <f t="shared" si="68"/>
        <v>-0.39999999999999858</v>
      </c>
      <c r="D101" t="str">
        <f t="shared" si="69"/>
        <v>y</v>
      </c>
    </row>
    <row r="102" spans="1:28" x14ac:dyDescent="0.25">
      <c r="A102">
        <f t="shared" si="66"/>
        <v>8</v>
      </c>
      <c r="B102" s="4">
        <f t="shared" si="67"/>
        <v>3.7333333333333334</v>
      </c>
      <c r="C102" s="4">
        <f t="shared" si="68"/>
        <v>-0.39999999999999858</v>
      </c>
      <c r="D102" t="str">
        <f t="shared" si="69"/>
        <v>y</v>
      </c>
    </row>
    <row r="103" spans="1:28" x14ac:dyDescent="0.25">
      <c r="A103">
        <f t="shared" si="66"/>
        <v>9</v>
      </c>
      <c r="B103" s="4">
        <f t="shared" si="67"/>
        <v>-3.2666666666666666</v>
      </c>
      <c r="C103" s="4">
        <f t="shared" si="68"/>
        <v>5.6000000000000014</v>
      </c>
      <c r="D103" t="str">
        <f t="shared" si="69"/>
        <v>y</v>
      </c>
    </row>
    <row r="104" spans="1:28" x14ac:dyDescent="0.25">
      <c r="A104">
        <f t="shared" si="66"/>
        <v>10</v>
      </c>
      <c r="B104" s="4">
        <f t="shared" si="67"/>
        <v>5.2333333333333334</v>
      </c>
      <c r="C104" s="4">
        <f t="shared" si="68"/>
        <v>5.6000000000000014</v>
      </c>
      <c r="D104" t="str">
        <f t="shared" si="69"/>
        <v>y</v>
      </c>
    </row>
    <row r="105" spans="1:28" x14ac:dyDescent="0.25">
      <c r="A105">
        <f t="shared" si="66"/>
        <v>11</v>
      </c>
      <c r="B105" s="4">
        <f t="shared" si="67"/>
        <v>-3.2666666666666666</v>
      </c>
      <c r="C105" s="4">
        <f t="shared" si="68"/>
        <v>11.600000000000001</v>
      </c>
      <c r="D105" t="str">
        <f t="shared" si="69"/>
        <v>y</v>
      </c>
    </row>
    <row r="106" spans="1:28" x14ac:dyDescent="0.25">
      <c r="A106">
        <f t="shared" si="66"/>
        <v>12</v>
      </c>
      <c r="B106" s="4">
        <f t="shared" si="67"/>
        <v>6.7333333333333334</v>
      </c>
      <c r="C106" s="4">
        <f t="shared" si="68"/>
        <v>11.600000000000001</v>
      </c>
      <c r="D106" t="str">
        <f t="shared" si="69"/>
        <v>y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  <c r="Q109" s="1" t="s">
        <v>27</v>
      </c>
      <c r="R109" s="1" t="s">
        <v>28</v>
      </c>
      <c r="Y109" t="s">
        <v>161</v>
      </c>
      <c r="AB109" t="s">
        <v>172</v>
      </c>
    </row>
    <row r="110" spans="1:28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70">D95</f>
        <v>y</v>
      </c>
      <c r="E110" s="4">
        <f t="shared" ref="E110:E121" si="71">IF($D110="y",$B$125-C110,0)</f>
        <v>-4.673491420729583</v>
      </c>
      <c r="F110" s="1">
        <f>IF($D110="y",B110,NA())</f>
        <v>-17.055466371604336</v>
      </c>
      <c r="G110" s="1">
        <f>IF($D110="y",C110,NA())</f>
        <v>7.6382051529259591</v>
      </c>
      <c r="H110">
        <f>IF(OR($E$122=0,$B$67&lt;0),0,-1*MAX(($B$67/$E$122)*(E110),0))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72">IFERROR(($D$66/$B$65)*(G110-$B$125),0)</f>
        <v>8.9269159517739146E-4</v>
      </c>
      <c r="N110">
        <f t="shared" ref="N110:N121" si="73">IF(AND(M110&gt;0,D110="y",$E$60="y"),$B$53*M110*$E$59,0)</f>
        <v>3.2247804335312873</v>
      </c>
      <c r="O110">
        <f>N110*C110</f>
        <v>24.631534524453485</v>
      </c>
      <c r="P110">
        <f>N110*B110*-1</f>
        <v>55.000134239900518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/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-17.662717906722257</v>
      </c>
      <c r="C111" s="1">
        <f t="shared" ref="C111:C121" si="78">(-1*B96*SIN($B$64))+(C96*COS($B$64))</f>
        <v>5.2130772030855939</v>
      </c>
      <c r="D111" t="str">
        <f t="shared" si="76"/>
        <v>y</v>
      </c>
      <c r="E111" s="4">
        <f t="shared" si="71"/>
        <v>-2.2483634708892177</v>
      </c>
      <c r="F111" s="1">
        <f t="shared" ref="F111:F121" si="79">IF($D111="y",B111,NA())</f>
        <v>-17.662717906722257</v>
      </c>
      <c r="G111" s="1">
        <f t="shared" ref="G111:G121" si="80">IF($D111="y",C111,NA())</f>
        <v>5.2130772030855939</v>
      </c>
      <c r="H111">
        <f t="shared" ref="H111:H121" si="81">IF(OR($E$122=0,$B$67&lt;0),0,-1*MAX(($B$67/$E$122)*(E111),0))</f>
        <v>0</v>
      </c>
      <c r="I111">
        <f t="shared" ref="I111:I121" si="82">H111*C111</f>
        <v>0</v>
      </c>
      <c r="J111">
        <f t="shared" ref="J111:J121" si="83">H111*B111*-1</f>
        <v>0</v>
      </c>
      <c r="K111">
        <f ca="1">H111/$B$55</f>
        <v>0</v>
      </c>
      <c r="L111">
        <f t="shared" ref="L111:L121" ca="1" si="84">K111/$B$54</f>
        <v>0</v>
      </c>
      <c r="M111">
        <f t="shared" si="72"/>
        <v>4.2946375475604124E-4</v>
      </c>
      <c r="N111">
        <f t="shared" si="73"/>
        <v>1.5514051221384637</v>
      </c>
      <c r="O111">
        <f t="shared" ref="O111:O121" si="85">N111*C111</f>
        <v>8.0875946749702461</v>
      </c>
      <c r="P111">
        <f t="shared" ref="P111:P121" si="86">N111*B111*-1</f>
        <v>27.402031031375675</v>
      </c>
      <c r="Q111" t="e">
        <f t="shared" ref="Q111:Q121" si="87">IF($H111&lt;0,F111,NA())</f>
        <v>#N/A</v>
      </c>
      <c r="R111" t="e">
        <f t="shared" ref="R111:R121" si="88">IF($H111&lt;0,G111,NA())</f>
        <v>#N/A</v>
      </c>
      <c r="T111" t="e">
        <f t="shared" ref="T111:T121" si="89">(Q111*COS(-1*$B$64))+(R111*SIN(-1*$B$64))</f>
        <v>#N/A</v>
      </c>
      <c r="U111" t="e">
        <f t="shared" ref="U111:U121" si="90">(-1*Q111*SIN(-1*$B$64))+(R111*COS(-1*$B$64))</f>
        <v>#N/A</v>
      </c>
      <c r="W111" s="4" t="e">
        <f t="shared" ref="W111:W121" si="91">T111+$B$9</f>
        <v>#N/A</v>
      </c>
      <c r="X111" s="4" t="e">
        <f t="shared" ref="X111:X121" si="92">U111+$C$9</f>
        <v>#N/A</v>
      </c>
      <c r="Y111">
        <f t="shared" si="74"/>
        <v>0</v>
      </c>
      <c r="AB111" t="str">
        <f t="shared" si="75"/>
        <v/>
      </c>
    </row>
    <row r="112" spans="1:28" x14ac:dyDescent="0.25">
      <c r="A112">
        <f t="shared" ref="A112:D112" si="93">A97</f>
        <v>3</v>
      </c>
      <c r="B112" s="1">
        <f t="shared" si="77"/>
        <v>-11.235159291987461</v>
      </c>
      <c r="C112" s="1">
        <f t="shared" si="78"/>
        <v>6.1808014686429535</v>
      </c>
      <c r="D112" t="str">
        <f t="shared" si="93"/>
        <v>y</v>
      </c>
      <c r="E112" s="4">
        <f t="shared" si="71"/>
        <v>-3.2160877364465774</v>
      </c>
      <c r="F112" s="1">
        <f t="shared" si="79"/>
        <v>-11.235159291987461</v>
      </c>
      <c r="G112" s="1">
        <f t="shared" si="80"/>
        <v>6.1808014686429535</v>
      </c>
      <c r="H112">
        <f t="shared" si="81"/>
        <v>0</v>
      </c>
      <c r="I112">
        <f t="shared" si="82"/>
        <v>0</v>
      </c>
      <c r="J112">
        <f t="shared" si="83"/>
        <v>0</v>
      </c>
      <c r="K112">
        <f t="shared" ref="K112:K121" ca="1" si="94">H112/$B$55</f>
        <v>0</v>
      </c>
      <c r="L112">
        <f t="shared" ca="1" si="84"/>
        <v>0</v>
      </c>
      <c r="M112">
        <f t="shared" si="72"/>
        <v>6.1431042302646419E-4</v>
      </c>
      <c r="N112">
        <f t="shared" si="73"/>
        <v>2.2191496402477182</v>
      </c>
      <c r="O112">
        <f t="shared" si="85"/>
        <v>13.716123355581578</v>
      </c>
      <c r="P112">
        <f t="shared" si="86"/>
        <v>24.932499700939783</v>
      </c>
      <c r="Q112" t="e">
        <f t="shared" si="87"/>
        <v>#N/A</v>
      </c>
      <c r="R112" t="e">
        <f t="shared" si="88"/>
        <v>#N/A</v>
      </c>
      <c r="T112" t="e">
        <f t="shared" si="89"/>
        <v>#N/A</v>
      </c>
      <c r="U112" t="e">
        <f t="shared" si="90"/>
        <v>#N/A</v>
      </c>
      <c r="W112" s="4" t="e">
        <f t="shared" si="91"/>
        <v>#N/A</v>
      </c>
      <c r="X112" s="4" t="e">
        <f t="shared" si="92"/>
        <v>#N/A</v>
      </c>
      <c r="Y112">
        <f t="shared" si="74"/>
        <v>0</v>
      </c>
      <c r="AB112" t="str">
        <f t="shared" si="75"/>
        <v/>
      </c>
    </row>
    <row r="113" spans="1:28" x14ac:dyDescent="0.25">
      <c r="A113">
        <f t="shared" ref="A113:D113" si="95">A98</f>
        <v>4</v>
      </c>
      <c r="B113" s="1">
        <f t="shared" si="77"/>
        <v>-12.206761748176131</v>
      </c>
      <c r="C113" s="1">
        <f t="shared" si="78"/>
        <v>2.3005967488983701</v>
      </c>
      <c r="D113" t="str">
        <f t="shared" si="95"/>
        <v>y</v>
      </c>
      <c r="E113" s="4">
        <f t="shared" si="71"/>
        <v>0.66411698329800606</v>
      </c>
      <c r="F113" s="1">
        <f t="shared" si="79"/>
        <v>-12.206761748176131</v>
      </c>
      <c r="G113" s="1">
        <f t="shared" si="80"/>
        <v>2.3005967488983701</v>
      </c>
      <c r="H113">
        <f t="shared" si="81"/>
        <v>-2.5296219228656489</v>
      </c>
      <c r="I113">
        <f t="shared" si="82"/>
        <v>-5.8196399716867555</v>
      </c>
      <c r="J113">
        <f t="shared" si="83"/>
        <v>-30.878492125384156</v>
      </c>
      <c r="K113">
        <f t="shared" ca="1" si="94"/>
        <v>-4.1760480861652374</v>
      </c>
      <c r="L113">
        <f t="shared" ca="1" si="84"/>
        <v>-1.4400165814362886E-4</v>
      </c>
      <c r="M113">
        <f t="shared" si="72"/>
        <v>-1.2685412164769599E-4</v>
      </c>
      <c r="N113">
        <f t="shared" si="73"/>
        <v>0</v>
      </c>
      <c r="O113">
        <f t="shared" si="85"/>
        <v>0</v>
      </c>
      <c r="P113">
        <f t="shared" si="86"/>
        <v>0</v>
      </c>
      <c r="Q113">
        <f t="shared" si="87"/>
        <v>-12.206761748176131</v>
      </c>
      <c r="R113">
        <f t="shared" si="88"/>
        <v>2.3005967488983701</v>
      </c>
      <c r="T113">
        <f t="shared" si="89"/>
        <v>0.73333333333333384</v>
      </c>
      <c r="U113">
        <f t="shared" si="90"/>
        <v>-12.399999999999997</v>
      </c>
      <c r="W113" s="4">
        <f t="shared" si="91"/>
        <v>6</v>
      </c>
      <c r="X113" s="4">
        <f t="shared" si="92"/>
        <v>8.0000000000000018</v>
      </c>
      <c r="Y113">
        <f t="shared" si="74"/>
        <v>0</v>
      </c>
      <c r="AB113" t="str">
        <f t="shared" si="75"/>
        <v xml:space="preserve">
2.5296 kips</v>
      </c>
    </row>
    <row r="114" spans="1:28" x14ac:dyDescent="0.25">
      <c r="A114">
        <f t="shared" ref="A114:D114" si="96">A99</f>
        <v>5</v>
      </c>
      <c r="B114" s="1">
        <f t="shared" si="77"/>
        <v>-5.4148522123705849</v>
      </c>
      <c r="C114" s="1">
        <f t="shared" si="78"/>
        <v>4.7233977843599479</v>
      </c>
      <c r="D114" t="str">
        <f t="shared" si="96"/>
        <v>y</v>
      </c>
      <c r="E114" s="4">
        <f t="shared" si="71"/>
        <v>-1.7586840521635718</v>
      </c>
      <c r="F114" s="1">
        <f t="shared" si="79"/>
        <v>-5.4148522123705849</v>
      </c>
      <c r="G114" s="1">
        <f t="shared" si="80"/>
        <v>4.7233977843599479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3.3592925087553693E-4</v>
      </c>
      <c r="N114">
        <f t="shared" si="73"/>
        <v>1.2135188469641485</v>
      </c>
      <c r="O114">
        <f t="shared" si="85"/>
        <v>5.7319322330294975</v>
      </c>
      <c r="P114">
        <f t="shared" si="86"/>
        <v>6.5710252132372204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0</v>
      </c>
      <c r="AB114" t="str">
        <f t="shared" si="75"/>
        <v/>
      </c>
    </row>
    <row r="115" spans="1:28" x14ac:dyDescent="0.25">
      <c r="A115">
        <f t="shared" ref="A115:D115" si="97">A100</f>
        <v>6</v>
      </c>
      <c r="B115" s="1">
        <f t="shared" si="77"/>
        <v>-6.7508055896300068</v>
      </c>
      <c r="C115" s="1">
        <f t="shared" si="78"/>
        <v>-0.61188370528885416</v>
      </c>
      <c r="D115" t="str">
        <f t="shared" si="97"/>
        <v>y</v>
      </c>
      <c r="E115" s="4">
        <f t="shared" si="71"/>
        <v>3.5765974374852303</v>
      </c>
      <c r="F115" s="1">
        <f t="shared" si="79"/>
        <v>-6.7508055896300068</v>
      </c>
      <c r="G115" s="1">
        <f t="shared" si="80"/>
        <v>-0.61188370528885416</v>
      </c>
      <c r="H115">
        <f t="shared" si="81"/>
        <v>-13.623261435354571</v>
      </c>
      <c r="I115">
        <f t="shared" si="82"/>
        <v>8.3358516851835081</v>
      </c>
      <c r="J115">
        <f t="shared" si="83"/>
        <v>-91.967989446782553</v>
      </c>
      <c r="K115">
        <f t="shared" ca="1" si="94"/>
        <v>-22.490078193184093</v>
      </c>
      <c r="L115">
        <f t="shared" ca="1" si="84"/>
        <v>-7.7551993769600321E-4</v>
      </c>
      <c r="M115">
        <f t="shared" si="72"/>
        <v>-6.8317199805143327E-4</v>
      </c>
      <c r="N115">
        <f t="shared" si="73"/>
        <v>0</v>
      </c>
      <c r="O115">
        <f t="shared" si="85"/>
        <v>0</v>
      </c>
      <c r="P115">
        <f t="shared" si="86"/>
        <v>0</v>
      </c>
      <c r="Q115">
        <f t="shared" si="87"/>
        <v>-6.7508055896300068</v>
      </c>
      <c r="R115">
        <f t="shared" si="88"/>
        <v>-0.61188370528885416</v>
      </c>
      <c r="T115">
        <f t="shared" si="89"/>
        <v>2.2333333333333334</v>
      </c>
      <c r="U115">
        <f t="shared" si="90"/>
        <v>-6.3999999999999986</v>
      </c>
      <c r="W115" s="4">
        <f t="shared" si="91"/>
        <v>7.5</v>
      </c>
      <c r="X115" s="4">
        <f t="shared" si="92"/>
        <v>14</v>
      </c>
      <c r="Y115">
        <f t="shared" si="74"/>
        <v>0</v>
      </c>
      <c r="AB115" t="str">
        <f t="shared" si="75"/>
        <v xml:space="preserve">
13.6233 kips</v>
      </c>
    </row>
    <row r="116" spans="1:28" x14ac:dyDescent="0.25">
      <c r="A116">
        <f t="shared" ref="A116:D116" si="98">A101</f>
        <v>7</v>
      </c>
      <c r="B116" s="1">
        <f t="shared" si="77"/>
        <v>0.40545486724629032</v>
      </c>
      <c r="C116" s="1">
        <f t="shared" si="78"/>
        <v>3.2659941000769432</v>
      </c>
      <c r="D116" t="str">
        <f t="shared" si="98"/>
        <v>y</v>
      </c>
      <c r="E116" s="4">
        <f t="shared" si="71"/>
        <v>-0.30128036788056711</v>
      </c>
      <c r="F116" s="1">
        <f t="shared" si="79"/>
        <v>0.40545486724629032</v>
      </c>
      <c r="G116" s="1">
        <f t="shared" si="80"/>
        <v>3.2659941000769432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5.7548078724609851E-5</v>
      </c>
      <c r="N116">
        <f t="shared" si="73"/>
        <v>0.20788805368057983</v>
      </c>
      <c r="O116">
        <f t="shared" si="85"/>
        <v>0.67896115679725255</v>
      </c>
      <c r="P116">
        <f t="shared" si="86"/>
        <v>-8.4289223207149169E-2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-1.2948494310838825</v>
      </c>
      <c r="C117" s="1">
        <f t="shared" si="78"/>
        <v>-3.524364159476078</v>
      </c>
      <c r="D117" t="str">
        <f t="shared" si="99"/>
        <v>y</v>
      </c>
      <c r="E117" s="4">
        <f t="shared" si="71"/>
        <v>6.4890778916724541</v>
      </c>
      <c r="F117" s="1">
        <f t="shared" si="79"/>
        <v>-1.2948494310838825</v>
      </c>
      <c r="G117" s="1">
        <f t="shared" si="80"/>
        <v>-3.524364159476078</v>
      </c>
      <c r="H117">
        <f t="shared" si="81"/>
        <v>-24.716900947843492</v>
      </c>
      <c r="I117">
        <f t="shared" si="82"/>
        <v>87.111359833899897</v>
      </c>
      <c r="J117">
        <f t="shared" si="83"/>
        <v>-32.004665130471821</v>
      </c>
      <c r="K117">
        <f t="shared" ca="1" si="94"/>
        <v>-40.804108300202941</v>
      </c>
      <c r="L117">
        <f t="shared" ca="1" si="84"/>
        <v>-1.4070382172483773E-3</v>
      </c>
      <c r="M117">
        <f t="shared" si="72"/>
        <v>-1.2394898744551705E-3</v>
      </c>
      <c r="N117">
        <f t="shared" si="73"/>
        <v>0</v>
      </c>
      <c r="O117">
        <f t="shared" si="85"/>
        <v>0</v>
      </c>
      <c r="P117">
        <f t="shared" si="86"/>
        <v>0</v>
      </c>
      <c r="Q117">
        <f t="shared" si="87"/>
        <v>-1.2948494310838825</v>
      </c>
      <c r="R117">
        <f t="shared" si="88"/>
        <v>-3.524364159476078</v>
      </c>
      <c r="T117">
        <f t="shared" si="89"/>
        <v>3.7333333333333329</v>
      </c>
      <c r="U117">
        <f t="shared" si="90"/>
        <v>-0.39999999999999858</v>
      </c>
      <c r="W117" s="4">
        <f t="shared" si="91"/>
        <v>9</v>
      </c>
      <c r="X117" s="4">
        <f t="shared" si="92"/>
        <v>20</v>
      </c>
      <c r="Y117">
        <f t="shared" si="74"/>
        <v>0</v>
      </c>
      <c r="AB117" t="str">
        <f t="shared" si="75"/>
        <v xml:space="preserve">
24.7169 kips</v>
      </c>
    </row>
    <row r="118" spans="1:28" x14ac:dyDescent="0.25">
      <c r="A118">
        <f t="shared" ref="A118:D118" si="100">A103</f>
        <v>9</v>
      </c>
      <c r="B118" s="1">
        <f t="shared" si="77"/>
        <v>6.225761946863166</v>
      </c>
      <c r="C118" s="1">
        <f t="shared" si="78"/>
        <v>1.8085904157939381</v>
      </c>
      <c r="D118" t="str">
        <f t="shared" si="100"/>
        <v>y</v>
      </c>
      <c r="E118" s="4">
        <f t="shared" si="71"/>
        <v>1.156123316402438</v>
      </c>
      <c r="F118" s="1">
        <f t="shared" si="79"/>
        <v>6.225761946863166</v>
      </c>
      <c r="G118" s="1">
        <f t="shared" si="80"/>
        <v>1.8085904157939381</v>
      </c>
      <c r="H118">
        <f t="shared" si="81"/>
        <v>-4.4036742927193373</v>
      </c>
      <c r="I118">
        <f t="shared" si="82"/>
        <v>-7.9644431200903423</v>
      </c>
      <c r="J118">
        <f t="shared" si="83"/>
        <v>27.416227837991617</v>
      </c>
      <c r="K118">
        <f t="shared" ca="1" si="94"/>
        <v>-7.2698435430116861</v>
      </c>
      <c r="L118">
        <f t="shared" ca="1" si="84"/>
        <v>-2.5068426010385126E-4</v>
      </c>
      <c r="M118">
        <f t="shared" si="72"/>
        <v>-2.2083309342631733E-4</v>
      </c>
      <c r="N118">
        <f t="shared" si="73"/>
        <v>0</v>
      </c>
      <c r="O118">
        <f t="shared" si="85"/>
        <v>0</v>
      </c>
      <c r="P118">
        <f t="shared" si="86"/>
        <v>0</v>
      </c>
      <c r="Q118">
        <f t="shared" si="87"/>
        <v>6.225761946863166</v>
      </c>
      <c r="R118">
        <f t="shared" si="88"/>
        <v>1.8085904157939381</v>
      </c>
      <c r="T118">
        <f t="shared" si="89"/>
        <v>-3.2666666666666666</v>
      </c>
      <c r="U118">
        <f t="shared" si="90"/>
        <v>5.6000000000000005</v>
      </c>
      <c r="W118" s="4">
        <f t="shared" si="91"/>
        <v>2</v>
      </c>
      <c r="X118" s="4">
        <f t="shared" si="92"/>
        <v>26</v>
      </c>
      <c r="Y118">
        <f t="shared" si="74"/>
        <v>0</v>
      </c>
      <c r="AB118" t="str">
        <f t="shared" si="75"/>
        <v xml:space="preserve">
4.4037 kips</v>
      </c>
    </row>
    <row r="119" spans="1:28" x14ac:dyDescent="0.25">
      <c r="A119">
        <f t="shared" ref="A119:D119" si="101">A104</f>
        <v>10</v>
      </c>
      <c r="B119" s="1">
        <f t="shared" si="77"/>
        <v>4.1611067274622418</v>
      </c>
      <c r="C119" s="1">
        <f t="shared" si="78"/>
        <v>-6.4368446136633022</v>
      </c>
      <c r="D119" t="str">
        <f t="shared" si="101"/>
        <v>y</v>
      </c>
      <c r="E119" s="4">
        <f t="shared" si="71"/>
        <v>9.4015583458596783</v>
      </c>
      <c r="F119" s="1">
        <f t="shared" si="79"/>
        <v>4.1611067274622418</v>
      </c>
      <c r="G119" s="1">
        <f t="shared" si="80"/>
        <v>-6.4368446136633022</v>
      </c>
      <c r="H119">
        <f t="shared" si="81"/>
        <v>-35.810540460332412</v>
      </c>
      <c r="I119">
        <f t="shared" si="82"/>
        <v>230.50688447446242</v>
      </c>
      <c r="J119">
        <f t="shared" si="83"/>
        <v>149.011480823548</v>
      </c>
      <c r="K119">
        <f t="shared" ca="1" si="94"/>
        <v>-59.118138407221799</v>
      </c>
      <c r="L119">
        <f t="shared" ca="1" si="84"/>
        <v>-2.0385564968007515E-3</v>
      </c>
      <c r="M119">
        <f t="shared" si="72"/>
        <v>-1.7958077508589078E-3</v>
      </c>
      <c r="N119">
        <f t="shared" si="73"/>
        <v>0</v>
      </c>
      <c r="O119">
        <f t="shared" si="85"/>
        <v>0</v>
      </c>
      <c r="P119">
        <f t="shared" si="86"/>
        <v>0</v>
      </c>
      <c r="Q119">
        <f t="shared" si="87"/>
        <v>4.1611067274622418</v>
      </c>
      <c r="R119">
        <f t="shared" si="88"/>
        <v>-6.4368446136633022</v>
      </c>
      <c r="T119">
        <f t="shared" si="89"/>
        <v>5.2333333333333325</v>
      </c>
      <c r="U119">
        <f t="shared" si="90"/>
        <v>5.6000000000000014</v>
      </c>
      <c r="W119" s="4">
        <f t="shared" si="91"/>
        <v>10.5</v>
      </c>
      <c r="X119" s="4">
        <f t="shared" si="92"/>
        <v>26</v>
      </c>
      <c r="Y119">
        <f t="shared" si="74"/>
        <v>0</v>
      </c>
      <c r="AB119" t="str">
        <f t="shared" si="75"/>
        <v xml:space="preserve">
35.8105 kips</v>
      </c>
    </row>
    <row r="120" spans="1:28" x14ac:dyDescent="0.25">
      <c r="A120">
        <f t="shared" ref="A120:D120" si="102">A105</f>
        <v>11</v>
      </c>
      <c r="B120" s="1">
        <f t="shared" si="77"/>
        <v>12.046069026480041</v>
      </c>
      <c r="C120" s="1">
        <f t="shared" si="78"/>
        <v>0.35118673151093294</v>
      </c>
      <c r="D120" t="str">
        <f t="shared" si="102"/>
        <v>y</v>
      </c>
      <c r="E120" s="4">
        <f t="shared" si="71"/>
        <v>2.6135270006854432</v>
      </c>
      <c r="F120" s="1">
        <f t="shared" si="79"/>
        <v>12.046069026480041</v>
      </c>
      <c r="G120" s="1">
        <f t="shared" si="80"/>
        <v>0.35118673151093294</v>
      </c>
      <c r="H120">
        <f t="shared" si="81"/>
        <v>-9.9549256579824217</v>
      </c>
      <c r="I120">
        <f t="shared" si="82"/>
        <v>-3.4960378042611699</v>
      </c>
      <c r="J120">
        <f t="shared" si="83"/>
        <v>119.91772162953349</v>
      </c>
      <c r="K120">
        <f t="shared" ca="1" si="94"/>
        <v>-16.434174556346402</v>
      </c>
      <c r="L120">
        <f t="shared" ca="1" si="84"/>
        <v>-5.6669567435677244E-4</v>
      </c>
      <c r="M120">
        <f t="shared" si="72"/>
        <v>-4.9921426557724454E-4</v>
      </c>
      <c r="N120">
        <f t="shared" si="73"/>
        <v>0</v>
      </c>
      <c r="O120">
        <f t="shared" si="85"/>
        <v>0</v>
      </c>
      <c r="P120">
        <f t="shared" si="86"/>
        <v>0</v>
      </c>
      <c r="Q120">
        <f t="shared" si="87"/>
        <v>12.046069026480041</v>
      </c>
      <c r="R120">
        <f t="shared" si="88"/>
        <v>0.35118673151093294</v>
      </c>
      <c r="T120">
        <f t="shared" si="89"/>
        <v>-3.2666666666666662</v>
      </c>
      <c r="U120">
        <f t="shared" si="90"/>
        <v>11.600000000000001</v>
      </c>
      <c r="W120" s="4">
        <f t="shared" si="91"/>
        <v>2.0000000000000004</v>
      </c>
      <c r="X120" s="4">
        <f t="shared" si="92"/>
        <v>32</v>
      </c>
      <c r="Y120">
        <f t="shared" si="74"/>
        <v>0</v>
      </c>
      <c r="AB120" t="str">
        <f t="shared" si="75"/>
        <v xml:space="preserve">
9.9549 kips</v>
      </c>
    </row>
    <row r="121" spans="1:28" ht="15.75" thickBot="1" x14ac:dyDescent="0.3">
      <c r="A121">
        <f t="shared" ref="A121:D121" si="103">A106</f>
        <v>12</v>
      </c>
      <c r="B121" s="1">
        <f t="shared" si="77"/>
        <v>9.617062886008366</v>
      </c>
      <c r="C121" s="1">
        <f t="shared" si="78"/>
        <v>-9.3493250678505255</v>
      </c>
      <c r="D121" t="str">
        <f t="shared" si="103"/>
        <v>y</v>
      </c>
      <c r="E121" s="4">
        <f t="shared" si="71"/>
        <v>12.314038800046902</v>
      </c>
      <c r="F121" s="1">
        <f t="shared" si="79"/>
        <v>9.617062886008366</v>
      </c>
      <c r="G121" s="1">
        <f t="shared" si="80"/>
        <v>-9.3493250678505255</v>
      </c>
      <c r="H121" s="23">
        <f t="shared" si="81"/>
        <v>-46.904179972821332</v>
      </c>
      <c r="I121" s="23">
        <f t="shared" si="82"/>
        <v>438.52242560687108</v>
      </c>
      <c r="J121" s="23">
        <f t="shared" si="83"/>
        <v>451.08044841527692</v>
      </c>
      <c r="K121">
        <f t="shared" ca="1" si="94"/>
        <v>-77.432168514240644</v>
      </c>
      <c r="L121">
        <f t="shared" ca="1" si="84"/>
        <v>-2.6700747763531256E-3</v>
      </c>
      <c r="M121">
        <f t="shared" si="72"/>
        <v>-2.3521256272626451E-3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>
        <f t="shared" si="87"/>
        <v>9.617062886008366</v>
      </c>
      <c r="R121">
        <f t="shared" si="88"/>
        <v>-9.3493250678505255</v>
      </c>
      <c r="T121">
        <f t="shared" si="89"/>
        <v>6.7333333333333325</v>
      </c>
      <c r="U121">
        <f t="shared" si="90"/>
        <v>11.600000000000001</v>
      </c>
      <c r="W121" s="4">
        <f t="shared" si="91"/>
        <v>12</v>
      </c>
      <c r="X121" s="4">
        <f t="shared" si="92"/>
        <v>32</v>
      </c>
      <c r="Y121">
        <f t="shared" si="74"/>
        <v>0</v>
      </c>
      <c r="AB121" t="str">
        <f t="shared" si="75"/>
        <v xml:space="preserve">
46.9042 kips</v>
      </c>
    </row>
    <row r="122" spans="1:28" ht="15.75" thickTop="1" x14ac:dyDescent="0.25">
      <c r="D122" s="10" t="s">
        <v>44</v>
      </c>
      <c r="E122" s="4">
        <f>MAX(E110:E121)</f>
        <v>12.314038800046902</v>
      </c>
      <c r="H122">
        <f>SUM(H110:H121)</f>
        <v>-137.94310468991921</v>
      </c>
      <c r="I122">
        <f t="shared" ref="I122:J122" si="104">SUM(I110:I121)</f>
        <v>747.19640070437868</v>
      </c>
      <c r="J122">
        <f t="shared" si="104"/>
        <v>592.57473200371146</v>
      </c>
      <c r="L122">
        <f ca="1">MIN(L110:L121)</f>
        <v>-2.6700747763531256E-3</v>
      </c>
      <c r="M122">
        <f>MIN(M110:M121)</f>
        <v>-2.3521256272626451E-3</v>
      </c>
      <c r="N122">
        <f>SUM(N110:N121)</f>
        <v>8.4167420965621993</v>
      </c>
      <c r="O122">
        <f>SUM(O110:O121)</f>
        <v>52.84614594483206</v>
      </c>
      <c r="P122">
        <f>SUM(P110:P121)</f>
        <v>113.82140096224605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2.9647137321963761</v>
      </c>
      <c r="F125" s="1" t="s">
        <v>27</v>
      </c>
      <c r="G125" s="1" t="s">
        <v>28</v>
      </c>
    </row>
    <row r="126" spans="1:28" x14ac:dyDescent="0.25">
      <c r="F126" s="4">
        <f>MIN(B84:B92)-1</f>
        <v>-20.967171187665297</v>
      </c>
      <c r="G126" s="4">
        <f>B125</f>
        <v>2.9647137321963761</v>
      </c>
      <c r="I126">
        <f>IF(OR($G$126&gt;MAX($C$84:$C$92)+5,$G$126&lt;MIN($C$84:$C$92)-5),NA(),F126)</f>
        <v>-20.967171187665297</v>
      </c>
      <c r="J126">
        <f>IF(OR($G$126&gt;MAX($C$84:$C$92)+5,$G$126&lt;MIN($C$84:$C$92)-5),NA(),G126)</f>
        <v>2.9647137321963761</v>
      </c>
    </row>
    <row r="127" spans="1:28" x14ac:dyDescent="0.25">
      <c r="F127" s="4">
        <f>MAX(B84:B92)+1</f>
        <v>17.412074974318958</v>
      </c>
      <c r="G127" s="4">
        <f>G126</f>
        <v>2.9647137321963761</v>
      </c>
      <c r="I127">
        <f>IF(OR($G$126&gt;MAX($C$84:$C$92)+5,$G$126&lt;MIN($C$84:$C$92)-5),NA(),F127)</f>
        <v>17.412074974318958</v>
      </c>
      <c r="J127">
        <f>IF(OR($G$126&gt;MAX($C$84:$C$92)+5,$G$126&lt;MIN($C$84:$C$92)-5),NA(),G127)</f>
        <v>2.9647137321963761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105">B85</f>
        <v>-19.967171187665297</v>
      </c>
      <c r="E132" s="4">
        <f t="shared" si="105"/>
        <v>4.2438016612757101</v>
      </c>
      <c r="F132" s="4">
        <f t="shared" ref="F132:F139" si="106">($B$66/$B$65)*(C132-$B$125)</f>
        <v>5.5250000000000004</v>
      </c>
      <c r="G132" s="4">
        <f t="shared" ref="G132:G139" si="107">($B$66/$B$65)*(E132-$B$125)</f>
        <v>0.9954314134523915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0.9954314134523915</v>
      </c>
      <c r="P132" s="4">
        <f>(1/6)*(M132-K132)*((N132*((2*J132)+L132))+(O132*(J132+(2*L132))))</f>
        <v>361.85688657262085</v>
      </c>
      <c r="Q132" s="4">
        <f>((1/12)*(M132-K132)*(N132*J132*((3*K132)+M132)+N132*L132*(K132+M132)+O132*J132*(K132+M132)+O132*L132*(K132+(3*M132))))</f>
        <v>2821.2962073909889</v>
      </c>
      <c r="R132" s="4">
        <f>((-1/24)*(M132-K132)*(J132*J132*((3*N132)+O132)+2*J132*L132*(N132+O132)+L132*L132*(N132+(3*O132))))</f>
        <v>3451.6662849366644</v>
      </c>
      <c r="U132">
        <f>IF(AND(J132=0,K132=0,L132=0,M132=0),NA(),J132)</f>
        <v>-18.509767503382292</v>
      </c>
      <c r="V132">
        <f>IF(AND(J132=0,K132=0,L132=0,M132=0),NA(),K132)</f>
        <v>10.064108740892586</v>
      </c>
      <c r="W132" s="9" t="str">
        <f>IF(AND(J132=0,K132=0,L132=0,M132=0),"",ROUND(N132,4)&amp;" ksi")</f>
        <v>5.525 ksi</v>
      </c>
      <c r="X132">
        <f>(U132*COS(-1*$B$64))+(V132*SIN(-1*$B$64))</f>
        <v>-5.2666666666666666</v>
      </c>
      <c r="Y132">
        <f>(-1*U132*SIN(-1*$B$64))+(V132*COS(-1*$B$64))</f>
        <v>-20.399999999999999</v>
      </c>
      <c r="AA132" s="4">
        <f>X132+$B$9</f>
        <v>0</v>
      </c>
      <c r="AB132" s="4">
        <f>Y132+$C$9</f>
        <v>0</v>
      </c>
      <c r="AD132">
        <f>IF(AND(J132=0,K132=0,L132=0,M132=0),NA(),L132)</f>
        <v>-19.967171187665297</v>
      </c>
      <c r="AE132">
        <f>IF(AND(J132=0,K132=0,L132=0,M132=0),NA(),M132)</f>
        <v>4.2438016612757101</v>
      </c>
      <c r="AF132" s="9" t="str">
        <f>IF(AND(J132=0,K132=0,L132=0,M132=0),"",ROUND(O132,4)&amp;" ksi")</f>
        <v>0.9954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-19.967171187665297</v>
      </c>
      <c r="C133" s="4">
        <f t="shared" si="108"/>
        <v>4.2438016612757101</v>
      </c>
      <c r="D133" s="4">
        <f t="shared" si="105"/>
        <v>13.011466377658614</v>
      </c>
      <c r="E133" s="4">
        <f t="shared" si="105"/>
        <v>-12.26102988391149</v>
      </c>
      <c r="F133" s="4">
        <f t="shared" si="106"/>
        <v>0.9954314134523915</v>
      </c>
      <c r="G133" s="4">
        <f t="shared" si="107"/>
        <v>-11.849211570275036</v>
      </c>
      <c r="H133" s="4">
        <f t="shared" ref="H133:H139" si="109">IF(B133=D133,"V",(C133-E133)/(B133-D133))</f>
        <v>-0.50047038821705481</v>
      </c>
      <c r="I133" s="4">
        <f t="shared" ref="I133:I139" si="110">IF(H133="V",0,(-1*B133*H133)+C133)</f>
        <v>-5.749176254611533</v>
      </c>
      <c r="J133" s="4">
        <f t="shared" ref="J133:J139" si="111">IF($F133&gt;=0,B133,IF(AND($F133&lt;0,$G133&gt;=0),IF(H133="V",B133,($B$125-I133)/H133),0))</f>
        <v>-19.967171187665297</v>
      </c>
      <c r="K133" s="4">
        <f t="shared" ref="K133:K139" si="112">IF($F133&gt;=0,C133,IF(AND($F133&lt;0,$G133&gt;=0),$B$125,0))</f>
        <v>4.2438016612757101</v>
      </c>
      <c r="L133" s="4">
        <f t="shared" ref="L133:L139" si="113">IF($G133&gt;=0,D133,IF(AND($G133&lt;0,$F133&gt;=0),IF(H133="V",D133,($B$125-I133)/H133),0))</f>
        <v>-17.411399739056453</v>
      </c>
      <c r="M133" s="4">
        <f t="shared" ref="M133:M139" si="114">IF($G133&gt;=0,E133,IF(AND($G133&lt;0,$F133&gt;=0),$B$125,0))</f>
        <v>2.9647137321963761</v>
      </c>
      <c r="N133" s="4">
        <f t="shared" ref="N133:N139" si="115">IF(F133&lt;0,IF($I$54="Linear",0,$B$66),IF($I$54="Linear",F133,$B$66))</f>
        <v>0.9954314134523915</v>
      </c>
      <c r="O133" s="4">
        <f t="shared" ref="O133:O138" si="116">IF(G133&lt;0,IF($I$54="Linear",0,$B$66),IF($I$54="Linear",G133,$B$66))</f>
        <v>0</v>
      </c>
      <c r="P133" s="4">
        <f t="shared" ref="P133:P139" si="117">(1/6)*(M133-K133)*((N133*((2*J133)+L133))+(O133*(J133+(2*L133))))</f>
        <v>12.169189928846988</v>
      </c>
      <c r="Q133" s="4">
        <f t="shared" ref="Q133:Q139" si="118">((1/12)*(M133-K133)*(N133*J133*((3*K133)+M133)+N133*L133*(K133+M133)+O133*J133*(K133+M133)+O133*L133*(K133+(3*M133))))</f>
        <v>46.570760106437604</v>
      </c>
      <c r="R133" s="4">
        <f t="shared" ref="R133:R139" si="119">((-1/24)*(M133-K133)*(J133*J133*((3*N133)+O133)+2*J133*L133*(N133+O133)+L133*L133*(N133+(3*O133))))</f>
        <v>116.42404888167101</v>
      </c>
      <c r="U133">
        <f t="shared" ref="U133:U153" si="120">IF(AND(J133=0,K133=0,L133=0,M133=0),NA(),J133)</f>
        <v>-19.967171187665297</v>
      </c>
      <c r="V133">
        <f t="shared" ref="V133:V153" si="121">IF(AND(J133=0,K133=0,L133=0,M133=0),NA(),K133)</f>
        <v>4.2438016612757101</v>
      </c>
      <c r="W133" s="9" t="str">
        <f t="shared" ref="W133:W144" si="122">IF(AND(J133=0,K133=0,L133=0,M133=0),"",ROUND(N133,4)&amp;" ksi")</f>
        <v>0.9954 ksi</v>
      </c>
      <c r="X133">
        <f t="shared" ref="X133:X139" si="123">(U133*COS(-1*$B$64))+(V133*SIN(-1*$B$64))</f>
        <v>0.73333333333333339</v>
      </c>
      <c r="Y133">
        <f t="shared" ref="Y133:Y139" si="124">(-1*U133*SIN(-1*$B$64))+(V133*COS(-1*$B$64))</f>
        <v>-20.399999999999999</v>
      </c>
      <c r="AA133" s="4">
        <f t="shared" ref="AA133:AA139" si="125">X133+$B$9</f>
        <v>6</v>
      </c>
      <c r="AB133" s="4">
        <f t="shared" ref="AB133:AB139" si="126">Y133+$C$9</f>
        <v>0</v>
      </c>
      <c r="AD133">
        <f t="shared" ref="AD133:AD139" si="127">IF(AND(J133=0,K133=0,L133=0,M133=0),NA(),L133)</f>
        <v>-17.411399739056453</v>
      </c>
      <c r="AE133">
        <f t="shared" ref="AE133:AE139" si="128">IF(AND(J133=0,K133=0,L133=0,M133=0),NA(),M133)</f>
        <v>2.9647137321963761</v>
      </c>
      <c r="AF133" s="9" t="str">
        <f t="shared" ref="AF133:AF139" si="129">IF(AND(J133=0,K133=0,L133=0,M133=0),"",ROUND(O133,4)&amp;" ksi")</f>
        <v>0 ksi</v>
      </c>
      <c r="AG133">
        <f t="shared" ref="AG133:AG139" si="130">IF(COUNTIF($U$132:$U$139,AD133)&gt;0,NA(),AD133)</f>
        <v>-17.411399739056453</v>
      </c>
      <c r="AH133">
        <f t="shared" ref="AH133:AH139" si="131">IF(AND(COUNTIF($V$132:$V$139,AE133)&gt;0,AF133&lt;&gt;"0 ksi"),NA(),AE133)</f>
        <v>2.9647137321963761</v>
      </c>
      <c r="AI133" t="str">
        <f t="shared" ref="AI133:AI139" si="132">IF(COUNTIF($U$132:$U$139,AD133)&gt;0,"",AF133)</f>
        <v>0 ksi</v>
      </c>
      <c r="AJ133">
        <f t="shared" ref="AJ133:AJ139" si="133">(AG133*COS(-1*$B$64))+(AH133*SIN(-1*$B$64))</f>
        <v>1.3533156339475156</v>
      </c>
      <c r="AK133">
        <f t="shared" ref="AK133:AK139" si="134">(-1*AG133*SIN(-1*$B$64))+(AH133*COS(-1*$B$64))</f>
        <v>-17.610079647236184</v>
      </c>
      <c r="AM133" s="4">
        <f t="shared" ref="AM133:AM139" si="135">AJ133+$B$9</f>
        <v>6.6199823006141827</v>
      </c>
      <c r="AN133" s="4">
        <f t="shared" ref="AN133:AN139" si="136">AK133+$C$9</f>
        <v>2.789920352763815</v>
      </c>
    </row>
    <row r="134" spans="1:40" x14ac:dyDescent="0.25">
      <c r="A134" t="s">
        <v>71</v>
      </c>
      <c r="B134" s="4">
        <f t="shared" si="108"/>
        <v>13.011466377658614</v>
      </c>
      <c r="C134" s="4">
        <f t="shared" si="108"/>
        <v>-12.26102988391149</v>
      </c>
      <c r="D134" s="4">
        <f t="shared" si="105"/>
        <v>16.412074974318958</v>
      </c>
      <c r="E134" s="4">
        <f t="shared" si="105"/>
        <v>1.3196866351945546</v>
      </c>
      <c r="F134" s="4">
        <f t="shared" si="106"/>
        <v>-11.849211570275036</v>
      </c>
      <c r="G134" s="4">
        <f t="shared" si="107"/>
        <v>-1.2802182016639472</v>
      </c>
      <c r="H134" s="4">
        <f t="shared" si="109"/>
        <v>3.9936135350723214</v>
      </c>
      <c r="I134" s="4">
        <f t="shared" si="110"/>
        <v>-64.223798120867372</v>
      </c>
      <c r="J134" s="4">
        <f t="shared" si="111"/>
        <v>0</v>
      </c>
      <c r="K134" s="4">
        <f t="shared" si="112"/>
        <v>0</v>
      </c>
      <c r="L134" s="4">
        <f t="shared" si="113"/>
        <v>0</v>
      </c>
      <c r="M134" s="4">
        <f t="shared" si="114"/>
        <v>0</v>
      </c>
      <c r="N134" s="4">
        <f t="shared" si="115"/>
        <v>0</v>
      </c>
      <c r="O134" s="4">
        <f t="shared" si="116"/>
        <v>0</v>
      </c>
      <c r="P134" s="4">
        <f t="shared" si="117"/>
        <v>0</v>
      </c>
      <c r="Q134" s="4">
        <f t="shared" si="118"/>
        <v>0</v>
      </c>
      <c r="R134" s="4">
        <f t="shared" si="119"/>
        <v>0</v>
      </c>
      <c r="U134" t="e">
        <f t="shared" si="120"/>
        <v>#N/A</v>
      </c>
      <c r="V134" t="e">
        <f t="shared" si="121"/>
        <v>#N/A</v>
      </c>
      <c r="W134" s="9" t="str">
        <f t="shared" si="122"/>
        <v/>
      </c>
      <c r="X134" t="e">
        <f t="shared" si="123"/>
        <v>#N/A</v>
      </c>
      <c r="Y134" t="e">
        <f t="shared" si="124"/>
        <v>#N/A</v>
      </c>
      <c r="AA134" s="4" t="e">
        <f t="shared" si="125"/>
        <v>#N/A</v>
      </c>
      <c r="AB134" s="4" t="e">
        <f t="shared" si="126"/>
        <v>#N/A</v>
      </c>
      <c r="AD134" t="e">
        <f t="shared" si="127"/>
        <v>#N/A</v>
      </c>
      <c r="AE134" t="e">
        <f t="shared" si="128"/>
        <v>#N/A</v>
      </c>
      <c r="AF134" s="9" t="str">
        <f t="shared" si="129"/>
        <v/>
      </c>
      <c r="AG134" t="e">
        <f t="shared" si="130"/>
        <v>#N/A</v>
      </c>
      <c r="AH134" t="e">
        <f t="shared" si="131"/>
        <v>#N/A</v>
      </c>
      <c r="AI134" t="str">
        <f t="shared" si="132"/>
        <v/>
      </c>
      <c r="AJ134" t="e">
        <f t="shared" si="133"/>
        <v>#N/A</v>
      </c>
      <c r="AK134" t="e">
        <f t="shared" si="134"/>
        <v>#N/A</v>
      </c>
      <c r="AM134" s="4" t="e">
        <f t="shared" si="135"/>
        <v>#N/A</v>
      </c>
      <c r="AN134" s="4" t="e">
        <f t="shared" si="136"/>
        <v>#N/A</v>
      </c>
    </row>
    <row r="135" spans="1:40" x14ac:dyDescent="0.25">
      <c r="A135" t="s">
        <v>72</v>
      </c>
      <c r="B135" s="4">
        <f t="shared" si="108"/>
        <v>16.412074974318958</v>
      </c>
      <c r="C135" s="4">
        <f t="shared" si="108"/>
        <v>1.3196866351945546</v>
      </c>
      <c r="D135" s="4">
        <f t="shared" si="105"/>
        <v>-18.509767503382292</v>
      </c>
      <c r="E135" s="4">
        <f t="shared" si="105"/>
        <v>10.064108740892586</v>
      </c>
      <c r="F135" s="4">
        <f t="shared" si="106"/>
        <v>-1.2802182016639472</v>
      </c>
      <c r="G135" s="4">
        <f t="shared" si="107"/>
        <v>5.5250000000000004</v>
      </c>
      <c r="H135" s="4">
        <f t="shared" si="109"/>
        <v>-0.25039979237297216</v>
      </c>
      <c r="I135" s="4">
        <f t="shared" si="110"/>
        <v>5.4292668011736742</v>
      </c>
      <c r="J135" s="4">
        <f t="shared" si="111"/>
        <v>9.8424724941717603</v>
      </c>
      <c r="K135" s="4">
        <f t="shared" si="112"/>
        <v>2.9647137321963761</v>
      </c>
      <c r="L135" s="4">
        <f t="shared" si="113"/>
        <v>-18.509767503382292</v>
      </c>
      <c r="M135" s="4">
        <f t="shared" si="114"/>
        <v>10.064108740892586</v>
      </c>
      <c r="N135" s="4">
        <f t="shared" si="115"/>
        <v>0</v>
      </c>
      <c r="O135" s="4">
        <f t="shared" si="116"/>
        <v>5.5250000000000004</v>
      </c>
      <c r="P135" s="4">
        <f t="shared" si="117"/>
        <v>-177.66622971498634</v>
      </c>
      <c r="Q135" s="4">
        <f t="shared" si="118"/>
        <v>-1586.9220500848974</v>
      </c>
      <c r="R135" s="4">
        <f t="shared" si="119"/>
        <v>-1242.6621474123856</v>
      </c>
      <c r="U135">
        <f t="shared" si="120"/>
        <v>9.8424724941717603</v>
      </c>
      <c r="V135">
        <f t="shared" si="121"/>
        <v>2.9647137321963761</v>
      </c>
      <c r="W135" s="9" t="str">
        <f t="shared" si="122"/>
        <v>0 ksi</v>
      </c>
      <c r="X135">
        <f t="shared" si="123"/>
        <v>-5.2666666666666666</v>
      </c>
      <c r="Y135">
        <f t="shared" si="124"/>
        <v>8.8275712704358078</v>
      </c>
      <c r="AA135" s="4">
        <f t="shared" si="125"/>
        <v>0</v>
      </c>
      <c r="AB135" s="4">
        <f t="shared" si="126"/>
        <v>29.227571270435806</v>
      </c>
      <c r="AD135">
        <f t="shared" si="127"/>
        <v>-18.509767503382292</v>
      </c>
      <c r="AE135">
        <f t="shared" si="128"/>
        <v>10.064108740892586</v>
      </c>
      <c r="AF135" s="9" t="str">
        <f t="shared" si="129"/>
        <v>5.525 ksi</v>
      </c>
      <c r="AG135" t="e">
        <f t="shared" si="130"/>
        <v>#N/A</v>
      </c>
      <c r="AH135" t="e">
        <f t="shared" si="131"/>
        <v>#N/A</v>
      </c>
      <c r="AI135" t="str">
        <f t="shared" si="132"/>
        <v/>
      </c>
      <c r="AJ135" t="e">
        <f t="shared" si="133"/>
        <v>#N/A</v>
      </c>
      <c r="AK135" t="e">
        <f t="shared" si="134"/>
        <v>#N/A</v>
      </c>
      <c r="AM135" s="4" t="e">
        <f t="shared" si="135"/>
        <v>#N/A</v>
      </c>
      <c r="AN135" s="4" t="e">
        <f t="shared" si="136"/>
        <v>#N/A</v>
      </c>
    </row>
    <row r="136" spans="1:40" x14ac:dyDescent="0.25">
      <c r="A136" t="s">
        <v>73</v>
      </c>
      <c r="B136" s="4">
        <f t="shared" si="108"/>
        <v>-18.509767503382292</v>
      </c>
      <c r="C136" s="4">
        <f t="shared" si="108"/>
        <v>10.064108740892586</v>
      </c>
      <c r="D136" s="4">
        <f t="shared" si="105"/>
        <v>-18.509767503382292</v>
      </c>
      <c r="E136" s="4">
        <f t="shared" si="105"/>
        <v>10.064108740892586</v>
      </c>
      <c r="F136" s="4">
        <f t="shared" si="106"/>
        <v>5.5250000000000004</v>
      </c>
      <c r="G136" s="4">
        <f t="shared" si="107"/>
        <v>5.5250000000000004</v>
      </c>
      <c r="H136" s="4" t="str">
        <f t="shared" si="109"/>
        <v>V</v>
      </c>
      <c r="I136" s="4">
        <f t="shared" si="110"/>
        <v>0</v>
      </c>
      <c r="J136" s="4">
        <f t="shared" si="111"/>
        <v>-18.509767503382292</v>
      </c>
      <c r="K136" s="4">
        <f t="shared" si="112"/>
        <v>10.064108740892586</v>
      </c>
      <c r="L136" s="4">
        <f t="shared" si="113"/>
        <v>-18.509767503382292</v>
      </c>
      <c r="M136" s="4">
        <f t="shared" si="114"/>
        <v>10.064108740892586</v>
      </c>
      <c r="N136" s="4">
        <f t="shared" si="115"/>
        <v>5.5250000000000004</v>
      </c>
      <c r="O136" s="4">
        <f t="shared" si="116"/>
        <v>5.5250000000000004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>
        <f t="shared" si="120"/>
        <v>-18.509767503382292</v>
      </c>
      <c r="V136">
        <f t="shared" si="121"/>
        <v>10.064108740892586</v>
      </c>
      <c r="W136" s="9" t="str">
        <f t="shared" si="122"/>
        <v>5.525 ksi</v>
      </c>
      <c r="X136">
        <f t="shared" si="123"/>
        <v>-5.2666666666666666</v>
      </c>
      <c r="Y136">
        <f t="shared" si="124"/>
        <v>-20.399999999999999</v>
      </c>
      <c r="AA136" s="4">
        <f t="shared" si="125"/>
        <v>0</v>
      </c>
      <c r="AB136" s="4">
        <f t="shared" si="126"/>
        <v>0</v>
      </c>
      <c r="AD136">
        <f t="shared" si="127"/>
        <v>-18.509767503382292</v>
      </c>
      <c r="AE136">
        <f t="shared" si="128"/>
        <v>10.064108740892586</v>
      </c>
      <c r="AF136" s="9" t="str">
        <f t="shared" si="129"/>
        <v>5.525 ksi</v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-18.509767503382292</v>
      </c>
      <c r="C137" s="4">
        <f t="shared" si="108"/>
        <v>10.064108740892586</v>
      </c>
      <c r="D137" s="4">
        <f t="shared" si="105"/>
        <v>-18.509767503382292</v>
      </c>
      <c r="E137" s="4">
        <f t="shared" si="105"/>
        <v>10.064108740892586</v>
      </c>
      <c r="F137" s="4">
        <f t="shared" si="106"/>
        <v>5.5250000000000004</v>
      </c>
      <c r="G137" s="4">
        <f t="shared" si="107"/>
        <v>5.5250000000000004</v>
      </c>
      <c r="H137" s="4" t="str">
        <f t="shared" si="109"/>
        <v>V</v>
      </c>
      <c r="I137" s="4">
        <f t="shared" si="110"/>
        <v>0</v>
      </c>
      <c r="J137" s="4">
        <f t="shared" si="111"/>
        <v>-18.509767503382292</v>
      </c>
      <c r="K137" s="4">
        <f t="shared" si="112"/>
        <v>10.064108740892586</v>
      </c>
      <c r="L137" s="4">
        <f t="shared" si="113"/>
        <v>-18.509767503382292</v>
      </c>
      <c r="M137" s="4">
        <f t="shared" si="114"/>
        <v>10.064108740892586</v>
      </c>
      <c r="N137" s="4">
        <f t="shared" si="115"/>
        <v>5.5250000000000004</v>
      </c>
      <c r="O137" s="4">
        <f t="shared" si="116"/>
        <v>5.5250000000000004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>
        <f t="shared" si="120"/>
        <v>-18.509767503382292</v>
      </c>
      <c r="V137">
        <f t="shared" si="121"/>
        <v>10.064108740892586</v>
      </c>
      <c r="W137" s="9" t="str">
        <f t="shared" si="122"/>
        <v>5.525 ksi</v>
      </c>
      <c r="X137">
        <f t="shared" si="123"/>
        <v>-5.2666666666666666</v>
      </c>
      <c r="Y137">
        <f t="shared" si="124"/>
        <v>-20.399999999999999</v>
      </c>
      <c r="AA137" s="4">
        <f t="shared" si="125"/>
        <v>0</v>
      </c>
      <c r="AB137" s="4">
        <f t="shared" si="126"/>
        <v>0</v>
      </c>
      <c r="AD137">
        <f t="shared" si="127"/>
        <v>-18.509767503382292</v>
      </c>
      <c r="AE137">
        <f t="shared" si="128"/>
        <v>10.064108740892586</v>
      </c>
      <c r="AF137" s="9" t="str">
        <f t="shared" si="129"/>
        <v>5.525 ksi</v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-18.509767503382292</v>
      </c>
      <c r="C138" s="4">
        <f t="shared" si="108"/>
        <v>10.064108740892586</v>
      </c>
      <c r="D138" s="4">
        <f t="shared" si="105"/>
        <v>-18.509767503382292</v>
      </c>
      <c r="E138" s="4">
        <f t="shared" si="105"/>
        <v>10.064108740892586</v>
      </c>
      <c r="F138" s="4">
        <f t="shared" si="106"/>
        <v>5.5250000000000004</v>
      </c>
      <c r="G138" s="4">
        <f t="shared" si="107"/>
        <v>5.5250000000000004</v>
      </c>
      <c r="H138" s="4" t="str">
        <f t="shared" si="109"/>
        <v>V</v>
      </c>
      <c r="I138" s="4">
        <f t="shared" si="110"/>
        <v>0</v>
      </c>
      <c r="J138" s="4">
        <f t="shared" si="111"/>
        <v>-18.509767503382292</v>
      </c>
      <c r="K138" s="4">
        <f t="shared" si="112"/>
        <v>10.064108740892586</v>
      </c>
      <c r="L138" s="4">
        <f t="shared" si="113"/>
        <v>-18.509767503382292</v>
      </c>
      <c r="M138" s="4">
        <f t="shared" si="114"/>
        <v>10.064108740892586</v>
      </c>
      <c r="N138" s="4">
        <f t="shared" si="115"/>
        <v>5.5250000000000004</v>
      </c>
      <c r="O138" s="4">
        <f t="shared" si="116"/>
        <v>5.5250000000000004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>
        <f t="shared" si="120"/>
        <v>-18.509767503382292</v>
      </c>
      <c r="V138">
        <f t="shared" si="121"/>
        <v>10.064108740892586</v>
      </c>
      <c r="W138" s="9" t="str">
        <f t="shared" si="122"/>
        <v>5.525 ksi</v>
      </c>
      <c r="X138">
        <f t="shared" si="123"/>
        <v>-5.2666666666666666</v>
      </c>
      <c r="Y138">
        <f t="shared" si="124"/>
        <v>-20.399999999999999</v>
      </c>
      <c r="AA138" s="4">
        <f t="shared" si="125"/>
        <v>0</v>
      </c>
      <c r="AB138" s="4">
        <f t="shared" si="126"/>
        <v>0</v>
      </c>
      <c r="AD138">
        <f t="shared" si="127"/>
        <v>-18.509767503382292</v>
      </c>
      <c r="AE138">
        <f t="shared" si="128"/>
        <v>10.064108740892586</v>
      </c>
      <c r="AF138" s="9" t="str">
        <f t="shared" si="129"/>
        <v>5.525 ksi</v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105"/>
        <v>-18.509767503382292</v>
      </c>
      <c r="E139" s="4">
        <f t="shared" si="105"/>
        <v>10.064108740892586</v>
      </c>
      <c r="F139" s="4">
        <f t="shared" si="106"/>
        <v>5.5250000000000004</v>
      </c>
      <c r="G139" s="4">
        <f t="shared" si="107"/>
        <v>5.5250000000000004</v>
      </c>
      <c r="H139" s="4" t="str">
        <f t="shared" si="109"/>
        <v>V</v>
      </c>
      <c r="I139" s="4">
        <f t="shared" si="110"/>
        <v>0</v>
      </c>
      <c r="J139" s="4">
        <f t="shared" si="111"/>
        <v>-18.509767503382292</v>
      </c>
      <c r="K139" s="4">
        <f t="shared" si="112"/>
        <v>10.064108740892586</v>
      </c>
      <c r="L139" s="4">
        <f t="shared" si="113"/>
        <v>-18.509767503382292</v>
      </c>
      <c r="M139" s="4">
        <f t="shared" si="114"/>
        <v>10.064108740892586</v>
      </c>
      <c r="N139" s="4">
        <f t="shared" si="115"/>
        <v>5.5250000000000004</v>
      </c>
      <c r="O139" s="4">
        <f>IF(G139&lt;0,IF($I$54="Linear",0,$B$66),IF($I$54="Linear",G139,$B$66))</f>
        <v>5.5250000000000004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>
        <f t="shared" si="120"/>
        <v>-18.509767503382292</v>
      </c>
      <c r="V139">
        <f t="shared" si="121"/>
        <v>10.064108740892586</v>
      </c>
      <c r="W139" s="9" t="str">
        <f t="shared" si="122"/>
        <v>5.525 ksi</v>
      </c>
      <c r="X139">
        <f t="shared" si="123"/>
        <v>-5.2666666666666666</v>
      </c>
      <c r="Y139">
        <f t="shared" si="124"/>
        <v>-20.399999999999999</v>
      </c>
      <c r="AA139" s="4">
        <f t="shared" si="125"/>
        <v>0</v>
      </c>
      <c r="AB139" s="4">
        <f t="shared" si="126"/>
        <v>0</v>
      </c>
      <c r="AD139">
        <f t="shared" si="127"/>
        <v>-18.509767503382292</v>
      </c>
      <c r="AE139">
        <f t="shared" si="128"/>
        <v>10.064108740892586</v>
      </c>
      <c r="AF139" s="9" t="str">
        <f t="shared" si="129"/>
        <v>5.525 ksi</v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196.35984678648151</v>
      </c>
      <c r="Q140" s="4">
        <f>SUM(Q132:Q139)</f>
        <v>1280.9449174125293</v>
      </c>
      <c r="R140" s="4">
        <f>SUM(R132:R139)</f>
        <v>2325.4281864059494</v>
      </c>
      <c r="T140" t="str">
        <f>ROUND(P140,4)&amp;" kips"</f>
        <v>196.3598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-11.842686906017919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6.523456492637254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137">I85</f>
        <v>-18.509767503382292</v>
      </c>
      <c r="E146">
        <f t="shared" si="137"/>
        <v>10.064108740892586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20"/>
        <v>-18.509767503382292</v>
      </c>
      <c r="V146">
        <f t="shared" si="121"/>
        <v>10.064108740892586</v>
      </c>
      <c r="W146" s="9" t="str">
        <f>IF($D$34=0,"",IF(AND(J146=0,K146=0,L146=0,M146=0),"",CHAR(10)&amp;CHAR(10)&amp;-1*ROUND(N146,4)&amp;" ksi"))</f>
        <v/>
      </c>
      <c r="X146">
        <f t="shared" ref="X146:X153" si="138">(U146*COS(-1*$B$64))+(V146*SIN(-1*$B$64))</f>
        <v>-5.2666666666666666</v>
      </c>
      <c r="Y146">
        <f t="shared" ref="Y146:Y153" si="139">(-1*U146*SIN(-1*$B$64))+(V146*COS(-1*$B$64))</f>
        <v>-20.399999999999999</v>
      </c>
      <c r="AA146" s="4">
        <f t="shared" ref="AA146:AA153" si="140">X146+$B$9</f>
        <v>0</v>
      </c>
      <c r="AB146" s="4">
        <f t="shared" ref="AB146:AB153" si="141">Y146+$C$9</f>
        <v>0</v>
      </c>
      <c r="AD146">
        <f t="shared" ref="AD146:AD153" si="142">IF(AND(J146=0,K146=0,L146=0,M146=0),NA(),L146)</f>
        <v>-18.509767503382292</v>
      </c>
      <c r="AE146">
        <f t="shared" ref="AE146:AE153" si="143">IF(AND(J146=0,K146=0,L146=0,M146=0),NA(),M146)</f>
        <v>10.064108740892586</v>
      </c>
      <c r="AF146" s="9" t="str">
        <f>IF(AND(J146=0,K146=0,L146=0,M146=0),"",CHAR(10)&amp;CHAR(10)&amp;-1*ROUND(O146,4)&amp;" ksi")</f>
        <v xml:space="preserve">
-5.525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-18.509767503382292</v>
      </c>
      <c r="C147">
        <f t="shared" si="148"/>
        <v>10.064108740892586</v>
      </c>
      <c r="D147" s="9">
        <f t="shared" si="137"/>
        <v>-18.509767503382292</v>
      </c>
      <c r="E147">
        <f t="shared" si="137"/>
        <v>10.064108740892586</v>
      </c>
      <c r="F147" s="4">
        <f t="shared" ref="F147:F153" si="149">($B$66/$B$65)*(C147-$B$125)</f>
        <v>5.5250000000000004</v>
      </c>
      <c r="G147" s="4">
        <f t="shared" ref="G147:G153" si="150">($B$66/$B$65)*(E147-$B$125)</f>
        <v>5.5250000000000004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-18.509767503382292</v>
      </c>
      <c r="K147" s="4">
        <f t="shared" ref="K147:K153" si="154">IF($F147&gt;=0,C147,IF(AND($F147&lt;0,$G147&gt;=0),$B$125,0))</f>
        <v>10.064108740892586</v>
      </c>
      <c r="L147" s="4">
        <f t="shared" ref="L147:L153" si="155">IF($G147&gt;=0,D147,IF(AND($G147&lt;0,$F147&gt;=0),IF(H147="V",D147,($B$125-I147)/H147),0))</f>
        <v>-18.509767503382292</v>
      </c>
      <c r="M147" s="4">
        <f t="shared" ref="M147:M153" si="156">IF($G147&gt;=0,E147,IF(AND($G147&lt;0,$F147&gt;=0),$B$125,0))</f>
        <v>10.064108740892586</v>
      </c>
      <c r="N147" s="4">
        <f t="shared" ref="N147:N153" si="157">IF(F147&lt;0,IF($I$54="Linear",0,$B$66),IF($I$54="Linear",F147,$B$66))</f>
        <v>5.5250000000000004</v>
      </c>
      <c r="O147" s="4">
        <f t="shared" ref="O147:O153" si="158">IF(G147&lt;0,IF($I$54="Linear",0,$B$66),IF($I$54="Linear",G147,$B$66))</f>
        <v>5.5250000000000004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>
        <f t="shared" si="120"/>
        <v>-18.509767503382292</v>
      </c>
      <c r="V147">
        <f t="shared" si="121"/>
        <v>10.064108740892586</v>
      </c>
      <c r="W147" s="9" t="str">
        <f t="shared" ref="W147:W153" si="162">IF($D$34=0,"",IF(AND(J147=0,K147=0,L147=0,M147=0),"",CHAR(10)&amp;CHAR(10)&amp;-1*ROUND(N147,4)&amp;" ksi"))</f>
        <v/>
      </c>
      <c r="X147">
        <f t="shared" si="138"/>
        <v>-5.2666666666666666</v>
      </c>
      <c r="Y147">
        <f t="shared" si="139"/>
        <v>-20.399999999999999</v>
      </c>
      <c r="AA147" s="4">
        <f t="shared" si="140"/>
        <v>0</v>
      </c>
      <c r="AB147" s="4">
        <f t="shared" si="141"/>
        <v>0</v>
      </c>
      <c r="AD147">
        <f t="shared" si="142"/>
        <v>-18.509767503382292</v>
      </c>
      <c r="AE147">
        <f t="shared" si="143"/>
        <v>10.064108740892586</v>
      </c>
      <c r="AF147" s="9" t="str">
        <f t="shared" ref="AF147:AF153" si="163">IF(AND(J147=0,K147=0,L147=0,M147=0),"",CHAR(10)&amp;CHAR(10)&amp;-1*ROUND(O147,4)&amp;" ksi")</f>
        <v xml:space="preserve">
-5.525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-18.509767503382292</v>
      </c>
      <c r="C148">
        <f t="shared" si="148"/>
        <v>10.064108740892586</v>
      </c>
      <c r="D148" s="9">
        <f t="shared" si="137"/>
        <v>-18.509767503382292</v>
      </c>
      <c r="E148">
        <f t="shared" si="137"/>
        <v>10.064108740892586</v>
      </c>
      <c r="F148" s="4">
        <f t="shared" si="149"/>
        <v>5.5250000000000004</v>
      </c>
      <c r="G148" s="4">
        <f t="shared" si="150"/>
        <v>5.5250000000000004</v>
      </c>
      <c r="H148" s="4" t="str">
        <f t="shared" si="151"/>
        <v>V</v>
      </c>
      <c r="I148" s="4">
        <f t="shared" si="152"/>
        <v>0</v>
      </c>
      <c r="J148" s="4">
        <f t="shared" si="153"/>
        <v>-18.509767503382292</v>
      </c>
      <c r="K148" s="4">
        <f t="shared" si="154"/>
        <v>10.064108740892586</v>
      </c>
      <c r="L148" s="4">
        <f t="shared" si="155"/>
        <v>-18.509767503382292</v>
      </c>
      <c r="M148" s="4">
        <f t="shared" si="156"/>
        <v>10.064108740892586</v>
      </c>
      <c r="N148" s="4">
        <f t="shared" si="157"/>
        <v>5.5250000000000004</v>
      </c>
      <c r="O148" s="4">
        <f t="shared" si="158"/>
        <v>5.5250000000000004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>
        <f t="shared" si="120"/>
        <v>-18.509767503382292</v>
      </c>
      <c r="V148">
        <f t="shared" si="121"/>
        <v>10.064108740892586</v>
      </c>
      <c r="W148" s="9" t="str">
        <f t="shared" si="162"/>
        <v/>
      </c>
      <c r="X148">
        <f t="shared" si="138"/>
        <v>-5.2666666666666666</v>
      </c>
      <c r="Y148">
        <f t="shared" si="139"/>
        <v>-20.399999999999999</v>
      </c>
      <c r="AA148" s="4">
        <f t="shared" si="140"/>
        <v>0</v>
      </c>
      <c r="AB148" s="4">
        <f t="shared" si="141"/>
        <v>0</v>
      </c>
      <c r="AD148">
        <f t="shared" si="142"/>
        <v>-18.509767503382292</v>
      </c>
      <c r="AE148">
        <f t="shared" si="143"/>
        <v>10.064108740892586</v>
      </c>
      <c r="AF148" s="9" t="str">
        <f t="shared" si="163"/>
        <v xml:space="preserve">
-5.525 ksi</v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-18.509767503382292</v>
      </c>
      <c r="C149">
        <f t="shared" si="148"/>
        <v>10.064108740892586</v>
      </c>
      <c r="D149" s="9">
        <f t="shared" si="137"/>
        <v>-18.509767503382292</v>
      </c>
      <c r="E149">
        <f t="shared" si="137"/>
        <v>10.064108740892586</v>
      </c>
      <c r="F149" s="4">
        <f t="shared" si="149"/>
        <v>5.5250000000000004</v>
      </c>
      <c r="G149" s="4">
        <f t="shared" si="150"/>
        <v>5.5250000000000004</v>
      </c>
      <c r="H149" s="4" t="str">
        <f t="shared" si="151"/>
        <v>V</v>
      </c>
      <c r="I149" s="4">
        <f t="shared" si="152"/>
        <v>0</v>
      </c>
      <c r="J149" s="4">
        <f t="shared" si="153"/>
        <v>-18.509767503382292</v>
      </c>
      <c r="K149" s="4">
        <f t="shared" si="154"/>
        <v>10.064108740892586</v>
      </c>
      <c r="L149" s="4">
        <f t="shared" si="155"/>
        <v>-18.509767503382292</v>
      </c>
      <c r="M149" s="4">
        <f t="shared" si="156"/>
        <v>10.064108740892586</v>
      </c>
      <c r="N149" s="4">
        <f t="shared" si="157"/>
        <v>5.5250000000000004</v>
      </c>
      <c r="O149" s="4">
        <f t="shared" si="158"/>
        <v>5.5250000000000004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>
        <f t="shared" si="120"/>
        <v>-18.509767503382292</v>
      </c>
      <c r="V149">
        <f t="shared" si="121"/>
        <v>10.064108740892586</v>
      </c>
      <c r="W149" s="9" t="str">
        <f t="shared" si="162"/>
        <v/>
      </c>
      <c r="X149">
        <f t="shared" si="138"/>
        <v>-5.2666666666666666</v>
      </c>
      <c r="Y149">
        <f t="shared" si="139"/>
        <v>-20.399999999999999</v>
      </c>
      <c r="AA149" s="4">
        <f t="shared" si="140"/>
        <v>0</v>
      </c>
      <c r="AB149" s="4">
        <f t="shared" si="141"/>
        <v>0</v>
      </c>
      <c r="AD149">
        <f t="shared" si="142"/>
        <v>-18.509767503382292</v>
      </c>
      <c r="AE149">
        <f t="shared" si="143"/>
        <v>10.064108740892586</v>
      </c>
      <c r="AF149" s="9" t="str">
        <f t="shared" si="163"/>
        <v xml:space="preserve">
-5.525 ksi</v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-18.509767503382292</v>
      </c>
      <c r="C150">
        <f t="shared" si="148"/>
        <v>10.064108740892586</v>
      </c>
      <c r="D150" s="9">
        <f t="shared" si="137"/>
        <v>-18.509767503382292</v>
      </c>
      <c r="E150">
        <f t="shared" si="137"/>
        <v>10.064108740892586</v>
      </c>
      <c r="F150" s="4">
        <f t="shared" si="149"/>
        <v>5.5250000000000004</v>
      </c>
      <c r="G150" s="4">
        <f t="shared" si="150"/>
        <v>5.5250000000000004</v>
      </c>
      <c r="H150" s="4" t="str">
        <f t="shared" si="151"/>
        <v>V</v>
      </c>
      <c r="I150" s="4">
        <f t="shared" si="152"/>
        <v>0</v>
      </c>
      <c r="J150" s="4">
        <f t="shared" si="153"/>
        <v>-18.509767503382292</v>
      </c>
      <c r="K150" s="4">
        <f t="shared" si="154"/>
        <v>10.064108740892586</v>
      </c>
      <c r="L150" s="4">
        <f t="shared" si="155"/>
        <v>-18.509767503382292</v>
      </c>
      <c r="M150" s="4">
        <f t="shared" si="156"/>
        <v>10.064108740892586</v>
      </c>
      <c r="N150" s="4">
        <f t="shared" si="157"/>
        <v>5.5250000000000004</v>
      </c>
      <c r="O150" s="4">
        <f t="shared" si="158"/>
        <v>5.5250000000000004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>
        <f t="shared" si="120"/>
        <v>-18.509767503382292</v>
      </c>
      <c r="V150">
        <f t="shared" si="121"/>
        <v>10.064108740892586</v>
      </c>
      <c r="W150" s="9" t="str">
        <f t="shared" si="162"/>
        <v/>
      </c>
      <c r="X150">
        <f t="shared" si="138"/>
        <v>-5.2666666666666666</v>
      </c>
      <c r="Y150">
        <f t="shared" si="139"/>
        <v>-20.399999999999999</v>
      </c>
      <c r="AA150" s="4">
        <f t="shared" si="140"/>
        <v>0</v>
      </c>
      <c r="AB150" s="4">
        <f t="shared" si="141"/>
        <v>0</v>
      </c>
      <c r="AD150">
        <f t="shared" si="142"/>
        <v>-18.509767503382292</v>
      </c>
      <c r="AE150">
        <f t="shared" si="143"/>
        <v>10.064108740892586</v>
      </c>
      <c r="AF150" s="9" t="str">
        <f t="shared" si="163"/>
        <v xml:space="preserve">
-5.525 ksi</v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-18.509767503382292</v>
      </c>
      <c r="C151">
        <f t="shared" si="148"/>
        <v>10.064108740892586</v>
      </c>
      <c r="D151" s="9">
        <f t="shared" si="137"/>
        <v>-18.509767503382292</v>
      </c>
      <c r="E151">
        <f t="shared" si="137"/>
        <v>10.064108740892586</v>
      </c>
      <c r="F151" s="4">
        <f t="shared" si="149"/>
        <v>5.5250000000000004</v>
      </c>
      <c r="G151" s="4">
        <f t="shared" si="150"/>
        <v>5.5250000000000004</v>
      </c>
      <c r="H151" s="4" t="str">
        <f t="shared" si="151"/>
        <v>V</v>
      </c>
      <c r="I151" s="4">
        <f t="shared" si="152"/>
        <v>0</v>
      </c>
      <c r="J151" s="4">
        <f t="shared" si="153"/>
        <v>-18.509767503382292</v>
      </c>
      <c r="K151" s="4">
        <f t="shared" si="154"/>
        <v>10.064108740892586</v>
      </c>
      <c r="L151" s="4">
        <f t="shared" si="155"/>
        <v>-18.509767503382292</v>
      </c>
      <c r="M151" s="4">
        <f t="shared" si="156"/>
        <v>10.064108740892586</v>
      </c>
      <c r="N151" s="4">
        <f t="shared" si="157"/>
        <v>5.5250000000000004</v>
      </c>
      <c r="O151" s="4">
        <f t="shared" si="158"/>
        <v>5.5250000000000004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>
        <f t="shared" si="120"/>
        <v>-18.509767503382292</v>
      </c>
      <c r="V151">
        <f t="shared" si="121"/>
        <v>10.064108740892586</v>
      </c>
      <c r="W151" s="9" t="str">
        <f t="shared" si="162"/>
        <v/>
      </c>
      <c r="X151">
        <f t="shared" si="138"/>
        <v>-5.2666666666666666</v>
      </c>
      <c r="Y151">
        <f t="shared" si="139"/>
        <v>-20.399999999999999</v>
      </c>
      <c r="AA151" s="4">
        <f t="shared" si="140"/>
        <v>0</v>
      </c>
      <c r="AB151" s="4">
        <f t="shared" si="141"/>
        <v>0</v>
      </c>
      <c r="AD151">
        <f t="shared" si="142"/>
        <v>-18.509767503382292</v>
      </c>
      <c r="AE151">
        <f t="shared" si="143"/>
        <v>10.064108740892586</v>
      </c>
      <c r="AF151" s="9" t="str">
        <f t="shared" si="163"/>
        <v xml:space="preserve">
-5.525 ksi</v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-18.509767503382292</v>
      </c>
      <c r="C152">
        <f t="shared" si="148"/>
        <v>10.064108740892586</v>
      </c>
      <c r="D152" s="9">
        <f t="shared" si="137"/>
        <v>-18.509767503382292</v>
      </c>
      <c r="E152">
        <f t="shared" si="137"/>
        <v>10.064108740892586</v>
      </c>
      <c r="F152" s="4">
        <f t="shared" si="149"/>
        <v>5.5250000000000004</v>
      </c>
      <c r="G152" s="4">
        <f t="shared" si="150"/>
        <v>5.5250000000000004</v>
      </c>
      <c r="H152" s="4" t="str">
        <f t="shared" si="151"/>
        <v>V</v>
      </c>
      <c r="I152" s="4">
        <f t="shared" si="152"/>
        <v>0</v>
      </c>
      <c r="J152" s="4">
        <f t="shared" si="153"/>
        <v>-18.509767503382292</v>
      </c>
      <c r="K152" s="4">
        <f t="shared" si="154"/>
        <v>10.064108740892586</v>
      </c>
      <c r="L152" s="4">
        <f t="shared" si="155"/>
        <v>-18.509767503382292</v>
      </c>
      <c r="M152" s="4">
        <f t="shared" si="156"/>
        <v>10.064108740892586</v>
      </c>
      <c r="N152" s="4">
        <f t="shared" si="157"/>
        <v>5.5250000000000004</v>
      </c>
      <c r="O152" s="4">
        <f t="shared" si="158"/>
        <v>5.5250000000000004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>
        <f t="shared" si="120"/>
        <v>-18.509767503382292</v>
      </c>
      <c r="V152">
        <f t="shared" si="121"/>
        <v>10.064108740892586</v>
      </c>
      <c r="W152" s="9" t="str">
        <f t="shared" si="162"/>
        <v/>
      </c>
      <c r="X152">
        <f t="shared" si="138"/>
        <v>-5.2666666666666666</v>
      </c>
      <c r="Y152">
        <f t="shared" si="139"/>
        <v>-20.399999999999999</v>
      </c>
      <c r="AA152" s="4">
        <f t="shared" si="140"/>
        <v>0</v>
      </c>
      <c r="AB152" s="4">
        <f t="shared" si="141"/>
        <v>0</v>
      </c>
      <c r="AD152">
        <f t="shared" si="142"/>
        <v>-18.509767503382292</v>
      </c>
      <c r="AE152">
        <f t="shared" si="143"/>
        <v>10.064108740892586</v>
      </c>
      <c r="AF152" s="9" t="str">
        <f t="shared" si="163"/>
        <v xml:space="preserve">
-5.525 ksi</v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-18.509767503382292</v>
      </c>
      <c r="C153">
        <f t="shared" si="148"/>
        <v>10.064108740892586</v>
      </c>
      <c r="D153" s="9">
        <f t="shared" si="137"/>
        <v>-18.509767503382292</v>
      </c>
      <c r="E153">
        <f t="shared" si="137"/>
        <v>10.064108740892586</v>
      </c>
      <c r="F153" s="4">
        <f t="shared" si="149"/>
        <v>5.5250000000000004</v>
      </c>
      <c r="G153" s="4">
        <f t="shared" si="150"/>
        <v>5.5250000000000004</v>
      </c>
      <c r="H153" s="4" t="str">
        <f t="shared" si="151"/>
        <v>V</v>
      </c>
      <c r="I153" s="4">
        <f t="shared" si="152"/>
        <v>0</v>
      </c>
      <c r="J153" s="4">
        <f t="shared" si="153"/>
        <v>-18.509767503382292</v>
      </c>
      <c r="K153" s="4">
        <f t="shared" si="154"/>
        <v>10.064108740892586</v>
      </c>
      <c r="L153" s="4">
        <f t="shared" si="155"/>
        <v>-18.509767503382292</v>
      </c>
      <c r="M153" s="4">
        <f t="shared" si="156"/>
        <v>10.064108740892586</v>
      </c>
      <c r="N153" s="4">
        <f t="shared" si="157"/>
        <v>5.5250000000000004</v>
      </c>
      <c r="O153" s="4">
        <f t="shared" si="158"/>
        <v>5.5250000000000004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>
        <f t="shared" si="120"/>
        <v>-18.509767503382292</v>
      </c>
      <c r="V153">
        <f t="shared" si="121"/>
        <v>10.064108740892586</v>
      </c>
      <c r="W153" s="9" t="str">
        <f t="shared" si="162"/>
        <v/>
      </c>
      <c r="X153">
        <f t="shared" si="138"/>
        <v>-5.2666666666666666</v>
      </c>
      <c r="Y153">
        <f t="shared" si="139"/>
        <v>-20.399999999999999</v>
      </c>
      <c r="AA153" s="4">
        <f t="shared" si="140"/>
        <v>0</v>
      </c>
      <c r="AB153" s="4">
        <f t="shared" si="141"/>
        <v>0</v>
      </c>
      <c r="AD153">
        <f t="shared" si="142"/>
        <v>-18.509767503382292</v>
      </c>
      <c r="AE153">
        <f t="shared" si="143"/>
        <v>10.064108740892586</v>
      </c>
      <c r="AF153" s="9" t="str">
        <f t="shared" si="163"/>
        <v xml:space="preserve">
-5.525 ksi</v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50.000000000000099</v>
      </c>
      <c r="C159" t="s">
        <v>36</v>
      </c>
    </row>
    <row r="160" spans="1:40" x14ac:dyDescent="0.25">
      <c r="A160" s="1" t="s">
        <v>106</v>
      </c>
      <c r="B160" s="4">
        <f>Q140+I122+Q154-O122</f>
        <v>1975.295172172076</v>
      </c>
      <c r="C160" t="s">
        <v>102</v>
      </c>
    </row>
    <row r="161" spans="1:9" x14ac:dyDescent="0.25">
      <c r="A161" s="1" t="s">
        <v>107</v>
      </c>
      <c r="B161" s="4">
        <f>R140+J122+R154-P122</f>
        <v>2804.181517447415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50.000000000000099</v>
      </c>
      <c r="C164" t="s">
        <v>36</v>
      </c>
      <c r="E164" s="8">
        <f>B2-B164</f>
        <v>-9.9475983006414026E-14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-3199.9999999999995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1234.9999999999995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-6.2718432078473993</v>
      </c>
      <c r="C169" s="3">
        <f ca="1">A169+B169</f>
        <v>-0.74684320784739899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1.0530104504557465E-7</v>
      </c>
      <c r="D175" s="27">
        <f>B66*SQRT(I175)</f>
        <v>8.1948993282407074E-8</v>
      </c>
      <c r="E175" s="27">
        <f>IF(B67=0,SQRT(I175),B67*SQRT(I175))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7.0993951139972546</v>
      </c>
      <c r="D176" s="3">
        <f>D175+B66</f>
        <v>5.5250000819489937</v>
      </c>
      <c r="E176" s="3">
        <f>B67+E175</f>
        <v>46.904180668522748</v>
      </c>
      <c r="F176" s="16" t="s">
        <v>125</v>
      </c>
    </row>
    <row r="177" spans="1:31" x14ac:dyDescent="0.25">
      <c r="B177" s="27">
        <f>B176-B64</f>
        <v>2.6937875929888833E-8</v>
      </c>
      <c r="C177" s="27">
        <f>C176-B65</f>
        <v>1.0530104521677686E-7</v>
      </c>
      <c r="D177" s="27">
        <f>D176-B66</f>
        <v>8.1948993368996526E-8</v>
      </c>
      <c r="E177" s="27">
        <f>E176-B67</f>
        <v>6.9570141647545825E-7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207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-34.016851211347181</v>
      </c>
      <c r="B180" s="25">
        <f>(d_sigma_p!E165-d_sigma_m!E165)/(2*'Rigid Bearing Plate Analysis'!D177)</f>
        <v>-442.29461527279864</v>
      </c>
      <c r="C180" s="25">
        <f>(d_sigma_p!E166-d_sigma_m!E166)/(2*'Rigid Bearing Plate Analysis'!D177)</f>
        <v>118.39239669182152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933.00934500677761</v>
      </c>
      <c r="B181" s="25">
        <f>(d_alpha_p!E165-d_alpha_m!E165)/(2*B177)</f>
        <v>2505.8060730080879</v>
      </c>
      <c r="C181" s="25">
        <f>(d_alpha_p!E166-d_alpha_m!E166)/(2*B177)</f>
        <v>-3009.69996747705</v>
      </c>
      <c r="D181" s="25">
        <f ca="1">(d_alpha_p!C169-d_alpha_m!C169)/(2*B177)</f>
        <v>14.325687390221855</v>
      </c>
    </row>
    <row r="182" spans="1:31" x14ac:dyDescent="0.25">
      <c r="A182" s="25">
        <f>(d_Y_p!E164-d_Y_m!E164)/(2*C177)</f>
        <v>-67.340176254179198</v>
      </c>
      <c r="B182" s="25">
        <f>(d_Y_p!E165-d_Y_m!E165)/(2*C177)</f>
        <v>-479.86560173697296</v>
      </c>
      <c r="C182" s="25">
        <f>(d_Y_p!E166-d_Y_m!E166)/(2*C177)</f>
        <v>136.5628443296701</v>
      </c>
      <c r="D182" s="25">
        <f ca="1">(d_Y_p!C169-d_Y_m!C169)/(2*C177)</f>
        <v>-1.392758100378803</v>
      </c>
    </row>
    <row r="183" spans="1:31" x14ac:dyDescent="0.25">
      <c r="A183" s="25">
        <f>(d_T_p!E164-d_T_m!E164)/(2*E177)</f>
        <v>2.940955458957891</v>
      </c>
      <c r="B183" s="25">
        <f>(d_T_p!E165-d_T_m!E165)/(2*E177)</f>
        <v>-16.124837927237589</v>
      </c>
      <c r="C183" s="25">
        <f>(d_T_p!E166-d_T_m!E166)/(2*E177)</f>
        <v>12.384439584942571</v>
      </c>
      <c r="D183" s="25">
        <f ca="1">(d_T_p!C169-d_T_m!C169)/(2*E177)</f>
        <v>-0.13371608293917545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3.5234715279504605E-3</v>
      </c>
      <c r="B185" s="25">
        <f ca="1"/>
        <v>4.1788220487209299E-4</v>
      </c>
      <c r="C185" s="25">
        <f ca="1"/>
        <v>-5.3158560609520801E-3</v>
      </c>
      <c r="D185" s="25">
        <f ca="1"/>
        <v>0.12648906981456462</v>
      </c>
      <c r="F185" s="8">
        <f>-1*E164</f>
        <v>9.9475983006414026E-14</v>
      </c>
      <c r="H185">
        <f t="array" aca="1" ref="H185:H188" ca="1">MMULT(A185:D188,F185:F188)</f>
        <v>9.4467502657943389E-2</v>
      </c>
      <c r="J185" s="8">
        <f ca="1">$B$66+H185</f>
        <v>5.6194675026579439</v>
      </c>
      <c r="K185" s="11" t="s">
        <v>115</v>
      </c>
      <c r="L185" s="8">
        <f ca="1">J186</f>
        <v>1.8119171563261098</v>
      </c>
      <c r="M185" s="11" t="s">
        <v>116</v>
      </c>
      <c r="N185" t="s">
        <v>143</v>
      </c>
    </row>
    <row r="186" spans="1:31" x14ac:dyDescent="0.25">
      <c r="A186" s="25">
        <f ca="1"/>
        <v>-1.0551597864078691E-3</v>
      </c>
      <c r="B186" s="25">
        <f ca="1"/>
        <v>-1.397249547450876E-4</v>
      </c>
      <c r="C186" s="25">
        <f ca="1"/>
        <v>-1.6504948600250962E-3</v>
      </c>
      <c r="D186" s="25">
        <f ca="1"/>
        <v>-5.6692935217836906E-3</v>
      </c>
      <c r="F186" s="8">
        <f>-1*E165</f>
        <v>0</v>
      </c>
      <c r="H186">
        <f ca="1"/>
        <v>-4.2340733600375142E-3</v>
      </c>
      <c r="J186" s="8">
        <f ca="1">$B$64+H186</f>
        <v>1.8119171563261098</v>
      </c>
      <c r="K186" s="11" t="s">
        <v>116</v>
      </c>
      <c r="L186" s="8">
        <f ca="1">J187</f>
        <v>7.1199521629833793</v>
      </c>
      <c r="M186" s="1" t="s">
        <v>117</v>
      </c>
    </row>
    <row r="187" spans="1:31" x14ac:dyDescent="0.25">
      <c r="A187" s="25">
        <f ca="1"/>
        <v>2.1251557360378822E-3</v>
      </c>
      <c r="B187" s="25">
        <f ca="1"/>
        <v>-3.4891702627878803E-4</v>
      </c>
      <c r="C187" s="25">
        <f ca="1"/>
        <v>-4.7057048200967264E-3</v>
      </c>
      <c r="D187" s="25">
        <f ca="1"/>
        <v>2.7525394984069758E-2</v>
      </c>
      <c r="F187" s="8">
        <f>-1*E166</f>
        <v>0</v>
      </c>
      <c r="H187">
        <f ca="1"/>
        <v>2.0557154287169574E-2</v>
      </c>
      <c r="J187" s="8">
        <f ca="1">$B$65+H187</f>
        <v>7.1199521629833793</v>
      </c>
      <c r="K187" s="1" t="s">
        <v>117</v>
      </c>
      <c r="L187" s="8">
        <f ca="1">J185</f>
        <v>5.6194675026579439</v>
      </c>
      <c r="M187" s="11" t="s">
        <v>115</v>
      </c>
    </row>
    <row r="188" spans="1:31" x14ac:dyDescent="0.25">
      <c r="A188" s="25">
        <f ca="1"/>
        <v>0.40156363400021516</v>
      </c>
      <c r="B188" s="25">
        <f ca="1"/>
        <v>-6.2754353282550518E-3</v>
      </c>
      <c r="C188" s="25">
        <f ca="1"/>
        <v>-0.35371400203536846</v>
      </c>
      <c r="D188" s="25">
        <f ca="1"/>
        <v>-1.4635356113951978</v>
      </c>
      <c r="F188">
        <f ca="1">-1*C169</f>
        <v>0.74684320784739899</v>
      </c>
      <c r="H188">
        <f ca="1"/>
        <v>-1.0930316308132539</v>
      </c>
      <c r="J188" s="8">
        <f ca="1">$B$67+H188</f>
        <v>45.811148342008082</v>
      </c>
      <c r="K188" s="1" t="s">
        <v>118</v>
      </c>
      <c r="L188" s="8">
        <f ca="1">J188</f>
        <v>45.811148342008082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-34.016851211347181</v>
      </c>
      <c r="B190" s="25">
        <f>A181</f>
        <v>933.00934500677761</v>
      </c>
      <c r="C190" s="25">
        <f>A182</f>
        <v>-67.340176254179198</v>
      </c>
      <c r="D190" s="25">
        <f>A183</f>
        <v>2.940955458957891</v>
      </c>
      <c r="F190" t="s">
        <v>119</v>
      </c>
      <c r="W190" s="25">
        <f>A190</f>
        <v>-34.016851211347181</v>
      </c>
      <c r="X190" s="25">
        <f t="shared" ref="X190:Z190" si="169">B190</f>
        <v>933.00934500677761</v>
      </c>
      <c r="Y190" s="25">
        <f t="shared" si="169"/>
        <v>-67.340176254179198</v>
      </c>
      <c r="Z190" s="25">
        <f t="shared" si="169"/>
        <v>2.940955458957891</v>
      </c>
      <c r="AB190" s="25">
        <f>(d_sigma_p!E164-(2*'Rigid Bearing Plate Analysis'!E164)+d_sigma_m!E164)/POWER('Rigid Bearing Plate Analysis'!D177,2)</f>
        <v>-6.3482527244081659</v>
      </c>
      <c r="AC190" s="25">
        <f>(d_alpha_p!E164-(2*'Rigid Bearing Plate Analysis'!E164)+d_alpha_m!E164)/POWER('Rigid Bearing Plate Analysis'!B177,2)</f>
        <v>-7412.4092041456024</v>
      </c>
      <c r="AD190" s="25">
        <f>(d_Y_p!E164-(2*'Rigid Bearing Plate Analysis'!E164)+d_Y_m!E164)/POWER('Rigid Bearing Plate Analysis'!C177,2)</f>
        <v>-7.0488379258288916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-442.29461527279864</v>
      </c>
      <c r="B191" s="25">
        <f>B181</f>
        <v>2505.8060730080879</v>
      </c>
      <c r="C191" s="25">
        <f>B182</f>
        <v>-479.86560173697296</v>
      </c>
      <c r="D191" s="25">
        <f>B183</f>
        <v>-16.124837927237589</v>
      </c>
      <c r="F191" t="s">
        <v>120</v>
      </c>
      <c r="W191" s="25">
        <f t="shared" ref="W191:W193" si="170">A191</f>
        <v>-442.29461527279864</v>
      </c>
      <c r="X191" s="25">
        <f t="shared" ref="X191:X193" si="171">B191</f>
        <v>2505.8060730080879</v>
      </c>
      <c r="Y191" s="25">
        <f t="shared" ref="Y191:Y193" si="172">C191</f>
        <v>-479.86560173697296</v>
      </c>
      <c r="Z191" s="25">
        <f t="shared" ref="Z191:Z193" si="173">D191</f>
        <v>-16.124837927237589</v>
      </c>
      <c r="AB191" s="25">
        <f>(d_sigma_p!E165-(2*'Rigid Bearing Plate Analysis'!E165)+d_sigma_m!E165)/POWER('Rigid Bearing Plate Analysis'!D177,2)</f>
        <v>-135.42939145404088</v>
      </c>
      <c r="AC191" s="25">
        <f>(d_alpha_p!E165-(2*'Rigid Bearing Plate Analysis'!E165)+d_alpha_m!E165)/POWER('Rigid Bearing Plate Analysis'!B177,2)</f>
        <v>13160.208679487039</v>
      </c>
      <c r="AD191" s="25">
        <f>(d_Y_p!E165-(2*'Rigid Bearing Plate Analysis'!E165)+d_Y_m!E165)/POWER('Rigid Bearing Plate Analysis'!C177,2)</f>
        <v>41.011420659368099</v>
      </c>
      <c r="AE191" s="25">
        <f>(d_T_p!E165-(2*'Rigid Bearing Plate Analysis'!E165)+d_T_m!E165)/POWER('Rigid Bearing Plate Analysis'!E177,2)</f>
        <v>2.8186792429126166</v>
      </c>
    </row>
    <row r="192" spans="1:31" x14ac:dyDescent="0.25">
      <c r="A192" s="25">
        <f>C180</f>
        <v>118.39239669182152</v>
      </c>
      <c r="B192" s="25">
        <f>C181</f>
        <v>-3009.69996747705</v>
      </c>
      <c r="C192" s="25">
        <f>C182</f>
        <v>136.5628443296701</v>
      </c>
      <c r="D192" s="25">
        <f>C183</f>
        <v>12.384439584942571</v>
      </c>
      <c r="F192" t="s">
        <v>121</v>
      </c>
      <c r="W192" s="25">
        <f t="shared" si="170"/>
        <v>118.39239669182152</v>
      </c>
      <c r="X192" s="25">
        <f t="shared" si="171"/>
        <v>-3009.69996747705</v>
      </c>
      <c r="Y192" s="25">
        <f t="shared" si="172"/>
        <v>136.5628443296701</v>
      </c>
      <c r="Z192" s="25">
        <f t="shared" si="173"/>
        <v>12.384439584942571</v>
      </c>
      <c r="AB192" s="25">
        <f>(d_sigma_p!E166-(2*'Rigid Bearing Plate Analysis'!E166)+d_sigma_m!E166)/POWER('Rigid Bearing Plate Analysis'!D177,2)</f>
        <v>-203.14408718106131</v>
      </c>
      <c r="AC192" s="25">
        <f>(d_alpha_p!E166-(2*'Rigid Bearing Plate Analysis'!E166)+d_alpha_m!E166)/POWER('Rigid Bearing Plate Analysis'!B177,2)</f>
        <v>25067.064151403887</v>
      </c>
      <c r="AD192" s="25">
        <f>(d_Y_p!E166-(2*'Rigid Bearing Plate Analysis'!E166)+d_Y_m!E166)/POWER('Rigid Bearing Plate Analysis'!C177,2)</f>
        <v>-61.517130989052141</v>
      </c>
      <c r="AE192" s="25">
        <f>(d_T_p!E166-(2*'Rigid Bearing Plate Analysis'!E166)+d_T_m!E166)/POWER('Rigid Bearing Plate Analysis'!E177,2)</f>
        <v>-1.4093396214563083</v>
      </c>
    </row>
    <row r="193" spans="1:38" x14ac:dyDescent="0.25">
      <c r="A193" s="25">
        <f ca="1">D180</f>
        <v>1</v>
      </c>
      <c r="B193" s="25">
        <f ca="1">D181</f>
        <v>14.325687390221855</v>
      </c>
      <c r="C193" s="25">
        <f ca="1">D182</f>
        <v>-1.392758100378803</v>
      </c>
      <c r="D193" s="25">
        <f ca="1">D183</f>
        <v>-0.13371608293917545</v>
      </c>
      <c r="W193" s="25">
        <f t="shared" ca="1" si="170"/>
        <v>1</v>
      </c>
      <c r="X193" s="25">
        <f t="shared" ca="1" si="171"/>
        <v>14.325687390221855</v>
      </c>
      <c r="Y193" s="25">
        <f t="shared" ca="1" si="172"/>
        <v>-1.392758100378803</v>
      </c>
      <c r="Z193" s="25">
        <f t="shared" ca="1" si="173"/>
        <v>-0.13371608293917545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-72.214686764298307</v>
      </c>
      <c r="AD193" s="25">
        <f ca="1">(d_Y_p!C169-(2*'Rigid Bearing Plate Analysis'!C169)+d_Y_m!C169)/POWER('Rigid Bearing Plate Analysis'!C177,2)</f>
        <v>-0.24030129292598493</v>
      </c>
      <c r="AE193" s="25">
        <f ca="1">(d_T_p!C169-(2*'Rigid Bearing Plate Analysis'!C169)+d_T_m!C169)/POWER('Rigid Bearing Plate Analysis'!E177,2)</f>
        <v>0</v>
      </c>
    </row>
    <row r="194" spans="1:38" ht="15.75" thickBot="1" x14ac:dyDescent="0.3">
      <c r="A194" s="25"/>
      <c r="B194" s="25"/>
      <c r="C194" s="25"/>
      <c r="D194" s="25"/>
      <c r="S194" t="s">
        <v>232</v>
      </c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3.5234715279504627E-3</v>
      </c>
      <c r="B195" s="25">
        <f ca="1"/>
        <v>-1.0551597864078687E-3</v>
      </c>
      <c r="C195" s="25">
        <f ca="1"/>
        <v>2.125155736037884E-3</v>
      </c>
      <c r="D195" s="25">
        <f ca="1"/>
        <v>0.40156363400021522</v>
      </c>
      <c r="H195">
        <f t="array" aca="1" ref="H195:H198" ca="1">MMULT(A195:D198,F185:F188)</f>
        <v>0.29990507257157994</v>
      </c>
      <c r="J195" s="8">
        <f ca="1">$B$66+H195</f>
        <v>5.8249050725715801</v>
      </c>
      <c r="K195" s="11" t="s">
        <v>115</v>
      </c>
      <c r="L195" s="36">
        <f ca="1">J196</f>
        <v>1.8114644634349544</v>
      </c>
      <c r="M195" s="37" t="s">
        <v>116</v>
      </c>
      <c r="N195" t="s">
        <v>146</v>
      </c>
      <c r="S195">
        <f ca="1">0.5*H195</f>
        <v>0.14995253628578997</v>
      </c>
      <c r="U195" s="8">
        <f ca="1">$B$66+S195</f>
        <v>5.6749525362857902</v>
      </c>
      <c r="V195" s="11" t="s">
        <v>115</v>
      </c>
      <c r="W195" s="36">
        <f ca="1">U196</f>
        <v>1.8138078465605509</v>
      </c>
      <c r="X195" s="37" t="s">
        <v>116</v>
      </c>
      <c r="AB195">
        <f t="array" aca="1" ref="AB195:AE198" ca="1">MINVERSE(AB190:AE193)</f>
        <v>-2.5667963080013335E-2</v>
      </c>
      <c r="AC195">
        <f ca="1"/>
        <v>-1.5451839413517523E-3</v>
      </c>
      <c r="AD195">
        <f ca="1"/>
        <v>-3.0903678827035059E-3</v>
      </c>
      <c r="AE195">
        <f ca="1"/>
        <v>1.280349702328456</v>
      </c>
      <c r="AG195">
        <f t="array" aca="1" ref="AG195:AJ198" ca="1">MMULT(W190:Z193,AB195:AE198)</f>
        <v>-5.9631871873584075</v>
      </c>
      <c r="AH195">
        <f ca="1"/>
        <v>0.91521104824962074</v>
      </c>
      <c r="AI195">
        <f ca="1"/>
        <v>-0.25633925909148814</v>
      </c>
      <c r="AJ195">
        <f ca="1"/>
        <v>676.97129445070527</v>
      </c>
      <c r="AL195">
        <f t="array" aca="1" ref="AL195:AL198" ca="1">MMULT(AG195:AJ198,H195:H198)</f>
        <v>-741.67600059358267</v>
      </c>
    </row>
    <row r="196" spans="1:38" x14ac:dyDescent="0.25">
      <c r="A196" s="25">
        <f ca="1"/>
        <v>4.1788220487209293E-4</v>
      </c>
      <c r="B196" s="25">
        <f ca="1"/>
        <v>-1.3972495474508757E-4</v>
      </c>
      <c r="C196" s="25">
        <f ca="1"/>
        <v>-3.4891702627878809E-4</v>
      </c>
      <c r="D196" s="25">
        <f ca="1"/>
        <v>-6.2754353282550492E-3</v>
      </c>
      <c r="H196">
        <f ca="1"/>
        <v>-4.6867662511928549E-3</v>
      </c>
      <c r="J196" s="8">
        <f ca="1">$B$64+H196</f>
        <v>1.8114644634349544</v>
      </c>
      <c r="K196" s="11" t="s">
        <v>116</v>
      </c>
      <c r="L196" s="38">
        <f ca="1">J197</f>
        <v>6.835226108755573</v>
      </c>
      <c r="M196" s="39" t="s">
        <v>117</v>
      </c>
      <c r="S196">
        <f t="shared" ref="S196:S198" ca="1" si="174">0.5*H196</f>
        <v>-2.3433831255964275E-3</v>
      </c>
      <c r="U196" s="8">
        <f ca="1">$B$64+S196</f>
        <v>1.8138078465605509</v>
      </c>
      <c r="V196" s="11" t="s">
        <v>116</v>
      </c>
      <c r="W196" s="38">
        <f ca="1">U197</f>
        <v>6.9673105587258908</v>
      </c>
      <c r="X196" s="39" t="s">
        <v>117</v>
      </c>
      <c r="AB196">
        <f ca="1"/>
        <v>-1.5811024149334132E-4</v>
      </c>
      <c r="AC196">
        <f ca="1"/>
        <v>1.8528543925000944E-6</v>
      </c>
      <c r="AD196">
        <f ca="1"/>
        <v>3.7057087850001867E-6</v>
      </c>
      <c r="AE196">
        <f ca="1"/>
        <v>4.0054594511646467E-3</v>
      </c>
      <c r="AG196">
        <f ca="1"/>
        <v>7.2863910190241086</v>
      </c>
      <c r="AH196">
        <f ca="1"/>
        <v>-3.5594504216472145</v>
      </c>
      <c r="AI196">
        <f ca="1"/>
        <v>4.322513051374453</v>
      </c>
      <c r="AJ196">
        <f ca="1"/>
        <v>69.156066684779034</v>
      </c>
      <c r="AL196">
        <f ca="1"/>
        <v>-74.529733927402376</v>
      </c>
    </row>
    <row r="197" spans="1:38" x14ac:dyDescent="0.25">
      <c r="A197" s="25">
        <f ca="1"/>
        <v>-5.3158560609520792E-3</v>
      </c>
      <c r="B197" s="25">
        <f ca="1"/>
        <v>-1.6504948600250967E-3</v>
      </c>
      <c r="C197" s="25">
        <f ca="1"/>
        <v>-4.7057048200967273E-3</v>
      </c>
      <c r="D197" s="25">
        <f ca="1"/>
        <v>-0.35371400203536851</v>
      </c>
      <c r="H197">
        <f ca="1"/>
        <v>-0.26416889994063658</v>
      </c>
      <c r="J197" s="8">
        <f ca="1">$B$65+H197</f>
        <v>6.835226108755573</v>
      </c>
      <c r="K197" s="1" t="s">
        <v>117</v>
      </c>
      <c r="L197" s="38">
        <f ca="1">J195</f>
        <v>5.8249050725715801</v>
      </c>
      <c r="M197" s="43" t="s">
        <v>115</v>
      </c>
      <c r="S197">
        <f t="shared" ca="1" si="174"/>
        <v>-0.13208444997031829</v>
      </c>
      <c r="U197" s="8">
        <f ca="1">$B$65+S197</f>
        <v>6.9673105587258908</v>
      </c>
      <c r="V197" s="1" t="s">
        <v>117</v>
      </c>
      <c r="W197" s="38">
        <f ca="1">U195</f>
        <v>5.6749525362857902</v>
      </c>
      <c r="X197" s="43" t="s">
        <v>115</v>
      </c>
      <c r="AB197">
        <f ca="1"/>
        <v>4.7514856972434252E-2</v>
      </c>
      <c r="AC197">
        <f ca="1"/>
        <v>-5.5681473014571547E-4</v>
      </c>
      <c r="AD197">
        <f ca="1"/>
        <v>-1.113629460291427E-3</v>
      </c>
      <c r="AE197">
        <f ca="1"/>
        <v>-5.3651521550907981</v>
      </c>
      <c r="AG197">
        <f ca="1"/>
        <v>-10.767178117493089</v>
      </c>
      <c r="AH197">
        <f ca="1"/>
        <v>3.2029051137630229</v>
      </c>
      <c r="AI197">
        <f ca="1"/>
        <v>-2.3815958713285363</v>
      </c>
      <c r="AJ197">
        <f ca="1"/>
        <v>903.85649043531782</v>
      </c>
      <c r="AL197">
        <f ca="1"/>
        <v>-990.55873280256299</v>
      </c>
    </row>
    <row r="198" spans="1:38" ht="15.75" thickBot="1" x14ac:dyDescent="0.3">
      <c r="A198" s="25">
        <f ca="1"/>
        <v>0.12648906981456462</v>
      </c>
      <c r="B198" s="25">
        <f ca="1"/>
        <v>-5.6692935217836889E-3</v>
      </c>
      <c r="C198" s="25">
        <f ca="1"/>
        <v>2.7525394984069758E-2</v>
      </c>
      <c r="D198" s="25">
        <f ca="1"/>
        <v>-1.4635356113951976</v>
      </c>
      <c r="H198">
        <f ca="1"/>
        <v>-1.093031630813281</v>
      </c>
      <c r="J198" s="8">
        <f ca="1">$B$67+H198</f>
        <v>45.811148342008053</v>
      </c>
      <c r="K198" s="1" t="s">
        <v>118</v>
      </c>
      <c r="L198" s="41">
        <f ca="1">J198</f>
        <v>45.811148342008053</v>
      </c>
      <c r="M198" s="42" t="s">
        <v>118</v>
      </c>
      <c r="S198">
        <f t="shared" ca="1" si="174"/>
        <v>-0.54651581540664051</v>
      </c>
      <c r="U198" s="8">
        <f ca="1">$B$67+S198</f>
        <v>46.357664157414689</v>
      </c>
      <c r="V198" s="1" t="s">
        <v>118</v>
      </c>
      <c r="W198" s="41">
        <f ca="1">U198</f>
        <v>46.357664157414689</v>
      </c>
      <c r="X198" s="42" t="s">
        <v>118</v>
      </c>
      <c r="AB198">
        <f ca="1"/>
        <v>-1.1864012702577718</v>
      </c>
      <c r="AC198">
        <f ca="1"/>
        <v>0.27998520718236075</v>
      </c>
      <c r="AD198">
        <f ca="1"/>
        <v>-0.14958176509268517</v>
      </c>
      <c r="AE198">
        <f ca="1"/>
        <v>120.87817781707828</v>
      </c>
      <c r="AG198">
        <f ca="1"/>
        <v>6.4531227743393815E-2</v>
      </c>
      <c r="AH198">
        <f ca="1"/>
        <v>-3.8181657488063285E-2</v>
      </c>
      <c r="AI198">
        <f ca="1"/>
        <v>1.8515223101872712E-2</v>
      </c>
      <c r="AJ198">
        <f ca="1"/>
        <v>-7.3532666644772853</v>
      </c>
      <c r="AL198">
        <f ca="1"/>
        <v>8.05199409900281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-34.016851211347181</v>
      </c>
      <c r="B201" s="25">
        <f t="shared" ref="B201:C201" si="175">B190</f>
        <v>933.00934500677761</v>
      </c>
      <c r="C201" s="25">
        <f t="shared" si="175"/>
        <v>-67.340176254179198</v>
      </c>
      <c r="D201" s="25"/>
    </row>
    <row r="202" spans="1:38" x14ac:dyDescent="0.25">
      <c r="A202" s="25">
        <f t="shared" ref="A202:C202" si="176">A191</f>
        <v>-442.29461527279864</v>
      </c>
      <c r="B202" s="25">
        <f t="shared" si="176"/>
        <v>2505.8060730080879</v>
      </c>
      <c r="C202" s="25">
        <f t="shared" si="176"/>
        <v>-479.86560173697296</v>
      </c>
      <c r="D202" s="25"/>
    </row>
    <row r="203" spans="1:38" x14ac:dyDescent="0.25">
      <c r="A203" s="25">
        <f t="shared" ref="A203:C203" si="177">A192</f>
        <v>118.39239669182152</v>
      </c>
      <c r="B203" s="25">
        <f t="shared" si="177"/>
        <v>-3009.69996747705</v>
      </c>
      <c r="C203" s="25">
        <f t="shared" si="177"/>
        <v>136.5628443296701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3.8229432995893035E-2</v>
      </c>
      <c r="B205" s="25">
        <v>-2.6106956347300403E-3</v>
      </c>
      <c r="C205" s="25">
        <v>9.6775497816855086E-3</v>
      </c>
      <c r="D205" s="25"/>
      <c r="H205">
        <f t="array" ref="H205:H207">MMULT(A205:C207,F185:F187)</f>
        <v>3.8029104270442991E-15</v>
      </c>
      <c r="J205" s="8">
        <f>$B$66+H205</f>
        <v>5.5250000000000039</v>
      </c>
      <c r="K205" s="11" t="s">
        <v>115</v>
      </c>
      <c r="L205" s="36">
        <f>J206</f>
        <v>1.8161512296861473</v>
      </c>
      <c r="M205" s="37" t="s">
        <v>116</v>
      </c>
      <c r="N205" t="s">
        <v>145</v>
      </c>
      <c r="S205">
        <f>0.5*H205</f>
        <v>1.9014552135221496E-15</v>
      </c>
      <c r="U205" s="8">
        <f>$B$66+S205</f>
        <v>5.5250000000000021</v>
      </c>
      <c r="V205" s="11" t="s">
        <v>115</v>
      </c>
      <c r="W205" s="36">
        <f>U206</f>
        <v>1.8161512296861473</v>
      </c>
      <c r="X205" s="37" t="s">
        <v>116</v>
      </c>
    </row>
    <row r="206" spans="1:38" x14ac:dyDescent="0.25">
      <c r="A206" s="25">
        <v>-1.244851766743857E-4</v>
      </c>
      <c r="B206" s="25">
        <v>-1.1541581967803392E-4</v>
      </c>
      <c r="C206" s="25">
        <v>-4.6694205741727702E-4</v>
      </c>
      <c r="D206" s="25"/>
      <c r="H206">
        <v>-1.2383285319411639E-17</v>
      </c>
      <c r="J206" s="8">
        <f>$B$64+H206</f>
        <v>1.8161512296861473</v>
      </c>
      <c r="K206" s="11" t="s">
        <v>116</v>
      </c>
      <c r="L206" s="38">
        <f>J207</f>
        <v>7.0993950086962059</v>
      </c>
      <c r="M206" s="39" t="s">
        <v>117</v>
      </c>
      <c r="N206" t="s">
        <v>147</v>
      </c>
      <c r="S206">
        <f t="shared" ref="S206:S207" si="178">0.5*H206</f>
        <v>-6.1916426597058196E-18</v>
      </c>
      <c r="U206" s="8">
        <f>$B$64+S206</f>
        <v>1.8161512296861473</v>
      </c>
      <c r="V206" s="11" t="s">
        <v>116</v>
      </c>
      <c r="W206" s="38">
        <f>U207</f>
        <v>7.0993950086962077</v>
      </c>
      <c r="X206" s="39" t="s">
        <v>117</v>
      </c>
    </row>
    <row r="207" spans="1:38" ht="15.75" thickBot="1" x14ac:dyDescent="0.3">
      <c r="A207" s="25">
        <v>-3.5886314852309364E-2</v>
      </c>
      <c r="B207" s="25">
        <v>-2.8031398797127361E-4</v>
      </c>
      <c r="C207" s="25">
        <v>-1.1358168580878106E-2</v>
      </c>
      <c r="D207" s="25"/>
      <c r="H207">
        <v>-3.5698264464111496E-15</v>
      </c>
      <c r="J207" s="8">
        <f>$B$65+H207</f>
        <v>7.0993950086962059</v>
      </c>
      <c r="K207" s="1" t="s">
        <v>117</v>
      </c>
      <c r="L207" s="41">
        <f>J205</f>
        <v>5.5250000000000039</v>
      </c>
      <c r="M207" s="68" t="s">
        <v>115</v>
      </c>
      <c r="S207">
        <f t="shared" si="178"/>
        <v>-1.7849132232055748E-15</v>
      </c>
      <c r="U207" s="8">
        <f>$B$65+S207</f>
        <v>7.0993950086962077</v>
      </c>
      <c r="V207" s="1" t="s">
        <v>117</v>
      </c>
      <c r="W207" s="41">
        <f>U205</f>
        <v>5.5250000000000021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933.00934500677761</v>
      </c>
      <c r="B212" s="25">
        <f>A182</f>
        <v>-67.340176254179198</v>
      </c>
      <c r="C212" s="25">
        <f>A183</f>
        <v>2.940955458957891</v>
      </c>
    </row>
    <row r="213" spans="1:24" x14ac:dyDescent="0.25">
      <c r="A213" s="25">
        <f>B181</f>
        <v>2505.8060730080879</v>
      </c>
      <c r="B213" s="25">
        <f>B182</f>
        <v>-479.86560173697296</v>
      </c>
      <c r="C213" s="25">
        <f>B183</f>
        <v>-16.124837927237589</v>
      </c>
    </row>
    <row r="214" spans="1:24" x14ac:dyDescent="0.25">
      <c r="A214" s="25">
        <f>C181</f>
        <v>-3009.69996747705</v>
      </c>
      <c r="B214" s="25">
        <f>C182</f>
        <v>136.5628443296701</v>
      </c>
      <c r="C214" s="25">
        <f>C183</f>
        <v>12.384439584942571</v>
      </c>
    </row>
    <row r="215" spans="1:24" ht="15.75" thickBot="1" x14ac:dyDescent="0.3"/>
    <row r="216" spans="1:24" x14ac:dyDescent="0.25">
      <c r="A216">
        <f t="array" ref="A216:C218">MINVERSE(A212:C214)</f>
        <v>4.7294525299808261E-4</v>
      </c>
      <c r="B216">
        <v>-1.5621446335575636E-4</v>
      </c>
      <c r="C216">
        <v>-3.1570615693007393E-4</v>
      </c>
      <c r="H216" cm="1">
        <f t="array" ref="H216:H218">MMULT(A216:C218,F185:F187)</f>
        <v>4.7046693950201446E-17</v>
      </c>
      <c r="J216" s="8">
        <f>$B$64+H216</f>
        <v>1.8161512296861473</v>
      </c>
      <c r="K216" s="11" t="s">
        <v>116</v>
      </c>
      <c r="L216" s="36">
        <f>J216</f>
        <v>1.8161512296861473</v>
      </c>
      <c r="M216" s="37" t="s">
        <v>116</v>
      </c>
      <c r="N216" t="s">
        <v>144</v>
      </c>
      <c r="S216">
        <f>0.5*H216</f>
        <v>2.3523346975100723E-17</v>
      </c>
      <c r="U216" s="8">
        <f>$B$64+S216</f>
        <v>1.8161512296861473</v>
      </c>
      <c r="V216" s="11" t="s">
        <v>116</v>
      </c>
      <c r="W216" s="36">
        <f>U216</f>
        <v>1.8161512296861473</v>
      </c>
      <c r="X216" s="37" t="s">
        <v>116</v>
      </c>
    </row>
    <row r="217" spans="1:24" x14ac:dyDescent="0.25">
      <c r="A217">
        <v>-2.2122353401365959E-3</v>
      </c>
      <c r="B217">
        <v>-2.5799236210889329E-3</v>
      </c>
      <c r="C217">
        <v>-2.8337789864392496E-3</v>
      </c>
      <c r="H217">
        <v>-2.2006428510161656E-16</v>
      </c>
      <c r="J217" s="8">
        <f>$B$65+H217</f>
        <v>7.0993950086962094</v>
      </c>
      <c r="K217" s="1" t="s">
        <v>117</v>
      </c>
      <c r="L217" s="38">
        <f>J217</f>
        <v>7.0993950086962094</v>
      </c>
      <c r="M217" s="39" t="s">
        <v>117</v>
      </c>
      <c r="S217">
        <f t="shared" ref="S217:S218" si="179">0.5*H217</f>
        <v>-1.1003214255080828E-16</v>
      </c>
      <c r="U217" s="8">
        <f>$B$65+S217</f>
        <v>7.0993950086962094</v>
      </c>
      <c r="V217" s="1" t="s">
        <v>117</v>
      </c>
      <c r="W217" s="38">
        <f>U217</f>
        <v>7.0993950086962094</v>
      </c>
      <c r="X217" s="39" t="s">
        <v>117</v>
      </c>
    </row>
    <row r="218" spans="1:24" x14ac:dyDescent="0.25">
      <c r="A218">
        <v>0.13933068598763121</v>
      </c>
      <c r="B218">
        <v>-9.5149204470526254E-3</v>
      </c>
      <c r="C218">
        <v>3.527072059652437E-2</v>
      </c>
      <c r="H218">
        <v>1.3860056951577611E-14</v>
      </c>
      <c r="J218" s="8">
        <f>$B$67+H218</f>
        <v>46.904179972821346</v>
      </c>
      <c r="K218" s="1" t="s">
        <v>118</v>
      </c>
      <c r="L218" s="38">
        <f>$B$66</f>
        <v>5.5250000000000004</v>
      </c>
      <c r="M218" s="40"/>
      <c r="S218">
        <f t="shared" si="179"/>
        <v>6.9300284757888055E-15</v>
      </c>
      <c r="U218" s="8">
        <f>$B$67+S218</f>
        <v>46.904179972821339</v>
      </c>
      <c r="V218" s="1" t="s">
        <v>118</v>
      </c>
      <c r="W218" s="38">
        <f>$B$66</f>
        <v>5.5250000000000004</v>
      </c>
      <c r="X218" s="40"/>
    </row>
    <row r="219" spans="1:24" ht="15.75" thickBot="1" x14ac:dyDescent="0.3">
      <c r="L219" s="41">
        <f>J218</f>
        <v>46.904179972821346</v>
      </c>
      <c r="M219" s="42" t="s">
        <v>118</v>
      </c>
      <c r="W219" s="41">
        <f>U218</f>
        <v>46.904179972821339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5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  <dataValidation type="list" allowBlank="1" showInputMessage="1" showErrorMessage="1" sqref="I54" xr:uid="{EB691415-1D99-4ED4-A99A-88476B96B39B}">
      <formula1>"Linear,Rectangular"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Load_at_Pl_Center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704850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0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6" x14ac:dyDescent="0.25">
      <c r="A51" s="10" t="s">
        <v>8</v>
      </c>
      <c r="B51" s="17">
        <f>'Rigid Bearing Plate Analysis'!B51</f>
        <v>5</v>
      </c>
      <c r="C51" t="s">
        <v>11</v>
      </c>
    </row>
    <row r="52" spans="1:16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6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6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/>
      <c r="H54" s="17" t="str">
        <f>'Rigid Bearing Plate Analysis'!H54</f>
        <v>Stress Block</v>
      </c>
      <c r="I54" s="17" t="str">
        <f>'Rigid Bearing Plate Analysis'!I54</f>
        <v>Linear</v>
      </c>
      <c r="J54" s="17"/>
      <c r="K54" s="17"/>
      <c r="L54" s="17"/>
      <c r="M54" s="17"/>
      <c r="N54" s="17"/>
      <c r="O54" s="17"/>
      <c r="P54" s="17"/>
    </row>
    <row r="55" spans="1:16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/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/>
      <c r="M55" s="17"/>
      <c r="N55" s="17"/>
      <c r="O55" s="17"/>
      <c r="P55" s="17"/>
    </row>
    <row r="56" spans="1:16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/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/>
      <c r="L56" s="17"/>
      <c r="M56" s="17"/>
      <c r="N56" s="17"/>
      <c r="O56" s="17"/>
      <c r="P56" s="17"/>
    </row>
    <row r="57" spans="1:16" x14ac:dyDescent="0.25">
      <c r="D57" s="17" t="str">
        <f>'Rigid Bearing Plate Analysis'!D57</f>
        <v>Hole</v>
      </c>
      <c r="E57" s="17" t="str">
        <f>'Rigid Bearing Plate Analysis'!E57</f>
        <v>STD</v>
      </c>
      <c r="F57" s="17"/>
      <c r="G57" s="17"/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/>
      <c r="L57" s="17"/>
      <c r="M57" s="17" t="str">
        <f ca="1">'Rigid Bearing Plate Analysis'!M57</f>
        <v>SOLUTION IF STRAIN IGNORED</v>
      </c>
      <c r="N57" s="17"/>
      <c r="O57" s="17"/>
      <c r="P57" s="17"/>
    </row>
    <row r="58" spans="1:16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1:16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/>
      <c r="H59" s="17" t="str">
        <f>'Rigid Bearing Plate Analysis'!H59</f>
        <v>Max Iterations:</v>
      </c>
      <c r="I59" s="17">
        <f>'Rigid Bearing Plate Analysis'!I59</f>
        <v>200</v>
      </c>
      <c r="J59" s="17"/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/>
      <c r="O59" s="17"/>
      <c r="P59" s="17"/>
    </row>
    <row r="60" spans="1:16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/>
      <c r="G60" s="17"/>
      <c r="H60" s="17" t="str">
        <f>'Rigid Bearing Plate Analysis'!H60</f>
        <v>Iterations Used:</v>
      </c>
      <c r="I60" s="17">
        <f>'Rigid Bearing Plate Analysis'!I60</f>
        <v>4</v>
      </c>
      <c r="J60" s="17"/>
      <c r="K60" s="17"/>
      <c r="L60" s="17">
        <f>'Rigid Bearing Plate Analysis'!L60</f>
        <v>0</v>
      </c>
      <c r="M60" s="17" t="str">
        <f>'Rigid Bearing Plate Analysis'!M60</f>
        <v/>
      </c>
      <c r="N60" s="17"/>
      <c r="O60" s="17"/>
      <c r="P60" s="17"/>
    </row>
    <row r="61" spans="1:16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6" x14ac:dyDescent="0.25">
      <c r="A63" s="16" t="s">
        <v>38</v>
      </c>
    </row>
    <row r="64" spans="1:16" x14ac:dyDescent="0.25">
      <c r="A64" s="11" t="s">
        <v>39</v>
      </c>
      <c r="B64" s="17">
        <f>'Rigid Bearing Plate Analysis'!B64</f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7.0993950086962094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5.5250000819489937</v>
      </c>
      <c r="C66" t="s">
        <v>11</v>
      </c>
      <c r="D66">
        <f>B66/B53</f>
        <v>1.3560676116785133E-3</v>
      </c>
      <c r="I66" s="20"/>
    </row>
    <row r="67" spans="1:18" x14ac:dyDescent="0.25">
      <c r="A67" s="1" t="s">
        <v>37</v>
      </c>
      <c r="B67" s="17">
        <f>'Rigid Bearing Plate Analysis'!B67</f>
        <v>46.904179972821332</v>
      </c>
      <c r="C67" t="s">
        <v>36</v>
      </c>
      <c r="D67" t="s">
        <v>122</v>
      </c>
      <c r="G67" s="20">
        <f ca="1">($B$56*$B$66*$B$55*$E$122)/$B$65</f>
        <v>41.318889775392087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-20.967171187665297</v>
      </c>
      <c r="R76">
        <f>Q76</f>
        <v>-20.967171187665297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20.967171187665297</v>
      </c>
      <c r="R77">
        <f>Q77</f>
        <v>20.967171187665297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-18.509767503382292</v>
      </c>
      <c r="C84" s="1">
        <f t="shared" ref="C84:C92" si="23">(-1*B73*SIN($B$64))+(C73*COS($B$64))</f>
        <v>10.064108740892586</v>
      </c>
      <c r="H84" s="1">
        <f t="shared" ref="H84:H92" si="24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0" x14ac:dyDescent="0.25">
      <c r="A85" s="1">
        <f t="shared" si="21"/>
        <v>2</v>
      </c>
      <c r="B85" s="4">
        <f t="shared" si="22"/>
        <v>-19.967171187665297</v>
      </c>
      <c r="C85" s="1">
        <f t="shared" si="23"/>
        <v>4.2438016612757101</v>
      </c>
      <c r="H85" s="1">
        <f t="shared" si="24"/>
        <v>2</v>
      </c>
      <c r="I85" s="4">
        <f t="shared" ref="I85:I92" si="25">(I74*COS($B$64))+(J74*SIN($B$64))</f>
        <v>-18.509767503382292</v>
      </c>
      <c r="J85" s="1">
        <f t="shared" ref="J85:J92" si="26">(-1*I74*SIN($B$64))+(J74*COS($B$64))</f>
        <v>10.064108740892586</v>
      </c>
    </row>
    <row r="86" spans="1:10" x14ac:dyDescent="0.25">
      <c r="A86" s="1">
        <f t="shared" si="21"/>
        <v>3</v>
      </c>
      <c r="B86" s="4">
        <f t="shared" si="22"/>
        <v>13.011466377658614</v>
      </c>
      <c r="C86" s="1">
        <f t="shared" si="23"/>
        <v>-12.26102988391149</v>
      </c>
      <c r="H86" s="1">
        <f t="shared" si="24"/>
        <v>3</v>
      </c>
      <c r="I86" s="4">
        <f t="shared" si="25"/>
        <v>-18.509767503382292</v>
      </c>
      <c r="J86" s="1">
        <f t="shared" si="26"/>
        <v>10.064108740892586</v>
      </c>
    </row>
    <row r="87" spans="1:10" x14ac:dyDescent="0.25">
      <c r="A87" s="1">
        <f t="shared" si="21"/>
        <v>4</v>
      </c>
      <c r="B87" s="4">
        <f t="shared" si="22"/>
        <v>16.412074974318958</v>
      </c>
      <c r="C87" s="1">
        <f t="shared" si="23"/>
        <v>1.3196866351945546</v>
      </c>
      <c r="H87" s="1">
        <f t="shared" si="24"/>
        <v>4</v>
      </c>
      <c r="I87" s="4">
        <f t="shared" si="25"/>
        <v>-18.509767503382292</v>
      </c>
      <c r="J87" s="1">
        <f t="shared" si="26"/>
        <v>10.064108740892586</v>
      </c>
    </row>
    <row r="88" spans="1:10" x14ac:dyDescent="0.25">
      <c r="A88" s="1">
        <f t="shared" si="21"/>
        <v>5</v>
      </c>
      <c r="B88" s="4">
        <f t="shared" si="22"/>
        <v>-18.509767503382292</v>
      </c>
      <c r="C88" s="1">
        <f t="shared" si="23"/>
        <v>10.064108740892586</v>
      </c>
      <c r="H88" s="1">
        <f t="shared" si="24"/>
        <v>5</v>
      </c>
      <c r="I88" s="4">
        <f t="shared" si="25"/>
        <v>-18.509767503382292</v>
      </c>
      <c r="J88" s="1">
        <f t="shared" si="26"/>
        <v>10.064108740892586</v>
      </c>
    </row>
    <row r="89" spans="1:10" x14ac:dyDescent="0.25">
      <c r="A89" s="1">
        <f t="shared" si="21"/>
        <v>6</v>
      </c>
      <c r="B89" s="4">
        <f t="shared" si="22"/>
        <v>-18.509767503382292</v>
      </c>
      <c r="C89" s="1">
        <f t="shared" si="23"/>
        <v>10.064108740892586</v>
      </c>
      <c r="H89" s="1">
        <f t="shared" si="24"/>
        <v>6</v>
      </c>
      <c r="I89" s="4">
        <f t="shared" si="25"/>
        <v>-18.509767503382292</v>
      </c>
      <c r="J89" s="1">
        <f t="shared" si="26"/>
        <v>10.064108740892586</v>
      </c>
    </row>
    <row r="90" spans="1:10" x14ac:dyDescent="0.25">
      <c r="A90" s="1">
        <f t="shared" si="21"/>
        <v>7</v>
      </c>
      <c r="B90" s="4">
        <f t="shared" si="22"/>
        <v>-18.509767503382292</v>
      </c>
      <c r="C90" s="1">
        <f t="shared" si="23"/>
        <v>10.064108740892586</v>
      </c>
      <c r="H90" s="1">
        <f t="shared" si="24"/>
        <v>7</v>
      </c>
      <c r="I90" s="4">
        <f t="shared" si="25"/>
        <v>-18.509767503382292</v>
      </c>
      <c r="J90" s="1">
        <f t="shared" si="26"/>
        <v>10.064108740892586</v>
      </c>
    </row>
    <row r="91" spans="1:10" x14ac:dyDescent="0.25">
      <c r="A91" s="1">
        <f t="shared" si="21"/>
        <v>8</v>
      </c>
      <c r="B91" s="4">
        <f t="shared" si="22"/>
        <v>-18.509767503382292</v>
      </c>
      <c r="C91" s="1">
        <f t="shared" si="23"/>
        <v>10.064108740892586</v>
      </c>
      <c r="H91" s="1">
        <f t="shared" si="24"/>
        <v>8</v>
      </c>
      <c r="I91" s="4">
        <f t="shared" si="25"/>
        <v>-18.509767503382292</v>
      </c>
      <c r="J91" s="1">
        <f t="shared" si="26"/>
        <v>10.064108740892586</v>
      </c>
    </row>
    <row r="92" spans="1:10" x14ac:dyDescent="0.25">
      <c r="A92" s="1">
        <f t="shared" si="21"/>
        <v>9</v>
      </c>
      <c r="B92" s="4">
        <f t="shared" si="22"/>
        <v>-18.509767503382292</v>
      </c>
      <c r="C92" s="1">
        <f t="shared" si="23"/>
        <v>10.064108740892586</v>
      </c>
      <c r="H92" s="1">
        <f t="shared" si="24"/>
        <v>9</v>
      </c>
      <c r="I92" s="4">
        <f t="shared" si="25"/>
        <v>-18.509767503382292</v>
      </c>
      <c r="J92" s="1">
        <f t="shared" si="26"/>
        <v>10.064108740892586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31">D95</f>
        <v>y</v>
      </c>
      <c r="E110" s="4">
        <f t="shared" ref="E110:E121" si="32">IF($D110="y",$B$125-C110,0)</f>
        <v>-4.673491420729583</v>
      </c>
      <c r="F110" s="1">
        <f>IF($D110="y",B110,NA())</f>
        <v>-17.055466371604336</v>
      </c>
      <c r="G110" s="1">
        <f>IF($D110="y",C110,NA())</f>
        <v>7.6382051529259591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8.926916084181475E-4</v>
      </c>
      <c r="N110">
        <f>IF(AND(M110&gt;0,D110="y",$E$60="y"),$B$53*M110*$E$59,0)</f>
        <v>3.2247804813625103</v>
      </c>
      <c r="O110">
        <f>N110*C110</f>
        <v>24.631534889798182</v>
      </c>
      <c r="P110">
        <f>N110*B110*-1</f>
        <v>55.000135055684339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-17.662717906722257</v>
      </c>
      <c r="C111" s="1">
        <f t="shared" ref="C111:C121" si="37">(-1*B96*SIN($B$64))+(C96*COS($B$64))</f>
        <v>5.2130772030855939</v>
      </c>
      <c r="D111" t="str">
        <f t="shared" si="35"/>
        <v>y</v>
      </c>
      <c r="E111" s="4">
        <f t="shared" si="32"/>
        <v>-2.2483634708892177</v>
      </c>
      <c r="F111" s="1">
        <f t="shared" ref="F111:G121" si="38">IF($D111="y",B111,NA())</f>
        <v>-17.662717906722257</v>
      </c>
      <c r="G111" s="1">
        <f t="shared" si="38"/>
        <v>5.2130772030855939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4.2946376112601811E-4</v>
      </c>
      <c r="N111">
        <f t="shared" ref="N111:N121" si="42">IF(AND(M111&gt;0,D111="y",$E$60="y"),$B$53*M111*$E$59,0)</f>
        <v>1.5514051451495203</v>
      </c>
      <c r="O111">
        <f t="shared" ref="O111:O121" si="43">N111*C111</f>
        <v>8.0875947949286608</v>
      </c>
      <c r="P111">
        <f t="shared" ref="P111:P121" si="44">N111*B111*-1</f>
        <v>27.402031437813474</v>
      </c>
    </row>
    <row r="112" spans="1:16" x14ac:dyDescent="0.25">
      <c r="A112">
        <f t="shared" si="35"/>
        <v>3</v>
      </c>
      <c r="B112" s="1">
        <f t="shared" si="36"/>
        <v>-11.235159291987461</v>
      </c>
      <c r="C112" s="1">
        <f t="shared" si="37"/>
        <v>6.1808014686429535</v>
      </c>
      <c r="D112" t="str">
        <f t="shared" si="35"/>
        <v>y</v>
      </c>
      <c r="E112" s="4">
        <f t="shared" si="32"/>
        <v>-3.2160877364465774</v>
      </c>
      <c r="F112" s="1">
        <f t="shared" si="38"/>
        <v>-11.235159291987461</v>
      </c>
      <c r="G112" s="1">
        <f t="shared" si="38"/>
        <v>6.1808014686429535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6.1431043213816018E-4</v>
      </c>
      <c r="N112">
        <f t="shared" si="42"/>
        <v>2.219149673163026</v>
      </c>
      <c r="O112">
        <f t="shared" si="43"/>
        <v>13.716123559024561</v>
      </c>
      <c r="P112">
        <f t="shared" si="44"/>
        <v>24.93250007074851</v>
      </c>
    </row>
    <row r="113" spans="1:16" x14ac:dyDescent="0.25">
      <c r="A113">
        <f t="shared" si="35"/>
        <v>4</v>
      </c>
      <c r="B113" s="1">
        <f t="shared" si="36"/>
        <v>-12.206761748176131</v>
      </c>
      <c r="C113" s="1">
        <f t="shared" si="37"/>
        <v>2.3005967488983701</v>
      </c>
      <c r="D113" t="str">
        <f t="shared" si="35"/>
        <v>y</v>
      </c>
      <c r="E113" s="4">
        <f t="shared" si="32"/>
        <v>0.66411698329800606</v>
      </c>
      <c r="F113" s="1">
        <f t="shared" si="38"/>
        <v>-12.206761748176131</v>
      </c>
      <c r="G113" s="1">
        <f t="shared" si="38"/>
        <v>2.3005967488983701</v>
      </c>
      <c r="H113">
        <f t="shared" si="33"/>
        <v>-2.5296219228656489</v>
      </c>
      <c r="I113">
        <f t="shared" si="39"/>
        <v>-5.8196399716867555</v>
      </c>
      <c r="J113">
        <f t="shared" si="40"/>
        <v>-30.878492125384156</v>
      </c>
      <c r="K113">
        <f t="shared" ca="1" si="45"/>
        <v>-4.1760480861652374</v>
      </c>
      <c r="L113">
        <f t="shared" ca="1" si="41"/>
        <v>-1.4400165814362886E-4</v>
      </c>
      <c r="M113">
        <f t="shared" si="34"/>
        <v>-1.2685412352924668E-4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-5.4148522123705849</v>
      </c>
      <c r="C114" s="1">
        <f t="shared" si="37"/>
        <v>4.7233977843599479</v>
      </c>
      <c r="D114" t="str">
        <f t="shared" si="35"/>
        <v>y</v>
      </c>
      <c r="E114" s="4">
        <f t="shared" si="32"/>
        <v>-1.7586840521635718</v>
      </c>
      <c r="F114" s="1">
        <f t="shared" si="38"/>
        <v>-5.4148522123705849</v>
      </c>
      <c r="G114" s="1">
        <f t="shared" si="38"/>
        <v>4.7233977843599479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3.3592925585817292E-4</v>
      </c>
      <c r="N114">
        <f t="shared" si="42"/>
        <v>1.2135188649635418</v>
      </c>
      <c r="O114">
        <f t="shared" si="43"/>
        <v>5.7319323180477921</v>
      </c>
      <c r="P114">
        <f t="shared" si="44"/>
        <v>6.571025310701275</v>
      </c>
    </row>
    <row r="115" spans="1:16" x14ac:dyDescent="0.25">
      <c r="A115">
        <f t="shared" si="35"/>
        <v>6</v>
      </c>
      <c r="B115" s="1">
        <f t="shared" si="36"/>
        <v>-6.7508055896300068</v>
      </c>
      <c r="C115" s="1">
        <f t="shared" si="37"/>
        <v>-0.61188370528885416</v>
      </c>
      <c r="D115" t="str">
        <f t="shared" si="35"/>
        <v>y</v>
      </c>
      <c r="E115" s="4">
        <f t="shared" si="32"/>
        <v>3.5765974374852303</v>
      </c>
      <c r="F115" s="1">
        <f t="shared" si="38"/>
        <v>-6.7508055896300068</v>
      </c>
      <c r="G115" s="1">
        <f t="shared" si="38"/>
        <v>-0.61188370528885416</v>
      </c>
      <c r="H115">
        <f t="shared" si="33"/>
        <v>-13.623261435354571</v>
      </c>
      <c r="I115">
        <f t="shared" si="39"/>
        <v>8.3358516851835081</v>
      </c>
      <c r="J115">
        <f t="shared" si="40"/>
        <v>-91.967989446782553</v>
      </c>
      <c r="K115">
        <f t="shared" ca="1" si="45"/>
        <v>-22.490078193184093</v>
      </c>
      <c r="L115">
        <f t="shared" ca="1" si="41"/>
        <v>-7.7551993769600321E-4</v>
      </c>
      <c r="M115">
        <f t="shared" si="34"/>
        <v>-6.8317200818451156E-4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0.40545486724629032</v>
      </c>
      <c r="C116" s="1">
        <f t="shared" si="37"/>
        <v>3.2659941000769432</v>
      </c>
      <c r="D116" t="str">
        <f t="shared" si="35"/>
        <v>y</v>
      </c>
      <c r="E116" s="4">
        <f t="shared" si="32"/>
        <v>-0.30128036788056711</v>
      </c>
      <c r="F116" s="1">
        <f t="shared" si="38"/>
        <v>0.40545486724629032</v>
      </c>
      <c r="G116" s="1">
        <f t="shared" si="38"/>
        <v>3.2659941000769432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5.7548079578185796E-5</v>
      </c>
      <c r="N116">
        <f t="shared" si="42"/>
        <v>0.20788805676405797</v>
      </c>
      <c r="O116">
        <f t="shared" si="43"/>
        <v>0.678961166867874</v>
      </c>
      <c r="P116">
        <f t="shared" si="44"/>
        <v>-8.4289224457360395E-2</v>
      </c>
    </row>
    <row r="117" spans="1:16" x14ac:dyDescent="0.25">
      <c r="A117">
        <f t="shared" si="35"/>
        <v>8</v>
      </c>
      <c r="B117" s="1">
        <f t="shared" si="36"/>
        <v>-1.2948494310838825</v>
      </c>
      <c r="C117" s="1">
        <f t="shared" si="37"/>
        <v>-3.524364159476078</v>
      </c>
      <c r="D117" t="str">
        <f t="shared" si="35"/>
        <v>y</v>
      </c>
      <c r="E117" s="4">
        <f t="shared" si="32"/>
        <v>6.4890778916724541</v>
      </c>
      <c r="F117" s="1">
        <f t="shared" si="38"/>
        <v>-1.2948494310838825</v>
      </c>
      <c r="G117" s="1">
        <f t="shared" si="38"/>
        <v>-3.524364159476078</v>
      </c>
      <c r="H117">
        <f t="shared" si="33"/>
        <v>-24.716900947843492</v>
      </c>
      <c r="I117">
        <f t="shared" si="39"/>
        <v>87.111359833899897</v>
      </c>
      <c r="J117">
        <f t="shared" si="40"/>
        <v>-32.004665130471821</v>
      </c>
      <c r="K117">
        <f t="shared" ca="1" si="45"/>
        <v>-40.804108300202941</v>
      </c>
      <c r="L117">
        <f t="shared" ca="1" si="41"/>
        <v>-1.4070382172483773E-3</v>
      </c>
      <c r="M117">
        <f t="shared" si="34"/>
        <v>-1.2394898928397764E-3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6.225761946863166</v>
      </c>
      <c r="C118" s="1">
        <f t="shared" si="37"/>
        <v>1.8085904157939381</v>
      </c>
      <c r="D118" t="str">
        <f t="shared" si="35"/>
        <v>y</v>
      </c>
      <c r="E118" s="4">
        <f t="shared" si="32"/>
        <v>1.156123316402438</v>
      </c>
      <c r="F118" s="1">
        <f t="shared" si="38"/>
        <v>6.225761946863166</v>
      </c>
      <c r="G118" s="1">
        <f t="shared" si="38"/>
        <v>1.8085904157939381</v>
      </c>
      <c r="H118">
        <f t="shared" si="33"/>
        <v>-4.4036742927193373</v>
      </c>
      <c r="I118">
        <f t="shared" si="39"/>
        <v>-7.9644431200903423</v>
      </c>
      <c r="J118">
        <f t="shared" si="40"/>
        <v>27.416227837991617</v>
      </c>
      <c r="K118">
        <f t="shared" ca="1" si="45"/>
        <v>-7.2698435430116861</v>
      </c>
      <c r="L118">
        <f t="shared" ca="1" si="41"/>
        <v>-2.5068426010385126E-4</v>
      </c>
      <c r="M118">
        <f t="shared" si="34"/>
        <v>-2.2083309670180141E-4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4.1611067274622418</v>
      </c>
      <c r="C119" s="1">
        <f t="shared" si="37"/>
        <v>-6.4368446136633022</v>
      </c>
      <c r="D119" t="str">
        <f t="shared" si="35"/>
        <v>y</v>
      </c>
      <c r="E119" s="4">
        <f t="shared" si="32"/>
        <v>9.4015583458596783</v>
      </c>
      <c r="F119" s="1">
        <f t="shared" si="38"/>
        <v>4.1611067274622418</v>
      </c>
      <c r="G119" s="1">
        <f t="shared" si="38"/>
        <v>-6.4368446136633022</v>
      </c>
      <c r="H119">
        <f t="shared" si="33"/>
        <v>-35.810540460332412</v>
      </c>
      <c r="I119">
        <f t="shared" si="39"/>
        <v>230.50688447446242</v>
      </c>
      <c r="J119">
        <f t="shared" si="40"/>
        <v>149.011480823548</v>
      </c>
      <c r="K119">
        <f t="shared" ca="1" si="45"/>
        <v>-59.118138407221799</v>
      </c>
      <c r="L119">
        <f t="shared" ca="1" si="41"/>
        <v>-2.0385564968007515E-3</v>
      </c>
      <c r="M119">
        <f t="shared" si="34"/>
        <v>-1.7958077774950412E-3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12.046069026480041</v>
      </c>
      <c r="C120" s="1">
        <f t="shared" si="37"/>
        <v>0.35118673151093294</v>
      </c>
      <c r="D120" t="str">
        <f t="shared" si="35"/>
        <v>y</v>
      </c>
      <c r="E120" s="4">
        <f t="shared" si="32"/>
        <v>2.6135270006854432</v>
      </c>
      <c r="F120" s="1">
        <f t="shared" si="38"/>
        <v>12.046069026480041</v>
      </c>
      <c r="G120" s="1">
        <f t="shared" si="38"/>
        <v>0.35118673151093294</v>
      </c>
      <c r="H120">
        <f t="shared" si="33"/>
        <v>-9.9549256579824217</v>
      </c>
      <c r="I120">
        <f t="shared" si="39"/>
        <v>-3.4960378042611699</v>
      </c>
      <c r="J120">
        <f t="shared" si="40"/>
        <v>119.91772162953349</v>
      </c>
      <c r="K120">
        <f t="shared" ca="1" si="45"/>
        <v>-16.434174556346402</v>
      </c>
      <c r="L120">
        <f t="shared" ca="1" si="41"/>
        <v>-5.6669567435677244E-4</v>
      </c>
      <c r="M120">
        <f t="shared" si="34"/>
        <v>-4.9921427298178864E-4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9.617062886008366</v>
      </c>
      <c r="C121" s="1">
        <f t="shared" si="37"/>
        <v>-9.3493250678505255</v>
      </c>
      <c r="D121" t="str">
        <f t="shared" si="35"/>
        <v>y</v>
      </c>
      <c r="E121" s="4">
        <f t="shared" si="32"/>
        <v>12.314038800046902</v>
      </c>
      <c r="F121" s="1">
        <f t="shared" si="38"/>
        <v>9.617062886008366</v>
      </c>
      <c r="G121" s="1">
        <f t="shared" si="38"/>
        <v>-9.3493250678505255</v>
      </c>
      <c r="H121" s="23">
        <f t="shared" si="33"/>
        <v>-46.904179972821332</v>
      </c>
      <c r="I121" s="23">
        <f t="shared" si="39"/>
        <v>438.52242560687108</v>
      </c>
      <c r="J121" s="23">
        <f t="shared" si="40"/>
        <v>451.08044841527692</v>
      </c>
      <c r="K121">
        <f t="shared" ca="1" si="45"/>
        <v>-77.432168514240644</v>
      </c>
      <c r="L121">
        <f t="shared" ca="1" si="41"/>
        <v>-2.6700747763531256E-3</v>
      </c>
      <c r="M121">
        <f t="shared" si="34"/>
        <v>-2.352125662150306E-3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12.314038800046902</v>
      </c>
      <c r="H122">
        <f>SUM(H110:H121)</f>
        <v>-137.94310468991921</v>
      </c>
      <c r="I122">
        <f t="shared" ref="I122:J122" si="46">SUM(I110:I121)</f>
        <v>747.19640070437868</v>
      </c>
      <c r="J122">
        <f t="shared" si="46"/>
        <v>592.57473200371146</v>
      </c>
      <c r="L122">
        <f ca="1">MIN(L110:L121)</f>
        <v>-2.6700747763531256E-3</v>
      </c>
      <c r="M122">
        <f>MIN(M110:M121)</f>
        <v>-2.352125662150306E-3</v>
      </c>
      <c r="N122">
        <f>SUM(N110:N121)</f>
        <v>8.4167422214026573</v>
      </c>
      <c r="O122">
        <f>SUM(O110:O121)</f>
        <v>52.846146728667065</v>
      </c>
      <c r="P122">
        <f>SUM(P110:P121)</f>
        <v>113.82140265049024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2.9647137321963761</v>
      </c>
      <c r="F125" s="1" t="s">
        <v>27</v>
      </c>
      <c r="G125" s="1" t="s">
        <v>28</v>
      </c>
    </row>
    <row r="126" spans="1:16" x14ac:dyDescent="0.25">
      <c r="F126" s="4">
        <f>MIN(B84:B90)-1</f>
        <v>-20.967171187665297</v>
      </c>
      <c r="G126" s="4">
        <f>B125</f>
        <v>2.9647137321963761</v>
      </c>
    </row>
    <row r="127" spans="1:16" x14ac:dyDescent="0.25">
      <c r="F127" s="4">
        <f>MAX(B84:B90)+1</f>
        <v>17.412074974318958</v>
      </c>
      <c r="G127" s="4">
        <f>G126</f>
        <v>2.9647137321963761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47">B85</f>
        <v>-19.967171187665297</v>
      </c>
      <c r="E132" s="4">
        <f t="shared" si="47"/>
        <v>4.2438016612757101</v>
      </c>
      <c r="F132" s="4">
        <f t="shared" ref="F132:F139" si="48">($B$66/$B$65)*(C132-$B$125)</f>
        <v>5.5250000819489937</v>
      </c>
      <c r="G132" s="4">
        <f t="shared" ref="G132:G139" si="49">($B$66/$B$65)*(E132-$B$125)</f>
        <v>0.99543142821702546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5.5250000819489937</v>
      </c>
      <c r="O132" s="4">
        <f>IF(G132&lt;0,IF($I$54="Linear",0,$B$66),IF($I$54="Linear",G132,$B$66))</f>
        <v>0.99543142821702546</v>
      </c>
      <c r="P132" s="4">
        <f>(1/6)*(M132-K132)*((N132*((2*J132)+L132))+(O132*(J132+(2*L132))))</f>
        <v>361.85689193982586</v>
      </c>
      <c r="Q132" s="4">
        <f>((1/12)*(M132-K132)*(N132*J132*((3*K132)+M132)+N132*L132*(K132+M132)+O132*J132*(K132+M132)+O132*L132*(K132+(3*M132))))</f>
        <v>2821.2962492375741</v>
      </c>
      <c r="R132" s="4">
        <f>((-1/24)*(M132-K132)*(J132*J132*((3*N132)+O132)+2*J132*L132*(N132+O132)+L132*L132*(N132+(3*O132))))</f>
        <v>3451.6663361331489</v>
      </c>
    </row>
    <row r="133" spans="1:18" x14ac:dyDescent="0.25">
      <c r="A133" t="s">
        <v>70</v>
      </c>
      <c r="B133" s="4">
        <f t="shared" ref="B133:C138" si="50">D132</f>
        <v>-19.967171187665297</v>
      </c>
      <c r="C133" s="4">
        <f t="shared" si="50"/>
        <v>4.2438016612757101</v>
      </c>
      <c r="D133" s="4">
        <f t="shared" si="47"/>
        <v>13.011466377658614</v>
      </c>
      <c r="E133" s="4">
        <f t="shared" si="47"/>
        <v>-12.26102988391149</v>
      </c>
      <c r="F133" s="4">
        <f t="shared" si="48"/>
        <v>0.99543142821702546</v>
      </c>
      <c r="G133" s="4">
        <f t="shared" si="49"/>
        <v>-11.849211746027247</v>
      </c>
      <c r="H133" s="4">
        <f t="shared" ref="H133:H139" si="51">IF(B133=D133,"V",(C133-E133)/(B133-D133))</f>
        <v>-0.50047038821705481</v>
      </c>
      <c r="I133" s="4">
        <f t="shared" ref="I133:I139" si="52">IF(H133="V",0,(-1*B133*H133)+C133)</f>
        <v>-5.749176254611533</v>
      </c>
      <c r="J133" s="4">
        <f t="shared" ref="J133:J139" si="53">IF($F133&gt;=0,B133,IF(AND($F133&lt;0,$G133&gt;=0),IF(H133="V",B133,($B$125-I133)/H133),0))</f>
        <v>-19.967171187665297</v>
      </c>
      <c r="K133" s="4">
        <f t="shared" ref="K133:K139" si="54">IF($F133&gt;=0,C133,IF(AND($F133&lt;0,$G133&gt;=0),$B$125,0))</f>
        <v>4.2438016612757101</v>
      </c>
      <c r="L133" s="4">
        <f t="shared" ref="L133:L139" si="55">IF($G133&gt;=0,D133,IF(AND($G133&lt;0,$F133&gt;=0),IF(H133="V",D133,($B$125-I133)/H133),0))</f>
        <v>-17.411399739056453</v>
      </c>
      <c r="M133" s="4">
        <f t="shared" ref="M133:M139" si="56">IF($G133&gt;=0,E133,IF(AND($G133&lt;0,$F133&gt;=0),$B$125,0))</f>
        <v>2.9647137321963761</v>
      </c>
      <c r="N133" s="4">
        <f t="shared" ref="N133:O139" si="57">IF(F133&lt;0,IF($I$54="Linear",0,$B$66),IF($I$54="Linear",F133,$B$66))</f>
        <v>0.99543142821702546</v>
      </c>
      <c r="O133" s="4">
        <f t="shared" si="57"/>
        <v>0</v>
      </c>
      <c r="P133" s="4">
        <f t="shared" ref="P133:P139" si="58">(1/6)*(M133-K133)*((N133*((2*J133)+L133))+(O133*(J133+(2*L133))))</f>
        <v>12.169190109345244</v>
      </c>
      <c r="Q133" s="4">
        <f t="shared" ref="Q133:Q139" si="59">((1/12)*(M133-K133)*(N133*J133*((3*K133)+M133)+N133*L133*(K133+M133)+O133*J133*(K133+M133)+O133*L133*(K133+(3*M133))))</f>
        <v>46.570760797193614</v>
      </c>
      <c r="R133" s="4">
        <f t="shared" ref="R133:R139" si="60">((-1/24)*(M133-K133)*(J133*J133*((3*N133)+O133)+2*J133*L133*(N133+O133)+L133*L133*(N133+(3*O133))))</f>
        <v>116.42405060851874</v>
      </c>
    </row>
    <row r="134" spans="1:18" x14ac:dyDescent="0.25">
      <c r="A134" t="s">
        <v>71</v>
      </c>
      <c r="B134" s="4">
        <f t="shared" si="50"/>
        <v>13.011466377658614</v>
      </c>
      <c r="C134" s="4">
        <f t="shared" si="50"/>
        <v>-12.26102988391149</v>
      </c>
      <c r="D134" s="4">
        <f t="shared" si="47"/>
        <v>16.412074974318958</v>
      </c>
      <c r="E134" s="4">
        <f t="shared" si="47"/>
        <v>1.3196866351945546</v>
      </c>
      <c r="F134" s="4">
        <f t="shared" si="48"/>
        <v>-11.849211746027247</v>
      </c>
      <c r="G134" s="4">
        <f t="shared" si="49"/>
        <v>-1.280218220652652</v>
      </c>
      <c r="H134" s="4">
        <f t="shared" si="51"/>
        <v>3.9936135350723214</v>
      </c>
      <c r="I134" s="4">
        <f t="shared" si="52"/>
        <v>-64.223798120867372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16.412074974318958</v>
      </c>
      <c r="C135" s="4">
        <f t="shared" si="50"/>
        <v>1.3196866351945546</v>
      </c>
      <c r="D135" s="4">
        <f t="shared" si="47"/>
        <v>-18.509767503382292</v>
      </c>
      <c r="E135" s="4">
        <f t="shared" si="47"/>
        <v>10.064108740892586</v>
      </c>
      <c r="F135" s="4">
        <f t="shared" si="48"/>
        <v>-1.280218220652652</v>
      </c>
      <c r="G135" s="4">
        <f t="shared" si="49"/>
        <v>5.5250000819489937</v>
      </c>
      <c r="H135" s="4">
        <f t="shared" si="51"/>
        <v>-0.25039979237297216</v>
      </c>
      <c r="I135" s="4">
        <f t="shared" si="52"/>
        <v>5.4292668011736742</v>
      </c>
      <c r="J135" s="4">
        <f t="shared" si="53"/>
        <v>9.8424724941717603</v>
      </c>
      <c r="K135" s="4">
        <f t="shared" si="54"/>
        <v>2.9647137321963761</v>
      </c>
      <c r="L135" s="4">
        <f t="shared" si="55"/>
        <v>-18.509767503382292</v>
      </c>
      <c r="M135" s="4">
        <f t="shared" si="56"/>
        <v>10.064108740892586</v>
      </c>
      <c r="N135" s="4">
        <f t="shared" si="57"/>
        <v>0</v>
      </c>
      <c r="O135" s="4">
        <f t="shared" si="57"/>
        <v>5.5250000819489937</v>
      </c>
      <c r="P135" s="4">
        <f t="shared" si="58"/>
        <v>-177.66623235020242</v>
      </c>
      <c r="Q135" s="4">
        <f t="shared" si="59"/>
        <v>-1586.9220736227551</v>
      </c>
      <c r="R135" s="4">
        <f t="shared" si="60"/>
        <v>-1242.6621658440433</v>
      </c>
    </row>
    <row r="136" spans="1:18" x14ac:dyDescent="0.25">
      <c r="A136" t="s">
        <v>73</v>
      </c>
      <c r="B136" s="4">
        <f t="shared" si="50"/>
        <v>-18.509767503382292</v>
      </c>
      <c r="C136" s="4">
        <f t="shared" si="50"/>
        <v>10.064108740892586</v>
      </c>
      <c r="D136" s="4">
        <f t="shared" si="47"/>
        <v>-18.509767503382292</v>
      </c>
      <c r="E136" s="4">
        <f t="shared" si="47"/>
        <v>10.064108740892586</v>
      </c>
      <c r="F136" s="4">
        <f t="shared" si="48"/>
        <v>5.5250000819489937</v>
      </c>
      <c r="G136" s="4">
        <f t="shared" si="49"/>
        <v>5.5250000819489937</v>
      </c>
      <c r="H136" s="4" t="str">
        <f t="shared" si="51"/>
        <v>V</v>
      </c>
      <c r="I136" s="4">
        <f t="shared" si="52"/>
        <v>0</v>
      </c>
      <c r="J136" s="4">
        <f t="shared" si="53"/>
        <v>-18.509767503382292</v>
      </c>
      <c r="K136" s="4">
        <f t="shared" si="54"/>
        <v>10.064108740892586</v>
      </c>
      <c r="L136" s="4">
        <f t="shared" si="55"/>
        <v>-18.509767503382292</v>
      </c>
      <c r="M136" s="4">
        <f t="shared" si="56"/>
        <v>10.064108740892586</v>
      </c>
      <c r="N136" s="4">
        <f t="shared" si="57"/>
        <v>5.5250000819489937</v>
      </c>
      <c r="O136" s="4">
        <f t="shared" si="57"/>
        <v>5.5250000819489937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-18.509767503382292</v>
      </c>
      <c r="C137" s="4">
        <f t="shared" si="50"/>
        <v>10.064108740892586</v>
      </c>
      <c r="D137" s="4">
        <f t="shared" si="47"/>
        <v>-18.509767503382292</v>
      </c>
      <c r="E137" s="4">
        <f t="shared" si="47"/>
        <v>10.064108740892586</v>
      </c>
      <c r="F137" s="4">
        <f t="shared" si="48"/>
        <v>5.5250000819489937</v>
      </c>
      <c r="G137" s="4">
        <f t="shared" si="49"/>
        <v>5.5250000819489937</v>
      </c>
      <c r="H137" s="4" t="str">
        <f t="shared" si="51"/>
        <v>V</v>
      </c>
      <c r="I137" s="4">
        <f t="shared" si="52"/>
        <v>0</v>
      </c>
      <c r="J137" s="4">
        <f t="shared" si="53"/>
        <v>-18.509767503382292</v>
      </c>
      <c r="K137" s="4">
        <f t="shared" si="54"/>
        <v>10.064108740892586</v>
      </c>
      <c r="L137" s="4">
        <f t="shared" si="55"/>
        <v>-18.509767503382292</v>
      </c>
      <c r="M137" s="4">
        <f t="shared" si="56"/>
        <v>10.064108740892586</v>
      </c>
      <c r="N137" s="4">
        <f t="shared" si="57"/>
        <v>5.5250000819489937</v>
      </c>
      <c r="O137" s="4">
        <f t="shared" si="57"/>
        <v>5.5250000819489937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-18.509767503382292</v>
      </c>
      <c r="C138" s="4">
        <f t="shared" si="50"/>
        <v>10.064108740892586</v>
      </c>
      <c r="D138" s="4">
        <f t="shared" si="47"/>
        <v>-18.509767503382292</v>
      </c>
      <c r="E138" s="4">
        <f t="shared" si="47"/>
        <v>10.064108740892586</v>
      </c>
      <c r="F138" s="4">
        <f t="shared" si="48"/>
        <v>5.5250000819489937</v>
      </c>
      <c r="G138" s="4">
        <f t="shared" si="49"/>
        <v>5.5250000819489937</v>
      </c>
      <c r="H138" s="4" t="str">
        <f t="shared" si="51"/>
        <v>V</v>
      </c>
      <c r="I138" s="4">
        <f t="shared" si="52"/>
        <v>0</v>
      </c>
      <c r="J138" s="4">
        <f t="shared" si="53"/>
        <v>-18.509767503382292</v>
      </c>
      <c r="K138" s="4">
        <f t="shared" si="54"/>
        <v>10.064108740892586</v>
      </c>
      <c r="L138" s="4">
        <f t="shared" si="55"/>
        <v>-18.509767503382292</v>
      </c>
      <c r="M138" s="4">
        <f t="shared" si="56"/>
        <v>10.064108740892586</v>
      </c>
      <c r="N138" s="4">
        <f t="shared" si="57"/>
        <v>5.5250000819489937</v>
      </c>
      <c r="O138" s="4">
        <f t="shared" si="57"/>
        <v>5.5250000819489937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47"/>
        <v>-18.509767503382292</v>
      </c>
      <c r="E139" s="4">
        <f t="shared" si="47"/>
        <v>10.064108740892586</v>
      </c>
      <c r="F139" s="4">
        <f t="shared" si="48"/>
        <v>5.5250000819489937</v>
      </c>
      <c r="G139" s="4">
        <f t="shared" si="49"/>
        <v>5.5250000819489937</v>
      </c>
      <c r="H139" s="4" t="str">
        <f t="shared" si="51"/>
        <v>V</v>
      </c>
      <c r="I139" s="4">
        <f t="shared" si="52"/>
        <v>0</v>
      </c>
      <c r="J139" s="4">
        <f t="shared" si="53"/>
        <v>-18.509767503382292</v>
      </c>
      <c r="K139" s="4">
        <f t="shared" si="54"/>
        <v>10.064108740892586</v>
      </c>
      <c r="L139" s="4">
        <f t="shared" si="55"/>
        <v>-18.509767503382292</v>
      </c>
      <c r="M139" s="4">
        <f t="shared" si="56"/>
        <v>10.064108740892586</v>
      </c>
      <c r="N139" s="4">
        <f t="shared" si="57"/>
        <v>5.5250000819489937</v>
      </c>
      <c r="O139" s="4">
        <f>IF(G139&lt;0,IF($I$54="Linear",0,$B$66),IF($I$54="Linear",G139,$B$66))</f>
        <v>5.5250000819489937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196.3598496989687</v>
      </c>
      <c r="Q140" s="4">
        <f>SUM(Q132:Q139)</f>
        <v>1280.9449364120126</v>
      </c>
      <c r="R140" s="4">
        <f>SUM(R132:R139)</f>
        <v>2325.4282208976247</v>
      </c>
    </row>
    <row r="142" spans="1:18" x14ac:dyDescent="0.25">
      <c r="O142" t="s">
        <v>96</v>
      </c>
      <c r="P142" s="1">
        <f>-1*R140/P140</f>
        <v>-11.842686906017926</v>
      </c>
    </row>
    <row r="143" spans="1:18" x14ac:dyDescent="0.25">
      <c r="O143" t="s">
        <v>97</v>
      </c>
      <c r="P143" s="1">
        <f>Q140/P140</f>
        <v>6.5234564926372531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61">I85</f>
        <v>-18.509767503382292</v>
      </c>
      <c r="E146">
        <f t="shared" si="61"/>
        <v>10.064108740892586</v>
      </c>
      <c r="F146" s="4">
        <f>($B$66/$B$65)*(C146-$B$125)</f>
        <v>5.5250000819489937</v>
      </c>
      <c r="G146" s="4">
        <f>($B$66/$B$65)*(E146-$B$125)</f>
        <v>5.5250000819489937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5.5250000819489937</v>
      </c>
      <c r="O146" s="4">
        <f>IF(G146&lt;0,IF($I$54="Linear",0,$B$66),IF($I$54="Linear",G146,$B$66))</f>
        <v>5.5250000819489937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-18.509767503382292</v>
      </c>
      <c r="C147">
        <f t="shared" si="62"/>
        <v>10.064108740892586</v>
      </c>
      <c r="D147" s="9">
        <f t="shared" si="61"/>
        <v>-18.509767503382292</v>
      </c>
      <c r="E147">
        <f t="shared" si="61"/>
        <v>10.064108740892586</v>
      </c>
      <c r="F147" s="4">
        <f t="shared" ref="F147:F153" si="63">($B$66/$B$65)*(C147-$B$125)</f>
        <v>5.5250000819489937</v>
      </c>
      <c r="G147" s="4">
        <f t="shared" ref="G147:G153" si="64">($B$66/$B$65)*(E147-$B$125)</f>
        <v>5.5250000819489937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-18.509767503382292</v>
      </c>
      <c r="K147" s="4">
        <f t="shared" ref="K147:K153" si="68">IF($F147&gt;=0,C147,IF(AND($F147&lt;0,$G147&gt;=0),$B$125,0))</f>
        <v>10.064108740892586</v>
      </c>
      <c r="L147" s="4">
        <f t="shared" ref="L147:L153" si="69">IF($G147&gt;=0,D147,IF(AND($G147&lt;0,$F147&gt;=0),IF(H147="V",D147,($B$125-I147)/H147),0))</f>
        <v>-18.509767503382292</v>
      </c>
      <c r="M147" s="4">
        <f t="shared" ref="M147:M153" si="70">IF($G147&gt;=0,E147,IF(AND($G147&lt;0,$F147&gt;=0),$B$125,0))</f>
        <v>10.064108740892586</v>
      </c>
      <c r="N147" s="4">
        <f t="shared" ref="N147:O153" si="71">IF(F147&lt;0,IF($I$54="Linear",0,$B$66),IF($I$54="Linear",F147,$B$66))</f>
        <v>5.5250000819489937</v>
      </c>
      <c r="O147" s="4">
        <f t="shared" si="71"/>
        <v>5.5250000819489937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-18.509767503382292</v>
      </c>
      <c r="C148">
        <f t="shared" si="62"/>
        <v>10.064108740892586</v>
      </c>
      <c r="D148" s="9">
        <f t="shared" si="61"/>
        <v>-18.509767503382292</v>
      </c>
      <c r="E148">
        <f t="shared" si="61"/>
        <v>10.064108740892586</v>
      </c>
      <c r="F148" s="4">
        <f t="shared" si="63"/>
        <v>5.5250000819489937</v>
      </c>
      <c r="G148" s="4">
        <f t="shared" si="64"/>
        <v>5.5250000819489937</v>
      </c>
      <c r="H148" s="4" t="str">
        <f t="shared" si="65"/>
        <v>V</v>
      </c>
      <c r="I148" s="4">
        <f t="shared" si="66"/>
        <v>0</v>
      </c>
      <c r="J148" s="4">
        <f t="shared" si="67"/>
        <v>-18.509767503382292</v>
      </c>
      <c r="K148" s="4">
        <f t="shared" si="68"/>
        <v>10.064108740892586</v>
      </c>
      <c r="L148" s="4">
        <f t="shared" si="69"/>
        <v>-18.509767503382292</v>
      </c>
      <c r="M148" s="4">
        <f t="shared" si="70"/>
        <v>10.064108740892586</v>
      </c>
      <c r="N148" s="4">
        <f t="shared" si="71"/>
        <v>5.5250000819489937</v>
      </c>
      <c r="O148" s="4">
        <f t="shared" si="71"/>
        <v>5.5250000819489937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-18.509767503382292</v>
      </c>
      <c r="C149">
        <f t="shared" si="62"/>
        <v>10.064108740892586</v>
      </c>
      <c r="D149" s="9">
        <f t="shared" si="61"/>
        <v>-18.509767503382292</v>
      </c>
      <c r="E149">
        <f t="shared" si="61"/>
        <v>10.064108740892586</v>
      </c>
      <c r="F149" s="4">
        <f t="shared" si="63"/>
        <v>5.5250000819489937</v>
      </c>
      <c r="G149" s="4">
        <f t="shared" si="64"/>
        <v>5.5250000819489937</v>
      </c>
      <c r="H149" s="4" t="str">
        <f t="shared" si="65"/>
        <v>V</v>
      </c>
      <c r="I149" s="4">
        <f t="shared" si="66"/>
        <v>0</v>
      </c>
      <c r="J149" s="4">
        <f t="shared" si="67"/>
        <v>-18.509767503382292</v>
      </c>
      <c r="K149" s="4">
        <f t="shared" si="68"/>
        <v>10.064108740892586</v>
      </c>
      <c r="L149" s="4">
        <f t="shared" si="69"/>
        <v>-18.509767503382292</v>
      </c>
      <c r="M149" s="4">
        <f t="shared" si="70"/>
        <v>10.064108740892586</v>
      </c>
      <c r="N149" s="4">
        <f t="shared" si="71"/>
        <v>5.5250000819489937</v>
      </c>
      <c r="O149" s="4">
        <f t="shared" si="71"/>
        <v>5.5250000819489937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-18.509767503382292</v>
      </c>
      <c r="C150">
        <f t="shared" si="62"/>
        <v>10.064108740892586</v>
      </c>
      <c r="D150" s="9">
        <f t="shared" si="61"/>
        <v>-18.509767503382292</v>
      </c>
      <c r="E150">
        <f t="shared" si="61"/>
        <v>10.064108740892586</v>
      </c>
      <c r="F150" s="4">
        <f t="shared" si="63"/>
        <v>5.5250000819489937</v>
      </c>
      <c r="G150" s="4">
        <f t="shared" si="64"/>
        <v>5.5250000819489937</v>
      </c>
      <c r="H150" s="4" t="str">
        <f t="shared" si="65"/>
        <v>V</v>
      </c>
      <c r="I150" s="4">
        <f t="shared" si="66"/>
        <v>0</v>
      </c>
      <c r="J150" s="4">
        <f t="shared" si="67"/>
        <v>-18.509767503382292</v>
      </c>
      <c r="K150" s="4">
        <f t="shared" si="68"/>
        <v>10.064108740892586</v>
      </c>
      <c r="L150" s="4">
        <f t="shared" si="69"/>
        <v>-18.509767503382292</v>
      </c>
      <c r="M150" s="4">
        <f t="shared" si="70"/>
        <v>10.064108740892586</v>
      </c>
      <c r="N150" s="4">
        <f t="shared" si="71"/>
        <v>5.5250000819489937</v>
      </c>
      <c r="O150" s="4">
        <f t="shared" si="71"/>
        <v>5.5250000819489937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-18.509767503382292</v>
      </c>
      <c r="C151">
        <f t="shared" si="62"/>
        <v>10.064108740892586</v>
      </c>
      <c r="D151" s="9">
        <f t="shared" si="61"/>
        <v>-18.509767503382292</v>
      </c>
      <c r="E151">
        <f t="shared" si="61"/>
        <v>10.064108740892586</v>
      </c>
      <c r="F151" s="4">
        <f t="shared" si="63"/>
        <v>5.5250000819489937</v>
      </c>
      <c r="G151" s="4">
        <f t="shared" si="64"/>
        <v>5.5250000819489937</v>
      </c>
      <c r="H151" s="4" t="str">
        <f t="shared" si="65"/>
        <v>V</v>
      </c>
      <c r="I151" s="4">
        <f t="shared" si="66"/>
        <v>0</v>
      </c>
      <c r="J151" s="4">
        <f t="shared" si="67"/>
        <v>-18.509767503382292</v>
      </c>
      <c r="K151" s="4">
        <f t="shared" si="68"/>
        <v>10.064108740892586</v>
      </c>
      <c r="L151" s="4">
        <f t="shared" si="69"/>
        <v>-18.509767503382292</v>
      </c>
      <c r="M151" s="4">
        <f t="shared" si="70"/>
        <v>10.064108740892586</v>
      </c>
      <c r="N151" s="4">
        <f t="shared" si="71"/>
        <v>5.5250000819489937</v>
      </c>
      <c r="O151" s="4">
        <f t="shared" si="71"/>
        <v>5.5250000819489937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-18.509767503382292</v>
      </c>
      <c r="C152">
        <f t="shared" si="62"/>
        <v>10.064108740892586</v>
      </c>
      <c r="D152" s="9">
        <f t="shared" si="61"/>
        <v>-18.509767503382292</v>
      </c>
      <c r="E152">
        <f t="shared" si="61"/>
        <v>10.064108740892586</v>
      </c>
      <c r="F152" s="4">
        <f t="shared" si="63"/>
        <v>5.5250000819489937</v>
      </c>
      <c r="G152" s="4">
        <f t="shared" si="64"/>
        <v>5.5250000819489937</v>
      </c>
      <c r="H152" s="4" t="str">
        <f t="shared" si="65"/>
        <v>V</v>
      </c>
      <c r="I152" s="4">
        <f t="shared" si="66"/>
        <v>0</v>
      </c>
      <c r="J152" s="4">
        <f t="shared" si="67"/>
        <v>-18.509767503382292</v>
      </c>
      <c r="K152" s="4">
        <f t="shared" si="68"/>
        <v>10.064108740892586</v>
      </c>
      <c r="L152" s="4">
        <f t="shared" si="69"/>
        <v>-18.509767503382292</v>
      </c>
      <c r="M152" s="4">
        <f t="shared" si="70"/>
        <v>10.064108740892586</v>
      </c>
      <c r="N152" s="4">
        <f t="shared" si="71"/>
        <v>5.5250000819489937</v>
      </c>
      <c r="O152" s="4">
        <f t="shared" si="71"/>
        <v>5.5250000819489937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-18.509767503382292</v>
      </c>
      <c r="C153">
        <f t="shared" si="62"/>
        <v>10.064108740892586</v>
      </c>
      <c r="D153" s="9">
        <f t="shared" si="61"/>
        <v>-18.509767503382292</v>
      </c>
      <c r="E153">
        <f t="shared" si="61"/>
        <v>10.064108740892586</v>
      </c>
      <c r="F153" s="4">
        <f t="shared" si="63"/>
        <v>5.5250000819489937</v>
      </c>
      <c r="G153" s="4">
        <f t="shared" si="64"/>
        <v>5.5250000819489937</v>
      </c>
      <c r="H153" s="4" t="str">
        <f t="shared" si="65"/>
        <v>V</v>
      </c>
      <c r="I153" s="4">
        <f t="shared" si="66"/>
        <v>0</v>
      </c>
      <c r="J153" s="4">
        <f t="shared" si="67"/>
        <v>-18.509767503382292</v>
      </c>
      <c r="K153" s="4">
        <f t="shared" si="68"/>
        <v>10.064108740892586</v>
      </c>
      <c r="L153" s="4">
        <f t="shared" si="69"/>
        <v>-18.509767503382292</v>
      </c>
      <c r="M153" s="4">
        <f t="shared" si="70"/>
        <v>10.064108740892586</v>
      </c>
      <c r="N153" s="4">
        <f t="shared" si="71"/>
        <v>5.5250000819489937</v>
      </c>
      <c r="O153" s="4">
        <f t="shared" si="71"/>
        <v>5.5250000819489937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50.000002787646835</v>
      </c>
      <c r="C159" t="s">
        <v>36</v>
      </c>
    </row>
    <row r="160" spans="1:18" x14ac:dyDescent="0.25">
      <c r="A160" s="1" t="s">
        <v>106</v>
      </c>
      <c r="B160" s="4">
        <f>Q140+I122+Q154-O122</f>
        <v>1975.2951903877242</v>
      </c>
      <c r="C160" t="s">
        <v>102</v>
      </c>
    </row>
    <row r="161" spans="1:9" x14ac:dyDescent="0.25">
      <c r="A161" s="1" t="s">
        <v>107</v>
      </c>
      <c r="B161" s="4">
        <f>R140+J122+R154-P122</f>
        <v>2804.1815502508462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50.000002787646835</v>
      </c>
      <c r="C164" t="s">
        <v>36</v>
      </c>
      <c r="E164" s="8">
        <f>B2-B164</f>
        <v>-2.7876468351450967E-6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-3200.0000362455989</v>
      </c>
      <c r="C165" t="s">
        <v>102</v>
      </c>
      <c r="E165" s="8">
        <f>B3+B165</f>
        <v>-3.6245598948880797E-5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1235.000009702137</v>
      </c>
      <c r="C166" t="s">
        <v>102</v>
      </c>
      <c r="E166" s="8">
        <f>B4+B166</f>
        <v>9.7021370493166614E-6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5.5250000819489937</v>
      </c>
      <c r="B169" s="1">
        <f ca="1">IF(E122=0,0,(MIN(H110:H121)*B65)/(B55*B56*E122))</f>
        <v>-6.2718432078473993</v>
      </c>
      <c r="C169" s="3">
        <f ca="1">A169+B169</f>
        <v>-0.74684312589840562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1.0530104504557465E-7</v>
      </c>
      <c r="D175" s="27">
        <f>B66*SQRT(I175)</f>
        <v>8.1948994497907082E-8</v>
      </c>
      <c r="E175" s="27">
        <f>B67*SQRT(I175)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7.0993951139972546</v>
      </c>
      <c r="D176" s="3">
        <f>D175+B66</f>
        <v>5.525000163897988</v>
      </c>
      <c r="E176" s="3">
        <f>B67+E175</f>
        <v>46.904180668522748</v>
      </c>
      <c r="F176" s="16" t="s">
        <v>125</v>
      </c>
    </row>
    <row r="177" spans="1:13" x14ac:dyDescent="0.25">
      <c r="B177" s="27">
        <f>B176-B64</f>
        <v>2.6937875929888833E-8</v>
      </c>
      <c r="C177" s="27">
        <f>C176-B65</f>
        <v>1.0530104521677686E-7</v>
      </c>
      <c r="D177" s="27">
        <f>D176-B66</f>
        <v>8.1948994257174945E-8</v>
      </c>
      <c r="E177" s="27">
        <f>E176-B67</f>
        <v>6.9570141647545825E-7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18.509767534763025</v>
      </c>
      <c r="B181" s="25">
        <f>(d_alpha_p!E136-d_alpha_m!E136)/(2*B177)</f>
        <v>18.509767534763025</v>
      </c>
      <c r="C181" s="25">
        <f>(d_alpha_p!E137-d_alpha_m!E137)/(2*B177)</f>
        <v>18.509767534763025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2.7876468351450967E-6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3.6245598948880797E-5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-9.7021370493166614E-6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0.74684312589840562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18.509767534763025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18.509767534763025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18.509767534763025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18.509767534763025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18.509767534763025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18.509767534763025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37" workbookViewId="0">
      <selection activeCell="M64" sqref="M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7.0993950086962094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5.524999918051007</v>
      </c>
      <c r="C66" t="s">
        <v>11</v>
      </c>
      <c r="D66">
        <f>B66/B53</f>
        <v>1.3560675714510476E-3</v>
      </c>
      <c r="I66" s="20"/>
    </row>
    <row r="67" spans="1:18" x14ac:dyDescent="0.25">
      <c r="A67" s="1" t="s">
        <v>37</v>
      </c>
      <c r="B67" s="17">
        <f>'Rigid Bearing Plate Analysis'!B67</f>
        <v>46.904179972821332</v>
      </c>
      <c r="C67" t="s">
        <v>36</v>
      </c>
      <c r="D67" t="s">
        <v>122</v>
      </c>
      <c r="G67" s="20">
        <f ca="1">($B$56*$B$66*$B$55*$E$122)/$B$65</f>
        <v>41.318888549675762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-20.967171187665297</v>
      </c>
      <c r="R76">
        <f>Q76</f>
        <v>-20.967171187665297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20.967171187665297</v>
      </c>
      <c r="R77">
        <f>Q77</f>
        <v>20.967171187665297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-18.509767503382292</v>
      </c>
      <c r="C84" s="1">
        <f t="shared" ref="C84:C92" si="23">(-1*B73*SIN($B$64))+(C73*COS($B$64))</f>
        <v>10.064108740892586</v>
      </c>
      <c r="H84" s="1">
        <f t="shared" ref="H84:H92" si="24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0" x14ac:dyDescent="0.25">
      <c r="A85" s="1">
        <f t="shared" si="21"/>
        <v>2</v>
      </c>
      <c r="B85" s="4">
        <f t="shared" si="22"/>
        <v>-19.967171187665297</v>
      </c>
      <c r="C85" s="1">
        <f t="shared" si="23"/>
        <v>4.2438016612757101</v>
      </c>
      <c r="H85" s="1">
        <f t="shared" si="24"/>
        <v>2</v>
      </c>
      <c r="I85" s="4">
        <f t="shared" ref="I85:I92" si="25">(I74*COS($B$64))+(J74*SIN($B$64))</f>
        <v>-18.509767503382292</v>
      </c>
      <c r="J85" s="1">
        <f t="shared" ref="J85:J92" si="26">(-1*I74*SIN($B$64))+(J74*COS($B$64))</f>
        <v>10.064108740892586</v>
      </c>
    </row>
    <row r="86" spans="1:10" x14ac:dyDescent="0.25">
      <c r="A86" s="1">
        <f t="shared" si="21"/>
        <v>3</v>
      </c>
      <c r="B86" s="4">
        <f t="shared" si="22"/>
        <v>13.011466377658614</v>
      </c>
      <c r="C86" s="1">
        <f t="shared" si="23"/>
        <v>-12.26102988391149</v>
      </c>
      <c r="H86" s="1">
        <f t="shared" si="24"/>
        <v>3</v>
      </c>
      <c r="I86" s="4">
        <f t="shared" si="25"/>
        <v>-18.509767503382292</v>
      </c>
      <c r="J86" s="1">
        <f t="shared" si="26"/>
        <v>10.064108740892586</v>
      </c>
    </row>
    <row r="87" spans="1:10" x14ac:dyDescent="0.25">
      <c r="A87" s="1">
        <f t="shared" si="21"/>
        <v>4</v>
      </c>
      <c r="B87" s="4">
        <f t="shared" si="22"/>
        <v>16.412074974318958</v>
      </c>
      <c r="C87" s="1">
        <f t="shared" si="23"/>
        <v>1.3196866351945546</v>
      </c>
      <c r="H87" s="1">
        <f t="shared" si="24"/>
        <v>4</v>
      </c>
      <c r="I87" s="4">
        <f t="shared" si="25"/>
        <v>-18.509767503382292</v>
      </c>
      <c r="J87" s="1">
        <f t="shared" si="26"/>
        <v>10.064108740892586</v>
      </c>
    </row>
    <row r="88" spans="1:10" x14ac:dyDescent="0.25">
      <c r="A88" s="1">
        <f t="shared" si="21"/>
        <v>5</v>
      </c>
      <c r="B88" s="4">
        <f t="shared" si="22"/>
        <v>-18.509767503382292</v>
      </c>
      <c r="C88" s="1">
        <f t="shared" si="23"/>
        <v>10.064108740892586</v>
      </c>
      <c r="H88" s="1">
        <f t="shared" si="24"/>
        <v>5</v>
      </c>
      <c r="I88" s="4">
        <f t="shared" si="25"/>
        <v>-18.509767503382292</v>
      </c>
      <c r="J88" s="1">
        <f t="shared" si="26"/>
        <v>10.064108740892586</v>
      </c>
    </row>
    <row r="89" spans="1:10" x14ac:dyDescent="0.25">
      <c r="A89" s="1">
        <f t="shared" si="21"/>
        <v>6</v>
      </c>
      <c r="B89" s="4">
        <f t="shared" si="22"/>
        <v>-18.509767503382292</v>
      </c>
      <c r="C89" s="1">
        <f t="shared" si="23"/>
        <v>10.064108740892586</v>
      </c>
      <c r="H89" s="1">
        <f t="shared" si="24"/>
        <v>6</v>
      </c>
      <c r="I89" s="4">
        <f t="shared" si="25"/>
        <v>-18.509767503382292</v>
      </c>
      <c r="J89" s="1">
        <f t="shared" si="26"/>
        <v>10.064108740892586</v>
      </c>
    </row>
    <row r="90" spans="1:10" x14ac:dyDescent="0.25">
      <c r="A90" s="1">
        <f t="shared" si="21"/>
        <v>7</v>
      </c>
      <c r="B90" s="4">
        <f t="shared" si="22"/>
        <v>-18.509767503382292</v>
      </c>
      <c r="C90" s="1">
        <f t="shared" si="23"/>
        <v>10.064108740892586</v>
      </c>
      <c r="H90" s="1">
        <f t="shared" si="24"/>
        <v>7</v>
      </c>
      <c r="I90" s="4">
        <f t="shared" si="25"/>
        <v>-18.509767503382292</v>
      </c>
      <c r="J90" s="1">
        <f t="shared" si="26"/>
        <v>10.064108740892586</v>
      </c>
    </row>
    <row r="91" spans="1:10" x14ac:dyDescent="0.25">
      <c r="A91" s="1">
        <f t="shared" si="21"/>
        <v>8</v>
      </c>
      <c r="B91" s="4">
        <f t="shared" si="22"/>
        <v>-18.509767503382292</v>
      </c>
      <c r="C91" s="1">
        <f t="shared" si="23"/>
        <v>10.064108740892586</v>
      </c>
      <c r="H91" s="1">
        <f t="shared" si="24"/>
        <v>8</v>
      </c>
      <c r="I91" s="4">
        <f t="shared" si="25"/>
        <v>-18.509767503382292</v>
      </c>
      <c r="J91" s="1">
        <f t="shared" si="26"/>
        <v>10.064108740892586</v>
      </c>
    </row>
    <row r="92" spans="1:10" x14ac:dyDescent="0.25">
      <c r="A92" s="1">
        <f t="shared" si="21"/>
        <v>9</v>
      </c>
      <c r="B92" s="4">
        <f t="shared" si="22"/>
        <v>-18.509767503382292</v>
      </c>
      <c r="C92" s="1">
        <f t="shared" si="23"/>
        <v>10.064108740892586</v>
      </c>
      <c r="H92" s="1">
        <f t="shared" si="24"/>
        <v>9</v>
      </c>
      <c r="I92" s="4">
        <f t="shared" si="25"/>
        <v>-18.509767503382292</v>
      </c>
      <c r="J92" s="1">
        <f t="shared" si="26"/>
        <v>10.064108740892586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31">D95</f>
        <v>y</v>
      </c>
      <c r="E110" s="4">
        <f t="shared" ref="E110:E121" si="32">IF($D110="y",$B$125-C110,0)</f>
        <v>-4.673491420729583</v>
      </c>
      <c r="F110" s="1">
        <f>IF($D110="y",B110,NA())</f>
        <v>-17.055466371604336</v>
      </c>
      <c r="G110" s="1">
        <f>IF($D110="y",C110,NA())</f>
        <v>7.6382051529259591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8.9269158193663531E-4</v>
      </c>
      <c r="N110">
        <f>IF(AND(M110&gt;0,D110="y",$E$60="y"),$B$53*M110*$E$59,0)</f>
        <v>3.2247803857000634</v>
      </c>
      <c r="O110">
        <f>N110*C110</f>
        <v>24.631534159108785</v>
      </c>
      <c r="P110">
        <f>N110*B110*-1</f>
        <v>55.00013342411669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-17.662717906722257</v>
      </c>
      <c r="C111" s="1">
        <f t="shared" ref="C111:C121" si="37">(-1*B96*SIN($B$64))+(C96*COS($B$64))</f>
        <v>5.2130772030855939</v>
      </c>
      <c r="D111" t="str">
        <f t="shared" si="35"/>
        <v>y</v>
      </c>
      <c r="E111" s="4">
        <f t="shared" si="32"/>
        <v>-2.2483634708892177</v>
      </c>
      <c r="F111" s="1">
        <f t="shared" ref="F111:G121" si="38">IF($D111="y",B111,NA())</f>
        <v>-17.662717906722257</v>
      </c>
      <c r="G111" s="1">
        <f t="shared" si="38"/>
        <v>5.2130772030855939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4.2946374838606432E-4</v>
      </c>
      <c r="N111">
        <f t="shared" ref="N111:N121" si="42">IF(AND(M111&gt;0,D111="y",$E$60="y"),$B$53*M111*$E$59,0)</f>
        <v>1.5514050991274071</v>
      </c>
      <c r="O111">
        <f t="shared" ref="O111:O121" si="43">N111*C111</f>
        <v>8.0875945550118313</v>
      </c>
      <c r="P111">
        <f t="shared" ref="P111:P121" si="44">N111*B111*-1</f>
        <v>27.402030624937872</v>
      </c>
    </row>
    <row r="112" spans="1:16" x14ac:dyDescent="0.25">
      <c r="A112">
        <f t="shared" si="35"/>
        <v>3</v>
      </c>
      <c r="B112" s="1">
        <f t="shared" si="36"/>
        <v>-11.235159291987461</v>
      </c>
      <c r="C112" s="1">
        <f t="shared" si="37"/>
        <v>6.1808014686429535</v>
      </c>
      <c r="D112" t="str">
        <f t="shared" si="35"/>
        <v>y</v>
      </c>
      <c r="E112" s="4">
        <f t="shared" si="32"/>
        <v>-3.2160877364465774</v>
      </c>
      <c r="F112" s="1">
        <f t="shared" si="38"/>
        <v>-11.235159291987461</v>
      </c>
      <c r="G112" s="1">
        <f t="shared" si="38"/>
        <v>6.1808014686429535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6.1431041391476809E-4</v>
      </c>
      <c r="N112">
        <f t="shared" si="42"/>
        <v>2.2191496073324091</v>
      </c>
      <c r="O112">
        <f t="shared" si="43"/>
        <v>13.716123152138588</v>
      </c>
      <c r="P112">
        <f t="shared" si="44"/>
        <v>24.932499331131041</v>
      </c>
    </row>
    <row r="113" spans="1:16" x14ac:dyDescent="0.25">
      <c r="A113">
        <f t="shared" si="35"/>
        <v>4</v>
      </c>
      <c r="B113" s="1">
        <f t="shared" si="36"/>
        <v>-12.206761748176131</v>
      </c>
      <c r="C113" s="1">
        <f t="shared" si="37"/>
        <v>2.3005967488983701</v>
      </c>
      <c r="D113" t="str">
        <f t="shared" si="35"/>
        <v>y</v>
      </c>
      <c r="E113" s="4">
        <f t="shared" si="32"/>
        <v>0.66411698329800606</v>
      </c>
      <c r="F113" s="1">
        <f t="shared" si="38"/>
        <v>-12.206761748176131</v>
      </c>
      <c r="G113" s="1">
        <f t="shared" si="38"/>
        <v>2.3005967488983701</v>
      </c>
      <c r="H113">
        <f t="shared" si="33"/>
        <v>-2.5296219228656489</v>
      </c>
      <c r="I113">
        <f t="shared" si="39"/>
        <v>-5.8196399716867555</v>
      </c>
      <c r="J113">
        <f t="shared" si="40"/>
        <v>-30.878492125384156</v>
      </c>
      <c r="K113">
        <f t="shared" ca="1" si="45"/>
        <v>-4.1760480861652374</v>
      </c>
      <c r="L113">
        <f t="shared" ca="1" si="41"/>
        <v>-1.4400165814362886E-4</v>
      </c>
      <c r="M113">
        <f t="shared" si="34"/>
        <v>-1.268541197661453E-4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-5.4148522123705849</v>
      </c>
      <c r="C114" s="1">
        <f t="shared" si="37"/>
        <v>4.7233977843599479</v>
      </c>
      <c r="D114" t="str">
        <f t="shared" si="35"/>
        <v>y</v>
      </c>
      <c r="E114" s="4">
        <f t="shared" si="32"/>
        <v>-1.7586840521635718</v>
      </c>
      <c r="F114" s="1">
        <f t="shared" si="38"/>
        <v>-5.4148522123705849</v>
      </c>
      <c r="G114" s="1">
        <f t="shared" si="38"/>
        <v>4.7233977843599479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3.3592924589290093E-4</v>
      </c>
      <c r="N114">
        <f t="shared" si="42"/>
        <v>1.2135188289647552</v>
      </c>
      <c r="O114">
        <f t="shared" si="43"/>
        <v>5.7319321480112029</v>
      </c>
      <c r="P114">
        <f t="shared" si="44"/>
        <v>6.5710251157731658</v>
      </c>
    </row>
    <row r="115" spans="1:16" x14ac:dyDescent="0.25">
      <c r="A115">
        <f t="shared" si="35"/>
        <v>6</v>
      </c>
      <c r="B115" s="1">
        <f t="shared" si="36"/>
        <v>-6.7508055896300068</v>
      </c>
      <c r="C115" s="1">
        <f t="shared" si="37"/>
        <v>-0.61188370528885416</v>
      </c>
      <c r="D115" t="str">
        <f t="shared" si="35"/>
        <v>y</v>
      </c>
      <c r="E115" s="4">
        <f t="shared" si="32"/>
        <v>3.5765974374852303</v>
      </c>
      <c r="F115" s="1">
        <f t="shared" si="38"/>
        <v>-6.7508055896300068</v>
      </c>
      <c r="G115" s="1">
        <f t="shared" si="38"/>
        <v>-0.61188370528885416</v>
      </c>
      <c r="H115">
        <f t="shared" si="33"/>
        <v>-13.623261435354571</v>
      </c>
      <c r="I115">
        <f t="shared" si="39"/>
        <v>8.3358516851835081</v>
      </c>
      <c r="J115">
        <f t="shared" si="40"/>
        <v>-91.967989446782553</v>
      </c>
      <c r="K115">
        <f t="shared" ca="1" si="45"/>
        <v>-22.490078193184093</v>
      </c>
      <c r="L115">
        <f t="shared" ca="1" si="41"/>
        <v>-7.7551993769600321E-4</v>
      </c>
      <c r="M115">
        <f t="shared" si="34"/>
        <v>-6.8317198791835497E-4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0.40545486724629032</v>
      </c>
      <c r="C116" s="1">
        <f t="shared" si="37"/>
        <v>3.2659941000769432</v>
      </c>
      <c r="D116" t="str">
        <f t="shared" si="35"/>
        <v>y</v>
      </c>
      <c r="E116" s="4">
        <f t="shared" si="32"/>
        <v>-0.30128036788056711</v>
      </c>
      <c r="F116" s="1">
        <f t="shared" si="38"/>
        <v>0.40545486724629032</v>
      </c>
      <c r="G116" s="1">
        <f t="shared" si="38"/>
        <v>3.2659941000769432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5.7548077871033899E-5</v>
      </c>
      <c r="N116">
        <f t="shared" si="42"/>
        <v>0.20788805059710169</v>
      </c>
      <c r="O116">
        <f t="shared" si="43"/>
        <v>0.67896114672663122</v>
      </c>
      <c r="P116">
        <f t="shared" si="44"/>
        <v>-8.4289221956937957E-2</v>
      </c>
    </row>
    <row r="117" spans="1:16" x14ac:dyDescent="0.25">
      <c r="A117">
        <f t="shared" si="35"/>
        <v>8</v>
      </c>
      <c r="B117" s="1">
        <f t="shared" si="36"/>
        <v>-1.2948494310838825</v>
      </c>
      <c r="C117" s="1">
        <f t="shared" si="37"/>
        <v>-3.524364159476078</v>
      </c>
      <c r="D117" t="str">
        <f t="shared" si="35"/>
        <v>y</v>
      </c>
      <c r="E117" s="4">
        <f t="shared" si="32"/>
        <v>6.4890778916724541</v>
      </c>
      <c r="F117" s="1">
        <f t="shared" si="38"/>
        <v>-1.2948494310838825</v>
      </c>
      <c r="G117" s="1">
        <f t="shared" si="38"/>
        <v>-3.524364159476078</v>
      </c>
      <c r="H117">
        <f t="shared" si="33"/>
        <v>-24.716900947843492</v>
      </c>
      <c r="I117">
        <f t="shared" si="39"/>
        <v>87.111359833899897</v>
      </c>
      <c r="J117">
        <f t="shared" si="40"/>
        <v>-32.004665130471821</v>
      </c>
      <c r="K117">
        <f t="shared" ca="1" si="45"/>
        <v>-40.804108300202941</v>
      </c>
      <c r="L117">
        <f t="shared" ca="1" si="41"/>
        <v>-1.4070382172483773E-3</v>
      </c>
      <c r="M117">
        <f t="shared" si="34"/>
        <v>-1.2394898560705646E-3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6.225761946863166</v>
      </c>
      <c r="C118" s="1">
        <f t="shared" si="37"/>
        <v>1.8085904157939381</v>
      </c>
      <c r="D118" t="str">
        <f t="shared" si="35"/>
        <v>y</v>
      </c>
      <c r="E118" s="4">
        <f t="shared" si="32"/>
        <v>1.156123316402438</v>
      </c>
      <c r="F118" s="1">
        <f t="shared" si="38"/>
        <v>6.225761946863166</v>
      </c>
      <c r="G118" s="1">
        <f t="shared" si="38"/>
        <v>1.8085904157939381</v>
      </c>
      <c r="H118">
        <f t="shared" si="33"/>
        <v>-4.4036742927193373</v>
      </c>
      <c r="I118">
        <f t="shared" si="39"/>
        <v>-7.9644431200903423</v>
      </c>
      <c r="J118">
        <f t="shared" si="40"/>
        <v>27.416227837991617</v>
      </c>
      <c r="K118">
        <f t="shared" ca="1" si="45"/>
        <v>-7.2698435430116861</v>
      </c>
      <c r="L118">
        <f t="shared" ca="1" si="41"/>
        <v>-2.5068426010385126E-4</v>
      </c>
      <c r="M118">
        <f t="shared" si="34"/>
        <v>-2.208330901508332E-4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4.1611067274622418</v>
      </c>
      <c r="C119" s="1">
        <f t="shared" si="37"/>
        <v>-6.4368446136633022</v>
      </c>
      <c r="D119" t="str">
        <f t="shared" si="35"/>
        <v>y</v>
      </c>
      <c r="E119" s="4">
        <f t="shared" si="32"/>
        <v>9.4015583458596783</v>
      </c>
      <c r="F119" s="1">
        <f t="shared" si="38"/>
        <v>4.1611067274622418</v>
      </c>
      <c r="G119" s="1">
        <f t="shared" si="38"/>
        <v>-6.4368446136633022</v>
      </c>
      <c r="H119">
        <f t="shared" si="33"/>
        <v>-35.810540460332412</v>
      </c>
      <c r="I119">
        <f t="shared" si="39"/>
        <v>230.50688447446242</v>
      </c>
      <c r="J119">
        <f t="shared" si="40"/>
        <v>149.011480823548</v>
      </c>
      <c r="K119">
        <f t="shared" ca="1" si="45"/>
        <v>-59.118138407221799</v>
      </c>
      <c r="L119">
        <f t="shared" ca="1" si="41"/>
        <v>-2.0385564968007515E-3</v>
      </c>
      <c r="M119">
        <f t="shared" si="34"/>
        <v>-1.7958077242227742E-3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12.046069026480041</v>
      </c>
      <c r="C120" s="1">
        <f t="shared" si="37"/>
        <v>0.35118673151093294</v>
      </c>
      <c r="D120" t="str">
        <f t="shared" si="35"/>
        <v>y</v>
      </c>
      <c r="E120" s="4">
        <f t="shared" si="32"/>
        <v>2.6135270006854432</v>
      </c>
      <c r="F120" s="1">
        <f t="shared" si="38"/>
        <v>12.046069026480041</v>
      </c>
      <c r="G120" s="1">
        <f t="shared" si="38"/>
        <v>0.35118673151093294</v>
      </c>
      <c r="H120">
        <f t="shared" si="33"/>
        <v>-9.9549256579824217</v>
      </c>
      <c r="I120">
        <f t="shared" si="39"/>
        <v>-3.4960378042611699</v>
      </c>
      <c r="J120">
        <f t="shared" si="40"/>
        <v>119.91772162953349</v>
      </c>
      <c r="K120">
        <f t="shared" ca="1" si="45"/>
        <v>-16.434174556346402</v>
      </c>
      <c r="L120">
        <f t="shared" ca="1" si="41"/>
        <v>-5.6669567435677244E-4</v>
      </c>
      <c r="M120">
        <f t="shared" si="34"/>
        <v>-4.9921425817270034E-4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9.617062886008366</v>
      </c>
      <c r="C121" s="1">
        <f t="shared" si="37"/>
        <v>-9.3493250678505255</v>
      </c>
      <c r="D121" t="str">
        <f t="shared" si="35"/>
        <v>y</v>
      </c>
      <c r="E121" s="4">
        <f t="shared" si="32"/>
        <v>12.314038800046902</v>
      </c>
      <c r="F121" s="1">
        <f t="shared" si="38"/>
        <v>9.617062886008366</v>
      </c>
      <c r="G121" s="1">
        <f t="shared" si="38"/>
        <v>-9.3493250678505255</v>
      </c>
      <c r="H121" s="23">
        <f t="shared" si="33"/>
        <v>-46.904179972821332</v>
      </c>
      <c r="I121" s="23">
        <f t="shared" si="39"/>
        <v>438.52242560687108</v>
      </c>
      <c r="J121" s="23">
        <f t="shared" si="40"/>
        <v>451.08044841527692</v>
      </c>
      <c r="K121">
        <f t="shared" ca="1" si="45"/>
        <v>-77.432168514240644</v>
      </c>
      <c r="L121">
        <f t="shared" ca="1" si="41"/>
        <v>-2.6700747763531256E-3</v>
      </c>
      <c r="M121">
        <f t="shared" si="34"/>
        <v>-2.3521255923749838E-3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12.314038800046902</v>
      </c>
      <c r="H122">
        <f>SUM(H110:H121)</f>
        <v>-137.94310468991921</v>
      </c>
      <c r="I122">
        <f t="shared" ref="I122:J122" si="46">SUM(I110:I121)</f>
        <v>747.19640070437868</v>
      </c>
      <c r="J122">
        <f t="shared" si="46"/>
        <v>592.57473200371146</v>
      </c>
      <c r="L122">
        <f ca="1">MIN(L110:L121)</f>
        <v>-2.6700747763531256E-3</v>
      </c>
      <c r="M122">
        <f>MIN(M110:M121)</f>
        <v>-2.3521255923749838E-3</v>
      </c>
      <c r="N122">
        <f>SUM(N110:N121)</f>
        <v>8.4167419717217378</v>
      </c>
      <c r="O122">
        <f>SUM(O110:O121)</f>
        <v>52.846145160997033</v>
      </c>
      <c r="P122">
        <f>SUM(P110:P121)</f>
        <v>113.82139927400183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2.9647137321963761</v>
      </c>
      <c r="F125" s="1" t="s">
        <v>27</v>
      </c>
      <c r="G125" s="1" t="s">
        <v>28</v>
      </c>
    </row>
    <row r="126" spans="1:16" x14ac:dyDescent="0.25">
      <c r="F126" s="4">
        <f>MIN(B84:B90)-1</f>
        <v>-20.967171187665297</v>
      </c>
      <c r="G126" s="4">
        <f>B125</f>
        <v>2.9647137321963761</v>
      </c>
    </row>
    <row r="127" spans="1:16" x14ac:dyDescent="0.25">
      <c r="F127" s="4">
        <f>MAX(B84:B90)+1</f>
        <v>17.412074974318958</v>
      </c>
      <c r="G127" s="4">
        <f>G126</f>
        <v>2.9647137321963761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47">B85</f>
        <v>-19.967171187665297</v>
      </c>
      <c r="E132" s="4">
        <f t="shared" si="47"/>
        <v>4.2438016612757101</v>
      </c>
      <c r="F132" s="4">
        <f t="shared" ref="F132:F139" si="48">($B$66/$B$65)*(C132-$B$125)</f>
        <v>5.524999918051007</v>
      </c>
      <c r="G132" s="4">
        <f t="shared" ref="G132:G139" si="49">($B$66/$B$65)*(E132-$B$125)</f>
        <v>0.99543139868775754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5.524999918051007</v>
      </c>
      <c r="O132" s="4">
        <f>IF(G132&lt;0,IF($I$54="Linear",0,$B$66),IF($I$54="Linear",G132,$B$66))</f>
        <v>0.99543139868775754</v>
      </c>
      <c r="P132" s="4">
        <f>(1/6)*(M132-K132)*((N132*((2*J132)+L132))+(O132*(J132+(2*L132))))</f>
        <v>361.8568812054159</v>
      </c>
      <c r="Q132" s="4">
        <f>((1/12)*(M132-K132)*(N132*J132*((3*K132)+M132)+N132*L132*(K132+M132)+O132*J132*(K132+M132)+O132*L132*(K132+(3*M132))))</f>
        <v>2821.2961655444037</v>
      </c>
      <c r="R132" s="4">
        <f>((-1/24)*(M132-K132)*(J132*J132*((3*N132)+O132)+2*J132*L132*(N132+O132)+L132*L132*(N132+(3*O132))))</f>
        <v>3451.6662337401795</v>
      </c>
    </row>
    <row r="133" spans="1:18" x14ac:dyDescent="0.25">
      <c r="A133" t="s">
        <v>70</v>
      </c>
      <c r="B133" s="4">
        <f t="shared" ref="B133:C138" si="50">D132</f>
        <v>-19.967171187665297</v>
      </c>
      <c r="C133" s="4">
        <f t="shared" si="50"/>
        <v>4.2438016612757101</v>
      </c>
      <c r="D133" s="4">
        <f t="shared" si="47"/>
        <v>13.011466377658614</v>
      </c>
      <c r="E133" s="4">
        <f t="shared" si="47"/>
        <v>-12.26102988391149</v>
      </c>
      <c r="F133" s="4">
        <f t="shared" si="48"/>
        <v>0.99543139868775754</v>
      </c>
      <c r="G133" s="4">
        <f t="shared" si="49"/>
        <v>-11.849211394522825</v>
      </c>
      <c r="H133" s="4">
        <f t="shared" ref="H133:H139" si="51">IF(B133=D133,"V",(C133-E133)/(B133-D133))</f>
        <v>-0.50047038821705481</v>
      </c>
      <c r="I133" s="4">
        <f t="shared" ref="I133:I139" si="52">IF(H133="V",0,(-1*B133*H133)+C133)</f>
        <v>-5.749176254611533</v>
      </c>
      <c r="J133" s="4">
        <f t="shared" ref="J133:J139" si="53">IF($F133&gt;=0,B133,IF(AND($F133&lt;0,$G133&gt;=0),IF(H133="V",B133,($B$125-I133)/H133),0))</f>
        <v>-19.967171187665297</v>
      </c>
      <c r="K133" s="4">
        <f t="shared" ref="K133:K139" si="54">IF($F133&gt;=0,C133,IF(AND($F133&lt;0,$G133&gt;=0),$B$125,0))</f>
        <v>4.2438016612757101</v>
      </c>
      <c r="L133" s="4">
        <f t="shared" ref="L133:L139" si="55">IF($G133&gt;=0,D133,IF(AND($G133&lt;0,$F133&gt;=0),IF(H133="V",D133,($B$125-I133)/H133),0))</f>
        <v>-17.411399739056453</v>
      </c>
      <c r="M133" s="4">
        <f t="shared" ref="M133:M139" si="56">IF($G133&gt;=0,E133,IF(AND($G133&lt;0,$F133&gt;=0),$B$125,0))</f>
        <v>2.9647137321963761</v>
      </c>
      <c r="N133" s="4">
        <f t="shared" ref="N133:O139" si="57">IF(F133&lt;0,IF($I$54="Linear",0,$B$66),IF($I$54="Linear",F133,$B$66))</f>
        <v>0.99543139868775754</v>
      </c>
      <c r="O133" s="4">
        <f t="shared" si="57"/>
        <v>0</v>
      </c>
      <c r="P133" s="4">
        <f t="shared" ref="P133:P139" si="58">(1/6)*(M133-K133)*((N133*((2*J133)+L133))+(O133*(J133+(2*L133))))</f>
        <v>12.16918974834873</v>
      </c>
      <c r="Q133" s="4">
        <f t="shared" ref="Q133:Q139" si="59">((1/12)*(M133-K133)*(N133*J133*((3*K133)+M133)+N133*L133*(K133+M133)+O133*J133*(K133+M133)+O133*L133*(K133+(3*M133))))</f>
        <v>46.570759415681607</v>
      </c>
      <c r="R133" s="4">
        <f t="shared" ref="R133:R139" si="60">((-1/24)*(M133-K133)*(J133*J133*((3*N133)+O133)+2*J133*L133*(N133+O133)+L133*L133*(N133+(3*O133))))</f>
        <v>116.42404715482328</v>
      </c>
    </row>
    <row r="134" spans="1:18" x14ac:dyDescent="0.25">
      <c r="A134" t="s">
        <v>71</v>
      </c>
      <c r="B134" s="4">
        <f t="shared" si="50"/>
        <v>13.011466377658614</v>
      </c>
      <c r="C134" s="4">
        <f t="shared" si="50"/>
        <v>-12.26102988391149</v>
      </c>
      <c r="D134" s="4">
        <f t="shared" si="47"/>
        <v>16.412074974318958</v>
      </c>
      <c r="E134" s="4">
        <f t="shared" si="47"/>
        <v>1.3196866351945546</v>
      </c>
      <c r="F134" s="4">
        <f t="shared" si="48"/>
        <v>-11.849211394522825</v>
      </c>
      <c r="G134" s="4">
        <f t="shared" si="49"/>
        <v>-1.2802181826752426</v>
      </c>
      <c r="H134" s="4">
        <f t="shared" si="51"/>
        <v>3.9936135350723214</v>
      </c>
      <c r="I134" s="4">
        <f t="shared" si="52"/>
        <v>-64.223798120867372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16.412074974318958</v>
      </c>
      <c r="C135" s="4">
        <f t="shared" si="50"/>
        <v>1.3196866351945546</v>
      </c>
      <c r="D135" s="4">
        <f t="shared" si="47"/>
        <v>-18.509767503382292</v>
      </c>
      <c r="E135" s="4">
        <f t="shared" si="47"/>
        <v>10.064108740892586</v>
      </c>
      <c r="F135" s="4">
        <f t="shared" si="48"/>
        <v>-1.2802181826752426</v>
      </c>
      <c r="G135" s="4">
        <f t="shared" si="49"/>
        <v>5.524999918051007</v>
      </c>
      <c r="H135" s="4">
        <f t="shared" si="51"/>
        <v>-0.25039979237297216</v>
      </c>
      <c r="I135" s="4">
        <f t="shared" si="52"/>
        <v>5.4292668011736742</v>
      </c>
      <c r="J135" s="4">
        <f t="shared" si="53"/>
        <v>9.8424724941717603</v>
      </c>
      <c r="K135" s="4">
        <f t="shared" si="54"/>
        <v>2.9647137321963761</v>
      </c>
      <c r="L135" s="4">
        <f t="shared" si="55"/>
        <v>-18.509767503382292</v>
      </c>
      <c r="M135" s="4">
        <f t="shared" si="56"/>
        <v>10.064108740892586</v>
      </c>
      <c r="N135" s="4">
        <f t="shared" si="57"/>
        <v>0</v>
      </c>
      <c r="O135" s="4">
        <f t="shared" si="57"/>
        <v>5.524999918051007</v>
      </c>
      <c r="P135" s="4">
        <f t="shared" si="58"/>
        <v>-177.66622707977029</v>
      </c>
      <c r="Q135" s="4">
        <f t="shared" si="59"/>
        <v>-1586.9220265470392</v>
      </c>
      <c r="R135" s="4">
        <f t="shared" si="60"/>
        <v>-1242.6621289807267</v>
      </c>
    </row>
    <row r="136" spans="1:18" x14ac:dyDescent="0.25">
      <c r="A136" t="s">
        <v>73</v>
      </c>
      <c r="B136" s="4">
        <f t="shared" si="50"/>
        <v>-18.509767503382292</v>
      </c>
      <c r="C136" s="4">
        <f t="shared" si="50"/>
        <v>10.064108740892586</v>
      </c>
      <c r="D136" s="4">
        <f t="shared" si="47"/>
        <v>-18.509767503382292</v>
      </c>
      <c r="E136" s="4">
        <f t="shared" si="47"/>
        <v>10.064108740892586</v>
      </c>
      <c r="F136" s="4">
        <f t="shared" si="48"/>
        <v>5.524999918051007</v>
      </c>
      <c r="G136" s="4">
        <f t="shared" si="49"/>
        <v>5.524999918051007</v>
      </c>
      <c r="H136" s="4" t="str">
        <f t="shared" si="51"/>
        <v>V</v>
      </c>
      <c r="I136" s="4">
        <f t="shared" si="52"/>
        <v>0</v>
      </c>
      <c r="J136" s="4">
        <f t="shared" si="53"/>
        <v>-18.509767503382292</v>
      </c>
      <c r="K136" s="4">
        <f t="shared" si="54"/>
        <v>10.064108740892586</v>
      </c>
      <c r="L136" s="4">
        <f t="shared" si="55"/>
        <v>-18.509767503382292</v>
      </c>
      <c r="M136" s="4">
        <f t="shared" si="56"/>
        <v>10.064108740892586</v>
      </c>
      <c r="N136" s="4">
        <f t="shared" si="57"/>
        <v>5.524999918051007</v>
      </c>
      <c r="O136" s="4">
        <f t="shared" si="57"/>
        <v>5.524999918051007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-18.509767503382292</v>
      </c>
      <c r="C137" s="4">
        <f t="shared" si="50"/>
        <v>10.064108740892586</v>
      </c>
      <c r="D137" s="4">
        <f t="shared" si="47"/>
        <v>-18.509767503382292</v>
      </c>
      <c r="E137" s="4">
        <f t="shared" si="47"/>
        <v>10.064108740892586</v>
      </c>
      <c r="F137" s="4">
        <f t="shared" si="48"/>
        <v>5.524999918051007</v>
      </c>
      <c r="G137" s="4">
        <f t="shared" si="49"/>
        <v>5.524999918051007</v>
      </c>
      <c r="H137" s="4" t="str">
        <f t="shared" si="51"/>
        <v>V</v>
      </c>
      <c r="I137" s="4">
        <f t="shared" si="52"/>
        <v>0</v>
      </c>
      <c r="J137" s="4">
        <f t="shared" si="53"/>
        <v>-18.509767503382292</v>
      </c>
      <c r="K137" s="4">
        <f t="shared" si="54"/>
        <v>10.064108740892586</v>
      </c>
      <c r="L137" s="4">
        <f t="shared" si="55"/>
        <v>-18.509767503382292</v>
      </c>
      <c r="M137" s="4">
        <f t="shared" si="56"/>
        <v>10.064108740892586</v>
      </c>
      <c r="N137" s="4">
        <f t="shared" si="57"/>
        <v>5.524999918051007</v>
      </c>
      <c r="O137" s="4">
        <f t="shared" si="57"/>
        <v>5.524999918051007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-18.509767503382292</v>
      </c>
      <c r="C138" s="4">
        <f t="shared" si="50"/>
        <v>10.064108740892586</v>
      </c>
      <c r="D138" s="4">
        <f t="shared" si="47"/>
        <v>-18.509767503382292</v>
      </c>
      <c r="E138" s="4">
        <f t="shared" si="47"/>
        <v>10.064108740892586</v>
      </c>
      <c r="F138" s="4">
        <f t="shared" si="48"/>
        <v>5.524999918051007</v>
      </c>
      <c r="G138" s="4">
        <f t="shared" si="49"/>
        <v>5.524999918051007</v>
      </c>
      <c r="H138" s="4" t="str">
        <f t="shared" si="51"/>
        <v>V</v>
      </c>
      <c r="I138" s="4">
        <f t="shared" si="52"/>
        <v>0</v>
      </c>
      <c r="J138" s="4">
        <f t="shared" si="53"/>
        <v>-18.509767503382292</v>
      </c>
      <c r="K138" s="4">
        <f t="shared" si="54"/>
        <v>10.064108740892586</v>
      </c>
      <c r="L138" s="4">
        <f t="shared" si="55"/>
        <v>-18.509767503382292</v>
      </c>
      <c r="M138" s="4">
        <f t="shared" si="56"/>
        <v>10.064108740892586</v>
      </c>
      <c r="N138" s="4">
        <f t="shared" si="57"/>
        <v>5.524999918051007</v>
      </c>
      <c r="O138" s="4">
        <f t="shared" si="57"/>
        <v>5.524999918051007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47"/>
        <v>-18.509767503382292</v>
      </c>
      <c r="E139" s="4">
        <f t="shared" si="47"/>
        <v>10.064108740892586</v>
      </c>
      <c r="F139" s="4">
        <f t="shared" si="48"/>
        <v>5.524999918051007</v>
      </c>
      <c r="G139" s="4">
        <f t="shared" si="49"/>
        <v>5.524999918051007</v>
      </c>
      <c r="H139" s="4" t="str">
        <f t="shared" si="51"/>
        <v>V</v>
      </c>
      <c r="I139" s="4">
        <f t="shared" si="52"/>
        <v>0</v>
      </c>
      <c r="J139" s="4">
        <f t="shared" si="53"/>
        <v>-18.509767503382292</v>
      </c>
      <c r="K139" s="4">
        <f t="shared" si="54"/>
        <v>10.064108740892586</v>
      </c>
      <c r="L139" s="4">
        <f t="shared" si="55"/>
        <v>-18.509767503382292</v>
      </c>
      <c r="M139" s="4">
        <f t="shared" si="56"/>
        <v>10.064108740892586</v>
      </c>
      <c r="N139" s="4">
        <f t="shared" si="57"/>
        <v>5.524999918051007</v>
      </c>
      <c r="O139" s="4">
        <f>IF(G139&lt;0,IF($I$54="Linear",0,$B$66),IF($I$54="Linear",G139,$B$66))</f>
        <v>5.524999918051007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196.35984387399435</v>
      </c>
      <c r="Q140" s="4">
        <f>SUM(Q132:Q139)</f>
        <v>1280.9448984130461</v>
      </c>
      <c r="R140" s="4">
        <f>SUM(R132:R139)</f>
        <v>2325.428151914276</v>
      </c>
    </row>
    <row r="142" spans="1:18" x14ac:dyDescent="0.25">
      <c r="O142" t="s">
        <v>96</v>
      </c>
      <c r="P142" s="1">
        <f>-1*R140/P140</f>
        <v>-11.842686906017921</v>
      </c>
    </row>
    <row r="143" spans="1:18" x14ac:dyDescent="0.25">
      <c r="O143" t="s">
        <v>97</v>
      </c>
      <c r="P143" s="1">
        <f>Q140/P140</f>
        <v>6.5234564926372549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61">I85</f>
        <v>-18.509767503382292</v>
      </c>
      <c r="E146">
        <f t="shared" si="61"/>
        <v>10.064108740892586</v>
      </c>
      <c r="F146" s="4">
        <f>($B$66/$B$65)*(C146-$B$125)</f>
        <v>5.524999918051007</v>
      </c>
      <c r="G146" s="4">
        <f>($B$66/$B$65)*(E146-$B$125)</f>
        <v>5.524999918051007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5.524999918051007</v>
      </c>
      <c r="O146" s="4">
        <f>IF(G146&lt;0,IF($I$54="Linear",0,$B$66),IF($I$54="Linear",G146,$B$66))</f>
        <v>5.524999918051007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-18.509767503382292</v>
      </c>
      <c r="C147">
        <f t="shared" si="62"/>
        <v>10.064108740892586</v>
      </c>
      <c r="D147" s="9">
        <f t="shared" si="61"/>
        <v>-18.509767503382292</v>
      </c>
      <c r="E147">
        <f t="shared" si="61"/>
        <v>10.064108740892586</v>
      </c>
      <c r="F147" s="4">
        <f t="shared" ref="F147:F153" si="63">($B$66/$B$65)*(C147-$B$125)</f>
        <v>5.524999918051007</v>
      </c>
      <c r="G147" s="4">
        <f t="shared" ref="G147:G153" si="64">($B$66/$B$65)*(E147-$B$125)</f>
        <v>5.524999918051007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-18.509767503382292</v>
      </c>
      <c r="K147" s="4">
        <f t="shared" ref="K147:K153" si="68">IF($F147&gt;=0,C147,IF(AND($F147&lt;0,$G147&gt;=0),$B$125,0))</f>
        <v>10.064108740892586</v>
      </c>
      <c r="L147" s="4">
        <f t="shared" ref="L147:L153" si="69">IF($G147&gt;=0,D147,IF(AND($G147&lt;0,$F147&gt;=0),IF(H147="V",D147,($B$125-I147)/H147),0))</f>
        <v>-18.509767503382292</v>
      </c>
      <c r="M147" s="4">
        <f t="shared" ref="M147:M153" si="70">IF($G147&gt;=0,E147,IF(AND($G147&lt;0,$F147&gt;=0),$B$125,0))</f>
        <v>10.064108740892586</v>
      </c>
      <c r="N147" s="4">
        <f t="shared" ref="N147:O153" si="71">IF(F147&lt;0,IF($I$54="Linear",0,$B$66),IF($I$54="Linear",F147,$B$66))</f>
        <v>5.524999918051007</v>
      </c>
      <c r="O147" s="4">
        <f t="shared" si="71"/>
        <v>5.524999918051007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-18.509767503382292</v>
      </c>
      <c r="C148">
        <f t="shared" si="62"/>
        <v>10.064108740892586</v>
      </c>
      <c r="D148" s="9">
        <f t="shared" si="61"/>
        <v>-18.509767503382292</v>
      </c>
      <c r="E148">
        <f t="shared" si="61"/>
        <v>10.064108740892586</v>
      </c>
      <c r="F148" s="4">
        <f t="shared" si="63"/>
        <v>5.524999918051007</v>
      </c>
      <c r="G148" s="4">
        <f t="shared" si="64"/>
        <v>5.524999918051007</v>
      </c>
      <c r="H148" s="4" t="str">
        <f t="shared" si="65"/>
        <v>V</v>
      </c>
      <c r="I148" s="4">
        <f t="shared" si="66"/>
        <v>0</v>
      </c>
      <c r="J148" s="4">
        <f t="shared" si="67"/>
        <v>-18.509767503382292</v>
      </c>
      <c r="K148" s="4">
        <f t="shared" si="68"/>
        <v>10.064108740892586</v>
      </c>
      <c r="L148" s="4">
        <f t="shared" si="69"/>
        <v>-18.509767503382292</v>
      </c>
      <c r="M148" s="4">
        <f t="shared" si="70"/>
        <v>10.064108740892586</v>
      </c>
      <c r="N148" s="4">
        <f t="shared" si="71"/>
        <v>5.524999918051007</v>
      </c>
      <c r="O148" s="4">
        <f t="shared" si="71"/>
        <v>5.524999918051007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-18.509767503382292</v>
      </c>
      <c r="C149">
        <f t="shared" si="62"/>
        <v>10.064108740892586</v>
      </c>
      <c r="D149" s="9">
        <f t="shared" si="61"/>
        <v>-18.509767503382292</v>
      </c>
      <c r="E149">
        <f t="shared" si="61"/>
        <v>10.064108740892586</v>
      </c>
      <c r="F149" s="4">
        <f t="shared" si="63"/>
        <v>5.524999918051007</v>
      </c>
      <c r="G149" s="4">
        <f t="shared" si="64"/>
        <v>5.524999918051007</v>
      </c>
      <c r="H149" s="4" t="str">
        <f t="shared" si="65"/>
        <v>V</v>
      </c>
      <c r="I149" s="4">
        <f t="shared" si="66"/>
        <v>0</v>
      </c>
      <c r="J149" s="4">
        <f t="shared" si="67"/>
        <v>-18.509767503382292</v>
      </c>
      <c r="K149" s="4">
        <f t="shared" si="68"/>
        <v>10.064108740892586</v>
      </c>
      <c r="L149" s="4">
        <f t="shared" si="69"/>
        <v>-18.509767503382292</v>
      </c>
      <c r="M149" s="4">
        <f t="shared" si="70"/>
        <v>10.064108740892586</v>
      </c>
      <c r="N149" s="4">
        <f t="shared" si="71"/>
        <v>5.524999918051007</v>
      </c>
      <c r="O149" s="4">
        <f t="shared" si="71"/>
        <v>5.524999918051007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-18.509767503382292</v>
      </c>
      <c r="C150">
        <f t="shared" si="62"/>
        <v>10.064108740892586</v>
      </c>
      <c r="D150" s="9">
        <f t="shared" si="61"/>
        <v>-18.509767503382292</v>
      </c>
      <c r="E150">
        <f t="shared" si="61"/>
        <v>10.064108740892586</v>
      </c>
      <c r="F150" s="4">
        <f t="shared" si="63"/>
        <v>5.524999918051007</v>
      </c>
      <c r="G150" s="4">
        <f t="shared" si="64"/>
        <v>5.524999918051007</v>
      </c>
      <c r="H150" s="4" t="str">
        <f t="shared" si="65"/>
        <v>V</v>
      </c>
      <c r="I150" s="4">
        <f t="shared" si="66"/>
        <v>0</v>
      </c>
      <c r="J150" s="4">
        <f t="shared" si="67"/>
        <v>-18.509767503382292</v>
      </c>
      <c r="K150" s="4">
        <f t="shared" si="68"/>
        <v>10.064108740892586</v>
      </c>
      <c r="L150" s="4">
        <f t="shared" si="69"/>
        <v>-18.509767503382292</v>
      </c>
      <c r="M150" s="4">
        <f t="shared" si="70"/>
        <v>10.064108740892586</v>
      </c>
      <c r="N150" s="4">
        <f t="shared" si="71"/>
        <v>5.524999918051007</v>
      </c>
      <c r="O150" s="4">
        <f t="shared" si="71"/>
        <v>5.524999918051007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-18.509767503382292</v>
      </c>
      <c r="C151">
        <f t="shared" si="62"/>
        <v>10.064108740892586</v>
      </c>
      <c r="D151" s="9">
        <f t="shared" si="61"/>
        <v>-18.509767503382292</v>
      </c>
      <c r="E151">
        <f t="shared" si="61"/>
        <v>10.064108740892586</v>
      </c>
      <c r="F151" s="4">
        <f t="shared" si="63"/>
        <v>5.524999918051007</v>
      </c>
      <c r="G151" s="4">
        <f t="shared" si="64"/>
        <v>5.524999918051007</v>
      </c>
      <c r="H151" s="4" t="str">
        <f t="shared" si="65"/>
        <v>V</v>
      </c>
      <c r="I151" s="4">
        <f t="shared" si="66"/>
        <v>0</v>
      </c>
      <c r="J151" s="4">
        <f t="shared" si="67"/>
        <v>-18.509767503382292</v>
      </c>
      <c r="K151" s="4">
        <f t="shared" si="68"/>
        <v>10.064108740892586</v>
      </c>
      <c r="L151" s="4">
        <f t="shared" si="69"/>
        <v>-18.509767503382292</v>
      </c>
      <c r="M151" s="4">
        <f t="shared" si="70"/>
        <v>10.064108740892586</v>
      </c>
      <c r="N151" s="4">
        <f t="shared" si="71"/>
        <v>5.524999918051007</v>
      </c>
      <c r="O151" s="4">
        <f t="shared" si="71"/>
        <v>5.524999918051007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-18.509767503382292</v>
      </c>
      <c r="C152">
        <f t="shared" si="62"/>
        <v>10.064108740892586</v>
      </c>
      <c r="D152" s="9">
        <f t="shared" si="61"/>
        <v>-18.509767503382292</v>
      </c>
      <c r="E152">
        <f t="shared" si="61"/>
        <v>10.064108740892586</v>
      </c>
      <c r="F152" s="4">
        <f t="shared" si="63"/>
        <v>5.524999918051007</v>
      </c>
      <c r="G152" s="4">
        <f t="shared" si="64"/>
        <v>5.524999918051007</v>
      </c>
      <c r="H152" s="4" t="str">
        <f t="shared" si="65"/>
        <v>V</v>
      </c>
      <c r="I152" s="4">
        <f t="shared" si="66"/>
        <v>0</v>
      </c>
      <c r="J152" s="4">
        <f t="shared" si="67"/>
        <v>-18.509767503382292</v>
      </c>
      <c r="K152" s="4">
        <f t="shared" si="68"/>
        <v>10.064108740892586</v>
      </c>
      <c r="L152" s="4">
        <f t="shared" si="69"/>
        <v>-18.509767503382292</v>
      </c>
      <c r="M152" s="4">
        <f t="shared" si="70"/>
        <v>10.064108740892586</v>
      </c>
      <c r="N152" s="4">
        <f t="shared" si="71"/>
        <v>5.524999918051007</v>
      </c>
      <c r="O152" s="4">
        <f t="shared" si="71"/>
        <v>5.524999918051007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-18.509767503382292</v>
      </c>
      <c r="C153">
        <f t="shared" si="62"/>
        <v>10.064108740892586</v>
      </c>
      <c r="D153" s="9">
        <f t="shared" si="61"/>
        <v>-18.509767503382292</v>
      </c>
      <c r="E153">
        <f t="shared" si="61"/>
        <v>10.064108740892586</v>
      </c>
      <c r="F153" s="4">
        <f t="shared" si="63"/>
        <v>5.524999918051007</v>
      </c>
      <c r="G153" s="4">
        <f t="shared" si="64"/>
        <v>5.524999918051007</v>
      </c>
      <c r="H153" s="4" t="str">
        <f t="shared" si="65"/>
        <v>V</v>
      </c>
      <c r="I153" s="4">
        <f t="shared" si="66"/>
        <v>0</v>
      </c>
      <c r="J153" s="4">
        <f t="shared" si="67"/>
        <v>-18.509767503382292</v>
      </c>
      <c r="K153" s="4">
        <f t="shared" si="68"/>
        <v>10.064108740892586</v>
      </c>
      <c r="L153" s="4">
        <f t="shared" si="69"/>
        <v>-18.509767503382292</v>
      </c>
      <c r="M153" s="4">
        <f t="shared" si="70"/>
        <v>10.064108740892586</v>
      </c>
      <c r="N153" s="4">
        <f t="shared" si="71"/>
        <v>5.524999918051007</v>
      </c>
      <c r="O153" s="4">
        <f t="shared" si="71"/>
        <v>5.524999918051007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49.999997212353406</v>
      </c>
      <c r="C159" t="s">
        <v>36</v>
      </c>
    </row>
    <row r="160" spans="1:18" x14ac:dyDescent="0.25">
      <c r="A160" s="1" t="s">
        <v>106</v>
      </c>
      <c r="B160" s="4">
        <f>Q140+I122+Q154-O122</f>
        <v>1975.2951539564276</v>
      </c>
      <c r="C160" t="s">
        <v>102</v>
      </c>
    </row>
    <row r="161" spans="1:9" x14ac:dyDescent="0.25">
      <c r="A161" s="1" t="s">
        <v>107</v>
      </c>
      <c r="B161" s="4">
        <f>R140+J122+R154-P122</f>
        <v>2804.1814846439856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49.999997212353406</v>
      </c>
      <c r="C164" t="s">
        <v>36</v>
      </c>
      <c r="E164" s="8">
        <f>B2-B164</f>
        <v>2.7876465935605665E-6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-3199.999963754402</v>
      </c>
      <c r="C165" t="s">
        <v>102</v>
      </c>
      <c r="E165" s="8">
        <f>B3+B165</f>
        <v>3.6245598039386095E-5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1234.9999902978616</v>
      </c>
      <c r="C166" t="s">
        <v>102</v>
      </c>
      <c r="E166" s="8">
        <f>B4+B166</f>
        <v>-9.7021384135587141E-6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5.524999918051007</v>
      </c>
      <c r="B169" s="1">
        <f ca="1">IF(E122=0,0,(MIN(H110:H121)*B65)/(B55*B56*E122))</f>
        <v>-6.2718432078473993</v>
      </c>
      <c r="C169" s="3">
        <f ca="1">A169+B169</f>
        <v>-0.74684328979639236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1.0530104504557465E-7</v>
      </c>
      <c r="D175" s="27">
        <f>B66*SQRT(I175)</f>
        <v>8.1948992066907078E-8</v>
      </c>
      <c r="E175" s="27">
        <f>B67*SQRT(I175)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7.0993951139972546</v>
      </c>
      <c r="D176" s="3">
        <f>D175+B66</f>
        <v>5.5249999999999995</v>
      </c>
      <c r="E176" s="3">
        <f>B67+E175</f>
        <v>46.904180668522748</v>
      </c>
      <c r="F176" s="16" t="s">
        <v>125</v>
      </c>
    </row>
    <row r="177" spans="1:13" x14ac:dyDescent="0.25">
      <c r="B177" s="27">
        <f>B176-B64</f>
        <v>2.6937875929888833E-8</v>
      </c>
      <c r="C177" s="27">
        <f>C176-B65</f>
        <v>1.0530104521677686E-7</v>
      </c>
      <c r="D177" s="27">
        <f>D176-B66</f>
        <v>8.1948992480818106E-8</v>
      </c>
      <c r="E177" s="27">
        <f>E176-B67</f>
        <v>6.9570141647545825E-7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18.509767534763025</v>
      </c>
      <c r="B181" s="25">
        <f>(d_alpha_p!E136-d_alpha_m!E136)/(2*B177)</f>
        <v>18.509767534763025</v>
      </c>
      <c r="C181" s="25">
        <f>(d_alpha_p!E137-d_alpha_m!E137)/(2*B177)</f>
        <v>18.509767534763025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-2.7876465935605665E-6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-3.6245598039386095E-5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9.7021384135587141E-6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0.74684328979639236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18.509767534763025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18.509767534763025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18.509767534763025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18.509767534763025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18.509767534763025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18.509767534763025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43" workbookViewId="0">
      <selection activeCell="L62" sqref="L6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5" x14ac:dyDescent="0.25">
      <c r="A51" s="10" t="s">
        <v>8</v>
      </c>
      <c r="B51" s="17">
        <f>'Rigid Bearing Plate Analysis'!B51</f>
        <v>5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Analysis'!B64+'Rigid Bearing Plate Analysis'!B175</f>
        <v>1.8161512566240232</v>
      </c>
      <c r="C64" t="s">
        <v>19</v>
      </c>
      <c r="D64" t="s">
        <v>34</v>
      </c>
      <c r="H64" s="17">
        <f>DEGREES(B64)</f>
        <v>104.05780196193743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7.0993950086962094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46.904179972821332</v>
      </c>
      <c r="C67" t="s">
        <v>36</v>
      </c>
      <c r="D67" t="s">
        <v>122</v>
      </c>
      <c r="G67" s="20">
        <f ca="1">($B$56*$B$66*$B$55*$E$122)/$B$65</f>
        <v>41.318891704865898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-20.967171073346289</v>
      </c>
      <c r="R76">
        <f>Q76</f>
        <v>-20.967171073346289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20.967171073346289</v>
      </c>
      <c r="R77">
        <f>Q77</f>
        <v>20.967171073346289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-18.509767232276573</v>
      </c>
      <c r="C84" s="1">
        <f t="shared" ref="C84:C92" si="23">(-1*B73*SIN($B$64))+(C73*COS($B$64))</f>
        <v>10.064109239506404</v>
      </c>
      <c r="H84" s="1">
        <f t="shared" ref="H84:H92" si="24">H73</f>
        <v>1</v>
      </c>
      <c r="I84" s="4">
        <f>(I73*COS($B$64))+(J73*SIN($B$64))</f>
        <v>-18.509767232276573</v>
      </c>
      <c r="J84" s="1">
        <f>(-1*I73*SIN($B$64))+(J73*COS($B$64))</f>
        <v>10.064109239506404</v>
      </c>
    </row>
    <row r="85" spans="1:10" x14ac:dyDescent="0.25">
      <c r="A85" s="1">
        <f t="shared" si="21"/>
        <v>2</v>
      </c>
      <c r="B85" s="4">
        <f t="shared" si="22"/>
        <v>-19.967171073346289</v>
      </c>
      <c r="C85" s="1">
        <f t="shared" si="23"/>
        <v>4.243802199148889</v>
      </c>
      <c r="H85" s="1">
        <f t="shared" si="24"/>
        <v>2</v>
      </c>
      <c r="I85" s="4">
        <f t="shared" ref="I85:I92" si="25">(I74*COS($B$64))+(J74*SIN($B$64))</f>
        <v>-18.509767232276573</v>
      </c>
      <c r="J85" s="1">
        <f t="shared" ref="J85:J92" si="26">(-1*I74*SIN($B$64))+(J74*COS($B$64))</f>
        <v>10.064109239506404</v>
      </c>
    </row>
    <row r="86" spans="1:10" x14ac:dyDescent="0.25">
      <c r="A86" s="1">
        <f t="shared" si="21"/>
        <v>3</v>
      </c>
      <c r="B86" s="4">
        <f t="shared" si="22"/>
        <v>13.01146604737251</v>
      </c>
      <c r="C86" s="1">
        <f t="shared" si="23"/>
        <v>-12.26103023441275</v>
      </c>
      <c r="H86" s="1">
        <f t="shared" si="24"/>
        <v>3</v>
      </c>
      <c r="I86" s="4">
        <f t="shared" si="25"/>
        <v>-18.509767232276573</v>
      </c>
      <c r="J86" s="1">
        <f t="shared" si="26"/>
        <v>10.064109239506404</v>
      </c>
    </row>
    <row r="87" spans="1:10" x14ac:dyDescent="0.25">
      <c r="A87" s="1">
        <f t="shared" si="21"/>
        <v>4</v>
      </c>
      <c r="B87" s="4">
        <f t="shared" si="22"/>
        <v>16.412075009868509</v>
      </c>
      <c r="C87" s="1">
        <f t="shared" si="23"/>
        <v>1.3196861930881152</v>
      </c>
      <c r="H87" s="1">
        <f t="shared" si="24"/>
        <v>4</v>
      </c>
      <c r="I87" s="4">
        <f t="shared" si="25"/>
        <v>-18.509767232276573</v>
      </c>
      <c r="J87" s="1">
        <f t="shared" si="26"/>
        <v>10.064109239506404</v>
      </c>
    </row>
    <row r="88" spans="1:10" x14ac:dyDescent="0.25">
      <c r="A88" s="1">
        <f t="shared" si="21"/>
        <v>5</v>
      </c>
      <c r="B88" s="4">
        <f t="shared" si="22"/>
        <v>-18.509767232276573</v>
      </c>
      <c r="C88" s="1">
        <f t="shared" si="23"/>
        <v>10.064109239506404</v>
      </c>
      <c r="H88" s="1">
        <f t="shared" si="24"/>
        <v>5</v>
      </c>
      <c r="I88" s="4">
        <f t="shared" si="25"/>
        <v>-18.509767232276573</v>
      </c>
      <c r="J88" s="1">
        <f t="shared" si="26"/>
        <v>10.064109239506404</v>
      </c>
    </row>
    <row r="89" spans="1:10" x14ac:dyDescent="0.25">
      <c r="A89" s="1">
        <f t="shared" si="21"/>
        <v>6</v>
      </c>
      <c r="B89" s="4">
        <f t="shared" si="22"/>
        <v>-18.509767232276573</v>
      </c>
      <c r="C89" s="1">
        <f t="shared" si="23"/>
        <v>10.064109239506404</v>
      </c>
      <c r="H89" s="1">
        <f t="shared" si="24"/>
        <v>6</v>
      </c>
      <c r="I89" s="4">
        <f t="shared" si="25"/>
        <v>-18.509767232276573</v>
      </c>
      <c r="J89" s="1">
        <f t="shared" si="26"/>
        <v>10.064109239506404</v>
      </c>
    </row>
    <row r="90" spans="1:10" x14ac:dyDescent="0.25">
      <c r="A90" s="1">
        <f t="shared" si="21"/>
        <v>7</v>
      </c>
      <c r="B90" s="4">
        <f t="shared" si="22"/>
        <v>-18.509767232276573</v>
      </c>
      <c r="C90" s="1">
        <f t="shared" si="23"/>
        <v>10.064109239506404</v>
      </c>
      <c r="H90" s="1">
        <f t="shared" si="24"/>
        <v>7</v>
      </c>
      <c r="I90" s="4">
        <f t="shared" si="25"/>
        <v>-18.509767232276573</v>
      </c>
      <c r="J90" s="1">
        <f t="shared" si="26"/>
        <v>10.064109239506404</v>
      </c>
    </row>
    <row r="91" spans="1:10" x14ac:dyDescent="0.25">
      <c r="A91" s="1">
        <f t="shared" si="21"/>
        <v>8</v>
      </c>
      <c r="B91" s="4">
        <f t="shared" si="22"/>
        <v>-18.509767232276573</v>
      </c>
      <c r="C91" s="1">
        <f t="shared" si="23"/>
        <v>10.064109239506404</v>
      </c>
      <c r="H91" s="1">
        <f t="shared" si="24"/>
        <v>8</v>
      </c>
      <c r="I91" s="4">
        <f t="shared" si="25"/>
        <v>-18.509767232276573</v>
      </c>
      <c r="J91" s="1">
        <f t="shared" si="26"/>
        <v>10.064109239506404</v>
      </c>
    </row>
    <row r="92" spans="1:10" x14ac:dyDescent="0.25">
      <c r="A92" s="1">
        <f t="shared" si="21"/>
        <v>9</v>
      </c>
      <c r="B92" s="4">
        <f t="shared" si="22"/>
        <v>-18.509767232276573</v>
      </c>
      <c r="C92" s="1">
        <f t="shared" si="23"/>
        <v>10.064109239506404</v>
      </c>
      <c r="H92" s="1">
        <f t="shared" si="24"/>
        <v>9</v>
      </c>
      <c r="I92" s="4">
        <f t="shared" si="25"/>
        <v>-18.509767232276573</v>
      </c>
      <c r="J92" s="1">
        <f t="shared" si="26"/>
        <v>10.064109239506404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-17.055466165847307</v>
      </c>
      <c r="C110" s="1">
        <f>(-1*B95*SIN($B$64))+(C95*COS($B$64))</f>
        <v>7.6382056123639934</v>
      </c>
      <c r="D110" t="str">
        <f t="shared" ref="D110" si="31">D95</f>
        <v>y</v>
      </c>
      <c r="E110" s="4">
        <f t="shared" ref="E110:E121" si="32">IF($D110="y",$B$125-C110,0)</f>
        <v>-4.6734913815537986</v>
      </c>
      <c r="F110" s="1">
        <f>IF($D110="y",B110,NA())</f>
        <v>-17.055466165847307</v>
      </c>
      <c r="G110" s="1">
        <f>IF($D110="y",C110,NA())</f>
        <v>7.6382056123639934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8.9269158769435784E-4</v>
      </c>
      <c r="N110">
        <f>IF(AND(M110&gt;0,D110="y",$E$60="y"),$B$53*M110*$E$59,0)</f>
        <v>3.2247804064993981</v>
      </c>
      <c r="O110">
        <f>N110*C110</f>
        <v>24.631535799565142</v>
      </c>
      <c r="P110">
        <f>N110*B110*-1</f>
        <v>55.00013311533781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-17.662717766293021</v>
      </c>
      <c r="C111" s="1">
        <f t="shared" ref="C111:C121" si="37">(-1*B96*SIN($B$64))+(C96*COS($B$64))</f>
        <v>5.2130776788816959</v>
      </c>
      <c r="D111" t="str">
        <f t="shared" si="35"/>
        <v>y</v>
      </c>
      <c r="E111" s="4">
        <f t="shared" si="32"/>
        <v>-2.2483634480715011</v>
      </c>
      <c r="F111" s="1">
        <f t="shared" ref="F111:G121" si="38">IF($D111="y",B111,NA())</f>
        <v>-17.662717766293021</v>
      </c>
      <c r="G111" s="1">
        <f t="shared" si="38"/>
        <v>5.2130776788816959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4.2946375039759014E-4</v>
      </c>
      <c r="N111">
        <f t="shared" ref="N111:N121" si="42">IF(AND(M111&gt;0,D111="y",$E$60="y"),$B$53*M111*$E$59,0)</f>
        <v>1.551405106393891</v>
      </c>
      <c r="O111">
        <f t="shared" ref="O111:O121" si="43">N111*C111</f>
        <v>8.0875953310450761</v>
      </c>
      <c r="P111">
        <f t="shared" ref="P111:P121" si="44">N111*B111*-1</f>
        <v>27.40203053542109</v>
      </c>
    </row>
    <row r="112" spans="1:16" x14ac:dyDescent="0.25">
      <c r="A112">
        <f t="shared" si="35"/>
        <v>3</v>
      </c>
      <c r="B112" s="1">
        <f t="shared" si="36"/>
        <v>-11.235159125489794</v>
      </c>
      <c r="C112" s="1">
        <f t="shared" si="37"/>
        <v>6.1808017712942789</v>
      </c>
      <c r="D112" t="str">
        <f t="shared" si="35"/>
        <v>y</v>
      </c>
      <c r="E112" s="4">
        <f t="shared" si="32"/>
        <v>-3.2160875404840841</v>
      </c>
      <c r="F112" s="1">
        <f t="shared" si="38"/>
        <v>-11.235159125489794</v>
      </c>
      <c r="G112" s="1">
        <f t="shared" si="38"/>
        <v>6.1808017712942789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6.1431038559533297E-4</v>
      </c>
      <c r="N112">
        <f t="shared" si="42"/>
        <v>2.2191495050306056</v>
      </c>
      <c r="O112">
        <f t="shared" si="43"/>
        <v>13.716123191459989</v>
      </c>
      <c r="P112">
        <f t="shared" si="44"/>
        <v>24.932497812270768</v>
      </c>
    </row>
    <row r="113" spans="1:16" x14ac:dyDescent="0.25">
      <c r="A113">
        <f t="shared" si="35"/>
        <v>4</v>
      </c>
      <c r="B113" s="1">
        <f t="shared" si="36"/>
        <v>-12.206761686202936</v>
      </c>
      <c r="C113" s="1">
        <f t="shared" si="37"/>
        <v>2.3005970777226024</v>
      </c>
      <c r="D113" t="str">
        <f t="shared" si="35"/>
        <v>y</v>
      </c>
      <c r="E113" s="4">
        <f t="shared" si="32"/>
        <v>0.66411715308759245</v>
      </c>
      <c r="F113" s="1">
        <f t="shared" si="38"/>
        <v>-12.206761686202936</v>
      </c>
      <c r="G113" s="1">
        <f t="shared" si="38"/>
        <v>2.3005970777226024</v>
      </c>
      <c r="H113">
        <f t="shared" si="33"/>
        <v>-2.5296224139477816</v>
      </c>
      <c r="I113">
        <f t="shared" si="39"/>
        <v>-5.8196419332698612</v>
      </c>
      <c r="J113">
        <f t="shared" si="40"/>
        <v>-30.878497963137967</v>
      </c>
      <c r="K113">
        <f t="shared" ca="1" si="45"/>
        <v>-4.1760488968723957</v>
      </c>
      <c r="L113">
        <f t="shared" ca="1" si="41"/>
        <v>-1.4400168609904812E-4</v>
      </c>
      <c r="M113">
        <f t="shared" si="34"/>
        <v>-1.2685415407949548E-4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-5.4148520851322797</v>
      </c>
      <c r="C114" s="1">
        <f t="shared" si="37"/>
        <v>4.7233979302245643</v>
      </c>
      <c r="D114" t="str">
        <f t="shared" si="35"/>
        <v>y</v>
      </c>
      <c r="E114" s="4">
        <f t="shared" si="32"/>
        <v>-1.7586836994143695</v>
      </c>
      <c r="F114" s="1">
        <f t="shared" si="38"/>
        <v>-5.4148520851322797</v>
      </c>
      <c r="G114" s="1">
        <f t="shared" si="38"/>
        <v>4.7233979302245643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3.3592918349630805E-4</v>
      </c>
      <c r="N114">
        <f t="shared" si="42"/>
        <v>1.2135186035618133</v>
      </c>
      <c r="O114">
        <f t="shared" si="43"/>
        <v>5.7319312603528729</v>
      </c>
      <c r="P114">
        <f t="shared" si="44"/>
        <v>6.5710237408434971</v>
      </c>
    </row>
    <row r="115" spans="1:16" x14ac:dyDescent="0.25">
      <c r="A115">
        <f t="shared" si="35"/>
        <v>6</v>
      </c>
      <c r="B115" s="1">
        <f t="shared" si="36"/>
        <v>-6.7508056061128512</v>
      </c>
      <c r="C115" s="1">
        <f t="shared" si="37"/>
        <v>-0.61188352343649077</v>
      </c>
      <c r="D115" t="str">
        <f t="shared" si="35"/>
        <v>y</v>
      </c>
      <c r="E115" s="4">
        <f t="shared" si="32"/>
        <v>3.5765977542466856</v>
      </c>
      <c r="F115" s="1">
        <f t="shared" si="38"/>
        <v>-6.7508056061128512</v>
      </c>
      <c r="G115" s="1">
        <f t="shared" si="38"/>
        <v>-0.61188352343649077</v>
      </c>
      <c r="H115">
        <f t="shared" si="33"/>
        <v>-13.623261803666169</v>
      </c>
      <c r="I115">
        <f t="shared" si="39"/>
        <v>8.3358494331250181</v>
      </c>
      <c r="J115">
        <f t="shared" si="40"/>
        <v>-91.967992157732652</v>
      </c>
      <c r="K115">
        <f t="shared" ca="1" si="45"/>
        <v>-22.490078801214459</v>
      </c>
      <c r="L115">
        <f t="shared" ca="1" si="41"/>
        <v>-7.7551995866256753E-4</v>
      </c>
      <c r="M115">
        <f t="shared" si="34"/>
        <v>-6.8317205855658104E-4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0.40545495522523395</v>
      </c>
      <c r="C116" s="1">
        <f t="shared" si="37"/>
        <v>3.2659940891548493</v>
      </c>
      <c r="D116" t="str">
        <f t="shared" si="35"/>
        <v>y</v>
      </c>
      <c r="E116" s="4">
        <f t="shared" si="32"/>
        <v>-0.30127985834465454</v>
      </c>
      <c r="F116" s="1">
        <f t="shared" si="38"/>
        <v>0.40545495522523395</v>
      </c>
      <c r="G116" s="1">
        <f t="shared" si="38"/>
        <v>3.2659940891548493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5.7547981397283097E-5</v>
      </c>
      <c r="N116">
        <f t="shared" si="42"/>
        <v>0.20788770209302077</v>
      </c>
      <c r="O116">
        <f t="shared" si="43"/>
        <v>0.67896000624379005</v>
      </c>
      <c r="P116">
        <f t="shared" si="44"/>
        <v>-8.4289098944002508E-2</v>
      </c>
    </row>
    <row r="117" spans="1:16" x14ac:dyDescent="0.25">
      <c r="A117">
        <f t="shared" si="35"/>
        <v>8</v>
      </c>
      <c r="B117" s="1">
        <f t="shared" si="36"/>
        <v>-1.2948495260227664</v>
      </c>
      <c r="C117" s="1">
        <f t="shared" si="37"/>
        <v>-3.5243641245955835</v>
      </c>
      <c r="D117" t="str">
        <f t="shared" si="35"/>
        <v>y</v>
      </c>
      <c r="E117" s="4">
        <f t="shared" si="32"/>
        <v>6.4890783554057787</v>
      </c>
      <c r="F117" s="1">
        <f t="shared" si="38"/>
        <v>-1.2948495260227664</v>
      </c>
      <c r="G117" s="1">
        <f t="shared" si="38"/>
        <v>-3.5243641245955835</v>
      </c>
      <c r="H117">
        <f t="shared" si="33"/>
        <v>-24.716901193384555</v>
      </c>
      <c r="I117">
        <f t="shared" si="39"/>
        <v>87.111359837138295</v>
      </c>
      <c r="J117">
        <f t="shared" si="40"/>
        <v>-32.004667795005538</v>
      </c>
      <c r="K117">
        <f t="shared" ca="1" si="45"/>
        <v>-40.804108705556516</v>
      </c>
      <c r="L117">
        <f t="shared" ca="1" si="41"/>
        <v>-1.4070382312260867E-3</v>
      </c>
      <c r="M117">
        <f t="shared" si="34"/>
        <v>-1.2394899630336666E-3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6.2257619955827481</v>
      </c>
      <c r="C118" s="1">
        <f t="shared" si="37"/>
        <v>1.8085902480851346</v>
      </c>
      <c r="D118" t="str">
        <f t="shared" si="35"/>
        <v>y</v>
      </c>
      <c r="E118" s="4">
        <f t="shared" si="32"/>
        <v>1.1561239827250602</v>
      </c>
      <c r="F118" s="1">
        <f t="shared" si="38"/>
        <v>6.2257619955827481</v>
      </c>
      <c r="G118" s="1">
        <f t="shared" si="38"/>
        <v>1.8085902480851346</v>
      </c>
      <c r="H118">
        <f t="shared" si="33"/>
        <v>-4.4036765597863745</v>
      </c>
      <c r="I118">
        <f t="shared" si="39"/>
        <v>-7.9644464817507314</v>
      </c>
      <c r="J118">
        <f t="shared" si="40"/>
        <v>27.416242166756589</v>
      </c>
      <c r="K118">
        <f t="shared" ca="1" si="45"/>
        <v>-7.2698472856187841</v>
      </c>
      <c r="L118">
        <f t="shared" ca="1" si="41"/>
        <v>-2.5068438915926844E-4</v>
      </c>
      <c r="M118">
        <f t="shared" si="34"/>
        <v>-2.2083322070174183E-4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4.1611065540673184</v>
      </c>
      <c r="C119" s="1">
        <f t="shared" si="37"/>
        <v>-6.4368447257546766</v>
      </c>
      <c r="D119" t="str">
        <f t="shared" si="35"/>
        <v>y</v>
      </c>
      <c r="E119" s="4">
        <f t="shared" si="32"/>
        <v>9.4015589565648714</v>
      </c>
      <c r="F119" s="1">
        <f t="shared" si="38"/>
        <v>4.1611065540673184</v>
      </c>
      <c r="G119" s="1">
        <f t="shared" si="38"/>
        <v>-6.4368447257546766</v>
      </c>
      <c r="H119">
        <f t="shared" si="33"/>
        <v>-35.810540583102942</v>
      </c>
      <c r="I119">
        <f t="shared" si="39"/>
        <v>230.50688927876996</v>
      </c>
      <c r="J119">
        <f t="shared" si="40"/>
        <v>149.01147512504335</v>
      </c>
      <c r="K119">
        <f t="shared" ca="1" si="45"/>
        <v>-59.11813860989858</v>
      </c>
      <c r="L119">
        <f t="shared" ca="1" si="41"/>
        <v>-2.0385565037896063E-3</v>
      </c>
      <c r="M119">
        <f t="shared" si="34"/>
        <v>-1.795807867510752E-3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12.046069035940262</v>
      </c>
      <c r="C120" s="1">
        <f t="shared" si="37"/>
        <v>0.35118640701541981</v>
      </c>
      <c r="D120" t="str">
        <f t="shared" si="35"/>
        <v>y</v>
      </c>
      <c r="E120" s="4">
        <f t="shared" si="32"/>
        <v>2.613527823794775</v>
      </c>
      <c r="F120" s="1">
        <f t="shared" si="38"/>
        <v>12.046069035940262</v>
      </c>
      <c r="G120" s="1">
        <f t="shared" si="38"/>
        <v>0.35118640701541981</v>
      </c>
      <c r="H120">
        <f t="shared" si="33"/>
        <v>-9.9549281806841918</v>
      </c>
      <c r="I120">
        <f t="shared" si="39"/>
        <v>-3.496035459871031</v>
      </c>
      <c r="J120">
        <f t="shared" si="40"/>
        <v>119.91775211234896</v>
      </c>
      <c r="K120">
        <f t="shared" ca="1" si="45"/>
        <v>-16.434178720970294</v>
      </c>
      <c r="L120">
        <f t="shared" ca="1" si="41"/>
        <v>-5.6669581796449289E-4</v>
      </c>
      <c r="M120">
        <f t="shared" si="34"/>
        <v>-4.9921442280076672E-4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9.6170626341574028</v>
      </c>
      <c r="C121" s="1">
        <f t="shared" si="37"/>
        <v>-9.3493253269137711</v>
      </c>
      <c r="D121" t="str">
        <f t="shared" si="35"/>
        <v>y</v>
      </c>
      <c r="E121" s="4">
        <f t="shared" si="32"/>
        <v>12.314039557723966</v>
      </c>
      <c r="F121" s="1">
        <f t="shared" si="38"/>
        <v>9.6170626341574028</v>
      </c>
      <c r="G121" s="1">
        <f t="shared" si="38"/>
        <v>-9.3493253269137711</v>
      </c>
      <c r="H121" s="23">
        <f t="shared" si="33"/>
        <v>-46.904179972821332</v>
      </c>
      <c r="I121" s="23">
        <f t="shared" si="39"/>
        <v>438.52243775802015</v>
      </c>
      <c r="J121" s="23">
        <f t="shared" si="40"/>
        <v>451.08043660241401</v>
      </c>
      <c r="K121">
        <f t="shared" ca="1" si="45"/>
        <v>-77.432168514240644</v>
      </c>
      <c r="L121">
        <f t="shared" ca="1" si="41"/>
        <v>-2.6700747763531256E-3</v>
      </c>
      <c r="M121">
        <f t="shared" si="34"/>
        <v>-2.3521257719878379E-3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12.314039557723966</v>
      </c>
      <c r="H122">
        <f>SUM(H110:H121)</f>
        <v>-137.94311070739334</v>
      </c>
      <c r="I122">
        <f t="shared" ref="I122:J122" si="46">SUM(I110:I121)</f>
        <v>747.19641243216176</v>
      </c>
      <c r="J122">
        <f t="shared" si="46"/>
        <v>592.57474809068674</v>
      </c>
      <c r="L122">
        <f ca="1">MIN(L110:L121)</f>
        <v>-2.6700747763531256E-3</v>
      </c>
      <c r="M122">
        <f>MIN(M110:M121)</f>
        <v>-2.3521257719878379E-3</v>
      </c>
      <c r="N122">
        <f>SUM(N110:N121)</f>
        <v>8.4167413235787283</v>
      </c>
      <c r="O122">
        <f>SUM(O110:O121)</f>
        <v>52.846145588666872</v>
      </c>
      <c r="P122">
        <f>SUM(P110:P121)</f>
        <v>113.82139610492916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2.9647142308101948</v>
      </c>
      <c r="F125" s="1" t="s">
        <v>27</v>
      </c>
      <c r="G125" s="1" t="s">
        <v>28</v>
      </c>
    </row>
    <row r="126" spans="1:16" x14ac:dyDescent="0.25">
      <c r="F126" s="4">
        <f>MIN(B84:B90)-1</f>
        <v>-20.967171073346289</v>
      </c>
      <c r="G126" s="4">
        <f>B125</f>
        <v>2.9647142308101948</v>
      </c>
    </row>
    <row r="127" spans="1:16" x14ac:dyDescent="0.25">
      <c r="F127" s="4">
        <f>MAX(B84:B90)+1</f>
        <v>17.412075009868509</v>
      </c>
      <c r="G127" s="4">
        <f>G126</f>
        <v>2.9647142308101948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-18.509767232276573</v>
      </c>
      <c r="C132" s="4">
        <f>C84</f>
        <v>10.064109239506404</v>
      </c>
      <c r="D132" s="4">
        <f t="shared" ref="D132:E139" si="47">B85</f>
        <v>-19.967171073346289</v>
      </c>
      <c r="E132" s="4">
        <f t="shared" si="47"/>
        <v>4.243802199148889</v>
      </c>
      <c r="F132" s="4">
        <f t="shared" ref="F132:F139" si="48">($B$66/$B$65)*(C132-$B$125)</f>
        <v>5.5250000000000004</v>
      </c>
      <c r="G132" s="4">
        <f t="shared" ref="G132:G139" si="49">($B$66/$B$65)*(E132-$B$125)</f>
        <v>0.9954314440054125</v>
      </c>
      <c r="H132" s="4">
        <f>IF(B132=D132,"V",(C132-E132)/(B132-D132))</f>
        <v>3.9936130785036781</v>
      </c>
      <c r="I132" s="4">
        <f>IF(H132="V",0,(-1*B132*H132)+C132)</f>
        <v>83.984957738384963</v>
      </c>
      <c r="J132" s="4">
        <f>IF($F132&gt;=0,B132,IF(AND($F132&lt;0,$G132&gt;=0),IF(H132="V",B132,($B$125-I132)/H132),0))</f>
        <v>-18.509767232276573</v>
      </c>
      <c r="K132" s="4">
        <f>IF($F132&gt;=0,C132,IF(AND($F132&lt;0,$G132&gt;=0),$B$125,0))</f>
        <v>10.064109239506404</v>
      </c>
      <c r="L132" s="4">
        <f>IF($G132&gt;=0,D132,IF(AND($G132&lt;0,$F132&gt;=0),IF(H132="V",D132,($B$125-I132)/H132),0))</f>
        <v>-19.967171073346289</v>
      </c>
      <c r="M132" s="4">
        <f>IF($G132&gt;=0,E132,IF(AND($G132&lt;0,$F132&gt;=0),$B$125,0))</f>
        <v>4.243802199148889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0.9954314440054125</v>
      </c>
      <c r="P132" s="4">
        <f>(1/6)*(M132-K132)*((N132*((2*J132)+L132))+(O132*(J132+(2*L132))))</f>
        <v>361.85688186271733</v>
      </c>
      <c r="Q132" s="4">
        <f>((1/12)*(M132-K132)*(N132*J132*((3*K132)+M132)+N132*L132*(K132+M132)+O132*J132*(K132+M132)+O132*L132*(K132+(3*M132))))</f>
        <v>2821.2963524594043</v>
      </c>
      <c r="R132" s="4">
        <f>((-1/24)*(M132-K132)*(J132*J132*((3*N132)+O132)+2*J132*L132*(N132+O132)+L132*L132*(N132+(3*O132))))</f>
        <v>3451.666202532354</v>
      </c>
    </row>
    <row r="133" spans="1:18" x14ac:dyDescent="0.25">
      <c r="A133" t="s">
        <v>70</v>
      </c>
      <c r="B133" s="4">
        <f t="shared" ref="B133:C138" si="50">D132</f>
        <v>-19.967171073346289</v>
      </c>
      <c r="C133" s="4">
        <f t="shared" si="50"/>
        <v>4.243802199148889</v>
      </c>
      <c r="D133" s="4">
        <f t="shared" si="47"/>
        <v>13.01146604737251</v>
      </c>
      <c r="E133" s="4">
        <f t="shared" si="47"/>
        <v>-12.26103023441275</v>
      </c>
      <c r="F133" s="4">
        <f t="shared" si="48"/>
        <v>0.9954314440054125</v>
      </c>
      <c r="G133" s="4">
        <f t="shared" si="49"/>
        <v>-11.849212231086387</v>
      </c>
      <c r="H133" s="4">
        <f t="shared" ref="H133:H139" si="51">IF(B133=D133,"V",(C133-E133)/(B133-D133))</f>
        <v>-0.50047042190207702</v>
      </c>
      <c r="I133" s="4">
        <f t="shared" ref="I133:I139" si="52">IF(H133="V",0,(-1*B133*H133)+C133)</f>
        <v>-5.7491763321196769</v>
      </c>
      <c r="J133" s="4">
        <f t="shared" ref="J133:J139" si="53">IF($F133&gt;=0,B133,IF(AND($F133&lt;0,$G133&gt;=0),IF(H133="V",B133,($B$125-I133)/H133),0))</f>
        <v>-19.967171073346289</v>
      </c>
      <c r="K133" s="4">
        <f t="shared" ref="K133:K139" si="54">IF($F133&gt;=0,C133,IF(AND($F133&lt;0,$G133&gt;=0),$B$125,0))</f>
        <v>4.243802199148889</v>
      </c>
      <c r="L133" s="4">
        <f t="shared" ref="L133:L139" si="55">IF($G133&gt;=0,D133,IF(AND($G133&lt;0,$F133&gt;=0),IF(H133="V",D133,($B$125-I133)/H133),0))</f>
        <v>-17.41139971831312</v>
      </c>
      <c r="M133" s="4">
        <f t="shared" ref="M133:M139" si="56">IF($G133&gt;=0,E133,IF(AND($G133&lt;0,$F133&gt;=0),$B$125,0))</f>
        <v>2.9647142308101948</v>
      </c>
      <c r="N133" s="4">
        <f t="shared" ref="N133:O139" si="57">IF(F133&lt;0,IF($I$54="Linear",0,$B$66),IF($I$54="Linear",F133,$B$66))</f>
        <v>0.9954314440054125</v>
      </c>
      <c r="O133" s="4">
        <f t="shared" si="57"/>
        <v>0</v>
      </c>
      <c r="P133" s="4">
        <f t="shared" ref="P133:P139" si="58">(1/6)*(M133-K133)*((N133*((2*J133)+L133))+(O133*(J133+(2*L133))))</f>
        <v>12.169190622950305</v>
      </c>
      <c r="Q133" s="4">
        <f t="shared" ref="Q133:Q139" si="59">((1/12)*(M133-K133)*(N133*J133*((3*K133)+M133)+N133*L133*(K133+M133)+O133*J133*(K133+M133)+O133*L133*(K133+(3*M133))))</f>
        <v>46.570769148777394</v>
      </c>
      <c r="R133" s="4">
        <f t="shared" ref="R133:R139" si="60">((-1/24)*(M133-K133)*(J133*J133*((3*N133)+O133)+2*J133*L133*(N133+O133)+L133*L133*(N133+(3*O133))))</f>
        <v>116.42405500848677</v>
      </c>
    </row>
    <row r="134" spans="1:18" x14ac:dyDescent="0.25">
      <c r="A134" t="s">
        <v>71</v>
      </c>
      <c r="B134" s="4">
        <f t="shared" si="50"/>
        <v>13.01146604737251</v>
      </c>
      <c r="C134" s="4">
        <f t="shared" si="50"/>
        <v>-12.26103023441275</v>
      </c>
      <c r="D134" s="4">
        <f t="shared" si="47"/>
        <v>16.412075009868509</v>
      </c>
      <c r="E134" s="4">
        <f t="shared" si="47"/>
        <v>1.3196861930881152</v>
      </c>
      <c r="F134" s="4">
        <f t="shared" si="48"/>
        <v>-11.849212231086387</v>
      </c>
      <c r="G134" s="4">
        <f t="shared" si="49"/>
        <v>-1.2802189337656855</v>
      </c>
      <c r="H134" s="4">
        <f t="shared" si="51"/>
        <v>3.9936130785036834</v>
      </c>
      <c r="I134" s="4">
        <f t="shared" si="52"/>
        <v>-64.223791211706242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16.412075009868509</v>
      </c>
      <c r="C135" s="4">
        <f t="shared" si="50"/>
        <v>1.3196861930881152</v>
      </c>
      <c r="D135" s="4">
        <f t="shared" si="47"/>
        <v>-18.509767232276573</v>
      </c>
      <c r="E135" s="4">
        <f t="shared" si="47"/>
        <v>10.064109239506404</v>
      </c>
      <c r="F135" s="4">
        <f t="shared" si="48"/>
        <v>-1.2802189337656855</v>
      </c>
      <c r="G135" s="4">
        <f t="shared" si="49"/>
        <v>5.5250000000000004</v>
      </c>
      <c r="H135" s="4">
        <f t="shared" si="51"/>
        <v>-0.25039982099985458</v>
      </c>
      <c r="I135" s="4">
        <f t="shared" si="52"/>
        <v>5.4292668377953763</v>
      </c>
      <c r="J135" s="4">
        <f t="shared" si="53"/>
        <v>9.842469523916364</v>
      </c>
      <c r="K135" s="4">
        <f t="shared" si="54"/>
        <v>2.9647142308101948</v>
      </c>
      <c r="L135" s="4">
        <f t="shared" si="55"/>
        <v>-18.509767232276573</v>
      </c>
      <c r="M135" s="4">
        <f t="shared" si="56"/>
        <v>10.064109239506404</v>
      </c>
      <c r="N135" s="4">
        <f t="shared" si="57"/>
        <v>0</v>
      </c>
      <c r="O135" s="4">
        <f t="shared" si="57"/>
        <v>5.5250000000000004</v>
      </c>
      <c r="P135" s="4">
        <f t="shared" si="58"/>
        <v>-177.66624558798273</v>
      </c>
      <c r="Q135" s="4">
        <f t="shared" si="59"/>
        <v>-1586.9222357837841</v>
      </c>
      <c r="R135" s="4">
        <f t="shared" si="60"/>
        <v>-1242.6621910758108</v>
      </c>
    </row>
    <row r="136" spans="1:18" x14ac:dyDescent="0.25">
      <c r="A136" t="s">
        <v>73</v>
      </c>
      <c r="B136" s="4">
        <f t="shared" si="50"/>
        <v>-18.509767232276573</v>
      </c>
      <c r="C136" s="4">
        <f t="shared" si="50"/>
        <v>10.064109239506404</v>
      </c>
      <c r="D136" s="4">
        <f t="shared" si="47"/>
        <v>-18.509767232276573</v>
      </c>
      <c r="E136" s="4">
        <f t="shared" si="47"/>
        <v>10.064109239506404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-18.509767232276573</v>
      </c>
      <c r="K136" s="4">
        <f t="shared" si="54"/>
        <v>10.064109239506404</v>
      </c>
      <c r="L136" s="4">
        <f t="shared" si="55"/>
        <v>-18.509767232276573</v>
      </c>
      <c r="M136" s="4">
        <f t="shared" si="56"/>
        <v>10.064109239506404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-18.509767232276573</v>
      </c>
      <c r="C137" s="4">
        <f t="shared" si="50"/>
        <v>10.064109239506404</v>
      </c>
      <c r="D137" s="4">
        <f t="shared" si="47"/>
        <v>-18.509767232276573</v>
      </c>
      <c r="E137" s="4">
        <f t="shared" si="47"/>
        <v>10.064109239506404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-18.509767232276573</v>
      </c>
      <c r="K137" s="4">
        <f t="shared" si="54"/>
        <v>10.064109239506404</v>
      </c>
      <c r="L137" s="4">
        <f t="shared" si="55"/>
        <v>-18.509767232276573</v>
      </c>
      <c r="M137" s="4">
        <f t="shared" si="56"/>
        <v>10.064109239506404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-18.509767232276573</v>
      </c>
      <c r="C138" s="4">
        <f t="shared" si="50"/>
        <v>10.064109239506404</v>
      </c>
      <c r="D138" s="4">
        <f t="shared" si="47"/>
        <v>-18.509767232276573</v>
      </c>
      <c r="E138" s="4">
        <f t="shared" si="47"/>
        <v>10.064109239506404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-18.509767232276573</v>
      </c>
      <c r="K138" s="4">
        <f t="shared" si="54"/>
        <v>10.064109239506404</v>
      </c>
      <c r="L138" s="4">
        <f t="shared" si="55"/>
        <v>-18.509767232276573</v>
      </c>
      <c r="M138" s="4">
        <f t="shared" si="56"/>
        <v>10.064109239506404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-18.509767232276573</v>
      </c>
      <c r="C139" s="4">
        <f>E138</f>
        <v>10.064109239506404</v>
      </c>
      <c r="D139" s="4">
        <f t="shared" si="47"/>
        <v>-18.509767232276573</v>
      </c>
      <c r="E139" s="4">
        <f t="shared" si="47"/>
        <v>10.064109239506404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-18.509767232276573</v>
      </c>
      <c r="K139" s="4">
        <f t="shared" si="54"/>
        <v>10.064109239506404</v>
      </c>
      <c r="L139" s="4">
        <f t="shared" si="55"/>
        <v>-18.509767232276573</v>
      </c>
      <c r="M139" s="4">
        <f t="shared" si="56"/>
        <v>10.064109239506404</v>
      </c>
      <c r="N139" s="4">
        <f t="shared" si="57"/>
        <v>5.5250000000000004</v>
      </c>
      <c r="O139" s="4">
        <f>IF(G139&lt;0,IF($I$54="Linear",0,$B$66),IF($I$54="Linear",G139,$B$66))</f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196.35982689768488</v>
      </c>
      <c r="Q140" s="4">
        <f>SUM(Q132:Q139)</f>
        <v>1280.9448858243975</v>
      </c>
      <c r="R140" s="4">
        <f>SUM(R132:R139)</f>
        <v>2325.42806646503</v>
      </c>
    </row>
    <row r="142" spans="1:18" x14ac:dyDescent="0.25">
      <c r="O142" t="s">
        <v>96</v>
      </c>
      <c r="P142" s="1">
        <f>-1*R140/P140</f>
        <v>-11.842687494712022</v>
      </c>
    </row>
    <row r="143" spans="1:18" x14ac:dyDescent="0.25">
      <c r="O143" t="s">
        <v>97</v>
      </c>
      <c r="P143" s="1">
        <f>Q140/P140</f>
        <v>6.5234569925132684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-18.509767232276573</v>
      </c>
      <c r="C146" s="9">
        <f>J84</f>
        <v>10.064109239506404</v>
      </c>
      <c r="D146" s="9">
        <f t="shared" ref="D146:E153" si="61">I85</f>
        <v>-18.509767232276573</v>
      </c>
      <c r="E146">
        <f t="shared" si="61"/>
        <v>10.064109239506404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-18.509767232276573</v>
      </c>
      <c r="K146" s="4">
        <f>IF($F146&gt;=0,C146,IF(AND($F146&lt;0,$G146&gt;=0),$B$125,0))</f>
        <v>10.064109239506404</v>
      </c>
      <c r="L146" s="4">
        <f>IF($G146&gt;=0,D146,IF(AND($G146&lt;0,$F146&gt;=0),IF(H146="V",D146,($B$125-I146)/H146),0))</f>
        <v>-18.509767232276573</v>
      </c>
      <c r="M146" s="4">
        <f>IF($G146&gt;=0,E146,IF(AND($G146&lt;0,$F146&gt;=0),$B$125,0))</f>
        <v>10.064109239506404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-18.509767232276573</v>
      </c>
      <c r="C147">
        <f t="shared" si="62"/>
        <v>10.064109239506404</v>
      </c>
      <c r="D147" s="9">
        <f t="shared" si="61"/>
        <v>-18.509767232276573</v>
      </c>
      <c r="E147">
        <f t="shared" si="61"/>
        <v>10.064109239506404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-18.509767232276573</v>
      </c>
      <c r="K147" s="4">
        <f t="shared" ref="K147:K153" si="68">IF($F147&gt;=0,C147,IF(AND($F147&lt;0,$G147&gt;=0),$B$125,0))</f>
        <v>10.064109239506404</v>
      </c>
      <c r="L147" s="4">
        <f t="shared" ref="L147:L153" si="69">IF($G147&gt;=0,D147,IF(AND($G147&lt;0,$F147&gt;=0),IF(H147="V",D147,($B$125-I147)/H147),0))</f>
        <v>-18.509767232276573</v>
      </c>
      <c r="M147" s="4">
        <f t="shared" ref="M147:M153" si="70">IF($G147&gt;=0,E147,IF(AND($G147&lt;0,$F147&gt;=0),$B$125,0))</f>
        <v>10.064109239506404</v>
      </c>
      <c r="N147" s="4">
        <f t="shared" ref="N147:O153" si="71">IF(F147&lt;0,IF($I$54="Linear",0,$B$66),IF($I$54="Linear",F147,$B$66))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-18.509767232276573</v>
      </c>
      <c r="C148">
        <f t="shared" si="62"/>
        <v>10.064109239506404</v>
      </c>
      <c r="D148" s="9">
        <f t="shared" si="61"/>
        <v>-18.509767232276573</v>
      </c>
      <c r="E148">
        <f t="shared" si="61"/>
        <v>10.064109239506404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-18.509767232276573</v>
      </c>
      <c r="K148" s="4">
        <f t="shared" si="68"/>
        <v>10.064109239506404</v>
      </c>
      <c r="L148" s="4">
        <f t="shared" si="69"/>
        <v>-18.509767232276573</v>
      </c>
      <c r="M148" s="4">
        <f t="shared" si="70"/>
        <v>10.064109239506404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-18.509767232276573</v>
      </c>
      <c r="C149">
        <f t="shared" si="62"/>
        <v>10.064109239506404</v>
      </c>
      <c r="D149" s="9">
        <f t="shared" si="61"/>
        <v>-18.509767232276573</v>
      </c>
      <c r="E149">
        <f t="shared" si="61"/>
        <v>10.064109239506404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-18.509767232276573</v>
      </c>
      <c r="K149" s="4">
        <f t="shared" si="68"/>
        <v>10.064109239506404</v>
      </c>
      <c r="L149" s="4">
        <f t="shared" si="69"/>
        <v>-18.509767232276573</v>
      </c>
      <c r="M149" s="4">
        <f t="shared" si="70"/>
        <v>10.064109239506404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-18.509767232276573</v>
      </c>
      <c r="C150">
        <f t="shared" si="62"/>
        <v>10.064109239506404</v>
      </c>
      <c r="D150" s="9">
        <f t="shared" si="61"/>
        <v>-18.509767232276573</v>
      </c>
      <c r="E150">
        <f t="shared" si="61"/>
        <v>10.064109239506404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-18.509767232276573</v>
      </c>
      <c r="K150" s="4">
        <f t="shared" si="68"/>
        <v>10.064109239506404</v>
      </c>
      <c r="L150" s="4">
        <f t="shared" si="69"/>
        <v>-18.509767232276573</v>
      </c>
      <c r="M150" s="4">
        <f t="shared" si="70"/>
        <v>10.064109239506404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-18.509767232276573</v>
      </c>
      <c r="C151">
        <f t="shared" si="62"/>
        <v>10.064109239506404</v>
      </c>
      <c r="D151" s="9">
        <f t="shared" si="61"/>
        <v>-18.509767232276573</v>
      </c>
      <c r="E151">
        <f t="shared" si="61"/>
        <v>10.064109239506404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-18.509767232276573</v>
      </c>
      <c r="K151" s="4">
        <f t="shared" si="68"/>
        <v>10.064109239506404</v>
      </c>
      <c r="L151" s="4">
        <f t="shared" si="69"/>
        <v>-18.509767232276573</v>
      </c>
      <c r="M151" s="4">
        <f t="shared" si="70"/>
        <v>10.064109239506404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-18.509767232276573</v>
      </c>
      <c r="C152">
        <f t="shared" si="62"/>
        <v>10.064109239506404</v>
      </c>
      <c r="D152" s="9">
        <f t="shared" si="61"/>
        <v>-18.509767232276573</v>
      </c>
      <c r="E152">
        <f t="shared" si="61"/>
        <v>10.064109239506404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-18.509767232276573</v>
      </c>
      <c r="K152" s="4">
        <f t="shared" si="68"/>
        <v>10.064109239506404</v>
      </c>
      <c r="L152" s="4">
        <f t="shared" si="69"/>
        <v>-18.509767232276573</v>
      </c>
      <c r="M152" s="4">
        <f t="shared" si="70"/>
        <v>10.064109239506404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-18.509767232276573</v>
      </c>
      <c r="C153">
        <f t="shared" si="62"/>
        <v>10.064109239506404</v>
      </c>
      <c r="D153" s="9">
        <f t="shared" si="61"/>
        <v>-18.509767232276573</v>
      </c>
      <c r="E153">
        <f t="shared" si="61"/>
        <v>10.064109239506404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-18.509767232276573</v>
      </c>
      <c r="K153" s="4">
        <f t="shared" si="68"/>
        <v>10.064109239506404</v>
      </c>
      <c r="L153" s="4">
        <f t="shared" si="69"/>
        <v>-18.509767232276573</v>
      </c>
      <c r="M153" s="4">
        <f t="shared" si="70"/>
        <v>10.064109239506404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49.999974866712812</v>
      </c>
      <c r="C159" t="s">
        <v>36</v>
      </c>
    </row>
    <row r="160" spans="1:18" x14ac:dyDescent="0.25">
      <c r="A160" s="1" t="s">
        <v>106</v>
      </c>
      <c r="B160" s="4">
        <f>Q140+I122+Q154-O122</f>
        <v>1975.2951526678926</v>
      </c>
      <c r="C160" t="s">
        <v>102</v>
      </c>
    </row>
    <row r="161" spans="1:9" x14ac:dyDescent="0.25">
      <c r="A161" s="1" t="s">
        <v>107</v>
      </c>
      <c r="B161" s="4">
        <f>R140+J122+R154-P122</f>
        <v>2804.1814184507875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49.999974866712812</v>
      </c>
      <c r="C164" t="s">
        <v>36</v>
      </c>
      <c r="E164" s="8">
        <f>B2-B164</f>
        <v>2.5133287188339182E-5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-3199.9999324989021</v>
      </c>
      <c r="C165" t="s">
        <v>102</v>
      </c>
      <c r="E165" s="8">
        <f>B3+B165</f>
        <v>6.7501097873901017E-5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1234.9999189250848</v>
      </c>
      <c r="C166" t="s">
        <v>102</v>
      </c>
      <c r="E166" s="8">
        <f>B4+B166</f>
        <v>-8.1074915215140209E-5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-6.271842821943836</v>
      </c>
      <c r="C169" s="3">
        <f ca="1">A169+B169</f>
        <v>-0.74684282194383567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2.6937876403423935E-8</v>
      </c>
      <c r="C175" s="27">
        <f>B65*SQRT(I175)</f>
        <v>1.0530104504557465E-7</v>
      </c>
      <c r="D175" s="27">
        <f>B66*SQRT(I175)</f>
        <v>8.1948993282407074E-8</v>
      </c>
      <c r="E175" s="27">
        <f>B67*SQRT(I175)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1.8161512835618996</v>
      </c>
      <c r="C176" s="3">
        <f>B65+C175</f>
        <v>7.0993951139972546</v>
      </c>
      <c r="D176" s="3">
        <f>D175+B66</f>
        <v>5.5250000819489937</v>
      </c>
      <c r="E176" s="3">
        <f>B67+E175</f>
        <v>46.904180668522748</v>
      </c>
      <c r="F176" s="16" t="s">
        <v>125</v>
      </c>
    </row>
    <row r="177" spans="1:13" x14ac:dyDescent="0.25">
      <c r="B177" s="27">
        <f>B176-B64</f>
        <v>2.6937876373978042E-8</v>
      </c>
      <c r="C177" s="27">
        <f>C176-B65</f>
        <v>1.0530104521677686E-7</v>
      </c>
      <c r="D177" s="27">
        <f>D176-B66</f>
        <v>8.1948993368996526E-8</v>
      </c>
      <c r="E177" s="27">
        <f>E176-B67</f>
        <v>6.9570141647545825E-7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18.509767229616919</v>
      </c>
      <c r="B181" s="25">
        <f>(d_alpha_p!E136-d_alpha_m!E136)/(2*B177)</f>
        <v>18.509767229616919</v>
      </c>
      <c r="C181" s="25">
        <f>(d_alpha_p!E137-d_alpha_m!E137)/(2*B177)</f>
        <v>18.509767229616919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-2.5133287188339182E-5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-6.7501097873901017E-5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8.1074915215140209E-5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0.74684282194383567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18.509767229616919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18.509767229616919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18.509767229616919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18.509767229616919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18.509767229616919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18.509767229616919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40" workbookViewId="0">
      <selection activeCell="M63" sqref="M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5" x14ac:dyDescent="0.25">
      <c r="A51" s="10" t="s">
        <v>8</v>
      </c>
      <c r="B51" s="17">
        <f>'Rigid Bearing Plate Analysis'!B51</f>
        <v>5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Analysis'!B64-'Rigid Bearing Plate Analysis'!B175</f>
        <v>1.8161512027482714</v>
      </c>
      <c r="C64" t="s">
        <v>19</v>
      </c>
      <c r="D64" t="s">
        <v>34</v>
      </c>
      <c r="H64" s="17">
        <f>DEGREES(B64)</f>
        <v>104.05779887508423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7.0993950086962094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46.904179972821332</v>
      </c>
      <c r="C67" t="s">
        <v>36</v>
      </c>
      <c r="D67" t="s">
        <v>122</v>
      </c>
      <c r="G67" s="20">
        <f ca="1">($B$56*$B$66*$B$55*$E$122)/$B$65</f>
        <v>41.318886620201908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-20.967171301984294</v>
      </c>
      <c r="R76">
        <f>Q76</f>
        <v>-20.967171301984294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20.967171301984294</v>
      </c>
      <c r="R77">
        <f>Q77</f>
        <v>20.967171301984294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-18.509767774488001</v>
      </c>
      <c r="C84" s="1">
        <f t="shared" ref="C84:C92" si="23">(-1*B73*SIN($B$64))+(C73*COS($B$64))</f>
        <v>10.064108242278762</v>
      </c>
      <c r="H84" s="1">
        <f t="shared" ref="H84:H92" si="24">H73</f>
        <v>1</v>
      </c>
      <c r="I84" s="4">
        <f>(I73*COS($B$64))+(J73*SIN($B$64))</f>
        <v>-18.509767774488001</v>
      </c>
      <c r="J84" s="1">
        <f>(-1*I73*SIN($B$64))+(J73*COS($B$64))</f>
        <v>10.064108242278762</v>
      </c>
    </row>
    <row r="85" spans="1:10" x14ac:dyDescent="0.25">
      <c r="A85" s="1">
        <f t="shared" si="21"/>
        <v>2</v>
      </c>
      <c r="B85" s="4">
        <f t="shared" si="22"/>
        <v>-19.967171301984294</v>
      </c>
      <c r="C85" s="1">
        <f t="shared" si="23"/>
        <v>4.2438011234025286</v>
      </c>
      <c r="H85" s="1">
        <f t="shared" si="24"/>
        <v>2</v>
      </c>
      <c r="I85" s="4">
        <f t="shared" ref="I85:I92" si="25">(I74*COS($B$64))+(J74*SIN($B$64))</f>
        <v>-18.509767774488001</v>
      </c>
      <c r="J85" s="1">
        <f t="shared" ref="J85:J92" si="26">(-1*I74*SIN($B$64))+(J74*COS($B$64))</f>
        <v>10.064108242278762</v>
      </c>
    </row>
    <row r="86" spans="1:10" x14ac:dyDescent="0.25">
      <c r="A86" s="1">
        <f t="shared" si="21"/>
        <v>3</v>
      </c>
      <c r="B86" s="4">
        <f t="shared" si="22"/>
        <v>13.011466707944709</v>
      </c>
      <c r="C86" s="1">
        <f t="shared" si="23"/>
        <v>-12.261029533410218</v>
      </c>
      <c r="H86" s="1">
        <f t="shared" si="24"/>
        <v>3</v>
      </c>
      <c r="I86" s="4">
        <f t="shared" si="25"/>
        <v>-18.509767774488001</v>
      </c>
      <c r="J86" s="1">
        <f t="shared" si="26"/>
        <v>10.064108242278762</v>
      </c>
    </row>
    <row r="87" spans="1:10" x14ac:dyDescent="0.25">
      <c r="A87" s="1">
        <f t="shared" si="21"/>
        <v>4</v>
      </c>
      <c r="B87" s="4">
        <f t="shared" si="22"/>
        <v>16.412074938769397</v>
      </c>
      <c r="C87" s="1">
        <f t="shared" si="23"/>
        <v>1.3196870773009932</v>
      </c>
      <c r="H87" s="1">
        <f t="shared" si="24"/>
        <v>4</v>
      </c>
      <c r="I87" s="4">
        <f t="shared" si="25"/>
        <v>-18.509767774488001</v>
      </c>
      <c r="J87" s="1">
        <f t="shared" si="26"/>
        <v>10.064108242278762</v>
      </c>
    </row>
    <row r="88" spans="1:10" x14ac:dyDescent="0.25">
      <c r="A88" s="1">
        <f t="shared" si="21"/>
        <v>5</v>
      </c>
      <c r="B88" s="4">
        <f t="shared" si="22"/>
        <v>-18.509767774488001</v>
      </c>
      <c r="C88" s="1">
        <f t="shared" si="23"/>
        <v>10.064108242278762</v>
      </c>
      <c r="H88" s="1">
        <f t="shared" si="24"/>
        <v>5</v>
      </c>
      <c r="I88" s="4">
        <f t="shared" si="25"/>
        <v>-18.509767774488001</v>
      </c>
      <c r="J88" s="1">
        <f t="shared" si="26"/>
        <v>10.064108242278762</v>
      </c>
    </row>
    <row r="89" spans="1:10" x14ac:dyDescent="0.25">
      <c r="A89" s="1">
        <f t="shared" si="21"/>
        <v>6</v>
      </c>
      <c r="B89" s="4">
        <f t="shared" si="22"/>
        <v>-18.509767774488001</v>
      </c>
      <c r="C89" s="1">
        <f t="shared" si="23"/>
        <v>10.064108242278762</v>
      </c>
      <c r="H89" s="1">
        <f t="shared" si="24"/>
        <v>6</v>
      </c>
      <c r="I89" s="4">
        <f t="shared" si="25"/>
        <v>-18.509767774488001</v>
      </c>
      <c r="J89" s="1">
        <f t="shared" si="26"/>
        <v>10.064108242278762</v>
      </c>
    </row>
    <row r="90" spans="1:10" x14ac:dyDescent="0.25">
      <c r="A90" s="1">
        <f t="shared" si="21"/>
        <v>7</v>
      </c>
      <c r="B90" s="4">
        <f t="shared" si="22"/>
        <v>-18.509767774488001</v>
      </c>
      <c r="C90" s="1">
        <f t="shared" si="23"/>
        <v>10.064108242278762</v>
      </c>
      <c r="H90" s="1">
        <f t="shared" si="24"/>
        <v>7</v>
      </c>
      <c r="I90" s="4">
        <f t="shared" si="25"/>
        <v>-18.509767774488001</v>
      </c>
      <c r="J90" s="1">
        <f t="shared" si="26"/>
        <v>10.064108242278762</v>
      </c>
    </row>
    <row r="91" spans="1:10" x14ac:dyDescent="0.25">
      <c r="A91" s="1">
        <f t="shared" si="21"/>
        <v>8</v>
      </c>
      <c r="B91" s="4">
        <f t="shared" si="22"/>
        <v>-18.509767774488001</v>
      </c>
      <c r="C91" s="1">
        <f t="shared" si="23"/>
        <v>10.064108242278762</v>
      </c>
      <c r="H91" s="1">
        <f t="shared" si="24"/>
        <v>8</v>
      </c>
      <c r="I91" s="4">
        <f t="shared" si="25"/>
        <v>-18.509767774488001</v>
      </c>
      <c r="J91" s="1">
        <f t="shared" si="26"/>
        <v>10.064108242278762</v>
      </c>
    </row>
    <row r="92" spans="1:10" x14ac:dyDescent="0.25">
      <c r="A92" s="1">
        <f t="shared" si="21"/>
        <v>9</v>
      </c>
      <c r="B92" s="4">
        <f t="shared" si="22"/>
        <v>-18.509767774488001</v>
      </c>
      <c r="C92" s="1">
        <f t="shared" si="23"/>
        <v>10.064108242278762</v>
      </c>
      <c r="H92" s="1">
        <f t="shared" si="24"/>
        <v>9</v>
      </c>
      <c r="I92" s="4">
        <f t="shared" si="25"/>
        <v>-18.509767774488001</v>
      </c>
      <c r="J92" s="1">
        <f t="shared" si="26"/>
        <v>10.064108242278762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-17.055466577361354</v>
      </c>
      <c r="C110" s="1">
        <f>(-1*B95*SIN($B$64))+(C95*COS($B$64))</f>
        <v>7.6382046934879195</v>
      </c>
      <c r="D110" t="str">
        <f t="shared" ref="D110" si="31">D95</f>
        <v>y</v>
      </c>
      <c r="E110" s="4">
        <f t="shared" ref="E110:E121" si="32">IF($D110="y",$B$125-C110,0)</f>
        <v>-4.6734914599053674</v>
      </c>
      <c r="F110" s="1">
        <f>IF($D110="y",B110,NA())</f>
        <v>-17.055466577361354</v>
      </c>
      <c r="G110" s="1">
        <f>IF($D110="y",C110,NA())</f>
        <v>7.6382046934879195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8.9269160266042507E-4</v>
      </c>
      <c r="N110">
        <f>IF(AND(M110&gt;0,D110="y",$E$60="y"),$B$53*M110*$E$59,0)</f>
        <v>3.2247804605631769</v>
      </c>
      <c r="O110">
        <f>N110*C110</f>
        <v>24.631533249341793</v>
      </c>
      <c r="P110">
        <f>N110*B110*-1</f>
        <v>55.000135364463219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-17.662718047151476</v>
      </c>
      <c r="C111" s="1">
        <f t="shared" ref="C111:C121" si="37">(-1*B96*SIN($B$64))+(C96*COS($B$64))</f>
        <v>5.2130767272894891</v>
      </c>
      <c r="D111" t="str">
        <f t="shared" si="35"/>
        <v>y</v>
      </c>
      <c r="E111" s="4">
        <f t="shared" si="32"/>
        <v>-2.248363493706937</v>
      </c>
      <c r="F111" s="1">
        <f t="shared" ref="F111:G121" si="38">IF($D111="y",B111,NA())</f>
        <v>-17.662718047151476</v>
      </c>
      <c r="G111" s="1">
        <f t="shared" si="38"/>
        <v>5.2130767272894891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4.2946375911449283E-4</v>
      </c>
      <c r="N111">
        <f t="shared" ref="N111:N121" si="42">IF(AND(M111&gt;0,D111="y",$E$60="y"),$B$53*M111*$E$59,0)</f>
        <v>1.5514051378830385</v>
      </c>
      <c r="O111">
        <f t="shared" ref="O111:O121" si="43">N111*C111</f>
        <v>8.087594018895409</v>
      </c>
      <c r="P111">
        <f t="shared" ref="P111:P121" si="44">N111*B111*-1</f>
        <v>27.402031527330266</v>
      </c>
    </row>
    <row r="112" spans="1:16" x14ac:dyDescent="0.25">
      <c r="A112">
        <f t="shared" si="35"/>
        <v>3</v>
      </c>
      <c r="B112" s="1">
        <f t="shared" si="36"/>
        <v>-11.23515945848512</v>
      </c>
      <c r="C112" s="1">
        <f t="shared" si="37"/>
        <v>6.1808011659916247</v>
      </c>
      <c r="D112" t="str">
        <f t="shared" si="35"/>
        <v>y</v>
      </c>
      <c r="E112" s="4">
        <f t="shared" si="32"/>
        <v>-3.2160879324090725</v>
      </c>
      <c r="F112" s="1">
        <f t="shared" si="38"/>
        <v>-11.23515945848512</v>
      </c>
      <c r="G112" s="1">
        <f t="shared" si="38"/>
        <v>6.1808011659916247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6.1431046045759584E-4</v>
      </c>
      <c r="N112">
        <f t="shared" si="42"/>
        <v>2.2191497754648317</v>
      </c>
      <c r="O112">
        <f t="shared" si="43"/>
        <v>13.716123519703084</v>
      </c>
      <c r="P112">
        <f t="shared" si="44"/>
        <v>24.932501589608833</v>
      </c>
    </row>
    <row r="113" spans="1:16" x14ac:dyDescent="0.25">
      <c r="A113">
        <f t="shared" si="35"/>
        <v>4</v>
      </c>
      <c r="B113" s="1">
        <f t="shared" si="36"/>
        <v>-12.206761810149317</v>
      </c>
      <c r="C113" s="1">
        <f t="shared" si="37"/>
        <v>2.3005964200741356</v>
      </c>
      <c r="D113" t="str">
        <f t="shared" si="35"/>
        <v>y</v>
      </c>
      <c r="E113" s="4">
        <f t="shared" si="32"/>
        <v>0.66411681350841656</v>
      </c>
      <c r="F113" s="1">
        <f t="shared" si="38"/>
        <v>-12.206761810149317</v>
      </c>
      <c r="G113" s="1">
        <f t="shared" si="38"/>
        <v>2.3005964200741356</v>
      </c>
      <c r="H113">
        <f t="shared" si="33"/>
        <v>-2.529621431783446</v>
      </c>
      <c r="I113">
        <f t="shared" si="39"/>
        <v>-5.8196380101038052</v>
      </c>
      <c r="J113">
        <f t="shared" si="40"/>
        <v>-30.878486287629404</v>
      </c>
      <c r="K113">
        <f t="shared" ca="1" si="45"/>
        <v>-4.1760472754579636</v>
      </c>
      <c r="L113">
        <f t="shared" ca="1" si="41"/>
        <v>-1.4400163018820565E-4</v>
      </c>
      <c r="M113">
        <f t="shared" si="34"/>
        <v>-1.268540892158959E-4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-5.4148523396088866</v>
      </c>
      <c r="C114" s="1">
        <f t="shared" si="37"/>
        <v>4.7233976384953298</v>
      </c>
      <c r="D114" t="str">
        <f t="shared" si="35"/>
        <v>y</v>
      </c>
      <c r="E114" s="4">
        <f t="shared" si="32"/>
        <v>-1.7586844049127777</v>
      </c>
      <c r="F114" s="1">
        <f t="shared" si="38"/>
        <v>-5.4148523396088866</v>
      </c>
      <c r="G114" s="1">
        <f t="shared" si="38"/>
        <v>4.7233976384953298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3.3592931825476651E-4</v>
      </c>
      <c r="N114">
        <f t="shared" si="42"/>
        <v>1.2135190903664863</v>
      </c>
      <c r="O114">
        <f t="shared" si="43"/>
        <v>5.7319332057060626</v>
      </c>
      <c r="P114">
        <f t="shared" si="44"/>
        <v>6.5710266856310167</v>
      </c>
    </row>
    <row r="115" spans="1:16" x14ac:dyDescent="0.25">
      <c r="A115">
        <f t="shared" si="35"/>
        <v>6</v>
      </c>
      <c r="B115" s="1">
        <f t="shared" si="36"/>
        <v>-6.750805573147157</v>
      </c>
      <c r="C115" s="1">
        <f t="shared" si="37"/>
        <v>-0.61188388714121733</v>
      </c>
      <c r="D115" t="str">
        <f t="shared" si="35"/>
        <v>y</v>
      </c>
      <c r="E115" s="4">
        <f t="shared" si="32"/>
        <v>3.5765971207237692</v>
      </c>
      <c r="F115" s="1">
        <f t="shared" si="38"/>
        <v>-6.750805573147157</v>
      </c>
      <c r="G115" s="1">
        <f t="shared" si="38"/>
        <v>-0.61188388714121733</v>
      </c>
      <c r="H115">
        <f t="shared" si="33"/>
        <v>-13.623261067042916</v>
      </c>
      <c r="I115">
        <f t="shared" si="39"/>
        <v>8.3358539372418274</v>
      </c>
      <c r="J115">
        <f t="shared" si="40"/>
        <v>-91.967986735832</v>
      </c>
      <c r="K115">
        <f t="shared" ca="1" si="45"/>
        <v>-22.490077585153632</v>
      </c>
      <c r="L115">
        <f t="shared" ca="1" si="41"/>
        <v>-7.7551991672943554E-4</v>
      </c>
      <c r="M115">
        <f t="shared" si="34"/>
        <v>-6.8317193754628442E-4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0.4054547792673463</v>
      </c>
      <c r="C116" s="1">
        <f t="shared" si="37"/>
        <v>3.2659941109990349</v>
      </c>
      <c r="D116" t="str">
        <f t="shared" si="35"/>
        <v>y</v>
      </c>
      <c r="E116" s="4">
        <f t="shared" si="32"/>
        <v>-0.3012808774164828</v>
      </c>
      <c r="F116" s="1">
        <f t="shared" si="38"/>
        <v>0.4054547792673463</v>
      </c>
      <c r="G116" s="1">
        <f t="shared" si="38"/>
        <v>3.2659941109990349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5.7548176051937201E-5</v>
      </c>
      <c r="N116">
        <f t="shared" si="42"/>
        <v>0.20788840526814109</v>
      </c>
      <c r="O116">
        <f t="shared" si="43"/>
        <v>0.6789623073507296</v>
      </c>
      <c r="P116">
        <f t="shared" si="44"/>
        <v>-8.4289347470234782E-2</v>
      </c>
    </row>
    <row r="117" spans="1:16" x14ac:dyDescent="0.25">
      <c r="A117">
        <f t="shared" si="35"/>
        <v>8</v>
      </c>
      <c r="B117" s="1">
        <f t="shared" si="36"/>
        <v>-1.2948493361449975</v>
      </c>
      <c r="C117" s="1">
        <f t="shared" si="37"/>
        <v>-3.5243641943565702</v>
      </c>
      <c r="D117" t="str">
        <f t="shared" si="35"/>
        <v>y</v>
      </c>
      <c r="E117" s="4">
        <f t="shared" si="32"/>
        <v>6.4890774279391223</v>
      </c>
      <c r="F117" s="1">
        <f t="shared" si="38"/>
        <v>-1.2948493361449975</v>
      </c>
      <c r="G117" s="1">
        <f t="shared" si="38"/>
        <v>-3.5243641943565702</v>
      </c>
      <c r="H117">
        <f t="shared" si="33"/>
        <v>-24.716900702302389</v>
      </c>
      <c r="I117">
        <f t="shared" si="39"/>
        <v>87.1113598306613</v>
      </c>
      <c r="J117">
        <f t="shared" si="40"/>
        <v>-32.004662465938075</v>
      </c>
      <c r="K117">
        <f t="shared" ca="1" si="45"/>
        <v>-40.804107894849309</v>
      </c>
      <c r="L117">
        <f t="shared" ca="1" si="41"/>
        <v>-1.4070382032706659E-3</v>
      </c>
      <c r="M117">
        <f t="shared" si="34"/>
        <v>-1.2394897858766731E-3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6.2257618981435794</v>
      </c>
      <c r="C118" s="1">
        <f t="shared" si="37"/>
        <v>1.80859058350274</v>
      </c>
      <c r="D118" t="str">
        <f t="shared" si="35"/>
        <v>y</v>
      </c>
      <c r="E118" s="4">
        <f t="shared" si="32"/>
        <v>1.1561226500798121</v>
      </c>
      <c r="F118" s="1">
        <f t="shared" si="38"/>
        <v>6.2257618981435794</v>
      </c>
      <c r="G118" s="1">
        <f t="shared" si="38"/>
        <v>1.80859058350274</v>
      </c>
      <c r="H118">
        <f t="shared" si="33"/>
        <v>-4.4036720256520088</v>
      </c>
      <c r="I118">
        <f t="shared" si="39"/>
        <v>-7.9644397584286599</v>
      </c>
      <c r="J118">
        <f t="shared" si="40"/>
        <v>27.416213509225031</v>
      </c>
      <c r="K118">
        <f t="shared" ca="1" si="45"/>
        <v>-7.2698398004041085</v>
      </c>
      <c r="L118">
        <f t="shared" ca="1" si="41"/>
        <v>-2.5068413104841755E-4</v>
      </c>
      <c r="M118">
        <f t="shared" si="34"/>
        <v>-2.2083296615089211E-4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4.1611069008571615</v>
      </c>
      <c r="C119" s="1">
        <f t="shared" si="37"/>
        <v>-6.4368445015719233</v>
      </c>
      <c r="D119" t="str">
        <f t="shared" si="35"/>
        <v>y</v>
      </c>
      <c r="E119" s="4">
        <f t="shared" si="32"/>
        <v>9.4015577351544763</v>
      </c>
      <c r="F119" s="1">
        <f t="shared" si="38"/>
        <v>4.1611069008571615</v>
      </c>
      <c r="G119" s="1">
        <f t="shared" si="38"/>
        <v>-6.4368445015719233</v>
      </c>
      <c r="H119">
        <f t="shared" si="33"/>
        <v>-35.810540337561861</v>
      </c>
      <c r="I119">
        <f t="shared" si="39"/>
        <v>230.50687967015463</v>
      </c>
      <c r="J119">
        <f t="shared" si="40"/>
        <v>149.01148652205239</v>
      </c>
      <c r="K119">
        <f t="shared" ca="1" si="45"/>
        <v>-59.118138204544977</v>
      </c>
      <c r="L119">
        <f t="shared" ca="1" si="41"/>
        <v>-2.0385564898118959E-3</v>
      </c>
      <c r="M119">
        <f t="shared" si="34"/>
        <v>-1.7958076342070618E-3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12.046069017019812</v>
      </c>
      <c r="C120" s="1">
        <f t="shared" si="37"/>
        <v>0.35118705600644518</v>
      </c>
      <c r="D120" t="str">
        <f t="shared" si="35"/>
        <v>y</v>
      </c>
      <c r="E120" s="4">
        <f t="shared" si="32"/>
        <v>2.6135261775761069</v>
      </c>
      <c r="F120" s="1">
        <f t="shared" si="38"/>
        <v>12.046069017019812</v>
      </c>
      <c r="G120" s="1">
        <f t="shared" si="38"/>
        <v>0.35118705600644518</v>
      </c>
      <c r="H120">
        <f t="shared" si="33"/>
        <v>-9.95492313528033</v>
      </c>
      <c r="I120">
        <f t="shared" si="39"/>
        <v>-3.4960401486495503</v>
      </c>
      <c r="J120">
        <f t="shared" si="40"/>
        <v>119.91769114671412</v>
      </c>
      <c r="K120">
        <f t="shared" ca="1" si="45"/>
        <v>-16.434170391721981</v>
      </c>
      <c r="L120">
        <f t="shared" ca="1" si="41"/>
        <v>-5.6669553074903379E-4</v>
      </c>
      <c r="M120">
        <f t="shared" si="34"/>
        <v>-4.9921410835372139E-4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9.6170631378593203</v>
      </c>
      <c r="C121" s="1">
        <f t="shared" si="37"/>
        <v>-9.3493248087872765</v>
      </c>
      <c r="D121" t="str">
        <f t="shared" si="35"/>
        <v>y</v>
      </c>
      <c r="E121" s="4">
        <f t="shared" si="32"/>
        <v>12.314038042369829</v>
      </c>
      <c r="F121" s="1">
        <f t="shared" si="38"/>
        <v>9.6170631378593203</v>
      </c>
      <c r="G121" s="1">
        <f t="shared" si="38"/>
        <v>-9.3493248087872765</v>
      </c>
      <c r="H121" s="23">
        <f t="shared" si="33"/>
        <v>-46.904179972821332</v>
      </c>
      <c r="I121" s="23">
        <f t="shared" si="39"/>
        <v>438.52241345572179</v>
      </c>
      <c r="J121" s="23">
        <f t="shared" si="40"/>
        <v>451.08046022813943</v>
      </c>
      <c r="K121">
        <f t="shared" ca="1" si="45"/>
        <v>-77.432168514240644</v>
      </c>
      <c r="L121">
        <f t="shared" ca="1" si="41"/>
        <v>-2.6700747763531256E-3</v>
      </c>
      <c r="M121">
        <f t="shared" si="34"/>
        <v>-2.3521254825374506E-3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12.314038042369829</v>
      </c>
      <c r="H122">
        <f>SUM(H110:H121)</f>
        <v>-137.94309867244428</v>
      </c>
      <c r="I122">
        <f t="shared" ref="I122:J122" si="46">SUM(I110:I121)</f>
        <v>747.19638897659752</v>
      </c>
      <c r="J122">
        <f t="shared" si="46"/>
        <v>592.57471591673152</v>
      </c>
      <c r="L122">
        <f ca="1">MIN(L110:L121)</f>
        <v>-2.6700747763531256E-3</v>
      </c>
      <c r="M122">
        <f>MIN(M110:M121)</f>
        <v>-2.3521254825374506E-3</v>
      </c>
      <c r="N122">
        <f>SUM(N110:N121)</f>
        <v>8.4167428695456739</v>
      </c>
      <c r="O122">
        <f>SUM(O110:O121)</f>
        <v>52.846146300997077</v>
      </c>
      <c r="P122">
        <f>SUM(P110:P121)</f>
        <v>113.8214058195631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2.9647132335825521</v>
      </c>
      <c r="F125" s="1" t="s">
        <v>27</v>
      </c>
      <c r="G125" s="1" t="s">
        <v>28</v>
      </c>
    </row>
    <row r="126" spans="1:16" x14ac:dyDescent="0.25">
      <c r="F126" s="4">
        <f>MIN(B84:B90)-1</f>
        <v>-20.967171301984294</v>
      </c>
      <c r="G126" s="4">
        <f>B125</f>
        <v>2.9647132335825521</v>
      </c>
    </row>
    <row r="127" spans="1:16" x14ac:dyDescent="0.25">
      <c r="F127" s="4">
        <f>MAX(B84:B90)+1</f>
        <v>17.412074938769397</v>
      </c>
      <c r="G127" s="4">
        <f>G126</f>
        <v>2.9647132335825521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-18.509767774488001</v>
      </c>
      <c r="C132" s="4">
        <f>C84</f>
        <v>10.064108242278762</v>
      </c>
      <c r="D132" s="4">
        <f t="shared" ref="D132:E139" si="47">B85</f>
        <v>-19.967171301984294</v>
      </c>
      <c r="E132" s="4">
        <f t="shared" si="47"/>
        <v>4.2438011234025286</v>
      </c>
      <c r="F132" s="4">
        <f t="shared" ref="F132:F139" si="48">($B$66/$B$65)*(C132-$B$125)</f>
        <v>5.5250000000000004</v>
      </c>
      <c r="G132" s="4">
        <f t="shared" ref="G132:G139" si="49">($B$66/$B$65)*(E132-$B$125)</f>
        <v>0.9954313828993725</v>
      </c>
      <c r="H132" s="4">
        <f>IF(B132=D132,"V",(C132-E132)/(B132-D132))</f>
        <v>3.9936139916410602</v>
      </c>
      <c r="I132" s="4">
        <f>IF(H132="V",0,(-1*B132*H132)+C132)</f>
        <v>83.984975808500849</v>
      </c>
      <c r="J132" s="4">
        <f>IF($F132&gt;=0,B132,IF(AND($F132&lt;0,$G132&gt;=0),IF(H132="V",B132,($B$125-I132)/H132),0))</f>
        <v>-18.509767774488001</v>
      </c>
      <c r="K132" s="4">
        <f>IF($F132&gt;=0,C132,IF(AND($F132&lt;0,$G132&gt;=0),$B$125,0))</f>
        <v>10.064108242278762</v>
      </c>
      <c r="L132" s="4">
        <f>IF($G132&gt;=0,D132,IF(AND($G132&lt;0,$F132&gt;=0),IF(H132="V",D132,($B$125-I132)/H132),0))</f>
        <v>-19.967171301984294</v>
      </c>
      <c r="M132" s="4">
        <f>IF($G132&gt;=0,E132,IF(AND($G132&lt;0,$F132&gt;=0),$B$125,0))</f>
        <v>4.2438011234025286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0.9954313828993725</v>
      </c>
      <c r="P132" s="4">
        <f>(1/6)*(M132-K132)*((N132*((2*J132)+L132))+(O132*(J132+(2*L132))))</f>
        <v>361.8568912825242</v>
      </c>
      <c r="Q132" s="4">
        <f>((1/12)*(M132-K132)*(N132*J132*((3*K132)+M132)+N132*L132*(K132+M132)+O132*J132*(K132+M132)+O132*L132*(K132+(3*M132))))</f>
        <v>2821.2960623225654</v>
      </c>
      <c r="R132" s="4">
        <f>((-1/24)*(M132-K132)*(J132*J132*((3*N132)+O132)+2*J132*L132*(N132+O132)+L132*L132*(N132+(3*O132))))</f>
        <v>3451.6663673409716</v>
      </c>
    </row>
    <row r="133" spans="1:18" x14ac:dyDescent="0.25">
      <c r="A133" t="s">
        <v>70</v>
      </c>
      <c r="B133" s="4">
        <f t="shared" ref="B133:C138" si="50">D132</f>
        <v>-19.967171301984294</v>
      </c>
      <c r="C133" s="4">
        <f t="shared" si="50"/>
        <v>4.2438011234025286</v>
      </c>
      <c r="D133" s="4">
        <f t="shared" si="47"/>
        <v>13.011466707944709</v>
      </c>
      <c r="E133" s="4">
        <f t="shared" si="47"/>
        <v>-12.261029533410218</v>
      </c>
      <c r="F133" s="4">
        <f t="shared" si="48"/>
        <v>0.9954313828993725</v>
      </c>
      <c r="G133" s="4">
        <f t="shared" si="49"/>
        <v>-11.849210909463672</v>
      </c>
      <c r="H133" s="4">
        <f t="shared" ref="H133:H139" si="51">IF(B133=D133,"V",(C133-E133)/(B133-D133))</f>
        <v>-0.50047035453203303</v>
      </c>
      <c r="I133" s="4">
        <f t="shared" ref="I133:I139" si="52">IF(H133="V",0,(-1*B133*H133)+C133)</f>
        <v>-5.7491761771033865</v>
      </c>
      <c r="J133" s="4">
        <f t="shared" ref="J133:J139" si="53">IF($F133&gt;=0,B133,IF(AND($F133&lt;0,$G133&gt;=0),IF(H133="V",B133,($B$125-I133)/H133),0))</f>
        <v>-19.967171301984294</v>
      </c>
      <c r="K133" s="4">
        <f t="shared" ref="K133:K139" si="54">IF($F133&gt;=0,C133,IF(AND($F133&lt;0,$G133&gt;=0),$B$125,0))</f>
        <v>4.2438011234025286</v>
      </c>
      <c r="L133" s="4">
        <f t="shared" ref="L133:L139" si="55">IF($G133&gt;=0,D133,IF(AND($G133&lt;0,$F133&gt;=0),IF(H133="V",D133,($B$125-I133)/H133),0))</f>
        <v>-17.411399759799757</v>
      </c>
      <c r="M133" s="4">
        <f t="shared" ref="M133:M139" si="56">IF($G133&gt;=0,E133,IF(AND($G133&lt;0,$F133&gt;=0),$B$125,0))</f>
        <v>2.9647132335825521</v>
      </c>
      <c r="N133" s="4">
        <f t="shared" ref="N133:O139" si="57">IF(F133&lt;0,IF($I$54="Linear",0,$B$66),IF($I$54="Linear",F133,$B$66))</f>
        <v>0.9954313828993725</v>
      </c>
      <c r="O133" s="4">
        <f t="shared" si="57"/>
        <v>0</v>
      </c>
      <c r="P133" s="4">
        <f t="shared" ref="P133:P139" si="58">(1/6)*(M133-K133)*((N133*((2*J133)+L133))+(O133*(J133+(2*L133))))</f>
        <v>12.169189234743722</v>
      </c>
      <c r="Q133" s="4">
        <f t="shared" ref="Q133:Q139" si="59">((1/12)*(M133-K133)*(N133*J133*((3*K133)+M133)+N133*L133*(K133+M133)+O133*J133*(K133+M133)+O133*L133*(K133+(3*M133))))</f>
        <v>46.570751064098722</v>
      </c>
      <c r="R133" s="4">
        <f t="shared" ref="R133:R139" si="60">((-1/24)*(M133-K133)*(J133*J133*((3*N133)+O133)+2*J133*L133*(N133+O133)+L133*L133*(N133+(3*O133))))</f>
        <v>116.42404275485561</v>
      </c>
    </row>
    <row r="134" spans="1:18" x14ac:dyDescent="0.25">
      <c r="A134" t="s">
        <v>71</v>
      </c>
      <c r="B134" s="4">
        <f t="shared" si="50"/>
        <v>13.011466707944709</v>
      </c>
      <c r="C134" s="4">
        <f t="shared" si="50"/>
        <v>-12.261029533410218</v>
      </c>
      <c r="D134" s="4">
        <f t="shared" si="47"/>
        <v>16.412074938769397</v>
      </c>
      <c r="E134" s="4">
        <f t="shared" si="47"/>
        <v>1.3196870773009932</v>
      </c>
      <c r="F134" s="4">
        <f t="shared" si="48"/>
        <v>-11.849210909463672</v>
      </c>
      <c r="G134" s="4">
        <f t="shared" si="49"/>
        <v>-1.2802174695622055</v>
      </c>
      <c r="H134" s="4">
        <f t="shared" si="51"/>
        <v>3.9936139916410562</v>
      </c>
      <c r="I134" s="4">
        <f t="shared" si="52"/>
        <v>-64.223805030030007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16.412074938769397</v>
      </c>
      <c r="C135" s="4">
        <f t="shared" si="50"/>
        <v>1.3196870773009932</v>
      </c>
      <c r="D135" s="4">
        <f t="shared" si="47"/>
        <v>-18.509767774488001</v>
      </c>
      <c r="E135" s="4">
        <f t="shared" si="47"/>
        <v>10.064108242278762</v>
      </c>
      <c r="F135" s="4">
        <f t="shared" si="48"/>
        <v>-1.2802174695622055</v>
      </c>
      <c r="G135" s="4">
        <f t="shared" si="49"/>
        <v>5.5250000000000004</v>
      </c>
      <c r="H135" s="4">
        <f t="shared" si="51"/>
        <v>-0.25039976374609008</v>
      </c>
      <c r="I135" s="4">
        <f t="shared" si="52"/>
        <v>5.4292667645519757</v>
      </c>
      <c r="J135" s="4">
        <f t="shared" si="53"/>
        <v>9.8424754644278565</v>
      </c>
      <c r="K135" s="4">
        <f t="shared" si="54"/>
        <v>2.9647132335825521</v>
      </c>
      <c r="L135" s="4">
        <f t="shared" si="55"/>
        <v>-18.509767774488001</v>
      </c>
      <c r="M135" s="4">
        <f t="shared" si="56"/>
        <v>10.064108242278762</v>
      </c>
      <c r="N135" s="4">
        <f t="shared" si="57"/>
        <v>0</v>
      </c>
      <c r="O135" s="4">
        <f t="shared" si="57"/>
        <v>5.5250000000000004</v>
      </c>
      <c r="P135" s="4">
        <f t="shared" si="58"/>
        <v>-177.66621384198521</v>
      </c>
      <c r="Q135" s="4">
        <f t="shared" si="59"/>
        <v>-1586.9218643859931</v>
      </c>
      <c r="R135" s="4">
        <f t="shared" si="60"/>
        <v>-1242.6621037489633</v>
      </c>
    </row>
    <row r="136" spans="1:18" x14ac:dyDescent="0.25">
      <c r="A136" t="s">
        <v>73</v>
      </c>
      <c r="B136" s="4">
        <f t="shared" si="50"/>
        <v>-18.509767774488001</v>
      </c>
      <c r="C136" s="4">
        <f t="shared" si="50"/>
        <v>10.064108242278762</v>
      </c>
      <c r="D136" s="4">
        <f t="shared" si="47"/>
        <v>-18.509767774488001</v>
      </c>
      <c r="E136" s="4">
        <f t="shared" si="47"/>
        <v>10.064108242278762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-18.509767774488001</v>
      </c>
      <c r="K136" s="4">
        <f t="shared" si="54"/>
        <v>10.064108242278762</v>
      </c>
      <c r="L136" s="4">
        <f t="shared" si="55"/>
        <v>-18.509767774488001</v>
      </c>
      <c r="M136" s="4">
        <f t="shared" si="56"/>
        <v>10.064108242278762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-18.509767774488001</v>
      </c>
      <c r="C137" s="4">
        <f t="shared" si="50"/>
        <v>10.064108242278762</v>
      </c>
      <c r="D137" s="4">
        <f t="shared" si="47"/>
        <v>-18.509767774488001</v>
      </c>
      <c r="E137" s="4">
        <f t="shared" si="47"/>
        <v>10.064108242278762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-18.509767774488001</v>
      </c>
      <c r="K137" s="4">
        <f t="shared" si="54"/>
        <v>10.064108242278762</v>
      </c>
      <c r="L137" s="4">
        <f t="shared" si="55"/>
        <v>-18.509767774488001</v>
      </c>
      <c r="M137" s="4">
        <f t="shared" si="56"/>
        <v>10.064108242278762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-18.509767774488001</v>
      </c>
      <c r="C138" s="4">
        <f t="shared" si="50"/>
        <v>10.064108242278762</v>
      </c>
      <c r="D138" s="4">
        <f t="shared" si="47"/>
        <v>-18.509767774488001</v>
      </c>
      <c r="E138" s="4">
        <f t="shared" si="47"/>
        <v>10.064108242278762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-18.509767774488001</v>
      </c>
      <c r="K138" s="4">
        <f t="shared" si="54"/>
        <v>10.064108242278762</v>
      </c>
      <c r="L138" s="4">
        <f t="shared" si="55"/>
        <v>-18.509767774488001</v>
      </c>
      <c r="M138" s="4">
        <f t="shared" si="56"/>
        <v>10.064108242278762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-18.509767774488001</v>
      </c>
      <c r="C139" s="4">
        <f>E138</f>
        <v>10.064108242278762</v>
      </c>
      <c r="D139" s="4">
        <f t="shared" si="47"/>
        <v>-18.509767774488001</v>
      </c>
      <c r="E139" s="4">
        <f t="shared" si="47"/>
        <v>10.064108242278762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-18.509767774488001</v>
      </c>
      <c r="K139" s="4">
        <f t="shared" si="54"/>
        <v>10.064108242278762</v>
      </c>
      <c r="L139" s="4">
        <f t="shared" si="55"/>
        <v>-18.509767774488001</v>
      </c>
      <c r="M139" s="4">
        <f t="shared" si="56"/>
        <v>10.064108242278762</v>
      </c>
      <c r="N139" s="4">
        <f t="shared" si="57"/>
        <v>5.5250000000000004</v>
      </c>
      <c r="O139" s="4">
        <f>IF(G139&lt;0,IF($I$54="Linear",0,$B$66),IF($I$54="Linear",G139,$B$66))</f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196.35986667528272</v>
      </c>
      <c r="Q140" s="4">
        <f>SUM(Q132:Q139)</f>
        <v>1280.9449490006709</v>
      </c>
      <c r="R140" s="4">
        <f>SUM(R132:R139)</f>
        <v>2325.4283063468638</v>
      </c>
    </row>
    <row r="142" spans="1:18" x14ac:dyDescent="0.25">
      <c r="O142" t="s">
        <v>96</v>
      </c>
      <c r="P142" s="1">
        <f>-1*R140/P140</f>
        <v>-11.842686317323635</v>
      </c>
    </row>
    <row r="143" spans="1:18" x14ac:dyDescent="0.25">
      <c r="O143" t="s">
        <v>97</v>
      </c>
      <c r="P143" s="1">
        <f>Q140/P140</f>
        <v>6.5234559927612388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-18.509767774488001</v>
      </c>
      <c r="C146" s="9">
        <f>J84</f>
        <v>10.064108242278762</v>
      </c>
      <c r="D146" s="9">
        <f t="shared" ref="D146:E153" si="61">I85</f>
        <v>-18.509767774488001</v>
      </c>
      <c r="E146">
        <f t="shared" si="61"/>
        <v>10.064108242278762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-18.509767774488001</v>
      </c>
      <c r="K146" s="4">
        <f>IF($F146&gt;=0,C146,IF(AND($F146&lt;0,$G146&gt;=0),$B$125,0))</f>
        <v>10.064108242278762</v>
      </c>
      <c r="L146" s="4">
        <f>IF($G146&gt;=0,D146,IF(AND($G146&lt;0,$F146&gt;=0),IF(H146="V",D146,($B$125-I146)/H146),0))</f>
        <v>-18.509767774488001</v>
      </c>
      <c r="M146" s="4">
        <f>IF($G146&gt;=0,E146,IF(AND($G146&lt;0,$F146&gt;=0),$B$125,0))</f>
        <v>10.064108242278762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-18.509767774488001</v>
      </c>
      <c r="C147">
        <f t="shared" si="62"/>
        <v>10.064108242278762</v>
      </c>
      <c r="D147" s="9">
        <f t="shared" si="61"/>
        <v>-18.509767774488001</v>
      </c>
      <c r="E147">
        <f t="shared" si="61"/>
        <v>10.064108242278762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-18.509767774488001</v>
      </c>
      <c r="K147" s="4">
        <f t="shared" ref="K147:K153" si="68">IF($F147&gt;=0,C147,IF(AND($F147&lt;0,$G147&gt;=0),$B$125,0))</f>
        <v>10.064108242278762</v>
      </c>
      <c r="L147" s="4">
        <f t="shared" ref="L147:L153" si="69">IF($G147&gt;=0,D147,IF(AND($G147&lt;0,$F147&gt;=0),IF(H147="V",D147,($B$125-I147)/H147),0))</f>
        <v>-18.509767774488001</v>
      </c>
      <c r="M147" s="4">
        <f t="shared" ref="M147:M153" si="70">IF($G147&gt;=0,E147,IF(AND($G147&lt;0,$F147&gt;=0),$B$125,0))</f>
        <v>10.064108242278762</v>
      </c>
      <c r="N147" s="4">
        <f t="shared" ref="N147:O153" si="71">IF(F147&lt;0,IF($I$54="Linear",0,$B$66),IF($I$54="Linear",F147,$B$66))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-18.509767774488001</v>
      </c>
      <c r="C148">
        <f t="shared" si="62"/>
        <v>10.064108242278762</v>
      </c>
      <c r="D148" s="9">
        <f t="shared" si="61"/>
        <v>-18.509767774488001</v>
      </c>
      <c r="E148">
        <f t="shared" si="61"/>
        <v>10.064108242278762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-18.509767774488001</v>
      </c>
      <c r="K148" s="4">
        <f t="shared" si="68"/>
        <v>10.064108242278762</v>
      </c>
      <c r="L148" s="4">
        <f t="shared" si="69"/>
        <v>-18.509767774488001</v>
      </c>
      <c r="M148" s="4">
        <f t="shared" si="70"/>
        <v>10.064108242278762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-18.509767774488001</v>
      </c>
      <c r="C149">
        <f t="shared" si="62"/>
        <v>10.064108242278762</v>
      </c>
      <c r="D149" s="9">
        <f t="shared" si="61"/>
        <v>-18.509767774488001</v>
      </c>
      <c r="E149">
        <f t="shared" si="61"/>
        <v>10.064108242278762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-18.509767774488001</v>
      </c>
      <c r="K149" s="4">
        <f t="shared" si="68"/>
        <v>10.064108242278762</v>
      </c>
      <c r="L149" s="4">
        <f t="shared" si="69"/>
        <v>-18.509767774488001</v>
      </c>
      <c r="M149" s="4">
        <f t="shared" si="70"/>
        <v>10.064108242278762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-18.509767774488001</v>
      </c>
      <c r="C150">
        <f t="shared" si="62"/>
        <v>10.064108242278762</v>
      </c>
      <c r="D150" s="9">
        <f t="shared" si="61"/>
        <v>-18.509767774488001</v>
      </c>
      <c r="E150">
        <f t="shared" si="61"/>
        <v>10.064108242278762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-18.509767774488001</v>
      </c>
      <c r="K150" s="4">
        <f t="shared" si="68"/>
        <v>10.064108242278762</v>
      </c>
      <c r="L150" s="4">
        <f t="shared" si="69"/>
        <v>-18.509767774488001</v>
      </c>
      <c r="M150" s="4">
        <f t="shared" si="70"/>
        <v>10.064108242278762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-18.509767774488001</v>
      </c>
      <c r="C151">
        <f t="shared" si="62"/>
        <v>10.064108242278762</v>
      </c>
      <c r="D151" s="9">
        <f t="shared" si="61"/>
        <v>-18.509767774488001</v>
      </c>
      <c r="E151">
        <f t="shared" si="61"/>
        <v>10.064108242278762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-18.509767774488001</v>
      </c>
      <c r="K151" s="4">
        <f t="shared" si="68"/>
        <v>10.064108242278762</v>
      </c>
      <c r="L151" s="4">
        <f t="shared" si="69"/>
        <v>-18.509767774488001</v>
      </c>
      <c r="M151" s="4">
        <f t="shared" si="70"/>
        <v>10.064108242278762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-18.509767774488001</v>
      </c>
      <c r="C152">
        <f t="shared" si="62"/>
        <v>10.064108242278762</v>
      </c>
      <c r="D152" s="9">
        <f t="shared" si="61"/>
        <v>-18.509767774488001</v>
      </c>
      <c r="E152">
        <f t="shared" si="61"/>
        <v>10.064108242278762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-18.509767774488001</v>
      </c>
      <c r="K152" s="4">
        <f t="shared" si="68"/>
        <v>10.064108242278762</v>
      </c>
      <c r="L152" s="4">
        <f t="shared" si="69"/>
        <v>-18.509767774488001</v>
      </c>
      <c r="M152" s="4">
        <f t="shared" si="70"/>
        <v>10.064108242278762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-18.509767774488001</v>
      </c>
      <c r="C153">
        <f t="shared" si="62"/>
        <v>10.064108242278762</v>
      </c>
      <c r="D153" s="9">
        <f t="shared" si="61"/>
        <v>-18.509767774488001</v>
      </c>
      <c r="E153">
        <f t="shared" si="61"/>
        <v>10.064108242278762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-18.509767774488001</v>
      </c>
      <c r="K153" s="4">
        <f t="shared" si="68"/>
        <v>10.064108242278762</v>
      </c>
      <c r="L153" s="4">
        <f t="shared" si="69"/>
        <v>-18.509767774488001</v>
      </c>
      <c r="M153" s="4">
        <f t="shared" si="70"/>
        <v>10.064108242278762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50.000025133292766</v>
      </c>
      <c r="C159" t="s">
        <v>36</v>
      </c>
    </row>
    <row r="160" spans="1:18" x14ac:dyDescent="0.25">
      <c r="A160" s="1" t="s">
        <v>106</v>
      </c>
      <c r="B160" s="4">
        <f>Q140+I122+Q154-O122</f>
        <v>1975.2951916762713</v>
      </c>
      <c r="C160" t="s">
        <v>102</v>
      </c>
    </row>
    <row r="161" spans="1:9" x14ac:dyDescent="0.25">
      <c r="A161" s="1" t="s">
        <v>107</v>
      </c>
      <c r="B161" s="4">
        <f>R140+J122+R154-P122</f>
        <v>2804.181616444032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50.000025133292766</v>
      </c>
      <c r="C164" t="s">
        <v>36</v>
      </c>
      <c r="E164" s="8">
        <f>B2-B164</f>
        <v>-2.5133292766099657E-5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-3200.0000675010883</v>
      </c>
      <c r="C165" t="s">
        <v>102</v>
      </c>
      <c r="E165" s="8">
        <f>B3+B165</f>
        <v>-6.7501088324206648E-5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1235.0000810749334</v>
      </c>
      <c r="C166" t="s">
        <v>102</v>
      </c>
      <c r="E166" s="8">
        <f>B4+B166</f>
        <v>8.1074933405034244E-5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-6.2718435937510151</v>
      </c>
      <c r="C169" s="3">
        <f ca="1">A169+B169</f>
        <v>-0.74684359375101472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2.6937875604317396E-8</v>
      </c>
      <c r="C175" s="27">
        <f>B65*SQRT(I175)</f>
        <v>1.0530104504557465E-7</v>
      </c>
      <c r="D175" s="27">
        <f>B66*SQRT(I175)</f>
        <v>8.1948993282407074E-8</v>
      </c>
      <c r="E175" s="27">
        <f>B67*SQRT(I175)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1.8161512296861471</v>
      </c>
      <c r="C176" s="3">
        <f>B65+C175</f>
        <v>7.0993951139972546</v>
      </c>
      <c r="D176" s="3">
        <f>D175+B66</f>
        <v>5.5250000819489937</v>
      </c>
      <c r="E176" s="3">
        <f>B67+E175</f>
        <v>46.904180668522748</v>
      </c>
      <c r="F176" s="16" t="s">
        <v>125</v>
      </c>
    </row>
    <row r="177" spans="1:13" x14ac:dyDescent="0.25">
      <c r="B177" s="27">
        <f>B176-B64</f>
        <v>2.6937875707844228E-8</v>
      </c>
      <c r="C177" s="27">
        <f>C176-B65</f>
        <v>1.0530104521677686E-7</v>
      </c>
      <c r="D177" s="27">
        <f>D176-B66</f>
        <v>8.1948993368996526E-8</v>
      </c>
      <c r="E177" s="27">
        <f>E176-B67</f>
        <v>6.9570141647545825E-7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18.50976768733608</v>
      </c>
      <c r="B181" s="25">
        <f>(d_alpha_p!E136-d_alpha_m!E136)/(2*B177)</f>
        <v>18.50976768733608</v>
      </c>
      <c r="C181" s="25">
        <f>(d_alpha_p!E137-d_alpha_m!E137)/(2*B177)</f>
        <v>18.50976768733608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2.5133292766099657E-5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6.7501088324206648E-5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-8.1074933405034244E-5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0.74684359375101472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18.50976768733608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18.50976768733608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18.50976768733608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18.50976768733608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18.50976768733608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18.50976768733608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49" workbookViewId="0">
      <selection activeCell="L63" sqref="L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3" x14ac:dyDescent="0.25">
      <c r="A51" s="10" t="s">
        <v>8</v>
      </c>
      <c r="B51" s="17">
        <f>'Rigid Bearing Plate Analysis'!B51</f>
        <v>5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3" x14ac:dyDescent="0.25">
      <c r="A63" s="16" t="s">
        <v>38</v>
      </c>
    </row>
    <row r="64" spans="1:13" ht="15.75" thickBot="1" x14ac:dyDescent="0.3">
      <c r="A64" s="11" t="s">
        <v>39</v>
      </c>
      <c r="B64" s="17">
        <f>'Rigid Bearing Plate Analysis'!B64</f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7.0993951139972546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46.904179972821332</v>
      </c>
      <c r="C67" t="s">
        <v>36</v>
      </c>
      <c r="D67" t="s">
        <v>122</v>
      </c>
      <c r="G67" s="20">
        <f ca="1">($B$56*$B$66*$B$55*$E$122)/$B$65</f>
        <v>41.318888196345533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-20.967171187665297</v>
      </c>
      <c r="R76">
        <f>Q76</f>
        <v>-20.967171187665297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20.967171187665297</v>
      </c>
      <c r="R77">
        <f>Q77</f>
        <v>20.967171187665297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-18.509767503382292</v>
      </c>
      <c r="C84" s="1">
        <f t="shared" ref="C84:C92" si="23">(-1*B73*SIN($B$64))+(C73*COS($B$64))</f>
        <v>10.064108740892586</v>
      </c>
      <c r="H84" s="1">
        <f t="shared" ref="H84:H92" si="24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0" x14ac:dyDescent="0.25">
      <c r="A85" s="1">
        <f t="shared" si="21"/>
        <v>2</v>
      </c>
      <c r="B85" s="4">
        <f t="shared" si="22"/>
        <v>-19.967171187665297</v>
      </c>
      <c r="C85" s="1">
        <f t="shared" si="23"/>
        <v>4.2438016612757101</v>
      </c>
      <c r="H85" s="1">
        <f t="shared" si="24"/>
        <v>2</v>
      </c>
      <c r="I85" s="4">
        <f t="shared" ref="I85:I92" si="25">(I74*COS($B$64))+(J74*SIN($B$64))</f>
        <v>-18.509767503382292</v>
      </c>
      <c r="J85" s="1">
        <f t="shared" ref="J85:J92" si="26">(-1*I74*SIN($B$64))+(J74*COS($B$64))</f>
        <v>10.064108740892586</v>
      </c>
    </row>
    <row r="86" spans="1:10" x14ac:dyDescent="0.25">
      <c r="A86" s="1">
        <f t="shared" si="21"/>
        <v>3</v>
      </c>
      <c r="B86" s="4">
        <f t="shared" si="22"/>
        <v>13.011466377658614</v>
      </c>
      <c r="C86" s="1">
        <f t="shared" si="23"/>
        <v>-12.26102988391149</v>
      </c>
      <c r="H86" s="1">
        <f t="shared" si="24"/>
        <v>3</v>
      </c>
      <c r="I86" s="4">
        <f t="shared" si="25"/>
        <v>-18.509767503382292</v>
      </c>
      <c r="J86" s="1">
        <f t="shared" si="26"/>
        <v>10.064108740892586</v>
      </c>
    </row>
    <row r="87" spans="1:10" x14ac:dyDescent="0.25">
      <c r="A87" s="1">
        <f t="shared" si="21"/>
        <v>4</v>
      </c>
      <c r="B87" s="4">
        <f t="shared" si="22"/>
        <v>16.412074974318958</v>
      </c>
      <c r="C87" s="1">
        <f t="shared" si="23"/>
        <v>1.3196866351945546</v>
      </c>
      <c r="H87" s="1">
        <f t="shared" si="24"/>
        <v>4</v>
      </c>
      <c r="I87" s="4">
        <f t="shared" si="25"/>
        <v>-18.509767503382292</v>
      </c>
      <c r="J87" s="1">
        <f t="shared" si="26"/>
        <v>10.064108740892586</v>
      </c>
    </row>
    <row r="88" spans="1:10" x14ac:dyDescent="0.25">
      <c r="A88" s="1">
        <f t="shared" si="21"/>
        <v>5</v>
      </c>
      <c r="B88" s="4">
        <f t="shared" si="22"/>
        <v>-18.509767503382292</v>
      </c>
      <c r="C88" s="1">
        <f t="shared" si="23"/>
        <v>10.064108740892586</v>
      </c>
      <c r="H88" s="1">
        <f t="shared" si="24"/>
        <v>5</v>
      </c>
      <c r="I88" s="4">
        <f t="shared" si="25"/>
        <v>-18.509767503382292</v>
      </c>
      <c r="J88" s="1">
        <f t="shared" si="26"/>
        <v>10.064108740892586</v>
      </c>
    </row>
    <row r="89" spans="1:10" x14ac:dyDescent="0.25">
      <c r="A89" s="1">
        <f t="shared" si="21"/>
        <v>6</v>
      </c>
      <c r="B89" s="4">
        <f t="shared" si="22"/>
        <v>-18.509767503382292</v>
      </c>
      <c r="C89" s="1">
        <f t="shared" si="23"/>
        <v>10.064108740892586</v>
      </c>
      <c r="H89" s="1">
        <f t="shared" si="24"/>
        <v>6</v>
      </c>
      <c r="I89" s="4">
        <f t="shared" si="25"/>
        <v>-18.509767503382292</v>
      </c>
      <c r="J89" s="1">
        <f t="shared" si="26"/>
        <v>10.064108740892586</v>
      </c>
    </row>
    <row r="90" spans="1:10" x14ac:dyDescent="0.25">
      <c r="A90" s="1">
        <f t="shared" si="21"/>
        <v>7</v>
      </c>
      <c r="B90" s="4">
        <f t="shared" si="22"/>
        <v>-18.509767503382292</v>
      </c>
      <c r="C90" s="1">
        <f t="shared" si="23"/>
        <v>10.064108740892586</v>
      </c>
      <c r="H90" s="1">
        <f t="shared" si="24"/>
        <v>7</v>
      </c>
      <c r="I90" s="4">
        <f t="shared" si="25"/>
        <v>-18.509767503382292</v>
      </c>
      <c r="J90" s="1">
        <f t="shared" si="26"/>
        <v>10.064108740892586</v>
      </c>
    </row>
    <row r="91" spans="1:10" x14ac:dyDescent="0.25">
      <c r="A91" s="1">
        <f t="shared" si="21"/>
        <v>8</v>
      </c>
      <c r="B91" s="4">
        <f t="shared" si="22"/>
        <v>-18.509767503382292</v>
      </c>
      <c r="C91" s="1">
        <f t="shared" si="23"/>
        <v>10.064108740892586</v>
      </c>
      <c r="H91" s="1">
        <f t="shared" si="24"/>
        <v>8</v>
      </c>
      <c r="I91" s="4">
        <f t="shared" si="25"/>
        <v>-18.509767503382292</v>
      </c>
      <c r="J91" s="1">
        <f t="shared" si="26"/>
        <v>10.064108740892586</v>
      </c>
    </row>
    <row r="92" spans="1:10" x14ac:dyDescent="0.25">
      <c r="A92" s="1">
        <f t="shared" si="21"/>
        <v>9</v>
      </c>
      <c r="B92" s="4">
        <f t="shared" si="22"/>
        <v>-18.509767503382292</v>
      </c>
      <c r="C92" s="1">
        <f t="shared" si="23"/>
        <v>10.064108740892586</v>
      </c>
      <c r="H92" s="1">
        <f t="shared" si="24"/>
        <v>9</v>
      </c>
      <c r="I92" s="4">
        <f t="shared" si="25"/>
        <v>-18.509767503382292</v>
      </c>
      <c r="J92" s="1">
        <f t="shared" si="26"/>
        <v>10.064108740892586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31">D95</f>
        <v>y</v>
      </c>
      <c r="E110" s="4">
        <f t="shared" ref="E110:E121" si="32">IF($D110="y",$B$125-C110,0)</f>
        <v>-4.6734915260306282</v>
      </c>
      <c r="F110" s="1">
        <f>IF($D110="y",B110,NA())</f>
        <v>-17.055466371604336</v>
      </c>
      <c r="G110" s="1">
        <f>IF($D110="y",C110,NA())</f>
        <v>7.6382051529259591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8.9269160205036815E-4</v>
      </c>
      <c r="N110">
        <f>IF(AND(M110&gt;0,D110="y",$E$60="y"),$B$53*M110*$E$59,0)</f>
        <v>3.2247804583593926</v>
      </c>
      <c r="O110">
        <f>N110*C110</f>
        <v>24.63153471409565</v>
      </c>
      <c r="P110">
        <f>N110*B110*-1</f>
        <v>55.000134663355439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-17.662717906722257</v>
      </c>
      <c r="C111" s="1">
        <f t="shared" ref="C111:C121" si="37">(-1*B96*SIN($B$64))+(C96*COS($B$64))</f>
        <v>5.2130772030855939</v>
      </c>
      <c r="D111" t="str">
        <f t="shared" si="35"/>
        <v>y</v>
      </c>
      <c r="E111" s="4">
        <f t="shared" si="32"/>
        <v>-2.2483635761902629</v>
      </c>
      <c r="F111" s="1">
        <f t="shared" ref="F111:G121" si="38">IF($D111="y",B111,NA())</f>
        <v>-17.662717906722257</v>
      </c>
      <c r="G111" s="1">
        <f t="shared" si="38"/>
        <v>5.2130772030855939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4.2946376849979699E-4</v>
      </c>
      <c r="N111">
        <f t="shared" ref="N111:N121" si="42">IF(AND(M111&gt;0,D111="y",$E$60="y"),$B$53*M111*$E$59,0)</f>
        <v>1.5514051717867354</v>
      </c>
      <c r="O111">
        <f t="shared" ref="O111:O121" si="43">N111*C111</f>
        <v>8.0875949337905197</v>
      </c>
      <c r="P111">
        <f t="shared" ref="P111:P121" si="44">N111*B111*-1</f>
        <v>27.40203190829909</v>
      </c>
    </row>
    <row r="112" spans="1:16" x14ac:dyDescent="0.25">
      <c r="A112">
        <f t="shared" si="35"/>
        <v>3</v>
      </c>
      <c r="B112" s="1">
        <f t="shared" si="36"/>
        <v>-11.235159291987461</v>
      </c>
      <c r="C112" s="1">
        <f t="shared" si="37"/>
        <v>6.1808014686429535</v>
      </c>
      <c r="D112" t="str">
        <f t="shared" si="35"/>
        <v>y</v>
      </c>
      <c r="E112" s="4">
        <f t="shared" si="32"/>
        <v>-3.2160878417476226</v>
      </c>
      <c r="F112" s="1">
        <f t="shared" si="38"/>
        <v>-11.235159291987461</v>
      </c>
      <c r="G112" s="1">
        <f t="shared" si="38"/>
        <v>6.1808014686429535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6.1431043402850082E-4</v>
      </c>
      <c r="N112">
        <f t="shared" si="42"/>
        <v>2.2191496799917378</v>
      </c>
      <c r="O112">
        <f t="shared" si="43"/>
        <v>13.716123601231473</v>
      </c>
      <c r="P112">
        <f t="shared" si="44"/>
        <v>24.932500147470176</v>
      </c>
    </row>
    <row r="113" spans="1:16" x14ac:dyDescent="0.25">
      <c r="A113">
        <f t="shared" si="35"/>
        <v>4</v>
      </c>
      <c r="B113" s="1">
        <f t="shared" si="36"/>
        <v>-12.206761748176131</v>
      </c>
      <c r="C113" s="1">
        <f t="shared" si="37"/>
        <v>2.3005967488983701</v>
      </c>
      <c r="D113" t="str">
        <f t="shared" si="35"/>
        <v>y</v>
      </c>
      <c r="E113" s="4">
        <f t="shared" si="32"/>
        <v>0.66411687799696084</v>
      </c>
      <c r="F113" s="1">
        <f t="shared" si="38"/>
        <v>-12.206761748176131</v>
      </c>
      <c r="G113" s="1">
        <f t="shared" si="38"/>
        <v>2.3005967488983701</v>
      </c>
      <c r="H113">
        <f t="shared" si="33"/>
        <v>-2.5296215434054687</v>
      </c>
      <c r="I113">
        <f t="shared" si="39"/>
        <v>-5.8196390987018987</v>
      </c>
      <c r="J113">
        <f t="shared" si="40"/>
        <v>-30.878487493404144</v>
      </c>
      <c r="K113">
        <f t="shared" ca="1" si="45"/>
        <v>-4.1760474597301389</v>
      </c>
      <c r="L113">
        <f t="shared" ca="1" si="41"/>
        <v>-1.4400163654241859E-4</v>
      </c>
      <c r="M113">
        <f t="shared" si="34"/>
        <v>-1.2685409965241273E-4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-5.4148522123705849</v>
      </c>
      <c r="C114" s="1">
        <f t="shared" si="37"/>
        <v>4.7233977843599479</v>
      </c>
      <c r="D114" t="str">
        <f t="shared" si="35"/>
        <v>y</v>
      </c>
      <c r="E114" s="4">
        <f t="shared" si="32"/>
        <v>-1.758684157464617</v>
      </c>
      <c r="F114" s="1">
        <f t="shared" si="38"/>
        <v>-5.4148522123705849</v>
      </c>
      <c r="G114" s="1">
        <f t="shared" si="38"/>
        <v>4.7233977843599479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3.3592926600663361E-4</v>
      </c>
      <c r="N114">
        <f t="shared" si="42"/>
        <v>1.2135189016240835</v>
      </c>
      <c r="O114">
        <f t="shared" si="43"/>
        <v>5.7319324912101139</v>
      </c>
      <c r="P114">
        <f t="shared" si="44"/>
        <v>6.5710255092126904</v>
      </c>
    </row>
    <row r="115" spans="1:16" x14ac:dyDescent="0.25">
      <c r="A115">
        <f t="shared" si="35"/>
        <v>6</v>
      </c>
      <c r="B115" s="1">
        <f t="shared" si="36"/>
        <v>-6.7508055896300068</v>
      </c>
      <c r="C115" s="1">
        <f t="shared" si="37"/>
        <v>-0.61188370528885416</v>
      </c>
      <c r="D115" t="str">
        <f t="shared" si="35"/>
        <v>y</v>
      </c>
      <c r="E115" s="4">
        <f t="shared" si="32"/>
        <v>3.5765973321841851</v>
      </c>
      <c r="F115" s="1">
        <f t="shared" si="38"/>
        <v>-6.7508055896300068</v>
      </c>
      <c r="G115" s="1">
        <f t="shared" si="38"/>
        <v>-0.61188370528885416</v>
      </c>
      <c r="H115">
        <f t="shared" si="33"/>
        <v>-13.623261150759435</v>
      </c>
      <c r="I115">
        <f t="shared" si="39"/>
        <v>8.3358515110443818</v>
      </c>
      <c r="J115">
        <f t="shared" si="40"/>
        <v>-91.967987525536103</v>
      </c>
      <c r="K115">
        <f t="shared" ca="1" si="45"/>
        <v>-22.490077723357764</v>
      </c>
      <c r="L115">
        <f t="shared" ca="1" si="41"/>
        <v>-7.755199214950953E-4</v>
      </c>
      <c r="M115">
        <f t="shared" si="34"/>
        <v>-6.8317196780462257E-4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0.40545486724629032</v>
      </c>
      <c r="C116" s="1">
        <f t="shared" si="37"/>
        <v>3.2659941000769432</v>
      </c>
      <c r="D116" t="str">
        <f t="shared" si="35"/>
        <v>y</v>
      </c>
      <c r="E116" s="4">
        <f t="shared" si="32"/>
        <v>-0.30128047318161233</v>
      </c>
      <c r="F116" s="1">
        <f t="shared" si="38"/>
        <v>0.40545486724629032</v>
      </c>
      <c r="G116" s="1">
        <f t="shared" si="38"/>
        <v>3.2659941000769432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5.7548097984766492E-5</v>
      </c>
      <c r="N116">
        <f t="shared" si="42"/>
        <v>0.20788812325642958</v>
      </c>
      <c r="O116">
        <f t="shared" si="43"/>
        <v>0.67896138403156736</v>
      </c>
      <c r="P116">
        <f t="shared" si="44"/>
        <v>-8.4289251417016098E-2</v>
      </c>
    </row>
    <row r="117" spans="1:16" x14ac:dyDescent="0.25">
      <c r="A117">
        <f t="shared" si="35"/>
        <v>8</v>
      </c>
      <c r="B117" s="1">
        <f t="shared" si="36"/>
        <v>-1.2948494310838825</v>
      </c>
      <c r="C117" s="1">
        <f t="shared" si="37"/>
        <v>-3.524364159476078</v>
      </c>
      <c r="D117" t="str">
        <f t="shared" si="35"/>
        <v>y</v>
      </c>
      <c r="E117" s="4">
        <f t="shared" si="32"/>
        <v>6.4890777863714089</v>
      </c>
      <c r="F117" s="1">
        <f t="shared" si="38"/>
        <v>-1.2948494310838825</v>
      </c>
      <c r="G117" s="1">
        <f t="shared" si="38"/>
        <v>-3.524364159476078</v>
      </c>
      <c r="H117">
        <f t="shared" si="33"/>
        <v>-24.7169007581134</v>
      </c>
      <c r="I117">
        <f t="shared" si="39"/>
        <v>87.11135916522197</v>
      </c>
      <c r="J117">
        <f t="shared" si="40"/>
        <v>-32.004664884799922</v>
      </c>
      <c r="K117">
        <f t="shared" ca="1" si="45"/>
        <v>-40.804107986985393</v>
      </c>
      <c r="L117">
        <f t="shared" ca="1" si="41"/>
        <v>-1.4070382064477723E-3</v>
      </c>
      <c r="M117">
        <f t="shared" si="34"/>
        <v>-1.2394898359568323E-3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6.225761946863166</v>
      </c>
      <c r="C118" s="1">
        <f t="shared" si="37"/>
        <v>1.8085904157939381</v>
      </c>
      <c r="D118" t="str">
        <f t="shared" si="35"/>
        <v>y</v>
      </c>
      <c r="E118" s="4">
        <f t="shared" si="32"/>
        <v>1.1561232111013928</v>
      </c>
      <c r="F118" s="1">
        <f t="shared" si="38"/>
        <v>6.225761946863166</v>
      </c>
      <c r="G118" s="1">
        <f t="shared" si="38"/>
        <v>1.8085904157939381</v>
      </c>
      <c r="H118">
        <f t="shared" si="33"/>
        <v>-4.4036739292847411</v>
      </c>
      <c r="I118">
        <f t="shared" si="39"/>
        <v>-7.9644424627860149</v>
      </c>
      <c r="J118">
        <f t="shared" si="40"/>
        <v>27.416225575334337</v>
      </c>
      <c r="K118">
        <f t="shared" ca="1" si="45"/>
        <v>-7.2698429430325611</v>
      </c>
      <c r="L118">
        <f t="shared" ca="1" si="41"/>
        <v>-2.5068423941491589E-4</v>
      </c>
      <c r="M118">
        <f t="shared" si="34"/>
        <v>-2.2083307003710069E-4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4.1611067274622418</v>
      </c>
      <c r="C119" s="1">
        <f t="shared" si="37"/>
        <v>-6.4368446136633022</v>
      </c>
      <c r="D119" t="str">
        <f t="shared" si="35"/>
        <v>y</v>
      </c>
      <c r="E119" s="4">
        <f t="shared" si="32"/>
        <v>9.4015582405586322</v>
      </c>
      <c r="F119" s="1">
        <f t="shared" si="38"/>
        <v>4.1611067274622418</v>
      </c>
      <c r="G119" s="1">
        <f t="shared" si="38"/>
        <v>-6.4368446136633022</v>
      </c>
      <c r="H119">
        <f t="shared" si="33"/>
        <v>-35.810540365467361</v>
      </c>
      <c r="I119">
        <f t="shared" si="39"/>
        <v>230.50688386383084</v>
      </c>
      <c r="J119">
        <f t="shared" si="40"/>
        <v>149.01148042880439</v>
      </c>
      <c r="K119">
        <f t="shared" ca="1" si="45"/>
        <v>-59.118138250613015</v>
      </c>
      <c r="L119">
        <f t="shared" ca="1" si="41"/>
        <v>-2.0385564914004489E-3</v>
      </c>
      <c r="M119">
        <f t="shared" si="34"/>
        <v>-1.7958077041090419E-3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12.046069026480041</v>
      </c>
      <c r="C120" s="1">
        <f t="shared" si="37"/>
        <v>0.35118673151093294</v>
      </c>
      <c r="D120" t="str">
        <f t="shared" si="35"/>
        <v>y</v>
      </c>
      <c r="E120" s="4">
        <f t="shared" si="32"/>
        <v>2.613526895384398</v>
      </c>
      <c r="F120" s="1">
        <f t="shared" si="38"/>
        <v>12.046069026480041</v>
      </c>
      <c r="G120" s="1">
        <f t="shared" si="38"/>
        <v>0.35118673151093294</v>
      </c>
      <c r="H120">
        <f t="shared" si="33"/>
        <v>-9.9549253420182442</v>
      </c>
      <c r="I120">
        <f t="shared" si="39"/>
        <v>-3.4960376932987431</v>
      </c>
      <c r="J120">
        <f t="shared" si="40"/>
        <v>119.9177178234072</v>
      </c>
      <c r="K120">
        <f t="shared" ca="1" si="45"/>
        <v>-16.434174034734227</v>
      </c>
      <c r="L120">
        <f t="shared" ca="1" si="41"/>
        <v>-5.6669565637014572E-4</v>
      </c>
      <c r="M120">
        <f t="shared" si="34"/>
        <v>-4.9921423805896782E-4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9.617062886008366</v>
      </c>
      <c r="C121" s="1">
        <f t="shared" si="37"/>
        <v>-9.3493250678505255</v>
      </c>
      <c r="D121" t="str">
        <f t="shared" si="35"/>
        <v>y</v>
      </c>
      <c r="E121" s="4">
        <f t="shared" si="32"/>
        <v>12.314038694745857</v>
      </c>
      <c r="F121" s="1">
        <f t="shared" si="38"/>
        <v>9.617062886008366</v>
      </c>
      <c r="G121" s="1">
        <f t="shared" si="38"/>
        <v>-9.3493250678505255</v>
      </c>
      <c r="H121" s="23">
        <f t="shared" si="33"/>
        <v>-46.904179972821332</v>
      </c>
      <c r="I121" s="23">
        <f t="shared" si="39"/>
        <v>438.52242560687108</v>
      </c>
      <c r="J121" s="23">
        <f t="shared" si="40"/>
        <v>451.08044841527692</v>
      </c>
      <c r="K121">
        <f t="shared" ca="1" si="45"/>
        <v>-77.432168514240644</v>
      </c>
      <c r="L121">
        <f t="shared" ca="1" si="41"/>
        <v>-2.6700747763531256E-3</v>
      </c>
      <c r="M121">
        <f t="shared" si="34"/>
        <v>-2.3521255722612519E-3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12.314038694745857</v>
      </c>
      <c r="H122">
        <f>SUM(H110:H121)</f>
        <v>-137.94310306186998</v>
      </c>
      <c r="I122">
        <f t="shared" ref="I122:J122" si="46">SUM(I110:I121)</f>
        <v>747.1964008921816</v>
      </c>
      <c r="J122">
        <f t="shared" si="46"/>
        <v>592.57473233908263</v>
      </c>
      <c r="L122">
        <f ca="1">MIN(L110:L121)</f>
        <v>-2.6700747763531256E-3</v>
      </c>
      <c r="M122">
        <f>MIN(M110:M121)</f>
        <v>-2.3521255722612519E-3</v>
      </c>
      <c r="N122">
        <f>SUM(N110:N121)</f>
        <v>8.4167423350183785</v>
      </c>
      <c r="O122">
        <f>SUM(O110:O121)</f>
        <v>52.846147124359327</v>
      </c>
      <c r="P122">
        <f>SUM(P110:P121)</f>
        <v>113.82140297692038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2.9647136268953309</v>
      </c>
      <c r="F125" s="1" t="s">
        <v>27</v>
      </c>
      <c r="G125" s="1" t="s">
        <v>28</v>
      </c>
    </row>
    <row r="126" spans="1:16" x14ac:dyDescent="0.25">
      <c r="F126" s="4">
        <f>MIN(B84:B90)-1</f>
        <v>-20.967171187665297</v>
      </c>
      <c r="G126" s="4">
        <f>B125</f>
        <v>2.9647136268953309</v>
      </c>
    </row>
    <row r="127" spans="1:16" x14ac:dyDescent="0.25">
      <c r="F127" s="4">
        <f>MAX(B84:B90)+1</f>
        <v>17.412074974318958</v>
      </c>
      <c r="G127" s="4">
        <f>G126</f>
        <v>2.9647136268953309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47">B85</f>
        <v>-19.967171187665297</v>
      </c>
      <c r="E132" s="4">
        <f t="shared" si="47"/>
        <v>4.2438016612757101</v>
      </c>
      <c r="F132" s="4">
        <f t="shared" ref="F132:F139" si="48">($B$66/$B$65)*(C132-$B$125)</f>
        <v>5.5250000000000004</v>
      </c>
      <c r="G132" s="4">
        <f t="shared" ref="G132:G139" si="49">($B$66/$B$65)*(E132-$B$125)</f>
        <v>0.99543148063675002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0.99543148063675002</v>
      </c>
      <c r="P132" s="4">
        <f>(1/6)*(M132-K132)*((N132*((2*J132)+L132))+(O132*(J132+(2*L132))))</f>
        <v>361.85689038155596</v>
      </c>
      <c r="Q132" s="4">
        <f>((1/12)*(M132-K132)*(N132*J132*((3*K132)+M132)+N132*L132*(K132+M132)+O132*J132*(K132+M132)+O132*L132*(K132+(3*M132))))</f>
        <v>2821.2962308529404</v>
      </c>
      <c r="R132" s="4">
        <f>((-1/24)*(M132-K132)*(J132*J132*((3*N132)+O132)+2*J132*L132*(N132+O132)+L132*L132*(N132+(3*O132))))</f>
        <v>3451.6663220498367</v>
      </c>
    </row>
    <row r="133" spans="1:18" x14ac:dyDescent="0.25">
      <c r="A133" t="s">
        <v>70</v>
      </c>
      <c r="B133" s="4">
        <f t="shared" ref="B133:C138" si="50">D132</f>
        <v>-19.967171187665297</v>
      </c>
      <c r="C133" s="4">
        <f t="shared" si="50"/>
        <v>4.2438016612757101</v>
      </c>
      <c r="D133" s="4">
        <f t="shared" si="47"/>
        <v>13.011466377658614</v>
      </c>
      <c r="E133" s="4">
        <f t="shared" si="47"/>
        <v>-12.26102988391149</v>
      </c>
      <c r="F133" s="4">
        <f t="shared" si="48"/>
        <v>0.99543148063675002</v>
      </c>
      <c r="G133" s="4">
        <f t="shared" si="49"/>
        <v>-11.849211312573837</v>
      </c>
      <c r="H133" s="4">
        <f t="shared" ref="H133:H139" si="51">IF(B133=D133,"V",(C133-E133)/(B133-D133))</f>
        <v>-0.50047038821705481</v>
      </c>
      <c r="I133" s="4">
        <f t="shared" ref="I133:I139" si="52">IF(H133="V",0,(-1*B133*H133)+C133)</f>
        <v>-5.749176254611533</v>
      </c>
      <c r="J133" s="4">
        <f t="shared" ref="J133:J139" si="53">IF($F133&gt;=0,B133,IF(AND($F133&lt;0,$G133&gt;=0),IF(H133="V",B133,($B$125-I133)/H133),0))</f>
        <v>-19.967171187665297</v>
      </c>
      <c r="K133" s="4">
        <f t="shared" ref="K133:K139" si="54">IF($F133&gt;=0,C133,IF(AND($F133&lt;0,$G133&gt;=0),$B$125,0))</f>
        <v>4.2438016612757101</v>
      </c>
      <c r="L133" s="4">
        <f t="shared" ref="L133:L139" si="55">IF($G133&gt;=0,D133,IF(AND($G133&lt;0,$F133&gt;=0),IF(H133="V",D133,($B$125-I133)/H133),0))</f>
        <v>-17.411399528652304</v>
      </c>
      <c r="M133" s="4">
        <f t="shared" ref="M133:M139" si="56">IF($G133&gt;=0,E133,IF(AND($G133&lt;0,$F133&gt;=0),$B$125,0))</f>
        <v>2.9647136268953309</v>
      </c>
      <c r="N133" s="4">
        <f t="shared" ref="N133:O139" si="57">IF(F133&lt;0,IF($I$54="Linear",0,$B$66),IF($I$54="Linear",F133,$B$66))</f>
        <v>0.99543148063675002</v>
      </c>
      <c r="O133" s="4">
        <f t="shared" si="57"/>
        <v>0</v>
      </c>
      <c r="P133" s="4">
        <f t="shared" ref="P133:P139" si="58">(1/6)*(M133-K133)*((N133*((2*J133)+L133))+(O133*(J133+(2*L133))))</f>
        <v>12.169191707359088</v>
      </c>
      <c r="Q133" s="4">
        <f t="shared" ref="Q133:Q139" si="59">((1/12)*(M133-K133)*(N133*J133*((3*K133)+M133)+N133*L133*(K133+M133)+O133*J133*(K133+M133)+O133*L133*(K133+(3*M133))))</f>
        <v>46.570766505014923</v>
      </c>
      <c r="R133" s="4">
        <f t="shared" ref="R133:R139" si="60">((-1/24)*(M133-K133)*(J133*J133*((3*N133)+O133)+2*J133*L133*(N133+O133)+L133*L133*(N133+(3*O133))))</f>
        <v>116.42406548960351</v>
      </c>
    </row>
    <row r="134" spans="1:18" x14ac:dyDescent="0.25">
      <c r="A134" t="s">
        <v>71</v>
      </c>
      <c r="B134" s="4">
        <f t="shared" si="50"/>
        <v>13.011466377658614</v>
      </c>
      <c r="C134" s="4">
        <f t="shared" si="50"/>
        <v>-12.26102988391149</v>
      </c>
      <c r="D134" s="4">
        <f t="shared" si="47"/>
        <v>16.412074974318958</v>
      </c>
      <c r="E134" s="4">
        <f t="shared" si="47"/>
        <v>1.3196866351945546</v>
      </c>
      <c r="F134" s="4">
        <f t="shared" si="48"/>
        <v>-11.849211312573837</v>
      </c>
      <c r="G134" s="4">
        <f t="shared" si="49"/>
        <v>-1.2802181007262508</v>
      </c>
      <c r="H134" s="4">
        <f t="shared" si="51"/>
        <v>3.9936135350723214</v>
      </c>
      <c r="I134" s="4">
        <f t="shared" si="52"/>
        <v>-64.223798120867372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16.412074974318958</v>
      </c>
      <c r="C135" s="4">
        <f t="shared" si="50"/>
        <v>1.3196866351945546</v>
      </c>
      <c r="D135" s="4">
        <f t="shared" si="47"/>
        <v>-18.509767503382292</v>
      </c>
      <c r="E135" s="4">
        <f t="shared" si="47"/>
        <v>10.064108740892586</v>
      </c>
      <c r="F135" s="4">
        <f t="shared" si="48"/>
        <v>-1.2802181007262508</v>
      </c>
      <c r="G135" s="4">
        <f t="shared" si="49"/>
        <v>5.5250000000000004</v>
      </c>
      <c r="H135" s="4">
        <f t="shared" si="51"/>
        <v>-0.25039979237297216</v>
      </c>
      <c r="I135" s="4">
        <f t="shared" si="52"/>
        <v>5.4292668011736742</v>
      </c>
      <c r="J135" s="4">
        <f t="shared" si="53"/>
        <v>9.8424729147034391</v>
      </c>
      <c r="K135" s="4">
        <f t="shared" si="54"/>
        <v>2.9647136268953309</v>
      </c>
      <c r="L135" s="4">
        <f t="shared" si="55"/>
        <v>-18.509767503382292</v>
      </c>
      <c r="M135" s="4">
        <f t="shared" si="56"/>
        <v>10.064108740892586</v>
      </c>
      <c r="N135" s="4">
        <f t="shared" si="57"/>
        <v>0</v>
      </c>
      <c r="O135" s="4">
        <f t="shared" si="57"/>
        <v>5.5250000000000004</v>
      </c>
      <c r="P135" s="4">
        <f t="shared" si="58"/>
        <v>-177.66622960103558</v>
      </c>
      <c r="Q135" s="4">
        <f t="shared" si="59"/>
        <v>-1586.9220527303087</v>
      </c>
      <c r="R135" s="4">
        <f t="shared" si="60"/>
        <v>-1242.6621539301241</v>
      </c>
    </row>
    <row r="136" spans="1:18" x14ac:dyDescent="0.25">
      <c r="A136" t="s">
        <v>73</v>
      </c>
      <c r="B136" s="4">
        <f t="shared" si="50"/>
        <v>-18.509767503382292</v>
      </c>
      <c r="C136" s="4">
        <f t="shared" si="50"/>
        <v>10.064108740892586</v>
      </c>
      <c r="D136" s="4">
        <f t="shared" si="47"/>
        <v>-18.509767503382292</v>
      </c>
      <c r="E136" s="4">
        <f t="shared" si="47"/>
        <v>10.064108740892586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-18.509767503382292</v>
      </c>
      <c r="K136" s="4">
        <f t="shared" si="54"/>
        <v>10.064108740892586</v>
      </c>
      <c r="L136" s="4">
        <f t="shared" si="55"/>
        <v>-18.509767503382292</v>
      </c>
      <c r="M136" s="4">
        <f t="shared" si="56"/>
        <v>10.064108740892586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-18.509767503382292</v>
      </c>
      <c r="C137" s="4">
        <f t="shared" si="50"/>
        <v>10.064108740892586</v>
      </c>
      <c r="D137" s="4">
        <f t="shared" si="47"/>
        <v>-18.509767503382292</v>
      </c>
      <c r="E137" s="4">
        <f t="shared" si="47"/>
        <v>10.064108740892586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-18.509767503382292</v>
      </c>
      <c r="K137" s="4">
        <f t="shared" si="54"/>
        <v>10.064108740892586</v>
      </c>
      <c r="L137" s="4">
        <f t="shared" si="55"/>
        <v>-18.509767503382292</v>
      </c>
      <c r="M137" s="4">
        <f t="shared" si="56"/>
        <v>10.064108740892586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-18.509767503382292</v>
      </c>
      <c r="C138" s="4">
        <f t="shared" si="50"/>
        <v>10.064108740892586</v>
      </c>
      <c r="D138" s="4">
        <f t="shared" si="47"/>
        <v>-18.509767503382292</v>
      </c>
      <c r="E138" s="4">
        <f t="shared" si="47"/>
        <v>10.064108740892586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-18.509767503382292</v>
      </c>
      <c r="K138" s="4">
        <f t="shared" si="54"/>
        <v>10.064108740892586</v>
      </c>
      <c r="L138" s="4">
        <f t="shared" si="55"/>
        <v>-18.509767503382292</v>
      </c>
      <c r="M138" s="4">
        <f t="shared" si="56"/>
        <v>10.064108740892586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47"/>
        <v>-18.509767503382292</v>
      </c>
      <c r="E139" s="4">
        <f t="shared" si="47"/>
        <v>10.064108740892586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-18.509767503382292</v>
      </c>
      <c r="K139" s="4">
        <f t="shared" si="54"/>
        <v>10.064108740892586</v>
      </c>
      <c r="L139" s="4">
        <f t="shared" si="55"/>
        <v>-18.509767503382292</v>
      </c>
      <c r="M139" s="4">
        <f t="shared" si="56"/>
        <v>10.064108740892586</v>
      </c>
      <c r="N139" s="4">
        <f t="shared" si="57"/>
        <v>5.5250000000000004</v>
      </c>
      <c r="O139" s="4">
        <f>IF(G139&lt;0,IF($I$54="Linear",0,$B$66),IF($I$54="Linear",G139,$B$66))</f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196.35985248787944</v>
      </c>
      <c r="Q140" s="4">
        <f>SUM(Q132:Q139)</f>
        <v>1280.9449446276467</v>
      </c>
      <c r="R140" s="4">
        <f>SUM(R132:R139)</f>
        <v>2325.4282336093161</v>
      </c>
    </row>
    <row r="142" spans="1:18" x14ac:dyDescent="0.25">
      <c r="O142" t="s">
        <v>96</v>
      </c>
      <c r="P142" s="1">
        <f>-1*R140/P140</f>
        <v>-11.842686802552249</v>
      </c>
    </row>
    <row r="143" spans="1:18" x14ac:dyDescent="0.25">
      <c r="O143" t="s">
        <v>97</v>
      </c>
      <c r="P143" s="1">
        <f>Q140/P140</f>
        <v>6.5234564418238943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61">I85</f>
        <v>-18.509767503382292</v>
      </c>
      <c r="E146">
        <f t="shared" si="61"/>
        <v>10.064108740892586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-18.509767503382292</v>
      </c>
      <c r="C147">
        <f t="shared" si="62"/>
        <v>10.064108740892586</v>
      </c>
      <c r="D147" s="9">
        <f t="shared" si="61"/>
        <v>-18.509767503382292</v>
      </c>
      <c r="E147">
        <f t="shared" si="61"/>
        <v>10.064108740892586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-18.509767503382292</v>
      </c>
      <c r="K147" s="4">
        <f t="shared" ref="K147:K153" si="68">IF($F147&gt;=0,C147,IF(AND($F147&lt;0,$G147&gt;=0),$B$125,0))</f>
        <v>10.064108740892586</v>
      </c>
      <c r="L147" s="4">
        <f t="shared" ref="L147:L153" si="69">IF($G147&gt;=0,D147,IF(AND($G147&lt;0,$F147&gt;=0),IF(H147="V",D147,($B$125-I147)/H147),0))</f>
        <v>-18.509767503382292</v>
      </c>
      <c r="M147" s="4">
        <f t="shared" ref="M147:M153" si="70">IF($G147&gt;=0,E147,IF(AND($G147&lt;0,$F147&gt;=0),$B$125,0))</f>
        <v>10.064108740892586</v>
      </c>
      <c r="N147" s="4">
        <f t="shared" ref="N147:O153" si="71">IF(F147&lt;0,IF($I$54="Linear",0,$B$66),IF($I$54="Linear",F147,$B$66))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-18.509767503382292</v>
      </c>
      <c r="C148">
        <f t="shared" si="62"/>
        <v>10.064108740892586</v>
      </c>
      <c r="D148" s="9">
        <f t="shared" si="61"/>
        <v>-18.509767503382292</v>
      </c>
      <c r="E148">
        <f t="shared" si="61"/>
        <v>10.064108740892586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-18.509767503382292</v>
      </c>
      <c r="K148" s="4">
        <f t="shared" si="68"/>
        <v>10.064108740892586</v>
      </c>
      <c r="L148" s="4">
        <f t="shared" si="69"/>
        <v>-18.509767503382292</v>
      </c>
      <c r="M148" s="4">
        <f t="shared" si="70"/>
        <v>10.064108740892586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-18.509767503382292</v>
      </c>
      <c r="C149">
        <f t="shared" si="62"/>
        <v>10.064108740892586</v>
      </c>
      <c r="D149" s="9">
        <f t="shared" si="61"/>
        <v>-18.509767503382292</v>
      </c>
      <c r="E149">
        <f t="shared" si="61"/>
        <v>10.064108740892586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-18.509767503382292</v>
      </c>
      <c r="K149" s="4">
        <f t="shared" si="68"/>
        <v>10.064108740892586</v>
      </c>
      <c r="L149" s="4">
        <f t="shared" si="69"/>
        <v>-18.509767503382292</v>
      </c>
      <c r="M149" s="4">
        <f t="shared" si="70"/>
        <v>10.064108740892586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-18.509767503382292</v>
      </c>
      <c r="C150">
        <f t="shared" si="62"/>
        <v>10.064108740892586</v>
      </c>
      <c r="D150" s="9">
        <f t="shared" si="61"/>
        <v>-18.509767503382292</v>
      </c>
      <c r="E150">
        <f t="shared" si="61"/>
        <v>10.064108740892586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-18.509767503382292</v>
      </c>
      <c r="K150" s="4">
        <f t="shared" si="68"/>
        <v>10.064108740892586</v>
      </c>
      <c r="L150" s="4">
        <f t="shared" si="69"/>
        <v>-18.509767503382292</v>
      </c>
      <c r="M150" s="4">
        <f t="shared" si="70"/>
        <v>10.064108740892586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-18.509767503382292</v>
      </c>
      <c r="C151">
        <f t="shared" si="62"/>
        <v>10.064108740892586</v>
      </c>
      <c r="D151" s="9">
        <f t="shared" si="61"/>
        <v>-18.509767503382292</v>
      </c>
      <c r="E151">
        <f t="shared" si="61"/>
        <v>10.064108740892586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-18.509767503382292</v>
      </c>
      <c r="K151" s="4">
        <f t="shared" si="68"/>
        <v>10.064108740892586</v>
      </c>
      <c r="L151" s="4">
        <f t="shared" si="69"/>
        <v>-18.509767503382292</v>
      </c>
      <c r="M151" s="4">
        <f t="shared" si="70"/>
        <v>10.064108740892586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-18.509767503382292</v>
      </c>
      <c r="C152">
        <f t="shared" si="62"/>
        <v>10.064108740892586</v>
      </c>
      <c r="D152" s="9">
        <f t="shared" si="61"/>
        <v>-18.509767503382292</v>
      </c>
      <c r="E152">
        <f t="shared" si="61"/>
        <v>10.064108740892586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-18.509767503382292</v>
      </c>
      <c r="K152" s="4">
        <f t="shared" si="68"/>
        <v>10.064108740892586</v>
      </c>
      <c r="L152" s="4">
        <f t="shared" si="69"/>
        <v>-18.509767503382292</v>
      </c>
      <c r="M152" s="4">
        <f t="shared" si="70"/>
        <v>10.064108740892586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-18.509767503382292</v>
      </c>
      <c r="C153">
        <f t="shared" si="62"/>
        <v>10.064108740892586</v>
      </c>
      <c r="D153" s="9">
        <f t="shared" si="61"/>
        <v>-18.509767503382292</v>
      </c>
      <c r="E153">
        <f t="shared" si="61"/>
        <v>10.064108740892586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-18.509767503382292</v>
      </c>
      <c r="K153" s="4">
        <f t="shared" si="68"/>
        <v>10.064108740892586</v>
      </c>
      <c r="L153" s="4">
        <f t="shared" si="69"/>
        <v>-18.509767503382292</v>
      </c>
      <c r="M153" s="4">
        <f t="shared" si="70"/>
        <v>10.064108740892586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50.000007090991083</v>
      </c>
      <c r="C159" t="s">
        <v>36</v>
      </c>
    </row>
    <row r="160" spans="1:18" x14ac:dyDescent="0.25">
      <c r="A160" s="1" t="s">
        <v>106</v>
      </c>
      <c r="B160" s="4">
        <f>Q140+I122+Q154-O122</f>
        <v>1975.295198395469</v>
      </c>
      <c r="C160" t="s">
        <v>102</v>
      </c>
    </row>
    <row r="161" spans="1:9" x14ac:dyDescent="0.25">
      <c r="A161" s="1" t="s">
        <v>107</v>
      </c>
      <c r="B161" s="4">
        <f>R140+J122+R154-P122</f>
        <v>2804.1815629714783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50.000007090991083</v>
      </c>
      <c r="C164" t="s">
        <v>36</v>
      </c>
      <c r="E164" s="8">
        <f>B2-B164</f>
        <v>-7.09099108320288E-6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-3200.0000505303492</v>
      </c>
      <c r="C165" t="s">
        <v>102</v>
      </c>
      <c r="E165" s="8">
        <f>B3+B165</f>
        <v>-5.053034919910715E-5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1235.0000143802099</v>
      </c>
      <c r="C166" t="s">
        <v>102</v>
      </c>
      <c r="E166" s="8">
        <f>B4+B166</f>
        <v>1.4380209904629737E-5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-6.2718433545062844</v>
      </c>
      <c r="C169" s="3">
        <f ca="1">A169+B169</f>
        <v>-0.74684335450628403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1.0530104660744156E-7</v>
      </c>
      <c r="D175" s="27">
        <f>B66*SQRT(I175)</f>
        <v>8.1948993282407074E-8</v>
      </c>
      <c r="E175" s="27">
        <f>B67*SQRT(I175)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7.0993952192983016</v>
      </c>
      <c r="D176" s="3">
        <f>D175+B66</f>
        <v>5.5250000819489937</v>
      </c>
      <c r="E176" s="3">
        <f>B67+E175</f>
        <v>46.904180668522748</v>
      </c>
      <c r="F176" s="16" t="s">
        <v>125</v>
      </c>
    </row>
    <row r="177" spans="1:13" x14ac:dyDescent="0.25">
      <c r="B177" s="27">
        <f>B176-B64</f>
        <v>2.6937875929888833E-8</v>
      </c>
      <c r="C177" s="27">
        <f>C176-B65</f>
        <v>1.053010469931337E-7</v>
      </c>
      <c r="D177" s="27">
        <f>D176-B66</f>
        <v>8.1948993368996526E-8</v>
      </c>
      <c r="E177" s="27">
        <f>E176-B67</f>
        <v>6.9570141647545825E-7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18.509767534763025</v>
      </c>
      <c r="B181" s="25">
        <f>(d_alpha_p!E136-d_alpha_m!E136)/(2*B177)</f>
        <v>18.509767534763025</v>
      </c>
      <c r="C181" s="25">
        <f>(d_alpha_p!E137-d_alpha_m!E137)/(2*B177)</f>
        <v>18.509767534763025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7.09099108320288E-6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5.053034919910715E-5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-1.4380209904629737E-5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0.74684335450628403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18.509767534763025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18.509767534763025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18.509767534763025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18.509767534763025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18.509767534763025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18.509767534763025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18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ht="15.75" thickBot="1" x14ac:dyDescent="0.3">
      <c r="A64" s="11" t="s">
        <v>39</v>
      </c>
      <c r="B64" s="17">
        <f>'Rigid Bearing Plate Analysis'!B64</f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7.0993949033951642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46.904179972821332</v>
      </c>
      <c r="C67" t="s">
        <v>36</v>
      </c>
      <c r="D67" t="s">
        <v>122</v>
      </c>
      <c r="G67" s="20">
        <f ca="1">($B$56*$B$66*$B$55*$E$122)/$B$65</f>
        <v>41.31889012872233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-20.967171187665297</v>
      </c>
      <c r="R76">
        <f>Q76</f>
        <v>-20.967171187665297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20.967171187665297</v>
      </c>
      <c r="R77">
        <f>Q77</f>
        <v>20.967171187665297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-18.509767503382292</v>
      </c>
      <c r="C84" s="1">
        <f t="shared" ref="C84:C92" si="23">(-1*B73*SIN($B$64))+(C73*COS($B$64))</f>
        <v>10.064108740892586</v>
      </c>
      <c r="H84" s="1">
        <f t="shared" ref="H84:H92" si="24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0" x14ac:dyDescent="0.25">
      <c r="A85" s="1">
        <f t="shared" si="21"/>
        <v>2</v>
      </c>
      <c r="B85" s="4">
        <f t="shared" si="22"/>
        <v>-19.967171187665297</v>
      </c>
      <c r="C85" s="1">
        <f t="shared" si="23"/>
        <v>4.2438016612757101</v>
      </c>
      <c r="H85" s="1">
        <f t="shared" si="24"/>
        <v>2</v>
      </c>
      <c r="I85" s="4">
        <f t="shared" ref="I85:I92" si="25">(I74*COS($B$64))+(J74*SIN($B$64))</f>
        <v>-18.509767503382292</v>
      </c>
      <c r="J85" s="1">
        <f t="shared" ref="J85:J92" si="26">(-1*I74*SIN($B$64))+(J74*COS($B$64))</f>
        <v>10.064108740892586</v>
      </c>
    </row>
    <row r="86" spans="1:10" x14ac:dyDescent="0.25">
      <c r="A86" s="1">
        <f t="shared" si="21"/>
        <v>3</v>
      </c>
      <c r="B86" s="4">
        <f t="shared" si="22"/>
        <v>13.011466377658614</v>
      </c>
      <c r="C86" s="1">
        <f t="shared" si="23"/>
        <v>-12.26102988391149</v>
      </c>
      <c r="H86" s="1">
        <f t="shared" si="24"/>
        <v>3</v>
      </c>
      <c r="I86" s="4">
        <f t="shared" si="25"/>
        <v>-18.509767503382292</v>
      </c>
      <c r="J86" s="1">
        <f t="shared" si="26"/>
        <v>10.064108740892586</v>
      </c>
    </row>
    <row r="87" spans="1:10" x14ac:dyDescent="0.25">
      <c r="A87" s="1">
        <f t="shared" si="21"/>
        <v>4</v>
      </c>
      <c r="B87" s="4">
        <f t="shared" si="22"/>
        <v>16.412074974318958</v>
      </c>
      <c r="C87" s="1">
        <f t="shared" si="23"/>
        <v>1.3196866351945546</v>
      </c>
      <c r="H87" s="1">
        <f t="shared" si="24"/>
        <v>4</v>
      </c>
      <c r="I87" s="4">
        <f t="shared" si="25"/>
        <v>-18.509767503382292</v>
      </c>
      <c r="J87" s="1">
        <f t="shared" si="26"/>
        <v>10.064108740892586</v>
      </c>
    </row>
    <row r="88" spans="1:10" x14ac:dyDescent="0.25">
      <c r="A88" s="1">
        <f t="shared" si="21"/>
        <v>5</v>
      </c>
      <c r="B88" s="4">
        <f t="shared" si="22"/>
        <v>-18.509767503382292</v>
      </c>
      <c r="C88" s="1">
        <f t="shared" si="23"/>
        <v>10.064108740892586</v>
      </c>
      <c r="H88" s="1">
        <f t="shared" si="24"/>
        <v>5</v>
      </c>
      <c r="I88" s="4">
        <f t="shared" si="25"/>
        <v>-18.509767503382292</v>
      </c>
      <c r="J88" s="1">
        <f t="shared" si="26"/>
        <v>10.064108740892586</v>
      </c>
    </row>
    <row r="89" spans="1:10" x14ac:dyDescent="0.25">
      <c r="A89" s="1">
        <f t="shared" si="21"/>
        <v>6</v>
      </c>
      <c r="B89" s="4">
        <f t="shared" si="22"/>
        <v>-18.509767503382292</v>
      </c>
      <c r="C89" s="1">
        <f t="shared" si="23"/>
        <v>10.064108740892586</v>
      </c>
      <c r="H89" s="1">
        <f t="shared" si="24"/>
        <v>6</v>
      </c>
      <c r="I89" s="4">
        <f t="shared" si="25"/>
        <v>-18.509767503382292</v>
      </c>
      <c r="J89" s="1">
        <f t="shared" si="26"/>
        <v>10.064108740892586</v>
      </c>
    </row>
    <row r="90" spans="1:10" x14ac:dyDescent="0.25">
      <c r="A90" s="1">
        <f t="shared" si="21"/>
        <v>7</v>
      </c>
      <c r="B90" s="4">
        <f t="shared" si="22"/>
        <v>-18.509767503382292</v>
      </c>
      <c r="C90" s="1">
        <f t="shared" si="23"/>
        <v>10.064108740892586</v>
      </c>
      <c r="H90" s="1">
        <f t="shared" si="24"/>
        <v>7</v>
      </c>
      <c r="I90" s="4">
        <f t="shared" si="25"/>
        <v>-18.509767503382292</v>
      </c>
      <c r="J90" s="1">
        <f t="shared" si="26"/>
        <v>10.064108740892586</v>
      </c>
    </row>
    <row r="91" spans="1:10" x14ac:dyDescent="0.25">
      <c r="A91" s="1">
        <f t="shared" si="21"/>
        <v>8</v>
      </c>
      <c r="B91" s="4">
        <f t="shared" si="22"/>
        <v>-18.509767503382292</v>
      </c>
      <c r="C91" s="1">
        <f t="shared" si="23"/>
        <v>10.064108740892586</v>
      </c>
      <c r="H91" s="1">
        <f t="shared" si="24"/>
        <v>8</v>
      </c>
      <c r="I91" s="4">
        <f t="shared" si="25"/>
        <v>-18.509767503382292</v>
      </c>
      <c r="J91" s="1">
        <f t="shared" si="26"/>
        <v>10.064108740892586</v>
      </c>
    </row>
    <row r="92" spans="1:10" x14ac:dyDescent="0.25">
      <c r="A92" s="1">
        <f t="shared" si="21"/>
        <v>9</v>
      </c>
      <c r="B92" s="4">
        <f t="shared" si="22"/>
        <v>-18.509767503382292</v>
      </c>
      <c r="C92" s="1">
        <f t="shared" si="23"/>
        <v>10.064108740892586</v>
      </c>
      <c r="H92" s="1">
        <f t="shared" si="24"/>
        <v>9</v>
      </c>
      <c r="I92" s="4">
        <f t="shared" si="25"/>
        <v>-18.509767503382292</v>
      </c>
      <c r="J92" s="1">
        <f t="shared" si="26"/>
        <v>10.064108740892586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31">D95</f>
        <v>y</v>
      </c>
      <c r="E110" s="4">
        <f t="shared" ref="E110:E121" si="32">IF($D110="y",$B$125-C110,0)</f>
        <v>-4.6734913154285378</v>
      </c>
      <c r="F110" s="1">
        <f>IF($D110="y",B110,NA())</f>
        <v>-17.055466371604336</v>
      </c>
      <c r="G110" s="1">
        <f>IF($D110="y",C110,NA())</f>
        <v>7.6382051529259591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8.9269158830441466E-4</v>
      </c>
      <c r="N110">
        <f>IF(AND(M110&gt;0,D110="y",$E$60="y"),$B$53*M110*$E$59,0)</f>
        <v>3.2247804087031819</v>
      </c>
      <c r="O110">
        <f>N110*C110</f>
        <v>24.631534334811324</v>
      </c>
      <c r="P110">
        <f>N110*B110*-1</f>
        <v>55.000133816445604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-17.662717906722257</v>
      </c>
      <c r="C111" s="1">
        <f t="shared" ref="C111:C121" si="37">(-1*B96*SIN($B$64))+(C96*COS($B$64))</f>
        <v>5.2130772030855939</v>
      </c>
      <c r="D111" t="str">
        <f t="shared" si="35"/>
        <v>y</v>
      </c>
      <c r="E111" s="4">
        <f t="shared" si="32"/>
        <v>-2.2483633655881725</v>
      </c>
      <c r="F111" s="1">
        <f t="shared" ref="F111:G121" si="38">IF($D111="y",B111,NA())</f>
        <v>-17.662717906722257</v>
      </c>
      <c r="G111" s="1">
        <f t="shared" si="38"/>
        <v>5.2130772030855939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4.2946374101228505E-4</v>
      </c>
      <c r="N111">
        <f t="shared" ref="N111:N121" si="42">IF(AND(M111&gt;0,D111="y",$E$60="y"),$B$53*M111*$E$59,0)</f>
        <v>1.5514050724901909</v>
      </c>
      <c r="O111">
        <f t="shared" ref="O111:O121" si="43">N111*C111</f>
        <v>8.0875944161499671</v>
      </c>
      <c r="P111">
        <f t="shared" ref="P111:P121" si="44">N111*B111*-1</f>
        <v>27.402030154452238</v>
      </c>
    </row>
    <row r="112" spans="1:16" x14ac:dyDescent="0.25">
      <c r="A112">
        <f t="shared" si="35"/>
        <v>3</v>
      </c>
      <c r="B112" s="1">
        <f t="shared" si="36"/>
        <v>-11.235159291987461</v>
      </c>
      <c r="C112" s="1">
        <f t="shared" si="37"/>
        <v>6.1808014686429535</v>
      </c>
      <c r="D112" t="str">
        <f t="shared" si="35"/>
        <v>y</v>
      </c>
      <c r="E112" s="4">
        <f t="shared" si="32"/>
        <v>-3.2160876311455322</v>
      </c>
      <c r="F112" s="1">
        <f t="shared" si="38"/>
        <v>-11.235159291987461</v>
      </c>
      <c r="G112" s="1">
        <f t="shared" si="38"/>
        <v>6.1808014686429535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6.1431041202442724E-4</v>
      </c>
      <c r="N112">
        <f t="shared" si="42"/>
        <v>2.2191496005036968</v>
      </c>
      <c r="O112">
        <f t="shared" si="43"/>
        <v>13.716123109931672</v>
      </c>
      <c r="P112">
        <f t="shared" si="44"/>
        <v>24.932499254409372</v>
      </c>
    </row>
    <row r="113" spans="1:16" x14ac:dyDescent="0.25">
      <c r="A113">
        <f t="shared" si="35"/>
        <v>4</v>
      </c>
      <c r="B113" s="1">
        <f t="shared" si="36"/>
        <v>-12.206761748176131</v>
      </c>
      <c r="C113" s="1">
        <f t="shared" si="37"/>
        <v>2.3005967488983701</v>
      </c>
      <c r="D113" t="str">
        <f t="shared" si="35"/>
        <v>y</v>
      </c>
      <c r="E113" s="4">
        <f t="shared" si="32"/>
        <v>0.66411708859905128</v>
      </c>
      <c r="F113" s="1">
        <f t="shared" si="38"/>
        <v>-12.206761748176131</v>
      </c>
      <c r="G113" s="1">
        <f t="shared" si="38"/>
        <v>2.3005967488983701</v>
      </c>
      <c r="H113">
        <f t="shared" si="33"/>
        <v>-2.5296223023258233</v>
      </c>
      <c r="I113">
        <f t="shared" si="39"/>
        <v>-5.819640844671599</v>
      </c>
      <c r="J113">
        <f t="shared" si="40"/>
        <v>-30.878496757364097</v>
      </c>
      <c r="K113">
        <f t="shared" ca="1" si="45"/>
        <v>-4.176048712600327</v>
      </c>
      <c r="L113">
        <f t="shared" ca="1" si="41"/>
        <v>-1.4400167974483886E-4</v>
      </c>
      <c r="M113">
        <f t="shared" si="34"/>
        <v>-1.2685414364297989E-4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-5.4148522123705849</v>
      </c>
      <c r="C114" s="1">
        <f t="shared" si="37"/>
        <v>4.7233977843599479</v>
      </c>
      <c r="D114" t="str">
        <f t="shared" si="35"/>
        <v>y</v>
      </c>
      <c r="E114" s="4">
        <f t="shared" si="32"/>
        <v>-1.7586839468625266</v>
      </c>
      <c r="F114" s="1">
        <f t="shared" si="38"/>
        <v>-5.4148522123705849</v>
      </c>
      <c r="G114" s="1">
        <f t="shared" si="38"/>
        <v>4.7233977843599479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3.3592923574443987E-4</v>
      </c>
      <c r="N114">
        <f t="shared" si="42"/>
        <v>1.2135187923042123</v>
      </c>
      <c r="O114">
        <f t="shared" si="43"/>
        <v>5.7319319748488766</v>
      </c>
      <c r="P114">
        <f t="shared" si="44"/>
        <v>6.5710249172617443</v>
      </c>
    </row>
    <row r="115" spans="1:16" x14ac:dyDescent="0.25">
      <c r="A115">
        <f t="shared" si="35"/>
        <v>6</v>
      </c>
      <c r="B115" s="1">
        <f t="shared" si="36"/>
        <v>-6.7508055896300068</v>
      </c>
      <c r="C115" s="1">
        <f t="shared" si="37"/>
        <v>-0.61188370528885416</v>
      </c>
      <c r="D115" t="str">
        <f t="shared" si="35"/>
        <v>y</v>
      </c>
      <c r="E115" s="4">
        <f t="shared" si="32"/>
        <v>3.5765975427862755</v>
      </c>
      <c r="F115" s="1">
        <f t="shared" si="38"/>
        <v>-6.7508055896300068</v>
      </c>
      <c r="G115" s="1">
        <f t="shared" si="38"/>
        <v>-0.61188370528885416</v>
      </c>
      <c r="H115">
        <f t="shared" si="33"/>
        <v>-13.623261719949703</v>
      </c>
      <c r="I115">
        <f t="shared" si="39"/>
        <v>8.3358518593226325</v>
      </c>
      <c r="J115">
        <f t="shared" si="40"/>
        <v>-91.967991368028947</v>
      </c>
      <c r="K115">
        <f t="shared" ca="1" si="45"/>
        <v>-22.490078663010411</v>
      </c>
      <c r="L115">
        <f t="shared" ca="1" si="41"/>
        <v>-7.7551995389691069E-4</v>
      </c>
      <c r="M115">
        <f t="shared" si="34"/>
        <v>-6.8317202829824494E-4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0.40545486724629032</v>
      </c>
      <c r="C116" s="1">
        <f t="shared" si="37"/>
        <v>3.2659941000769432</v>
      </c>
      <c r="D116" t="str">
        <f t="shared" si="35"/>
        <v>y</v>
      </c>
      <c r="E116" s="4">
        <f t="shared" si="32"/>
        <v>-0.3012802625795219</v>
      </c>
      <c r="F116" s="1">
        <f t="shared" si="38"/>
        <v>0.40545486724629032</v>
      </c>
      <c r="G116" s="1">
        <f t="shared" si="38"/>
        <v>3.2659941000769432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5.7548059464452641E-5</v>
      </c>
      <c r="N116">
        <f t="shared" si="42"/>
        <v>0.20788798410472806</v>
      </c>
      <c r="O116">
        <f t="shared" si="43"/>
        <v>0.67896092956293119</v>
      </c>
      <c r="P116">
        <f t="shared" si="44"/>
        <v>-8.4289194997281422E-2</v>
      </c>
    </row>
    <row r="117" spans="1:16" x14ac:dyDescent="0.25">
      <c r="A117">
        <f t="shared" si="35"/>
        <v>8</v>
      </c>
      <c r="B117" s="1">
        <f t="shared" si="36"/>
        <v>-1.2948494310838825</v>
      </c>
      <c r="C117" s="1">
        <f t="shared" si="37"/>
        <v>-3.524364159476078</v>
      </c>
      <c r="D117" t="str">
        <f t="shared" si="35"/>
        <v>y</v>
      </c>
      <c r="E117" s="4">
        <f t="shared" si="32"/>
        <v>6.4890779969734993</v>
      </c>
      <c r="F117" s="1">
        <f t="shared" si="38"/>
        <v>-1.2948494310838825</v>
      </c>
      <c r="G117" s="1">
        <f t="shared" si="38"/>
        <v>-3.524364159476078</v>
      </c>
      <c r="H117">
        <f t="shared" si="33"/>
        <v>-24.716901137573579</v>
      </c>
      <c r="I117">
        <f t="shared" si="39"/>
        <v>87.111360502577824</v>
      </c>
      <c r="J117">
        <f t="shared" si="40"/>
        <v>-32.00466537614372</v>
      </c>
      <c r="K117">
        <f t="shared" ca="1" si="45"/>
        <v>-40.804108613420489</v>
      </c>
      <c r="L117">
        <f t="shared" ca="1" si="41"/>
        <v>-1.4070382280489825E-3</v>
      </c>
      <c r="M117">
        <f t="shared" si="34"/>
        <v>-1.2394899129535098E-3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6.225761946863166</v>
      </c>
      <c r="C118" s="1">
        <f t="shared" si="37"/>
        <v>1.8085904157939381</v>
      </c>
      <c r="D118" t="str">
        <f t="shared" si="35"/>
        <v>y</v>
      </c>
      <c r="E118" s="4">
        <f t="shared" si="32"/>
        <v>1.1561234217034833</v>
      </c>
      <c r="F118" s="1">
        <f t="shared" si="38"/>
        <v>6.225761946863166</v>
      </c>
      <c r="G118" s="1">
        <f t="shared" si="38"/>
        <v>1.8085904157939381</v>
      </c>
      <c r="H118">
        <f t="shared" si="33"/>
        <v>-4.4036746561539264</v>
      </c>
      <c r="I118">
        <f t="shared" si="39"/>
        <v>-7.9644437773946573</v>
      </c>
      <c r="J118">
        <f t="shared" si="40"/>
        <v>27.416230100648853</v>
      </c>
      <c r="K118">
        <f t="shared" ca="1" si="45"/>
        <v>-7.2698441429908005</v>
      </c>
      <c r="L118">
        <f t="shared" ca="1" si="41"/>
        <v>-2.506842807927862E-4</v>
      </c>
      <c r="M118">
        <f t="shared" si="34"/>
        <v>-2.2083311681553465E-4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4.1611067274622418</v>
      </c>
      <c r="C119" s="1">
        <f t="shared" si="37"/>
        <v>-6.4368446136633022</v>
      </c>
      <c r="D119" t="str">
        <f t="shared" si="35"/>
        <v>y</v>
      </c>
      <c r="E119" s="4">
        <f t="shared" si="32"/>
        <v>9.4015584511607244</v>
      </c>
      <c r="F119" s="1">
        <f t="shared" si="38"/>
        <v>4.1611067274622418</v>
      </c>
      <c r="G119" s="1">
        <f t="shared" si="38"/>
        <v>-6.4368446136633022</v>
      </c>
      <c r="H119">
        <f t="shared" si="33"/>
        <v>-35.810540555197463</v>
      </c>
      <c r="I119">
        <f t="shared" si="39"/>
        <v>230.50688508509404</v>
      </c>
      <c r="J119">
        <f t="shared" si="40"/>
        <v>149.01148121829161</v>
      </c>
      <c r="K119">
        <f t="shared" ca="1" si="45"/>
        <v>-59.118138563830584</v>
      </c>
      <c r="L119">
        <f t="shared" ca="1" si="41"/>
        <v>-2.0385565022010546E-3</v>
      </c>
      <c r="M119">
        <f t="shared" si="34"/>
        <v>-1.795807797608775E-3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12.046069026480041</v>
      </c>
      <c r="C120" s="1">
        <f t="shared" si="37"/>
        <v>0.35118673151093294</v>
      </c>
      <c r="D120" t="str">
        <f t="shared" si="35"/>
        <v>y</v>
      </c>
      <c r="E120" s="4">
        <f t="shared" si="32"/>
        <v>2.6135271059864884</v>
      </c>
      <c r="F120" s="1">
        <f t="shared" si="38"/>
        <v>12.046069026480041</v>
      </c>
      <c r="G120" s="1">
        <f t="shared" si="38"/>
        <v>0.35118673151093294</v>
      </c>
      <c r="H120">
        <f t="shared" si="33"/>
        <v>-9.9549259739465938</v>
      </c>
      <c r="I120">
        <f t="shared" si="39"/>
        <v>-3.496037915223595</v>
      </c>
      <c r="J120">
        <f t="shared" si="40"/>
        <v>119.91772543565972</v>
      </c>
      <c r="K120">
        <f t="shared" ca="1" si="45"/>
        <v>-16.434175077958571</v>
      </c>
      <c r="L120">
        <f t="shared" ca="1" si="41"/>
        <v>-5.6669569234339896E-4</v>
      </c>
      <c r="M120">
        <f t="shared" si="34"/>
        <v>-4.9921429309552191E-4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9.617062886008366</v>
      </c>
      <c r="C121" s="1">
        <f t="shared" si="37"/>
        <v>-9.3493250678505255</v>
      </c>
      <c r="D121" t="str">
        <f t="shared" si="35"/>
        <v>y</v>
      </c>
      <c r="E121" s="4">
        <f t="shared" si="32"/>
        <v>12.314038905347946</v>
      </c>
      <c r="F121" s="1">
        <f t="shared" si="38"/>
        <v>9.617062886008366</v>
      </c>
      <c r="G121" s="1">
        <f t="shared" si="38"/>
        <v>-9.3493250678505255</v>
      </c>
      <c r="H121" s="23">
        <f t="shared" si="33"/>
        <v>-46.904179972821332</v>
      </c>
      <c r="I121" s="23">
        <f t="shared" si="39"/>
        <v>438.52242560687108</v>
      </c>
      <c r="J121" s="23">
        <f t="shared" si="40"/>
        <v>451.08044841527692</v>
      </c>
      <c r="K121">
        <f t="shared" ca="1" si="45"/>
        <v>-77.432168514240644</v>
      </c>
      <c r="L121">
        <f t="shared" ca="1" si="41"/>
        <v>-2.6700747763531256E-3</v>
      </c>
      <c r="M121">
        <f t="shared" si="34"/>
        <v>-2.3521256822640396E-3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12.314038905347946</v>
      </c>
      <c r="H122">
        <f>SUM(H110:H121)</f>
        <v>-137.94310631796841</v>
      </c>
      <c r="I122">
        <f t="shared" ref="I122:J122" si="46">SUM(I110:I121)</f>
        <v>747.19640051657575</v>
      </c>
      <c r="J122">
        <f t="shared" si="46"/>
        <v>592.57473166834029</v>
      </c>
      <c r="L122">
        <f ca="1">MIN(L110:L121)</f>
        <v>-2.6700747763531256E-3</v>
      </c>
      <c r="M122">
        <f>MIN(M110:M121)</f>
        <v>-2.3521256822640396E-3</v>
      </c>
      <c r="N122">
        <f>SUM(N110:N121)</f>
        <v>8.4167418581060094</v>
      </c>
      <c r="O122">
        <f>SUM(O110:O121)</f>
        <v>52.846144765304771</v>
      </c>
      <c r="P122">
        <f>SUM(P110:P121)</f>
        <v>113.82139894757168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2.9647138374974213</v>
      </c>
      <c r="F125" s="1" t="s">
        <v>27</v>
      </c>
      <c r="G125" s="1" t="s">
        <v>28</v>
      </c>
    </row>
    <row r="126" spans="1:16" x14ac:dyDescent="0.25">
      <c r="F126" s="4">
        <f>MIN(B84:B90)-1</f>
        <v>-20.967171187665297</v>
      </c>
      <c r="G126" s="4">
        <f>B125</f>
        <v>2.9647138374974213</v>
      </c>
    </row>
    <row r="127" spans="1:16" x14ac:dyDescent="0.25">
      <c r="F127" s="4">
        <f>MAX(B84:B90)+1</f>
        <v>17.412074974318958</v>
      </c>
      <c r="G127" s="4">
        <f>G126</f>
        <v>2.9647138374974213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47">B85</f>
        <v>-19.967171187665297</v>
      </c>
      <c r="E132" s="4">
        <f t="shared" si="47"/>
        <v>4.2438016612757101</v>
      </c>
      <c r="F132" s="4">
        <f t="shared" ref="F132:F139" si="48">($B$66/$B$65)*(C132-$B$125)</f>
        <v>5.5250000000000004</v>
      </c>
      <c r="G132" s="4">
        <f t="shared" ref="G132:G139" si="49">($B$66/$B$65)*(E132-$B$125)</f>
        <v>0.99543134626803098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0.99543134626803098</v>
      </c>
      <c r="P132" s="4">
        <f>(1/6)*(M132-K132)*((N132*((2*J132)+L132))+(O132*(J132+(2*L132))))</f>
        <v>361.85688276368569</v>
      </c>
      <c r="Q132" s="4">
        <f>((1/12)*(M132-K132)*(N132*J132*((3*K132)+M132)+N132*L132*(K132+M132)+O132*J132*(K132+M132)+O132*L132*(K132+(3*M132))))</f>
        <v>2821.2961839290369</v>
      </c>
      <c r="R132" s="4">
        <f>((-1/24)*(M132-K132)*(J132*J132*((3*N132)+O132)+2*J132*L132*(N132+O132)+L132*L132*(N132+(3*O132))))</f>
        <v>3451.6662478234907</v>
      </c>
    </row>
    <row r="133" spans="1:18" x14ac:dyDescent="0.25">
      <c r="A133" t="s">
        <v>70</v>
      </c>
      <c r="B133" s="4">
        <f t="shared" ref="B133:C138" si="50">D132</f>
        <v>-19.967171187665297</v>
      </c>
      <c r="C133" s="4">
        <f t="shared" si="50"/>
        <v>4.2438016612757101</v>
      </c>
      <c r="D133" s="4">
        <f t="shared" si="47"/>
        <v>13.011466377658614</v>
      </c>
      <c r="E133" s="4">
        <f t="shared" si="47"/>
        <v>-12.26102988391149</v>
      </c>
      <c r="F133" s="4">
        <f t="shared" si="48"/>
        <v>0.99543134626803098</v>
      </c>
      <c r="G133" s="4">
        <f t="shared" si="49"/>
        <v>-11.849211827976243</v>
      </c>
      <c r="H133" s="4">
        <f t="shared" ref="H133:H139" si="51">IF(B133=D133,"V",(C133-E133)/(B133-D133))</f>
        <v>-0.50047038821705481</v>
      </c>
      <c r="I133" s="4">
        <f t="shared" ref="I133:I139" si="52">IF(H133="V",0,(-1*B133*H133)+C133)</f>
        <v>-5.749176254611533</v>
      </c>
      <c r="J133" s="4">
        <f t="shared" ref="J133:J139" si="53">IF($F133&gt;=0,B133,IF(AND($F133&lt;0,$G133&gt;=0),IF(H133="V",B133,($B$125-I133)/H133),0))</f>
        <v>-19.967171187665297</v>
      </c>
      <c r="K133" s="4">
        <f t="shared" ref="K133:K139" si="54">IF($F133&gt;=0,C133,IF(AND($F133&lt;0,$G133&gt;=0),$B$125,0))</f>
        <v>4.2438016612757101</v>
      </c>
      <c r="L133" s="4">
        <f t="shared" ref="L133:L139" si="55">IF($G133&gt;=0,D133,IF(AND($G133&lt;0,$F133&gt;=0),IF(H133="V",D133,($B$125-I133)/H133),0))</f>
        <v>-17.411399949460598</v>
      </c>
      <c r="M133" s="4">
        <f t="shared" ref="M133:M139" si="56">IF($G133&gt;=0,E133,IF(AND($G133&lt;0,$F133&gt;=0),$B$125,0))</f>
        <v>2.9647138374974213</v>
      </c>
      <c r="N133" s="4">
        <f t="shared" ref="N133:O139" si="57">IF(F133&lt;0,IF($I$54="Linear",0,$B$66),IF($I$54="Linear",F133,$B$66))</f>
        <v>0.99543134626803098</v>
      </c>
      <c r="O133" s="4">
        <f t="shared" si="57"/>
        <v>0</v>
      </c>
      <c r="P133" s="4">
        <f t="shared" ref="P133:P139" si="58">(1/6)*(M133-K133)*((N133*((2*J133)+L133))+(O133*(J133+(2*L133))))</f>
        <v>12.16918815033498</v>
      </c>
      <c r="Q133" s="4">
        <f t="shared" ref="Q133:Q139" si="59">((1/12)*(M133-K133)*(N133*J133*((3*K133)+M133)+N133*L133*(K133+M133)+O133*J133*(K133+M133)+O133*L133*(K133+(3*M133))))</f>
        <v>46.570753707860547</v>
      </c>
      <c r="R133" s="4">
        <f t="shared" ref="R133:R139" si="60">((-1/24)*(M133-K133)*(J133*J133*((3*N133)+O133)+2*J133*L133*(N133+O133)+L133*L133*(N133+(3*O133))))</f>
        <v>116.42403227373931</v>
      </c>
    </row>
    <row r="134" spans="1:18" x14ac:dyDescent="0.25">
      <c r="A134" t="s">
        <v>71</v>
      </c>
      <c r="B134" s="4">
        <f t="shared" si="50"/>
        <v>13.011466377658614</v>
      </c>
      <c r="C134" s="4">
        <f t="shared" si="50"/>
        <v>-12.26102988391149</v>
      </c>
      <c r="D134" s="4">
        <f t="shared" si="47"/>
        <v>16.412074974318958</v>
      </c>
      <c r="E134" s="4">
        <f t="shared" si="47"/>
        <v>1.3196866351945546</v>
      </c>
      <c r="F134" s="4">
        <f t="shared" si="48"/>
        <v>-11.849211827976243</v>
      </c>
      <c r="G134" s="4">
        <f t="shared" si="49"/>
        <v>-1.2802183026016467</v>
      </c>
      <c r="H134" s="4">
        <f t="shared" si="51"/>
        <v>3.9936135350723214</v>
      </c>
      <c r="I134" s="4">
        <f t="shared" si="52"/>
        <v>-64.223798120867372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16.412074974318958</v>
      </c>
      <c r="C135" s="4">
        <f t="shared" si="50"/>
        <v>1.3196866351945546</v>
      </c>
      <c r="D135" s="4">
        <f t="shared" si="47"/>
        <v>-18.509767503382292</v>
      </c>
      <c r="E135" s="4">
        <f t="shared" si="47"/>
        <v>10.064108740892586</v>
      </c>
      <c r="F135" s="4">
        <f t="shared" si="48"/>
        <v>-1.2802183026016467</v>
      </c>
      <c r="G135" s="4">
        <f t="shared" si="49"/>
        <v>5.5250000000000004</v>
      </c>
      <c r="H135" s="4">
        <f t="shared" si="51"/>
        <v>-0.25039979237297216</v>
      </c>
      <c r="I135" s="4">
        <f t="shared" si="52"/>
        <v>5.4292668011736742</v>
      </c>
      <c r="J135" s="4">
        <f t="shared" si="53"/>
        <v>9.8424720736400797</v>
      </c>
      <c r="K135" s="4">
        <f t="shared" si="54"/>
        <v>2.9647138374974213</v>
      </c>
      <c r="L135" s="4">
        <f t="shared" si="55"/>
        <v>-18.509767503382292</v>
      </c>
      <c r="M135" s="4">
        <f t="shared" si="56"/>
        <v>10.064108740892586</v>
      </c>
      <c r="N135" s="4">
        <f t="shared" si="57"/>
        <v>0</v>
      </c>
      <c r="O135" s="4">
        <f t="shared" si="57"/>
        <v>5.5250000000000004</v>
      </c>
      <c r="P135" s="4">
        <f t="shared" si="58"/>
        <v>-177.66622982893708</v>
      </c>
      <c r="Q135" s="4">
        <f t="shared" si="59"/>
        <v>-1586.9220474394851</v>
      </c>
      <c r="R135" s="4">
        <f t="shared" si="60"/>
        <v>-1242.6621408946471</v>
      </c>
    </row>
    <row r="136" spans="1:18" x14ac:dyDescent="0.25">
      <c r="A136" t="s">
        <v>73</v>
      </c>
      <c r="B136" s="4">
        <f t="shared" si="50"/>
        <v>-18.509767503382292</v>
      </c>
      <c r="C136" s="4">
        <f t="shared" si="50"/>
        <v>10.064108740892586</v>
      </c>
      <c r="D136" s="4">
        <f t="shared" si="47"/>
        <v>-18.509767503382292</v>
      </c>
      <c r="E136" s="4">
        <f t="shared" si="47"/>
        <v>10.064108740892586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-18.509767503382292</v>
      </c>
      <c r="K136" s="4">
        <f t="shared" si="54"/>
        <v>10.064108740892586</v>
      </c>
      <c r="L136" s="4">
        <f t="shared" si="55"/>
        <v>-18.509767503382292</v>
      </c>
      <c r="M136" s="4">
        <f t="shared" si="56"/>
        <v>10.064108740892586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-18.509767503382292</v>
      </c>
      <c r="C137" s="4">
        <f t="shared" si="50"/>
        <v>10.064108740892586</v>
      </c>
      <c r="D137" s="4">
        <f t="shared" si="47"/>
        <v>-18.509767503382292</v>
      </c>
      <c r="E137" s="4">
        <f t="shared" si="47"/>
        <v>10.064108740892586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-18.509767503382292</v>
      </c>
      <c r="K137" s="4">
        <f t="shared" si="54"/>
        <v>10.064108740892586</v>
      </c>
      <c r="L137" s="4">
        <f t="shared" si="55"/>
        <v>-18.509767503382292</v>
      </c>
      <c r="M137" s="4">
        <f t="shared" si="56"/>
        <v>10.064108740892586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-18.509767503382292</v>
      </c>
      <c r="C138" s="4">
        <f t="shared" si="50"/>
        <v>10.064108740892586</v>
      </c>
      <c r="D138" s="4">
        <f t="shared" si="47"/>
        <v>-18.509767503382292</v>
      </c>
      <c r="E138" s="4">
        <f t="shared" si="47"/>
        <v>10.064108740892586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-18.509767503382292</v>
      </c>
      <c r="K138" s="4">
        <f t="shared" si="54"/>
        <v>10.064108740892586</v>
      </c>
      <c r="L138" s="4">
        <f t="shared" si="55"/>
        <v>-18.509767503382292</v>
      </c>
      <c r="M138" s="4">
        <f t="shared" si="56"/>
        <v>10.064108740892586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47"/>
        <v>-18.509767503382292</v>
      </c>
      <c r="E139" s="4">
        <f t="shared" si="47"/>
        <v>10.064108740892586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-18.509767503382292</v>
      </c>
      <c r="K139" s="4">
        <f t="shared" si="54"/>
        <v>10.064108740892586</v>
      </c>
      <c r="L139" s="4">
        <f t="shared" si="55"/>
        <v>-18.509767503382292</v>
      </c>
      <c r="M139" s="4">
        <f t="shared" si="56"/>
        <v>10.064108740892586</v>
      </c>
      <c r="N139" s="4">
        <f t="shared" si="57"/>
        <v>5.5250000000000004</v>
      </c>
      <c r="O139" s="4">
        <f>IF(G139&lt;0,IF($I$54="Linear",0,$B$66),IF($I$54="Linear",G139,$B$66))</f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196.35984108508362</v>
      </c>
      <c r="Q140" s="4">
        <f>SUM(Q132:Q139)</f>
        <v>1280.9448901974124</v>
      </c>
      <c r="R140" s="4">
        <f>SUM(R132:R139)</f>
        <v>2325.4281392025828</v>
      </c>
    </row>
    <row r="142" spans="1:18" x14ac:dyDescent="0.25">
      <c r="O142" t="s">
        <v>96</v>
      </c>
      <c r="P142" s="1">
        <f>-1*R140/P140</f>
        <v>-11.842687009483594</v>
      </c>
    </row>
    <row r="143" spans="1:18" x14ac:dyDescent="0.25">
      <c r="O143" t="s">
        <v>97</v>
      </c>
      <c r="P143" s="1">
        <f>Q140/P140</f>
        <v>6.5234565434506191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61">I85</f>
        <v>-18.509767503382292</v>
      </c>
      <c r="E146">
        <f t="shared" si="61"/>
        <v>10.064108740892586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-18.509767503382292</v>
      </c>
      <c r="C147">
        <f t="shared" si="62"/>
        <v>10.064108740892586</v>
      </c>
      <c r="D147" s="9">
        <f t="shared" si="61"/>
        <v>-18.509767503382292</v>
      </c>
      <c r="E147">
        <f t="shared" si="61"/>
        <v>10.064108740892586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-18.509767503382292</v>
      </c>
      <c r="K147" s="4">
        <f t="shared" ref="K147:K153" si="68">IF($F147&gt;=0,C147,IF(AND($F147&lt;0,$G147&gt;=0),$B$125,0))</f>
        <v>10.064108740892586</v>
      </c>
      <c r="L147" s="4">
        <f t="shared" ref="L147:L153" si="69">IF($G147&gt;=0,D147,IF(AND($G147&lt;0,$F147&gt;=0),IF(H147="V",D147,($B$125-I147)/H147),0))</f>
        <v>-18.509767503382292</v>
      </c>
      <c r="M147" s="4">
        <f t="shared" ref="M147:M153" si="70">IF($G147&gt;=0,E147,IF(AND($G147&lt;0,$F147&gt;=0),$B$125,0))</f>
        <v>10.064108740892586</v>
      </c>
      <c r="N147" s="4">
        <f t="shared" ref="N147:O153" si="71">IF(F147&lt;0,IF($I$54="Linear",0,$B$66),IF($I$54="Linear",F147,$B$66))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-18.509767503382292</v>
      </c>
      <c r="C148">
        <f t="shared" si="62"/>
        <v>10.064108740892586</v>
      </c>
      <c r="D148" s="9">
        <f t="shared" si="61"/>
        <v>-18.509767503382292</v>
      </c>
      <c r="E148">
        <f t="shared" si="61"/>
        <v>10.064108740892586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-18.509767503382292</v>
      </c>
      <c r="K148" s="4">
        <f t="shared" si="68"/>
        <v>10.064108740892586</v>
      </c>
      <c r="L148" s="4">
        <f t="shared" si="69"/>
        <v>-18.509767503382292</v>
      </c>
      <c r="M148" s="4">
        <f t="shared" si="70"/>
        <v>10.064108740892586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-18.509767503382292</v>
      </c>
      <c r="C149">
        <f t="shared" si="62"/>
        <v>10.064108740892586</v>
      </c>
      <c r="D149" s="9">
        <f t="shared" si="61"/>
        <v>-18.509767503382292</v>
      </c>
      <c r="E149">
        <f t="shared" si="61"/>
        <v>10.064108740892586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-18.509767503382292</v>
      </c>
      <c r="K149" s="4">
        <f t="shared" si="68"/>
        <v>10.064108740892586</v>
      </c>
      <c r="L149" s="4">
        <f t="shared" si="69"/>
        <v>-18.509767503382292</v>
      </c>
      <c r="M149" s="4">
        <f t="shared" si="70"/>
        <v>10.064108740892586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-18.509767503382292</v>
      </c>
      <c r="C150">
        <f t="shared" si="62"/>
        <v>10.064108740892586</v>
      </c>
      <c r="D150" s="9">
        <f t="shared" si="61"/>
        <v>-18.509767503382292</v>
      </c>
      <c r="E150">
        <f t="shared" si="61"/>
        <v>10.064108740892586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-18.509767503382292</v>
      </c>
      <c r="K150" s="4">
        <f t="shared" si="68"/>
        <v>10.064108740892586</v>
      </c>
      <c r="L150" s="4">
        <f t="shared" si="69"/>
        <v>-18.509767503382292</v>
      </c>
      <c r="M150" s="4">
        <f t="shared" si="70"/>
        <v>10.064108740892586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-18.509767503382292</v>
      </c>
      <c r="C151">
        <f t="shared" si="62"/>
        <v>10.064108740892586</v>
      </c>
      <c r="D151" s="9">
        <f t="shared" si="61"/>
        <v>-18.509767503382292</v>
      </c>
      <c r="E151">
        <f t="shared" si="61"/>
        <v>10.064108740892586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-18.509767503382292</v>
      </c>
      <c r="K151" s="4">
        <f t="shared" si="68"/>
        <v>10.064108740892586</v>
      </c>
      <c r="L151" s="4">
        <f t="shared" si="69"/>
        <v>-18.509767503382292</v>
      </c>
      <c r="M151" s="4">
        <f t="shared" si="70"/>
        <v>10.064108740892586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-18.509767503382292</v>
      </c>
      <c r="C152">
        <f t="shared" si="62"/>
        <v>10.064108740892586</v>
      </c>
      <c r="D152" s="9">
        <f t="shared" si="61"/>
        <v>-18.509767503382292</v>
      </c>
      <c r="E152">
        <f t="shared" si="61"/>
        <v>10.064108740892586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-18.509767503382292</v>
      </c>
      <c r="K152" s="4">
        <f t="shared" si="68"/>
        <v>10.064108740892586</v>
      </c>
      <c r="L152" s="4">
        <f t="shared" si="69"/>
        <v>-18.509767503382292</v>
      </c>
      <c r="M152" s="4">
        <f t="shared" si="70"/>
        <v>10.064108740892586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-18.509767503382292</v>
      </c>
      <c r="C153">
        <f t="shared" si="62"/>
        <v>10.064108740892586</v>
      </c>
      <c r="D153" s="9">
        <f t="shared" si="61"/>
        <v>-18.509767503382292</v>
      </c>
      <c r="E153">
        <f t="shared" si="61"/>
        <v>10.064108740892586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-18.509767503382292</v>
      </c>
      <c r="K153" s="4">
        <f t="shared" si="68"/>
        <v>10.064108740892586</v>
      </c>
      <c r="L153" s="4">
        <f t="shared" si="69"/>
        <v>-18.509767503382292</v>
      </c>
      <c r="M153" s="4">
        <f t="shared" si="70"/>
        <v>10.064108740892586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49.999992909009194</v>
      </c>
      <c r="C159" t="s">
        <v>36</v>
      </c>
    </row>
    <row r="160" spans="1:18" x14ac:dyDescent="0.25">
      <c r="A160" s="1" t="s">
        <v>106</v>
      </c>
      <c r="B160" s="4">
        <f>Q140+I122+Q154-O122</f>
        <v>1975.2951459486833</v>
      </c>
      <c r="C160" t="s">
        <v>102</v>
      </c>
    </row>
    <row r="161" spans="1:9" x14ac:dyDescent="0.25">
      <c r="A161" s="1" t="s">
        <v>107</v>
      </c>
      <c r="B161" s="4">
        <f>R140+J122+R154-P122</f>
        <v>2804.1814719233516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49.999992909009194</v>
      </c>
      <c r="C164" t="s">
        <v>36</v>
      </c>
      <c r="E164" s="8">
        <f>B2-B164</f>
        <v>7.090990806091213E-6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-3199.9999494696503</v>
      </c>
      <c r="C165" t="s">
        <v>102</v>
      </c>
      <c r="E165" s="8">
        <f>B3+B165</f>
        <v>5.0530349653854501E-5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1234.9999856197894</v>
      </c>
      <c r="C166" t="s">
        <v>102</v>
      </c>
      <c r="E166" s="8">
        <f>B4+B166</f>
        <v>-1.4380210586750763E-5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-6.271843061188517</v>
      </c>
      <c r="C169" s="3">
        <f ca="1">A169+B169</f>
        <v>-0.74684306118851662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1.0530104348370775E-7</v>
      </c>
      <c r="D175" s="27">
        <f>B66*SQRT(I175)</f>
        <v>8.1948993282407074E-8</v>
      </c>
      <c r="E175" s="27">
        <f>B67*SQRT(I175)</f>
        <v>6.9570141710580047E-7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7.0993950086962077</v>
      </c>
      <c r="D176" s="3">
        <f>D175+B66</f>
        <v>5.5250000819489937</v>
      </c>
      <c r="E176" s="3">
        <f>B67+E175</f>
        <v>46.904180668522748</v>
      </c>
      <c r="F176" s="16" t="s">
        <v>125</v>
      </c>
    </row>
    <row r="177" spans="1:13" x14ac:dyDescent="0.25">
      <c r="B177" s="27">
        <f>B176-B64</f>
        <v>2.6937875929888833E-8</v>
      </c>
      <c r="C177" s="27">
        <f>C176-B65</f>
        <v>1.0530104344042002E-7</v>
      </c>
      <c r="D177" s="27">
        <f>D176-B66</f>
        <v>8.1948993368996526E-8</v>
      </c>
      <c r="E177" s="27">
        <f>E176-B67</f>
        <v>6.9570141647545825E-7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18.509767534763025</v>
      </c>
      <c r="B181" s="25">
        <f>(d_alpha_p!E136-d_alpha_m!E136)/(2*B177)</f>
        <v>18.509767534763025</v>
      </c>
      <c r="C181" s="25">
        <f>(d_alpha_p!E137-d_alpha_m!E137)/(2*B177)</f>
        <v>18.509767534763025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-7.090990806091213E-6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-5.0530349653854501E-5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1.4380210586750763E-5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0.74684306118851662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18.509767534763025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18.509767534763025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18.509767534763025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18.509767534763025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18.509767534763025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18.509767534763025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42" workbookViewId="0">
      <selection activeCell="B67" sqref="B67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3" x14ac:dyDescent="0.25">
      <c r="A51" s="10" t="s">
        <v>8</v>
      </c>
      <c r="B51" s="17">
        <f>'Rigid Bearing Plate Analysis'!B51</f>
        <v>5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3" x14ac:dyDescent="0.25">
      <c r="A63" s="16" t="s">
        <v>38</v>
      </c>
    </row>
    <row r="64" spans="1:13" x14ac:dyDescent="0.25">
      <c r="A64" s="11" t="s">
        <v>39</v>
      </c>
      <c r="B64" s="17">
        <f>'Rigid Bearing Plate Analysis'!B64</f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7.0993950086962094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46.904180668522748</v>
      </c>
      <c r="C67" t="s">
        <v>36</v>
      </c>
      <c r="D67" t="s">
        <v>122</v>
      </c>
      <c r="G67" s="20">
        <f ca="1">($B$56*$B$66*$B$55*$E$122)/$B$65</f>
        <v>41.318889162533921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-20.967171187665297</v>
      </c>
      <c r="R76">
        <f>Q76</f>
        <v>-20.967171187665297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20.967171187665297</v>
      </c>
      <c r="R77">
        <f>Q77</f>
        <v>20.967171187665297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-18.509767503382292</v>
      </c>
      <c r="C84" s="1">
        <f t="shared" ref="C84:C92" si="23">(-1*B73*SIN($B$64))+(C73*COS($B$64))</f>
        <v>10.064108740892586</v>
      </c>
      <c r="H84" s="1">
        <f t="shared" ref="H84:H92" si="24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0" x14ac:dyDescent="0.25">
      <c r="A85" s="1">
        <f t="shared" si="21"/>
        <v>2</v>
      </c>
      <c r="B85" s="4">
        <f t="shared" si="22"/>
        <v>-19.967171187665297</v>
      </c>
      <c r="C85" s="1">
        <f t="shared" si="23"/>
        <v>4.2438016612757101</v>
      </c>
      <c r="H85" s="1">
        <f t="shared" si="24"/>
        <v>2</v>
      </c>
      <c r="I85" s="4">
        <f t="shared" ref="I85:I92" si="25">(I74*COS($B$64))+(J74*SIN($B$64))</f>
        <v>-18.509767503382292</v>
      </c>
      <c r="J85" s="1">
        <f t="shared" ref="J85:J92" si="26">(-1*I74*SIN($B$64))+(J74*COS($B$64))</f>
        <v>10.064108740892586</v>
      </c>
    </row>
    <row r="86" spans="1:10" x14ac:dyDescent="0.25">
      <c r="A86" s="1">
        <f t="shared" si="21"/>
        <v>3</v>
      </c>
      <c r="B86" s="4">
        <f t="shared" si="22"/>
        <v>13.011466377658614</v>
      </c>
      <c r="C86" s="1">
        <f t="shared" si="23"/>
        <v>-12.26102988391149</v>
      </c>
      <c r="H86" s="1">
        <f t="shared" si="24"/>
        <v>3</v>
      </c>
      <c r="I86" s="4">
        <f t="shared" si="25"/>
        <v>-18.509767503382292</v>
      </c>
      <c r="J86" s="1">
        <f t="shared" si="26"/>
        <v>10.064108740892586</v>
      </c>
    </row>
    <row r="87" spans="1:10" x14ac:dyDescent="0.25">
      <c r="A87" s="1">
        <f t="shared" si="21"/>
        <v>4</v>
      </c>
      <c r="B87" s="4">
        <f t="shared" si="22"/>
        <v>16.412074974318958</v>
      </c>
      <c r="C87" s="1">
        <f t="shared" si="23"/>
        <v>1.3196866351945546</v>
      </c>
      <c r="H87" s="1">
        <f t="shared" si="24"/>
        <v>4</v>
      </c>
      <c r="I87" s="4">
        <f t="shared" si="25"/>
        <v>-18.509767503382292</v>
      </c>
      <c r="J87" s="1">
        <f t="shared" si="26"/>
        <v>10.064108740892586</v>
      </c>
    </row>
    <row r="88" spans="1:10" x14ac:dyDescent="0.25">
      <c r="A88" s="1">
        <f t="shared" si="21"/>
        <v>5</v>
      </c>
      <c r="B88" s="4">
        <f t="shared" si="22"/>
        <v>-18.509767503382292</v>
      </c>
      <c r="C88" s="1">
        <f t="shared" si="23"/>
        <v>10.064108740892586</v>
      </c>
      <c r="H88" s="1">
        <f t="shared" si="24"/>
        <v>5</v>
      </c>
      <c r="I88" s="4">
        <f t="shared" si="25"/>
        <v>-18.509767503382292</v>
      </c>
      <c r="J88" s="1">
        <f t="shared" si="26"/>
        <v>10.064108740892586</v>
      </c>
    </row>
    <row r="89" spans="1:10" x14ac:dyDescent="0.25">
      <c r="A89" s="1">
        <f t="shared" si="21"/>
        <v>6</v>
      </c>
      <c r="B89" s="4">
        <f t="shared" si="22"/>
        <v>-18.509767503382292</v>
      </c>
      <c r="C89" s="1">
        <f t="shared" si="23"/>
        <v>10.064108740892586</v>
      </c>
      <c r="H89" s="1">
        <f t="shared" si="24"/>
        <v>6</v>
      </c>
      <c r="I89" s="4">
        <f t="shared" si="25"/>
        <v>-18.509767503382292</v>
      </c>
      <c r="J89" s="1">
        <f t="shared" si="26"/>
        <v>10.064108740892586</v>
      </c>
    </row>
    <row r="90" spans="1:10" x14ac:dyDescent="0.25">
      <c r="A90" s="1">
        <f t="shared" si="21"/>
        <v>7</v>
      </c>
      <c r="B90" s="4">
        <f t="shared" si="22"/>
        <v>-18.509767503382292</v>
      </c>
      <c r="C90" s="1">
        <f t="shared" si="23"/>
        <v>10.064108740892586</v>
      </c>
      <c r="H90" s="1">
        <f t="shared" si="24"/>
        <v>7</v>
      </c>
      <c r="I90" s="4">
        <f t="shared" si="25"/>
        <v>-18.509767503382292</v>
      </c>
      <c r="J90" s="1">
        <f t="shared" si="26"/>
        <v>10.064108740892586</v>
      </c>
    </row>
    <row r="91" spans="1:10" x14ac:dyDescent="0.25">
      <c r="A91" s="1">
        <f t="shared" si="21"/>
        <v>8</v>
      </c>
      <c r="B91" s="4">
        <f t="shared" si="22"/>
        <v>-18.509767503382292</v>
      </c>
      <c r="C91" s="1">
        <f t="shared" si="23"/>
        <v>10.064108740892586</v>
      </c>
      <c r="H91" s="1">
        <f t="shared" si="24"/>
        <v>8</v>
      </c>
      <c r="I91" s="4">
        <f t="shared" si="25"/>
        <v>-18.509767503382292</v>
      </c>
      <c r="J91" s="1">
        <f t="shared" si="26"/>
        <v>10.064108740892586</v>
      </c>
    </row>
    <row r="92" spans="1:10" x14ac:dyDescent="0.25">
      <c r="A92" s="1">
        <f t="shared" si="21"/>
        <v>9</v>
      </c>
      <c r="B92" s="4">
        <f t="shared" si="22"/>
        <v>-18.509767503382292</v>
      </c>
      <c r="C92" s="1">
        <f t="shared" si="23"/>
        <v>10.064108740892586</v>
      </c>
      <c r="H92" s="1">
        <f t="shared" si="24"/>
        <v>9</v>
      </c>
      <c r="I92" s="4">
        <f t="shared" si="25"/>
        <v>-18.509767503382292</v>
      </c>
      <c r="J92" s="1">
        <f t="shared" si="26"/>
        <v>10.064108740892586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31">D95</f>
        <v>y</v>
      </c>
      <c r="E110" s="4">
        <f t="shared" ref="E110:E121" si="32">IF($D110="y",$B$125-C110,0)</f>
        <v>-4.673491420729583</v>
      </c>
      <c r="F110" s="1">
        <f>IF($D110="y",B110,NA())</f>
        <v>-17.055466371604336</v>
      </c>
      <c r="G110" s="1">
        <f>IF($D110="y",C110,NA())</f>
        <v>7.6382051529259591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8.9269159517739146E-4</v>
      </c>
      <c r="N110">
        <f>IF(AND(M110&gt;0,D110="y",$E$60="y"),$B$53*M110*$E$59,0)</f>
        <v>3.2247804335312873</v>
      </c>
      <c r="O110">
        <f>N110*C110</f>
        <v>24.631534524453485</v>
      </c>
      <c r="P110">
        <f>N110*B110*-1</f>
        <v>55.000134239900518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-17.662717906722257</v>
      </c>
      <c r="C111" s="1">
        <f t="shared" ref="C111:C121" si="37">(-1*B96*SIN($B$64))+(C96*COS($B$64))</f>
        <v>5.2130772030855939</v>
      </c>
      <c r="D111" t="str">
        <f t="shared" si="35"/>
        <v>y</v>
      </c>
      <c r="E111" s="4">
        <f t="shared" si="32"/>
        <v>-2.2483634708892177</v>
      </c>
      <c r="F111" s="1">
        <f t="shared" ref="F111:G121" si="38">IF($D111="y",B111,NA())</f>
        <v>-17.662717906722257</v>
      </c>
      <c r="G111" s="1">
        <f t="shared" si="38"/>
        <v>5.2130772030855939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4.2946375475604124E-4</v>
      </c>
      <c r="N111">
        <f t="shared" ref="N111:N121" si="42">IF(AND(M111&gt;0,D111="y",$E$60="y"),$B$53*M111*$E$59,0)</f>
        <v>1.5514051221384637</v>
      </c>
      <c r="O111">
        <f t="shared" ref="O111:O121" si="43">N111*C111</f>
        <v>8.0875946749702461</v>
      </c>
      <c r="P111">
        <f t="shared" ref="P111:P121" si="44">N111*B111*-1</f>
        <v>27.402031031375675</v>
      </c>
    </row>
    <row r="112" spans="1:16" x14ac:dyDescent="0.25">
      <c r="A112">
        <f t="shared" si="35"/>
        <v>3</v>
      </c>
      <c r="B112" s="1">
        <f t="shared" si="36"/>
        <v>-11.235159291987461</v>
      </c>
      <c r="C112" s="1">
        <f t="shared" si="37"/>
        <v>6.1808014686429535</v>
      </c>
      <c r="D112" t="str">
        <f t="shared" si="35"/>
        <v>y</v>
      </c>
      <c r="E112" s="4">
        <f t="shared" si="32"/>
        <v>-3.2160877364465774</v>
      </c>
      <c r="F112" s="1">
        <f t="shared" si="38"/>
        <v>-11.235159291987461</v>
      </c>
      <c r="G112" s="1">
        <f t="shared" si="38"/>
        <v>6.1808014686429535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6.1431042302646419E-4</v>
      </c>
      <c r="N112">
        <f t="shared" si="42"/>
        <v>2.2191496402477182</v>
      </c>
      <c r="O112">
        <f t="shared" si="43"/>
        <v>13.716123355581578</v>
      </c>
      <c r="P112">
        <f t="shared" si="44"/>
        <v>24.932499700939783</v>
      </c>
    </row>
    <row r="113" spans="1:16" x14ac:dyDescent="0.25">
      <c r="A113">
        <f t="shared" si="35"/>
        <v>4</v>
      </c>
      <c r="B113" s="1">
        <f t="shared" si="36"/>
        <v>-12.206761748176131</v>
      </c>
      <c r="C113" s="1">
        <f t="shared" si="37"/>
        <v>2.3005967488983701</v>
      </c>
      <c r="D113" t="str">
        <f t="shared" si="35"/>
        <v>y</v>
      </c>
      <c r="E113" s="4">
        <f t="shared" si="32"/>
        <v>0.66411698329800606</v>
      </c>
      <c r="F113" s="1">
        <f t="shared" si="38"/>
        <v>-12.206761748176131</v>
      </c>
      <c r="G113" s="1">
        <f t="shared" si="38"/>
        <v>2.3005967488983701</v>
      </c>
      <c r="H113">
        <f t="shared" si="33"/>
        <v>-2.529621960386006</v>
      </c>
      <c r="I113">
        <f t="shared" si="39"/>
        <v>-5.8196400580059668</v>
      </c>
      <c r="J113">
        <f t="shared" si="40"/>
        <v>-30.878492583386215</v>
      </c>
      <c r="K113">
        <f t="shared" ca="1" si="45"/>
        <v>-4.176048148106041</v>
      </c>
      <c r="L113">
        <f t="shared" ca="1" si="41"/>
        <v>-1.4400166027951866E-4</v>
      </c>
      <c r="M113">
        <f t="shared" si="34"/>
        <v>-1.2685412164769599E-4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-5.4148522123705849</v>
      </c>
      <c r="C114" s="1">
        <f t="shared" si="37"/>
        <v>4.7233977843599479</v>
      </c>
      <c r="D114" t="str">
        <f t="shared" si="35"/>
        <v>y</v>
      </c>
      <c r="E114" s="4">
        <f t="shared" si="32"/>
        <v>-1.7586840521635718</v>
      </c>
      <c r="F114" s="1">
        <f t="shared" si="38"/>
        <v>-5.4148522123705849</v>
      </c>
      <c r="G114" s="1">
        <f t="shared" si="38"/>
        <v>4.7233977843599479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3.3592925087553693E-4</v>
      </c>
      <c r="N114">
        <f t="shared" si="42"/>
        <v>1.2135188469641485</v>
      </c>
      <c r="O114">
        <f t="shared" si="43"/>
        <v>5.7319322330294975</v>
      </c>
      <c r="P114">
        <f t="shared" si="44"/>
        <v>6.5710252132372204</v>
      </c>
    </row>
    <row r="115" spans="1:16" x14ac:dyDescent="0.25">
      <c r="A115">
        <f t="shared" si="35"/>
        <v>6</v>
      </c>
      <c r="B115" s="1">
        <f t="shared" si="36"/>
        <v>-6.7508055896300068</v>
      </c>
      <c r="C115" s="1">
        <f t="shared" si="37"/>
        <v>-0.61188370528885416</v>
      </c>
      <c r="D115" t="str">
        <f t="shared" si="35"/>
        <v>y</v>
      </c>
      <c r="E115" s="4">
        <f t="shared" si="32"/>
        <v>3.5765974374852303</v>
      </c>
      <c r="F115" s="1">
        <f t="shared" si="38"/>
        <v>-6.7508055896300068</v>
      </c>
      <c r="G115" s="1">
        <f t="shared" si="38"/>
        <v>-0.61188370528885416</v>
      </c>
      <c r="H115">
        <f t="shared" si="33"/>
        <v>-13.623261637420192</v>
      </c>
      <c r="I115">
        <f t="shared" si="39"/>
        <v>8.3358518088241702</v>
      </c>
      <c r="J115">
        <f t="shared" si="40"/>
        <v>-91.967990810888267</v>
      </c>
      <c r="K115">
        <f t="shared" ca="1" si="45"/>
        <v>-22.49007852676586</v>
      </c>
      <c r="L115">
        <f t="shared" ca="1" si="41"/>
        <v>-7.7551994919882274E-4</v>
      </c>
      <c r="M115">
        <f t="shared" si="34"/>
        <v>-6.8317199805143327E-4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0.40545486724629032</v>
      </c>
      <c r="C116" s="1">
        <f t="shared" si="37"/>
        <v>3.2659941000769432</v>
      </c>
      <c r="D116" t="str">
        <f t="shared" si="35"/>
        <v>y</v>
      </c>
      <c r="E116" s="4">
        <f t="shared" si="32"/>
        <v>-0.30128036788056711</v>
      </c>
      <c r="F116" s="1">
        <f t="shared" si="38"/>
        <v>0.40545486724629032</v>
      </c>
      <c r="G116" s="1">
        <f t="shared" si="38"/>
        <v>3.2659941000769432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5.7548078724609851E-5</v>
      </c>
      <c r="N116">
        <f t="shared" si="42"/>
        <v>0.20788805368057983</v>
      </c>
      <c r="O116">
        <f t="shared" si="43"/>
        <v>0.67896115679725255</v>
      </c>
      <c r="P116">
        <f t="shared" si="44"/>
        <v>-8.4289223207149169E-2</v>
      </c>
    </row>
    <row r="117" spans="1:16" x14ac:dyDescent="0.25">
      <c r="A117">
        <f t="shared" si="35"/>
        <v>8</v>
      </c>
      <c r="B117" s="1">
        <f t="shared" si="36"/>
        <v>-1.2948494310838825</v>
      </c>
      <c r="C117" s="1">
        <f t="shared" si="37"/>
        <v>-3.524364159476078</v>
      </c>
      <c r="D117" t="str">
        <f t="shared" si="35"/>
        <v>y</v>
      </c>
      <c r="E117" s="4">
        <f t="shared" si="32"/>
        <v>6.4890778916724541</v>
      </c>
      <c r="F117" s="1">
        <f t="shared" si="38"/>
        <v>-1.2948494310838825</v>
      </c>
      <c r="G117" s="1">
        <f t="shared" si="38"/>
        <v>-3.524364159476078</v>
      </c>
      <c r="H117">
        <f t="shared" si="33"/>
        <v>-24.716901314454379</v>
      </c>
      <c r="I117">
        <f t="shared" si="39"/>
        <v>87.111361125970177</v>
      </c>
      <c r="J117">
        <f t="shared" si="40"/>
        <v>-32.004665605177721</v>
      </c>
      <c r="K117">
        <f t="shared" ca="1" si="45"/>
        <v>-40.804108905425679</v>
      </c>
      <c r="L117">
        <f t="shared" ca="1" si="41"/>
        <v>-1.4070382381181268E-3</v>
      </c>
      <c r="M117">
        <f t="shared" si="34"/>
        <v>-1.2394898744551705E-3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6.225761946863166</v>
      </c>
      <c r="C118" s="1">
        <f t="shared" si="37"/>
        <v>1.8085904157939381</v>
      </c>
      <c r="D118" t="str">
        <f t="shared" si="35"/>
        <v>y</v>
      </c>
      <c r="E118" s="4">
        <f t="shared" si="32"/>
        <v>1.156123316402438</v>
      </c>
      <c r="F118" s="1">
        <f t="shared" si="38"/>
        <v>6.225761946863166</v>
      </c>
      <c r="G118" s="1">
        <f t="shared" si="38"/>
        <v>1.8085904157939381</v>
      </c>
      <c r="H118">
        <f t="shared" si="33"/>
        <v>-4.4036743580363824</v>
      </c>
      <c r="I118">
        <f t="shared" si="39"/>
        <v>-7.964443238222124</v>
      </c>
      <c r="J118">
        <f t="shared" si="40"/>
        <v>27.416228244639992</v>
      </c>
      <c r="K118">
        <f t="shared" ca="1" si="45"/>
        <v>-7.2698436508408912</v>
      </c>
      <c r="L118">
        <f t="shared" ca="1" si="41"/>
        <v>-2.5068426382209968E-4</v>
      </c>
      <c r="M118">
        <f t="shared" si="34"/>
        <v>-2.2083309342631733E-4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4.1611067274622418</v>
      </c>
      <c r="C119" s="1">
        <f t="shared" si="37"/>
        <v>-6.4368446136633022</v>
      </c>
      <c r="D119" t="str">
        <f t="shared" si="35"/>
        <v>y</v>
      </c>
      <c r="E119" s="4">
        <f t="shared" si="32"/>
        <v>9.4015583458596783</v>
      </c>
      <c r="F119" s="1">
        <f t="shared" si="38"/>
        <v>4.1611067274622418</v>
      </c>
      <c r="G119" s="1">
        <f t="shared" si="38"/>
        <v>-6.4368446136633022</v>
      </c>
      <c r="H119">
        <f t="shared" si="33"/>
        <v>-35.810540991488566</v>
      </c>
      <c r="I119">
        <f t="shared" si="39"/>
        <v>230.50688789343207</v>
      </c>
      <c r="J119">
        <f t="shared" si="40"/>
        <v>149.01148303374544</v>
      </c>
      <c r="K119">
        <f t="shared" ca="1" si="45"/>
        <v>-59.118139284085494</v>
      </c>
      <c r="L119">
        <f t="shared" ca="1" si="41"/>
        <v>-2.038556527037431E-3</v>
      </c>
      <c r="M119">
        <f t="shared" si="34"/>
        <v>-1.7958077508589078E-3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12.046069026480041</v>
      </c>
      <c r="C120" s="1">
        <f t="shared" si="37"/>
        <v>0.35118673151093294</v>
      </c>
      <c r="D120" t="str">
        <f t="shared" si="35"/>
        <v>y</v>
      </c>
      <c r="E120" s="4">
        <f t="shared" si="32"/>
        <v>2.6135270006854432</v>
      </c>
      <c r="F120" s="1">
        <f t="shared" si="38"/>
        <v>12.046069026480041</v>
      </c>
      <c r="G120" s="1">
        <f t="shared" si="38"/>
        <v>0.35118673151093294</v>
      </c>
      <c r="H120">
        <f t="shared" si="33"/>
        <v>-9.9549258056378314</v>
      </c>
      <c r="I120">
        <f t="shared" si="39"/>
        <v>-3.496037856115791</v>
      </c>
      <c r="J120">
        <f t="shared" si="40"/>
        <v>119.91772340820074</v>
      </c>
      <c r="K120">
        <f t="shared" ca="1" si="45"/>
        <v>-16.434174800104604</v>
      </c>
      <c r="L120">
        <f t="shared" ca="1" si="41"/>
        <v>-5.666956827622277E-4</v>
      </c>
      <c r="M120">
        <f t="shared" si="34"/>
        <v>-4.9921426557724454E-4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9.617062886008366</v>
      </c>
      <c r="C121" s="1">
        <f t="shared" si="37"/>
        <v>-9.3493250678505255</v>
      </c>
      <c r="D121" t="str">
        <f t="shared" si="35"/>
        <v>y</v>
      </c>
      <c r="E121" s="4">
        <f t="shared" si="32"/>
        <v>12.314038800046902</v>
      </c>
      <c r="F121" s="1">
        <f t="shared" si="38"/>
        <v>9.617062886008366</v>
      </c>
      <c r="G121" s="1">
        <f t="shared" si="38"/>
        <v>-9.3493250678505255</v>
      </c>
      <c r="H121" s="23">
        <f t="shared" si="33"/>
        <v>-46.904180668522748</v>
      </c>
      <c r="I121" s="23">
        <f t="shared" si="39"/>
        <v>438.52243211120975</v>
      </c>
      <c r="J121" s="23">
        <f t="shared" si="40"/>
        <v>451.08045510588119</v>
      </c>
      <c r="K121">
        <f t="shared" ca="1" si="45"/>
        <v>-77.432169662745309</v>
      </c>
      <c r="L121">
        <f t="shared" ca="1" si="41"/>
        <v>-2.6700748159567346E-3</v>
      </c>
      <c r="M121">
        <f t="shared" si="34"/>
        <v>-2.3521256272626451E-3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12.314038800046902</v>
      </c>
      <c r="H122">
        <f>SUM(H110:H121)</f>
        <v>-137.94310673594609</v>
      </c>
      <c r="I122">
        <f t="shared" ref="I122:J122" si="46">SUM(I110:I121)</f>
        <v>747.1964117870923</v>
      </c>
      <c r="J122">
        <f t="shared" si="46"/>
        <v>592.57474079301517</v>
      </c>
      <c r="L122">
        <f ca="1">MIN(L110:L121)</f>
        <v>-2.6700748159567346E-3</v>
      </c>
      <c r="M122">
        <f>MIN(M110:M121)</f>
        <v>-2.3521256272626451E-3</v>
      </c>
      <c r="N122">
        <f>SUM(N110:N121)</f>
        <v>8.4167420965621993</v>
      </c>
      <c r="O122">
        <f>SUM(O110:O121)</f>
        <v>52.84614594483206</v>
      </c>
      <c r="P122">
        <f>SUM(P110:P121)</f>
        <v>113.82140096224605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2.9647137321963761</v>
      </c>
      <c r="F125" s="1" t="s">
        <v>27</v>
      </c>
      <c r="G125" s="1" t="s">
        <v>28</v>
      </c>
    </row>
    <row r="126" spans="1:16" x14ac:dyDescent="0.25">
      <c r="F126" s="4">
        <f>MIN(B84:B90)-1</f>
        <v>-20.967171187665297</v>
      </c>
      <c r="G126" s="4">
        <f>B125</f>
        <v>2.9647137321963761</v>
      </c>
    </row>
    <row r="127" spans="1:16" x14ac:dyDescent="0.25">
      <c r="F127" s="4">
        <f>MAX(B84:B90)+1</f>
        <v>17.412074974318958</v>
      </c>
      <c r="G127" s="4">
        <f>G126</f>
        <v>2.9647137321963761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47">B85</f>
        <v>-19.967171187665297</v>
      </c>
      <c r="E132" s="4">
        <f t="shared" si="47"/>
        <v>4.2438016612757101</v>
      </c>
      <c r="F132" s="4">
        <f t="shared" ref="F132:F139" si="48">($B$66/$B$65)*(C132-$B$125)</f>
        <v>5.5250000000000004</v>
      </c>
      <c r="G132" s="4">
        <f t="shared" ref="G132:G139" si="49">($B$66/$B$65)*(E132-$B$125)</f>
        <v>0.9954314134523915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0.9954314134523915</v>
      </c>
      <c r="P132" s="4">
        <f>(1/6)*(M132-K132)*((N132*((2*J132)+L132))+(O132*(J132+(2*L132))))</f>
        <v>361.85688657262085</v>
      </c>
      <c r="Q132" s="4">
        <f>((1/12)*(M132-K132)*(N132*J132*((3*K132)+M132)+N132*L132*(K132+M132)+O132*J132*(K132+M132)+O132*L132*(K132+(3*M132))))</f>
        <v>2821.2962073909889</v>
      </c>
      <c r="R132" s="4">
        <f>((-1/24)*(M132-K132)*(J132*J132*((3*N132)+O132)+2*J132*L132*(N132+O132)+L132*L132*(N132+(3*O132))))</f>
        <v>3451.6662849366644</v>
      </c>
    </row>
    <row r="133" spans="1:18" x14ac:dyDescent="0.25">
      <c r="A133" t="s">
        <v>70</v>
      </c>
      <c r="B133" s="4">
        <f t="shared" ref="B133:C138" si="50">D132</f>
        <v>-19.967171187665297</v>
      </c>
      <c r="C133" s="4">
        <f t="shared" si="50"/>
        <v>4.2438016612757101</v>
      </c>
      <c r="D133" s="4">
        <f t="shared" si="47"/>
        <v>13.011466377658614</v>
      </c>
      <c r="E133" s="4">
        <f t="shared" si="47"/>
        <v>-12.26102988391149</v>
      </c>
      <c r="F133" s="4">
        <f t="shared" si="48"/>
        <v>0.9954314134523915</v>
      </c>
      <c r="G133" s="4">
        <f t="shared" si="49"/>
        <v>-11.849211570275036</v>
      </c>
      <c r="H133" s="4">
        <f t="shared" ref="H133:H139" si="51">IF(B133=D133,"V",(C133-E133)/(B133-D133))</f>
        <v>-0.50047038821705481</v>
      </c>
      <c r="I133" s="4">
        <f t="shared" ref="I133:I139" si="52">IF(H133="V",0,(-1*B133*H133)+C133)</f>
        <v>-5.749176254611533</v>
      </c>
      <c r="J133" s="4">
        <f t="shared" ref="J133:J139" si="53">IF($F133&gt;=0,B133,IF(AND($F133&lt;0,$G133&gt;=0),IF(H133="V",B133,($B$125-I133)/H133),0))</f>
        <v>-19.967171187665297</v>
      </c>
      <c r="K133" s="4">
        <f t="shared" ref="K133:K139" si="54">IF($F133&gt;=0,C133,IF(AND($F133&lt;0,$G133&gt;=0),$B$125,0))</f>
        <v>4.2438016612757101</v>
      </c>
      <c r="L133" s="4">
        <f t="shared" ref="L133:L139" si="55">IF($G133&gt;=0,D133,IF(AND($G133&lt;0,$F133&gt;=0),IF(H133="V",D133,($B$125-I133)/H133),0))</f>
        <v>-17.411399739056453</v>
      </c>
      <c r="M133" s="4">
        <f t="shared" ref="M133:M139" si="56">IF($G133&gt;=0,E133,IF(AND($G133&lt;0,$F133&gt;=0),$B$125,0))</f>
        <v>2.9647137321963761</v>
      </c>
      <c r="N133" s="4">
        <f t="shared" ref="N133:O139" si="57">IF(F133&lt;0,IF($I$54="Linear",0,$B$66),IF($I$54="Linear",F133,$B$66))</f>
        <v>0.9954314134523915</v>
      </c>
      <c r="O133" s="4">
        <f t="shared" si="57"/>
        <v>0</v>
      </c>
      <c r="P133" s="4">
        <f t="shared" ref="P133:P139" si="58">(1/6)*(M133-K133)*((N133*((2*J133)+L133))+(O133*(J133+(2*L133))))</f>
        <v>12.169189928846988</v>
      </c>
      <c r="Q133" s="4">
        <f t="shared" ref="Q133:Q139" si="59">((1/12)*(M133-K133)*(N133*J133*((3*K133)+M133)+N133*L133*(K133+M133)+O133*J133*(K133+M133)+O133*L133*(K133+(3*M133))))</f>
        <v>46.570760106437604</v>
      </c>
      <c r="R133" s="4">
        <f t="shared" ref="R133:R139" si="60">((-1/24)*(M133-K133)*(J133*J133*((3*N133)+O133)+2*J133*L133*(N133+O133)+L133*L133*(N133+(3*O133))))</f>
        <v>116.42404888167101</v>
      </c>
    </row>
    <row r="134" spans="1:18" x14ac:dyDescent="0.25">
      <c r="A134" t="s">
        <v>71</v>
      </c>
      <c r="B134" s="4">
        <f t="shared" si="50"/>
        <v>13.011466377658614</v>
      </c>
      <c r="C134" s="4">
        <f t="shared" si="50"/>
        <v>-12.26102988391149</v>
      </c>
      <c r="D134" s="4">
        <f t="shared" si="47"/>
        <v>16.412074974318958</v>
      </c>
      <c r="E134" s="4">
        <f t="shared" si="47"/>
        <v>1.3196866351945546</v>
      </c>
      <c r="F134" s="4">
        <f t="shared" si="48"/>
        <v>-11.849211570275036</v>
      </c>
      <c r="G134" s="4">
        <f t="shared" si="49"/>
        <v>-1.2802182016639472</v>
      </c>
      <c r="H134" s="4">
        <f t="shared" si="51"/>
        <v>3.9936135350723214</v>
      </c>
      <c r="I134" s="4">
        <f t="shared" si="52"/>
        <v>-64.223798120867372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16.412074974318958</v>
      </c>
      <c r="C135" s="4">
        <f t="shared" si="50"/>
        <v>1.3196866351945546</v>
      </c>
      <c r="D135" s="4">
        <f t="shared" si="47"/>
        <v>-18.509767503382292</v>
      </c>
      <c r="E135" s="4">
        <f t="shared" si="47"/>
        <v>10.064108740892586</v>
      </c>
      <c r="F135" s="4">
        <f t="shared" si="48"/>
        <v>-1.2802182016639472</v>
      </c>
      <c r="G135" s="4">
        <f t="shared" si="49"/>
        <v>5.5250000000000004</v>
      </c>
      <c r="H135" s="4">
        <f t="shared" si="51"/>
        <v>-0.25039979237297216</v>
      </c>
      <c r="I135" s="4">
        <f t="shared" si="52"/>
        <v>5.4292668011736742</v>
      </c>
      <c r="J135" s="4">
        <f t="shared" si="53"/>
        <v>9.8424724941717603</v>
      </c>
      <c r="K135" s="4">
        <f t="shared" si="54"/>
        <v>2.9647137321963761</v>
      </c>
      <c r="L135" s="4">
        <f t="shared" si="55"/>
        <v>-18.509767503382292</v>
      </c>
      <c r="M135" s="4">
        <f t="shared" si="56"/>
        <v>10.064108740892586</v>
      </c>
      <c r="N135" s="4">
        <f t="shared" si="57"/>
        <v>0</v>
      </c>
      <c r="O135" s="4">
        <f t="shared" si="57"/>
        <v>5.5250000000000004</v>
      </c>
      <c r="P135" s="4">
        <f t="shared" si="58"/>
        <v>-177.66622971498634</v>
      </c>
      <c r="Q135" s="4">
        <f t="shared" si="59"/>
        <v>-1586.9220500848974</v>
      </c>
      <c r="R135" s="4">
        <f t="shared" si="60"/>
        <v>-1242.6621474123856</v>
      </c>
    </row>
    <row r="136" spans="1:18" x14ac:dyDescent="0.25">
      <c r="A136" t="s">
        <v>73</v>
      </c>
      <c r="B136" s="4">
        <f t="shared" si="50"/>
        <v>-18.509767503382292</v>
      </c>
      <c r="C136" s="4">
        <f t="shared" si="50"/>
        <v>10.064108740892586</v>
      </c>
      <c r="D136" s="4">
        <f t="shared" si="47"/>
        <v>-18.509767503382292</v>
      </c>
      <c r="E136" s="4">
        <f t="shared" si="47"/>
        <v>10.064108740892586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-18.509767503382292</v>
      </c>
      <c r="K136" s="4">
        <f t="shared" si="54"/>
        <v>10.064108740892586</v>
      </c>
      <c r="L136" s="4">
        <f t="shared" si="55"/>
        <v>-18.509767503382292</v>
      </c>
      <c r="M136" s="4">
        <f t="shared" si="56"/>
        <v>10.064108740892586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-18.509767503382292</v>
      </c>
      <c r="C137" s="4">
        <f t="shared" si="50"/>
        <v>10.064108740892586</v>
      </c>
      <c r="D137" s="4">
        <f t="shared" si="47"/>
        <v>-18.509767503382292</v>
      </c>
      <c r="E137" s="4">
        <f t="shared" si="47"/>
        <v>10.064108740892586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-18.509767503382292</v>
      </c>
      <c r="K137" s="4">
        <f t="shared" si="54"/>
        <v>10.064108740892586</v>
      </c>
      <c r="L137" s="4">
        <f t="shared" si="55"/>
        <v>-18.509767503382292</v>
      </c>
      <c r="M137" s="4">
        <f t="shared" si="56"/>
        <v>10.064108740892586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-18.509767503382292</v>
      </c>
      <c r="C138" s="4">
        <f t="shared" si="50"/>
        <v>10.064108740892586</v>
      </c>
      <c r="D138" s="4">
        <f t="shared" si="47"/>
        <v>-18.509767503382292</v>
      </c>
      <c r="E138" s="4">
        <f t="shared" si="47"/>
        <v>10.064108740892586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-18.509767503382292</v>
      </c>
      <c r="K138" s="4">
        <f t="shared" si="54"/>
        <v>10.064108740892586</v>
      </c>
      <c r="L138" s="4">
        <f t="shared" si="55"/>
        <v>-18.509767503382292</v>
      </c>
      <c r="M138" s="4">
        <f t="shared" si="56"/>
        <v>10.064108740892586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47"/>
        <v>-18.509767503382292</v>
      </c>
      <c r="E139" s="4">
        <f t="shared" si="47"/>
        <v>10.064108740892586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-18.509767503382292</v>
      </c>
      <c r="K139" s="4">
        <f t="shared" si="54"/>
        <v>10.064108740892586</v>
      </c>
      <c r="L139" s="4">
        <f t="shared" si="55"/>
        <v>-18.509767503382292</v>
      </c>
      <c r="M139" s="4">
        <f t="shared" si="56"/>
        <v>10.064108740892586</v>
      </c>
      <c r="N139" s="4">
        <f t="shared" si="57"/>
        <v>5.5250000000000004</v>
      </c>
      <c r="O139" s="4">
        <f>IF(G139&lt;0,IF($I$54="Linear",0,$B$66),IF($I$54="Linear",G139,$B$66))</f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196.35984678648151</v>
      </c>
      <c r="Q140" s="4">
        <f>SUM(Q132:Q139)</f>
        <v>1280.9449174125293</v>
      </c>
      <c r="R140" s="4">
        <f>SUM(R132:R139)</f>
        <v>2325.4281864059494</v>
      </c>
    </row>
    <row r="142" spans="1:18" x14ac:dyDescent="0.25">
      <c r="O142" t="s">
        <v>96</v>
      </c>
      <c r="P142" s="1">
        <f>-1*R140/P140</f>
        <v>-11.842686906017919</v>
      </c>
    </row>
    <row r="143" spans="1:18" x14ac:dyDescent="0.25">
      <c r="O143" t="s">
        <v>97</v>
      </c>
      <c r="P143" s="1">
        <f>Q140/P140</f>
        <v>6.523456492637254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61">I85</f>
        <v>-18.509767503382292</v>
      </c>
      <c r="E146">
        <f t="shared" si="61"/>
        <v>10.064108740892586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-18.509767503382292</v>
      </c>
      <c r="C147">
        <f t="shared" si="62"/>
        <v>10.064108740892586</v>
      </c>
      <c r="D147" s="9">
        <f t="shared" si="61"/>
        <v>-18.509767503382292</v>
      </c>
      <c r="E147">
        <f t="shared" si="61"/>
        <v>10.064108740892586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-18.509767503382292</v>
      </c>
      <c r="K147" s="4">
        <f t="shared" ref="K147:K153" si="68">IF($F147&gt;=0,C147,IF(AND($F147&lt;0,$G147&gt;=0),$B$125,0))</f>
        <v>10.064108740892586</v>
      </c>
      <c r="L147" s="4">
        <f t="shared" ref="L147:L153" si="69">IF($G147&gt;=0,D147,IF(AND($G147&lt;0,$F147&gt;=0),IF(H147="V",D147,($B$125-I147)/H147),0))</f>
        <v>-18.509767503382292</v>
      </c>
      <c r="M147" s="4">
        <f t="shared" ref="M147:M153" si="70">IF($G147&gt;=0,E147,IF(AND($G147&lt;0,$F147&gt;=0),$B$125,0))</f>
        <v>10.064108740892586</v>
      </c>
      <c r="N147" s="4">
        <f t="shared" ref="N147:O153" si="71">IF(F147&lt;0,IF($I$54="Linear",0,$B$66),IF($I$54="Linear",F147,$B$66))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-18.509767503382292</v>
      </c>
      <c r="C148">
        <f t="shared" si="62"/>
        <v>10.064108740892586</v>
      </c>
      <c r="D148" s="9">
        <f t="shared" si="61"/>
        <v>-18.509767503382292</v>
      </c>
      <c r="E148">
        <f t="shared" si="61"/>
        <v>10.064108740892586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-18.509767503382292</v>
      </c>
      <c r="K148" s="4">
        <f t="shared" si="68"/>
        <v>10.064108740892586</v>
      </c>
      <c r="L148" s="4">
        <f t="shared" si="69"/>
        <v>-18.509767503382292</v>
      </c>
      <c r="M148" s="4">
        <f t="shared" si="70"/>
        <v>10.064108740892586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-18.509767503382292</v>
      </c>
      <c r="C149">
        <f t="shared" si="62"/>
        <v>10.064108740892586</v>
      </c>
      <c r="D149" s="9">
        <f t="shared" si="61"/>
        <v>-18.509767503382292</v>
      </c>
      <c r="E149">
        <f t="shared" si="61"/>
        <v>10.064108740892586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-18.509767503382292</v>
      </c>
      <c r="K149" s="4">
        <f t="shared" si="68"/>
        <v>10.064108740892586</v>
      </c>
      <c r="L149" s="4">
        <f t="shared" si="69"/>
        <v>-18.509767503382292</v>
      </c>
      <c r="M149" s="4">
        <f t="shared" si="70"/>
        <v>10.064108740892586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-18.509767503382292</v>
      </c>
      <c r="C150">
        <f t="shared" si="62"/>
        <v>10.064108740892586</v>
      </c>
      <c r="D150" s="9">
        <f t="shared" si="61"/>
        <v>-18.509767503382292</v>
      </c>
      <c r="E150">
        <f t="shared" si="61"/>
        <v>10.064108740892586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-18.509767503382292</v>
      </c>
      <c r="K150" s="4">
        <f t="shared" si="68"/>
        <v>10.064108740892586</v>
      </c>
      <c r="L150" s="4">
        <f t="shared" si="69"/>
        <v>-18.509767503382292</v>
      </c>
      <c r="M150" s="4">
        <f t="shared" si="70"/>
        <v>10.064108740892586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-18.509767503382292</v>
      </c>
      <c r="C151">
        <f t="shared" si="62"/>
        <v>10.064108740892586</v>
      </c>
      <c r="D151" s="9">
        <f t="shared" si="61"/>
        <v>-18.509767503382292</v>
      </c>
      <c r="E151">
        <f t="shared" si="61"/>
        <v>10.064108740892586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-18.509767503382292</v>
      </c>
      <c r="K151" s="4">
        <f t="shared" si="68"/>
        <v>10.064108740892586</v>
      </c>
      <c r="L151" s="4">
        <f t="shared" si="69"/>
        <v>-18.509767503382292</v>
      </c>
      <c r="M151" s="4">
        <f t="shared" si="70"/>
        <v>10.064108740892586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-18.509767503382292</v>
      </c>
      <c r="C152">
        <f t="shared" si="62"/>
        <v>10.064108740892586</v>
      </c>
      <c r="D152" s="9">
        <f t="shared" si="61"/>
        <v>-18.509767503382292</v>
      </c>
      <c r="E152">
        <f t="shared" si="61"/>
        <v>10.064108740892586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-18.509767503382292</v>
      </c>
      <c r="K152" s="4">
        <f t="shared" si="68"/>
        <v>10.064108740892586</v>
      </c>
      <c r="L152" s="4">
        <f t="shared" si="69"/>
        <v>-18.509767503382292</v>
      </c>
      <c r="M152" s="4">
        <f t="shared" si="70"/>
        <v>10.064108740892586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-18.509767503382292</v>
      </c>
      <c r="C153">
        <f t="shared" si="62"/>
        <v>10.064108740892586</v>
      </c>
      <c r="D153" s="9">
        <f t="shared" si="61"/>
        <v>-18.509767503382292</v>
      </c>
      <c r="E153">
        <f t="shared" si="61"/>
        <v>10.064108740892586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-18.509767503382292</v>
      </c>
      <c r="K153" s="4">
        <f t="shared" si="68"/>
        <v>10.064108740892586</v>
      </c>
      <c r="L153" s="4">
        <f t="shared" si="69"/>
        <v>-18.509767503382292</v>
      </c>
      <c r="M153" s="4">
        <f t="shared" si="70"/>
        <v>10.064108740892586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49.999997953973221</v>
      </c>
      <c r="C159" t="s">
        <v>36</v>
      </c>
    </row>
    <row r="160" spans="1:18" x14ac:dyDescent="0.25">
      <c r="A160" s="1" t="s">
        <v>106</v>
      </c>
      <c r="B160" s="4">
        <f>Q140+I122+Q154-O122</f>
        <v>1975.2951832547897</v>
      </c>
      <c r="C160" t="s">
        <v>102</v>
      </c>
    </row>
    <row r="161" spans="1:9" x14ac:dyDescent="0.25">
      <c r="A161" s="1" t="s">
        <v>107</v>
      </c>
      <c r="B161" s="4">
        <f>R140+J122+R154-P122</f>
        <v>2804.1815262367186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49.999997953973221</v>
      </c>
      <c r="C164" t="s">
        <v>36</v>
      </c>
      <c r="E164" s="8">
        <f>B2-B164</f>
        <v>2.0460267791122533E-6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-3200.0000112180719</v>
      </c>
      <c r="C165" t="s">
        <v>102</v>
      </c>
      <c r="E165" s="8">
        <f>B3+B165</f>
        <v>-1.1218071904295357E-5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1235.0000086158718</v>
      </c>
      <c r="C166" t="s">
        <v>102</v>
      </c>
      <c r="E166" s="8">
        <f>B4+B166</f>
        <v>8.6158718204387696E-6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-6.2718433008738677</v>
      </c>
      <c r="C169" s="3">
        <f ca="1">A169+B169</f>
        <v>-0.7468433008738673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1.0530104504557465E-7</v>
      </c>
      <c r="D175" s="27">
        <f>B66*SQRT(I175)</f>
        <v>8.1948993282407074E-8</v>
      </c>
      <c r="E175" s="27">
        <f>B67*SQRT(I175)</f>
        <v>6.9570142742472006E-7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7.0993951139972546</v>
      </c>
      <c r="D176" s="3">
        <f>D175+B66</f>
        <v>5.5250000819489937</v>
      </c>
      <c r="E176" s="3">
        <f>B67+E175</f>
        <v>46.904181364224179</v>
      </c>
      <c r="F176" s="16" t="s">
        <v>125</v>
      </c>
    </row>
    <row r="177" spans="1:13" x14ac:dyDescent="0.25">
      <c r="B177" s="27">
        <f>B176-B64</f>
        <v>2.6937875929888833E-8</v>
      </c>
      <c r="C177" s="27">
        <f>C176-B65</f>
        <v>1.0530104521677686E-7</v>
      </c>
      <c r="D177" s="27">
        <f>D176-B66</f>
        <v>8.1948993368996526E-8</v>
      </c>
      <c r="E177" s="27">
        <f>E176-B67</f>
        <v>6.9570143068631296E-7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18.509767534763025</v>
      </c>
      <c r="B181" s="25">
        <f>(d_alpha_p!E136-d_alpha_m!E136)/(2*B177)</f>
        <v>18.509767534763025</v>
      </c>
      <c r="C181" s="25">
        <f>(d_alpha_p!E137-d_alpha_m!E137)/(2*B177)</f>
        <v>18.509767534763025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-2.0460267791122533E-6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1.1218071904295357E-5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-8.6158718204387696E-6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0.7468433008738673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18.509767534763025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18.509767534763025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18.509767534763025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18.509767534763025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18.509767534763025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18.509767534763025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3" workbookViewId="0">
      <selection activeCell="B68" sqref="B68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0.1388888888888889</v>
      </c>
      <c r="J2" t="s">
        <v>11</v>
      </c>
    </row>
    <row r="3" spans="1:29" x14ac:dyDescent="0.25">
      <c r="A3" s="10" t="s">
        <v>79</v>
      </c>
      <c r="B3" s="17">
        <f>'Rigid Bearing Plate Analysis'!B3</f>
        <v>3200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1.7736045905059976</v>
      </c>
      <c r="J3" t="s">
        <v>11</v>
      </c>
    </row>
    <row r="4" spans="1:29" x14ac:dyDescent="0.25">
      <c r="A4" s="10" t="s">
        <v>80</v>
      </c>
      <c r="B4" s="17">
        <f>'Rigid Bearing Plate Analysis'!B4</f>
        <v>-1235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-2.7413752202792465</v>
      </c>
      <c r="J4" t="s">
        <v>11</v>
      </c>
    </row>
    <row r="5" spans="1:29" x14ac:dyDescent="0.25">
      <c r="A5" s="10" t="s">
        <v>104</v>
      </c>
      <c r="B5" s="20">
        <f>ATAN2(B3,B4)</f>
        <v>-0.36832506303229151</v>
      </c>
      <c r="C5" t="s">
        <v>19</v>
      </c>
      <c r="I5">
        <f>SUM(I2:I4)</f>
        <v>-0.82888174088436006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5.2666666666666666</v>
      </c>
      <c r="C9" s="17">
        <f>'Rigid Bearing Plate Analysis'!C9</f>
        <v>20.399999999999999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22.768399153212332</v>
      </c>
      <c r="L13" s="4">
        <f>SQRT(H22/D22)</f>
        <v>6.2182527020592095</v>
      </c>
      <c r="M13" s="4">
        <f>SQRT(J22/D22)</f>
        <v>23.602259778814968</v>
      </c>
      <c r="N13" s="19">
        <f>G22-(D22*C9*C9)</f>
        <v>36806.400000000023</v>
      </c>
      <c r="O13" s="19">
        <f>H22-(D22*B9*B9)</f>
        <v>3934.3999999999996</v>
      </c>
      <c r="P13" s="19">
        <f>I22-(D22*B9*C9)</f>
        <v>4089.6000000000058</v>
      </c>
      <c r="Q13" s="19">
        <f>N13+O13</f>
        <v>40740.800000000025</v>
      </c>
      <c r="R13" s="19">
        <f>SQRT(ABS(N13/D22))</f>
        <v>10.111379727811634</v>
      </c>
      <c r="S13" s="19">
        <f>SQRT(O13/D22)</f>
        <v>3.3058870048579836</v>
      </c>
      <c r="T13" s="19">
        <f>SQRT(Q13/D22)</f>
        <v>10.638086711852322</v>
      </c>
      <c r="U13" s="19">
        <f>N13/(MAX(C13:C20)-C9)</f>
        <v>2359.3846153846166</v>
      </c>
      <c r="V13" s="19">
        <f>N13/(MIN(C13:C20)-C9)</f>
        <v>-1804.2352941176484</v>
      </c>
      <c r="W13" s="19">
        <f>O13/(MIN(B13:B20)-B9)</f>
        <v>-747.03797468354423</v>
      </c>
      <c r="X13" s="19">
        <f>O13/(MAX(B13:B20)-B9)</f>
        <v>450.50381679389307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-1.5348640867156698</v>
      </c>
      <c r="Y14" s="1">
        <f>$N$13/(C14-$C$9)</f>
        <v>-1804.2352941176484</v>
      </c>
      <c r="Z14">
        <f>$O$13/(B14-$B$9)</f>
        <v>5365.0909090909081</v>
      </c>
      <c r="AA14">
        <f>$B$3/Y14</f>
        <v>-1.7736045905059976</v>
      </c>
      <c r="AB14">
        <f>$B$4/Z14</f>
        <v>-0.23019181238986042</v>
      </c>
      <c r="AC14">
        <f>$I$2+AA14+AB14</f>
        <v>-1.8649075140069691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108</v>
      </c>
      <c r="E15" s="5">
        <f t="shared" ref="E15:E21" si="1">(B15+B14)*((B14*C15)-(B15*C14))*(1/6)</f>
        <v>720</v>
      </c>
      <c r="F15" s="5">
        <f t="shared" ref="F15:F21" si="2">(C15+C14)*((B14*C15)-(B15*C14))*(1/6)</f>
        <v>1296</v>
      </c>
      <c r="G15" s="5">
        <f t="shared" ref="G15:G21" si="3">(((C14*C14)+(C14*C15)+(C15*C15))*((B14*C15)-(B15*C14)))/12</f>
        <v>23328</v>
      </c>
      <c r="H15" s="5">
        <f t="shared" ref="H15:H21" si="4">(((B14*B14)+(B14*B15)+(B15*B15))*((B14*C15)-(B15*C14)))/12</f>
        <v>5688</v>
      </c>
      <c r="I15" s="5">
        <f t="shared" ref="I15:I21" si="5">(((B14*C15)+(2*B14*C14)+(2*B15*C15)+(B15*C14))*((B14*C15)-(B15*C14)))/24</f>
        <v>11016</v>
      </c>
      <c r="J15" s="5">
        <f t="shared" ref="J15:J21" si="6">G15+H15</f>
        <v>29016</v>
      </c>
      <c r="K15">
        <f t="shared" ref="K15:K21" si="7">ATAN2((B15-$E$22),(C15-$F$22))</f>
        <v>1.060438145429182</v>
      </c>
      <c r="N15" t="s">
        <v>136</v>
      </c>
      <c r="O15">
        <v>4</v>
      </c>
      <c r="Y15" s="1">
        <f t="shared" ref="Y15:Y20" si="8">$N$13/(C15-$C$9)</f>
        <v>2359.3846153846166</v>
      </c>
      <c r="Z15">
        <f t="shared" ref="Z15:Z21" si="9">$O$13/(B15-$B$9)</f>
        <v>450.50381679389307</v>
      </c>
      <c r="AA15">
        <f t="shared" ref="AA15:AA20" si="10">$B$3/Y15</f>
        <v>1.3562858633281161</v>
      </c>
      <c r="AB15">
        <f t="shared" ref="AB15:AB21" si="11">$B$4/Z15</f>
        <v>-2.7413752202792465</v>
      </c>
      <c r="AC15">
        <f t="shared" ref="AC15:AC20" si="12">$I$2+AA15+AB15</f>
        <v>-1.2462004680622416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1.8963880914925488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2359.3846153846166</v>
      </c>
      <c r="Z16">
        <f t="shared" si="9"/>
        <v>-747.03797468354423</v>
      </c>
      <c r="AA16">
        <f t="shared" si="10"/>
        <v>1.3562858633281161</v>
      </c>
      <c r="AB16">
        <f t="shared" si="11"/>
        <v>1.6531957435271791</v>
      </c>
      <c r="AC16">
        <f t="shared" si="12"/>
        <v>3.1483704957441843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-1.8234494363342473</v>
      </c>
      <c r="N17" t="s">
        <v>137</v>
      </c>
      <c r="O17">
        <f>K14</f>
        <v>-1.5348640867156698</v>
      </c>
      <c r="Q17" t="s">
        <v>137</v>
      </c>
      <c r="R17">
        <f>U16</f>
        <v>5.497787143782138</v>
      </c>
      <c r="Y17" s="1">
        <f t="shared" si="8"/>
        <v>-1804.2352941176484</v>
      </c>
      <c r="Z17">
        <f t="shared" si="9"/>
        <v>-747.03797468354423</v>
      </c>
      <c r="AA17">
        <f t="shared" si="10"/>
        <v>-1.7736045905059976</v>
      </c>
      <c r="AB17">
        <f t="shared" si="11"/>
        <v>1.6531957435271791</v>
      </c>
      <c r="AC17">
        <f t="shared" si="12"/>
        <v>1.8480041910070355E-2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-1.8234494363342473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-1804.2352941176484</v>
      </c>
      <c r="Z18">
        <f t="shared" si="9"/>
        <v>-747.03797468354423</v>
      </c>
      <c r="AA18">
        <f t="shared" si="10"/>
        <v>-1.7736045905059976</v>
      </c>
      <c r="AB18">
        <f t="shared" si="11"/>
        <v>1.6531957435271791</v>
      </c>
      <c r="AC18">
        <f t="shared" si="12"/>
        <v>1.8480041910070355E-2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-1.8234494363342473</v>
      </c>
      <c r="N19">
        <f>E22+(O16*COS(O17))</f>
        <v>5.4222042974508762</v>
      </c>
      <c r="O19">
        <f>F22+(O16*SIN(O17))</f>
        <v>16.073225907275607</v>
      </c>
      <c r="Q19">
        <f>E22+(R16*COS(R17))</f>
        <v>11.277074306752318</v>
      </c>
      <c r="R19">
        <f>F22+(R16*SIN(R17))</f>
        <v>14.389592359914342</v>
      </c>
      <c r="Y19" s="1">
        <f t="shared" si="8"/>
        <v>-1804.2352941176484</v>
      </c>
      <c r="Z19">
        <f t="shared" si="9"/>
        <v>-747.03797468354423</v>
      </c>
      <c r="AA19">
        <f t="shared" si="10"/>
        <v>-1.7736045905059976</v>
      </c>
      <c r="AB19">
        <f t="shared" si="11"/>
        <v>1.6531957435271791</v>
      </c>
      <c r="AC19">
        <f t="shared" si="12"/>
        <v>1.8480041910070355E-2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-1.8234494363342473</v>
      </c>
      <c r="Y20" s="1">
        <f t="shared" si="8"/>
        <v>-1804.2352941176484</v>
      </c>
      <c r="Z20">
        <f t="shared" si="9"/>
        <v>-747.03797468354423</v>
      </c>
      <c r="AA20">
        <f t="shared" si="10"/>
        <v>-1.7736045905059976</v>
      </c>
      <c r="AB20">
        <f t="shared" si="11"/>
        <v>1.6531957435271791</v>
      </c>
      <c r="AC20">
        <f t="shared" si="12"/>
        <v>1.8480041910070355E-2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-1.8234494363342473</v>
      </c>
      <c r="Y21" s="1"/>
      <c r="Z21">
        <f t="shared" si="9"/>
        <v>-747.03797468354423</v>
      </c>
      <c r="AB21">
        <f t="shared" si="11"/>
        <v>1.6531957435271791</v>
      </c>
    </row>
    <row r="22" spans="1:29" x14ac:dyDescent="0.25">
      <c r="D22" s="5">
        <f>SUM(D13:D21)</f>
        <v>360</v>
      </c>
      <c r="E22" s="5">
        <f>SUM(E14:E21)/D22</f>
        <v>5.2666666666666666</v>
      </c>
      <c r="F22" s="5">
        <f>SUM(F14:F21)/D22</f>
        <v>20.399999999999999</v>
      </c>
      <c r="G22" s="5">
        <f>SUM(G14:G21)</f>
        <v>186624</v>
      </c>
      <c r="H22" s="5">
        <f>SUM(H14:H21)</f>
        <v>13920</v>
      </c>
      <c r="I22" s="5">
        <f>SUM(I14:I21)</f>
        <v>42768</v>
      </c>
      <c r="J22" s="5">
        <f>SUM(J14:J21)</f>
        <v>200544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6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6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7.5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7.5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9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9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10.5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10.5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-9.9475983006414026E-14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0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9.9475983006414026E-14</v>
      </c>
      <c r="M57" s="17" t="str">
        <f ca="1">'Rigid Bearing Plate Analysis'!M57</f>
        <v>SOLUTION IF STRAIN IGNORED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4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1.8161512296861473</v>
      </c>
      <c r="C64" t="s">
        <v>19</v>
      </c>
      <c r="D64" t="s">
        <v>34</v>
      </c>
      <c r="H64" s="17">
        <f>DEGREES(B64)</f>
        <v>104.05780041851082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7.0993950086962094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46.904179277119916</v>
      </c>
      <c r="C67" t="s">
        <v>36</v>
      </c>
      <c r="D67" t="s">
        <v>122</v>
      </c>
      <c r="G67" s="20">
        <f ca="1">($B$56*$B$66*$B$55*$E$122)/$B$65</f>
        <v>41.318889162533921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-5.2666666666666666</v>
      </c>
      <c r="C73" s="4">
        <f t="shared" ref="C73:C81" si="17">C13-$C$9</f>
        <v>-20.399999999999999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-5.2666666666666666</v>
      </c>
      <c r="J73" s="4">
        <f>C25-$C$9</f>
        <v>-20.399999999999999</v>
      </c>
    </row>
    <row r="74" spans="1:18" x14ac:dyDescent="0.25">
      <c r="A74" s="1">
        <f t="shared" si="15"/>
        <v>2</v>
      </c>
      <c r="B74" s="4">
        <f t="shared" si="16"/>
        <v>0.73333333333333339</v>
      </c>
      <c r="C74" s="4">
        <f t="shared" si="17"/>
        <v>-20.399999999999999</v>
      </c>
      <c r="H74" s="1">
        <f t="shared" si="18"/>
        <v>2</v>
      </c>
      <c r="I74" s="4">
        <f t="shared" ref="I74:I81" si="19">B26-$B$9</f>
        <v>-5.2666666666666666</v>
      </c>
      <c r="J74" s="4">
        <f t="shared" ref="J74:J81" si="20">C26-$C$9</f>
        <v>-20.399999999999999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8.7333333333333343</v>
      </c>
      <c r="C75" s="4">
        <f t="shared" si="17"/>
        <v>15.600000000000001</v>
      </c>
      <c r="H75" s="1">
        <f t="shared" si="18"/>
        <v>3</v>
      </c>
      <c r="I75" s="4">
        <f t="shared" si="19"/>
        <v>-5.2666666666666666</v>
      </c>
      <c r="J75" s="4">
        <f t="shared" si="20"/>
        <v>-20.399999999999999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-5.2666666666666666</v>
      </c>
      <c r="C76" s="4">
        <f t="shared" si="17"/>
        <v>15.600000000000001</v>
      </c>
      <c r="H76" s="1">
        <f t="shared" si="18"/>
        <v>4</v>
      </c>
      <c r="I76" s="4">
        <f t="shared" si="19"/>
        <v>-5.2666666666666666</v>
      </c>
      <c r="J76" s="4">
        <f t="shared" si="20"/>
        <v>-20.399999999999999</v>
      </c>
      <c r="Q76" cm="1">
        <f t="array" ref="Q76">(-1*MAX(ABS(B84:C91)))-1</f>
        <v>-20.967171187665297</v>
      </c>
      <c r="R76">
        <f>Q76</f>
        <v>-20.967171187665297</v>
      </c>
    </row>
    <row r="77" spans="1:18" x14ac:dyDescent="0.25">
      <c r="A77" s="1">
        <f t="shared" si="15"/>
        <v>5</v>
      </c>
      <c r="B77" s="4">
        <f t="shared" si="16"/>
        <v>-5.2666666666666666</v>
      </c>
      <c r="C77" s="4">
        <f t="shared" si="17"/>
        <v>-20.399999999999999</v>
      </c>
      <c r="H77" s="1">
        <f t="shared" si="18"/>
        <v>5</v>
      </c>
      <c r="I77" s="4">
        <f t="shared" si="19"/>
        <v>-5.2666666666666666</v>
      </c>
      <c r="J77" s="4">
        <f t="shared" si="20"/>
        <v>-20.399999999999999</v>
      </c>
      <c r="Q77">
        <f>-1*Q76</f>
        <v>20.967171187665297</v>
      </c>
      <c r="R77">
        <f>Q77</f>
        <v>20.967171187665297</v>
      </c>
    </row>
    <row r="78" spans="1:18" x14ac:dyDescent="0.25">
      <c r="A78" s="1">
        <f t="shared" si="15"/>
        <v>6</v>
      </c>
      <c r="B78" s="4">
        <f t="shared" si="16"/>
        <v>-5.2666666666666666</v>
      </c>
      <c r="C78" s="4">
        <f t="shared" si="17"/>
        <v>-20.399999999999999</v>
      </c>
      <c r="H78" s="1">
        <f t="shared" si="18"/>
        <v>6</v>
      </c>
      <c r="I78" s="4">
        <f t="shared" si="19"/>
        <v>-5.2666666666666666</v>
      </c>
      <c r="J78" s="4">
        <f t="shared" si="20"/>
        <v>-20.399999999999999</v>
      </c>
    </row>
    <row r="79" spans="1:18" x14ac:dyDescent="0.25">
      <c r="A79" s="1">
        <f t="shared" si="15"/>
        <v>7</v>
      </c>
      <c r="B79" s="4">
        <f t="shared" si="16"/>
        <v>-5.2666666666666666</v>
      </c>
      <c r="C79" s="4">
        <f t="shared" si="17"/>
        <v>-20.399999999999999</v>
      </c>
      <c r="H79" s="1">
        <f t="shared" si="18"/>
        <v>7</v>
      </c>
      <c r="I79" s="4">
        <f t="shared" si="19"/>
        <v>-5.2666666666666666</v>
      </c>
      <c r="J79" s="4">
        <f t="shared" si="20"/>
        <v>-20.399999999999999</v>
      </c>
    </row>
    <row r="80" spans="1:18" x14ac:dyDescent="0.25">
      <c r="A80" s="1">
        <f t="shared" si="15"/>
        <v>8</v>
      </c>
      <c r="B80" s="4">
        <f t="shared" si="16"/>
        <v>-5.2666666666666666</v>
      </c>
      <c r="C80" s="4">
        <f t="shared" si="17"/>
        <v>-20.399999999999999</v>
      </c>
      <c r="H80" s="1">
        <f t="shared" si="18"/>
        <v>8</v>
      </c>
      <c r="I80" s="4">
        <f t="shared" si="19"/>
        <v>-5.2666666666666666</v>
      </c>
      <c r="J80" s="4">
        <f t="shared" si="20"/>
        <v>-20.399999999999999</v>
      </c>
    </row>
    <row r="81" spans="1:10" x14ac:dyDescent="0.25">
      <c r="A81" s="1">
        <f t="shared" si="15"/>
        <v>9</v>
      </c>
      <c r="B81" s="4">
        <f t="shared" si="16"/>
        <v>-5.2666666666666666</v>
      </c>
      <c r="C81" s="4">
        <f t="shared" si="17"/>
        <v>-20.399999999999999</v>
      </c>
      <c r="H81" s="1">
        <f t="shared" si="18"/>
        <v>9</v>
      </c>
      <c r="I81" s="4">
        <f t="shared" si="19"/>
        <v>-5.2666666666666666</v>
      </c>
      <c r="J81" s="4">
        <f t="shared" si="20"/>
        <v>-20.399999999999999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-18.509767503382292</v>
      </c>
      <c r="C84" s="1">
        <f t="shared" ref="C84:C92" si="23">(-1*B73*SIN($B$64))+(C73*COS($B$64))</f>
        <v>10.064108740892586</v>
      </c>
      <c r="H84" s="1">
        <f t="shared" ref="H84:H92" si="24">H73</f>
        <v>1</v>
      </c>
      <c r="I84" s="4">
        <f>(I73*COS($B$64))+(J73*SIN($B$64))</f>
        <v>-18.509767503382292</v>
      </c>
      <c r="J84" s="1">
        <f>(-1*I73*SIN($B$64))+(J73*COS($B$64))</f>
        <v>10.064108740892586</v>
      </c>
    </row>
    <row r="85" spans="1:10" x14ac:dyDescent="0.25">
      <c r="A85" s="1">
        <f t="shared" si="21"/>
        <v>2</v>
      </c>
      <c r="B85" s="4">
        <f t="shared" si="22"/>
        <v>-19.967171187665297</v>
      </c>
      <c r="C85" s="1">
        <f t="shared" si="23"/>
        <v>4.2438016612757101</v>
      </c>
      <c r="H85" s="1">
        <f t="shared" si="24"/>
        <v>2</v>
      </c>
      <c r="I85" s="4">
        <f t="shared" ref="I85:I92" si="25">(I74*COS($B$64))+(J74*SIN($B$64))</f>
        <v>-18.509767503382292</v>
      </c>
      <c r="J85" s="1">
        <f t="shared" ref="J85:J92" si="26">(-1*I74*SIN($B$64))+(J74*COS($B$64))</f>
        <v>10.064108740892586</v>
      </c>
    </row>
    <row r="86" spans="1:10" x14ac:dyDescent="0.25">
      <c r="A86" s="1">
        <f t="shared" si="21"/>
        <v>3</v>
      </c>
      <c r="B86" s="4">
        <f t="shared" si="22"/>
        <v>13.011466377658614</v>
      </c>
      <c r="C86" s="1">
        <f t="shared" si="23"/>
        <v>-12.26102988391149</v>
      </c>
      <c r="H86" s="1">
        <f t="shared" si="24"/>
        <v>3</v>
      </c>
      <c r="I86" s="4">
        <f t="shared" si="25"/>
        <v>-18.509767503382292</v>
      </c>
      <c r="J86" s="1">
        <f t="shared" si="26"/>
        <v>10.064108740892586</v>
      </c>
    </row>
    <row r="87" spans="1:10" x14ac:dyDescent="0.25">
      <c r="A87" s="1">
        <f t="shared" si="21"/>
        <v>4</v>
      </c>
      <c r="B87" s="4">
        <f t="shared" si="22"/>
        <v>16.412074974318958</v>
      </c>
      <c r="C87" s="1">
        <f t="shared" si="23"/>
        <v>1.3196866351945546</v>
      </c>
      <c r="H87" s="1">
        <f t="shared" si="24"/>
        <v>4</v>
      </c>
      <c r="I87" s="4">
        <f t="shared" si="25"/>
        <v>-18.509767503382292</v>
      </c>
      <c r="J87" s="1">
        <f t="shared" si="26"/>
        <v>10.064108740892586</v>
      </c>
    </row>
    <row r="88" spans="1:10" x14ac:dyDescent="0.25">
      <c r="A88" s="1">
        <f t="shared" si="21"/>
        <v>5</v>
      </c>
      <c r="B88" s="4">
        <f t="shared" si="22"/>
        <v>-18.509767503382292</v>
      </c>
      <c r="C88" s="1">
        <f t="shared" si="23"/>
        <v>10.064108740892586</v>
      </c>
      <c r="H88" s="1">
        <f t="shared" si="24"/>
        <v>5</v>
      </c>
      <c r="I88" s="4">
        <f t="shared" si="25"/>
        <v>-18.509767503382292</v>
      </c>
      <c r="J88" s="1">
        <f t="shared" si="26"/>
        <v>10.064108740892586</v>
      </c>
    </row>
    <row r="89" spans="1:10" x14ac:dyDescent="0.25">
      <c r="A89" s="1">
        <f t="shared" si="21"/>
        <v>6</v>
      </c>
      <c r="B89" s="4">
        <f t="shared" si="22"/>
        <v>-18.509767503382292</v>
      </c>
      <c r="C89" s="1">
        <f t="shared" si="23"/>
        <v>10.064108740892586</v>
      </c>
      <c r="H89" s="1">
        <f t="shared" si="24"/>
        <v>6</v>
      </c>
      <c r="I89" s="4">
        <f t="shared" si="25"/>
        <v>-18.509767503382292</v>
      </c>
      <c r="J89" s="1">
        <f t="shared" si="26"/>
        <v>10.064108740892586</v>
      </c>
    </row>
    <row r="90" spans="1:10" x14ac:dyDescent="0.25">
      <c r="A90" s="1">
        <f t="shared" si="21"/>
        <v>7</v>
      </c>
      <c r="B90" s="4">
        <f t="shared" si="22"/>
        <v>-18.509767503382292</v>
      </c>
      <c r="C90" s="1">
        <f t="shared" si="23"/>
        <v>10.064108740892586</v>
      </c>
      <c r="H90" s="1">
        <f t="shared" si="24"/>
        <v>7</v>
      </c>
      <c r="I90" s="4">
        <f t="shared" si="25"/>
        <v>-18.509767503382292</v>
      </c>
      <c r="J90" s="1">
        <f t="shared" si="26"/>
        <v>10.064108740892586</v>
      </c>
    </row>
    <row r="91" spans="1:10" x14ac:dyDescent="0.25">
      <c r="A91" s="1">
        <f t="shared" si="21"/>
        <v>8</v>
      </c>
      <c r="B91" s="4">
        <f t="shared" si="22"/>
        <v>-18.509767503382292</v>
      </c>
      <c r="C91" s="1">
        <f t="shared" si="23"/>
        <v>10.064108740892586</v>
      </c>
      <c r="H91" s="1">
        <f t="shared" si="24"/>
        <v>8</v>
      </c>
      <c r="I91" s="4">
        <f t="shared" si="25"/>
        <v>-18.509767503382292</v>
      </c>
      <c r="J91" s="1">
        <f t="shared" si="26"/>
        <v>10.064108740892586</v>
      </c>
    </row>
    <row r="92" spans="1:10" x14ac:dyDescent="0.25">
      <c r="A92" s="1">
        <f t="shared" si="21"/>
        <v>9</v>
      </c>
      <c r="B92" s="4">
        <f t="shared" si="22"/>
        <v>-18.509767503382292</v>
      </c>
      <c r="C92" s="1">
        <f t="shared" si="23"/>
        <v>10.064108740892586</v>
      </c>
      <c r="H92" s="1">
        <f t="shared" si="24"/>
        <v>9</v>
      </c>
      <c r="I92" s="4">
        <f t="shared" si="25"/>
        <v>-18.509767503382292</v>
      </c>
      <c r="J92" s="1">
        <f t="shared" si="26"/>
        <v>10.064108740892586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-3.2666666666666666</v>
      </c>
      <c r="C95" s="4">
        <f t="shared" ref="C95:C106" si="29">C37-$C$9</f>
        <v>-18.399999999999999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-0.76666666666666661</v>
      </c>
      <c r="C96" s="4">
        <f t="shared" si="29"/>
        <v>-18.399999999999999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-3.2666666666666666</v>
      </c>
      <c r="C97" s="4">
        <f t="shared" si="29"/>
        <v>-12.399999999999999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0.73333333333333339</v>
      </c>
      <c r="C98" s="4">
        <f t="shared" si="29"/>
        <v>-12.399999999999999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-3.2666666666666666</v>
      </c>
      <c r="C99" s="4">
        <f t="shared" si="29"/>
        <v>-6.3999999999999986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2.2333333333333334</v>
      </c>
      <c r="C100" s="4">
        <f t="shared" si="29"/>
        <v>-6.3999999999999986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-3.2666666666666666</v>
      </c>
      <c r="C101" s="4">
        <f t="shared" si="29"/>
        <v>-0.39999999999999858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3.7333333333333334</v>
      </c>
      <c r="C102" s="4">
        <f t="shared" si="29"/>
        <v>-0.39999999999999858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-3.2666666666666666</v>
      </c>
      <c r="C103" s="4">
        <f t="shared" si="29"/>
        <v>5.6000000000000014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5.2333333333333334</v>
      </c>
      <c r="C104" s="4">
        <f t="shared" si="29"/>
        <v>5.6000000000000014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-3.2666666666666666</v>
      </c>
      <c r="C105" s="4">
        <f t="shared" si="29"/>
        <v>11.600000000000001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6.7333333333333334</v>
      </c>
      <c r="C106" s="4">
        <f t="shared" si="29"/>
        <v>11.600000000000001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-17.055466371604336</v>
      </c>
      <c r="C110" s="1">
        <f>(-1*B95*SIN($B$64))+(C95*COS($B$64))</f>
        <v>7.6382051529259591</v>
      </c>
      <c r="D110" t="str">
        <f t="shared" ref="D110" si="31">D95</f>
        <v>y</v>
      </c>
      <c r="E110" s="4">
        <f t="shared" ref="E110:E121" si="32">IF($D110="y",$B$125-C110,0)</f>
        <v>-4.673491420729583</v>
      </c>
      <c r="F110" s="1">
        <f>IF($D110="y",B110,NA())</f>
        <v>-17.055466371604336</v>
      </c>
      <c r="G110" s="1">
        <f>IF($D110="y",C110,NA())</f>
        <v>7.6382051529259591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8.9269159517739146E-4</v>
      </c>
      <c r="N110">
        <f>IF(AND(M110&gt;0,D110="y",$E$60="y"),$B$53*M110*$E$59,0)</f>
        <v>3.2247804335312873</v>
      </c>
      <c r="O110">
        <f>N110*C110</f>
        <v>24.631534524453485</v>
      </c>
      <c r="P110">
        <f>N110*B110*-1</f>
        <v>55.000134239900518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-17.662717906722257</v>
      </c>
      <c r="C111" s="1">
        <f t="shared" ref="C111:C121" si="37">(-1*B96*SIN($B$64))+(C96*COS($B$64))</f>
        <v>5.2130772030855939</v>
      </c>
      <c r="D111" t="str">
        <f t="shared" si="35"/>
        <v>y</v>
      </c>
      <c r="E111" s="4">
        <f t="shared" si="32"/>
        <v>-2.2483634708892177</v>
      </c>
      <c r="F111" s="1">
        <f t="shared" ref="F111:G121" si="38">IF($D111="y",B111,NA())</f>
        <v>-17.662717906722257</v>
      </c>
      <c r="G111" s="1">
        <f t="shared" si="38"/>
        <v>5.2130772030855939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4.2946375475604124E-4</v>
      </c>
      <c r="N111">
        <f t="shared" ref="N111:N121" si="42">IF(AND(M111&gt;0,D111="y",$E$60="y"),$B$53*M111*$E$59,0)</f>
        <v>1.5514051221384637</v>
      </c>
      <c r="O111">
        <f t="shared" ref="O111:O121" si="43">N111*C111</f>
        <v>8.0875946749702461</v>
      </c>
      <c r="P111">
        <f t="shared" ref="P111:P121" si="44">N111*B111*-1</f>
        <v>27.402031031375675</v>
      </c>
    </row>
    <row r="112" spans="1:16" x14ac:dyDescent="0.25">
      <c r="A112">
        <f t="shared" si="35"/>
        <v>3</v>
      </c>
      <c r="B112" s="1">
        <f t="shared" si="36"/>
        <v>-11.235159291987461</v>
      </c>
      <c r="C112" s="1">
        <f t="shared" si="37"/>
        <v>6.1808014686429535</v>
      </c>
      <c r="D112" t="str">
        <f t="shared" si="35"/>
        <v>y</v>
      </c>
      <c r="E112" s="4">
        <f t="shared" si="32"/>
        <v>-3.2160877364465774</v>
      </c>
      <c r="F112" s="1">
        <f t="shared" si="38"/>
        <v>-11.235159291987461</v>
      </c>
      <c r="G112" s="1">
        <f t="shared" si="38"/>
        <v>6.1808014686429535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6.1431042302646419E-4</v>
      </c>
      <c r="N112">
        <f t="shared" si="42"/>
        <v>2.2191496402477182</v>
      </c>
      <c r="O112">
        <f t="shared" si="43"/>
        <v>13.716123355581578</v>
      </c>
      <c r="P112">
        <f t="shared" si="44"/>
        <v>24.932499700939783</v>
      </c>
    </row>
    <row r="113" spans="1:16" x14ac:dyDescent="0.25">
      <c r="A113">
        <f t="shared" si="35"/>
        <v>4</v>
      </c>
      <c r="B113" s="1">
        <f t="shared" si="36"/>
        <v>-12.206761748176131</v>
      </c>
      <c r="C113" s="1">
        <f t="shared" si="37"/>
        <v>2.3005967488983701</v>
      </c>
      <c r="D113" t="str">
        <f t="shared" si="35"/>
        <v>y</v>
      </c>
      <c r="E113" s="4">
        <f t="shared" si="32"/>
        <v>0.66411698329800606</v>
      </c>
      <c r="F113" s="1">
        <f t="shared" si="38"/>
        <v>-12.206761748176131</v>
      </c>
      <c r="G113" s="1">
        <f t="shared" si="38"/>
        <v>2.3005967488983701</v>
      </c>
      <c r="H113">
        <f t="shared" si="33"/>
        <v>-2.5296218853452928</v>
      </c>
      <c r="I113">
        <f t="shared" si="39"/>
        <v>-5.819639885367546</v>
      </c>
      <c r="J113">
        <f t="shared" si="40"/>
        <v>-30.878491667382107</v>
      </c>
      <c r="K113">
        <f t="shared" ca="1" si="45"/>
        <v>-4.1760480242244356</v>
      </c>
      <c r="L113">
        <f t="shared" ca="1" si="41"/>
        <v>-1.4400165600773914E-4</v>
      </c>
      <c r="M113">
        <f t="shared" si="34"/>
        <v>-1.2685412164769599E-4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-5.4148522123705849</v>
      </c>
      <c r="C114" s="1">
        <f t="shared" si="37"/>
        <v>4.7233977843599479</v>
      </c>
      <c r="D114" t="str">
        <f t="shared" si="35"/>
        <v>y</v>
      </c>
      <c r="E114" s="4">
        <f t="shared" si="32"/>
        <v>-1.7586840521635718</v>
      </c>
      <c r="F114" s="1">
        <f t="shared" si="38"/>
        <v>-5.4148522123705849</v>
      </c>
      <c r="G114" s="1">
        <f t="shared" si="38"/>
        <v>4.7233977843599479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3.3592925087553693E-4</v>
      </c>
      <c r="N114">
        <f t="shared" si="42"/>
        <v>1.2135188469641485</v>
      </c>
      <c r="O114">
        <f t="shared" si="43"/>
        <v>5.7319322330294975</v>
      </c>
      <c r="P114">
        <f t="shared" si="44"/>
        <v>6.5710252132372204</v>
      </c>
    </row>
    <row r="115" spans="1:16" x14ac:dyDescent="0.25">
      <c r="A115">
        <f t="shared" si="35"/>
        <v>6</v>
      </c>
      <c r="B115" s="1">
        <f t="shared" si="36"/>
        <v>-6.7508055896300068</v>
      </c>
      <c r="C115" s="1">
        <f t="shared" si="37"/>
        <v>-0.61188370528885416</v>
      </c>
      <c r="D115" t="str">
        <f t="shared" si="35"/>
        <v>y</v>
      </c>
      <c r="E115" s="4">
        <f t="shared" si="32"/>
        <v>3.5765974374852303</v>
      </c>
      <c r="F115" s="1">
        <f t="shared" si="38"/>
        <v>-6.7508055896300068</v>
      </c>
      <c r="G115" s="1">
        <f t="shared" si="38"/>
        <v>-0.61188370528885416</v>
      </c>
      <c r="H115">
        <f t="shared" si="33"/>
        <v>-13.623261233288948</v>
      </c>
      <c r="I115">
        <f t="shared" si="39"/>
        <v>8.3358515615428477</v>
      </c>
      <c r="J115">
        <f t="shared" si="40"/>
        <v>-91.967988082676811</v>
      </c>
      <c r="K115">
        <f t="shared" ca="1" si="45"/>
        <v>-22.490077859602323</v>
      </c>
      <c r="L115">
        <f t="shared" ca="1" si="41"/>
        <v>-7.7551992619318358E-4</v>
      </c>
      <c r="M115">
        <f t="shared" si="34"/>
        <v>-6.8317199805143327E-4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0.40545486724629032</v>
      </c>
      <c r="C116" s="1">
        <f t="shared" si="37"/>
        <v>3.2659941000769432</v>
      </c>
      <c r="D116" t="str">
        <f t="shared" si="35"/>
        <v>y</v>
      </c>
      <c r="E116" s="4">
        <f t="shared" si="32"/>
        <v>-0.30128036788056711</v>
      </c>
      <c r="F116" s="1">
        <f t="shared" si="38"/>
        <v>0.40545486724629032</v>
      </c>
      <c r="G116" s="1">
        <f t="shared" si="38"/>
        <v>3.2659941000769432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5.7548078724609851E-5</v>
      </c>
      <c r="N116">
        <f t="shared" si="42"/>
        <v>0.20788805368057983</v>
      </c>
      <c r="O116">
        <f t="shared" si="43"/>
        <v>0.67896115679725255</v>
      </c>
      <c r="P116">
        <f t="shared" si="44"/>
        <v>-8.4289223207149169E-2</v>
      </c>
    </row>
    <row r="117" spans="1:16" x14ac:dyDescent="0.25">
      <c r="A117">
        <f t="shared" si="35"/>
        <v>8</v>
      </c>
      <c r="B117" s="1">
        <f t="shared" si="36"/>
        <v>-1.2948494310838825</v>
      </c>
      <c r="C117" s="1">
        <f t="shared" si="37"/>
        <v>-3.524364159476078</v>
      </c>
      <c r="D117" t="str">
        <f t="shared" si="35"/>
        <v>y</v>
      </c>
      <c r="E117" s="4">
        <f t="shared" si="32"/>
        <v>6.4890778916724541</v>
      </c>
      <c r="F117" s="1">
        <f t="shared" si="38"/>
        <v>-1.2948494310838825</v>
      </c>
      <c r="G117" s="1">
        <f t="shared" si="38"/>
        <v>-3.524364159476078</v>
      </c>
      <c r="H117">
        <f t="shared" si="33"/>
        <v>-24.716900581232604</v>
      </c>
      <c r="I117">
        <f t="shared" si="39"/>
        <v>87.111358541829631</v>
      </c>
      <c r="J117">
        <f t="shared" si="40"/>
        <v>-32.004664655765922</v>
      </c>
      <c r="K117">
        <f t="shared" ca="1" si="45"/>
        <v>-40.80410769498021</v>
      </c>
      <c r="L117">
        <f t="shared" ca="1" si="41"/>
        <v>-1.407038196378628E-3</v>
      </c>
      <c r="M117">
        <f t="shared" si="34"/>
        <v>-1.2394898744551705E-3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6.225761946863166</v>
      </c>
      <c r="C118" s="1">
        <f t="shared" si="37"/>
        <v>1.8085904157939381</v>
      </c>
      <c r="D118" t="str">
        <f t="shared" si="35"/>
        <v>y</v>
      </c>
      <c r="E118" s="4">
        <f t="shared" si="32"/>
        <v>1.156123316402438</v>
      </c>
      <c r="F118" s="1">
        <f t="shared" si="38"/>
        <v>6.225761946863166</v>
      </c>
      <c r="G118" s="1">
        <f t="shared" si="38"/>
        <v>1.8085904157939381</v>
      </c>
      <c r="H118">
        <f t="shared" si="33"/>
        <v>-4.4036742274022922</v>
      </c>
      <c r="I118">
        <f t="shared" si="39"/>
        <v>-7.9644430019585606</v>
      </c>
      <c r="J118">
        <f t="shared" si="40"/>
        <v>27.416227431343241</v>
      </c>
      <c r="K118">
        <f t="shared" ca="1" si="45"/>
        <v>-7.269843435182481</v>
      </c>
      <c r="L118">
        <f t="shared" ca="1" si="41"/>
        <v>-2.5068425638560279E-4</v>
      </c>
      <c r="M118">
        <f t="shared" si="34"/>
        <v>-2.2083309342631733E-4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4.1611067274622418</v>
      </c>
      <c r="C119" s="1">
        <f t="shared" si="37"/>
        <v>-6.4368446136633022</v>
      </c>
      <c r="D119" t="str">
        <f t="shared" si="35"/>
        <v>y</v>
      </c>
      <c r="E119" s="4">
        <f t="shared" si="32"/>
        <v>9.4015583458596783</v>
      </c>
      <c r="F119" s="1">
        <f t="shared" si="38"/>
        <v>4.1611067274622418</v>
      </c>
      <c r="G119" s="1">
        <f t="shared" si="38"/>
        <v>-6.4368446136633022</v>
      </c>
      <c r="H119">
        <f t="shared" si="33"/>
        <v>-35.810539929176258</v>
      </c>
      <c r="I119">
        <f t="shared" si="39"/>
        <v>230.50688105549281</v>
      </c>
      <c r="J119">
        <f t="shared" si="40"/>
        <v>149.01147861335056</v>
      </c>
      <c r="K119">
        <f t="shared" ca="1" si="45"/>
        <v>-59.118137530358098</v>
      </c>
      <c r="L119">
        <f t="shared" ca="1" si="41"/>
        <v>-2.0385564665640725E-3</v>
      </c>
      <c r="M119">
        <f t="shared" si="34"/>
        <v>-1.7958077508589078E-3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12.046069026480041</v>
      </c>
      <c r="C120" s="1">
        <f t="shared" si="37"/>
        <v>0.35118673151093294</v>
      </c>
      <c r="D120" t="str">
        <f t="shared" si="35"/>
        <v>y</v>
      </c>
      <c r="E120" s="4">
        <f t="shared" si="32"/>
        <v>2.6135270006854432</v>
      </c>
      <c r="F120" s="1">
        <f t="shared" si="38"/>
        <v>12.046069026480041</v>
      </c>
      <c r="G120" s="1">
        <f t="shared" si="38"/>
        <v>0.35118673151093294</v>
      </c>
      <c r="H120">
        <f t="shared" si="33"/>
        <v>-9.954925510327012</v>
      </c>
      <c r="I120">
        <f t="shared" si="39"/>
        <v>-3.4960377524065493</v>
      </c>
      <c r="J120">
        <f t="shared" si="40"/>
        <v>119.91771985086623</v>
      </c>
      <c r="K120">
        <f t="shared" ca="1" si="45"/>
        <v>-16.434174312588201</v>
      </c>
      <c r="L120">
        <f t="shared" ca="1" si="41"/>
        <v>-5.6669566595131729E-4</v>
      </c>
      <c r="M120">
        <f t="shared" si="34"/>
        <v>-4.9921426557724454E-4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9.617062886008366</v>
      </c>
      <c r="C121" s="1">
        <f t="shared" si="37"/>
        <v>-9.3493250678505255</v>
      </c>
      <c r="D121" t="str">
        <f t="shared" si="35"/>
        <v>y</v>
      </c>
      <c r="E121" s="4">
        <f t="shared" si="32"/>
        <v>12.314038800046902</v>
      </c>
      <c r="F121" s="1">
        <f t="shared" si="38"/>
        <v>9.617062886008366</v>
      </c>
      <c r="G121" s="1">
        <f t="shared" si="38"/>
        <v>-9.3493250678505255</v>
      </c>
      <c r="H121" s="23">
        <f t="shared" si="33"/>
        <v>-46.904179277119916</v>
      </c>
      <c r="I121" s="23">
        <f t="shared" si="39"/>
        <v>438.52241910253235</v>
      </c>
      <c r="J121" s="23">
        <f t="shared" si="40"/>
        <v>451.08044172467265</v>
      </c>
      <c r="K121">
        <f t="shared" ca="1" si="45"/>
        <v>-77.432167365735992</v>
      </c>
      <c r="L121">
        <f t="shared" ca="1" si="41"/>
        <v>-2.670074736749517E-3</v>
      </c>
      <c r="M121">
        <f t="shared" si="34"/>
        <v>-2.3521256272626451E-3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12.314038800046902</v>
      </c>
      <c r="H122">
        <f>SUM(H110:H121)</f>
        <v>-137.94310264389233</v>
      </c>
      <c r="I122">
        <f t="shared" ref="I122:J122" si="46">SUM(I110:I121)</f>
        <v>747.19638962166505</v>
      </c>
      <c r="J122">
        <f t="shared" si="46"/>
        <v>592.57472321440787</v>
      </c>
      <c r="L122">
        <f ca="1">MIN(L110:L121)</f>
        <v>-2.670074736749517E-3</v>
      </c>
      <c r="M122">
        <f>MIN(M110:M121)</f>
        <v>-2.3521256272626451E-3</v>
      </c>
      <c r="N122">
        <f>SUM(N110:N121)</f>
        <v>8.4167420965621993</v>
      </c>
      <c r="O122">
        <f>SUM(O110:O121)</f>
        <v>52.84614594483206</v>
      </c>
      <c r="P122">
        <f>SUM(P110:P121)</f>
        <v>113.82140096224605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2.9647137321963761</v>
      </c>
      <c r="F125" s="1" t="s">
        <v>27</v>
      </c>
      <c r="G125" s="1" t="s">
        <v>28</v>
      </c>
    </row>
    <row r="126" spans="1:16" x14ac:dyDescent="0.25">
      <c r="F126" s="4">
        <f>MIN(B84:B90)-1</f>
        <v>-20.967171187665297</v>
      </c>
      <c r="G126" s="4">
        <f>B125</f>
        <v>2.9647137321963761</v>
      </c>
    </row>
    <row r="127" spans="1:16" x14ac:dyDescent="0.25">
      <c r="F127" s="4">
        <f>MAX(B84:B90)+1</f>
        <v>17.412074974318958</v>
      </c>
      <c r="G127" s="4">
        <f>G126</f>
        <v>2.9647137321963761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-18.509767503382292</v>
      </c>
      <c r="C132" s="4">
        <f>C84</f>
        <v>10.064108740892586</v>
      </c>
      <c r="D132" s="4">
        <f t="shared" ref="D132:E139" si="47">B85</f>
        <v>-19.967171187665297</v>
      </c>
      <c r="E132" s="4">
        <f t="shared" si="47"/>
        <v>4.2438016612757101</v>
      </c>
      <c r="F132" s="4">
        <f t="shared" ref="F132:F139" si="48">($B$66/$B$65)*(C132-$B$125)</f>
        <v>5.5250000000000004</v>
      </c>
      <c r="G132" s="4">
        <f t="shared" ref="G132:G139" si="49">($B$66/$B$65)*(E132-$B$125)</f>
        <v>0.9954314134523915</v>
      </c>
      <c r="H132" s="4">
        <f>IF(B132=D132,"V",(C132-E132)/(B132-D132))</f>
        <v>3.993613535072321</v>
      </c>
      <c r="I132" s="4">
        <f>IF(H132="V",0,(-1*B132*H132)+C132)</f>
        <v>83.984966773441897</v>
      </c>
      <c r="J132" s="4">
        <f>IF($F132&gt;=0,B132,IF(AND($F132&lt;0,$G132&gt;=0),IF(H132="V",B132,($B$125-I132)/H132),0))</f>
        <v>-18.509767503382292</v>
      </c>
      <c r="K132" s="4">
        <f>IF($F132&gt;=0,C132,IF(AND($F132&lt;0,$G132&gt;=0),$B$125,0))</f>
        <v>10.064108740892586</v>
      </c>
      <c r="L132" s="4">
        <f>IF($G132&gt;=0,D132,IF(AND($G132&lt;0,$F132&gt;=0),IF(H132="V",D132,($B$125-I132)/H132),0))</f>
        <v>-19.967171187665297</v>
      </c>
      <c r="M132" s="4">
        <f>IF($G132&gt;=0,E132,IF(AND($G132&lt;0,$F132&gt;=0),$B$125,0))</f>
        <v>4.2438016612757101</v>
      </c>
      <c r="N132" s="4">
        <f>IF(F132&lt;0,IF($I$54="Linear",0,$B$66),IF($I$54="Linear",F132,$B$66))</f>
        <v>5.5250000000000004</v>
      </c>
      <c r="O132" s="4">
        <f>IF(G132&lt;0,IF($I$54="Linear",0,$B$66),IF($I$54="Linear",G132,$B$66))</f>
        <v>0.9954314134523915</v>
      </c>
      <c r="P132" s="4">
        <f>(1/6)*(M132-K132)*((N132*((2*J132)+L132))+(O132*(J132+(2*L132))))</f>
        <v>361.85688657262085</v>
      </c>
      <c r="Q132" s="4">
        <f>((1/12)*(M132-K132)*(N132*J132*((3*K132)+M132)+N132*L132*(K132+M132)+O132*J132*(K132+M132)+O132*L132*(K132+(3*M132))))</f>
        <v>2821.2962073909889</v>
      </c>
      <c r="R132" s="4">
        <f>((-1/24)*(M132-K132)*(J132*J132*((3*N132)+O132)+2*J132*L132*(N132+O132)+L132*L132*(N132+(3*O132))))</f>
        <v>3451.6662849366644</v>
      </c>
    </row>
    <row r="133" spans="1:18" x14ac:dyDescent="0.25">
      <c r="A133" t="s">
        <v>70</v>
      </c>
      <c r="B133" s="4">
        <f t="shared" ref="B133:C138" si="50">D132</f>
        <v>-19.967171187665297</v>
      </c>
      <c r="C133" s="4">
        <f t="shared" si="50"/>
        <v>4.2438016612757101</v>
      </c>
      <c r="D133" s="4">
        <f t="shared" si="47"/>
        <v>13.011466377658614</v>
      </c>
      <c r="E133" s="4">
        <f t="shared" si="47"/>
        <v>-12.26102988391149</v>
      </c>
      <c r="F133" s="4">
        <f t="shared" si="48"/>
        <v>0.9954314134523915</v>
      </c>
      <c r="G133" s="4">
        <f t="shared" si="49"/>
        <v>-11.849211570275036</v>
      </c>
      <c r="H133" s="4">
        <f t="shared" ref="H133:H139" si="51">IF(B133=D133,"V",(C133-E133)/(B133-D133))</f>
        <v>-0.50047038821705481</v>
      </c>
      <c r="I133" s="4">
        <f t="shared" ref="I133:I139" si="52">IF(H133="V",0,(-1*B133*H133)+C133)</f>
        <v>-5.749176254611533</v>
      </c>
      <c r="J133" s="4">
        <f t="shared" ref="J133:J139" si="53">IF($F133&gt;=0,B133,IF(AND($F133&lt;0,$G133&gt;=0),IF(H133="V",B133,($B$125-I133)/H133),0))</f>
        <v>-19.967171187665297</v>
      </c>
      <c r="K133" s="4">
        <f t="shared" ref="K133:K139" si="54">IF($F133&gt;=0,C133,IF(AND($F133&lt;0,$G133&gt;=0),$B$125,0))</f>
        <v>4.2438016612757101</v>
      </c>
      <c r="L133" s="4">
        <f t="shared" ref="L133:L139" si="55">IF($G133&gt;=0,D133,IF(AND($G133&lt;0,$F133&gt;=0),IF(H133="V",D133,($B$125-I133)/H133),0))</f>
        <v>-17.411399739056453</v>
      </c>
      <c r="M133" s="4">
        <f t="shared" ref="M133:M139" si="56">IF($G133&gt;=0,E133,IF(AND($G133&lt;0,$F133&gt;=0),$B$125,0))</f>
        <v>2.9647137321963761</v>
      </c>
      <c r="N133" s="4">
        <f t="shared" ref="N133:O139" si="57">IF(F133&lt;0,IF($I$54="Linear",0,$B$66),IF($I$54="Linear",F133,$B$66))</f>
        <v>0.9954314134523915</v>
      </c>
      <c r="O133" s="4">
        <f t="shared" si="57"/>
        <v>0</v>
      </c>
      <c r="P133" s="4">
        <f t="shared" ref="P133:P139" si="58">(1/6)*(M133-K133)*((N133*((2*J133)+L133))+(O133*(J133+(2*L133))))</f>
        <v>12.169189928846988</v>
      </c>
      <c r="Q133" s="4">
        <f t="shared" ref="Q133:Q139" si="59">((1/12)*(M133-K133)*(N133*J133*((3*K133)+M133)+N133*L133*(K133+M133)+O133*J133*(K133+M133)+O133*L133*(K133+(3*M133))))</f>
        <v>46.570760106437604</v>
      </c>
      <c r="R133" s="4">
        <f t="shared" ref="R133:R139" si="60">((-1/24)*(M133-K133)*(J133*J133*((3*N133)+O133)+2*J133*L133*(N133+O133)+L133*L133*(N133+(3*O133))))</f>
        <v>116.42404888167101</v>
      </c>
    </row>
    <row r="134" spans="1:18" x14ac:dyDescent="0.25">
      <c r="A134" t="s">
        <v>71</v>
      </c>
      <c r="B134" s="4">
        <f t="shared" si="50"/>
        <v>13.011466377658614</v>
      </c>
      <c r="C134" s="4">
        <f t="shared" si="50"/>
        <v>-12.26102988391149</v>
      </c>
      <c r="D134" s="4">
        <f t="shared" si="47"/>
        <v>16.412074974318958</v>
      </c>
      <c r="E134" s="4">
        <f t="shared" si="47"/>
        <v>1.3196866351945546</v>
      </c>
      <c r="F134" s="4">
        <f t="shared" si="48"/>
        <v>-11.849211570275036</v>
      </c>
      <c r="G134" s="4">
        <f t="shared" si="49"/>
        <v>-1.2802182016639472</v>
      </c>
      <c r="H134" s="4">
        <f t="shared" si="51"/>
        <v>3.9936135350723214</v>
      </c>
      <c r="I134" s="4">
        <f t="shared" si="52"/>
        <v>-64.223798120867372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16.412074974318958</v>
      </c>
      <c r="C135" s="4">
        <f t="shared" si="50"/>
        <v>1.3196866351945546</v>
      </c>
      <c r="D135" s="4">
        <f t="shared" si="47"/>
        <v>-18.509767503382292</v>
      </c>
      <c r="E135" s="4">
        <f t="shared" si="47"/>
        <v>10.064108740892586</v>
      </c>
      <c r="F135" s="4">
        <f t="shared" si="48"/>
        <v>-1.2802182016639472</v>
      </c>
      <c r="G135" s="4">
        <f t="shared" si="49"/>
        <v>5.5250000000000004</v>
      </c>
      <c r="H135" s="4">
        <f t="shared" si="51"/>
        <v>-0.25039979237297216</v>
      </c>
      <c r="I135" s="4">
        <f t="shared" si="52"/>
        <v>5.4292668011736742</v>
      </c>
      <c r="J135" s="4">
        <f t="shared" si="53"/>
        <v>9.8424724941717603</v>
      </c>
      <c r="K135" s="4">
        <f t="shared" si="54"/>
        <v>2.9647137321963761</v>
      </c>
      <c r="L135" s="4">
        <f t="shared" si="55"/>
        <v>-18.509767503382292</v>
      </c>
      <c r="M135" s="4">
        <f t="shared" si="56"/>
        <v>10.064108740892586</v>
      </c>
      <c r="N135" s="4">
        <f t="shared" si="57"/>
        <v>0</v>
      </c>
      <c r="O135" s="4">
        <f t="shared" si="57"/>
        <v>5.5250000000000004</v>
      </c>
      <c r="P135" s="4">
        <f t="shared" si="58"/>
        <v>-177.66622971498634</v>
      </c>
      <c r="Q135" s="4">
        <f t="shared" si="59"/>
        <v>-1586.9220500848974</v>
      </c>
      <c r="R135" s="4">
        <f t="shared" si="60"/>
        <v>-1242.6621474123856</v>
      </c>
    </row>
    <row r="136" spans="1:18" x14ac:dyDescent="0.25">
      <c r="A136" t="s">
        <v>73</v>
      </c>
      <c r="B136" s="4">
        <f t="shared" si="50"/>
        <v>-18.509767503382292</v>
      </c>
      <c r="C136" s="4">
        <f t="shared" si="50"/>
        <v>10.064108740892586</v>
      </c>
      <c r="D136" s="4">
        <f t="shared" si="47"/>
        <v>-18.509767503382292</v>
      </c>
      <c r="E136" s="4">
        <f t="shared" si="47"/>
        <v>10.064108740892586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-18.509767503382292</v>
      </c>
      <c r="K136" s="4">
        <f t="shared" si="54"/>
        <v>10.064108740892586</v>
      </c>
      <c r="L136" s="4">
        <f t="shared" si="55"/>
        <v>-18.509767503382292</v>
      </c>
      <c r="M136" s="4">
        <f t="shared" si="56"/>
        <v>10.064108740892586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-18.509767503382292</v>
      </c>
      <c r="C137" s="4">
        <f t="shared" si="50"/>
        <v>10.064108740892586</v>
      </c>
      <c r="D137" s="4">
        <f t="shared" si="47"/>
        <v>-18.509767503382292</v>
      </c>
      <c r="E137" s="4">
        <f t="shared" si="47"/>
        <v>10.064108740892586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-18.509767503382292</v>
      </c>
      <c r="K137" s="4">
        <f t="shared" si="54"/>
        <v>10.064108740892586</v>
      </c>
      <c r="L137" s="4">
        <f t="shared" si="55"/>
        <v>-18.509767503382292</v>
      </c>
      <c r="M137" s="4">
        <f t="shared" si="56"/>
        <v>10.064108740892586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-18.509767503382292</v>
      </c>
      <c r="C138" s="4">
        <f t="shared" si="50"/>
        <v>10.064108740892586</v>
      </c>
      <c r="D138" s="4">
        <f t="shared" si="47"/>
        <v>-18.509767503382292</v>
      </c>
      <c r="E138" s="4">
        <f t="shared" si="47"/>
        <v>10.064108740892586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-18.509767503382292</v>
      </c>
      <c r="K138" s="4">
        <f t="shared" si="54"/>
        <v>10.064108740892586</v>
      </c>
      <c r="L138" s="4">
        <f t="shared" si="55"/>
        <v>-18.509767503382292</v>
      </c>
      <c r="M138" s="4">
        <f t="shared" si="56"/>
        <v>10.064108740892586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-18.509767503382292</v>
      </c>
      <c r="C139" s="4">
        <f>E138</f>
        <v>10.064108740892586</v>
      </c>
      <c r="D139" s="4">
        <f t="shared" si="47"/>
        <v>-18.509767503382292</v>
      </c>
      <c r="E139" s="4">
        <f t="shared" si="47"/>
        <v>10.064108740892586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-18.509767503382292</v>
      </c>
      <c r="K139" s="4">
        <f t="shared" si="54"/>
        <v>10.064108740892586</v>
      </c>
      <c r="L139" s="4">
        <f t="shared" si="55"/>
        <v>-18.509767503382292</v>
      </c>
      <c r="M139" s="4">
        <f t="shared" si="56"/>
        <v>10.064108740892586</v>
      </c>
      <c r="N139" s="4">
        <f t="shared" si="57"/>
        <v>5.5250000000000004</v>
      </c>
      <c r="O139" s="4">
        <f>IF(G139&lt;0,IF($I$54="Linear",0,$B$66),IF($I$54="Linear",G139,$B$66))</f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196.35984678648151</v>
      </c>
      <c r="Q140" s="4">
        <f>SUM(Q132:Q139)</f>
        <v>1280.9449174125293</v>
      </c>
      <c r="R140" s="4">
        <f>SUM(R132:R139)</f>
        <v>2325.4281864059494</v>
      </c>
    </row>
    <row r="142" spans="1:18" x14ac:dyDescent="0.25">
      <c r="O142" t="s">
        <v>96</v>
      </c>
      <c r="P142" s="1">
        <f>-1*R140/P140</f>
        <v>-11.842686906017919</v>
      </c>
    </row>
    <row r="143" spans="1:18" x14ac:dyDescent="0.25">
      <c r="O143" t="s">
        <v>97</v>
      </c>
      <c r="P143" s="1">
        <f>Q140/P140</f>
        <v>6.523456492637254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-18.509767503382292</v>
      </c>
      <c r="C146" s="9">
        <f>J84</f>
        <v>10.064108740892586</v>
      </c>
      <c r="D146" s="9">
        <f t="shared" ref="D146:E153" si="61">I85</f>
        <v>-18.509767503382292</v>
      </c>
      <c r="E146">
        <f t="shared" si="61"/>
        <v>10.064108740892586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-18.509767503382292</v>
      </c>
      <c r="K146" s="4">
        <f>IF($F146&gt;=0,C146,IF(AND($F146&lt;0,$G146&gt;=0),$B$125,0))</f>
        <v>10.064108740892586</v>
      </c>
      <c r="L146" s="4">
        <f>IF($G146&gt;=0,D146,IF(AND($G146&lt;0,$F146&gt;=0),IF(H146="V",D146,($B$125-I146)/H146),0))</f>
        <v>-18.509767503382292</v>
      </c>
      <c r="M146" s="4">
        <f>IF($G146&gt;=0,E146,IF(AND($G146&lt;0,$F146&gt;=0),$B$125,0))</f>
        <v>10.064108740892586</v>
      </c>
      <c r="N146" s="4">
        <f>IF(F146&lt;0,IF($I$54="Linear",0,$B$66),IF($I$54="Linear",F146,$B$66))</f>
        <v>5.5250000000000004</v>
      </c>
      <c r="O146" s="4">
        <f>IF(G146&lt;0,IF($I$54="Linear",0,$B$66),IF($I$54="Linear",G146,$B$66))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-18.509767503382292</v>
      </c>
      <c r="C147">
        <f t="shared" si="62"/>
        <v>10.064108740892586</v>
      </c>
      <c r="D147" s="9">
        <f t="shared" si="61"/>
        <v>-18.509767503382292</v>
      </c>
      <c r="E147">
        <f t="shared" si="61"/>
        <v>10.064108740892586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-18.509767503382292</v>
      </c>
      <c r="K147" s="4">
        <f t="shared" ref="K147:K153" si="68">IF($F147&gt;=0,C147,IF(AND($F147&lt;0,$G147&gt;=0),$B$125,0))</f>
        <v>10.064108740892586</v>
      </c>
      <c r="L147" s="4">
        <f t="shared" ref="L147:L153" si="69">IF($G147&gt;=0,D147,IF(AND($G147&lt;0,$F147&gt;=0),IF(H147="V",D147,($B$125-I147)/H147),0))</f>
        <v>-18.509767503382292</v>
      </c>
      <c r="M147" s="4">
        <f t="shared" ref="M147:M153" si="70">IF($G147&gt;=0,E147,IF(AND($G147&lt;0,$F147&gt;=0),$B$125,0))</f>
        <v>10.064108740892586</v>
      </c>
      <c r="N147" s="4">
        <f t="shared" ref="N147:O153" si="71">IF(F147&lt;0,IF($I$54="Linear",0,$B$66),IF($I$54="Linear",F147,$B$66))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-18.509767503382292</v>
      </c>
      <c r="C148">
        <f t="shared" si="62"/>
        <v>10.064108740892586</v>
      </c>
      <c r="D148" s="9">
        <f t="shared" si="61"/>
        <v>-18.509767503382292</v>
      </c>
      <c r="E148">
        <f t="shared" si="61"/>
        <v>10.064108740892586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-18.509767503382292</v>
      </c>
      <c r="K148" s="4">
        <f t="shared" si="68"/>
        <v>10.064108740892586</v>
      </c>
      <c r="L148" s="4">
        <f t="shared" si="69"/>
        <v>-18.509767503382292</v>
      </c>
      <c r="M148" s="4">
        <f t="shared" si="70"/>
        <v>10.064108740892586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-18.509767503382292</v>
      </c>
      <c r="C149">
        <f t="shared" si="62"/>
        <v>10.064108740892586</v>
      </c>
      <c r="D149" s="9">
        <f t="shared" si="61"/>
        <v>-18.509767503382292</v>
      </c>
      <c r="E149">
        <f t="shared" si="61"/>
        <v>10.064108740892586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-18.509767503382292</v>
      </c>
      <c r="K149" s="4">
        <f t="shared" si="68"/>
        <v>10.064108740892586</v>
      </c>
      <c r="L149" s="4">
        <f t="shared" si="69"/>
        <v>-18.509767503382292</v>
      </c>
      <c r="M149" s="4">
        <f t="shared" si="70"/>
        <v>10.064108740892586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-18.509767503382292</v>
      </c>
      <c r="C150">
        <f t="shared" si="62"/>
        <v>10.064108740892586</v>
      </c>
      <c r="D150" s="9">
        <f t="shared" si="61"/>
        <v>-18.509767503382292</v>
      </c>
      <c r="E150">
        <f t="shared" si="61"/>
        <v>10.064108740892586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-18.509767503382292</v>
      </c>
      <c r="K150" s="4">
        <f t="shared" si="68"/>
        <v>10.064108740892586</v>
      </c>
      <c r="L150" s="4">
        <f t="shared" si="69"/>
        <v>-18.509767503382292</v>
      </c>
      <c r="M150" s="4">
        <f t="shared" si="70"/>
        <v>10.064108740892586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-18.509767503382292</v>
      </c>
      <c r="C151">
        <f t="shared" si="62"/>
        <v>10.064108740892586</v>
      </c>
      <c r="D151" s="9">
        <f t="shared" si="61"/>
        <v>-18.509767503382292</v>
      </c>
      <c r="E151">
        <f t="shared" si="61"/>
        <v>10.064108740892586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-18.509767503382292</v>
      </c>
      <c r="K151" s="4">
        <f t="shared" si="68"/>
        <v>10.064108740892586</v>
      </c>
      <c r="L151" s="4">
        <f t="shared" si="69"/>
        <v>-18.509767503382292</v>
      </c>
      <c r="M151" s="4">
        <f t="shared" si="70"/>
        <v>10.064108740892586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-18.509767503382292</v>
      </c>
      <c r="C152">
        <f t="shared" si="62"/>
        <v>10.064108740892586</v>
      </c>
      <c r="D152" s="9">
        <f t="shared" si="61"/>
        <v>-18.509767503382292</v>
      </c>
      <c r="E152">
        <f t="shared" si="61"/>
        <v>10.064108740892586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-18.509767503382292</v>
      </c>
      <c r="K152" s="4">
        <f t="shared" si="68"/>
        <v>10.064108740892586</v>
      </c>
      <c r="L152" s="4">
        <f t="shared" si="69"/>
        <v>-18.509767503382292</v>
      </c>
      <c r="M152" s="4">
        <f t="shared" si="70"/>
        <v>10.064108740892586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-18.509767503382292</v>
      </c>
      <c r="C153">
        <f t="shared" si="62"/>
        <v>10.064108740892586</v>
      </c>
      <c r="D153" s="9">
        <f t="shared" si="61"/>
        <v>-18.509767503382292</v>
      </c>
      <c r="E153">
        <f t="shared" si="61"/>
        <v>10.064108740892586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-18.509767503382292</v>
      </c>
      <c r="K153" s="4">
        <f t="shared" si="68"/>
        <v>10.064108740892586</v>
      </c>
      <c r="L153" s="4">
        <f t="shared" si="69"/>
        <v>-18.509767503382292</v>
      </c>
      <c r="M153" s="4">
        <f t="shared" si="70"/>
        <v>10.064108740892586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50.000002046026978</v>
      </c>
      <c r="C159" t="s">
        <v>36</v>
      </c>
    </row>
    <row r="160" spans="1:18" x14ac:dyDescent="0.25">
      <c r="A160" s="1" t="s">
        <v>106</v>
      </c>
      <c r="B160" s="4">
        <f>Q140+I122+Q154-O122</f>
        <v>1975.2951610893624</v>
      </c>
      <c r="C160" t="s">
        <v>102</v>
      </c>
    </row>
    <row r="161" spans="1:9" x14ac:dyDescent="0.25">
      <c r="A161" s="1" t="s">
        <v>107</v>
      </c>
      <c r="B161" s="4">
        <f>R140+J122+R154-P122</f>
        <v>2804.1815086581109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50.000002046026978</v>
      </c>
      <c r="C164" t="s">
        <v>36</v>
      </c>
      <c r="E164" s="8">
        <f>B2-B164</f>
        <v>-2.0460269780642193E-6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-3199.9999887819267</v>
      </c>
      <c r="C165" t="s">
        <v>102</v>
      </c>
      <c r="E165" s="8">
        <f>B3+B165</f>
        <v>1.121807326853741E-5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1234.9999913841275</v>
      </c>
      <c r="C166" t="s">
        <v>102</v>
      </c>
      <c r="E166" s="8">
        <f>B4+B166</f>
        <v>-8.615872502559796E-6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-6.271843114820931</v>
      </c>
      <c r="C169" s="3">
        <f ca="1">A169+B169</f>
        <v>-0.74684311482093069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2.6937876003870666E-8</v>
      </c>
      <c r="C175" s="27">
        <f>B65*SQRT(I175)</f>
        <v>1.0530104504557465E-7</v>
      </c>
      <c r="D175" s="27">
        <f>B66*SQRT(I175)</f>
        <v>8.1948993282407074E-8</v>
      </c>
      <c r="E175" s="27">
        <f>B67*SQRT(I175)</f>
        <v>6.9570140678688088E-7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1.8161512566240232</v>
      </c>
      <c r="C176" s="3">
        <f>B65+C175</f>
        <v>7.0993951139972546</v>
      </c>
      <c r="D176" s="3">
        <f>D175+B66</f>
        <v>5.5250000819489937</v>
      </c>
      <c r="E176" s="3">
        <f>B67+E175</f>
        <v>46.904179972821325</v>
      </c>
      <c r="F176" s="16" t="s">
        <v>125</v>
      </c>
    </row>
    <row r="177" spans="1:13" x14ac:dyDescent="0.25">
      <c r="B177" s="27">
        <f>B176-B64</f>
        <v>2.6937875929888833E-8</v>
      </c>
      <c r="C177" s="27">
        <f>C176-B65</f>
        <v>1.0530104521677686E-7</v>
      </c>
      <c r="D177" s="27">
        <f>D176-B66</f>
        <v>8.1948993368996526E-8</v>
      </c>
      <c r="E177" s="27">
        <f>E176-B67</f>
        <v>6.9570140937003089E-7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-34.016851211347181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18.509767534763025</v>
      </c>
      <c r="B181" s="25">
        <f>(d_alpha_p!E136-d_alpha_m!E136)/(2*B177)</f>
        <v>18.509767534763025</v>
      </c>
      <c r="C181" s="25">
        <f>(d_alpha_p!E137-d_alpha_m!E137)/(2*B177)</f>
        <v>18.509767534763025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2.0460269780642193E-6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-1.121807326853741E-5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8.615872502559796E-6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0.74684311482093069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-34.016851211347181</v>
      </c>
      <c r="B190" s="25">
        <f>A181</f>
        <v>18.509767534763025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18.509767534763025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18.509767534763025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-34.016851211347181</v>
      </c>
      <c r="B201" s="25">
        <f t="shared" ref="B201:C201" si="77">B190</f>
        <v>18.509767534763025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18.509767534763025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18.509767534763025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2020-11-07T04:12:20Z</dcterms:modified>
</cp:coreProperties>
</file>