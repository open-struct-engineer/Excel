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A945C948-FC1D-4AD7-8980-CC16B3687F14}" xr6:coauthVersionLast="45" xr6:coauthVersionMax="45" xr10:uidLastSave="{00000000-0000-0000-0000-000000000000}"/>
  <bookViews>
    <workbookView xWindow="1740" yWindow="1080" windowWidth="25350" windowHeight="16815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0" i="1" l="1"/>
  <c r="W218" i="1"/>
  <c r="L218" i="1"/>
  <c r="AU48" i="1" l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N14" i="1" l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E119" i="1"/>
  <c r="E118" i="1"/>
  <c r="E120" i="1"/>
  <c r="E121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Q65" i="1"/>
  <c r="AE34" i="1"/>
  <c r="AE36" i="1" s="1"/>
  <c r="AJ31" i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P143" i="1"/>
  <c r="P142" i="1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R87" i="1"/>
  <c r="R90" i="1" s="1"/>
  <c r="P142" i="8"/>
  <c r="P143" i="2"/>
  <c r="Q87" i="1"/>
  <c r="Q90" i="1" s="1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E176" i="1" s="1"/>
  <c r="E177" i="1" s="1"/>
  <c r="E178" i="1" s="1"/>
  <c r="AB113" i="1" l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B67" i="9"/>
  <c r="H119" i="9" s="1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B159" i="1" s="1"/>
  <c r="B164" i="1" s="1"/>
  <c r="E164" i="1" s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B160" i="1" s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B161" i="1" s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F185" i="1"/>
  <c r="I55" i="1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B165" i="1"/>
  <c r="E165" i="1" s="1"/>
  <c r="F186" i="1" s="1"/>
  <c r="B166" i="1"/>
  <c r="E166" i="1" s="1"/>
  <c r="I57" i="1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AC190" i="1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AB190" i="1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D190" i="1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F187" i="1"/>
  <c r="I56" i="1"/>
  <c r="L57" i="1" s="1"/>
  <c r="M59" i="1" s="1"/>
  <c r="M57" i="1" s="1"/>
  <c r="Q30" i="1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0" i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AB191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AC192" i="1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AB192" i="1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AC191" i="1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AD192" i="1"/>
  <c r="C182" i="1"/>
  <c r="A195" i="7" a="1"/>
  <c r="A201" i="7"/>
  <c r="A205" i="7" s="1" a="1"/>
  <c r="B182" i="1"/>
  <c r="AD191" i="1"/>
  <c r="F186" i="4"/>
  <c r="A202" i="1" l="1"/>
  <c r="C183" i="1"/>
  <c r="D192" i="1" s="1"/>
  <c r="Z192" i="1" s="1"/>
  <c r="AE192" i="1"/>
  <c r="B183" i="1"/>
  <c r="AE191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AB195" i="1" a="1"/>
  <c r="AE198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C196" i="1"/>
  <c r="AB198" i="1"/>
  <c r="AC195" i="1"/>
  <c r="AD197" i="1"/>
  <c r="AB197" i="1"/>
  <c r="AE196" i="1"/>
  <c r="AD198" i="1"/>
  <c r="AD195" i="1"/>
  <c r="AB196" i="1"/>
  <c r="AB195" i="1"/>
  <c r="AE195" i="1"/>
  <c r="AE197" i="1"/>
  <c r="AC198" i="1"/>
  <c r="AC197" i="1"/>
  <c r="AD196" i="1"/>
  <c r="A205" i="1" a="1"/>
  <c r="A205" i="1" s="1"/>
  <c r="C217" i="1" l="1"/>
  <c r="B216" i="1"/>
  <c r="C218" i="1"/>
  <c r="A217" i="1"/>
  <c r="B217" i="1"/>
  <c r="B218" i="1"/>
  <c r="A216" i="1"/>
  <c r="C216" i="1"/>
  <c r="H185" i="1" a="1"/>
  <c r="H188" i="1" s="1"/>
  <c r="J188" i="1" s="1"/>
  <c r="L188" i="1" s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AG195" i="1" a="1"/>
  <c r="AH198" i="1" s="1"/>
  <c r="B205" i="1"/>
  <c r="C207" i="1"/>
  <c r="C205" i="1"/>
  <c r="C206" i="1"/>
  <c r="A206" i="1"/>
  <c r="A207" i="1"/>
  <c r="B207" i="1"/>
  <c r="B206" i="1"/>
  <c r="H195" i="1" l="1" a="1"/>
  <c r="H216" i="1" a="1"/>
  <c r="H185" i="1"/>
  <c r="J185" i="1" s="1"/>
  <c r="L187" i="1" s="1"/>
  <c r="H187" i="1"/>
  <c r="J187" i="1" s="1"/>
  <c r="L186" i="1" s="1"/>
  <c r="H186" i="1"/>
  <c r="J186" i="1" s="1"/>
  <c r="L185" i="1" s="1"/>
  <c r="AG197" i="1"/>
  <c r="AG195" i="1"/>
  <c r="AI196" i="1"/>
  <c r="AJ198" i="1"/>
  <c r="AH196" i="1"/>
  <c r="AG196" i="1"/>
  <c r="AI198" i="1"/>
  <c r="AI197" i="1"/>
  <c r="AH195" i="1"/>
  <c r="AJ196" i="1"/>
  <c r="AJ197" i="1"/>
  <c r="AG198" i="1"/>
  <c r="AI195" i="1"/>
  <c r="AJ195" i="1"/>
  <c r="AH197" i="1"/>
  <c r="H205" i="1" a="1"/>
  <c r="H207" i="1" s="1"/>
  <c r="J207" i="1" l="1"/>
  <c r="L206" i="1" s="1"/>
  <c r="S207" i="1"/>
  <c r="U207" i="1" s="1"/>
  <c r="W206" i="1" s="1"/>
  <c r="J217" i="1"/>
  <c r="L217" i="1" s="1"/>
  <c r="S218" i="1"/>
  <c r="U218" i="1" s="1"/>
  <c r="W219" i="1" s="1"/>
  <c r="S217" i="1"/>
  <c r="U217" i="1" s="1"/>
  <c r="W217" i="1" s="1"/>
  <c r="H195" i="1"/>
  <c r="H198" i="1"/>
  <c r="H196" i="1"/>
  <c r="S196" i="1" s="1"/>
  <c r="U196" i="1" s="1"/>
  <c r="W195" i="1" s="1"/>
  <c r="H197" i="1"/>
  <c r="J218" i="1"/>
  <c r="L219" i="1" s="1"/>
  <c r="H216" i="1"/>
  <c r="H205" i="1"/>
  <c r="H206" i="1"/>
  <c r="J206" i="1" l="1"/>
  <c r="L205" i="1" s="1"/>
  <c r="S206" i="1"/>
  <c r="U206" i="1" s="1"/>
  <c r="W205" i="1" s="1"/>
  <c r="J205" i="1"/>
  <c r="L207" i="1" s="1"/>
  <c r="S205" i="1"/>
  <c r="U205" i="1" s="1"/>
  <c r="W207" i="1" s="1"/>
  <c r="J216" i="1"/>
  <c r="L216" i="1" s="1"/>
  <c r="S216" i="1"/>
  <c r="U216" i="1" s="1"/>
  <c r="W216" i="1" s="1"/>
  <c r="J196" i="1"/>
  <c r="L195" i="1" s="1"/>
  <c r="J197" i="1"/>
  <c r="L196" i="1" s="1"/>
  <c r="S197" i="1"/>
  <c r="U197" i="1" s="1"/>
  <c r="W196" i="1" s="1"/>
  <c r="J198" i="1"/>
  <c r="L198" i="1" s="1"/>
  <c r="S198" i="1"/>
  <c r="U198" i="1" s="1"/>
  <c r="W198" i="1" s="1"/>
  <c r="J195" i="1"/>
  <c r="L197" i="1" s="1"/>
  <c r="S195" i="1"/>
  <c r="U195" i="1" s="1"/>
  <c r="W197" i="1" s="1"/>
  <c r="AL195" i="1" a="1"/>
  <c r="AL196" i="1" s="1"/>
  <c r="AL195" i="1" l="1"/>
  <c r="AL197" i="1"/>
  <c r="AL1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<sst xmlns="http://schemas.openxmlformats.org/spreadsheetml/2006/main" count="2461" uniqueCount="234">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</sst>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0.3644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2125CD1-0C35-4561-9A3A-DB4F9FCA6D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3BBEFF-4CA7-4864-8792-7B111E962C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DBED0A-F8A7-4903-BD3A-7F833C9CA7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B29B9F-5B8E-4A78-BAC7-C6645BC5A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12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0.044 kips</c:v>
                  </c:pt>
                  <c:pt idx="1">
                    <c:v>
0.044 kips</c:v>
                  </c:pt>
                  <c:pt idx="4">
                    <c:v>
0.0828 kips</c:v>
                  </c:pt>
                  <c:pt idx="5">
                    <c:v>
0.0828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03753B18-08AC-4739-906E-F808BE9AD4DC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50 kips
Mx: -50 kip-in
My: 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E18E89-346A-423F-BCF1-09AA10ACD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50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A622DF-02BA-430C-BA67-031F59932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B9771D-BB04-482B-AAD9-FAC0E6D804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5285D1-F5BD-4B5A-8601-CB122B549F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12CAC4-20CB-4A6F-999F-6AA8D48FD6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EB0505-08F9-4641-B0B2-CC5547F89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FCAD4A-C763-4B42-A6BB-703501BEC9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22153F-CBEB-4613-B99B-267E3DEF1B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74C5C2-70D2-4CBF-B348-A65BEAC128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0.1458 ksi</c:v>
                  </c:pt>
                  <c:pt idx="1">
                    <c:v>0.1458 ksi</c:v>
                  </c:pt>
                  <c:pt idx="2">
                    <c:v>0.3644 ksi</c:v>
                  </c:pt>
                  <c:pt idx="3">
                    <c:v>0.3644 ksi</c:v>
                  </c:pt>
                  <c:pt idx="4">
                    <c:v>0.1458 ksi</c:v>
                  </c:pt>
                  <c:pt idx="5">
                    <c:v>0.1458 ksi</c:v>
                  </c:pt>
                  <c:pt idx="6">
                    <c:v>0.1458 ksi</c:v>
                  </c:pt>
                  <c:pt idx="7">
                    <c:v>0.1458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12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F1146268-AF08-4D85-BDE2-772047BA94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0.3644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  <c:pt idx="0">
                  <c:v>Reduced Bearing Area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3.9999999999890861</c:v>
                </c:pt>
                <c:pt idx="1">
                  <c:v>10.000000000010914</c:v>
                </c:pt>
                <c:pt idx="2">
                  <c:v>10.000000000010914</c:v>
                </c:pt>
                <c:pt idx="3">
                  <c:v>3.9999999999890861</c:v>
                </c:pt>
                <c:pt idx="4">
                  <c:v>3.9999999999890861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3.9999999999890861</c:v>
                </c:pt>
                <c:pt idx="1">
                  <c:v>3.9999999999890861</c:v>
                </c:pt>
                <c:pt idx="2">
                  <c:v>10.000000000010914</c:v>
                </c:pt>
                <c:pt idx="3">
                  <c:v>10.000000000010914</c:v>
                </c:pt>
                <c:pt idx="4">
                  <c:v>3.9999999999890861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-7</c:v>
                </c:pt>
                <c:pt idx="1">
                  <c:v>7</c:v>
                </c:pt>
                <c:pt idx="2">
                  <c:v>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-7</c:v>
                </c:pt>
                <c:pt idx="1">
                  <c:v>-7</c:v>
                </c:pt>
                <c:pt idx="2">
                  <c:v>7</c:v>
                </c:pt>
                <c:pt idx="3">
                  <c:v>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-5</c:v>
                </c:pt>
                <c:pt idx="1">
                  <c:v>5</c:v>
                </c:pt>
                <c:pt idx="2">
                  <c:v>#N/A</c:v>
                </c:pt>
                <c:pt idx="3">
                  <c:v>#N/A</c:v>
                </c:pt>
                <c:pt idx="4">
                  <c:v>-5</c:v>
                </c:pt>
                <c:pt idx="5">
                  <c:v>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-5</c:v>
                </c:pt>
                <c:pt idx="1">
                  <c:v>-5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</c:v>
                </c:pt>
                <c:pt idx="1">
                  <c:v>8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-16.333333333333336</c:v>
                </c:pt>
                <c:pt idx="1">
                  <c:v>-16.333333333333336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-7</c:v>
                </c:pt>
                <c:pt idx="1">
                  <c:v>7</c:v>
                </c:pt>
                <c:pt idx="2">
                  <c:v>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-7</c:v>
                </c:pt>
                <c:pt idx="1">
                  <c:v>-7</c:v>
                </c:pt>
                <c:pt idx="2">
                  <c:v>7</c:v>
                </c:pt>
                <c:pt idx="3">
                  <c:v>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7</c:v>
                </c:pt>
                <c:pt idx="1">
                  <c:v>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-7</c:v>
                </c:pt>
                <c:pt idx="1">
                  <c:v>7</c:v>
                </c:pt>
                <c:pt idx="2">
                  <c:v>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-8</c:v>
                </c:pt>
                <c:pt idx="1">
                  <c:v>8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-9.3333333333333357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-7</c:v>
                </c:pt>
                <c:pt idx="1">
                  <c:v>21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-9.3333333333333357</c:v>
                </c:pt>
                <c:pt idx="1">
                  <c:v>-9.3333333333333357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21</c:v>
                </c:pt>
                <c:pt idx="1">
                  <c:v>-21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21</c:v>
                </c:pt>
                <c:pt idx="1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204</v>
      </c>
    </row>
    <row r="2" spans="1:40" x14ac:dyDescent="0.25">
      <c r="A2" s="10" t="s">
        <v>78</v>
      </c>
      <c r="B2" s="6">
        <v>50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0.25510204081632654</v>
      </c>
      <c r="J2" t="s">
        <v>11</v>
      </c>
      <c r="N2" t="s">
        <v>188</v>
      </c>
      <c r="V2" s="10" t="s">
        <v>228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-50</v>
      </c>
      <c r="C3" t="s">
        <v>102</v>
      </c>
      <c r="D3" t="str">
        <f>"- Mx puts compression on +y"</f>
        <v>- Mx puts compression on +y</v>
      </c>
      <c r="G3" s="4">
        <f>B3/12</f>
        <v>-4.166666666666667</v>
      </c>
      <c r="H3" s="10" t="s">
        <v>177</v>
      </c>
      <c r="I3" s="3">
        <f>B9-E22</f>
        <v>0</v>
      </c>
      <c r="J3" t="s">
        <v>22</v>
      </c>
      <c r="K3" t="s">
        <v>179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227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178</v>
      </c>
      <c r="I4" s="3">
        <f>C9-F22</f>
        <v>0</v>
      </c>
      <c r="J4" t="s">
        <v>22</v>
      </c>
      <c r="K4" t="s">
        <v>180</v>
      </c>
      <c r="L4" s="4">
        <f>B2*I4*-1</f>
        <v>0</v>
      </c>
      <c r="M4" t="str">
        <f>"+Mx"</f>
        <v>+Mx</v>
      </c>
      <c r="N4" s="4">
        <f>B3+L4</f>
        <v>-50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-457.33333333333343</v>
      </c>
      <c r="Z14">
        <f>$O$13/(B14-$E$22)</f>
        <v>457.33333333333343</v>
      </c>
      <c r="AA14">
        <f>-1*$B$3/Y14</f>
        <v>-0.10932944606413991</v>
      </c>
      <c r="AB14">
        <f>$B$4/Z14</f>
        <v>0</v>
      </c>
      <c r="AC14">
        <f>$I$2+AG14+AK14</f>
        <v>0.14577259475218662</v>
      </c>
      <c r="AD14" s="9">
        <f>C14-$F$22</f>
        <v>-7</v>
      </c>
      <c r="AE14">
        <f>(AD14*$N$4*$O$13)/(($N$13*$O$13)-($P$13*$P$13))</f>
        <v>0.10932944606413993</v>
      </c>
      <c r="AF14">
        <f>(AD14*$N$3*$P$13)/(($N$13*$O$13)-($P$13*$P$13))</f>
        <v>0</v>
      </c>
      <c r="AG14">
        <f>(AE14+AF14)*-1</f>
        <v>-0.10932944606413993</v>
      </c>
      <c r="AH14" s="9">
        <f>B14-$E$22</f>
        <v>7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0.14577259475218662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457.33333333333343</v>
      </c>
      <c r="Z15">
        <f t="shared" ref="Z15:Z21" si="10">$O$13/(B15-$E$22)</f>
        <v>457.33333333333343</v>
      </c>
      <c r="AA15">
        <f t="shared" ref="AA15:AA21" si="11">-1*$B$3/Y15</f>
        <v>0.10932944606413991</v>
      </c>
      <c r="AB15">
        <f t="shared" ref="AB15:AB21" si="12">$B$4/Z15</f>
        <v>0</v>
      </c>
      <c r="AC15">
        <f t="shared" ref="AC15:AC21" si="13">$I$2+AG15+AK15</f>
        <v>0.36443148688046645</v>
      </c>
      <c r="AD15" s="9">
        <f t="shared" ref="AD15:AD21" si="14">C15-$F$22</f>
        <v>7</v>
      </c>
      <c r="AE15">
        <f t="shared" ref="AE15:AE21" si="15">(AD15*$N$4*$O$13)/(($N$13*$O$13)-($P$13*$P$13))</f>
        <v>-0.10932944606413993</v>
      </c>
      <c r="AF15">
        <f t="shared" ref="AF15:AF21" si="16">(AD15*$N$3*$P$13)/(($N$13*$O$13)-($P$13*$P$13))</f>
        <v>0</v>
      </c>
      <c r="AG15">
        <f t="shared" ref="AG15:AG21" si="17">(AE15+AF15)*-1</f>
        <v>0.10932944606413993</v>
      </c>
      <c r="AH15" s="9">
        <f t="shared" ref="AH15:AH21" si="18">B15-$E$22</f>
        <v>7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0.36443148688046645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457.33333333333343</v>
      </c>
      <c r="Z16">
        <f t="shared" si="10"/>
        <v>-457.33333333333343</v>
      </c>
      <c r="AA16">
        <f t="shared" si="11"/>
        <v>0.10932944606413991</v>
      </c>
      <c r="AB16">
        <f t="shared" si="12"/>
        <v>0</v>
      </c>
      <c r="AC16">
        <f t="shared" si="13"/>
        <v>0.36443148688046645</v>
      </c>
      <c r="AD16" s="9">
        <f t="shared" si="14"/>
        <v>7</v>
      </c>
      <c r="AE16">
        <f t="shared" si="15"/>
        <v>-0.10932944606413993</v>
      </c>
      <c r="AF16">
        <f t="shared" si="16"/>
        <v>0</v>
      </c>
      <c r="AG16">
        <f t="shared" si="17"/>
        <v>0.10932944606413993</v>
      </c>
      <c r="AH16" s="9">
        <f t="shared" si="18"/>
        <v>-7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0.36443148688046645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-457.33333333333343</v>
      </c>
      <c r="Z17">
        <f t="shared" si="10"/>
        <v>-457.33333333333343</v>
      </c>
      <c r="AA17">
        <f t="shared" si="11"/>
        <v>-0.10932944606413991</v>
      </c>
      <c r="AB17">
        <f t="shared" si="12"/>
        <v>0</v>
      </c>
      <c r="AC17">
        <f t="shared" si="13"/>
        <v>0.14577259475218662</v>
      </c>
      <c r="AD17" s="9">
        <f t="shared" si="14"/>
        <v>-7</v>
      </c>
      <c r="AE17">
        <f t="shared" si="15"/>
        <v>0.10932944606413993</v>
      </c>
      <c r="AF17">
        <f t="shared" si="16"/>
        <v>0</v>
      </c>
      <c r="AG17">
        <f t="shared" si="17"/>
        <v>-0.10932944606413993</v>
      </c>
      <c r="AH17" s="9">
        <f t="shared" si="18"/>
        <v>-7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0.14577259475218662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-457.33333333333343</v>
      </c>
      <c r="Z18">
        <f t="shared" si="10"/>
        <v>-457.33333333333343</v>
      </c>
      <c r="AA18">
        <f t="shared" si="11"/>
        <v>-0.10932944606413991</v>
      </c>
      <c r="AB18">
        <f t="shared" si="12"/>
        <v>0</v>
      </c>
      <c r="AC18">
        <f t="shared" si="13"/>
        <v>0.14577259475218662</v>
      </c>
      <c r="AD18" s="9">
        <f t="shared" si="14"/>
        <v>-7</v>
      </c>
      <c r="AE18">
        <f t="shared" si="15"/>
        <v>0.10932944606413993</v>
      </c>
      <c r="AF18">
        <f t="shared" si="16"/>
        <v>0</v>
      </c>
      <c r="AG18">
        <f t="shared" si="17"/>
        <v>-0.10932944606413993</v>
      </c>
      <c r="AH18" s="9">
        <f t="shared" si="18"/>
        <v>-7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0.14577259475218662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9"/>
        <v>-457.33333333333343</v>
      </c>
      <c r="Z19">
        <f t="shared" si="10"/>
        <v>-457.33333333333343</v>
      </c>
      <c r="AA19">
        <f t="shared" si="11"/>
        <v>-0.10932944606413991</v>
      </c>
      <c r="AB19">
        <f t="shared" si="12"/>
        <v>0</v>
      </c>
      <c r="AC19">
        <f t="shared" si="13"/>
        <v>0.14577259475218662</v>
      </c>
      <c r="AD19" s="9">
        <f t="shared" si="14"/>
        <v>-7</v>
      </c>
      <c r="AE19">
        <f t="shared" si="15"/>
        <v>0.10932944606413993</v>
      </c>
      <c r="AF19">
        <f t="shared" si="16"/>
        <v>0</v>
      </c>
      <c r="AG19">
        <f t="shared" si="17"/>
        <v>-0.10932944606413993</v>
      </c>
      <c r="AH19" s="9">
        <f t="shared" si="18"/>
        <v>-7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0.14577259475218662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-457.33333333333343</v>
      </c>
      <c r="Z20">
        <f t="shared" si="10"/>
        <v>-457.33333333333343</v>
      </c>
      <c r="AA20">
        <f t="shared" si="11"/>
        <v>-0.10932944606413991</v>
      </c>
      <c r="AB20">
        <f t="shared" si="12"/>
        <v>0</v>
      </c>
      <c r="AC20">
        <f t="shared" si="13"/>
        <v>0.14577259475218662</v>
      </c>
      <c r="AD20" s="9">
        <f t="shared" si="14"/>
        <v>-7</v>
      </c>
      <c r="AE20">
        <f t="shared" si="15"/>
        <v>0.10932944606413993</v>
      </c>
      <c r="AF20">
        <f t="shared" si="16"/>
        <v>0</v>
      </c>
      <c r="AG20">
        <f t="shared" si="17"/>
        <v>-0.10932944606413993</v>
      </c>
      <c r="AH20" s="9">
        <f t="shared" si="18"/>
        <v>-7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0.14577259475218662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-457.33333333333343</v>
      </c>
      <c r="Z21">
        <f t="shared" si="10"/>
        <v>-457.33333333333343</v>
      </c>
      <c r="AA21">
        <f t="shared" si="11"/>
        <v>-0.10932944606413991</v>
      </c>
      <c r="AB21">
        <f t="shared" si="12"/>
        <v>0</v>
      </c>
      <c r="AC21">
        <f t="shared" si="13"/>
        <v>0.14577259475218662</v>
      </c>
      <c r="AD21" s="9">
        <f t="shared" si="14"/>
        <v>-7</v>
      </c>
      <c r="AE21">
        <f t="shared" si="15"/>
        <v>0.10932944606413993</v>
      </c>
      <c r="AF21">
        <f t="shared" si="16"/>
        <v>0</v>
      </c>
      <c r="AG21">
        <f t="shared" si="17"/>
        <v>-0.10932944606413993</v>
      </c>
      <c r="AH21" s="9">
        <f t="shared" si="18"/>
        <v>-7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0.14577259475218662</v>
      </c>
      <c r="AN21" t="b">
        <f t="shared" si="23"/>
        <v>1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8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0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50 kips
Mx: -50 kip-in
My: 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0.36443148688046645</v>
      </c>
      <c r="AD26">
        <f>COUNTIFS(AC14:AC21,AC26,L14:L21,1)</f>
        <v>2</v>
      </c>
      <c r="AE26">
        <f>SUMIF(AC14:AC21,AC26,B14:B21)/AD26</f>
        <v>7</v>
      </c>
      <c r="AF26">
        <f>SUMIF(AC14:AC21,AC26,C14:C21)/AD26</f>
        <v>14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0.14577259475218662</v>
      </c>
      <c r="AD27">
        <f>COUNTIFS(AC14:AC21,AC27,L14:L21,1)</f>
        <v>2</v>
      </c>
      <c r="AE27">
        <f>SUMIF(AC14:AC21,AC27,B14:B21)/AD27</f>
        <v>7</v>
      </c>
      <c r="AF27">
        <f>SUMIF(AC14:AC21,AC27,C14:C21)/AD27</f>
        <v>0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14</v>
      </c>
      <c r="AG29">
        <f>(AE27-AE26)</f>
        <v>0</v>
      </c>
      <c r="AH29">
        <f>AF27-AF26</f>
        <v>-14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0.3644 ksi
Design Status: OK
SOLUTION FOUND</v>
      </c>
      <c r="AD30" t="s">
        <v>197</v>
      </c>
      <c r="AE30">
        <f>(AC27-AC26)/AE29</f>
        <v>-1.5618492294877131E-2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23.333333333333336</v>
      </c>
      <c r="AF32" t="s">
        <v>195</v>
      </c>
      <c r="AJ32">
        <f>AJ31+(PI()/2)</f>
        <v>0</v>
      </c>
      <c r="AK32" t="s">
        <v>194</v>
      </c>
    </row>
    <row r="33" spans="1:48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220</v>
      </c>
      <c r="AJ33">
        <f>AJ31-(PI()/2)</f>
        <v>-3.1415926535897931</v>
      </c>
    </row>
    <row r="34" spans="1:48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219</v>
      </c>
      <c r="W34" s="3">
        <f>SQRT(D22/W36)</f>
        <v>14</v>
      </c>
      <c r="X34" t="s">
        <v>222</v>
      </c>
      <c r="AD34" t="s">
        <v>198</v>
      </c>
      <c r="AE34">
        <f>AE32/AE29</f>
        <v>1.6666666666666667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201</v>
      </c>
      <c r="W35" s="67">
        <v>6.0000000000218279</v>
      </c>
      <c r="X35" s="1" t="s">
        <v>22</v>
      </c>
      <c r="AE35" t="s">
        <v>190</v>
      </c>
      <c r="AF35" t="s">
        <v>191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214</v>
      </c>
      <c r="W36" s="65">
        <f>W3/W2</f>
        <v>1</v>
      </c>
      <c r="X36" s="63" t="s">
        <v>221</v>
      </c>
      <c r="AE36">
        <f>AE26+(AE34*(AE27-AE26))</f>
        <v>7</v>
      </c>
      <c r="AF36">
        <f>AF26+(AE34*(AF27-AF26))</f>
        <v>-9.3333333333333357</v>
      </c>
      <c r="AI36">
        <f>MAX(B13:C21)*-1</f>
        <v>-14</v>
      </c>
      <c r="AJ36">
        <f>AE36+(AI36*COS(AJ32))</f>
        <v>-7</v>
      </c>
      <c r="AK36">
        <f>AF36+(AI36*SIN(AJ32))</f>
        <v>-9.3333333333333357</v>
      </c>
    </row>
    <row r="37" spans="1:48" x14ac:dyDescent="0.25">
      <c r="A37">
        <v>1</v>
      </c>
      <c r="B37" s="7">
        <v>2</v>
      </c>
      <c r="C37" s="7">
        <v>2</v>
      </c>
      <c r="D37" s="13" t="s">
        <v>2</v>
      </c>
      <c r="Q37" s="12">
        <f>IF($D37="y",B37,NA())</f>
        <v>2</v>
      </c>
      <c r="R37" s="12">
        <f>IF($D37="y",C37,NA())</f>
        <v>2</v>
      </c>
      <c r="T37" s="4">
        <f>MAX(MAX(B13:B20),MAX(C13:C20))</f>
        <v>14</v>
      </c>
      <c r="U37" s="1">
        <f>T37</f>
        <v>14</v>
      </c>
      <c r="V37" s="1" t="s">
        <v>215</v>
      </c>
      <c r="W37" s="66">
        <f>W35*(W36*W35)</f>
        <v>36.000000000261934</v>
      </c>
      <c r="X37" s="1" t="s">
        <v>22</v>
      </c>
      <c r="AA37" t="str">
        <f>IF(W44=0,"Reduced Bearing Area","")</f>
        <v>Reduced Bearing Area</v>
      </c>
      <c r="AI37">
        <f>-1*AI36</f>
        <v>14</v>
      </c>
      <c r="AJ37">
        <f>AE36+(AI37*COS(AJ32))</f>
        <v>21</v>
      </c>
      <c r="AK37">
        <f>AF36+(AI37*SIN(AJ32))</f>
        <v>-9.3333333333333357</v>
      </c>
    </row>
    <row r="38" spans="1:48" x14ac:dyDescent="0.25">
      <c r="A38">
        <v>2</v>
      </c>
      <c r="B38" s="7">
        <v>12</v>
      </c>
      <c r="C38" s="7">
        <v>2</v>
      </c>
      <c r="D38" s="13" t="s">
        <v>2</v>
      </c>
      <c r="Q38" s="12">
        <f t="shared" ref="Q38:Q48" si="46">IF($D38="y",B38,NA())</f>
        <v>12</v>
      </c>
      <c r="R38" s="12">
        <f t="shared" ref="R38:R48" si="47">IF($D38="y",C38,NA())</f>
        <v>2</v>
      </c>
      <c r="V38" s="1" t="s">
        <v>216</v>
      </c>
      <c r="W38" s="3">
        <f>W35*POWER(W36*W35,2)*(1/6)</f>
        <v>36.000000000392902</v>
      </c>
      <c r="X38" s="1" t="s">
        <v>218</v>
      </c>
      <c r="Y38" s="1" t="s">
        <v>1</v>
      </c>
      <c r="Z38" s="1" t="s">
        <v>2</v>
      </c>
      <c r="AA38" s="1" t="s">
        <v>225</v>
      </c>
      <c r="AB38" s="1" t="s">
        <v>226</v>
      </c>
      <c r="AM38" s="9" cm="1">
        <f t="array" ref="AM38">MAX(ABS(AJ36:AJ37),ABS(AE36),ABS(AE26:AE27),ABS(B13:B21),ABS(C13:C21),ABS(AK36:AK37),ABS(AF36),ABS(AF26:AF27))</f>
        <v>21</v>
      </c>
      <c r="AN38" s="9">
        <f>AM38</f>
        <v>21</v>
      </c>
    </row>
    <row r="39" spans="1:48" x14ac:dyDescent="0.25">
      <c r="A39">
        <v>3</v>
      </c>
      <c r="B39" s="7">
        <v>2</v>
      </c>
      <c r="C39" s="7">
        <v>10</v>
      </c>
      <c r="D39" s="13" t="s">
        <v>15</v>
      </c>
      <c r="Q39" s="12" t="e">
        <f t="shared" si="46"/>
        <v>#N/A</v>
      </c>
      <c r="R39" s="12" t="e">
        <f t="shared" si="47"/>
        <v>#N/A</v>
      </c>
      <c r="V39" s="1" t="s">
        <v>217</v>
      </c>
      <c r="W39" s="3">
        <f>(W36*W35)*POWER(W35,2)*(1/6)</f>
        <v>36.000000000392902</v>
      </c>
      <c r="X39" s="1" t="s">
        <v>218</v>
      </c>
      <c r="Y39" s="5">
        <v>0</v>
      </c>
      <c r="Z39" s="5">
        <v>0</v>
      </c>
      <c r="AA39" s="5">
        <f>IF($W$44=0,Y39-($Z$45-$B$9),NA())</f>
        <v>3.9999999999890861</v>
      </c>
      <c r="AB39" s="5">
        <f>IF($W$44=0,Z39-($Z$46-$C$9),NA())</f>
        <v>3.9999999999890861</v>
      </c>
      <c r="AC39" s="5"/>
      <c r="AD39" s="5"/>
      <c r="AE39" s="5"/>
      <c r="AM39">
        <f>AM38*-1</f>
        <v>-21</v>
      </c>
      <c r="AN39">
        <f>AM39</f>
        <v>-21</v>
      </c>
    </row>
    <row r="40" spans="1:48" x14ac:dyDescent="0.25">
      <c r="A40">
        <v>4</v>
      </c>
      <c r="B40" s="7">
        <v>12</v>
      </c>
      <c r="C40" s="7">
        <v>10</v>
      </c>
      <c r="D40" s="13" t="s">
        <v>15</v>
      </c>
      <c r="Q40" s="12" t="e">
        <f t="shared" si="46"/>
        <v>#N/A</v>
      </c>
      <c r="R40" s="12" t="e">
        <f t="shared" si="47"/>
        <v>#N/A</v>
      </c>
      <c r="W40" s="3">
        <f>(B2/W37)+(B3/W38)+(B4/W39)</f>
        <v>5.0526249850690874E-12</v>
      </c>
      <c r="X40" s="1" t="s">
        <v>11</v>
      </c>
      <c r="Y40" s="5">
        <f>W35</f>
        <v>6.0000000000218279</v>
      </c>
      <c r="Z40" s="5">
        <v>0</v>
      </c>
      <c r="AA40" s="5">
        <f t="shared" ref="AA40:AA43" si="48">IF($W$44=0,Y40-($Z$45-$B$9),NA())</f>
        <v>10.000000000010914</v>
      </c>
      <c r="AB40" s="5">
        <f t="shared" ref="AB40:AB43" si="49">IF($W$44=0,Z40-($Z$46-$C$9),NA())</f>
        <v>3.9999999999890861</v>
      </c>
      <c r="AC40" s="5">
        <f>((AA39*AB40)-(AA40*AB39))*0.5</f>
        <v>-12.000000000010914</v>
      </c>
      <c r="AD40" s="5">
        <f>(AA40+AA39)*((AA39*AB40)-(AA40*AB39))*(1/6)</f>
        <v>-56.000000000050932</v>
      </c>
      <c r="AE40" s="5">
        <f>(AB40+AB39)*((AA39*AB40)-(AA40*AB39))*(1/6)</f>
        <v>-31.999999999941792</v>
      </c>
    </row>
    <row r="41" spans="1:48" x14ac:dyDescent="0.25">
      <c r="A41">
        <v>5</v>
      </c>
      <c r="B41" s="7">
        <v>2</v>
      </c>
      <c r="C41" s="7">
        <v>12</v>
      </c>
      <c r="D41" s="13" t="s">
        <v>2</v>
      </c>
      <c r="Q41" s="12">
        <f t="shared" si="46"/>
        <v>2</v>
      </c>
      <c r="R41" s="12">
        <f t="shared" si="47"/>
        <v>12</v>
      </c>
      <c r="W41" s="3">
        <f>(B2/W37)-(B3/W38)-(B4/W39)</f>
        <v>2.7777777777525143</v>
      </c>
      <c r="X41" s="1" t="s">
        <v>11</v>
      </c>
      <c r="Y41" s="5">
        <f>W35</f>
        <v>6.0000000000218279</v>
      </c>
      <c r="Z41" s="5">
        <f>W35*W36</f>
        <v>6.0000000000218279</v>
      </c>
      <c r="AA41" s="5">
        <f t="shared" si="48"/>
        <v>10.000000000010914</v>
      </c>
      <c r="AB41" s="5">
        <f t="shared" si="49"/>
        <v>10.000000000010914</v>
      </c>
      <c r="AC41" s="5">
        <f t="shared" ref="AC41:AC43" si="50">((AA40*AB41)-(AA41*AB40))*0.5</f>
        <v>30.000000000141881</v>
      </c>
      <c r="AD41" s="5">
        <f t="shared" ref="AD41:AD43" si="51">(AA41+AA40)*((AA40*AB41)-(AA41*AB40))*(1/6)</f>
        <v>200.00000000116415</v>
      </c>
      <c r="AE41" s="5">
        <f t="shared" ref="AE41:AE43" si="52">(AB41+AB40)*((AA40*AB41)-(AA41*AB40))*(1/6)</f>
        <v>140.00000000066211</v>
      </c>
    </row>
    <row r="42" spans="1:48" x14ac:dyDescent="0.25">
      <c r="A42">
        <v>6</v>
      </c>
      <c r="B42" s="7">
        <v>12</v>
      </c>
      <c r="C42" s="7">
        <v>12</v>
      </c>
      <c r="D42" s="13" t="s">
        <v>2</v>
      </c>
      <c r="Q42" s="12">
        <f t="shared" si="46"/>
        <v>12</v>
      </c>
      <c r="R42" s="12">
        <f t="shared" si="47"/>
        <v>12</v>
      </c>
      <c r="W42" s="3">
        <f>(B2/W37)+(B3/W38)-(B4/W39)</f>
        <v>5.0526249850690874E-12</v>
      </c>
      <c r="X42" s="1" t="s">
        <v>11</v>
      </c>
      <c r="Y42" s="5">
        <v>0</v>
      </c>
      <c r="Z42" s="5">
        <f>Z41</f>
        <v>6.0000000000218279</v>
      </c>
      <c r="AA42" s="5">
        <f t="shared" si="48"/>
        <v>3.9999999999890861</v>
      </c>
      <c r="AB42" s="5">
        <f t="shared" si="49"/>
        <v>10.000000000010914</v>
      </c>
      <c r="AC42" s="5">
        <f t="shared" si="50"/>
        <v>30.000000000141881</v>
      </c>
      <c r="AD42" s="5">
        <f t="shared" si="51"/>
        <v>140.00000000066211</v>
      </c>
      <c r="AE42" s="5">
        <f t="shared" si="52"/>
        <v>200.00000000116415</v>
      </c>
    </row>
    <row r="43" spans="1:48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2.7777777777525143</v>
      </c>
      <c r="X43" s="1" t="s">
        <v>11</v>
      </c>
      <c r="Y43" s="5">
        <v>0</v>
      </c>
      <c r="Z43" s="5">
        <v>0</v>
      </c>
      <c r="AA43" s="5">
        <f t="shared" si="48"/>
        <v>3.9999999999890861</v>
      </c>
      <c r="AB43" s="5">
        <f t="shared" si="49"/>
        <v>3.9999999999890861</v>
      </c>
      <c r="AC43" s="5">
        <f t="shared" si="50"/>
        <v>-12.000000000010914</v>
      </c>
      <c r="AD43" s="5">
        <f t="shared" si="51"/>
        <v>-31.999999999941792</v>
      </c>
      <c r="AE43" s="5">
        <f t="shared" si="52"/>
        <v>-56.000000000050932</v>
      </c>
      <c r="AP43">
        <v>0</v>
      </c>
      <c r="AQ43">
        <v>4</v>
      </c>
    </row>
    <row r="44" spans="1:48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0</v>
      </c>
      <c r="Y44" s="5"/>
      <c r="Z44" s="5"/>
      <c r="AA44" s="5"/>
      <c r="AB44" s="5"/>
      <c r="AC44" s="5">
        <f>SUM(AC40:AC43)</f>
        <v>36.000000000261934</v>
      </c>
      <c r="AD44" s="5">
        <f>SUM(AD40:AD43)/AC44</f>
        <v>7</v>
      </c>
      <c r="AE44" s="5">
        <f>SUM(AE40:AE43)/AC44</f>
        <v>7</v>
      </c>
      <c r="AP44">
        <v>8</v>
      </c>
      <c r="AQ44">
        <v>0</v>
      </c>
    </row>
    <row r="45" spans="1:48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223</v>
      </c>
      <c r="Z45" s="1">
        <f>Y40/2</f>
        <v>3.0000000000109139</v>
      </c>
      <c r="AC45" s="5" t="b">
        <f>AC44=W37</f>
        <v>1</v>
      </c>
    </row>
    <row r="46" spans="1:48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224</v>
      </c>
      <c r="Z46" s="1">
        <f>Z41/2</f>
        <v>3.0000000000109139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  <c r="AU48">
        <f>IF(AND(AR46=0,AS46=0),0,ATAN2(AU46,AV46))</f>
        <v>-0.46364760900080609</v>
      </c>
      <c r="AV48" t="s">
        <v>193</v>
      </c>
    </row>
    <row r="49" spans="1:48" x14ac:dyDescent="0.25">
      <c r="AU49">
        <f>AU48+(PI()/2)</f>
        <v>1.1071487177940904</v>
      </c>
      <c r="AV49" t="s">
        <v>194</v>
      </c>
    </row>
    <row r="50" spans="1:48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0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0</v>
      </c>
      <c r="J57" s="53" t="str">
        <f t="shared" si="53"/>
        <v>kip-in</v>
      </c>
      <c r="L57" s="1">
        <f>SQRT(POWER(I57,2)+POWER(I56,2)+POWER(I55,2))</f>
        <v>0</v>
      </c>
      <c r="M57" s="44" t="str">
        <f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100</v>
      </c>
      <c r="K59" t="s">
        <v>170</v>
      </c>
      <c r="L59" s="58">
        <v>9.9999999999999994E-12</v>
      </c>
      <c r="M59" t="b">
        <f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155</v>
      </c>
      <c r="E60" s="13" t="s">
        <v>15</v>
      </c>
      <c r="H60" s="10" t="s">
        <v>169</v>
      </c>
      <c r="I60" s="1">
        <v>6</v>
      </c>
      <c r="L60" s="69">
        <v>0</v>
      </c>
      <c r="M60" s="70" t="str">
        <f>IF(L60=1,"Used Higher Precision for Solution","")</f>
        <v/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48" x14ac:dyDescent="0.25">
      <c r="A64" s="11" t="s">
        <v>39</v>
      </c>
      <c r="B64" s="24">
        <v>0</v>
      </c>
      <c r="C64" t="s">
        <v>19</v>
      </c>
      <c r="D64" t="s">
        <v>34</v>
      </c>
      <c r="H64" s="17">
        <f>DEGREES(B64)</f>
        <v>0</v>
      </c>
      <c r="I64" t="s">
        <v>41</v>
      </c>
      <c r="J64" s="3">
        <f>AJ32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23.333333333333336</v>
      </c>
      <c r="C65" t="s">
        <v>22</v>
      </c>
      <c r="D65" t="s">
        <v>29</v>
      </c>
      <c r="J65" s="1">
        <f>AE32</f>
        <v>23.333333333333336</v>
      </c>
      <c r="N65">
        <f>0.5*J65</f>
        <v>11.666666666666668</v>
      </c>
      <c r="P65">
        <f>0.5*Q65</f>
        <v>11.666666666666668</v>
      </c>
      <c r="Q65">
        <f>AE32</f>
        <v>23.333333333333336</v>
      </c>
      <c r="X65">
        <v>2</v>
      </c>
      <c r="Y65">
        <v>4.5</v>
      </c>
    </row>
    <row r="66" spans="1:36" x14ac:dyDescent="0.25">
      <c r="A66" s="11" t="s">
        <v>42</v>
      </c>
      <c r="B66" s="24">
        <v>0.36443148688046645</v>
      </c>
      <c r="C66" t="s">
        <v>11</v>
      </c>
      <c r="D66">
        <f>B66/B53</f>
        <v>8.9446828724772126E-5</v>
      </c>
      <c r="I66" s="20"/>
      <c r="J66" s="4">
        <f>MAX(AC14:AC21)*2</f>
        <v>0.7288629737609329</v>
      </c>
      <c r="N66">
        <f>2*J66</f>
        <v>1.4577259475218658</v>
      </c>
      <c r="P66">
        <f>0.5*Q66</f>
        <v>0.18221574344023322</v>
      </c>
      <c r="Q66">
        <f>MAX(AC14:AC21)</f>
        <v>0.36443148688046645</v>
      </c>
      <c r="X66">
        <v>2.25</v>
      </c>
      <c r="Y66">
        <v>4.5</v>
      </c>
    </row>
    <row r="67" spans="1:36" x14ac:dyDescent="0.25">
      <c r="A67" s="1" t="s">
        <v>37</v>
      </c>
      <c r="B67" s="24"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  <c r="I67">
        <f>IF(B67=0,0,1-G67/B67)</f>
        <v>0</v>
      </c>
      <c r="Q67">
        <v>0</v>
      </c>
      <c r="X67">
        <v>2.5</v>
      </c>
      <c r="Y67">
        <v>4</v>
      </c>
    </row>
    <row r="68" spans="1:36" x14ac:dyDescent="0.25">
      <c r="N68" t="s">
        <v>206</v>
      </c>
      <c r="P68" t="s">
        <v>207</v>
      </c>
      <c r="X68">
        <v>2.75</v>
      </c>
      <c r="Y68">
        <v>4</v>
      </c>
      <c r="AE68" t="s">
        <v>229</v>
      </c>
      <c r="AF68" t="s">
        <v>230</v>
      </c>
      <c r="AG68" t="s">
        <v>231</v>
      </c>
      <c r="AH68" t="s">
        <v>230</v>
      </c>
      <c r="AI68" t="s">
        <v>232</v>
      </c>
      <c r="AJ68" t="s">
        <v>230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-7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-7</v>
      </c>
      <c r="J73" s="4">
        <f>C25-$C$9</f>
        <v>-7</v>
      </c>
      <c r="Q73" cm="1">
        <f t="array" ref="Q73">(-1*MAX(ABS(B84:C91)))-1</f>
        <v>-8</v>
      </c>
      <c r="R73">
        <f>Q73</f>
        <v>-8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7</v>
      </c>
      <c r="C74" s="4">
        <f t="shared" si="56"/>
        <v>-7</v>
      </c>
      <c r="H74" s="1">
        <f t="shared" si="57"/>
        <v>2</v>
      </c>
      <c r="I74" s="4">
        <f t="shared" ref="I74:I81" si="58">B26-$B$9</f>
        <v>-7</v>
      </c>
      <c r="J74" s="4">
        <f t="shared" ref="J74:J81" si="59">C26-$C$9</f>
        <v>-7</v>
      </c>
      <c r="Q74">
        <f>-1*Q73</f>
        <v>8</v>
      </c>
      <c r="R74">
        <f>Q74</f>
        <v>8</v>
      </c>
    </row>
    <row r="75" spans="1:36" x14ac:dyDescent="0.25">
      <c r="A75" s="1">
        <f t="shared" si="54"/>
        <v>3</v>
      </c>
      <c r="B75" s="4">
        <f t="shared" si="55"/>
        <v>7</v>
      </c>
      <c r="C75" s="4">
        <f t="shared" si="56"/>
        <v>7</v>
      </c>
      <c r="H75" s="1">
        <f t="shared" si="57"/>
        <v>3</v>
      </c>
      <c r="I75" s="4">
        <f t="shared" si="58"/>
        <v>-7</v>
      </c>
      <c r="J75" s="4">
        <f t="shared" si="59"/>
        <v>-7</v>
      </c>
    </row>
    <row r="76" spans="1:36" x14ac:dyDescent="0.25">
      <c r="A76" s="1">
        <f t="shared" si="54"/>
        <v>4</v>
      </c>
      <c r="B76" s="4">
        <f t="shared" si="55"/>
        <v>-7</v>
      </c>
      <c r="C76" s="4">
        <f t="shared" si="56"/>
        <v>7</v>
      </c>
      <c r="H76" s="1">
        <f t="shared" si="57"/>
        <v>4</v>
      </c>
      <c r="I76" s="4">
        <f t="shared" si="58"/>
        <v>-7</v>
      </c>
      <c r="J76" s="4">
        <f t="shared" si="59"/>
        <v>-7</v>
      </c>
    </row>
    <row r="77" spans="1:36" x14ac:dyDescent="0.25">
      <c r="A77" s="1">
        <f t="shared" si="54"/>
        <v>5</v>
      </c>
      <c r="B77" s="4">
        <f t="shared" si="55"/>
        <v>-7</v>
      </c>
      <c r="C77" s="4">
        <f t="shared" si="56"/>
        <v>-7</v>
      </c>
      <c r="H77" s="1">
        <f t="shared" si="57"/>
        <v>5</v>
      </c>
      <c r="I77" s="4">
        <f t="shared" si="58"/>
        <v>-7</v>
      </c>
      <c r="J77" s="4">
        <f t="shared" si="59"/>
        <v>-7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-7</v>
      </c>
      <c r="C78" s="4">
        <f t="shared" si="56"/>
        <v>-7</v>
      </c>
      <c r="H78" s="1">
        <f t="shared" si="57"/>
        <v>6</v>
      </c>
      <c r="I78" s="4">
        <f t="shared" si="58"/>
        <v>-7</v>
      </c>
      <c r="J78" s="4">
        <f t="shared" si="59"/>
        <v>-7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-7</v>
      </c>
      <c r="C79" s="4">
        <f t="shared" si="56"/>
        <v>-7</v>
      </c>
      <c r="H79" s="1">
        <f t="shared" si="57"/>
        <v>7</v>
      </c>
      <c r="I79" s="4">
        <f t="shared" si="58"/>
        <v>-7</v>
      </c>
      <c r="J79" s="4">
        <f t="shared" si="59"/>
        <v>-7</v>
      </c>
      <c r="Q79" t="e">
        <f>(I126*COS(-1*$B$64))+(J126*SIN(-1*$B$64))</f>
        <v>#N/A</v>
      </c>
      <c r="R79" t="e">
        <f>(-1*I126*SIN(-1*$B$64))+(J126*COS(-1*$B$64))</f>
        <v>#N/A</v>
      </c>
    </row>
    <row r="80" spans="1:36" x14ac:dyDescent="0.25">
      <c r="A80" s="1">
        <f t="shared" si="54"/>
        <v>8</v>
      </c>
      <c r="B80" s="4">
        <f t="shared" si="55"/>
        <v>-7</v>
      </c>
      <c r="C80" s="4">
        <f t="shared" si="56"/>
        <v>-7</v>
      </c>
      <c r="H80" s="1">
        <f t="shared" si="57"/>
        <v>8</v>
      </c>
      <c r="I80" s="4">
        <f t="shared" si="58"/>
        <v>-7</v>
      </c>
      <c r="J80" s="4">
        <f t="shared" si="59"/>
        <v>-7</v>
      </c>
      <c r="Q80" t="e">
        <f>(I127*COS(-1*$B$64))+(J127*SIN(-1*$B$64))</f>
        <v>#N/A</v>
      </c>
      <c r="R80" t="e">
        <f>(-1*I127*SIN(-1*$B$64))+(J127*COS(-1*$B$64))</f>
        <v>#N/A</v>
      </c>
    </row>
    <row r="81" spans="1:18" x14ac:dyDescent="0.25">
      <c r="A81" s="1">
        <f t="shared" si="54"/>
        <v>9</v>
      </c>
      <c r="B81" s="4">
        <f t="shared" si="55"/>
        <v>-7</v>
      </c>
      <c r="C81" s="4">
        <f t="shared" si="56"/>
        <v>-7</v>
      </c>
      <c r="H81" s="1">
        <f t="shared" si="57"/>
        <v>9</v>
      </c>
      <c r="I81" s="4">
        <f t="shared" si="58"/>
        <v>-7</v>
      </c>
      <c r="J81" s="4">
        <f t="shared" si="59"/>
        <v>-7</v>
      </c>
    </row>
    <row r="82" spans="1:18" x14ac:dyDescent="0.25">
      <c r="A82" t="s">
        <v>30</v>
      </c>
      <c r="B82" s="9"/>
      <c r="H82" t="s">
        <v>139</v>
      </c>
      <c r="Q82" s="4" t="e">
        <f>Q79+$B$9</f>
        <v>#N/A</v>
      </c>
      <c r="R82" s="4" t="e">
        <f>R79+$C$9</f>
        <v>#N/A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 t="e">
        <f>Q80+$B$9</f>
        <v>#N/A</v>
      </c>
      <c r="R83" s="4" t="e">
        <f>R80+$C$9</f>
        <v>#N/A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-7</v>
      </c>
      <c r="C84" s="1">
        <f t="shared" ref="C84:C92" si="62">(-1*B73*SIN($B$64))+(C73*COS($B$64))</f>
        <v>-7</v>
      </c>
      <c r="H84" s="1">
        <f t="shared" ref="H84:H92" si="63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8" x14ac:dyDescent="0.25">
      <c r="A85" s="1">
        <f t="shared" si="60"/>
        <v>2</v>
      </c>
      <c r="B85" s="4">
        <f t="shared" si="61"/>
        <v>7</v>
      </c>
      <c r="C85" s="1">
        <f t="shared" si="62"/>
        <v>-7</v>
      </c>
      <c r="H85" s="1">
        <f t="shared" si="63"/>
        <v>2</v>
      </c>
      <c r="I85" s="4">
        <f t="shared" ref="I85:I92" si="64">(I74*COS($B$64))+(J74*SIN($B$64))</f>
        <v>-7</v>
      </c>
      <c r="J85" s="1">
        <f t="shared" ref="J85:J92" si="65">(-1*I74*SIN($B$64))+(J74*COS($B$64))</f>
        <v>-7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7</v>
      </c>
      <c r="C86" s="1">
        <f t="shared" si="62"/>
        <v>7</v>
      </c>
      <c r="H86" s="1">
        <f t="shared" si="63"/>
        <v>3</v>
      </c>
      <c r="I86" s="4">
        <f t="shared" si="64"/>
        <v>-7</v>
      </c>
      <c r="J86" s="1">
        <f t="shared" si="65"/>
        <v>-7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-7</v>
      </c>
      <c r="C87" s="1">
        <f t="shared" si="62"/>
        <v>7</v>
      </c>
      <c r="H87" s="1">
        <f t="shared" si="63"/>
        <v>4</v>
      </c>
      <c r="I87" s="4">
        <f t="shared" si="64"/>
        <v>-7</v>
      </c>
      <c r="J87" s="1">
        <f t="shared" si="65"/>
        <v>-7</v>
      </c>
      <c r="Q87">
        <f>(P142*COS(-1*$B$64))+(P143*SIN(-1*$B$64))</f>
        <v>0</v>
      </c>
      <c r="R87">
        <f>(-1*P142*SIN(-1*$B$64))+(P143*COS(-1*$B$64))</f>
        <v>1</v>
      </c>
    </row>
    <row r="88" spans="1:18" x14ac:dyDescent="0.25">
      <c r="A88" s="1">
        <f t="shared" si="60"/>
        <v>5</v>
      </c>
      <c r="B88" s="4">
        <f t="shared" si="61"/>
        <v>-7</v>
      </c>
      <c r="C88" s="1">
        <f t="shared" si="62"/>
        <v>-7</v>
      </c>
      <c r="H88" s="1">
        <f t="shared" si="63"/>
        <v>5</v>
      </c>
      <c r="I88" s="4">
        <f t="shared" si="64"/>
        <v>-7</v>
      </c>
      <c r="J88" s="1">
        <f t="shared" si="65"/>
        <v>-7</v>
      </c>
    </row>
    <row r="89" spans="1:18" x14ac:dyDescent="0.25">
      <c r="A89" s="1">
        <f t="shared" si="60"/>
        <v>6</v>
      </c>
      <c r="B89" s="4">
        <f t="shared" si="61"/>
        <v>-7</v>
      </c>
      <c r="C89" s="1">
        <f t="shared" si="62"/>
        <v>-7</v>
      </c>
      <c r="H89" s="1">
        <f t="shared" si="63"/>
        <v>6</v>
      </c>
      <c r="I89" s="4">
        <f t="shared" si="64"/>
        <v>-7</v>
      </c>
      <c r="J89" s="1">
        <f t="shared" si="65"/>
        <v>-7</v>
      </c>
    </row>
    <row r="90" spans="1:18" x14ac:dyDescent="0.25">
      <c r="A90" s="1">
        <f t="shared" si="60"/>
        <v>7</v>
      </c>
      <c r="B90" s="4">
        <f t="shared" si="61"/>
        <v>-7</v>
      </c>
      <c r="C90" s="1">
        <f t="shared" si="62"/>
        <v>-7</v>
      </c>
      <c r="H90" s="1">
        <f t="shared" si="63"/>
        <v>7</v>
      </c>
      <c r="I90" s="4">
        <f t="shared" si="64"/>
        <v>-7</v>
      </c>
      <c r="J90" s="1">
        <f t="shared" si="65"/>
        <v>-7</v>
      </c>
      <c r="Q90" s="4">
        <f>Q87+$B$9</f>
        <v>7</v>
      </c>
      <c r="R90" s="4">
        <f>R87+$C$9</f>
        <v>8</v>
      </c>
    </row>
    <row r="91" spans="1:18" x14ac:dyDescent="0.25">
      <c r="A91" s="1">
        <f t="shared" si="60"/>
        <v>8</v>
      </c>
      <c r="B91" s="4">
        <f t="shared" si="61"/>
        <v>-7</v>
      </c>
      <c r="C91" s="1">
        <f t="shared" si="62"/>
        <v>-7</v>
      </c>
      <c r="H91" s="1">
        <f t="shared" si="63"/>
        <v>8</v>
      </c>
      <c r="I91" s="4">
        <f t="shared" si="64"/>
        <v>-7</v>
      </c>
      <c r="J91" s="1">
        <f t="shared" si="65"/>
        <v>-7</v>
      </c>
    </row>
    <row r="92" spans="1:18" x14ac:dyDescent="0.25">
      <c r="A92" s="1">
        <f t="shared" si="60"/>
        <v>9</v>
      </c>
      <c r="B92" s="4">
        <f t="shared" si="61"/>
        <v>-7</v>
      </c>
      <c r="C92" s="1">
        <f t="shared" si="62"/>
        <v>-7</v>
      </c>
      <c r="H92" s="1">
        <f t="shared" si="63"/>
        <v>9</v>
      </c>
      <c r="I92" s="4">
        <f t="shared" si="64"/>
        <v>-7</v>
      </c>
      <c r="J92" s="1">
        <f t="shared" si="65"/>
        <v>-7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-5</v>
      </c>
      <c r="C95" s="4">
        <f t="shared" ref="C95:C106" si="68">C37-$C$9</f>
        <v>-5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5</v>
      </c>
      <c r="C96" s="4">
        <f t="shared" si="68"/>
        <v>-5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-5</v>
      </c>
      <c r="C97" s="4">
        <f t="shared" si="68"/>
        <v>3</v>
      </c>
      <c r="D97" t="str">
        <f t="shared" si="69"/>
        <v>n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5</v>
      </c>
      <c r="C98" s="4">
        <f t="shared" si="68"/>
        <v>3</v>
      </c>
      <c r="D98" t="str">
        <f t="shared" si="69"/>
        <v>n</v>
      </c>
    </row>
    <row r="99" spans="1:28" x14ac:dyDescent="0.25">
      <c r="A99">
        <f t="shared" si="66"/>
        <v>5</v>
      </c>
      <c r="B99" s="4">
        <f t="shared" si="67"/>
        <v>-5</v>
      </c>
      <c r="C99" s="4">
        <f t="shared" si="68"/>
        <v>5</v>
      </c>
      <c r="D99" t="str">
        <f t="shared" si="69"/>
        <v>y</v>
      </c>
    </row>
    <row r="100" spans="1:28" x14ac:dyDescent="0.25">
      <c r="A100">
        <f t="shared" si="66"/>
        <v>6</v>
      </c>
      <c r="B100" s="4">
        <f t="shared" si="67"/>
        <v>5</v>
      </c>
      <c r="C100" s="4">
        <f t="shared" si="68"/>
        <v>5</v>
      </c>
      <c r="D100" t="str">
        <f t="shared" si="69"/>
        <v>y</v>
      </c>
    </row>
    <row r="101" spans="1:28" x14ac:dyDescent="0.25">
      <c r="A101">
        <f t="shared" si="66"/>
        <v>7</v>
      </c>
      <c r="B101" s="4">
        <f t="shared" si="67"/>
        <v>-7</v>
      </c>
      <c r="C101" s="4">
        <f t="shared" si="68"/>
        <v>-7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-7</v>
      </c>
      <c r="C102" s="4">
        <f t="shared" si="68"/>
        <v>-7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-7</v>
      </c>
      <c r="C103" s="4">
        <f t="shared" si="68"/>
        <v>-7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-7</v>
      </c>
      <c r="C104" s="4">
        <f t="shared" si="68"/>
        <v>-7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-7</v>
      </c>
      <c r="C105" s="4">
        <f t="shared" si="68"/>
        <v>-7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-7</v>
      </c>
      <c r="C106" s="4">
        <f t="shared" si="68"/>
        <v>-7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70">D95</f>
        <v>y</v>
      </c>
      <c r="E110" s="4">
        <f t="shared" ref="E110:E121" si="71">IF($D110="y",$B$125-C110,0)</f>
        <v>-11.333333333333336</v>
      </c>
      <c r="F110" s="1">
        <f>IF($D110="y",B110,NA())</f>
        <v>-5</v>
      </c>
      <c r="G110" s="1">
        <f>IF($D110="y",C110,NA())</f>
        <v>-5</v>
      </c>
      <c r="H110">
        <f>IF(OR($E$122=0,$B$67&lt;0),0,-1*MAX(($B$67/$E$122)*(E110),0))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72">IFERROR(($D$66/$B$65)*(G110-$B$125),0)</f>
        <v>4.3445602523460746E-5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4">IF(AND($E$60="n",M110&gt;0,D110="y"),M110*$B$53*$E$59,0)</f>
        <v>4.3987745625125522E-2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0.044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5</v>
      </c>
      <c r="C111" s="1">
        <f t="shared" ref="C111:C121" si="78">(-1*B96*SIN($B$64))+(C96*COS($B$64))</f>
        <v>-5</v>
      </c>
      <c r="D111" t="str">
        <f t="shared" si="76"/>
        <v>y</v>
      </c>
      <c r="E111" s="4">
        <f t="shared" si="71"/>
        <v>-11.333333333333336</v>
      </c>
      <c r="F111" s="1">
        <f t="shared" ref="F111:F121" si="79">IF($D111="y",B111,NA())</f>
        <v>5</v>
      </c>
      <c r="G111" s="1">
        <f t="shared" ref="G111:G121" si="80">IF($D111="y",C111,NA())</f>
        <v>-5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2"/>
        <v>4.3445602523460746E-5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4"/>
        <v>4.3987745625125522E-2</v>
      </c>
      <c r="AB111" t="str">
        <f t="shared" si="75"/>
        <v xml:space="preserve">
0.044 kips</v>
      </c>
    </row>
    <row r="112" spans="1:28" x14ac:dyDescent="0.25">
      <c r="A112">
        <f t="shared" ref="A112:D112" si="93">A97</f>
        <v>3</v>
      </c>
      <c r="B112" s="1">
        <f t="shared" si="77"/>
        <v>-5</v>
      </c>
      <c r="C112" s="1">
        <f t="shared" si="78"/>
        <v>3</v>
      </c>
      <c r="D112" t="str">
        <f t="shared" si="93"/>
        <v>n</v>
      </c>
      <c r="E112" s="4">
        <f t="shared" si="71"/>
        <v>0</v>
      </c>
      <c r="F112" s="1" t="e">
        <f t="shared" si="79"/>
        <v>#N/A</v>
      </c>
      <c r="G112" s="1" t="e">
        <f t="shared" si="80"/>
        <v>#N/A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0</v>
      </c>
      <c r="N112">
        <f t="shared" si="73"/>
        <v>0</v>
      </c>
      <c r="O112">
        <f t="shared" si="85"/>
        <v>0</v>
      </c>
      <c r="P112">
        <f t="shared" si="86"/>
        <v>0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5</v>
      </c>
      <c r="C113" s="1">
        <f t="shared" si="78"/>
        <v>3</v>
      </c>
      <c r="D113" t="str">
        <f t="shared" si="95"/>
        <v>n</v>
      </c>
      <c r="E113" s="4">
        <f t="shared" si="71"/>
        <v>0</v>
      </c>
      <c r="F113" s="1" t="e">
        <f t="shared" si="79"/>
        <v>#N/A</v>
      </c>
      <c r="G113" s="1" t="e">
        <f t="shared" si="80"/>
        <v>#N/A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0</v>
      </c>
      <c r="N113">
        <f t="shared" si="73"/>
        <v>0</v>
      </c>
      <c r="O113">
        <f t="shared" si="85"/>
        <v>0</v>
      </c>
      <c r="P113">
        <f t="shared" si="86"/>
        <v>0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-5</v>
      </c>
      <c r="C114" s="1">
        <f t="shared" si="78"/>
        <v>5</v>
      </c>
      <c r="D114" t="str">
        <f t="shared" si="96"/>
        <v>y</v>
      </c>
      <c r="E114" s="4">
        <f t="shared" si="71"/>
        <v>-21.333333333333336</v>
      </c>
      <c r="F114" s="1">
        <f t="shared" si="79"/>
        <v>-5</v>
      </c>
      <c r="G114" s="1">
        <f t="shared" si="80"/>
        <v>5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8.1779957691220222E-5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8.2800462353177437E-2</v>
      </c>
      <c r="AB114" t="str">
        <f t="shared" si="75"/>
        <v xml:space="preserve">
0.0828 kips</v>
      </c>
    </row>
    <row r="115" spans="1:28" x14ac:dyDescent="0.25">
      <c r="A115">
        <f t="shared" ref="A115:D115" si="97">A100</f>
        <v>6</v>
      </c>
      <c r="B115" s="1">
        <f t="shared" si="77"/>
        <v>5</v>
      </c>
      <c r="C115" s="1">
        <f t="shared" si="78"/>
        <v>5</v>
      </c>
      <c r="D115" t="str">
        <f t="shared" si="97"/>
        <v>y</v>
      </c>
      <c r="E115" s="4">
        <f t="shared" si="71"/>
        <v>-21.333333333333336</v>
      </c>
      <c r="F115" s="1">
        <f t="shared" si="79"/>
        <v>5</v>
      </c>
      <c r="G115" s="1">
        <f t="shared" si="80"/>
        <v>5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8.1779957691220222E-5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8.2800462353177437E-2</v>
      </c>
      <c r="AB115" t="str">
        <f t="shared" si="75"/>
        <v xml:space="preserve">
0.0828 kips</v>
      </c>
    </row>
    <row r="116" spans="1:28" x14ac:dyDescent="0.25">
      <c r="A116">
        <f t="shared" ref="A116:D116" si="98">A101</f>
        <v>7</v>
      </c>
      <c r="B116" s="1">
        <f t="shared" si="77"/>
        <v>-7</v>
      </c>
      <c r="C116" s="1">
        <f t="shared" si="78"/>
        <v>-7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-7</v>
      </c>
      <c r="C117" s="1">
        <f t="shared" si="78"/>
        <v>-7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-7</v>
      </c>
      <c r="C118" s="1">
        <f t="shared" si="78"/>
        <v>-7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-7</v>
      </c>
      <c r="C119" s="1">
        <f t="shared" si="78"/>
        <v>-7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-7</v>
      </c>
      <c r="C120" s="1">
        <f t="shared" si="78"/>
        <v>-7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-7</v>
      </c>
      <c r="C121" s="1">
        <f t="shared" si="78"/>
        <v>-7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104">SUM(I110:I121)</f>
        <v>0</v>
      </c>
      <c r="J122">
        <f t="shared" si="104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-16.333333333333336</v>
      </c>
      <c r="F125" s="1" t="s">
        <v>27</v>
      </c>
      <c r="G125" s="1" t="s">
        <v>28</v>
      </c>
    </row>
    <row r="126" spans="1:28" x14ac:dyDescent="0.25">
      <c r="F126" s="4">
        <f>MIN(B84:B92)-1</f>
        <v>-8</v>
      </c>
      <c r="G126" s="4">
        <f>B125</f>
        <v>-16.333333333333336</v>
      </c>
      <c r="I126" t="e">
        <f>IF(OR($G$126&gt;MAX($C$84:$C$92)+5,$G$126&lt;MIN($C$84:$C$92)-5),NA(),F126)</f>
        <v>#N/A</v>
      </c>
      <c r="J126" t="e">
        <f>IF(OR($G$126&gt;MAX($C$84:$C$92)+5,$G$126&lt;MIN($C$84:$C$92)-5),NA(),G126)</f>
        <v>#N/A</v>
      </c>
    </row>
    <row r="127" spans="1:28" x14ac:dyDescent="0.25">
      <c r="F127" s="4">
        <f>MAX(B84:B92)+1</f>
        <v>8</v>
      </c>
      <c r="G127" s="4">
        <f>G126</f>
        <v>-16.333333333333336</v>
      </c>
      <c r="I127" t="e">
        <f>IF(OR($G$126&gt;MAX($C$84:$C$92)+5,$G$126&lt;MIN($C$84:$C$92)-5),NA(),F127)</f>
        <v>#N/A</v>
      </c>
      <c r="J127" t="e">
        <f>IF(OR($G$126&gt;MAX($C$84:$C$92)+5,$G$126&lt;MIN($C$84:$C$92)-5),NA(),G127)</f>
        <v>#N/A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105">B85</f>
        <v>7</v>
      </c>
      <c r="E132" s="4">
        <f t="shared" si="105"/>
        <v>-7</v>
      </c>
      <c r="F132" s="4">
        <f t="shared" ref="F132:F139" si="106">($B$66/$B$65)*(C132-$B$125)</f>
        <v>0.1457725947521866</v>
      </c>
      <c r="G132" s="4">
        <f t="shared" ref="G132:G139" si="107">($B$66/$B$65)*(E132-$B$125)</f>
        <v>0.1457725947521866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0.1457725947521866</v>
      </c>
      <c r="O132" s="4">
        <f>IF(G132&lt;0,0,G132)</f>
        <v>0.1457725947521866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>
        <f>IF(AND(J132=0,K132=0,L132=0,M132=0),NA(),J132)</f>
        <v>-7</v>
      </c>
      <c r="V132">
        <f>IF(AND(J132=0,K132=0,L132=0,M132=0),NA(),K132)</f>
        <v>-7</v>
      </c>
      <c r="W132" s="9" t="str">
        <f>IF(AND(J132=0,K132=0,L132=0,M132=0),"",ROUND(N132,4)&amp;" ksi")</f>
        <v>0.1458 ksi</v>
      </c>
      <c r="X132">
        <f>(U132*COS(-1*$B$64))+(V132*SIN(-1*$B$64))</f>
        <v>-7</v>
      </c>
      <c r="Y132">
        <f>(-1*U132*SIN(-1*$B$64))+(V132*COS(-1*$B$64))</f>
        <v>-7</v>
      </c>
      <c r="AA132" s="4">
        <f>X132+$B$9</f>
        <v>0</v>
      </c>
      <c r="AB132" s="4">
        <f>Y132+$C$9</f>
        <v>0</v>
      </c>
      <c r="AD132">
        <f>IF(AND(J132=0,K132=0,L132=0,M132=0),NA(),L132)</f>
        <v>7</v>
      </c>
      <c r="AE132">
        <f>IF(AND(J132=0,K132=0,L132=0,M132=0),NA(),M132)</f>
        <v>-7</v>
      </c>
      <c r="AF132" s="9" t="str">
        <f>IF(AND(J132=0,K132=0,L132=0,M132=0),"",ROUND(O132,4)&amp;" ksi")</f>
        <v>0.1458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7</v>
      </c>
      <c r="C133" s="4">
        <f t="shared" si="108"/>
        <v>-7</v>
      </c>
      <c r="D133" s="4">
        <f t="shared" si="105"/>
        <v>7</v>
      </c>
      <c r="E133" s="4">
        <f t="shared" si="105"/>
        <v>7</v>
      </c>
      <c r="F133" s="4">
        <f t="shared" si="106"/>
        <v>0.1457725947521866</v>
      </c>
      <c r="G133" s="4">
        <f t="shared" si="107"/>
        <v>0.36443148688046645</v>
      </c>
      <c r="H133" s="4" t="str">
        <f t="shared" ref="H133:H139" si="109">IF(B133=D133,"V",(C133-E133)/(B133-D133))</f>
        <v>V</v>
      </c>
      <c r="I133" s="4">
        <f t="shared" ref="I133:I139" si="110">IF(H133="V",0,(-1*B133*H133)+C133)</f>
        <v>0</v>
      </c>
      <c r="J133" s="4">
        <f t="shared" ref="J133:J139" si="111">IF($F133&gt;=0,B133,IF(AND($F133&lt;0,$G133&gt;=0),IF(H133="V",B133,($B$125-I133)/H133),0))</f>
        <v>7</v>
      </c>
      <c r="K133" s="4">
        <f t="shared" ref="K133:K139" si="112">IF($F133&gt;=0,C133,IF(AND($F133&lt;0,$G133&gt;=0),$B$125,0))</f>
        <v>-7</v>
      </c>
      <c r="L133" s="4">
        <f t="shared" ref="L133:L139" si="113">IF($G133&gt;=0,D133,IF(AND($G133&lt;0,$F133&gt;=0),IF(H133="V",D133,($B$125-I133)/H133),0))</f>
        <v>7</v>
      </c>
      <c r="M133" s="4">
        <f t="shared" ref="M133:M139" si="114">IF($G133&gt;=0,E133,IF(AND($G133&lt;0,$F133&gt;=0),$B$125,0))</f>
        <v>7</v>
      </c>
      <c r="N133" s="4">
        <f t="shared" ref="N133:N139" si="115">IF(F133&lt;0,0,F133)</f>
        <v>0.1457725947521866</v>
      </c>
      <c r="O133" s="4">
        <f t="shared" ref="O133:O139" si="116">IF(G133&lt;0,0,G133)</f>
        <v>0.36443148688046645</v>
      </c>
      <c r="P133" s="4">
        <f t="shared" ref="P133:P139" si="117">(1/6)*(M133-K133)*((N133*((2*J133)+L133))+(O133*(J133+(2*L133))))</f>
        <v>25</v>
      </c>
      <c r="Q133" s="4">
        <f t="shared" ref="Q133:Q139" si="118">((1/12)*(M133-K133)*(N133*J133*((3*K133)+M133)+N133*L133*(K133+M133)+O133*J133*(K133+M133)+O133*L133*(K133+(3*M133))))</f>
        <v>25</v>
      </c>
      <c r="R133" s="4">
        <f t="shared" ref="R133:R139" si="119">((-1/24)*(M133-K133)*(J133*J133*((3*N133)+O133)+2*J133*L133*(N133+O133)+L133*L133*(N133+(3*O133))))</f>
        <v>-87.499999999999986</v>
      </c>
      <c r="U133">
        <f t="shared" ref="U133:U153" si="120">IF(AND(J133=0,K133=0,L133=0,M133=0),NA(),J133)</f>
        <v>7</v>
      </c>
      <c r="V133">
        <f t="shared" ref="V133:V153" si="121">IF(AND(J133=0,K133=0,L133=0,M133=0),NA(),K133)</f>
        <v>-7</v>
      </c>
      <c r="W133" s="9" t="str">
        <f t="shared" ref="W133:W144" si="122">IF(AND(J133=0,K133=0,L133=0,M133=0),"",ROUND(N133,4)&amp;" ksi")</f>
        <v>0.1458 ksi</v>
      </c>
      <c r="X133">
        <f t="shared" ref="X133:X139" si="123">(U133*COS(-1*$B$64))+(V133*SIN(-1*$B$64))</f>
        <v>7</v>
      </c>
      <c r="Y133">
        <f t="shared" ref="Y133:Y139" si="124">(-1*U133*SIN(-1*$B$64))+(V133*COS(-1*$B$64))</f>
        <v>-7</v>
      </c>
      <c r="AA133" s="4">
        <f t="shared" ref="AA133:AA139" si="125">X133+$B$9</f>
        <v>14</v>
      </c>
      <c r="AB133" s="4">
        <f t="shared" ref="AB133:AB139" si="126">Y133+$C$9</f>
        <v>0</v>
      </c>
      <c r="AD133">
        <f t="shared" ref="AD133:AD139" si="127">IF(AND(J133=0,K133=0,L133=0,M133=0),NA(),L133)</f>
        <v>7</v>
      </c>
      <c r="AE133">
        <f t="shared" ref="AE133:AE139" si="128">IF(AND(J133=0,K133=0,L133=0,M133=0),NA(),M133)</f>
        <v>7</v>
      </c>
      <c r="AF133" s="9" t="str">
        <f t="shared" ref="AF133:AF139" si="129">IF(AND(J133=0,K133=0,L133=0,M133=0),"",ROUND(O133,4)&amp;" ksi")</f>
        <v>0.3644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7</v>
      </c>
      <c r="C134" s="4">
        <f t="shared" si="108"/>
        <v>7</v>
      </c>
      <c r="D134" s="4">
        <f t="shared" si="105"/>
        <v>-7</v>
      </c>
      <c r="E134" s="4">
        <f t="shared" si="105"/>
        <v>7</v>
      </c>
      <c r="F134" s="4">
        <f t="shared" si="106"/>
        <v>0.36443148688046645</v>
      </c>
      <c r="G134" s="4">
        <f t="shared" si="107"/>
        <v>0.36443148688046645</v>
      </c>
      <c r="H134" s="4">
        <f t="shared" si="109"/>
        <v>0</v>
      </c>
      <c r="I134" s="4">
        <f t="shared" si="110"/>
        <v>7</v>
      </c>
      <c r="J134" s="4">
        <f t="shared" si="111"/>
        <v>7</v>
      </c>
      <c r="K134" s="4">
        <f t="shared" si="112"/>
        <v>7</v>
      </c>
      <c r="L134" s="4">
        <f t="shared" si="113"/>
        <v>-7</v>
      </c>
      <c r="M134" s="4">
        <f t="shared" si="114"/>
        <v>7</v>
      </c>
      <c r="N134" s="4">
        <f t="shared" si="115"/>
        <v>0.36443148688046645</v>
      </c>
      <c r="O134" s="4">
        <f t="shared" si="116"/>
        <v>0.36443148688046645</v>
      </c>
      <c r="P134" s="4">
        <f t="shared" si="117"/>
        <v>0</v>
      </c>
      <c r="Q134" s="4">
        <f t="shared" si="118"/>
        <v>0</v>
      </c>
      <c r="R134" s="4">
        <f t="shared" si="119"/>
        <v>0</v>
      </c>
      <c r="U134">
        <f t="shared" si="120"/>
        <v>7</v>
      </c>
      <c r="V134">
        <f t="shared" si="121"/>
        <v>7</v>
      </c>
      <c r="W134" s="9" t="str">
        <f t="shared" si="122"/>
        <v>0.3644 ksi</v>
      </c>
      <c r="X134">
        <f t="shared" si="123"/>
        <v>7</v>
      </c>
      <c r="Y134">
        <f t="shared" si="124"/>
        <v>7</v>
      </c>
      <c r="AA134" s="4">
        <f t="shared" si="125"/>
        <v>14</v>
      </c>
      <c r="AB134" s="4">
        <f t="shared" si="126"/>
        <v>14</v>
      </c>
      <c r="AD134">
        <f t="shared" si="127"/>
        <v>-7</v>
      </c>
      <c r="AE134">
        <f t="shared" si="128"/>
        <v>7</v>
      </c>
      <c r="AF134" s="9" t="str">
        <f t="shared" si="129"/>
        <v>0.3644 ksi</v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-7</v>
      </c>
      <c r="C135" s="4">
        <f t="shared" si="108"/>
        <v>7</v>
      </c>
      <c r="D135" s="4">
        <f t="shared" si="105"/>
        <v>-7</v>
      </c>
      <c r="E135" s="4">
        <f t="shared" si="105"/>
        <v>-7</v>
      </c>
      <c r="F135" s="4">
        <f t="shared" si="106"/>
        <v>0.36443148688046645</v>
      </c>
      <c r="G135" s="4">
        <f t="shared" si="107"/>
        <v>0.1457725947521866</v>
      </c>
      <c r="H135" s="4" t="str">
        <f t="shared" si="109"/>
        <v>V</v>
      </c>
      <c r="I135" s="4">
        <f t="shared" si="110"/>
        <v>0</v>
      </c>
      <c r="J135" s="4">
        <f t="shared" si="111"/>
        <v>-7</v>
      </c>
      <c r="K135" s="4">
        <f t="shared" si="112"/>
        <v>7</v>
      </c>
      <c r="L135" s="4">
        <f t="shared" si="113"/>
        <v>-7</v>
      </c>
      <c r="M135" s="4">
        <f t="shared" si="114"/>
        <v>-7</v>
      </c>
      <c r="N135" s="4">
        <f t="shared" si="115"/>
        <v>0.36443148688046645</v>
      </c>
      <c r="O135" s="4">
        <f t="shared" si="116"/>
        <v>0.1457725947521866</v>
      </c>
      <c r="P135" s="4">
        <f t="shared" si="117"/>
        <v>25</v>
      </c>
      <c r="Q135" s="4">
        <f t="shared" si="118"/>
        <v>25</v>
      </c>
      <c r="R135" s="4">
        <f t="shared" si="119"/>
        <v>87.499999999999986</v>
      </c>
      <c r="U135">
        <f t="shared" si="120"/>
        <v>-7</v>
      </c>
      <c r="V135">
        <f t="shared" si="121"/>
        <v>7</v>
      </c>
      <c r="W135" s="9" t="str">
        <f t="shared" si="122"/>
        <v>0.3644 ksi</v>
      </c>
      <c r="X135">
        <f t="shared" si="123"/>
        <v>-7</v>
      </c>
      <c r="Y135">
        <f t="shared" si="124"/>
        <v>7</v>
      </c>
      <c r="AA135" s="4">
        <f t="shared" si="125"/>
        <v>0</v>
      </c>
      <c r="AB135" s="4">
        <f t="shared" si="126"/>
        <v>14</v>
      </c>
      <c r="AD135">
        <f t="shared" si="127"/>
        <v>-7</v>
      </c>
      <c r="AE135">
        <f t="shared" si="128"/>
        <v>-7</v>
      </c>
      <c r="AF135" s="9" t="str">
        <f t="shared" si="129"/>
        <v>0.1458 ksi</v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-7</v>
      </c>
      <c r="C136" s="4">
        <f t="shared" si="108"/>
        <v>-7</v>
      </c>
      <c r="D136" s="4">
        <f t="shared" si="105"/>
        <v>-7</v>
      </c>
      <c r="E136" s="4">
        <f t="shared" si="105"/>
        <v>-7</v>
      </c>
      <c r="F136" s="4">
        <f t="shared" si="106"/>
        <v>0.1457725947521866</v>
      </c>
      <c r="G136" s="4">
        <f t="shared" si="107"/>
        <v>0.1457725947521866</v>
      </c>
      <c r="H136" s="4" t="str">
        <f t="shared" si="109"/>
        <v>V</v>
      </c>
      <c r="I136" s="4">
        <f t="shared" si="110"/>
        <v>0</v>
      </c>
      <c r="J136" s="4">
        <f t="shared" si="111"/>
        <v>-7</v>
      </c>
      <c r="K136" s="4">
        <f t="shared" si="112"/>
        <v>-7</v>
      </c>
      <c r="L136" s="4">
        <f t="shared" si="113"/>
        <v>-7</v>
      </c>
      <c r="M136" s="4">
        <f t="shared" si="114"/>
        <v>-7</v>
      </c>
      <c r="N136" s="4">
        <f t="shared" si="115"/>
        <v>0.1457725947521866</v>
      </c>
      <c r="O136" s="4">
        <f t="shared" si="116"/>
        <v>0.1457725947521866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>
        <f t="shared" si="120"/>
        <v>-7</v>
      </c>
      <c r="V136">
        <f t="shared" si="121"/>
        <v>-7</v>
      </c>
      <c r="W136" s="9" t="str">
        <f t="shared" si="122"/>
        <v>0.1458 ksi</v>
      </c>
      <c r="X136">
        <f t="shared" si="123"/>
        <v>-7</v>
      </c>
      <c r="Y136">
        <f t="shared" si="124"/>
        <v>-7</v>
      </c>
      <c r="AA136" s="4">
        <f t="shared" si="125"/>
        <v>0</v>
      </c>
      <c r="AB136" s="4">
        <f t="shared" si="126"/>
        <v>0</v>
      </c>
      <c r="AD136">
        <f t="shared" si="127"/>
        <v>-7</v>
      </c>
      <c r="AE136">
        <f t="shared" si="128"/>
        <v>-7</v>
      </c>
      <c r="AF136" s="9" t="str">
        <f t="shared" si="129"/>
        <v>0.1458 ksi</v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-7</v>
      </c>
      <c r="C137" s="4">
        <f t="shared" si="108"/>
        <v>-7</v>
      </c>
      <c r="D137" s="4">
        <f t="shared" si="105"/>
        <v>-7</v>
      </c>
      <c r="E137" s="4">
        <f t="shared" si="105"/>
        <v>-7</v>
      </c>
      <c r="F137" s="4">
        <f t="shared" si="106"/>
        <v>0.1457725947521866</v>
      </c>
      <c r="G137" s="4">
        <f t="shared" si="107"/>
        <v>0.1457725947521866</v>
      </c>
      <c r="H137" s="4" t="str">
        <f t="shared" si="109"/>
        <v>V</v>
      </c>
      <c r="I137" s="4">
        <f t="shared" si="110"/>
        <v>0</v>
      </c>
      <c r="J137" s="4">
        <f t="shared" si="111"/>
        <v>-7</v>
      </c>
      <c r="K137" s="4">
        <f t="shared" si="112"/>
        <v>-7</v>
      </c>
      <c r="L137" s="4">
        <f t="shared" si="113"/>
        <v>-7</v>
      </c>
      <c r="M137" s="4">
        <f t="shared" si="114"/>
        <v>-7</v>
      </c>
      <c r="N137" s="4">
        <f t="shared" si="115"/>
        <v>0.1457725947521866</v>
      </c>
      <c r="O137" s="4">
        <f t="shared" si="116"/>
        <v>0.1457725947521866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>
        <f t="shared" si="120"/>
        <v>-7</v>
      </c>
      <c r="V137">
        <f t="shared" si="121"/>
        <v>-7</v>
      </c>
      <c r="W137" s="9" t="str">
        <f t="shared" si="122"/>
        <v>0.1458 ksi</v>
      </c>
      <c r="X137">
        <f t="shared" si="123"/>
        <v>-7</v>
      </c>
      <c r="Y137">
        <f t="shared" si="124"/>
        <v>-7</v>
      </c>
      <c r="AA137" s="4">
        <f t="shared" si="125"/>
        <v>0</v>
      </c>
      <c r="AB137" s="4">
        <f t="shared" si="126"/>
        <v>0</v>
      </c>
      <c r="AD137">
        <f t="shared" si="127"/>
        <v>-7</v>
      </c>
      <c r="AE137">
        <f t="shared" si="128"/>
        <v>-7</v>
      </c>
      <c r="AF137" s="9" t="str">
        <f t="shared" si="129"/>
        <v>0.1458 ksi</v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-7</v>
      </c>
      <c r="C138" s="4">
        <f t="shared" si="108"/>
        <v>-7</v>
      </c>
      <c r="D138" s="4">
        <f t="shared" si="105"/>
        <v>-7</v>
      </c>
      <c r="E138" s="4">
        <f t="shared" si="105"/>
        <v>-7</v>
      </c>
      <c r="F138" s="4">
        <f t="shared" si="106"/>
        <v>0.1457725947521866</v>
      </c>
      <c r="G138" s="4">
        <f t="shared" si="107"/>
        <v>0.1457725947521866</v>
      </c>
      <c r="H138" s="4" t="str">
        <f t="shared" si="109"/>
        <v>V</v>
      </c>
      <c r="I138" s="4">
        <f t="shared" si="110"/>
        <v>0</v>
      </c>
      <c r="J138" s="4">
        <f t="shared" si="111"/>
        <v>-7</v>
      </c>
      <c r="K138" s="4">
        <f t="shared" si="112"/>
        <v>-7</v>
      </c>
      <c r="L138" s="4">
        <f t="shared" si="113"/>
        <v>-7</v>
      </c>
      <c r="M138" s="4">
        <f t="shared" si="114"/>
        <v>-7</v>
      </c>
      <c r="N138" s="4">
        <f t="shared" si="115"/>
        <v>0.1457725947521866</v>
      </c>
      <c r="O138" s="4">
        <f t="shared" si="116"/>
        <v>0.1457725947521866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>
        <f t="shared" si="120"/>
        <v>-7</v>
      </c>
      <c r="V138">
        <f t="shared" si="121"/>
        <v>-7</v>
      </c>
      <c r="W138" s="9" t="str">
        <f t="shared" si="122"/>
        <v>0.1458 ksi</v>
      </c>
      <c r="X138">
        <f t="shared" si="123"/>
        <v>-7</v>
      </c>
      <c r="Y138">
        <f t="shared" si="124"/>
        <v>-7</v>
      </c>
      <c r="AA138" s="4">
        <f t="shared" si="125"/>
        <v>0</v>
      </c>
      <c r="AB138" s="4">
        <f t="shared" si="126"/>
        <v>0</v>
      </c>
      <c r="AD138">
        <f t="shared" si="127"/>
        <v>-7</v>
      </c>
      <c r="AE138">
        <f t="shared" si="128"/>
        <v>-7</v>
      </c>
      <c r="AF138" s="9" t="str">
        <f t="shared" si="129"/>
        <v>0.1458 ksi</v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105"/>
        <v>-7</v>
      </c>
      <c r="E139" s="4">
        <f t="shared" si="105"/>
        <v>-7</v>
      </c>
      <c r="F139" s="4">
        <f t="shared" si="106"/>
        <v>0.1457725947521866</v>
      </c>
      <c r="G139" s="4">
        <f t="shared" si="107"/>
        <v>0.1457725947521866</v>
      </c>
      <c r="H139" s="4" t="str">
        <f t="shared" si="109"/>
        <v>V</v>
      </c>
      <c r="I139" s="4">
        <f t="shared" si="110"/>
        <v>0</v>
      </c>
      <c r="J139" s="4">
        <f t="shared" si="111"/>
        <v>-7</v>
      </c>
      <c r="K139" s="4">
        <f t="shared" si="112"/>
        <v>-7</v>
      </c>
      <c r="L139" s="4">
        <f t="shared" si="113"/>
        <v>-7</v>
      </c>
      <c r="M139" s="4">
        <f t="shared" si="114"/>
        <v>-7</v>
      </c>
      <c r="N139" s="4">
        <f t="shared" si="115"/>
        <v>0.1457725947521866</v>
      </c>
      <c r="O139" s="4">
        <f t="shared" si="116"/>
        <v>0.1457725947521866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>
        <f t="shared" si="120"/>
        <v>-7</v>
      </c>
      <c r="V139">
        <f t="shared" si="121"/>
        <v>-7</v>
      </c>
      <c r="W139" s="9" t="str">
        <f t="shared" si="122"/>
        <v>0.1458 ksi</v>
      </c>
      <c r="X139">
        <f t="shared" si="123"/>
        <v>-7</v>
      </c>
      <c r="Y139">
        <f t="shared" si="124"/>
        <v>-7</v>
      </c>
      <c r="AA139" s="4">
        <f t="shared" si="125"/>
        <v>0</v>
      </c>
      <c r="AB139" s="4">
        <f t="shared" si="126"/>
        <v>0</v>
      </c>
      <c r="AD139">
        <f t="shared" si="127"/>
        <v>-7</v>
      </c>
      <c r="AE139">
        <f t="shared" si="128"/>
        <v>-7</v>
      </c>
      <c r="AF139" s="9" t="str">
        <f t="shared" si="129"/>
        <v>0.1458 ksi</v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50</v>
      </c>
      <c r="Q140" s="4">
        <f>SUM(Q132:Q139)</f>
        <v>50</v>
      </c>
      <c r="R140" s="4">
        <f>SUM(R132:R139)</f>
        <v>0</v>
      </c>
      <c r="T140" t="str">
        <f>ROUND(P140,4)&amp;" kips"</f>
        <v>50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0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137">I85</f>
        <v>-7</v>
      </c>
      <c r="E146">
        <f t="shared" si="137"/>
        <v>-7</v>
      </c>
      <c r="F146" s="4">
        <f>($B$66/$B$65)*(C146-$B$125)</f>
        <v>0.1457725947521866</v>
      </c>
      <c r="G146" s="4">
        <f>($B$66/$B$65)*(E146-$B$125)</f>
        <v>0.1457725947521866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0.1457725947521866</v>
      </c>
      <c r="O146" s="4">
        <f>IF(G146&lt;0,0,G146)</f>
        <v>0.1457725947521866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20"/>
        <v>-7</v>
      </c>
      <c r="V146">
        <f t="shared" si="121"/>
        <v>-7</v>
      </c>
      <c r="W146" s="9" t="str">
        <f>IF($D$34=0,"",IF(AND(J146=0,K146=0,L146=0,M146=0),"",CHAR(10)&amp;CHAR(10)&amp;-1*ROUND(N146,4)&amp;" ksi"))</f>
        <v/>
      </c>
      <c r="X146">
        <f t="shared" ref="X146:X153" si="138">(U146*COS(-1*$B$64))+(V146*SIN(-1*$B$64))</f>
        <v>-7</v>
      </c>
      <c r="Y146">
        <f t="shared" ref="Y146:Y153" si="139">(-1*U146*SIN(-1*$B$64))+(V146*COS(-1*$B$64))</f>
        <v>-7</v>
      </c>
      <c r="AA146" s="4">
        <f t="shared" ref="AA146:AA153" si="140">X146+$B$9</f>
        <v>0</v>
      </c>
      <c r="AB146" s="4">
        <f t="shared" ref="AB146:AB153" si="141">Y146+$C$9</f>
        <v>0</v>
      </c>
      <c r="AD146">
        <f t="shared" ref="AD146:AD153" si="142">IF(AND(J146=0,K146=0,L146=0,M146=0),NA(),L146)</f>
        <v>-7</v>
      </c>
      <c r="AE146">
        <f t="shared" ref="AE146:AE153" si="143">IF(AND(J146=0,K146=0,L146=0,M146=0),NA(),M146)</f>
        <v>-7</v>
      </c>
      <c r="AF146" s="9" t="str">
        <f>IF(AND(J146=0,K146=0,L146=0,M146=0),"",CHAR(10)&amp;CHAR(10)&amp;-1*ROUND(O146,4)&amp;" ksi")</f>
        <v xml:space="preserve">
-0.1458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-7</v>
      </c>
      <c r="C147">
        <f t="shared" si="148"/>
        <v>-7</v>
      </c>
      <c r="D147" s="9">
        <f t="shared" si="137"/>
        <v>-7</v>
      </c>
      <c r="E147">
        <f t="shared" si="137"/>
        <v>-7</v>
      </c>
      <c r="F147" s="4">
        <f t="shared" ref="F147:F153" si="149">($B$66/$B$65)*(C147-$B$125)</f>
        <v>0.1457725947521866</v>
      </c>
      <c r="G147" s="4">
        <f t="shared" ref="G147:G153" si="150">($B$66/$B$65)*(E147-$B$125)</f>
        <v>0.1457725947521866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-7</v>
      </c>
      <c r="K147" s="4">
        <f t="shared" ref="K147:K153" si="154">IF($F147&gt;=0,C147,IF(AND($F147&lt;0,$G147&gt;=0),$B$125,0))</f>
        <v>-7</v>
      </c>
      <c r="L147" s="4">
        <f t="shared" ref="L147:L153" si="155">IF($G147&gt;=0,D147,IF(AND($G147&lt;0,$F147&gt;=0),IF(H147="V",D147,($B$125-I147)/H147),0))</f>
        <v>-7</v>
      </c>
      <c r="M147" s="4">
        <f t="shared" ref="M147:M153" si="156">IF($G147&gt;=0,E147,IF(AND($G147&lt;0,$F147&gt;=0),$B$125,0))</f>
        <v>-7</v>
      </c>
      <c r="N147" s="4">
        <f t="shared" ref="N147:N153" si="157">IF(F147&lt;0,0,F147)</f>
        <v>0.1457725947521866</v>
      </c>
      <c r="O147" s="4">
        <f t="shared" ref="O147:O153" si="158">IF(G147&lt;0,0,G147)</f>
        <v>0.1457725947521866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>
        <f t="shared" si="120"/>
        <v>-7</v>
      </c>
      <c r="V147">
        <f t="shared" si="121"/>
        <v>-7</v>
      </c>
      <c r="W147" s="9" t="str">
        <f t="shared" ref="W147:W153" si="162">IF($D$34=0,"",IF(AND(J147=0,K147=0,L147=0,M147=0),"",CHAR(10)&amp;CHAR(10)&amp;-1*ROUND(N147,4)&amp;" ksi"))</f>
        <v/>
      </c>
      <c r="X147">
        <f t="shared" si="138"/>
        <v>-7</v>
      </c>
      <c r="Y147">
        <f t="shared" si="139"/>
        <v>-7</v>
      </c>
      <c r="AA147" s="4">
        <f t="shared" si="140"/>
        <v>0</v>
      </c>
      <c r="AB147" s="4">
        <f t="shared" si="141"/>
        <v>0</v>
      </c>
      <c r="AD147">
        <f t="shared" si="142"/>
        <v>-7</v>
      </c>
      <c r="AE147">
        <f t="shared" si="143"/>
        <v>-7</v>
      </c>
      <c r="AF147" s="9" t="str">
        <f t="shared" ref="AF147:AF153" si="163">IF(AND(J147=0,K147=0,L147=0,M147=0),"",CHAR(10)&amp;CHAR(10)&amp;-1*ROUND(O147,4)&amp;" ksi")</f>
        <v xml:space="preserve">
-0.1458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-7</v>
      </c>
      <c r="C148">
        <f t="shared" si="148"/>
        <v>-7</v>
      </c>
      <c r="D148" s="9">
        <f t="shared" si="137"/>
        <v>-7</v>
      </c>
      <c r="E148">
        <f t="shared" si="137"/>
        <v>-7</v>
      </c>
      <c r="F148" s="4">
        <f t="shared" si="149"/>
        <v>0.1457725947521866</v>
      </c>
      <c r="G148" s="4">
        <f t="shared" si="150"/>
        <v>0.1457725947521866</v>
      </c>
      <c r="H148" s="4" t="str">
        <f t="shared" si="151"/>
        <v>V</v>
      </c>
      <c r="I148" s="4">
        <f t="shared" si="152"/>
        <v>0</v>
      </c>
      <c r="J148" s="4">
        <f t="shared" si="153"/>
        <v>-7</v>
      </c>
      <c r="K148" s="4">
        <f t="shared" si="154"/>
        <v>-7</v>
      </c>
      <c r="L148" s="4">
        <f t="shared" si="155"/>
        <v>-7</v>
      </c>
      <c r="M148" s="4">
        <f t="shared" si="156"/>
        <v>-7</v>
      </c>
      <c r="N148" s="4">
        <f t="shared" si="157"/>
        <v>0.1457725947521866</v>
      </c>
      <c r="O148" s="4">
        <f t="shared" si="158"/>
        <v>0.1457725947521866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>
        <f t="shared" si="120"/>
        <v>-7</v>
      </c>
      <c r="V148">
        <f t="shared" si="121"/>
        <v>-7</v>
      </c>
      <c r="W148" s="9" t="str">
        <f t="shared" si="162"/>
        <v/>
      </c>
      <c r="X148">
        <f t="shared" si="138"/>
        <v>-7</v>
      </c>
      <c r="Y148">
        <f t="shared" si="139"/>
        <v>-7</v>
      </c>
      <c r="AA148" s="4">
        <f t="shared" si="140"/>
        <v>0</v>
      </c>
      <c r="AB148" s="4">
        <f t="shared" si="141"/>
        <v>0</v>
      </c>
      <c r="AD148">
        <f t="shared" si="142"/>
        <v>-7</v>
      </c>
      <c r="AE148">
        <f t="shared" si="143"/>
        <v>-7</v>
      </c>
      <c r="AF148" s="9" t="str">
        <f t="shared" si="163"/>
        <v xml:space="preserve">
-0.1458 ksi</v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-7</v>
      </c>
      <c r="C149">
        <f t="shared" si="148"/>
        <v>-7</v>
      </c>
      <c r="D149" s="9">
        <f t="shared" si="137"/>
        <v>-7</v>
      </c>
      <c r="E149">
        <f t="shared" si="137"/>
        <v>-7</v>
      </c>
      <c r="F149" s="4">
        <f t="shared" si="149"/>
        <v>0.1457725947521866</v>
      </c>
      <c r="G149" s="4">
        <f t="shared" si="150"/>
        <v>0.1457725947521866</v>
      </c>
      <c r="H149" s="4" t="str">
        <f t="shared" si="151"/>
        <v>V</v>
      </c>
      <c r="I149" s="4">
        <f t="shared" si="152"/>
        <v>0</v>
      </c>
      <c r="J149" s="4">
        <f t="shared" si="153"/>
        <v>-7</v>
      </c>
      <c r="K149" s="4">
        <f t="shared" si="154"/>
        <v>-7</v>
      </c>
      <c r="L149" s="4">
        <f t="shared" si="155"/>
        <v>-7</v>
      </c>
      <c r="M149" s="4">
        <f t="shared" si="156"/>
        <v>-7</v>
      </c>
      <c r="N149" s="4">
        <f t="shared" si="157"/>
        <v>0.1457725947521866</v>
      </c>
      <c r="O149" s="4">
        <f t="shared" si="158"/>
        <v>0.1457725947521866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>
        <f t="shared" si="120"/>
        <v>-7</v>
      </c>
      <c r="V149">
        <f t="shared" si="121"/>
        <v>-7</v>
      </c>
      <c r="W149" s="9" t="str">
        <f t="shared" si="162"/>
        <v/>
      </c>
      <c r="X149">
        <f t="shared" si="138"/>
        <v>-7</v>
      </c>
      <c r="Y149">
        <f t="shared" si="139"/>
        <v>-7</v>
      </c>
      <c r="AA149" s="4">
        <f t="shared" si="140"/>
        <v>0</v>
      </c>
      <c r="AB149" s="4">
        <f t="shared" si="141"/>
        <v>0</v>
      </c>
      <c r="AD149">
        <f t="shared" si="142"/>
        <v>-7</v>
      </c>
      <c r="AE149">
        <f t="shared" si="143"/>
        <v>-7</v>
      </c>
      <c r="AF149" s="9" t="str">
        <f t="shared" si="163"/>
        <v xml:space="preserve">
-0.1458 ksi</v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-7</v>
      </c>
      <c r="C150">
        <f t="shared" si="148"/>
        <v>-7</v>
      </c>
      <c r="D150" s="9">
        <f t="shared" si="137"/>
        <v>-7</v>
      </c>
      <c r="E150">
        <f t="shared" si="137"/>
        <v>-7</v>
      </c>
      <c r="F150" s="4">
        <f t="shared" si="149"/>
        <v>0.1457725947521866</v>
      </c>
      <c r="G150" s="4">
        <f t="shared" si="150"/>
        <v>0.1457725947521866</v>
      </c>
      <c r="H150" s="4" t="str">
        <f t="shared" si="151"/>
        <v>V</v>
      </c>
      <c r="I150" s="4">
        <f t="shared" si="152"/>
        <v>0</v>
      </c>
      <c r="J150" s="4">
        <f t="shared" si="153"/>
        <v>-7</v>
      </c>
      <c r="K150" s="4">
        <f t="shared" si="154"/>
        <v>-7</v>
      </c>
      <c r="L150" s="4">
        <f t="shared" si="155"/>
        <v>-7</v>
      </c>
      <c r="M150" s="4">
        <f t="shared" si="156"/>
        <v>-7</v>
      </c>
      <c r="N150" s="4">
        <f t="shared" si="157"/>
        <v>0.1457725947521866</v>
      </c>
      <c r="O150" s="4">
        <f t="shared" si="158"/>
        <v>0.1457725947521866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>
        <f t="shared" si="120"/>
        <v>-7</v>
      </c>
      <c r="V150">
        <f t="shared" si="121"/>
        <v>-7</v>
      </c>
      <c r="W150" s="9" t="str">
        <f t="shared" si="162"/>
        <v/>
      </c>
      <c r="X150">
        <f t="shared" si="138"/>
        <v>-7</v>
      </c>
      <c r="Y150">
        <f t="shared" si="139"/>
        <v>-7</v>
      </c>
      <c r="AA150" s="4">
        <f t="shared" si="140"/>
        <v>0</v>
      </c>
      <c r="AB150" s="4">
        <f t="shared" si="141"/>
        <v>0</v>
      </c>
      <c r="AD150">
        <f t="shared" si="142"/>
        <v>-7</v>
      </c>
      <c r="AE150">
        <f t="shared" si="143"/>
        <v>-7</v>
      </c>
      <c r="AF150" s="9" t="str">
        <f t="shared" si="163"/>
        <v xml:space="preserve">
-0.1458 ksi</v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-7</v>
      </c>
      <c r="C151">
        <f t="shared" si="148"/>
        <v>-7</v>
      </c>
      <c r="D151" s="9">
        <f t="shared" si="137"/>
        <v>-7</v>
      </c>
      <c r="E151">
        <f t="shared" si="137"/>
        <v>-7</v>
      </c>
      <c r="F151" s="4">
        <f t="shared" si="149"/>
        <v>0.1457725947521866</v>
      </c>
      <c r="G151" s="4">
        <f t="shared" si="150"/>
        <v>0.1457725947521866</v>
      </c>
      <c r="H151" s="4" t="str">
        <f t="shared" si="151"/>
        <v>V</v>
      </c>
      <c r="I151" s="4">
        <f t="shared" si="152"/>
        <v>0</v>
      </c>
      <c r="J151" s="4">
        <f t="shared" si="153"/>
        <v>-7</v>
      </c>
      <c r="K151" s="4">
        <f t="shared" si="154"/>
        <v>-7</v>
      </c>
      <c r="L151" s="4">
        <f t="shared" si="155"/>
        <v>-7</v>
      </c>
      <c r="M151" s="4">
        <f t="shared" si="156"/>
        <v>-7</v>
      </c>
      <c r="N151" s="4">
        <f t="shared" si="157"/>
        <v>0.1457725947521866</v>
      </c>
      <c r="O151" s="4">
        <f t="shared" si="158"/>
        <v>0.1457725947521866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>
        <f t="shared" si="120"/>
        <v>-7</v>
      </c>
      <c r="V151">
        <f t="shared" si="121"/>
        <v>-7</v>
      </c>
      <c r="W151" s="9" t="str">
        <f t="shared" si="162"/>
        <v/>
      </c>
      <c r="X151">
        <f t="shared" si="138"/>
        <v>-7</v>
      </c>
      <c r="Y151">
        <f t="shared" si="139"/>
        <v>-7</v>
      </c>
      <c r="AA151" s="4">
        <f t="shared" si="140"/>
        <v>0</v>
      </c>
      <c r="AB151" s="4">
        <f t="shared" si="141"/>
        <v>0</v>
      </c>
      <c r="AD151">
        <f t="shared" si="142"/>
        <v>-7</v>
      </c>
      <c r="AE151">
        <f t="shared" si="143"/>
        <v>-7</v>
      </c>
      <c r="AF151" s="9" t="str">
        <f t="shared" si="163"/>
        <v xml:space="preserve">
-0.1458 ksi</v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-7</v>
      </c>
      <c r="C152">
        <f t="shared" si="148"/>
        <v>-7</v>
      </c>
      <c r="D152" s="9">
        <f t="shared" si="137"/>
        <v>-7</v>
      </c>
      <c r="E152">
        <f t="shared" si="137"/>
        <v>-7</v>
      </c>
      <c r="F152" s="4">
        <f t="shared" si="149"/>
        <v>0.1457725947521866</v>
      </c>
      <c r="G152" s="4">
        <f t="shared" si="150"/>
        <v>0.1457725947521866</v>
      </c>
      <c r="H152" s="4" t="str">
        <f t="shared" si="151"/>
        <v>V</v>
      </c>
      <c r="I152" s="4">
        <f t="shared" si="152"/>
        <v>0</v>
      </c>
      <c r="J152" s="4">
        <f t="shared" si="153"/>
        <v>-7</v>
      </c>
      <c r="K152" s="4">
        <f t="shared" si="154"/>
        <v>-7</v>
      </c>
      <c r="L152" s="4">
        <f t="shared" si="155"/>
        <v>-7</v>
      </c>
      <c r="M152" s="4">
        <f t="shared" si="156"/>
        <v>-7</v>
      </c>
      <c r="N152" s="4">
        <f t="shared" si="157"/>
        <v>0.1457725947521866</v>
      </c>
      <c r="O152" s="4">
        <f t="shared" si="158"/>
        <v>0.1457725947521866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>
        <f t="shared" si="120"/>
        <v>-7</v>
      </c>
      <c r="V152">
        <f t="shared" si="121"/>
        <v>-7</v>
      </c>
      <c r="W152" s="9" t="str">
        <f t="shared" si="162"/>
        <v/>
      </c>
      <c r="X152">
        <f t="shared" si="138"/>
        <v>-7</v>
      </c>
      <c r="Y152">
        <f t="shared" si="139"/>
        <v>-7</v>
      </c>
      <c r="AA152" s="4">
        <f t="shared" si="140"/>
        <v>0</v>
      </c>
      <c r="AB152" s="4">
        <f t="shared" si="141"/>
        <v>0</v>
      </c>
      <c r="AD152">
        <f t="shared" si="142"/>
        <v>-7</v>
      </c>
      <c r="AE152">
        <f t="shared" si="143"/>
        <v>-7</v>
      </c>
      <c r="AF152" s="9" t="str">
        <f t="shared" si="163"/>
        <v xml:space="preserve">
-0.1458 ksi</v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-7</v>
      </c>
      <c r="C153">
        <f t="shared" si="148"/>
        <v>-7</v>
      </c>
      <c r="D153" s="9">
        <f t="shared" si="137"/>
        <v>-7</v>
      </c>
      <c r="E153">
        <f t="shared" si="137"/>
        <v>-7</v>
      </c>
      <c r="F153" s="4">
        <f t="shared" si="149"/>
        <v>0.1457725947521866</v>
      </c>
      <c r="G153" s="4">
        <f t="shared" si="150"/>
        <v>0.1457725947521866</v>
      </c>
      <c r="H153" s="4" t="str">
        <f t="shared" si="151"/>
        <v>V</v>
      </c>
      <c r="I153" s="4">
        <f t="shared" si="152"/>
        <v>0</v>
      </c>
      <c r="J153" s="4">
        <f t="shared" si="153"/>
        <v>-7</v>
      </c>
      <c r="K153" s="4">
        <f t="shared" si="154"/>
        <v>-7</v>
      </c>
      <c r="L153" s="4">
        <f t="shared" si="155"/>
        <v>-7</v>
      </c>
      <c r="M153" s="4">
        <f t="shared" si="156"/>
        <v>-7</v>
      </c>
      <c r="N153" s="4">
        <f t="shared" si="157"/>
        <v>0.1457725947521866</v>
      </c>
      <c r="O153" s="4">
        <f t="shared" si="158"/>
        <v>0.1457725947521866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>
        <f t="shared" si="120"/>
        <v>-7</v>
      </c>
      <c r="V153">
        <f t="shared" si="121"/>
        <v>-7</v>
      </c>
      <c r="W153" s="9" t="str">
        <f t="shared" si="162"/>
        <v/>
      </c>
      <c r="X153">
        <f t="shared" si="138"/>
        <v>-7</v>
      </c>
      <c r="Y153">
        <f t="shared" si="139"/>
        <v>-7</v>
      </c>
      <c r="AA153" s="4">
        <f t="shared" si="140"/>
        <v>0</v>
      </c>
      <c r="AB153" s="4">
        <f t="shared" si="141"/>
        <v>0</v>
      </c>
      <c r="AD153">
        <f t="shared" si="142"/>
        <v>-7</v>
      </c>
      <c r="AE153">
        <f t="shared" si="143"/>
        <v>-7</v>
      </c>
      <c r="AF153" s="9" t="str">
        <f t="shared" si="163"/>
        <v xml:space="preserve">
-0.1458 ksi</v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50</v>
      </c>
      <c r="C159" t="s">
        <v>36</v>
      </c>
    </row>
    <row r="160" spans="1:40" x14ac:dyDescent="0.25">
      <c r="A160" s="1" t="s">
        <v>106</v>
      </c>
      <c r="B160" s="4">
        <f>Q140+I122+Q154-O122</f>
        <v>50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3.4608926273113096E-7</v>
      </c>
      <c r="D175" s="27">
        <f>B66*SQRT(I175)</f>
        <v>5.4053924833058761E-9</v>
      </c>
      <c r="E175" s="27">
        <f>IF(B67=0,SQRT(I175),B67*SQRT(I175))</f>
        <v>1.4832396974191326E-8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23.333333679422598</v>
      </c>
      <c r="D176" s="3">
        <f>D175+B66</f>
        <v>0.36443149228585892</v>
      </c>
      <c r="E176" s="3">
        <f>B67+E175</f>
        <v>1.4832396974191326E-8</v>
      </c>
      <c r="F176" s="16" t="s">
        <v>125</v>
      </c>
    </row>
    <row r="177" spans="1:31" x14ac:dyDescent="0.25">
      <c r="B177" s="27">
        <f>B176-B64</f>
        <v>1.4832396974191326E-8</v>
      </c>
      <c r="C177" s="27">
        <f>C176-B65</f>
        <v>3.460892621376388E-7</v>
      </c>
      <c r="D177" s="27">
        <f>D176-B66</f>
        <v>5.4053924669617004E-9</v>
      </c>
      <c r="E177" s="27">
        <f>E176-B67</f>
        <v>1.4832396974191326E-8</v>
      </c>
      <c r="F177" s="16" t="s">
        <v>123</v>
      </c>
    </row>
    <row r="178" spans="1:31" x14ac:dyDescent="0.25">
      <c r="B178" t="b">
        <f>B177=B175</f>
        <v>1</v>
      </c>
      <c r="C178" t="b">
        <f t="shared" ref="C178:D178" si="168">C177=C175</f>
        <v>0</v>
      </c>
      <c r="D178" t="b">
        <f t="shared" si="168"/>
        <v>0</v>
      </c>
      <c r="E178" t="b">
        <f>E177=E175</f>
        <v>1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-137.19999999178432</v>
      </c>
      <c r="B180" s="25">
        <f>(d_sigma_p!E165-d_sigma_m!E165)/(2*'Rigid Bearing Plate Analysis'!D177)</f>
        <v>137.19999933453073</v>
      </c>
      <c r="C180" s="25">
        <f>(d_sigma_p!E166-d_sigma_m!E166)/(2*'Rigid Bearing Plate Analysis'!D177)</f>
        <v>0</v>
      </c>
      <c r="D180" s="25">
        <f>(d_sigma_p!C169-d_sigma_m!C169)/(2*D177)</f>
        <v>1</v>
      </c>
    </row>
    <row r="181" spans="1:31" x14ac:dyDescent="0.25">
      <c r="A181" s="25">
        <f>(d_alpha_p!E164-d_alpha_m!E164)/(2*B177)</f>
        <v>0</v>
      </c>
      <c r="B181" s="25">
        <f>(d_alpha_p!E165-d_alpha_m!E165)/(2*B177)</f>
        <v>0</v>
      </c>
      <c r="C181" s="25">
        <f>(d_alpha_p!E166-d_alpha_m!E166)/(2*B177)</f>
        <v>49.999998562856568</v>
      </c>
      <c r="D181" s="25">
        <f>(d_alpha_p!C169-d_alpha_m!C169)/(2*B177)</f>
        <v>0</v>
      </c>
    </row>
    <row r="182" spans="1:31" x14ac:dyDescent="0.25">
      <c r="A182" s="25">
        <f>(d_Y_p!E164-d_Y_m!E164)/(2*C177)</f>
        <v>-0.918367357413582</v>
      </c>
      <c r="B182" s="25">
        <f>(d_Y_p!E165-d_Y_m!E165)/(2*C177)</f>
        <v>-2.1428571399241969</v>
      </c>
      <c r="C182" s="25">
        <f>(d_Y_p!E166-d_Y_m!E166)/(2*C177)</f>
        <v>0</v>
      </c>
      <c r="D182" s="25">
        <f>(d_Y_p!C169-d_Y_m!C169)/(2*C177)</f>
        <v>0</v>
      </c>
    </row>
    <row r="183" spans="1:31" x14ac:dyDescent="0.25">
      <c r="A183" s="25">
        <f>(d_T_p!E164-d_T_m!E164)/(2*E177)</f>
        <v>0</v>
      </c>
      <c r="B183" s="25">
        <f>(d_T_p!E165-d_T_m!E165)/(2*E177)</f>
        <v>0</v>
      </c>
      <c r="C183" s="25">
        <f>(d_T_p!E166-d_T_m!E166)/(2*E177)</f>
        <v>0</v>
      </c>
      <c r="D183" s="25">
        <f>(d_T_p!C169-d_T_m!C169)/(2*E177)</f>
        <v>0</v>
      </c>
    </row>
    <row r="184" spans="1:31" x14ac:dyDescent="0.25">
      <c r="A184" s="25"/>
      <c r="B184" s="25"/>
      <c r="C184" s="25"/>
      <c r="D184" s="25"/>
    </row>
    <row r="185" spans="1:31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  <c r="N185" t="s">
        <v>143</v>
      </c>
    </row>
    <row r="186" spans="1:31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0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31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31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-0.36443148688046645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-137.19999999178432</v>
      </c>
      <c r="B190" s="25">
        <f>A181</f>
        <v>0</v>
      </c>
      <c r="C190" s="25">
        <f>A182</f>
        <v>-0.918367357413582</v>
      </c>
      <c r="D190" s="25">
        <f>A183</f>
        <v>0</v>
      </c>
      <c r="F190" t="s">
        <v>119</v>
      </c>
      <c r="W190" s="25">
        <f>A190</f>
        <v>-137.19999999178432</v>
      </c>
      <c r="X190" s="25">
        <f t="shared" ref="X190:Z190" si="169">B190</f>
        <v>0</v>
      </c>
      <c r="Y190" s="25">
        <f t="shared" si="169"/>
        <v>-0.918367357413582</v>
      </c>
      <c r="Z190" s="25">
        <f t="shared" si="169"/>
        <v>0</v>
      </c>
      <c r="AB190" s="25">
        <f>(d_sigma_p!E164-(2*'Rigid Bearing Plate Analysis'!E164)+d_sigma_m!E164)/POWER('Rigid Bearing Plate Analysis'!D177,2)</f>
        <v>729.55324647243845</v>
      </c>
      <c r="AC190" s="25">
        <f>(d_alpha_p!E164-(2*'Rigid Bearing Plate Analysis'!E164)+d_alpha_m!E164)/POWER('Rigid Bearing Plate Analysis'!B177,2)</f>
        <v>2889427848.4999218</v>
      </c>
      <c r="AD190" s="25">
        <f>(d_Y_p!E164-(2*'Rigid Bearing Plate Analysis'!E164)+d_Y_m!E164)/POWER('Rigid Bearing Plate Analysis'!C177,2)</f>
        <v>0.17796524982672005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137.19999933453073</v>
      </c>
      <c r="B191" s="25">
        <f>B181</f>
        <v>0</v>
      </c>
      <c r="C191" s="25">
        <f>B182</f>
        <v>-2.1428571399241969</v>
      </c>
      <c r="D191" s="25">
        <f>B183</f>
        <v>0</v>
      </c>
      <c r="F191" t="s">
        <v>120</v>
      </c>
      <c r="W191" s="25">
        <f t="shared" ref="W191:W193" si="170">A191</f>
        <v>137.19999933453073</v>
      </c>
      <c r="X191" s="25">
        <f t="shared" ref="X191:X193" si="171">B191</f>
        <v>0</v>
      </c>
      <c r="Y191" s="25">
        <f t="shared" ref="Y191:Y193" si="172">C191</f>
        <v>-2.1428571399241969</v>
      </c>
      <c r="Z191" s="25">
        <f t="shared" ref="Z191:Z193" si="173">D191</f>
        <v>0</v>
      </c>
      <c r="AB191" s="25">
        <f>(d_sigma_p!E165-(2*'Rigid Bearing Plate Analysis'!E165)+d_sigma_m!E165)/POWER('Rigid Bearing Plate Analysis'!D177,2)</f>
        <v>-486.36883098162559</v>
      </c>
      <c r="AC191" s="25">
        <f>(d_alpha_p!E165-(2*'Rigid Bearing Plate Analysis'!E165)+d_alpha_m!E165)/POWER('Rigid Bearing Plate Analysis'!B177,2)</f>
        <v>0</v>
      </c>
      <c r="AD191" s="25">
        <f>(d_Y_p!E165-(2*'Rigid Bearing Plate Analysis'!E165)+d_Y_m!E165)/POWER('Rigid Bearing Plate Analysis'!C177,2)</f>
        <v>-5.9321749942240015E-2</v>
      </c>
      <c r="AE191" s="25">
        <f>(d_T_p!E165-(2*'Rigid Bearing Plate Analysis'!E165)+d_T_m!E165)/POWER('Rigid Bearing Plate Analysis'!E177,2)</f>
        <v>0</v>
      </c>
    </row>
    <row r="192" spans="1:31" x14ac:dyDescent="0.25">
      <c r="A192" s="25">
        <f>C180</f>
        <v>0</v>
      </c>
      <c r="B192" s="25">
        <f>C181</f>
        <v>49.999998562856568</v>
      </c>
      <c r="C192" s="25">
        <f>C182</f>
        <v>0</v>
      </c>
      <c r="D192" s="25">
        <f>C183</f>
        <v>0</v>
      </c>
      <c r="F192" t="s">
        <v>121</v>
      </c>
      <c r="W192" s="25">
        <f t="shared" si="170"/>
        <v>0</v>
      </c>
      <c r="X192" s="25">
        <f t="shared" si="171"/>
        <v>49.999998562856568</v>
      </c>
      <c r="Y192" s="25">
        <f t="shared" si="172"/>
        <v>0</v>
      </c>
      <c r="Z192" s="25">
        <f t="shared" si="173"/>
        <v>0</v>
      </c>
      <c r="AB192" s="25">
        <f>(d_sigma_p!E166-(2*'Rigid Bearing Plate Analysis'!E166)+d_sigma_m!E166)/POWER('Rigid Bearing Plate Analysis'!D177,2)</f>
        <v>0</v>
      </c>
      <c r="AC192" s="25">
        <f>(d_alpha_p!E166-(2*'Rigid Bearing Plate Analysis'!E166)+d_alpha_m!E166)/POWER('Rigid Bearing Plate Analysis'!B177,2)</f>
        <v>-64.594794160009101</v>
      </c>
      <c r="AD192" s="25">
        <f>(d_Y_p!E166-(2*'Rigid Bearing Plate Analysis'!E166)+d_Y_m!E166)/POWER('Rigid Bearing Plate Analysis'!C177,2)</f>
        <v>0</v>
      </c>
      <c r="AE192" s="25">
        <f>(d_T_p!E166-(2*'Rigid Bearing Plate Analysis'!E166)+d_T_m!E166)/POWER('Rigid Bearing Plate Analysis'!E177,2)</f>
        <v>0</v>
      </c>
    </row>
    <row r="193" spans="1:38" x14ac:dyDescent="0.25">
      <c r="A193" s="25">
        <f>D180</f>
        <v>1</v>
      </c>
      <c r="B193" s="25">
        <f>D181</f>
        <v>0</v>
      </c>
      <c r="C193" s="25">
        <f>D182</f>
        <v>0</v>
      </c>
      <c r="D193" s="25">
        <f>D183</f>
        <v>0</v>
      </c>
      <c r="W193" s="25">
        <f t="shared" si="170"/>
        <v>1</v>
      </c>
      <c r="X193" s="25">
        <f t="shared" si="171"/>
        <v>0</v>
      </c>
      <c r="Y193" s="25">
        <f t="shared" si="172"/>
        <v>0</v>
      </c>
      <c r="Z193" s="25">
        <f t="shared" si="173"/>
        <v>0</v>
      </c>
      <c r="AB193" s="25">
        <f>(d_sigma_p!C169-(2*'Rigid Bearing Plate Analysis'!C169)+d_sigma_m!C169)/POWER('Rigid Bearing Plate Analysis'!D177,2)</f>
        <v>0</v>
      </c>
      <c r="AC193" s="25">
        <f>(d_alpha_p!C169-(2*'Rigid Bearing Plate Analysis'!C169)+d_alpha_m!C169)/POWER('Rigid Bearing Plate Analysis'!B177,2)</f>
        <v>0</v>
      </c>
      <c r="AD193" s="25">
        <f>(d_Y_p!C169-(2*'Rigid Bearing Plate Analysis'!C169)+d_Y_m!C169)/POWER('Rigid Bearing Plate Analysis'!C177,2)</f>
        <v>0</v>
      </c>
      <c r="AE193" s="25">
        <f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S194" t="s">
        <v>233</v>
      </c>
      <c r="W194" s="25"/>
      <c r="X194" s="25"/>
      <c r="Y194" s="25"/>
      <c r="Z194" s="25"/>
    </row>
    <row r="195" spans="1:38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36" t="e">
        <f>J196</f>
        <v>#NUM!</v>
      </c>
      <c r="M195" s="37" t="s">
        <v>116</v>
      </c>
      <c r="N195" t="s">
        <v>146</v>
      </c>
      <c r="S195" t="e">
        <f>0.5*H195</f>
        <v>#NUM!</v>
      </c>
      <c r="U195" s="8" t="e">
        <f>$B$66+S195</f>
        <v>#NUM!</v>
      </c>
      <c r="V195" s="11" t="s">
        <v>115</v>
      </c>
      <c r="W195" s="36" t="e">
        <f>U196</f>
        <v>#NUM!</v>
      </c>
      <c r="X195" s="37" t="s">
        <v>116</v>
      </c>
      <c r="AB195" t="e">
        <f t="array" ref="AB195:AE198">MINVERSE(AB190:AE193)</f>
        <v>#NUM!</v>
      </c>
      <c r="AC195" t="e">
        <v>#NUM!</v>
      </c>
      <c r="AD195" t="e">
        <v>#NUM!</v>
      </c>
      <c r="AE195" t="e">
        <v>#NUM!</v>
      </c>
      <c r="AG195" t="e">
        <f t="array" ref="AG195:AJ198">MMULT(W190:Z193,AB195:AE198)</f>
        <v>#NUM!</v>
      </c>
      <c r="AH195" t="e">
        <v>#NUM!</v>
      </c>
      <c r="AI195" t="e">
        <v>#NUM!</v>
      </c>
      <c r="AJ195" t="e">
        <v>#NUM!</v>
      </c>
      <c r="AL195" t="e">
        <f t="array" ref="AL195:AL198">MMULT(AG195:AJ198,H195:H198)</f>
        <v>#NUM!</v>
      </c>
    </row>
    <row r="196" spans="1:38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38" t="e">
        <f>J197</f>
        <v>#NUM!</v>
      </c>
      <c r="M196" s="39" t="s">
        <v>117</v>
      </c>
      <c r="S196" t="e">
        <f t="shared" ref="S196:S198" si="174">0.5*H196</f>
        <v>#NUM!</v>
      </c>
      <c r="U196" s="8" t="e">
        <f>$B$64+S196</f>
        <v>#NUM!</v>
      </c>
      <c r="V196" s="11" t="s">
        <v>116</v>
      </c>
      <c r="W196" s="38" t="e">
        <f>U197</f>
        <v>#NUM!</v>
      </c>
      <c r="X196" s="39" t="s">
        <v>117</v>
      </c>
      <c r="AB196" t="e">
        <v>#NUM!</v>
      </c>
      <c r="AC196" t="e">
        <v>#NUM!</v>
      </c>
      <c r="AD196" t="e">
        <v>#NUM!</v>
      </c>
      <c r="AE196" t="e">
        <v>#NUM!</v>
      </c>
      <c r="AG196" t="e">
        <v>#NUM!</v>
      </c>
      <c r="AH196" t="e">
        <v>#NUM!</v>
      </c>
      <c r="AI196" t="e">
        <v>#NUM!</v>
      </c>
      <c r="AJ196" t="e">
        <v>#NUM!</v>
      </c>
      <c r="AL196" t="e">
        <v>#NUM!</v>
      </c>
    </row>
    <row r="197" spans="1:38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38" t="e">
        <f>J195</f>
        <v>#NUM!</v>
      </c>
      <c r="M197" s="43" t="s">
        <v>115</v>
      </c>
      <c r="S197" t="e">
        <f t="shared" si="174"/>
        <v>#NUM!</v>
      </c>
      <c r="U197" s="8" t="e">
        <f>$B$65+S197</f>
        <v>#NUM!</v>
      </c>
      <c r="V197" s="1" t="s">
        <v>117</v>
      </c>
      <c r="W197" s="38" t="e">
        <f>U195</f>
        <v>#NUM!</v>
      </c>
      <c r="X197" s="43" t="s">
        <v>115</v>
      </c>
      <c r="AB197" t="e">
        <v>#NUM!</v>
      </c>
      <c r="AC197" t="e">
        <v>#NUM!</v>
      </c>
      <c r="AD197" t="e">
        <v>#NUM!</v>
      </c>
      <c r="AE197" t="e">
        <v>#NUM!</v>
      </c>
      <c r="AG197" t="e">
        <v>#NUM!</v>
      </c>
      <c r="AH197" t="e">
        <v>#NUM!</v>
      </c>
      <c r="AI197" t="e">
        <v>#NUM!</v>
      </c>
      <c r="AJ197" t="e">
        <v>#NUM!</v>
      </c>
      <c r="AL197" t="e">
        <v>#NUM!</v>
      </c>
    </row>
    <row r="198" spans="1:38" ht="15.75" thickBot="1" x14ac:dyDescent="0.3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41" t="e">
        <f>J198</f>
        <v>#NUM!</v>
      </c>
      <c r="M198" s="42" t="s">
        <v>118</v>
      </c>
      <c r="S198" t="e">
        <f t="shared" si="174"/>
        <v>#NUM!</v>
      </c>
      <c r="U198" s="8" t="e">
        <f>$B$67+S198</f>
        <v>#NUM!</v>
      </c>
      <c r="V198" s="1" t="s">
        <v>118</v>
      </c>
      <c r="W198" s="41" t="e">
        <f>U198</f>
        <v>#NUM!</v>
      </c>
      <c r="X198" s="42" t="s">
        <v>118</v>
      </c>
      <c r="AB198" t="e">
        <v>#NUM!</v>
      </c>
      <c r="AC198" t="e">
        <v>#NUM!</v>
      </c>
      <c r="AD198" t="e">
        <v>#NUM!</v>
      </c>
      <c r="AE198" t="e">
        <v>#NUM!</v>
      </c>
      <c r="AG198" t="e">
        <v>#NUM!</v>
      </c>
      <c r="AH198" t="e">
        <v>#NUM!</v>
      </c>
      <c r="AI198" t="e">
        <v>#NUM!</v>
      </c>
      <c r="AJ198" t="e">
        <v>#NUM!</v>
      </c>
      <c r="AL198" t="e">
        <v>#NUM!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-137.19999999178432</v>
      </c>
      <c r="B201" s="25">
        <f t="shared" ref="B201:C201" si="175">B190</f>
        <v>0</v>
      </c>
      <c r="C201" s="25">
        <f t="shared" si="175"/>
        <v>-0.918367357413582</v>
      </c>
      <c r="D201" s="25"/>
    </row>
    <row r="202" spans="1:38" x14ac:dyDescent="0.25">
      <c r="A202" s="25">
        <f t="shared" ref="A202:C202" si="176">A191</f>
        <v>137.19999933453073</v>
      </c>
      <c r="B202" s="25">
        <f t="shared" si="176"/>
        <v>0</v>
      </c>
      <c r="C202" s="25">
        <f t="shared" si="176"/>
        <v>-2.1428571399241969</v>
      </c>
      <c r="D202" s="25"/>
    </row>
    <row r="203" spans="1:38" x14ac:dyDescent="0.25">
      <c r="A203" s="25">
        <f t="shared" ref="A203:C203" si="177">A192</f>
        <v>0</v>
      </c>
      <c r="B203" s="25">
        <f t="shared" si="177"/>
        <v>49.999998562856568</v>
      </c>
      <c r="C203" s="25">
        <f t="shared" si="177"/>
        <v>0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-5.1020408044114389E-3</v>
      </c>
      <c r="B205" s="25">
        <v>2.1865889441091487E-3</v>
      </c>
      <c r="C205" s="25">
        <v>0</v>
      </c>
      <c r="D205" s="25"/>
      <c r="H205">
        <f t="array" ref="H205:H207">MMULT(A205:C207,F185:F187)</f>
        <v>0</v>
      </c>
      <c r="J205" s="8">
        <f>$B$66+H205</f>
        <v>0.36443148688046645</v>
      </c>
      <c r="K205" s="11" t="s">
        <v>115</v>
      </c>
      <c r="L205" s="36">
        <f>J206</f>
        <v>0</v>
      </c>
      <c r="M205" s="37" t="s">
        <v>116</v>
      </c>
      <c r="N205" t="s">
        <v>145</v>
      </c>
      <c r="S205">
        <f>0.5*H205</f>
        <v>0</v>
      </c>
      <c r="U205" s="8">
        <f>$B$66+S205</f>
        <v>0.36443148688046645</v>
      </c>
      <c r="V205" s="11" t="s">
        <v>115</v>
      </c>
      <c r="W205" s="36">
        <f>U206</f>
        <v>0</v>
      </c>
      <c r="X205" s="37" t="s">
        <v>116</v>
      </c>
    </row>
    <row r="206" spans="1:38" x14ac:dyDescent="0.25">
      <c r="A206" s="25">
        <v>0</v>
      </c>
      <c r="B206" s="25">
        <v>0</v>
      </c>
      <c r="C206" s="25">
        <v>2.0000000574857388E-2</v>
      </c>
      <c r="D206" s="25"/>
      <c r="H206">
        <v>0</v>
      </c>
      <c r="J206" s="8">
        <f>$B$64+H206</f>
        <v>0</v>
      </c>
      <c r="K206" s="11" t="s">
        <v>116</v>
      </c>
      <c r="L206" s="38">
        <f>J207</f>
        <v>23.333333333333336</v>
      </c>
      <c r="M206" s="39" t="s">
        <v>117</v>
      </c>
      <c r="N206" t="s">
        <v>147</v>
      </c>
      <c r="S206">
        <f t="shared" ref="S206:S207" si="178">0.5*H206</f>
        <v>0</v>
      </c>
      <c r="U206" s="8">
        <f>$B$64+S206</f>
        <v>0</v>
      </c>
      <c r="V206" s="11" t="s">
        <v>116</v>
      </c>
      <c r="W206" s="38">
        <f>U207</f>
        <v>23.333333333333336</v>
      </c>
      <c r="X206" s="39" t="s">
        <v>117</v>
      </c>
    </row>
    <row r="207" spans="1:38" ht="15.75" thickBot="1" x14ac:dyDescent="0.3">
      <c r="A207" s="25">
        <v>-0.32666666476644368</v>
      </c>
      <c r="B207" s="25">
        <v>-0.32666666633133323</v>
      </c>
      <c r="C207" s="25">
        <v>0</v>
      </c>
      <c r="D207" s="25"/>
      <c r="H207">
        <v>0</v>
      </c>
      <c r="J207" s="8">
        <f>$B$65+H207</f>
        <v>23.333333333333336</v>
      </c>
      <c r="K207" s="1" t="s">
        <v>117</v>
      </c>
      <c r="L207" s="41">
        <f>J205</f>
        <v>0.36443148688046645</v>
      </c>
      <c r="M207" s="68" t="s">
        <v>115</v>
      </c>
      <c r="S207">
        <f t="shared" si="178"/>
        <v>0</v>
      </c>
      <c r="U207" s="8">
        <f>$B$65+S207</f>
        <v>23.333333333333336</v>
      </c>
      <c r="V207" s="1" t="s">
        <v>117</v>
      </c>
      <c r="W207" s="41">
        <f>U205</f>
        <v>0.36443148688046645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0</v>
      </c>
      <c r="B212" s="25">
        <f>A182</f>
        <v>-0.918367357413582</v>
      </c>
      <c r="C212" s="25">
        <f>A183</f>
        <v>0</v>
      </c>
    </row>
    <row r="213" spans="1:24" x14ac:dyDescent="0.25">
      <c r="A213" s="25">
        <f>B181</f>
        <v>0</v>
      </c>
      <c r="B213" s="25">
        <f>B182</f>
        <v>-2.1428571399241969</v>
      </c>
      <c r="C213" s="25">
        <f>B183</f>
        <v>0</v>
      </c>
    </row>
    <row r="214" spans="1:24" x14ac:dyDescent="0.25">
      <c r="A214" s="25">
        <f>C181</f>
        <v>49.999998562856568</v>
      </c>
      <c r="B214" s="25">
        <f>C182</f>
        <v>0</v>
      </c>
      <c r="C214" s="25">
        <f>C183</f>
        <v>0</v>
      </c>
    </row>
    <row r="215" spans="1:24" ht="15.75" thickBot="1" x14ac:dyDescent="0.3"/>
    <row r="216" spans="1:24" x14ac:dyDescent="0.25">
      <c r="A216" t="e">
        <f t="array" ref="A216:C218">MINVERSE(A212:C214)</f>
        <v>#NUM!</v>
      </c>
      <c r="B216" t="e">
        <v>#NUM!</v>
      </c>
      <c r="C216" t="e">
        <v>#NUM!</v>
      </c>
      <c r="H216" t="e" cm="1">
        <f t="array" ref="H216">MMULT(A216:C218,F185:F187)</f>
        <v>#NUM!</v>
      </c>
      <c r="J216" s="8" t="e">
        <f>$B$64+H216</f>
        <v>#NUM!</v>
      </c>
      <c r="K216" s="11" t="s">
        <v>116</v>
      </c>
      <c r="L216" s="36" t="e">
        <f>J216</f>
        <v>#NUM!</v>
      </c>
      <c r="M216" s="37" t="s">
        <v>116</v>
      </c>
      <c r="N216" t="s">
        <v>144</v>
      </c>
      <c r="S216" t="e">
        <f>0.5*H216</f>
        <v>#NUM!</v>
      </c>
      <c r="U216" s="8" t="e">
        <f>$B$64+S216</f>
        <v>#NUM!</v>
      </c>
      <c r="V216" s="11" t="s">
        <v>116</v>
      </c>
      <c r="W216" s="36" t="e">
        <f>U216</f>
        <v>#NUM!</v>
      </c>
      <c r="X216" s="37" t="s">
        <v>116</v>
      </c>
    </row>
    <row r="217" spans="1:24" x14ac:dyDescent="0.25">
      <c r="A217" t="e">
        <v>#NUM!</v>
      </c>
      <c r="B217" t="e">
        <v>#NUM!</v>
      </c>
      <c r="C217" t="e">
        <v>#NUM!</v>
      </c>
      <c r="J217" s="8">
        <f>$B$65+H217</f>
        <v>23.333333333333336</v>
      </c>
      <c r="K217" s="1" t="s">
        <v>117</v>
      </c>
      <c r="L217" s="38">
        <f>J217</f>
        <v>23.333333333333336</v>
      </c>
      <c r="M217" s="39" t="s">
        <v>117</v>
      </c>
      <c r="S217">
        <f t="shared" ref="S217:S218" si="179">0.5*H217</f>
        <v>0</v>
      </c>
      <c r="U217" s="8">
        <f>$B$65+S217</f>
        <v>23.333333333333336</v>
      </c>
      <c r="V217" s="1" t="s">
        <v>117</v>
      </c>
      <c r="W217" s="38">
        <f>U217</f>
        <v>23.333333333333336</v>
      </c>
      <c r="X217" s="39" t="s">
        <v>117</v>
      </c>
    </row>
    <row r="218" spans="1:24" x14ac:dyDescent="0.25">
      <c r="A218" t="e">
        <v>#NUM!</v>
      </c>
      <c r="B218" t="e">
        <v>#NUM!</v>
      </c>
      <c r="C218" t="e">
        <v>#NUM!</v>
      </c>
      <c r="J218" s="8">
        <f>$B$67+H218</f>
        <v>0</v>
      </c>
      <c r="K218" s="1" t="s">
        <v>118</v>
      </c>
      <c r="L218" s="38">
        <f>$B$66</f>
        <v>0.36443148688046645</v>
      </c>
      <c r="M218" s="40"/>
      <c r="S218">
        <f t="shared" si="179"/>
        <v>0</v>
      </c>
      <c r="U218" s="8">
        <f>$B$67+S218</f>
        <v>0</v>
      </c>
      <c r="V218" s="1" t="s">
        <v>118</v>
      </c>
      <c r="W218" s="38">
        <f>$B$66</f>
        <v>0.36443148688046645</v>
      </c>
      <c r="X218" s="40"/>
    </row>
    <row r="219" spans="1:24" ht="15.75" thickBot="1" x14ac:dyDescent="0.3">
      <c r="L219" s="41">
        <f>J218</f>
        <v>0</v>
      </c>
      <c r="M219" s="42" t="s">
        <v>118</v>
      </c>
      <c r="W219" s="41">
        <f>U218</f>
        <v>0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0.36443149228585892</v>
      </c>
      <c r="C66" t="s">
        <v>11</v>
      </c>
      <c r="D66">
        <f>B66/B53</f>
        <v>8.9446830051482989E-5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-11.333333333333336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4.3445603167863171E-5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-11.333333333333336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4.3445603167863171E-5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-21.333333333333336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8.1779958904213023E-5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-21.333333333333336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8.1779958904213023E-5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-16.333333333333336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-16.333333333333336</v>
      </c>
    </row>
    <row r="127" spans="1:16" x14ac:dyDescent="0.25">
      <c r="F127" s="4">
        <f>MAX(B84:B90)+1</f>
        <v>8</v>
      </c>
      <c r="G127" s="4">
        <f>G126</f>
        <v>-16.333333333333336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0.14577259691434358</v>
      </c>
      <c r="G132" s="4">
        <f t="shared" ref="G132:G139" si="49">($B$66/$B$65)*(E132-$B$125)</f>
        <v>0.14577259691434358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0.14577259691434358</v>
      </c>
      <c r="O132" s="4">
        <f>IF(G132&lt;0,0,G132)</f>
        <v>0.14577259691434358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0.14577259691434358</v>
      </c>
      <c r="G133" s="4">
        <f t="shared" si="49"/>
        <v>0.36443149228585892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0.14577259691434358</v>
      </c>
      <c r="O133" s="4">
        <f t="shared" si="57"/>
        <v>0.36443149228585892</v>
      </c>
      <c r="P133" s="4">
        <f t="shared" ref="P133:P139" si="58">(1/6)*(M133-K133)*((N133*((2*J133)+L133))+(O133*(J133+(2*L133))))</f>
        <v>25.000000370809918</v>
      </c>
      <c r="Q133" s="4">
        <f t="shared" ref="Q133:Q139" si="59">((1/12)*(M133-K133)*(N133*J133*((3*K133)+M133)+N133*L133*(K133+M133)+O133*J133*(K133+M133)+O133*L133*(K133+(3*M133))))</f>
        <v>25.000000370809918</v>
      </c>
      <c r="R133" s="4">
        <f t="shared" ref="R133:R139" si="60">((-1/24)*(M133-K133)*(J133*J133*((3*N133)+O133)+2*J133*L133*(N133+O133)+L133*L133*(N133+(3*O133))))</f>
        <v>-87.5000012978347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0.36443149228585892</v>
      </c>
      <c r="G134" s="4">
        <f t="shared" si="49"/>
        <v>0.36443149228585892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0.36443149228585892</v>
      </c>
      <c r="O134" s="4">
        <f t="shared" si="57"/>
        <v>0.36443149228585892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0.36443149228585892</v>
      </c>
      <c r="G135" s="4">
        <f t="shared" si="49"/>
        <v>0.14577259691434358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0.36443149228585892</v>
      </c>
      <c r="O135" s="4">
        <f t="shared" si="57"/>
        <v>0.14577259691434358</v>
      </c>
      <c r="P135" s="4">
        <f t="shared" si="58"/>
        <v>25.000000370809918</v>
      </c>
      <c r="Q135" s="4">
        <f t="shared" si="59"/>
        <v>25.000000370809918</v>
      </c>
      <c r="R135" s="4">
        <f t="shared" si="60"/>
        <v>87.5000012978347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0.14577259691434358</v>
      </c>
      <c r="G136" s="4">
        <f t="shared" si="49"/>
        <v>0.14577259691434358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0.14577259691434358</v>
      </c>
      <c r="O136" s="4">
        <f t="shared" si="57"/>
        <v>0.14577259691434358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0.14577259691434358</v>
      </c>
      <c r="G137" s="4">
        <f t="shared" si="49"/>
        <v>0.14577259691434358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0.14577259691434358</v>
      </c>
      <c r="O137" s="4">
        <f t="shared" si="57"/>
        <v>0.14577259691434358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0.14577259691434358</v>
      </c>
      <c r="G138" s="4">
        <f t="shared" si="49"/>
        <v>0.14577259691434358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0.14577259691434358</v>
      </c>
      <c r="O138" s="4">
        <f t="shared" si="57"/>
        <v>0.14577259691434358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0.14577259691434358</v>
      </c>
      <c r="G139" s="4">
        <f t="shared" si="49"/>
        <v>0.14577259691434358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0.14577259691434358</v>
      </c>
      <c r="O139" s="4">
        <f t="shared" si="57"/>
        <v>0.14577259691434358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50.000000741619836</v>
      </c>
      <c r="Q140" s="4">
        <f>SUM(Q132:Q139)</f>
        <v>50.000000741619836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1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0.14577259691434358</v>
      </c>
      <c r="G146" s="4">
        <f>($B$66/$B$65)*(E146-$B$125)</f>
        <v>0.14577259691434358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0.14577259691434358</v>
      </c>
      <c r="O146" s="4">
        <f>IF(G146&lt;0,0,G146)</f>
        <v>0.14577259691434358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0.14577259691434358</v>
      </c>
      <c r="G147" s="4">
        <f t="shared" ref="G147:G153" si="64">($B$66/$B$65)*(E147-$B$125)</f>
        <v>0.14577259691434358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0.14577259691434358</v>
      </c>
      <c r="O147" s="4">
        <f t="shared" si="71"/>
        <v>0.14577259691434358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0.14577259691434358</v>
      </c>
      <c r="G148" s="4">
        <f t="shared" si="64"/>
        <v>0.14577259691434358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0.14577259691434358</v>
      </c>
      <c r="O148" s="4">
        <f t="shared" si="71"/>
        <v>0.14577259691434358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0.14577259691434358</v>
      </c>
      <c r="G149" s="4">
        <f t="shared" si="64"/>
        <v>0.14577259691434358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0.14577259691434358</v>
      </c>
      <c r="O149" s="4">
        <f t="shared" si="71"/>
        <v>0.14577259691434358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0.14577259691434358</v>
      </c>
      <c r="G150" s="4">
        <f t="shared" si="64"/>
        <v>0.14577259691434358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0.14577259691434358</v>
      </c>
      <c r="O150" s="4">
        <f t="shared" si="71"/>
        <v>0.14577259691434358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0.14577259691434358</v>
      </c>
      <c r="G151" s="4">
        <f t="shared" si="64"/>
        <v>0.14577259691434358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0.14577259691434358</v>
      </c>
      <c r="O151" s="4">
        <f t="shared" si="71"/>
        <v>0.14577259691434358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0.14577259691434358</v>
      </c>
      <c r="G152" s="4">
        <f t="shared" si="64"/>
        <v>0.14577259691434358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0.14577259691434358</v>
      </c>
      <c r="O152" s="4">
        <f t="shared" si="71"/>
        <v>0.14577259691434358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0.14577259691434358</v>
      </c>
      <c r="G153" s="4">
        <f t="shared" si="64"/>
        <v>0.14577259691434358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0.14577259691434358</v>
      </c>
      <c r="O153" s="4">
        <f t="shared" si="71"/>
        <v>0.14577259691434358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50.000000741619836</v>
      </c>
      <c r="C159" t="s">
        <v>36</v>
      </c>
    </row>
    <row r="160" spans="1:18" x14ac:dyDescent="0.25">
      <c r="A160" s="1" t="s">
        <v>106</v>
      </c>
      <c r="B160" s="4">
        <f>Q140+I122+Q154-O122</f>
        <v>50.000000741619836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50.000000741619836</v>
      </c>
      <c r="C164" t="s">
        <v>36</v>
      </c>
      <c r="E164" s="8">
        <f>B2-B164</f>
        <v>-7.4161983576459534E-7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50.000000741619836</v>
      </c>
      <c r="C165" t="s">
        <v>102</v>
      </c>
      <c r="E165" s="8">
        <f>B3+B165</f>
        <v>7.4161983576459534E-7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0.36443149228585892</v>
      </c>
      <c r="B169" s="1">
        <f>IF(E122=0,0,(MIN(H110:H121)*B65)/(B55*B56*E122))</f>
        <v>0</v>
      </c>
      <c r="C169" s="3">
        <f>A169+B169</f>
        <v>0.36443149228585892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3.4608926273113096E-7</v>
      </c>
      <c r="D175" s="27">
        <f>B66*SQRT(I175)</f>
        <v>5.4053925634808028E-9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23.333333679422598</v>
      </c>
      <c r="D176" s="3">
        <f>D175+B66</f>
        <v>0.36443149769125149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3.460892621376388E-7</v>
      </c>
      <c r="D177" s="27">
        <f>D176-B66</f>
        <v>5.4053925779840029E-9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7.4161983576459534E-7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-7.4161983576459534E-7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0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-0.36443149228585892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7.000000023924617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0.36443148147507398</v>
      </c>
      <c r="C66" t="s">
        <v>11</v>
      </c>
      <c r="D66">
        <f>B66/B53</f>
        <v>8.9446827398061263E-5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-11.333333333333336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4.3445601879058334E-5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-11.333333333333336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4.3445601879058334E-5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-21.333333333333336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8.1779956478227449E-5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-21.333333333333336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8.1779956478227449E-5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-16.333333333333336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-16.333333333333336</v>
      </c>
    </row>
    <row r="127" spans="1:16" x14ac:dyDescent="0.25">
      <c r="F127" s="4">
        <f>MAX(B84:B90)+1</f>
        <v>8</v>
      </c>
      <c r="G127" s="4">
        <f>G126</f>
        <v>-16.333333333333336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0.14577259259002961</v>
      </c>
      <c r="G132" s="4">
        <f t="shared" ref="G132:G139" si="49">($B$66/$B$65)*(E132-$B$125)</f>
        <v>0.14577259259002961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0.14577259259002961</v>
      </c>
      <c r="O132" s="4">
        <f>IF(G132&lt;0,0,G132)</f>
        <v>0.14577259259002961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0.14577259259002961</v>
      </c>
      <c r="G133" s="4">
        <f t="shared" si="49"/>
        <v>0.36443148147507398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0.14577259259002961</v>
      </c>
      <c r="O133" s="4">
        <f t="shared" si="57"/>
        <v>0.36443148147507398</v>
      </c>
      <c r="P133" s="4">
        <f t="shared" ref="P133:P139" si="58">(1/6)*(M133-K133)*((N133*((2*J133)+L133))+(O133*(J133+(2*L133))))</f>
        <v>24.999999629190071</v>
      </c>
      <c r="Q133" s="4">
        <f t="shared" ref="Q133:Q139" si="59">((1/12)*(M133-K133)*(N133*J133*((3*K133)+M133)+N133*L133*(K133+M133)+O133*J133*(K133+M133)+O133*L133*(K133+(3*M133))))</f>
        <v>24.999999629190075</v>
      </c>
      <c r="R133" s="4">
        <f t="shared" ref="R133:R139" si="60">((-1/24)*(M133-K133)*(J133*J133*((3*N133)+O133)+2*J133*L133*(N133+O133)+L133*L133*(N133+(3*O133))))</f>
        <v>-87.499998702165257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0.36443148147507398</v>
      </c>
      <c r="G134" s="4">
        <f t="shared" si="49"/>
        <v>0.36443148147507398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0.36443148147507398</v>
      </c>
      <c r="O134" s="4">
        <f t="shared" si="57"/>
        <v>0.36443148147507398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0.36443148147507398</v>
      </c>
      <c r="G135" s="4">
        <f t="shared" si="49"/>
        <v>0.14577259259002961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0.36443148147507398</v>
      </c>
      <c r="O135" s="4">
        <f t="shared" si="57"/>
        <v>0.14577259259002961</v>
      </c>
      <c r="P135" s="4">
        <f t="shared" si="58"/>
        <v>24.999999629190071</v>
      </c>
      <c r="Q135" s="4">
        <f t="shared" si="59"/>
        <v>24.999999629190075</v>
      </c>
      <c r="R135" s="4">
        <f t="shared" si="60"/>
        <v>87.499998702165257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0.14577259259002961</v>
      </c>
      <c r="G136" s="4">
        <f t="shared" si="49"/>
        <v>0.14577259259002961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0.14577259259002961</v>
      </c>
      <c r="O136" s="4">
        <f t="shared" si="57"/>
        <v>0.14577259259002961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0.14577259259002961</v>
      </c>
      <c r="G137" s="4">
        <f t="shared" si="49"/>
        <v>0.14577259259002961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0.14577259259002961</v>
      </c>
      <c r="O137" s="4">
        <f t="shared" si="57"/>
        <v>0.14577259259002961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0.14577259259002961</v>
      </c>
      <c r="G138" s="4">
        <f t="shared" si="49"/>
        <v>0.14577259259002961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0.14577259259002961</v>
      </c>
      <c r="O138" s="4">
        <f t="shared" si="57"/>
        <v>0.14577259259002961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0.14577259259002961</v>
      </c>
      <c r="G139" s="4">
        <f t="shared" si="49"/>
        <v>0.14577259259002961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0.14577259259002961</v>
      </c>
      <c r="O139" s="4">
        <f t="shared" si="57"/>
        <v>0.14577259259002961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49.999999258380143</v>
      </c>
      <c r="Q140" s="4">
        <f>SUM(Q132:Q139)</f>
        <v>49.99999925838015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1.0000000000000002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0.14577259259002961</v>
      </c>
      <c r="G146" s="4">
        <f>($B$66/$B$65)*(E146-$B$125)</f>
        <v>0.14577259259002961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0.14577259259002961</v>
      </c>
      <c r="O146" s="4">
        <f>IF(G146&lt;0,0,G146)</f>
        <v>0.14577259259002961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0.14577259259002961</v>
      </c>
      <c r="G147" s="4">
        <f t="shared" ref="G147:G153" si="64">($B$66/$B$65)*(E147-$B$125)</f>
        <v>0.14577259259002961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0.14577259259002961</v>
      </c>
      <c r="O147" s="4">
        <f t="shared" si="71"/>
        <v>0.14577259259002961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0.14577259259002961</v>
      </c>
      <c r="G148" s="4">
        <f t="shared" si="64"/>
        <v>0.14577259259002961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0.14577259259002961</v>
      </c>
      <c r="O148" s="4">
        <f t="shared" si="71"/>
        <v>0.14577259259002961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0.14577259259002961</v>
      </c>
      <c r="G149" s="4">
        <f t="shared" si="64"/>
        <v>0.14577259259002961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0.14577259259002961</v>
      </c>
      <c r="O149" s="4">
        <f t="shared" si="71"/>
        <v>0.14577259259002961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0.14577259259002961</v>
      </c>
      <c r="G150" s="4">
        <f t="shared" si="64"/>
        <v>0.14577259259002961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0.14577259259002961</v>
      </c>
      <c r="O150" s="4">
        <f t="shared" si="71"/>
        <v>0.14577259259002961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0.14577259259002961</v>
      </c>
      <c r="G151" s="4">
        <f t="shared" si="64"/>
        <v>0.14577259259002961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0.14577259259002961</v>
      </c>
      <c r="O151" s="4">
        <f t="shared" si="71"/>
        <v>0.14577259259002961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0.14577259259002961</v>
      </c>
      <c r="G152" s="4">
        <f t="shared" si="64"/>
        <v>0.14577259259002961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0.14577259259002961</v>
      </c>
      <c r="O152" s="4">
        <f t="shared" si="71"/>
        <v>0.14577259259002961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0.14577259259002961</v>
      </c>
      <c r="G153" s="4">
        <f t="shared" si="64"/>
        <v>0.14577259259002961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0.14577259259002961</v>
      </c>
      <c r="O153" s="4">
        <f t="shared" si="71"/>
        <v>0.14577259259002961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49.999999258380143</v>
      </c>
      <c r="C159" t="s">
        <v>36</v>
      </c>
    </row>
    <row r="160" spans="1:18" x14ac:dyDescent="0.25">
      <c r="A160" s="1" t="s">
        <v>106</v>
      </c>
      <c r="B160" s="4">
        <f>Q140+I122+Q154-O122</f>
        <v>49.99999925838015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49.999999258380143</v>
      </c>
      <c r="C164" t="s">
        <v>36</v>
      </c>
      <c r="E164" s="8">
        <f>B2-B164</f>
        <v>7.4161985708087741E-7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49.99999925838015</v>
      </c>
      <c r="C165" t="s">
        <v>102</v>
      </c>
      <c r="E165" s="8">
        <f>B3+B165</f>
        <v>-7.4161984997545005E-7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0.36443148147507398</v>
      </c>
      <c r="B169" s="1">
        <f>IF(E122=0,0,(MIN(H110:H121)*B65)/(B55*B56*E122))</f>
        <v>0</v>
      </c>
      <c r="C169" s="3">
        <f>A169+B169</f>
        <v>0.36443148147507398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3.4608926273113096E-7</v>
      </c>
      <c r="D175" s="27">
        <f>B66*SQRT(I175)</f>
        <v>5.4053924031309494E-9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23.333333679422598</v>
      </c>
      <c r="D176" s="3">
        <f>D175+B66</f>
        <v>0.36443148688046639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3.460892621376388E-7</v>
      </c>
      <c r="D177" s="27">
        <f>D176-B66</f>
        <v>5.4053924114505492E-9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-7.4161985708087741E-7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7.4161984997545005E-7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0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-0.36443148147507398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7.000000023924617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1.4832396974191326E-8</v>
      </c>
      <c r="C64" t="s">
        <v>19</v>
      </c>
      <c r="D64" t="s">
        <v>34</v>
      </c>
      <c r="H64" s="17">
        <f>DEGREES(B64)</f>
        <v>8.4983374668377562E-7</v>
      </c>
      <c r="I64" t="s">
        <v>41</v>
      </c>
    </row>
    <row r="65" spans="1:18" x14ac:dyDescent="0.25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-8.0000001038267783</v>
      </c>
      <c r="R76">
        <f>Q76</f>
        <v>-8.0000001038267783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8.0000001038267783</v>
      </c>
      <c r="R77">
        <f>Q77</f>
        <v>8.0000001038267783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-7.0000001038267792</v>
      </c>
      <c r="C84" s="1">
        <f t="shared" ref="C84:C92" si="23">(-1*B73*SIN($B$64))+(C73*COS($B$64))</f>
        <v>-6.9999998961732208</v>
      </c>
      <c r="H84" s="1">
        <f t="shared" ref="H84:H92" si="24">H73</f>
        <v>1</v>
      </c>
      <c r="I84" s="4">
        <f>(I73*COS($B$64))+(J73*SIN($B$64))</f>
        <v>-7.0000001038267792</v>
      </c>
      <c r="J84" s="1">
        <f>(-1*I73*SIN($B$64))+(J73*COS($B$64))</f>
        <v>-6.9999998961732208</v>
      </c>
    </row>
    <row r="85" spans="1:10" x14ac:dyDescent="0.25">
      <c r="A85" s="1">
        <f t="shared" si="21"/>
        <v>2</v>
      </c>
      <c r="B85" s="4">
        <f t="shared" si="22"/>
        <v>6.9999998961732208</v>
      </c>
      <c r="C85" s="1">
        <f t="shared" si="23"/>
        <v>-7.0000001038267792</v>
      </c>
      <c r="H85" s="1">
        <f t="shared" si="24"/>
        <v>2</v>
      </c>
      <c r="I85" s="4">
        <f t="shared" ref="I85:I92" si="25">(I74*COS($B$64))+(J74*SIN($B$64))</f>
        <v>-7.0000001038267792</v>
      </c>
      <c r="J85" s="1">
        <f t="shared" ref="J85:J92" si="26">(-1*I74*SIN($B$64))+(J74*COS($B$64))</f>
        <v>-6.9999998961732208</v>
      </c>
    </row>
    <row r="86" spans="1:10" x14ac:dyDescent="0.25">
      <c r="A86" s="1">
        <f t="shared" si="21"/>
        <v>3</v>
      </c>
      <c r="B86" s="4">
        <f t="shared" si="22"/>
        <v>7.0000001038267792</v>
      </c>
      <c r="C86" s="1">
        <f t="shared" si="23"/>
        <v>6.9999998961732208</v>
      </c>
      <c r="H86" s="1">
        <f t="shared" si="24"/>
        <v>3</v>
      </c>
      <c r="I86" s="4">
        <f t="shared" si="25"/>
        <v>-7.0000001038267792</v>
      </c>
      <c r="J86" s="1">
        <f t="shared" si="26"/>
        <v>-6.9999998961732208</v>
      </c>
    </row>
    <row r="87" spans="1:10" x14ac:dyDescent="0.25">
      <c r="A87" s="1">
        <f t="shared" si="21"/>
        <v>4</v>
      </c>
      <c r="B87" s="4">
        <f t="shared" si="22"/>
        <v>-6.9999998961732208</v>
      </c>
      <c r="C87" s="1">
        <f t="shared" si="23"/>
        <v>7.0000001038267792</v>
      </c>
      <c r="H87" s="1">
        <f t="shared" si="24"/>
        <v>4</v>
      </c>
      <c r="I87" s="4">
        <f t="shared" si="25"/>
        <v>-7.0000001038267792</v>
      </c>
      <c r="J87" s="1">
        <f t="shared" si="26"/>
        <v>-6.9999998961732208</v>
      </c>
    </row>
    <row r="88" spans="1:10" x14ac:dyDescent="0.25">
      <c r="A88" s="1">
        <f t="shared" si="21"/>
        <v>5</v>
      </c>
      <c r="B88" s="4">
        <f t="shared" si="22"/>
        <v>-7.0000001038267792</v>
      </c>
      <c r="C88" s="1">
        <f t="shared" si="23"/>
        <v>-6.9999998961732208</v>
      </c>
      <c r="H88" s="1">
        <f t="shared" si="24"/>
        <v>5</v>
      </c>
      <c r="I88" s="4">
        <f t="shared" si="25"/>
        <v>-7.0000001038267792</v>
      </c>
      <c r="J88" s="1">
        <f t="shared" si="26"/>
        <v>-6.9999998961732208</v>
      </c>
    </row>
    <row r="89" spans="1:10" x14ac:dyDescent="0.25">
      <c r="A89" s="1">
        <f t="shared" si="21"/>
        <v>6</v>
      </c>
      <c r="B89" s="4">
        <f t="shared" si="22"/>
        <v>-7.0000001038267792</v>
      </c>
      <c r="C89" s="1">
        <f t="shared" si="23"/>
        <v>-6.9999998961732208</v>
      </c>
      <c r="H89" s="1">
        <f t="shared" si="24"/>
        <v>6</v>
      </c>
      <c r="I89" s="4">
        <f t="shared" si="25"/>
        <v>-7.0000001038267792</v>
      </c>
      <c r="J89" s="1">
        <f t="shared" si="26"/>
        <v>-6.9999998961732208</v>
      </c>
    </row>
    <row r="90" spans="1:10" x14ac:dyDescent="0.25">
      <c r="A90" s="1">
        <f t="shared" si="21"/>
        <v>7</v>
      </c>
      <c r="B90" s="4">
        <f t="shared" si="22"/>
        <v>-7.0000001038267792</v>
      </c>
      <c r="C90" s="1">
        <f t="shared" si="23"/>
        <v>-6.9999998961732208</v>
      </c>
      <c r="H90" s="1">
        <f t="shared" si="24"/>
        <v>7</v>
      </c>
      <c r="I90" s="4">
        <f t="shared" si="25"/>
        <v>-7.0000001038267792</v>
      </c>
      <c r="J90" s="1">
        <f t="shared" si="26"/>
        <v>-6.9999998961732208</v>
      </c>
    </row>
    <row r="91" spans="1:10" x14ac:dyDescent="0.25">
      <c r="A91" s="1">
        <f t="shared" si="21"/>
        <v>8</v>
      </c>
      <c r="B91" s="4">
        <f t="shared" si="22"/>
        <v>-7.0000001038267792</v>
      </c>
      <c r="C91" s="1">
        <f t="shared" si="23"/>
        <v>-6.9999998961732208</v>
      </c>
      <c r="H91" s="1">
        <f t="shared" si="24"/>
        <v>8</v>
      </c>
      <c r="I91" s="4">
        <f t="shared" si="25"/>
        <v>-7.0000001038267792</v>
      </c>
      <c r="J91" s="1">
        <f t="shared" si="26"/>
        <v>-6.9999998961732208</v>
      </c>
    </row>
    <row r="92" spans="1:10" x14ac:dyDescent="0.25">
      <c r="A92" s="1">
        <f t="shared" si="21"/>
        <v>9</v>
      </c>
      <c r="B92" s="4">
        <f t="shared" si="22"/>
        <v>-7.0000001038267792</v>
      </c>
      <c r="C92" s="1">
        <f t="shared" si="23"/>
        <v>-6.9999998961732208</v>
      </c>
      <c r="H92" s="1">
        <f t="shared" si="24"/>
        <v>9</v>
      </c>
      <c r="I92" s="4">
        <f t="shared" si="25"/>
        <v>-7.0000001038267792</v>
      </c>
      <c r="J92" s="1">
        <f t="shared" si="26"/>
        <v>-6.9999998961732208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-5.000000074161985</v>
      </c>
      <c r="C110" s="1">
        <f>(-1*B95*SIN($B$64))+(C95*COS($B$64))</f>
        <v>-4.999999925838015</v>
      </c>
      <c r="D110" t="str">
        <f t="shared" ref="D110" si="31">D95</f>
        <v>y</v>
      </c>
      <c r="E110" s="4">
        <f t="shared" ref="E110:E121" si="32">IF($D110="y",$B$125-C110,0)</f>
        <v>-11.333333303668542</v>
      </c>
      <c r="F110" s="1">
        <f>IF($D110="y",B110,NA())</f>
        <v>-5.000000074161985</v>
      </c>
      <c r="G110" s="1">
        <f>IF($D110="y",C110,NA())</f>
        <v>-4.999999925838015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4.3445602409742676E-5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4.999999925838015</v>
      </c>
      <c r="C111" s="1">
        <f t="shared" ref="C111:C121" si="37">(-1*B96*SIN($B$64))+(C96*COS($B$64))</f>
        <v>-5.000000074161985</v>
      </c>
      <c r="D111" t="str">
        <f t="shared" si="35"/>
        <v>y</v>
      </c>
      <c r="E111" s="4">
        <f t="shared" si="32"/>
        <v>-11.333333155344572</v>
      </c>
      <c r="F111" s="1">
        <f t="shared" ref="F111:G121" si="38">IF($D111="y",B111,NA())</f>
        <v>4.999999925838015</v>
      </c>
      <c r="G111" s="1">
        <f t="shared" si="38"/>
        <v>-5.000000074161985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4.3445601841152301E-5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-4.9999999555028092</v>
      </c>
      <c r="C112" s="1">
        <f t="shared" si="37"/>
        <v>3.000000074161985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5.0000000444971908</v>
      </c>
      <c r="C113" s="1">
        <f t="shared" si="37"/>
        <v>2.999999925838015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-4.999999925838015</v>
      </c>
      <c r="C114" s="1">
        <f t="shared" si="37"/>
        <v>5.000000074161985</v>
      </c>
      <c r="D114" t="str">
        <f t="shared" si="35"/>
        <v>y</v>
      </c>
      <c r="E114" s="4">
        <f t="shared" si="32"/>
        <v>-21.333333303668542</v>
      </c>
      <c r="F114" s="1">
        <f t="shared" si="38"/>
        <v>-4.999999925838015</v>
      </c>
      <c r="G114" s="1">
        <f t="shared" si="38"/>
        <v>5.000000074161985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8.1779957577502146E-5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5.000000074161985</v>
      </c>
      <c r="C115" s="1">
        <f t="shared" si="37"/>
        <v>4.999999925838015</v>
      </c>
      <c r="D115" t="str">
        <f t="shared" si="35"/>
        <v>y</v>
      </c>
      <c r="E115" s="4">
        <f t="shared" si="32"/>
        <v>-21.333333155344572</v>
      </c>
      <c r="F115" s="1">
        <f t="shared" si="38"/>
        <v>5.000000074161985</v>
      </c>
      <c r="G115" s="1">
        <f t="shared" si="38"/>
        <v>4.999999925838015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8.1779957008911778E-5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-7.0000001038267792</v>
      </c>
      <c r="C116" s="1">
        <f t="shared" si="37"/>
        <v>-6.9999998961732208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-7.0000001038267792</v>
      </c>
      <c r="C117" s="1">
        <f t="shared" si="37"/>
        <v>-6.9999998961732208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-7.0000001038267792</v>
      </c>
      <c r="C118" s="1">
        <f t="shared" si="37"/>
        <v>-6.9999998961732208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-7.0000001038267792</v>
      </c>
      <c r="C119" s="1">
        <f t="shared" si="37"/>
        <v>-6.9999998961732208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-7.0000001038267792</v>
      </c>
      <c r="C120" s="1">
        <f t="shared" si="37"/>
        <v>-6.9999998961732208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-7.0000001038267792</v>
      </c>
      <c r="C121" s="1">
        <f t="shared" si="37"/>
        <v>-6.9999998961732208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-16.333333229506557</v>
      </c>
      <c r="F125" s="1" t="s">
        <v>27</v>
      </c>
      <c r="G125" s="1" t="s">
        <v>28</v>
      </c>
    </row>
    <row r="126" spans="1:16" x14ac:dyDescent="0.25">
      <c r="F126" s="4">
        <f>MIN(B84:B90)-1</f>
        <v>-8.0000001038267783</v>
      </c>
      <c r="G126" s="4">
        <f>B125</f>
        <v>-16.333333229506557</v>
      </c>
    </row>
    <row r="127" spans="1:16" x14ac:dyDescent="0.25">
      <c r="F127" s="4">
        <f>MAX(B84:B90)+1</f>
        <v>8.0000001038267783</v>
      </c>
      <c r="G127" s="4">
        <f>G126</f>
        <v>-16.333333229506557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-7.0000001038267792</v>
      </c>
      <c r="C132" s="4">
        <f>C84</f>
        <v>-6.9999998961732208</v>
      </c>
      <c r="D132" s="4">
        <f t="shared" ref="D132:E139" si="47">B85</f>
        <v>6.9999998961732208</v>
      </c>
      <c r="E132" s="4">
        <f t="shared" si="47"/>
        <v>-7.0000001038267792</v>
      </c>
      <c r="F132" s="4">
        <f t="shared" ref="F132:F139" si="48">($B$66/$B$65)*(C132-$B$125)</f>
        <v>0.1457725947521866</v>
      </c>
      <c r="G132" s="4">
        <f t="shared" ref="G132:G139" si="49">($B$66/$B$65)*(E132-$B$125)</f>
        <v>0.14577259150895114</v>
      </c>
      <c r="H132" s="4">
        <f>IF(B132=D132,"V",(C132-E132)/(B132-D132))</f>
        <v>-1.4832397024885528E-8</v>
      </c>
      <c r="I132" s="4">
        <f>IF(H132="V",0,(-1*B132*H132)+C132)</f>
        <v>-7.0000000000000018</v>
      </c>
      <c r="J132" s="4">
        <f>IF($F132&gt;=0,B132,IF(AND($F132&lt;0,$G132&gt;=0),IF(H132="V",B132,($B$125-I132)/H132),0))</f>
        <v>-7.0000001038267792</v>
      </c>
      <c r="K132" s="4">
        <f>IF($F132&gt;=0,C132,IF(AND($F132&lt;0,$G132&gt;=0),$B$125,0))</f>
        <v>-6.9999998961732208</v>
      </c>
      <c r="L132" s="4">
        <f>IF($G132&gt;=0,D132,IF(AND($G132&lt;0,$F132&gt;=0),IF(H132="V",D132,($B$125-I132)/H132),0))</f>
        <v>6.9999998961732208</v>
      </c>
      <c r="M132" s="4">
        <f>IF($G132&gt;=0,E132,IF(AND($G132&lt;0,$F132&gt;=0),$B$125,0))</f>
        <v>-7.0000001038267792</v>
      </c>
      <c r="N132" s="4">
        <f>IF(F132&lt;0,0,F132)</f>
        <v>0.1457725947521866</v>
      </c>
      <c r="O132" s="4">
        <f>IF(G132&lt;0,0,G132)</f>
        <v>0.14577259150895114</v>
      </c>
      <c r="P132" s="4">
        <f>(1/6)*(M132-K132)*((N132*((2*J132)+L132))+(O132*(J132+(2*L132))))</f>
        <v>3.9285714109079533E-15</v>
      </c>
      <c r="Q132" s="4">
        <f>((1/12)*(M132-K132)*(N132*J132*((3*K132)+M132)+N132*L132*(K132+M132)+O132*J132*(K132+M132)+O132*L132*(K132+(3*M132))))</f>
        <v>-2.0166666541669054E-14</v>
      </c>
      <c r="R132" s="4">
        <f>((-1/24)*(M132-K132)*(J132*J132*((3*N132)+O132)+2*J132*L132*(N132+O132)+L132*L132*(N132+(3*O132))))</f>
        <v>2.4720661433142573E-7</v>
      </c>
    </row>
    <row r="133" spans="1:18" x14ac:dyDescent="0.25">
      <c r="A133" t="s">
        <v>70</v>
      </c>
      <c r="B133" s="4">
        <f t="shared" ref="B133:C138" si="50">D132</f>
        <v>6.9999998961732208</v>
      </c>
      <c r="C133" s="4">
        <f t="shared" si="50"/>
        <v>-7.0000001038267792</v>
      </c>
      <c r="D133" s="4">
        <f t="shared" si="47"/>
        <v>7.0000001038267792</v>
      </c>
      <c r="E133" s="4">
        <f t="shared" si="47"/>
        <v>6.9999998961732208</v>
      </c>
      <c r="F133" s="4">
        <f t="shared" si="48"/>
        <v>0.14577259150895114</v>
      </c>
      <c r="G133" s="4">
        <f t="shared" si="49"/>
        <v>0.36443148363723099</v>
      </c>
      <c r="H133" s="4">
        <f t="shared" ref="H133:H139" si="51">IF(B133=D133,"V",(C133-E133)/(B133-D133))</f>
        <v>67419986.015896022</v>
      </c>
      <c r="I133" s="4">
        <f t="shared" ref="I133:I139" si="52">IF(H133="V",0,(-1*B133*H133)+C133)</f>
        <v>-471939902.11127228</v>
      </c>
      <c r="J133" s="4">
        <f t="shared" ref="J133:J139" si="53">IF($F133&gt;=0,B133,IF(AND($F133&lt;0,$G133&gt;=0),IF(H133="V",B133,($B$125-I133)/H133),0))</f>
        <v>6.9999998961732208</v>
      </c>
      <c r="K133" s="4">
        <f t="shared" ref="K133:K139" si="54">IF($F133&gt;=0,C133,IF(AND($F133&lt;0,$G133&gt;=0),$B$125,0))</f>
        <v>-7.0000001038267792</v>
      </c>
      <c r="L133" s="4">
        <f t="shared" ref="L133:L139" si="55">IF($G133&gt;=0,D133,IF(AND($G133&lt;0,$F133&gt;=0),IF(H133="V",D133,($B$125-I133)/H133),0))</f>
        <v>7.0000001038267792</v>
      </c>
      <c r="M133" s="4">
        <f t="shared" ref="M133:M139" si="56">IF($G133&gt;=0,E133,IF(AND($G133&lt;0,$F133&gt;=0),$B$125,0))</f>
        <v>6.9999998961732208</v>
      </c>
      <c r="N133" s="4">
        <f t="shared" ref="N133:O139" si="57">IF(F133&lt;0,0,F133)</f>
        <v>0.14577259150895114</v>
      </c>
      <c r="O133" s="4">
        <f t="shared" si="57"/>
        <v>0.36443148363723099</v>
      </c>
      <c r="P133" s="4">
        <f t="shared" ref="P133:P139" si="58">(1/6)*(M133-K133)*((N133*((2*J133)+L133))+(O133*(J133+(2*L133))))</f>
        <v>24.99999973513577</v>
      </c>
      <c r="Q133" s="4">
        <f t="shared" ref="Q133:Q139" si="59">((1/12)*(M133-K133)*(N133*J133*((3*K133)+M133)+N133*L133*(K133+M133)+O133*J133*(K133+M133)+O133*L133*(K133+(3*M133))))</f>
        <v>24.999998269553696</v>
      </c>
      <c r="R133" s="4">
        <f t="shared" ref="R133:R139" si="60">((-1/24)*(M133-K133)*(J133*J133*((3*N133)+O133)+2*J133*L133*(N133+O133)+L133*L133*(N133+(3*O133))))</f>
        <v>-87.499999258380171</v>
      </c>
    </row>
    <row r="134" spans="1:18" x14ac:dyDescent="0.25">
      <c r="A134" t="s">
        <v>71</v>
      </c>
      <c r="B134" s="4">
        <f t="shared" si="50"/>
        <v>7.0000001038267792</v>
      </c>
      <c r="C134" s="4">
        <f t="shared" si="50"/>
        <v>6.9999998961732208</v>
      </c>
      <c r="D134" s="4">
        <f t="shared" si="47"/>
        <v>-6.9999998961732208</v>
      </c>
      <c r="E134" s="4">
        <f t="shared" si="47"/>
        <v>7.0000001038267792</v>
      </c>
      <c r="F134" s="4">
        <f t="shared" si="48"/>
        <v>0.36443148363723099</v>
      </c>
      <c r="G134" s="4">
        <f t="shared" si="49"/>
        <v>0.36443148688046645</v>
      </c>
      <c r="H134" s="4">
        <f t="shared" si="51"/>
        <v>-1.4832397024885528E-8</v>
      </c>
      <c r="I134" s="4">
        <f t="shared" si="52"/>
        <v>7.0000000000000018</v>
      </c>
      <c r="J134" s="4">
        <f t="shared" si="53"/>
        <v>7.0000001038267792</v>
      </c>
      <c r="K134" s="4">
        <f t="shared" si="54"/>
        <v>6.9999998961732208</v>
      </c>
      <c r="L134" s="4">
        <f t="shared" si="55"/>
        <v>-6.9999998961732208</v>
      </c>
      <c r="M134" s="4">
        <f t="shared" si="56"/>
        <v>7.0000001038267792</v>
      </c>
      <c r="N134" s="4">
        <f t="shared" si="57"/>
        <v>0.36443148363723099</v>
      </c>
      <c r="O134" s="4">
        <f t="shared" si="57"/>
        <v>0.36443148688046645</v>
      </c>
      <c r="P134" s="4">
        <f t="shared" si="58"/>
        <v>7.0714286026490644E-15</v>
      </c>
      <c r="Q134" s="4">
        <f t="shared" si="59"/>
        <v>3.116666680882201E-14</v>
      </c>
      <c r="R134" s="4">
        <f t="shared" si="60"/>
        <v>-6.1801653995356398E-7</v>
      </c>
    </row>
    <row r="135" spans="1:18" x14ac:dyDescent="0.25">
      <c r="A135" t="s">
        <v>72</v>
      </c>
      <c r="B135" s="4">
        <f t="shared" si="50"/>
        <v>-6.9999998961732208</v>
      </c>
      <c r="C135" s="4">
        <f t="shared" si="50"/>
        <v>7.0000001038267792</v>
      </c>
      <c r="D135" s="4">
        <f t="shared" si="47"/>
        <v>-7.0000001038267792</v>
      </c>
      <c r="E135" s="4">
        <f t="shared" si="47"/>
        <v>-6.9999998961732208</v>
      </c>
      <c r="F135" s="4">
        <f t="shared" si="48"/>
        <v>0.36443148688046645</v>
      </c>
      <c r="G135" s="4">
        <f t="shared" si="49"/>
        <v>0.1457725947521866</v>
      </c>
      <c r="H135" s="4">
        <f t="shared" si="51"/>
        <v>67419986.015896022</v>
      </c>
      <c r="I135" s="4">
        <f t="shared" si="52"/>
        <v>471939902.11127228</v>
      </c>
      <c r="J135" s="4">
        <f t="shared" si="53"/>
        <v>-6.9999998961732208</v>
      </c>
      <c r="K135" s="4">
        <f t="shared" si="54"/>
        <v>7.0000001038267792</v>
      </c>
      <c r="L135" s="4">
        <f t="shared" si="55"/>
        <v>-7.0000001038267792</v>
      </c>
      <c r="M135" s="4">
        <f t="shared" si="56"/>
        <v>-6.9999998961732208</v>
      </c>
      <c r="N135" s="4">
        <f t="shared" si="57"/>
        <v>0.36443148688046645</v>
      </c>
      <c r="O135" s="4">
        <f t="shared" si="57"/>
        <v>0.1457725947521866</v>
      </c>
      <c r="P135" s="4">
        <f t="shared" si="58"/>
        <v>24.999999947027153</v>
      </c>
      <c r="Q135" s="4">
        <f t="shared" si="59"/>
        <v>25.000001730446307</v>
      </c>
      <c r="R135" s="4">
        <f t="shared" si="60"/>
        <v>87.499999629190071</v>
      </c>
    </row>
    <row r="136" spans="1:18" x14ac:dyDescent="0.25">
      <c r="A136" t="s">
        <v>73</v>
      </c>
      <c r="B136" s="4">
        <f t="shared" si="50"/>
        <v>-7.0000001038267792</v>
      </c>
      <c r="C136" s="4">
        <f t="shared" si="50"/>
        <v>-6.9999998961732208</v>
      </c>
      <c r="D136" s="4">
        <f t="shared" si="47"/>
        <v>-7.0000001038267792</v>
      </c>
      <c r="E136" s="4">
        <f t="shared" si="47"/>
        <v>-6.9999998961732208</v>
      </c>
      <c r="F136" s="4">
        <f t="shared" si="48"/>
        <v>0.1457725947521866</v>
      </c>
      <c r="G136" s="4">
        <f t="shared" si="49"/>
        <v>0.1457725947521866</v>
      </c>
      <c r="H136" s="4" t="str">
        <f t="shared" si="51"/>
        <v>V</v>
      </c>
      <c r="I136" s="4">
        <f t="shared" si="52"/>
        <v>0</v>
      </c>
      <c r="J136" s="4">
        <f t="shared" si="53"/>
        <v>-7.0000001038267792</v>
      </c>
      <c r="K136" s="4">
        <f t="shared" si="54"/>
        <v>-6.9999998961732208</v>
      </c>
      <c r="L136" s="4">
        <f t="shared" si="55"/>
        <v>-7.0000001038267792</v>
      </c>
      <c r="M136" s="4">
        <f t="shared" si="56"/>
        <v>-6.9999998961732208</v>
      </c>
      <c r="N136" s="4">
        <f t="shared" si="57"/>
        <v>0.1457725947521866</v>
      </c>
      <c r="O136" s="4">
        <f t="shared" si="57"/>
        <v>0.1457725947521866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-7.0000001038267792</v>
      </c>
      <c r="C137" s="4">
        <f t="shared" si="50"/>
        <v>-6.9999998961732208</v>
      </c>
      <c r="D137" s="4">
        <f t="shared" si="47"/>
        <v>-7.0000001038267792</v>
      </c>
      <c r="E137" s="4">
        <f t="shared" si="47"/>
        <v>-6.9999998961732208</v>
      </c>
      <c r="F137" s="4">
        <f t="shared" si="48"/>
        <v>0.1457725947521866</v>
      </c>
      <c r="G137" s="4">
        <f t="shared" si="49"/>
        <v>0.1457725947521866</v>
      </c>
      <c r="H137" s="4" t="str">
        <f t="shared" si="51"/>
        <v>V</v>
      </c>
      <c r="I137" s="4">
        <f t="shared" si="52"/>
        <v>0</v>
      </c>
      <c r="J137" s="4">
        <f t="shared" si="53"/>
        <v>-7.0000001038267792</v>
      </c>
      <c r="K137" s="4">
        <f t="shared" si="54"/>
        <v>-6.9999998961732208</v>
      </c>
      <c r="L137" s="4">
        <f t="shared" si="55"/>
        <v>-7.0000001038267792</v>
      </c>
      <c r="M137" s="4">
        <f t="shared" si="56"/>
        <v>-6.9999998961732208</v>
      </c>
      <c r="N137" s="4">
        <f t="shared" si="57"/>
        <v>0.1457725947521866</v>
      </c>
      <c r="O137" s="4">
        <f t="shared" si="57"/>
        <v>0.1457725947521866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-7.0000001038267792</v>
      </c>
      <c r="C138" s="4">
        <f t="shared" si="50"/>
        <v>-6.9999998961732208</v>
      </c>
      <c r="D138" s="4">
        <f t="shared" si="47"/>
        <v>-7.0000001038267792</v>
      </c>
      <c r="E138" s="4">
        <f t="shared" si="47"/>
        <v>-6.9999998961732208</v>
      </c>
      <c r="F138" s="4">
        <f t="shared" si="48"/>
        <v>0.1457725947521866</v>
      </c>
      <c r="G138" s="4">
        <f t="shared" si="49"/>
        <v>0.1457725947521866</v>
      </c>
      <c r="H138" s="4" t="str">
        <f t="shared" si="51"/>
        <v>V</v>
      </c>
      <c r="I138" s="4">
        <f t="shared" si="52"/>
        <v>0</v>
      </c>
      <c r="J138" s="4">
        <f t="shared" si="53"/>
        <v>-7.0000001038267792</v>
      </c>
      <c r="K138" s="4">
        <f t="shared" si="54"/>
        <v>-6.9999998961732208</v>
      </c>
      <c r="L138" s="4">
        <f t="shared" si="55"/>
        <v>-7.0000001038267792</v>
      </c>
      <c r="M138" s="4">
        <f t="shared" si="56"/>
        <v>-6.9999998961732208</v>
      </c>
      <c r="N138" s="4">
        <f t="shared" si="57"/>
        <v>0.1457725947521866</v>
      </c>
      <c r="O138" s="4">
        <f t="shared" si="57"/>
        <v>0.1457725947521866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-7.0000001038267792</v>
      </c>
      <c r="C139" s="4">
        <f>E138</f>
        <v>-6.9999998961732208</v>
      </c>
      <c r="D139" s="4">
        <f t="shared" si="47"/>
        <v>-7.0000001038267792</v>
      </c>
      <c r="E139" s="4">
        <f t="shared" si="47"/>
        <v>-6.9999998961732208</v>
      </c>
      <c r="F139" s="4">
        <f t="shared" si="48"/>
        <v>0.1457725947521866</v>
      </c>
      <c r="G139" s="4">
        <f t="shared" si="49"/>
        <v>0.1457725947521866</v>
      </c>
      <c r="H139" s="4" t="str">
        <f t="shared" si="51"/>
        <v>V</v>
      </c>
      <c r="I139" s="4">
        <f t="shared" si="52"/>
        <v>0</v>
      </c>
      <c r="J139" s="4">
        <f t="shared" si="53"/>
        <v>-7.0000001038267792</v>
      </c>
      <c r="K139" s="4">
        <f t="shared" si="54"/>
        <v>-6.9999998961732208</v>
      </c>
      <c r="L139" s="4">
        <f t="shared" si="55"/>
        <v>-7.0000001038267792</v>
      </c>
      <c r="M139" s="4">
        <f t="shared" si="56"/>
        <v>-6.9999998961732208</v>
      </c>
      <c r="N139" s="4">
        <f t="shared" si="57"/>
        <v>0.1457725947521866</v>
      </c>
      <c r="O139" s="4">
        <f t="shared" si="57"/>
        <v>0.1457725947521866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49.999999682162937</v>
      </c>
      <c r="Q140" s="4">
        <f>SUM(Q132:Q139)</f>
        <v>50.000000000000014</v>
      </c>
      <c r="R140" s="4">
        <f>SUM(R132:R139)</f>
        <v>-2.8421709430404007E-14</v>
      </c>
    </row>
    <row r="142" spans="1:18" x14ac:dyDescent="0.25">
      <c r="O142" t="s">
        <v>96</v>
      </c>
      <c r="P142" s="1">
        <f>-1*R140/P140</f>
        <v>5.6843419222146927E-16</v>
      </c>
    </row>
    <row r="143" spans="1:18" x14ac:dyDescent="0.25">
      <c r="O143" t="s">
        <v>97</v>
      </c>
      <c r="P143" s="1">
        <f>Q140/P140</f>
        <v>1.0000000063567416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-7.0000001038267792</v>
      </c>
      <c r="C146" s="9">
        <f>J84</f>
        <v>-6.9999998961732208</v>
      </c>
      <c r="D146" s="9">
        <f t="shared" ref="D146:E153" si="61">I85</f>
        <v>-7.0000001038267792</v>
      </c>
      <c r="E146">
        <f t="shared" si="61"/>
        <v>-6.9999998961732208</v>
      </c>
      <c r="F146" s="4">
        <f>($B$66/$B$65)*(C146-$B$125)</f>
        <v>0.1457725947521866</v>
      </c>
      <c r="G146" s="4">
        <f>($B$66/$B$65)*(E146-$B$125)</f>
        <v>0.1457725947521866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-7.0000001038267792</v>
      </c>
      <c r="K146" s="4">
        <f>IF($F146&gt;=0,C146,IF(AND($F146&lt;0,$G146&gt;=0),$B$125,0))</f>
        <v>-6.9999998961732208</v>
      </c>
      <c r="L146" s="4">
        <f>IF($G146&gt;=0,D146,IF(AND($G146&lt;0,$F146&gt;=0),IF(H146="V",D146,($B$125-I146)/H146),0))</f>
        <v>-7.0000001038267792</v>
      </c>
      <c r="M146" s="4">
        <f>IF($G146&gt;=0,E146,IF(AND($G146&lt;0,$F146&gt;=0),$B$125,0))</f>
        <v>-6.9999998961732208</v>
      </c>
      <c r="N146" s="4">
        <f>IF(F146&lt;0,0,F146)</f>
        <v>0.1457725947521866</v>
      </c>
      <c r="O146" s="4">
        <f>IF(G146&lt;0,0,G146)</f>
        <v>0.1457725947521866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-7.0000001038267792</v>
      </c>
      <c r="C147">
        <f t="shared" si="62"/>
        <v>-6.9999998961732208</v>
      </c>
      <c r="D147" s="9">
        <f t="shared" si="61"/>
        <v>-7.0000001038267792</v>
      </c>
      <c r="E147">
        <f t="shared" si="61"/>
        <v>-6.9999998961732208</v>
      </c>
      <c r="F147" s="4">
        <f t="shared" ref="F147:F153" si="63">($B$66/$B$65)*(C147-$B$125)</f>
        <v>0.1457725947521866</v>
      </c>
      <c r="G147" s="4">
        <f t="shared" ref="G147:G153" si="64">($B$66/$B$65)*(E147-$B$125)</f>
        <v>0.1457725947521866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-7.0000001038267792</v>
      </c>
      <c r="K147" s="4">
        <f t="shared" ref="K147:K153" si="68">IF($F147&gt;=0,C147,IF(AND($F147&lt;0,$G147&gt;=0),$B$125,0))</f>
        <v>-6.9999998961732208</v>
      </c>
      <c r="L147" s="4">
        <f t="shared" ref="L147:L153" si="69">IF($G147&gt;=0,D147,IF(AND($G147&lt;0,$F147&gt;=0),IF(H147="V",D147,($B$125-I147)/H147),0))</f>
        <v>-7.0000001038267792</v>
      </c>
      <c r="M147" s="4">
        <f t="shared" ref="M147:M153" si="70">IF($G147&gt;=0,E147,IF(AND($G147&lt;0,$F147&gt;=0),$B$125,0))</f>
        <v>-6.9999998961732208</v>
      </c>
      <c r="N147" s="4">
        <f t="shared" ref="N147:O153" si="71">IF(F147&lt;0,0,F147)</f>
        <v>0.1457725947521866</v>
      </c>
      <c r="O147" s="4">
        <f t="shared" si="71"/>
        <v>0.1457725947521866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-7.0000001038267792</v>
      </c>
      <c r="C148">
        <f t="shared" si="62"/>
        <v>-6.9999998961732208</v>
      </c>
      <c r="D148" s="9">
        <f t="shared" si="61"/>
        <v>-7.0000001038267792</v>
      </c>
      <c r="E148">
        <f t="shared" si="61"/>
        <v>-6.9999998961732208</v>
      </c>
      <c r="F148" s="4">
        <f t="shared" si="63"/>
        <v>0.1457725947521866</v>
      </c>
      <c r="G148" s="4">
        <f t="shared" si="64"/>
        <v>0.1457725947521866</v>
      </c>
      <c r="H148" s="4" t="str">
        <f t="shared" si="65"/>
        <v>V</v>
      </c>
      <c r="I148" s="4">
        <f t="shared" si="66"/>
        <v>0</v>
      </c>
      <c r="J148" s="4">
        <f t="shared" si="67"/>
        <v>-7.0000001038267792</v>
      </c>
      <c r="K148" s="4">
        <f t="shared" si="68"/>
        <v>-6.9999998961732208</v>
      </c>
      <c r="L148" s="4">
        <f t="shared" si="69"/>
        <v>-7.0000001038267792</v>
      </c>
      <c r="M148" s="4">
        <f t="shared" si="70"/>
        <v>-6.9999998961732208</v>
      </c>
      <c r="N148" s="4">
        <f t="shared" si="71"/>
        <v>0.1457725947521866</v>
      </c>
      <c r="O148" s="4">
        <f t="shared" si="71"/>
        <v>0.1457725947521866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-7.0000001038267792</v>
      </c>
      <c r="C149">
        <f t="shared" si="62"/>
        <v>-6.9999998961732208</v>
      </c>
      <c r="D149" s="9">
        <f t="shared" si="61"/>
        <v>-7.0000001038267792</v>
      </c>
      <c r="E149">
        <f t="shared" si="61"/>
        <v>-6.9999998961732208</v>
      </c>
      <c r="F149" s="4">
        <f t="shared" si="63"/>
        <v>0.1457725947521866</v>
      </c>
      <c r="G149" s="4">
        <f t="shared" si="64"/>
        <v>0.1457725947521866</v>
      </c>
      <c r="H149" s="4" t="str">
        <f t="shared" si="65"/>
        <v>V</v>
      </c>
      <c r="I149" s="4">
        <f t="shared" si="66"/>
        <v>0</v>
      </c>
      <c r="J149" s="4">
        <f t="shared" si="67"/>
        <v>-7.0000001038267792</v>
      </c>
      <c r="K149" s="4">
        <f t="shared" si="68"/>
        <v>-6.9999998961732208</v>
      </c>
      <c r="L149" s="4">
        <f t="shared" si="69"/>
        <v>-7.0000001038267792</v>
      </c>
      <c r="M149" s="4">
        <f t="shared" si="70"/>
        <v>-6.9999998961732208</v>
      </c>
      <c r="N149" s="4">
        <f t="shared" si="71"/>
        <v>0.1457725947521866</v>
      </c>
      <c r="O149" s="4">
        <f t="shared" si="71"/>
        <v>0.1457725947521866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-7.0000001038267792</v>
      </c>
      <c r="C150">
        <f t="shared" si="62"/>
        <v>-6.9999998961732208</v>
      </c>
      <c r="D150" s="9">
        <f t="shared" si="61"/>
        <v>-7.0000001038267792</v>
      </c>
      <c r="E150">
        <f t="shared" si="61"/>
        <v>-6.9999998961732208</v>
      </c>
      <c r="F150" s="4">
        <f t="shared" si="63"/>
        <v>0.1457725947521866</v>
      </c>
      <c r="G150" s="4">
        <f t="shared" si="64"/>
        <v>0.1457725947521866</v>
      </c>
      <c r="H150" s="4" t="str">
        <f t="shared" si="65"/>
        <v>V</v>
      </c>
      <c r="I150" s="4">
        <f t="shared" si="66"/>
        <v>0</v>
      </c>
      <c r="J150" s="4">
        <f t="shared" si="67"/>
        <v>-7.0000001038267792</v>
      </c>
      <c r="K150" s="4">
        <f t="shared" si="68"/>
        <v>-6.9999998961732208</v>
      </c>
      <c r="L150" s="4">
        <f t="shared" si="69"/>
        <v>-7.0000001038267792</v>
      </c>
      <c r="M150" s="4">
        <f t="shared" si="70"/>
        <v>-6.9999998961732208</v>
      </c>
      <c r="N150" s="4">
        <f t="shared" si="71"/>
        <v>0.1457725947521866</v>
      </c>
      <c r="O150" s="4">
        <f t="shared" si="71"/>
        <v>0.1457725947521866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-7.0000001038267792</v>
      </c>
      <c r="C151">
        <f t="shared" si="62"/>
        <v>-6.9999998961732208</v>
      </c>
      <c r="D151" s="9">
        <f t="shared" si="61"/>
        <v>-7.0000001038267792</v>
      </c>
      <c r="E151">
        <f t="shared" si="61"/>
        <v>-6.9999998961732208</v>
      </c>
      <c r="F151" s="4">
        <f t="shared" si="63"/>
        <v>0.1457725947521866</v>
      </c>
      <c r="G151" s="4">
        <f t="shared" si="64"/>
        <v>0.1457725947521866</v>
      </c>
      <c r="H151" s="4" t="str">
        <f t="shared" si="65"/>
        <v>V</v>
      </c>
      <c r="I151" s="4">
        <f t="shared" si="66"/>
        <v>0</v>
      </c>
      <c r="J151" s="4">
        <f t="shared" si="67"/>
        <v>-7.0000001038267792</v>
      </c>
      <c r="K151" s="4">
        <f t="shared" si="68"/>
        <v>-6.9999998961732208</v>
      </c>
      <c r="L151" s="4">
        <f t="shared" si="69"/>
        <v>-7.0000001038267792</v>
      </c>
      <c r="M151" s="4">
        <f t="shared" si="70"/>
        <v>-6.9999998961732208</v>
      </c>
      <c r="N151" s="4">
        <f t="shared" si="71"/>
        <v>0.1457725947521866</v>
      </c>
      <c r="O151" s="4">
        <f t="shared" si="71"/>
        <v>0.1457725947521866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-7.0000001038267792</v>
      </c>
      <c r="C152">
        <f t="shared" si="62"/>
        <v>-6.9999998961732208</v>
      </c>
      <c r="D152" s="9">
        <f t="shared" si="61"/>
        <v>-7.0000001038267792</v>
      </c>
      <c r="E152">
        <f t="shared" si="61"/>
        <v>-6.9999998961732208</v>
      </c>
      <c r="F152" s="4">
        <f t="shared" si="63"/>
        <v>0.1457725947521866</v>
      </c>
      <c r="G152" s="4">
        <f t="shared" si="64"/>
        <v>0.1457725947521866</v>
      </c>
      <c r="H152" s="4" t="str">
        <f t="shared" si="65"/>
        <v>V</v>
      </c>
      <c r="I152" s="4">
        <f t="shared" si="66"/>
        <v>0</v>
      </c>
      <c r="J152" s="4">
        <f t="shared" si="67"/>
        <v>-7.0000001038267792</v>
      </c>
      <c r="K152" s="4">
        <f t="shared" si="68"/>
        <v>-6.9999998961732208</v>
      </c>
      <c r="L152" s="4">
        <f t="shared" si="69"/>
        <v>-7.0000001038267792</v>
      </c>
      <c r="M152" s="4">
        <f t="shared" si="70"/>
        <v>-6.9999998961732208</v>
      </c>
      <c r="N152" s="4">
        <f t="shared" si="71"/>
        <v>0.1457725947521866</v>
      </c>
      <c r="O152" s="4">
        <f t="shared" si="71"/>
        <v>0.1457725947521866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-7.0000001038267792</v>
      </c>
      <c r="C153">
        <f t="shared" si="62"/>
        <v>-6.9999998961732208</v>
      </c>
      <c r="D153" s="9">
        <f t="shared" si="61"/>
        <v>-7.0000001038267792</v>
      </c>
      <c r="E153">
        <f t="shared" si="61"/>
        <v>-6.9999998961732208</v>
      </c>
      <c r="F153" s="4">
        <f t="shared" si="63"/>
        <v>0.1457725947521866</v>
      </c>
      <c r="G153" s="4">
        <f t="shared" si="64"/>
        <v>0.1457725947521866</v>
      </c>
      <c r="H153" s="4" t="str">
        <f t="shared" si="65"/>
        <v>V</v>
      </c>
      <c r="I153" s="4">
        <f t="shared" si="66"/>
        <v>0</v>
      </c>
      <c r="J153" s="4">
        <f t="shared" si="67"/>
        <v>-7.0000001038267792</v>
      </c>
      <c r="K153" s="4">
        <f t="shared" si="68"/>
        <v>-6.9999998961732208</v>
      </c>
      <c r="L153" s="4">
        <f t="shared" si="69"/>
        <v>-7.0000001038267792</v>
      </c>
      <c r="M153" s="4">
        <f t="shared" si="70"/>
        <v>-6.9999998961732208</v>
      </c>
      <c r="N153" s="4">
        <f t="shared" si="71"/>
        <v>0.1457725947521866</v>
      </c>
      <c r="O153" s="4">
        <f t="shared" si="71"/>
        <v>0.1457725947521866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49.999999682162937</v>
      </c>
      <c r="C159" t="s">
        <v>36</v>
      </c>
    </row>
    <row r="160" spans="1:18" x14ac:dyDescent="0.25">
      <c r="A160" s="1" t="s">
        <v>106</v>
      </c>
      <c r="B160" s="4">
        <f>Q140+I122+Q154-O122</f>
        <v>50.000000000000014</v>
      </c>
      <c r="C160" t="s">
        <v>102</v>
      </c>
    </row>
    <row r="161" spans="1:9" x14ac:dyDescent="0.25">
      <c r="A161" s="1" t="s">
        <v>107</v>
      </c>
      <c r="B161" s="4">
        <f>R140+J122+R154-P122</f>
        <v>-2.8421709430404007E-14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49.999999682162937</v>
      </c>
      <c r="C164" t="s">
        <v>36</v>
      </c>
      <c r="E164" s="8">
        <f>B2-B164</f>
        <v>3.178370633349914E-7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50.000000000000014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7.4161982028785708E-7</v>
      </c>
      <c r="C166" t="s">
        <v>102</v>
      </c>
      <c r="E166" s="8">
        <f>B4+B166</f>
        <v>7.4161982028785708E-7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2.2E-16</v>
      </c>
      <c r="C175" s="27">
        <f>B65*SQRT(I175)</f>
        <v>3.4608926273113096E-7</v>
      </c>
      <c r="D175" s="27">
        <f>B66*SQRT(I175)</f>
        <v>5.4053924833058761E-9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1.4832397194191325E-8</v>
      </c>
      <c r="C176" s="3">
        <f>B65+C175</f>
        <v>23.333333679422598</v>
      </c>
      <c r="D176" s="3">
        <f>D175+B66</f>
        <v>0.36443149228585892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2.1999999973925744E-16</v>
      </c>
      <c r="C177" s="27">
        <f>C176-B65</f>
        <v>3.460892621376388E-7</v>
      </c>
      <c r="D177" s="27">
        <f>D176-B66</f>
        <v>5.4053924669617004E-9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471939905.89660686</v>
      </c>
      <c r="B181" s="25">
        <f>(d_alpha_p!E136-d_alpha_m!E136)/(2*B177)</f>
        <v>471939905.89660686</v>
      </c>
      <c r="C181" s="25">
        <f>(d_alpha_p!E137-d_alpha_m!E137)/(2*B177)</f>
        <v>471939905.89660686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-3.178370633349914E-7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0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-7.4161982028785708E-7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-0.36443148688046645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471939905.89660686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471939905.89660686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471939905.89660686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471939905.89660686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471939905.89660686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471939905.89660686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-1.4832396974191326E-8</v>
      </c>
      <c r="C64" t="s">
        <v>19</v>
      </c>
      <c r="D64" t="s">
        <v>34</v>
      </c>
      <c r="H64" s="17">
        <f>DEGREES(B64)</f>
        <v>-8.4983374668377562E-7</v>
      </c>
      <c r="I64" t="s">
        <v>41</v>
      </c>
    </row>
    <row r="65" spans="1:18" x14ac:dyDescent="0.25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-8.0000001038267783</v>
      </c>
      <c r="R76">
        <f>Q76</f>
        <v>-8.0000001038267783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8.0000001038267783</v>
      </c>
      <c r="R77">
        <f>Q77</f>
        <v>8.0000001038267783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-6.9999998961732208</v>
      </c>
      <c r="C84" s="1">
        <f t="shared" ref="C84:C92" si="23">(-1*B73*SIN($B$64))+(C73*COS($B$64))</f>
        <v>-7.0000001038267792</v>
      </c>
      <c r="H84" s="1">
        <f t="shared" ref="H84:H92" si="24">H73</f>
        <v>1</v>
      </c>
      <c r="I84" s="4">
        <f>(I73*COS($B$64))+(J73*SIN($B$64))</f>
        <v>-6.9999998961732208</v>
      </c>
      <c r="J84" s="1">
        <f>(-1*I73*SIN($B$64))+(J73*COS($B$64))</f>
        <v>-7.0000001038267792</v>
      </c>
    </row>
    <row r="85" spans="1:10" x14ac:dyDescent="0.25">
      <c r="A85" s="1">
        <f t="shared" si="21"/>
        <v>2</v>
      </c>
      <c r="B85" s="4">
        <f t="shared" si="22"/>
        <v>7.0000001038267792</v>
      </c>
      <c r="C85" s="1">
        <f t="shared" si="23"/>
        <v>-6.9999998961732208</v>
      </c>
      <c r="H85" s="1">
        <f t="shared" si="24"/>
        <v>2</v>
      </c>
      <c r="I85" s="4">
        <f t="shared" ref="I85:I92" si="25">(I74*COS($B$64))+(J74*SIN($B$64))</f>
        <v>-6.9999998961732208</v>
      </c>
      <c r="J85" s="1">
        <f t="shared" ref="J85:J92" si="26">(-1*I74*SIN($B$64))+(J74*COS($B$64))</f>
        <v>-7.0000001038267792</v>
      </c>
    </row>
    <row r="86" spans="1:10" x14ac:dyDescent="0.25">
      <c r="A86" s="1">
        <f t="shared" si="21"/>
        <v>3</v>
      </c>
      <c r="B86" s="4">
        <f t="shared" si="22"/>
        <v>6.9999998961732208</v>
      </c>
      <c r="C86" s="1">
        <f t="shared" si="23"/>
        <v>7.0000001038267792</v>
      </c>
      <c r="H86" s="1">
        <f t="shared" si="24"/>
        <v>3</v>
      </c>
      <c r="I86" s="4">
        <f t="shared" si="25"/>
        <v>-6.9999998961732208</v>
      </c>
      <c r="J86" s="1">
        <f t="shared" si="26"/>
        <v>-7.0000001038267792</v>
      </c>
    </row>
    <row r="87" spans="1:10" x14ac:dyDescent="0.25">
      <c r="A87" s="1">
        <f t="shared" si="21"/>
        <v>4</v>
      </c>
      <c r="B87" s="4">
        <f t="shared" si="22"/>
        <v>-7.0000001038267792</v>
      </c>
      <c r="C87" s="1">
        <f t="shared" si="23"/>
        <v>6.9999998961732208</v>
      </c>
      <c r="H87" s="1">
        <f t="shared" si="24"/>
        <v>4</v>
      </c>
      <c r="I87" s="4">
        <f t="shared" si="25"/>
        <v>-6.9999998961732208</v>
      </c>
      <c r="J87" s="1">
        <f t="shared" si="26"/>
        <v>-7.0000001038267792</v>
      </c>
    </row>
    <row r="88" spans="1:10" x14ac:dyDescent="0.25">
      <c r="A88" s="1">
        <f t="shared" si="21"/>
        <v>5</v>
      </c>
      <c r="B88" s="4">
        <f t="shared" si="22"/>
        <v>-6.9999998961732208</v>
      </c>
      <c r="C88" s="1">
        <f t="shared" si="23"/>
        <v>-7.0000001038267792</v>
      </c>
      <c r="H88" s="1">
        <f t="shared" si="24"/>
        <v>5</v>
      </c>
      <c r="I88" s="4">
        <f t="shared" si="25"/>
        <v>-6.9999998961732208</v>
      </c>
      <c r="J88" s="1">
        <f t="shared" si="26"/>
        <v>-7.0000001038267792</v>
      </c>
    </row>
    <row r="89" spans="1:10" x14ac:dyDescent="0.25">
      <c r="A89" s="1">
        <f t="shared" si="21"/>
        <v>6</v>
      </c>
      <c r="B89" s="4">
        <f t="shared" si="22"/>
        <v>-6.9999998961732208</v>
      </c>
      <c r="C89" s="1">
        <f t="shared" si="23"/>
        <v>-7.0000001038267792</v>
      </c>
      <c r="H89" s="1">
        <f t="shared" si="24"/>
        <v>6</v>
      </c>
      <c r="I89" s="4">
        <f t="shared" si="25"/>
        <v>-6.9999998961732208</v>
      </c>
      <c r="J89" s="1">
        <f t="shared" si="26"/>
        <v>-7.0000001038267792</v>
      </c>
    </row>
    <row r="90" spans="1:10" x14ac:dyDescent="0.25">
      <c r="A90" s="1">
        <f t="shared" si="21"/>
        <v>7</v>
      </c>
      <c r="B90" s="4">
        <f t="shared" si="22"/>
        <v>-6.9999998961732208</v>
      </c>
      <c r="C90" s="1">
        <f t="shared" si="23"/>
        <v>-7.0000001038267792</v>
      </c>
      <c r="H90" s="1">
        <f t="shared" si="24"/>
        <v>7</v>
      </c>
      <c r="I90" s="4">
        <f t="shared" si="25"/>
        <v>-6.9999998961732208</v>
      </c>
      <c r="J90" s="1">
        <f t="shared" si="26"/>
        <v>-7.0000001038267792</v>
      </c>
    </row>
    <row r="91" spans="1:10" x14ac:dyDescent="0.25">
      <c r="A91" s="1">
        <f t="shared" si="21"/>
        <v>8</v>
      </c>
      <c r="B91" s="4">
        <f t="shared" si="22"/>
        <v>-6.9999998961732208</v>
      </c>
      <c r="C91" s="1">
        <f t="shared" si="23"/>
        <v>-7.0000001038267792</v>
      </c>
      <c r="H91" s="1">
        <f t="shared" si="24"/>
        <v>8</v>
      </c>
      <c r="I91" s="4">
        <f t="shared" si="25"/>
        <v>-6.9999998961732208</v>
      </c>
      <c r="J91" s="1">
        <f t="shared" si="26"/>
        <v>-7.0000001038267792</v>
      </c>
    </row>
    <row r="92" spans="1:10" x14ac:dyDescent="0.25">
      <c r="A92" s="1">
        <f t="shared" si="21"/>
        <v>9</v>
      </c>
      <c r="B92" s="4">
        <f t="shared" si="22"/>
        <v>-6.9999998961732208</v>
      </c>
      <c r="C92" s="1">
        <f t="shared" si="23"/>
        <v>-7.0000001038267792</v>
      </c>
      <c r="H92" s="1">
        <f t="shared" si="24"/>
        <v>9</v>
      </c>
      <c r="I92" s="4">
        <f t="shared" si="25"/>
        <v>-6.9999998961732208</v>
      </c>
      <c r="J92" s="1">
        <f t="shared" si="26"/>
        <v>-7.0000001038267792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-4.999999925838015</v>
      </c>
      <c r="C110" s="1">
        <f>(-1*B95*SIN($B$64))+(C95*COS($B$64))</f>
        <v>-5.000000074161985</v>
      </c>
      <c r="D110" t="str">
        <f t="shared" ref="D110" si="31">D95</f>
        <v>y</v>
      </c>
      <c r="E110" s="4">
        <f t="shared" ref="E110:E121" si="32">IF($D110="y",$B$125-C110,0)</f>
        <v>-11.333333155344572</v>
      </c>
      <c r="F110" s="1">
        <f>IF($D110="y",B110,NA())</f>
        <v>-4.999999925838015</v>
      </c>
      <c r="G110" s="1">
        <f>IF($D110="y",C110,NA())</f>
        <v>-5.000000074161985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4.3445601841152301E-5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5.000000074161985</v>
      </c>
      <c r="C111" s="1">
        <f t="shared" ref="C111:C121" si="37">(-1*B96*SIN($B$64))+(C96*COS($B$64))</f>
        <v>-4.999999925838015</v>
      </c>
      <c r="D111" t="str">
        <f t="shared" si="35"/>
        <v>y</v>
      </c>
      <c r="E111" s="4">
        <f t="shared" si="32"/>
        <v>-11.333333303668542</v>
      </c>
      <c r="F111" s="1">
        <f t="shared" ref="F111:G121" si="38">IF($D111="y",B111,NA())</f>
        <v>5.000000074161985</v>
      </c>
      <c r="G111" s="1">
        <f t="shared" si="38"/>
        <v>-4.999999925838015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4.3445602409742676E-5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-5.0000000444971908</v>
      </c>
      <c r="C112" s="1">
        <f t="shared" si="37"/>
        <v>2.999999925838015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4.9999999555028092</v>
      </c>
      <c r="C113" s="1">
        <f t="shared" si="37"/>
        <v>3.000000074161985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-5.000000074161985</v>
      </c>
      <c r="C114" s="1">
        <f t="shared" si="37"/>
        <v>4.999999925838015</v>
      </c>
      <c r="D114" t="str">
        <f t="shared" si="35"/>
        <v>y</v>
      </c>
      <c r="E114" s="4">
        <f t="shared" si="32"/>
        <v>-21.333333155344572</v>
      </c>
      <c r="F114" s="1">
        <f t="shared" si="38"/>
        <v>-5.000000074161985</v>
      </c>
      <c r="G114" s="1">
        <f t="shared" si="38"/>
        <v>4.999999925838015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8.1779957008911778E-5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4.999999925838015</v>
      </c>
      <c r="C115" s="1">
        <f t="shared" si="37"/>
        <v>5.000000074161985</v>
      </c>
      <c r="D115" t="str">
        <f t="shared" si="35"/>
        <v>y</v>
      </c>
      <c r="E115" s="4">
        <f t="shared" si="32"/>
        <v>-21.333333303668542</v>
      </c>
      <c r="F115" s="1">
        <f t="shared" si="38"/>
        <v>4.999999925838015</v>
      </c>
      <c r="G115" s="1">
        <f t="shared" si="38"/>
        <v>5.000000074161985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8.1779957577502146E-5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-6.9999998961732208</v>
      </c>
      <c r="C116" s="1">
        <f t="shared" si="37"/>
        <v>-7.0000001038267792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-6.9999998961732208</v>
      </c>
      <c r="C117" s="1">
        <f t="shared" si="37"/>
        <v>-7.0000001038267792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-6.9999998961732208</v>
      </c>
      <c r="C118" s="1">
        <f t="shared" si="37"/>
        <v>-7.0000001038267792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-6.9999998961732208</v>
      </c>
      <c r="C119" s="1">
        <f t="shared" si="37"/>
        <v>-7.0000001038267792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-6.9999998961732208</v>
      </c>
      <c r="C120" s="1">
        <f t="shared" si="37"/>
        <v>-7.0000001038267792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-6.9999998961732208</v>
      </c>
      <c r="C121" s="1">
        <f t="shared" si="37"/>
        <v>-7.0000001038267792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-16.333333229506557</v>
      </c>
      <c r="F125" s="1" t="s">
        <v>27</v>
      </c>
      <c r="G125" s="1" t="s">
        <v>28</v>
      </c>
    </row>
    <row r="126" spans="1:16" x14ac:dyDescent="0.25">
      <c r="F126" s="4">
        <f>MIN(B84:B90)-1</f>
        <v>-8.0000001038267783</v>
      </c>
      <c r="G126" s="4">
        <f>B125</f>
        <v>-16.333333229506557</v>
      </c>
    </row>
    <row r="127" spans="1:16" x14ac:dyDescent="0.25">
      <c r="F127" s="4">
        <f>MAX(B84:B90)+1</f>
        <v>8.0000001038267783</v>
      </c>
      <c r="G127" s="4">
        <f>G126</f>
        <v>-16.333333229506557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-6.9999998961732208</v>
      </c>
      <c r="C132" s="4">
        <f>C84</f>
        <v>-7.0000001038267792</v>
      </c>
      <c r="D132" s="4">
        <f t="shared" ref="D132:E139" si="47">B85</f>
        <v>7.0000001038267792</v>
      </c>
      <c r="E132" s="4">
        <f t="shared" si="47"/>
        <v>-6.9999998961732208</v>
      </c>
      <c r="F132" s="4">
        <f t="shared" ref="F132:F139" si="48">($B$66/$B$65)*(C132-$B$125)</f>
        <v>0.14577259150895114</v>
      </c>
      <c r="G132" s="4">
        <f t="shared" ref="G132:G139" si="49">($B$66/$B$65)*(E132-$B$125)</f>
        <v>0.1457725947521866</v>
      </c>
      <c r="H132" s="4">
        <f>IF(B132=D132,"V",(C132-E132)/(B132-D132))</f>
        <v>1.4832397024885528E-8</v>
      </c>
      <c r="I132" s="4">
        <f>IF(H132="V",0,(-1*B132*H132)+C132)</f>
        <v>-7.0000000000000018</v>
      </c>
      <c r="J132" s="4">
        <f>IF($F132&gt;=0,B132,IF(AND($F132&lt;0,$G132&gt;=0),IF(H132="V",B132,($B$125-I132)/H132),0))</f>
        <v>-6.9999998961732208</v>
      </c>
      <c r="K132" s="4">
        <f>IF($F132&gt;=0,C132,IF(AND($F132&lt;0,$G132&gt;=0),$B$125,0))</f>
        <v>-7.0000001038267792</v>
      </c>
      <c r="L132" s="4">
        <f>IF($G132&gt;=0,D132,IF(AND($G132&lt;0,$F132&gt;=0),IF(H132="V",D132,($B$125-I132)/H132),0))</f>
        <v>7.0000001038267792</v>
      </c>
      <c r="M132" s="4">
        <f>IF($G132&gt;=0,E132,IF(AND($G132&lt;0,$F132&gt;=0),$B$125,0))</f>
        <v>-6.9999998961732208</v>
      </c>
      <c r="N132" s="4">
        <f>IF(F132&lt;0,0,F132)</f>
        <v>0.14577259150895114</v>
      </c>
      <c r="O132" s="4">
        <f>IF(G132&lt;0,0,G132)</f>
        <v>0.1457725947521866</v>
      </c>
      <c r="P132" s="4">
        <f>(1/6)*(M132-K132)*((N132*((2*J132)+L132))+(O132*(J132+(2*L132))))</f>
        <v>3.9285714109079533E-15</v>
      </c>
      <c r="Q132" s="4">
        <f>((1/12)*(M132-K132)*(N132*J132*((3*K132)+M132)+N132*L132*(K132+M132)+O132*J132*(K132+M132)+O132*L132*(K132+(3*M132))))</f>
        <v>-2.0166666541669054E-14</v>
      </c>
      <c r="R132" s="4">
        <f>((-1/24)*(M132-K132)*(J132*J132*((3*N132)+O132)+2*J132*L132*(N132+O132)+L132*L132*(N132+(3*O132))))</f>
        <v>-2.4720661433142573E-7</v>
      </c>
    </row>
    <row r="133" spans="1:18" x14ac:dyDescent="0.25">
      <c r="A133" t="s">
        <v>70</v>
      </c>
      <c r="B133" s="4">
        <f t="shared" ref="B133:C138" si="50">D132</f>
        <v>7.0000001038267792</v>
      </c>
      <c r="C133" s="4">
        <f t="shared" si="50"/>
        <v>-6.9999998961732208</v>
      </c>
      <c r="D133" s="4">
        <f t="shared" si="47"/>
        <v>6.9999998961732208</v>
      </c>
      <c r="E133" s="4">
        <f t="shared" si="47"/>
        <v>7.0000001038267792</v>
      </c>
      <c r="F133" s="4">
        <f t="shared" si="48"/>
        <v>0.1457725947521866</v>
      </c>
      <c r="G133" s="4">
        <f t="shared" si="49"/>
        <v>0.36443148688046645</v>
      </c>
      <c r="H133" s="4">
        <f t="shared" ref="H133:H139" si="51">IF(B133=D133,"V",(C133-E133)/(B133-D133))</f>
        <v>-67419986.015896022</v>
      </c>
      <c r="I133" s="4">
        <f t="shared" ref="I133:I139" si="52">IF(H133="V",0,(-1*B133*H133)+C133)</f>
        <v>471939902.11127228</v>
      </c>
      <c r="J133" s="4">
        <f t="shared" ref="J133:J139" si="53">IF($F133&gt;=0,B133,IF(AND($F133&lt;0,$G133&gt;=0),IF(H133="V",B133,($B$125-I133)/H133),0))</f>
        <v>7.0000001038267792</v>
      </c>
      <c r="K133" s="4">
        <f t="shared" ref="K133:K139" si="54">IF($F133&gt;=0,C133,IF(AND($F133&lt;0,$G133&gt;=0),$B$125,0))</f>
        <v>-6.9999998961732208</v>
      </c>
      <c r="L133" s="4">
        <f t="shared" ref="L133:L139" si="55">IF($G133&gt;=0,D133,IF(AND($G133&lt;0,$F133&gt;=0),IF(H133="V",D133,($B$125-I133)/H133),0))</f>
        <v>6.9999998961732208</v>
      </c>
      <c r="M133" s="4">
        <f t="shared" ref="M133:M139" si="56">IF($G133&gt;=0,E133,IF(AND($G133&lt;0,$F133&gt;=0),$B$125,0))</f>
        <v>7.0000001038267792</v>
      </c>
      <c r="N133" s="4">
        <f t="shared" ref="N133:O139" si="57">IF(F133&lt;0,0,F133)</f>
        <v>0.1457725947521866</v>
      </c>
      <c r="O133" s="4">
        <f t="shared" si="57"/>
        <v>0.36443148688046645</v>
      </c>
      <c r="P133" s="4">
        <f t="shared" ref="P133:P139" si="58">(1/6)*(M133-K133)*((N133*((2*J133)+L133))+(O133*(J133+(2*L133))))</f>
        <v>24.999999947027153</v>
      </c>
      <c r="Q133" s="4">
        <f t="shared" ref="Q133:Q139" si="59">((1/12)*(M133-K133)*(N133*J133*((3*K133)+M133)+N133*L133*(K133+M133)+O133*J133*(K133+M133)+O133*L133*(K133+(3*M133))))</f>
        <v>25.000001730446307</v>
      </c>
      <c r="R133" s="4">
        <f t="shared" ref="R133:R139" si="60">((-1/24)*(M133-K133)*(J133*J133*((3*N133)+O133)+2*J133*L133*(N133+O133)+L133*L133*(N133+(3*O133))))</f>
        <v>-87.499999629190071</v>
      </c>
    </row>
    <row r="134" spans="1:18" x14ac:dyDescent="0.25">
      <c r="A134" t="s">
        <v>71</v>
      </c>
      <c r="B134" s="4">
        <f t="shared" si="50"/>
        <v>6.9999998961732208</v>
      </c>
      <c r="C134" s="4">
        <f t="shared" si="50"/>
        <v>7.0000001038267792</v>
      </c>
      <c r="D134" s="4">
        <f t="shared" si="47"/>
        <v>-7.0000001038267792</v>
      </c>
      <c r="E134" s="4">
        <f t="shared" si="47"/>
        <v>6.9999998961732208</v>
      </c>
      <c r="F134" s="4">
        <f t="shared" si="48"/>
        <v>0.36443148688046645</v>
      </c>
      <c r="G134" s="4">
        <f t="shared" si="49"/>
        <v>0.36443148363723099</v>
      </c>
      <c r="H134" s="4">
        <f t="shared" si="51"/>
        <v>1.4832397024885528E-8</v>
      </c>
      <c r="I134" s="4">
        <f t="shared" si="52"/>
        <v>7.0000000000000018</v>
      </c>
      <c r="J134" s="4">
        <f t="shared" si="53"/>
        <v>6.9999998961732208</v>
      </c>
      <c r="K134" s="4">
        <f t="shared" si="54"/>
        <v>7.0000001038267792</v>
      </c>
      <c r="L134" s="4">
        <f t="shared" si="55"/>
        <v>-7.0000001038267792</v>
      </c>
      <c r="M134" s="4">
        <f t="shared" si="56"/>
        <v>6.9999998961732208</v>
      </c>
      <c r="N134" s="4">
        <f t="shared" si="57"/>
        <v>0.36443148688046645</v>
      </c>
      <c r="O134" s="4">
        <f t="shared" si="57"/>
        <v>0.36443148363723099</v>
      </c>
      <c r="P134" s="4">
        <f t="shared" si="58"/>
        <v>7.0714286026490644E-15</v>
      </c>
      <c r="Q134" s="4">
        <f t="shared" si="59"/>
        <v>3.116666680882201E-14</v>
      </c>
      <c r="R134" s="4">
        <f t="shared" si="60"/>
        <v>6.1801653995356398E-7</v>
      </c>
    </row>
    <row r="135" spans="1:18" x14ac:dyDescent="0.25">
      <c r="A135" t="s">
        <v>72</v>
      </c>
      <c r="B135" s="4">
        <f t="shared" si="50"/>
        <v>-7.0000001038267792</v>
      </c>
      <c r="C135" s="4">
        <f t="shared" si="50"/>
        <v>6.9999998961732208</v>
      </c>
      <c r="D135" s="4">
        <f t="shared" si="47"/>
        <v>-6.9999998961732208</v>
      </c>
      <c r="E135" s="4">
        <f t="shared" si="47"/>
        <v>-7.0000001038267792</v>
      </c>
      <c r="F135" s="4">
        <f t="shared" si="48"/>
        <v>0.36443148363723099</v>
      </c>
      <c r="G135" s="4">
        <f t="shared" si="49"/>
        <v>0.14577259150895114</v>
      </c>
      <c r="H135" s="4">
        <f t="shared" si="51"/>
        <v>-67419986.015896022</v>
      </c>
      <c r="I135" s="4">
        <f t="shared" si="52"/>
        <v>-471939902.11127228</v>
      </c>
      <c r="J135" s="4">
        <f t="shared" si="53"/>
        <v>-7.0000001038267792</v>
      </c>
      <c r="K135" s="4">
        <f t="shared" si="54"/>
        <v>6.9999998961732208</v>
      </c>
      <c r="L135" s="4">
        <f t="shared" si="55"/>
        <v>-6.9999998961732208</v>
      </c>
      <c r="M135" s="4">
        <f t="shared" si="56"/>
        <v>-7.0000001038267792</v>
      </c>
      <c r="N135" s="4">
        <f t="shared" si="57"/>
        <v>0.36443148363723099</v>
      </c>
      <c r="O135" s="4">
        <f t="shared" si="57"/>
        <v>0.14577259150895114</v>
      </c>
      <c r="P135" s="4">
        <f t="shared" si="58"/>
        <v>24.99999973513577</v>
      </c>
      <c r="Q135" s="4">
        <f t="shared" si="59"/>
        <v>24.9999982695537</v>
      </c>
      <c r="R135" s="4">
        <f t="shared" si="60"/>
        <v>87.499999258380157</v>
      </c>
    </row>
    <row r="136" spans="1:18" x14ac:dyDescent="0.25">
      <c r="A136" t="s">
        <v>73</v>
      </c>
      <c r="B136" s="4">
        <f t="shared" si="50"/>
        <v>-6.9999998961732208</v>
      </c>
      <c r="C136" s="4">
        <f t="shared" si="50"/>
        <v>-7.0000001038267792</v>
      </c>
      <c r="D136" s="4">
        <f t="shared" si="47"/>
        <v>-6.9999998961732208</v>
      </c>
      <c r="E136" s="4">
        <f t="shared" si="47"/>
        <v>-7.0000001038267792</v>
      </c>
      <c r="F136" s="4">
        <f t="shared" si="48"/>
        <v>0.14577259150895114</v>
      </c>
      <c r="G136" s="4">
        <f t="shared" si="49"/>
        <v>0.14577259150895114</v>
      </c>
      <c r="H136" s="4" t="str">
        <f t="shared" si="51"/>
        <v>V</v>
      </c>
      <c r="I136" s="4">
        <f t="shared" si="52"/>
        <v>0</v>
      </c>
      <c r="J136" s="4">
        <f t="shared" si="53"/>
        <v>-6.9999998961732208</v>
      </c>
      <c r="K136" s="4">
        <f t="shared" si="54"/>
        <v>-7.0000001038267792</v>
      </c>
      <c r="L136" s="4">
        <f t="shared" si="55"/>
        <v>-6.9999998961732208</v>
      </c>
      <c r="M136" s="4">
        <f t="shared" si="56"/>
        <v>-7.0000001038267792</v>
      </c>
      <c r="N136" s="4">
        <f t="shared" si="57"/>
        <v>0.14577259150895114</v>
      </c>
      <c r="O136" s="4">
        <f t="shared" si="57"/>
        <v>0.14577259150895114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-6.9999998961732208</v>
      </c>
      <c r="C137" s="4">
        <f t="shared" si="50"/>
        <v>-7.0000001038267792</v>
      </c>
      <c r="D137" s="4">
        <f t="shared" si="47"/>
        <v>-6.9999998961732208</v>
      </c>
      <c r="E137" s="4">
        <f t="shared" si="47"/>
        <v>-7.0000001038267792</v>
      </c>
      <c r="F137" s="4">
        <f t="shared" si="48"/>
        <v>0.14577259150895114</v>
      </c>
      <c r="G137" s="4">
        <f t="shared" si="49"/>
        <v>0.14577259150895114</v>
      </c>
      <c r="H137" s="4" t="str">
        <f t="shared" si="51"/>
        <v>V</v>
      </c>
      <c r="I137" s="4">
        <f t="shared" si="52"/>
        <v>0</v>
      </c>
      <c r="J137" s="4">
        <f t="shared" si="53"/>
        <v>-6.9999998961732208</v>
      </c>
      <c r="K137" s="4">
        <f t="shared" si="54"/>
        <v>-7.0000001038267792</v>
      </c>
      <c r="L137" s="4">
        <f t="shared" si="55"/>
        <v>-6.9999998961732208</v>
      </c>
      <c r="M137" s="4">
        <f t="shared" si="56"/>
        <v>-7.0000001038267792</v>
      </c>
      <c r="N137" s="4">
        <f t="shared" si="57"/>
        <v>0.14577259150895114</v>
      </c>
      <c r="O137" s="4">
        <f t="shared" si="57"/>
        <v>0.14577259150895114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-6.9999998961732208</v>
      </c>
      <c r="C138" s="4">
        <f t="shared" si="50"/>
        <v>-7.0000001038267792</v>
      </c>
      <c r="D138" s="4">
        <f t="shared" si="47"/>
        <v>-6.9999998961732208</v>
      </c>
      <c r="E138" s="4">
        <f t="shared" si="47"/>
        <v>-7.0000001038267792</v>
      </c>
      <c r="F138" s="4">
        <f t="shared" si="48"/>
        <v>0.14577259150895114</v>
      </c>
      <c r="G138" s="4">
        <f t="shared" si="49"/>
        <v>0.14577259150895114</v>
      </c>
      <c r="H138" s="4" t="str">
        <f t="shared" si="51"/>
        <v>V</v>
      </c>
      <c r="I138" s="4">
        <f t="shared" si="52"/>
        <v>0</v>
      </c>
      <c r="J138" s="4">
        <f t="shared" si="53"/>
        <v>-6.9999998961732208</v>
      </c>
      <c r="K138" s="4">
        <f t="shared" si="54"/>
        <v>-7.0000001038267792</v>
      </c>
      <c r="L138" s="4">
        <f t="shared" si="55"/>
        <v>-6.9999998961732208</v>
      </c>
      <c r="M138" s="4">
        <f t="shared" si="56"/>
        <v>-7.0000001038267792</v>
      </c>
      <c r="N138" s="4">
        <f t="shared" si="57"/>
        <v>0.14577259150895114</v>
      </c>
      <c r="O138" s="4">
        <f t="shared" si="57"/>
        <v>0.14577259150895114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-6.9999998961732208</v>
      </c>
      <c r="C139" s="4">
        <f>E138</f>
        <v>-7.0000001038267792</v>
      </c>
      <c r="D139" s="4">
        <f t="shared" si="47"/>
        <v>-6.9999998961732208</v>
      </c>
      <c r="E139" s="4">
        <f t="shared" si="47"/>
        <v>-7.0000001038267792</v>
      </c>
      <c r="F139" s="4">
        <f t="shared" si="48"/>
        <v>0.14577259150895114</v>
      </c>
      <c r="G139" s="4">
        <f t="shared" si="49"/>
        <v>0.14577259150895114</v>
      </c>
      <c r="H139" s="4" t="str">
        <f t="shared" si="51"/>
        <v>V</v>
      </c>
      <c r="I139" s="4">
        <f t="shared" si="52"/>
        <v>0</v>
      </c>
      <c r="J139" s="4">
        <f t="shared" si="53"/>
        <v>-6.9999998961732208</v>
      </c>
      <c r="K139" s="4">
        <f t="shared" si="54"/>
        <v>-7.0000001038267792</v>
      </c>
      <c r="L139" s="4">
        <f t="shared" si="55"/>
        <v>-6.9999998961732208</v>
      </c>
      <c r="M139" s="4">
        <f t="shared" si="56"/>
        <v>-7.0000001038267792</v>
      </c>
      <c r="N139" s="4">
        <f t="shared" si="57"/>
        <v>0.14577259150895114</v>
      </c>
      <c r="O139" s="4">
        <f t="shared" si="57"/>
        <v>0.14577259150895114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49.999999682162937</v>
      </c>
      <c r="Q140" s="4">
        <f>SUM(Q132:Q139)</f>
        <v>50.000000000000014</v>
      </c>
      <c r="R140" s="4">
        <f>SUM(R132:R139)</f>
        <v>1.4210854715202004E-14</v>
      </c>
    </row>
    <row r="142" spans="1:18" x14ac:dyDescent="0.25">
      <c r="O142" t="s">
        <v>96</v>
      </c>
      <c r="P142" s="1">
        <f>-1*R140/P140</f>
        <v>-2.8421709611073464E-16</v>
      </c>
    </row>
    <row r="143" spans="1:18" x14ac:dyDescent="0.25">
      <c r="O143" t="s">
        <v>97</v>
      </c>
      <c r="P143" s="1">
        <f>Q140/P140</f>
        <v>1.0000000063567416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-6.9999998961732208</v>
      </c>
      <c r="C146" s="9">
        <f>J84</f>
        <v>-7.0000001038267792</v>
      </c>
      <c r="D146" s="9">
        <f t="shared" ref="D146:E153" si="61">I85</f>
        <v>-6.9999998961732208</v>
      </c>
      <c r="E146">
        <f t="shared" si="61"/>
        <v>-7.0000001038267792</v>
      </c>
      <c r="F146" s="4">
        <f>($B$66/$B$65)*(C146-$B$125)</f>
        <v>0.14577259150895114</v>
      </c>
      <c r="G146" s="4">
        <f>($B$66/$B$65)*(E146-$B$125)</f>
        <v>0.14577259150895114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-6.9999998961732208</v>
      </c>
      <c r="K146" s="4">
        <f>IF($F146&gt;=0,C146,IF(AND($F146&lt;0,$G146&gt;=0),$B$125,0))</f>
        <v>-7.0000001038267792</v>
      </c>
      <c r="L146" s="4">
        <f>IF($G146&gt;=0,D146,IF(AND($G146&lt;0,$F146&gt;=0),IF(H146="V",D146,($B$125-I146)/H146),0))</f>
        <v>-6.9999998961732208</v>
      </c>
      <c r="M146" s="4">
        <f>IF($G146&gt;=0,E146,IF(AND($G146&lt;0,$F146&gt;=0),$B$125,0))</f>
        <v>-7.0000001038267792</v>
      </c>
      <c r="N146" s="4">
        <f>IF(F146&lt;0,0,F146)</f>
        <v>0.14577259150895114</v>
      </c>
      <c r="O146" s="4">
        <f>IF(G146&lt;0,0,G146)</f>
        <v>0.14577259150895114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-6.9999998961732208</v>
      </c>
      <c r="C147">
        <f t="shared" si="62"/>
        <v>-7.0000001038267792</v>
      </c>
      <c r="D147" s="9">
        <f t="shared" si="61"/>
        <v>-6.9999998961732208</v>
      </c>
      <c r="E147">
        <f t="shared" si="61"/>
        <v>-7.0000001038267792</v>
      </c>
      <c r="F147" s="4">
        <f t="shared" ref="F147:F153" si="63">($B$66/$B$65)*(C147-$B$125)</f>
        <v>0.14577259150895114</v>
      </c>
      <c r="G147" s="4">
        <f t="shared" ref="G147:G153" si="64">($B$66/$B$65)*(E147-$B$125)</f>
        <v>0.14577259150895114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-6.9999998961732208</v>
      </c>
      <c r="K147" s="4">
        <f t="shared" ref="K147:K153" si="68">IF($F147&gt;=0,C147,IF(AND($F147&lt;0,$G147&gt;=0),$B$125,0))</f>
        <v>-7.0000001038267792</v>
      </c>
      <c r="L147" s="4">
        <f t="shared" ref="L147:L153" si="69">IF($G147&gt;=0,D147,IF(AND($G147&lt;0,$F147&gt;=0),IF(H147="V",D147,($B$125-I147)/H147),0))</f>
        <v>-6.9999998961732208</v>
      </c>
      <c r="M147" s="4">
        <f t="shared" ref="M147:M153" si="70">IF($G147&gt;=0,E147,IF(AND($G147&lt;0,$F147&gt;=0),$B$125,0))</f>
        <v>-7.0000001038267792</v>
      </c>
      <c r="N147" s="4">
        <f t="shared" ref="N147:O153" si="71">IF(F147&lt;0,0,F147)</f>
        <v>0.14577259150895114</v>
      </c>
      <c r="O147" s="4">
        <f t="shared" si="71"/>
        <v>0.14577259150895114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-6.9999998961732208</v>
      </c>
      <c r="C148">
        <f t="shared" si="62"/>
        <v>-7.0000001038267792</v>
      </c>
      <c r="D148" s="9">
        <f t="shared" si="61"/>
        <v>-6.9999998961732208</v>
      </c>
      <c r="E148">
        <f t="shared" si="61"/>
        <v>-7.0000001038267792</v>
      </c>
      <c r="F148" s="4">
        <f t="shared" si="63"/>
        <v>0.14577259150895114</v>
      </c>
      <c r="G148" s="4">
        <f t="shared" si="64"/>
        <v>0.14577259150895114</v>
      </c>
      <c r="H148" s="4" t="str">
        <f t="shared" si="65"/>
        <v>V</v>
      </c>
      <c r="I148" s="4">
        <f t="shared" si="66"/>
        <v>0</v>
      </c>
      <c r="J148" s="4">
        <f t="shared" si="67"/>
        <v>-6.9999998961732208</v>
      </c>
      <c r="K148" s="4">
        <f t="shared" si="68"/>
        <v>-7.0000001038267792</v>
      </c>
      <c r="L148" s="4">
        <f t="shared" si="69"/>
        <v>-6.9999998961732208</v>
      </c>
      <c r="M148" s="4">
        <f t="shared" si="70"/>
        <v>-7.0000001038267792</v>
      </c>
      <c r="N148" s="4">
        <f t="shared" si="71"/>
        <v>0.14577259150895114</v>
      </c>
      <c r="O148" s="4">
        <f t="shared" si="71"/>
        <v>0.14577259150895114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-6.9999998961732208</v>
      </c>
      <c r="C149">
        <f t="shared" si="62"/>
        <v>-7.0000001038267792</v>
      </c>
      <c r="D149" s="9">
        <f t="shared" si="61"/>
        <v>-6.9999998961732208</v>
      </c>
      <c r="E149">
        <f t="shared" si="61"/>
        <v>-7.0000001038267792</v>
      </c>
      <c r="F149" s="4">
        <f t="shared" si="63"/>
        <v>0.14577259150895114</v>
      </c>
      <c r="G149" s="4">
        <f t="shared" si="64"/>
        <v>0.14577259150895114</v>
      </c>
      <c r="H149" s="4" t="str">
        <f t="shared" si="65"/>
        <v>V</v>
      </c>
      <c r="I149" s="4">
        <f t="shared" si="66"/>
        <v>0</v>
      </c>
      <c r="J149" s="4">
        <f t="shared" si="67"/>
        <v>-6.9999998961732208</v>
      </c>
      <c r="K149" s="4">
        <f t="shared" si="68"/>
        <v>-7.0000001038267792</v>
      </c>
      <c r="L149" s="4">
        <f t="shared" si="69"/>
        <v>-6.9999998961732208</v>
      </c>
      <c r="M149" s="4">
        <f t="shared" si="70"/>
        <v>-7.0000001038267792</v>
      </c>
      <c r="N149" s="4">
        <f t="shared" si="71"/>
        <v>0.14577259150895114</v>
      </c>
      <c r="O149" s="4">
        <f t="shared" si="71"/>
        <v>0.14577259150895114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-6.9999998961732208</v>
      </c>
      <c r="C150">
        <f t="shared" si="62"/>
        <v>-7.0000001038267792</v>
      </c>
      <c r="D150" s="9">
        <f t="shared" si="61"/>
        <v>-6.9999998961732208</v>
      </c>
      <c r="E150">
        <f t="shared" si="61"/>
        <v>-7.0000001038267792</v>
      </c>
      <c r="F150" s="4">
        <f t="shared" si="63"/>
        <v>0.14577259150895114</v>
      </c>
      <c r="G150" s="4">
        <f t="shared" si="64"/>
        <v>0.14577259150895114</v>
      </c>
      <c r="H150" s="4" t="str">
        <f t="shared" si="65"/>
        <v>V</v>
      </c>
      <c r="I150" s="4">
        <f t="shared" si="66"/>
        <v>0</v>
      </c>
      <c r="J150" s="4">
        <f t="shared" si="67"/>
        <v>-6.9999998961732208</v>
      </c>
      <c r="K150" s="4">
        <f t="shared" si="68"/>
        <v>-7.0000001038267792</v>
      </c>
      <c r="L150" s="4">
        <f t="shared" si="69"/>
        <v>-6.9999998961732208</v>
      </c>
      <c r="M150" s="4">
        <f t="shared" si="70"/>
        <v>-7.0000001038267792</v>
      </c>
      <c r="N150" s="4">
        <f t="shared" si="71"/>
        <v>0.14577259150895114</v>
      </c>
      <c r="O150" s="4">
        <f t="shared" si="71"/>
        <v>0.14577259150895114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-6.9999998961732208</v>
      </c>
      <c r="C151">
        <f t="shared" si="62"/>
        <v>-7.0000001038267792</v>
      </c>
      <c r="D151" s="9">
        <f t="shared" si="61"/>
        <v>-6.9999998961732208</v>
      </c>
      <c r="E151">
        <f t="shared" si="61"/>
        <v>-7.0000001038267792</v>
      </c>
      <c r="F151" s="4">
        <f t="shared" si="63"/>
        <v>0.14577259150895114</v>
      </c>
      <c r="G151" s="4">
        <f t="shared" si="64"/>
        <v>0.14577259150895114</v>
      </c>
      <c r="H151" s="4" t="str">
        <f t="shared" si="65"/>
        <v>V</v>
      </c>
      <c r="I151" s="4">
        <f t="shared" si="66"/>
        <v>0</v>
      </c>
      <c r="J151" s="4">
        <f t="shared" si="67"/>
        <v>-6.9999998961732208</v>
      </c>
      <c r="K151" s="4">
        <f t="shared" si="68"/>
        <v>-7.0000001038267792</v>
      </c>
      <c r="L151" s="4">
        <f t="shared" si="69"/>
        <v>-6.9999998961732208</v>
      </c>
      <c r="M151" s="4">
        <f t="shared" si="70"/>
        <v>-7.0000001038267792</v>
      </c>
      <c r="N151" s="4">
        <f t="shared" si="71"/>
        <v>0.14577259150895114</v>
      </c>
      <c r="O151" s="4">
        <f t="shared" si="71"/>
        <v>0.14577259150895114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-6.9999998961732208</v>
      </c>
      <c r="C152">
        <f t="shared" si="62"/>
        <v>-7.0000001038267792</v>
      </c>
      <c r="D152" s="9">
        <f t="shared" si="61"/>
        <v>-6.9999998961732208</v>
      </c>
      <c r="E152">
        <f t="shared" si="61"/>
        <v>-7.0000001038267792</v>
      </c>
      <c r="F152" s="4">
        <f t="shared" si="63"/>
        <v>0.14577259150895114</v>
      </c>
      <c r="G152" s="4">
        <f t="shared" si="64"/>
        <v>0.14577259150895114</v>
      </c>
      <c r="H152" s="4" t="str">
        <f t="shared" si="65"/>
        <v>V</v>
      </c>
      <c r="I152" s="4">
        <f t="shared" si="66"/>
        <v>0</v>
      </c>
      <c r="J152" s="4">
        <f t="shared" si="67"/>
        <v>-6.9999998961732208</v>
      </c>
      <c r="K152" s="4">
        <f t="shared" si="68"/>
        <v>-7.0000001038267792</v>
      </c>
      <c r="L152" s="4">
        <f t="shared" si="69"/>
        <v>-6.9999998961732208</v>
      </c>
      <c r="M152" s="4">
        <f t="shared" si="70"/>
        <v>-7.0000001038267792</v>
      </c>
      <c r="N152" s="4">
        <f t="shared" si="71"/>
        <v>0.14577259150895114</v>
      </c>
      <c r="O152" s="4">
        <f t="shared" si="71"/>
        <v>0.14577259150895114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-6.9999998961732208</v>
      </c>
      <c r="C153">
        <f t="shared" si="62"/>
        <v>-7.0000001038267792</v>
      </c>
      <c r="D153" s="9">
        <f t="shared" si="61"/>
        <v>-6.9999998961732208</v>
      </c>
      <c r="E153">
        <f t="shared" si="61"/>
        <v>-7.0000001038267792</v>
      </c>
      <c r="F153" s="4">
        <f t="shared" si="63"/>
        <v>0.14577259150895114</v>
      </c>
      <c r="G153" s="4">
        <f t="shared" si="64"/>
        <v>0.14577259150895114</v>
      </c>
      <c r="H153" s="4" t="str">
        <f t="shared" si="65"/>
        <v>V</v>
      </c>
      <c r="I153" s="4">
        <f t="shared" si="66"/>
        <v>0</v>
      </c>
      <c r="J153" s="4">
        <f t="shared" si="67"/>
        <v>-6.9999998961732208</v>
      </c>
      <c r="K153" s="4">
        <f t="shared" si="68"/>
        <v>-7.0000001038267792</v>
      </c>
      <c r="L153" s="4">
        <f t="shared" si="69"/>
        <v>-6.9999998961732208</v>
      </c>
      <c r="M153" s="4">
        <f t="shared" si="70"/>
        <v>-7.0000001038267792</v>
      </c>
      <c r="N153" s="4">
        <f t="shared" si="71"/>
        <v>0.14577259150895114</v>
      </c>
      <c r="O153" s="4">
        <f t="shared" si="71"/>
        <v>0.14577259150895114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49.999999682162937</v>
      </c>
      <c r="C159" t="s">
        <v>36</v>
      </c>
    </row>
    <row r="160" spans="1:18" x14ac:dyDescent="0.25">
      <c r="A160" s="1" t="s">
        <v>106</v>
      </c>
      <c r="B160" s="4">
        <f>Q140+I122+Q154-O122</f>
        <v>50.000000000000014</v>
      </c>
      <c r="C160" t="s">
        <v>102</v>
      </c>
    </row>
    <row r="161" spans="1:9" x14ac:dyDescent="0.25">
      <c r="A161" s="1" t="s">
        <v>107</v>
      </c>
      <c r="B161" s="4">
        <f>R140+J122+R154-P122</f>
        <v>1.4210854715202004E-14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49.999999682162937</v>
      </c>
      <c r="C164" t="s">
        <v>36</v>
      </c>
      <c r="E164" s="8">
        <f>B2-B164</f>
        <v>3.178370633349914E-7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50.000000000000014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-7.416198344987118E-7</v>
      </c>
      <c r="C166" t="s">
        <v>102</v>
      </c>
      <c r="E166" s="8">
        <f>B4+B166</f>
        <v>-7.416198344987118E-7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-2.2E-16</v>
      </c>
      <c r="C175" s="27">
        <f>B65*SQRT(I175)</f>
        <v>3.4608926273113096E-7</v>
      </c>
      <c r="D175" s="27">
        <f>B66*SQRT(I175)</f>
        <v>5.4053924833058761E-9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-1.4832397194191325E-8</v>
      </c>
      <c r="C176" s="3">
        <f>B65+C175</f>
        <v>23.333333679422598</v>
      </c>
      <c r="D176" s="3">
        <f>D175+B66</f>
        <v>0.36443149228585892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-2.1999999973925744E-16</v>
      </c>
      <c r="C177" s="27">
        <f>C176-B65</f>
        <v>3.460892621376388E-7</v>
      </c>
      <c r="D177" s="27">
        <f>D176-B66</f>
        <v>5.4053924669617004E-9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-471939905.89660686</v>
      </c>
      <c r="B181" s="25">
        <f>(d_alpha_p!E136-d_alpha_m!E136)/(2*B177)</f>
        <v>-471939905.89660686</v>
      </c>
      <c r="C181" s="25">
        <f>(d_alpha_p!E137-d_alpha_m!E137)/(2*B177)</f>
        <v>-471939905.89660686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-3.178370633349914E-7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0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7.416198344987118E-7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-0.36443148688046645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-471939905.89660686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-471939905.89660686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-471939905.89660686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-471939905.89660686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-471939905.89660686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-471939905.89660686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23.333333679422598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-11.333333679422598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4.3445603205769183E-5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-11.333333679422598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4.3445603205769183E-5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-21.333333679422598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8.1779957804938299E-5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-21.333333679422598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8.1779957804938299E-5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-16.333333679422598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-16.333333679422598</v>
      </c>
    </row>
    <row r="127" spans="1:16" x14ac:dyDescent="0.25">
      <c r="F127" s="4">
        <f>MAX(B84:B90)+1</f>
        <v>8</v>
      </c>
      <c r="G127" s="4">
        <f>G126</f>
        <v>-16.333333679422598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0.14577259799542205</v>
      </c>
      <c r="G132" s="4">
        <f t="shared" ref="G132:G139" si="49">($B$66/$B$65)*(E132-$B$125)</f>
        <v>0.14577259799542205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0.14577259799542205</v>
      </c>
      <c r="O132" s="4">
        <f>IF(G132&lt;0,0,G132)</f>
        <v>0.14577259799542205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0.14577259799542205</v>
      </c>
      <c r="G133" s="4">
        <f t="shared" si="49"/>
        <v>0.36443148688046645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0.14577259799542205</v>
      </c>
      <c r="O133" s="4">
        <f t="shared" si="57"/>
        <v>0.36443148688046645</v>
      </c>
      <c r="P133" s="4">
        <f t="shared" ref="P133:P139" si="58">(1/6)*(M133-K133)*((N133*((2*J133)+L133))+(O133*(J133+(2*L133))))</f>
        <v>25.000000158918535</v>
      </c>
      <c r="Q133" s="4">
        <f t="shared" ref="Q133:Q139" si="59">((1/12)*(M133-K133)*(N133*J133*((3*K133)+M133)+N133*L133*(K133+M133)+O133*J133*(K133+M133)+O133*L133*(K133+(3*M133))))</f>
        <v>24.999999629190075</v>
      </c>
      <c r="R133" s="4">
        <f t="shared" ref="R133:R139" si="60">((-1/24)*(M133-K133)*(J133*J133*((3*N133)+O133)+2*J133*L133*(N133+O133)+L133*L133*(N133+(3*O133))))</f>
        <v>-87.500000556214871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0.36443148688046645</v>
      </c>
      <c r="G134" s="4">
        <f t="shared" si="49"/>
        <v>0.36443148688046645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0.36443148688046645</v>
      </c>
      <c r="O134" s="4">
        <f t="shared" si="57"/>
        <v>0.36443148688046645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0.36443148688046645</v>
      </c>
      <c r="G135" s="4">
        <f t="shared" si="49"/>
        <v>0.14577259799542205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0.36443148688046645</v>
      </c>
      <c r="O135" s="4">
        <f t="shared" si="57"/>
        <v>0.14577259799542205</v>
      </c>
      <c r="P135" s="4">
        <f t="shared" si="58"/>
        <v>25.000000158918535</v>
      </c>
      <c r="Q135" s="4">
        <f t="shared" si="59"/>
        <v>24.999999629190075</v>
      </c>
      <c r="R135" s="4">
        <f t="shared" si="60"/>
        <v>87.500000556214871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0.14577259799542205</v>
      </c>
      <c r="G136" s="4">
        <f t="shared" si="49"/>
        <v>0.14577259799542205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0.14577259799542205</v>
      </c>
      <c r="O136" s="4">
        <f t="shared" si="57"/>
        <v>0.14577259799542205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0.14577259799542205</v>
      </c>
      <c r="G137" s="4">
        <f t="shared" si="49"/>
        <v>0.14577259799542205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0.14577259799542205</v>
      </c>
      <c r="O137" s="4">
        <f t="shared" si="57"/>
        <v>0.14577259799542205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0.14577259799542205</v>
      </c>
      <c r="G138" s="4">
        <f t="shared" si="49"/>
        <v>0.14577259799542205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0.14577259799542205</v>
      </c>
      <c r="O138" s="4">
        <f t="shared" si="57"/>
        <v>0.14577259799542205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0.14577259799542205</v>
      </c>
      <c r="G139" s="4">
        <f t="shared" si="49"/>
        <v>0.14577259799542205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0.14577259799542205</v>
      </c>
      <c r="O139" s="4">
        <f t="shared" si="57"/>
        <v>0.14577259799542205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50.00000031783707</v>
      </c>
      <c r="Q140" s="4">
        <f>SUM(Q132:Q139)</f>
        <v>49.99999925838015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0.99999997881086178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0.14577259799542205</v>
      </c>
      <c r="G146" s="4">
        <f>($B$66/$B$65)*(E146-$B$125)</f>
        <v>0.14577259799542205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0.14577259799542205</v>
      </c>
      <c r="O146" s="4">
        <f>IF(G146&lt;0,0,G146)</f>
        <v>0.14577259799542205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0.14577259799542205</v>
      </c>
      <c r="G147" s="4">
        <f t="shared" ref="G147:G153" si="64">($B$66/$B$65)*(E147-$B$125)</f>
        <v>0.14577259799542205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0.14577259799542205</v>
      </c>
      <c r="O147" s="4">
        <f t="shared" si="71"/>
        <v>0.14577259799542205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0.14577259799542205</v>
      </c>
      <c r="G148" s="4">
        <f t="shared" si="64"/>
        <v>0.14577259799542205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0.14577259799542205</v>
      </c>
      <c r="O148" s="4">
        <f t="shared" si="71"/>
        <v>0.14577259799542205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0.14577259799542205</v>
      </c>
      <c r="G149" s="4">
        <f t="shared" si="64"/>
        <v>0.14577259799542205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0.14577259799542205</v>
      </c>
      <c r="O149" s="4">
        <f t="shared" si="71"/>
        <v>0.14577259799542205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0.14577259799542205</v>
      </c>
      <c r="G150" s="4">
        <f t="shared" si="64"/>
        <v>0.14577259799542205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0.14577259799542205</v>
      </c>
      <c r="O150" s="4">
        <f t="shared" si="71"/>
        <v>0.14577259799542205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0.14577259799542205</v>
      </c>
      <c r="G151" s="4">
        <f t="shared" si="64"/>
        <v>0.14577259799542205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0.14577259799542205</v>
      </c>
      <c r="O151" s="4">
        <f t="shared" si="71"/>
        <v>0.14577259799542205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0.14577259799542205</v>
      </c>
      <c r="G152" s="4">
        <f t="shared" si="64"/>
        <v>0.14577259799542205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0.14577259799542205</v>
      </c>
      <c r="O152" s="4">
        <f t="shared" si="71"/>
        <v>0.14577259799542205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0.14577259799542205</v>
      </c>
      <c r="G153" s="4">
        <f t="shared" si="64"/>
        <v>0.14577259799542205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0.14577259799542205</v>
      </c>
      <c r="O153" s="4">
        <f t="shared" si="71"/>
        <v>0.14577259799542205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50.00000031783707</v>
      </c>
      <c r="C159" t="s">
        <v>36</v>
      </c>
    </row>
    <row r="160" spans="1:18" x14ac:dyDescent="0.25">
      <c r="A160" s="1" t="s">
        <v>106</v>
      </c>
      <c r="B160" s="4">
        <f>Q140+I122+Q154-O122</f>
        <v>49.99999925838015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50.00000031783707</v>
      </c>
      <c r="C164" t="s">
        <v>36</v>
      </c>
      <c r="E164" s="8">
        <f>B2-B164</f>
        <v>-3.1783707044041876E-7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49.99999925838015</v>
      </c>
      <c r="C165" t="s">
        <v>102</v>
      </c>
      <c r="E165" s="8">
        <f>B3+B165</f>
        <v>-7.4161984997545005E-7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3.4608926786446429E-7</v>
      </c>
      <c r="D175" s="27">
        <f>B66*SQRT(I175)</f>
        <v>5.4053924833058761E-9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23.333334025511867</v>
      </c>
      <c r="D176" s="3">
        <f>D175+B66</f>
        <v>0.36443149228585892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3.4608926924306616E-7</v>
      </c>
      <c r="D177" s="27">
        <f>D176-B66</f>
        <v>5.4053924669617004E-9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3.1783707044041876E-7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7.4161984997545005E-7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0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-0.36443148688046645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7.000000023924617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23.333332987244074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-11.333332987244074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4.3445601841152288E-5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-11.333332987244074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4.3445601841152288E-5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-21.333332987244074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8.1779957577502146E-5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-21.333332987244074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8.1779957577502146E-5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-16.333332987244074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-16.333332987244074</v>
      </c>
    </row>
    <row r="127" spans="1:16" x14ac:dyDescent="0.25">
      <c r="F127" s="4">
        <f>MAX(B84:B90)+1</f>
        <v>8</v>
      </c>
      <c r="G127" s="4">
        <f>G126</f>
        <v>-16.333332987244074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0.14577259150895108</v>
      </c>
      <c r="G132" s="4">
        <f t="shared" ref="G132:G139" si="49">($B$66/$B$65)*(E132-$B$125)</f>
        <v>0.14577259150895108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0.14577259150895108</v>
      </c>
      <c r="O132" s="4">
        <f>IF(G132&lt;0,0,G132)</f>
        <v>0.14577259150895108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0.14577259150895108</v>
      </c>
      <c r="G133" s="4">
        <f t="shared" si="49"/>
        <v>0.36443148688046645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0.14577259150895108</v>
      </c>
      <c r="O133" s="4">
        <f t="shared" si="57"/>
        <v>0.36443148688046645</v>
      </c>
      <c r="P133" s="4">
        <f t="shared" ref="P133:P139" si="58">(1/6)*(M133-K133)*((N133*((2*J133)+L133))+(O133*(J133+(2*L133))))</f>
        <v>24.999999841081454</v>
      </c>
      <c r="Q133" s="4">
        <f t="shared" ref="Q133:Q139" si="59">((1/12)*(M133-K133)*(N133*J133*((3*K133)+M133)+N133*L133*(K133+M133)+O133*J133*(K133+M133)+O133*L133*(K133+(3*M133))))</f>
        <v>25.000000370809921</v>
      </c>
      <c r="R133" s="4">
        <f t="shared" ref="R133:R139" si="60">((-1/24)*(M133-K133)*(J133*J133*((3*N133)+O133)+2*J133*L133*(N133+O133)+L133*L133*(N133+(3*O133))))</f>
        <v>-87.4999994437851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0.36443148688046645</v>
      </c>
      <c r="G134" s="4">
        <f t="shared" si="49"/>
        <v>0.36443148688046645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0.36443148688046645</v>
      </c>
      <c r="O134" s="4">
        <f t="shared" si="57"/>
        <v>0.36443148688046645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0.36443148688046645</v>
      </c>
      <c r="G135" s="4">
        <f t="shared" si="49"/>
        <v>0.14577259150895108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0.36443148688046645</v>
      </c>
      <c r="O135" s="4">
        <f t="shared" si="57"/>
        <v>0.14577259150895108</v>
      </c>
      <c r="P135" s="4">
        <f t="shared" si="58"/>
        <v>24.999999841081454</v>
      </c>
      <c r="Q135" s="4">
        <f t="shared" si="59"/>
        <v>25.000000370809921</v>
      </c>
      <c r="R135" s="4">
        <f t="shared" si="60"/>
        <v>87.4999994437851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0.14577259150895108</v>
      </c>
      <c r="G136" s="4">
        <f t="shared" si="49"/>
        <v>0.14577259150895108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0.14577259150895108</v>
      </c>
      <c r="O136" s="4">
        <f t="shared" si="57"/>
        <v>0.14577259150895108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0.14577259150895108</v>
      </c>
      <c r="G137" s="4">
        <f t="shared" si="49"/>
        <v>0.14577259150895108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0.14577259150895108</v>
      </c>
      <c r="O137" s="4">
        <f t="shared" si="57"/>
        <v>0.14577259150895108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0.14577259150895108</v>
      </c>
      <c r="G138" s="4">
        <f t="shared" si="49"/>
        <v>0.14577259150895108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0.14577259150895108</v>
      </c>
      <c r="O138" s="4">
        <f t="shared" si="57"/>
        <v>0.14577259150895108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0.14577259150895108</v>
      </c>
      <c r="G139" s="4">
        <f t="shared" si="49"/>
        <v>0.14577259150895108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0.14577259150895108</v>
      </c>
      <c r="O139" s="4">
        <f t="shared" si="57"/>
        <v>0.14577259150895108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49.999999682162908</v>
      </c>
      <c r="Q140" s="4">
        <f>SUM(Q132:Q139)</f>
        <v>50.000000741619843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1.0000000211891389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0.14577259150895108</v>
      </c>
      <c r="G146" s="4">
        <f>($B$66/$B$65)*(E146-$B$125)</f>
        <v>0.14577259150895108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0.14577259150895108</v>
      </c>
      <c r="O146" s="4">
        <f>IF(G146&lt;0,0,G146)</f>
        <v>0.14577259150895108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0.14577259150895108</v>
      </c>
      <c r="G147" s="4">
        <f t="shared" ref="G147:G153" si="64">($B$66/$B$65)*(E147-$B$125)</f>
        <v>0.14577259150895108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0.14577259150895108</v>
      </c>
      <c r="O147" s="4">
        <f t="shared" si="71"/>
        <v>0.14577259150895108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0.14577259150895108</v>
      </c>
      <c r="G148" s="4">
        <f t="shared" si="64"/>
        <v>0.14577259150895108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0.14577259150895108</v>
      </c>
      <c r="O148" s="4">
        <f t="shared" si="71"/>
        <v>0.14577259150895108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0.14577259150895108</v>
      </c>
      <c r="G149" s="4">
        <f t="shared" si="64"/>
        <v>0.14577259150895108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0.14577259150895108</v>
      </c>
      <c r="O149" s="4">
        <f t="shared" si="71"/>
        <v>0.14577259150895108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0.14577259150895108</v>
      </c>
      <c r="G150" s="4">
        <f t="shared" si="64"/>
        <v>0.14577259150895108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0.14577259150895108</v>
      </c>
      <c r="O150" s="4">
        <f t="shared" si="71"/>
        <v>0.14577259150895108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0.14577259150895108</v>
      </c>
      <c r="G151" s="4">
        <f t="shared" si="64"/>
        <v>0.14577259150895108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0.14577259150895108</v>
      </c>
      <c r="O151" s="4">
        <f t="shared" si="71"/>
        <v>0.14577259150895108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0.14577259150895108</v>
      </c>
      <c r="G152" s="4">
        <f t="shared" si="64"/>
        <v>0.14577259150895108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0.14577259150895108</v>
      </c>
      <c r="O152" s="4">
        <f t="shared" si="71"/>
        <v>0.14577259150895108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0.14577259150895108</v>
      </c>
      <c r="G153" s="4">
        <f t="shared" si="64"/>
        <v>0.14577259150895108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0.14577259150895108</v>
      </c>
      <c r="O153" s="4">
        <f t="shared" si="71"/>
        <v>0.14577259150895108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49.999999682162908</v>
      </c>
      <c r="C159" t="s">
        <v>36</v>
      </c>
    </row>
    <row r="160" spans="1:18" x14ac:dyDescent="0.25">
      <c r="A160" s="1" t="s">
        <v>106</v>
      </c>
      <c r="B160" s="4">
        <f>Q140+I122+Q154-O122</f>
        <v>50.000000741619843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49.999999682162908</v>
      </c>
      <c r="C164" t="s">
        <v>36</v>
      </c>
      <c r="E164" s="8">
        <f>B2-B164</f>
        <v>3.1783709175670083E-7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50.000000741619843</v>
      </c>
      <c r="C165" t="s">
        <v>102</v>
      </c>
      <c r="E165" s="8">
        <f>B3+B165</f>
        <v>7.4161984287002269E-7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3.4608925759779763E-7</v>
      </c>
      <c r="D175" s="27">
        <f>B66*SQRT(I175)</f>
        <v>5.4053924833058761E-9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23.333333333333332</v>
      </c>
      <c r="D176" s="3">
        <f>D175+B66</f>
        <v>0.36443149228585892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3.4608925858492512E-7</v>
      </c>
      <c r="D177" s="27">
        <f>D176-B66</f>
        <v>5.4053924669617004E-9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-3.1783709175670083E-7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-7.4161984287002269E-7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0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-0.36443148688046645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7.000000023924617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x14ac:dyDescent="0.25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-11.333333333333336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4.3445602523460746E-5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-11.333333333333336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4.3445602523460746E-5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-21.333333333333336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8.1779957691220222E-5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-21.333333333333336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8.1779957691220222E-5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-16.333333333333336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-16.333333333333336</v>
      </c>
    </row>
    <row r="127" spans="1:16" x14ac:dyDescent="0.25">
      <c r="F127" s="4">
        <f>MAX(B84:B90)+1</f>
        <v>8</v>
      </c>
      <c r="G127" s="4">
        <f>G126</f>
        <v>-16.333333333333336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0.1457725947521866</v>
      </c>
      <c r="G132" s="4">
        <f t="shared" ref="G132:G139" si="49">($B$66/$B$65)*(E132-$B$125)</f>
        <v>0.1457725947521866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0.1457725947521866</v>
      </c>
      <c r="O132" s="4">
        <f>IF(G132&lt;0,0,G132)</f>
        <v>0.1457725947521866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0.1457725947521866</v>
      </c>
      <c r="G133" s="4">
        <f t="shared" si="49"/>
        <v>0.36443148688046645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0.1457725947521866</v>
      </c>
      <c r="O133" s="4">
        <f t="shared" si="57"/>
        <v>0.36443148688046645</v>
      </c>
      <c r="P133" s="4">
        <f t="shared" ref="P133:P139" si="58">(1/6)*(M133-K133)*((N133*((2*J133)+L133))+(O133*(J133+(2*L133))))</f>
        <v>25</v>
      </c>
      <c r="Q133" s="4">
        <f t="shared" ref="Q133:Q139" si="59">((1/12)*(M133-K133)*(N133*J133*((3*K133)+M133)+N133*L133*(K133+M133)+O133*J133*(K133+M133)+O133*L133*(K133+(3*M133))))</f>
        <v>25</v>
      </c>
      <c r="R133" s="4">
        <f t="shared" ref="R133:R139" si="60">((-1/24)*(M133-K133)*(J133*J133*((3*N133)+O133)+2*J133*L133*(N133+O133)+L133*L133*(N133+(3*O133))))</f>
        <v>-87.499999999999986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0.36443148688046645</v>
      </c>
      <c r="G134" s="4">
        <f t="shared" si="49"/>
        <v>0.36443148688046645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0.36443148688046645</v>
      </c>
      <c r="O134" s="4">
        <f t="shared" si="57"/>
        <v>0.36443148688046645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0.36443148688046645</v>
      </c>
      <c r="G135" s="4">
        <f t="shared" si="49"/>
        <v>0.1457725947521866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0.36443148688046645</v>
      </c>
      <c r="O135" s="4">
        <f t="shared" si="57"/>
        <v>0.1457725947521866</v>
      </c>
      <c r="P135" s="4">
        <f t="shared" si="58"/>
        <v>25</v>
      </c>
      <c r="Q135" s="4">
        <f t="shared" si="59"/>
        <v>25</v>
      </c>
      <c r="R135" s="4">
        <f t="shared" si="60"/>
        <v>87.499999999999986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0.1457725947521866</v>
      </c>
      <c r="G136" s="4">
        <f t="shared" si="49"/>
        <v>0.1457725947521866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0.1457725947521866</v>
      </c>
      <c r="O136" s="4">
        <f t="shared" si="57"/>
        <v>0.1457725947521866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0.1457725947521866</v>
      </c>
      <c r="G137" s="4">
        <f t="shared" si="49"/>
        <v>0.1457725947521866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0.1457725947521866</v>
      </c>
      <c r="O137" s="4">
        <f t="shared" si="57"/>
        <v>0.1457725947521866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0.1457725947521866</v>
      </c>
      <c r="G138" s="4">
        <f t="shared" si="49"/>
        <v>0.1457725947521866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0.1457725947521866</v>
      </c>
      <c r="O138" s="4">
        <f t="shared" si="57"/>
        <v>0.1457725947521866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0.1457725947521866</v>
      </c>
      <c r="G139" s="4">
        <f t="shared" si="49"/>
        <v>0.1457725947521866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0.1457725947521866</v>
      </c>
      <c r="O139" s="4">
        <f t="shared" si="57"/>
        <v>0.1457725947521866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</v>
      </c>
      <c r="Q140" s="4">
        <f>SUM(Q132:Q139)</f>
        <v>50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0.1457725947521866</v>
      </c>
      <c r="G146" s="4">
        <f>($B$66/$B$65)*(E146-$B$125)</f>
        <v>0.1457725947521866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0.1457725947521866</v>
      </c>
      <c r="O146" s="4">
        <f>IF(G146&lt;0,0,G146)</f>
        <v>0.1457725947521866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0.1457725947521866</v>
      </c>
      <c r="G147" s="4">
        <f t="shared" ref="G147:G153" si="64">($B$66/$B$65)*(E147-$B$125)</f>
        <v>0.1457725947521866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0.1457725947521866</v>
      </c>
      <c r="O147" s="4">
        <f t="shared" si="71"/>
        <v>0.1457725947521866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0.1457725947521866</v>
      </c>
      <c r="G148" s="4">
        <f t="shared" si="64"/>
        <v>0.1457725947521866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0.1457725947521866</v>
      </c>
      <c r="O148" s="4">
        <f t="shared" si="71"/>
        <v>0.1457725947521866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0.1457725947521866</v>
      </c>
      <c r="G149" s="4">
        <f t="shared" si="64"/>
        <v>0.1457725947521866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0.1457725947521866</v>
      </c>
      <c r="O149" s="4">
        <f t="shared" si="71"/>
        <v>0.1457725947521866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0.1457725947521866</v>
      </c>
      <c r="G150" s="4">
        <f t="shared" si="64"/>
        <v>0.1457725947521866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0.1457725947521866</v>
      </c>
      <c r="O150" s="4">
        <f t="shared" si="71"/>
        <v>0.1457725947521866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0.1457725947521866</v>
      </c>
      <c r="G151" s="4">
        <f t="shared" si="64"/>
        <v>0.1457725947521866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0.1457725947521866</v>
      </c>
      <c r="O151" s="4">
        <f t="shared" si="71"/>
        <v>0.1457725947521866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0.1457725947521866</v>
      </c>
      <c r="G152" s="4">
        <f t="shared" si="64"/>
        <v>0.1457725947521866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0.1457725947521866</v>
      </c>
      <c r="O152" s="4">
        <f t="shared" si="71"/>
        <v>0.1457725947521866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0.1457725947521866</v>
      </c>
      <c r="G153" s="4">
        <f t="shared" si="64"/>
        <v>0.1457725947521866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0.1457725947521866</v>
      </c>
      <c r="O153" s="4">
        <f t="shared" si="71"/>
        <v>0.1457725947521866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</v>
      </c>
      <c r="C159" t="s">
        <v>36</v>
      </c>
    </row>
    <row r="160" spans="1:18" x14ac:dyDescent="0.25">
      <c r="A160" s="1" t="s">
        <v>106</v>
      </c>
      <c r="B160" s="4">
        <f>Q140+I122+Q154-O122</f>
        <v>50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3.4608926273113096E-7</v>
      </c>
      <c r="D175" s="27">
        <f>B66*SQRT(I175)</f>
        <v>5.4053924833058761E-9</v>
      </c>
      <c r="E175" s="27">
        <f>B67*SQRT(I175)</f>
        <v>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23.333333679422598</v>
      </c>
      <c r="D176" s="3">
        <f>D175+B66</f>
        <v>0.36443149228585892</v>
      </c>
      <c r="E176" s="3">
        <f>B67+E175</f>
        <v>1.4832397194191325E-8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3.460892621376388E-7</v>
      </c>
      <c r="D177" s="27">
        <f>D176-B66</f>
        <v>5.4053924669617004E-9</v>
      </c>
      <c r="E177" s="27">
        <f>E176-B67</f>
        <v>2.1999999973925744E-16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0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-0.36443148688046645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7.000000023924617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0.25510204081632654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-0.10932944606413991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0.14577259475218662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0.10932944606413991</v>
      </c>
      <c r="AB14">
        <f>$B$4/Z14</f>
        <v>0</v>
      </c>
      <c r="AC14">
        <f>$I$2+AA14+AB14</f>
        <v>0.36443148688046645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-0.10932944606413991</v>
      </c>
      <c r="AB15">
        <f t="shared" ref="AB15:AB21" si="11">$B$4/Z15</f>
        <v>0</v>
      </c>
      <c r="AC15">
        <f t="shared" ref="AC15:AC20" si="12">$I$2+AA15+AB15</f>
        <v>0.14577259475218662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-0.10932944606413991</v>
      </c>
      <c r="AB16">
        <f t="shared" si="11"/>
        <v>0</v>
      </c>
      <c r="AC16">
        <f t="shared" si="12"/>
        <v>0.14577259475218662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0.10932944606413991</v>
      </c>
      <c r="AB17">
        <f t="shared" si="11"/>
        <v>0</v>
      </c>
      <c r="AC17">
        <f t="shared" si="12"/>
        <v>0.36443148688046645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0.10932944606413991</v>
      </c>
      <c r="AB18">
        <f t="shared" si="11"/>
        <v>0</v>
      </c>
      <c r="AC18">
        <f t="shared" si="12"/>
        <v>0.36443148688046645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0.10932944606413991</v>
      </c>
      <c r="AB19">
        <f t="shared" si="11"/>
        <v>0</v>
      </c>
      <c r="AC19">
        <f t="shared" si="12"/>
        <v>0.36443148688046645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0.10932944606413991</v>
      </c>
      <c r="AB20">
        <f t="shared" si="11"/>
        <v>0</v>
      </c>
      <c r="AC20">
        <f t="shared" si="12"/>
        <v>0.36443148688046645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12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12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12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12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</v>
      </c>
      <c r="C64" t="s">
        <v>19</v>
      </c>
      <c r="D64" t="s">
        <v>34</v>
      </c>
      <c r="H64" s="17">
        <f>DEGREES(B64)</f>
        <v>0</v>
      </c>
      <c r="I64" t="s">
        <v>41</v>
      </c>
    </row>
    <row r="65" spans="1:18" x14ac:dyDescent="0.25">
      <c r="A65" s="1" t="s">
        <v>40</v>
      </c>
      <c r="B65" s="17">
        <f>'Rigid Bearing Plate Analysis'!B65</f>
        <v>23.333333333333336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0.36443148688046645</v>
      </c>
      <c r="C66" t="s">
        <v>11</v>
      </c>
      <c r="D66">
        <f>B66/B53</f>
        <v>8.9446828724772126E-5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-1.4832396974191326E-8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</v>
      </c>
      <c r="R76">
        <f>Q76</f>
        <v>-8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</v>
      </c>
      <c r="R77">
        <f>Q77</f>
        <v>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</v>
      </c>
      <c r="C84" s="1">
        <f t="shared" ref="C84:C92" si="23">(-1*B73*SIN($B$64))+(C73*COS($B$64))</f>
        <v>-7</v>
      </c>
      <c r="H84" s="1">
        <f t="shared" ref="H84:H92" si="24">H73</f>
        <v>1</v>
      </c>
      <c r="I84" s="4">
        <f>(I73*COS($B$64))+(J73*SIN($B$64))</f>
        <v>-7</v>
      </c>
      <c r="J84" s="1">
        <f>(-1*I73*SIN($B$64))+(J73*COS($B$64))</f>
        <v>-7</v>
      </c>
    </row>
    <row r="85" spans="1:10" x14ac:dyDescent="0.25">
      <c r="A85" s="1">
        <f t="shared" si="21"/>
        <v>2</v>
      </c>
      <c r="B85" s="4">
        <f t="shared" si="22"/>
        <v>7</v>
      </c>
      <c r="C85" s="1">
        <f t="shared" si="23"/>
        <v>-7</v>
      </c>
      <c r="H85" s="1">
        <f t="shared" si="24"/>
        <v>2</v>
      </c>
      <c r="I85" s="4">
        <f t="shared" ref="I85:I92" si="25">(I74*COS($B$64))+(J74*SIN($B$64))</f>
        <v>-7</v>
      </c>
      <c r="J85" s="1">
        <f t="shared" ref="J85:J92" si="26">(-1*I74*SIN($B$64))+(J74*COS($B$64))</f>
        <v>-7</v>
      </c>
    </row>
    <row r="86" spans="1:10" x14ac:dyDescent="0.25">
      <c r="A86" s="1">
        <f t="shared" si="21"/>
        <v>3</v>
      </c>
      <c r="B86" s="4">
        <f t="shared" si="22"/>
        <v>7</v>
      </c>
      <c r="C86" s="1">
        <f t="shared" si="23"/>
        <v>7</v>
      </c>
      <c r="H86" s="1">
        <f t="shared" si="24"/>
        <v>3</v>
      </c>
      <c r="I86" s="4">
        <f t="shared" si="25"/>
        <v>-7</v>
      </c>
      <c r="J86" s="1">
        <f t="shared" si="26"/>
        <v>-7</v>
      </c>
    </row>
    <row r="87" spans="1:10" x14ac:dyDescent="0.25">
      <c r="A87" s="1">
        <f t="shared" si="21"/>
        <v>4</v>
      </c>
      <c r="B87" s="4">
        <f t="shared" si="22"/>
        <v>-7</v>
      </c>
      <c r="C87" s="1">
        <f t="shared" si="23"/>
        <v>7</v>
      </c>
      <c r="H87" s="1">
        <f t="shared" si="24"/>
        <v>4</v>
      </c>
      <c r="I87" s="4">
        <f t="shared" si="25"/>
        <v>-7</v>
      </c>
      <c r="J87" s="1">
        <f t="shared" si="26"/>
        <v>-7</v>
      </c>
    </row>
    <row r="88" spans="1:10" x14ac:dyDescent="0.25">
      <c r="A88" s="1">
        <f t="shared" si="21"/>
        <v>5</v>
      </c>
      <c r="B88" s="4">
        <f t="shared" si="22"/>
        <v>-7</v>
      </c>
      <c r="C88" s="1">
        <f t="shared" si="23"/>
        <v>-7</v>
      </c>
      <c r="H88" s="1">
        <f t="shared" si="24"/>
        <v>5</v>
      </c>
      <c r="I88" s="4">
        <f t="shared" si="25"/>
        <v>-7</v>
      </c>
      <c r="J88" s="1">
        <f t="shared" si="26"/>
        <v>-7</v>
      </c>
    </row>
    <row r="89" spans="1:10" x14ac:dyDescent="0.25">
      <c r="A89" s="1">
        <f t="shared" si="21"/>
        <v>6</v>
      </c>
      <c r="B89" s="4">
        <f t="shared" si="22"/>
        <v>-7</v>
      </c>
      <c r="C89" s="1">
        <f t="shared" si="23"/>
        <v>-7</v>
      </c>
      <c r="H89" s="1">
        <f t="shared" si="24"/>
        <v>6</v>
      </c>
      <c r="I89" s="4">
        <f t="shared" si="25"/>
        <v>-7</v>
      </c>
      <c r="J89" s="1">
        <f t="shared" si="26"/>
        <v>-7</v>
      </c>
    </row>
    <row r="90" spans="1:10" x14ac:dyDescent="0.25">
      <c r="A90" s="1">
        <f t="shared" si="21"/>
        <v>7</v>
      </c>
      <c r="B90" s="4">
        <f t="shared" si="22"/>
        <v>-7</v>
      </c>
      <c r="C90" s="1">
        <f t="shared" si="23"/>
        <v>-7</v>
      </c>
      <c r="H90" s="1">
        <f t="shared" si="24"/>
        <v>7</v>
      </c>
      <c r="I90" s="4">
        <f t="shared" si="25"/>
        <v>-7</v>
      </c>
      <c r="J90" s="1">
        <f t="shared" si="26"/>
        <v>-7</v>
      </c>
    </row>
    <row r="91" spans="1:10" x14ac:dyDescent="0.25">
      <c r="A91" s="1">
        <f t="shared" si="21"/>
        <v>8</v>
      </c>
      <c r="B91" s="4">
        <f t="shared" si="22"/>
        <v>-7</v>
      </c>
      <c r="C91" s="1">
        <f t="shared" si="23"/>
        <v>-7</v>
      </c>
      <c r="H91" s="1">
        <f t="shared" si="24"/>
        <v>8</v>
      </c>
      <c r="I91" s="4">
        <f t="shared" si="25"/>
        <v>-7</v>
      </c>
      <c r="J91" s="1">
        <f t="shared" si="26"/>
        <v>-7</v>
      </c>
    </row>
    <row r="92" spans="1:10" x14ac:dyDescent="0.25">
      <c r="A92" s="1">
        <f t="shared" si="21"/>
        <v>9</v>
      </c>
      <c r="B92" s="4">
        <f t="shared" si="22"/>
        <v>-7</v>
      </c>
      <c r="C92" s="1">
        <f t="shared" si="23"/>
        <v>-7</v>
      </c>
      <c r="H92" s="1">
        <f t="shared" si="24"/>
        <v>9</v>
      </c>
      <c r="I92" s="4">
        <f t="shared" si="25"/>
        <v>-7</v>
      </c>
      <c r="J92" s="1">
        <f t="shared" si="26"/>
        <v>-7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3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3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</v>
      </c>
      <c r="C110" s="1">
        <f>(-1*B95*SIN($B$64))+(C95*COS($B$64))</f>
        <v>-5</v>
      </c>
      <c r="D110" t="str">
        <f t="shared" ref="D110" si="31">D95</f>
        <v>y</v>
      </c>
      <c r="E110" s="4">
        <f t="shared" ref="E110:E121" si="32">IF($D110="y",$B$125-C110,0)</f>
        <v>-11.333333333333336</v>
      </c>
      <c r="F110" s="1">
        <f>IF($D110="y",B110,NA())</f>
        <v>-5</v>
      </c>
      <c r="G110" s="1">
        <f>IF($D110="y",C110,NA())</f>
        <v>-5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4.3445602523460746E-5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</v>
      </c>
      <c r="C111" s="1">
        <f t="shared" ref="C111:C121" si="37">(-1*B96*SIN($B$64))+(C96*COS($B$64))</f>
        <v>-5</v>
      </c>
      <c r="D111" t="str">
        <f t="shared" si="35"/>
        <v>y</v>
      </c>
      <c r="E111" s="4">
        <f t="shared" si="32"/>
        <v>-11.333333333333336</v>
      </c>
      <c r="F111" s="1">
        <f t="shared" ref="F111:G121" si="38">IF($D111="y",B111,NA())</f>
        <v>5</v>
      </c>
      <c r="G111" s="1">
        <f t="shared" si="38"/>
        <v>-5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4.3445602523460746E-5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</v>
      </c>
      <c r="C112" s="1">
        <f t="shared" si="37"/>
        <v>3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</v>
      </c>
      <c r="C113" s="1">
        <f t="shared" si="37"/>
        <v>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</v>
      </c>
      <c r="C114" s="1">
        <f t="shared" si="37"/>
        <v>5</v>
      </c>
      <c r="D114" t="str">
        <f t="shared" si="35"/>
        <v>y</v>
      </c>
      <c r="E114" s="4">
        <f t="shared" si="32"/>
        <v>-21.333333333333336</v>
      </c>
      <c r="F114" s="1">
        <f t="shared" si="38"/>
        <v>-5</v>
      </c>
      <c r="G114" s="1">
        <f t="shared" si="38"/>
        <v>5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8.1779957691220222E-5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</v>
      </c>
      <c r="C115" s="1">
        <f t="shared" si="37"/>
        <v>5</v>
      </c>
      <c r="D115" t="str">
        <f t="shared" si="35"/>
        <v>y</v>
      </c>
      <c r="E115" s="4">
        <f t="shared" si="32"/>
        <v>-21.333333333333336</v>
      </c>
      <c r="F115" s="1">
        <f t="shared" si="38"/>
        <v>5</v>
      </c>
      <c r="G115" s="1">
        <f t="shared" si="38"/>
        <v>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8.1779957691220222E-5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</v>
      </c>
      <c r="C116" s="1">
        <f t="shared" si="37"/>
        <v>-7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</v>
      </c>
      <c r="C117" s="1">
        <f t="shared" si="37"/>
        <v>-7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</v>
      </c>
      <c r="C118" s="1">
        <f t="shared" si="37"/>
        <v>-7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</v>
      </c>
      <c r="C119" s="1">
        <f t="shared" si="37"/>
        <v>-7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</v>
      </c>
      <c r="C120" s="1">
        <f t="shared" si="37"/>
        <v>-7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</v>
      </c>
      <c r="C121" s="1">
        <f t="shared" si="37"/>
        <v>-7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-16.333333333333336</v>
      </c>
      <c r="F125" s="1" t="s">
        <v>27</v>
      </c>
      <c r="G125" s="1" t="s">
        <v>28</v>
      </c>
    </row>
    <row r="126" spans="1:16" x14ac:dyDescent="0.25">
      <c r="F126" s="4">
        <f>MIN(B84:B90)-1</f>
        <v>-8</v>
      </c>
      <c r="G126" s="4">
        <f>B125</f>
        <v>-16.333333333333336</v>
      </c>
    </row>
    <row r="127" spans="1:16" x14ac:dyDescent="0.25">
      <c r="F127" s="4">
        <f>MAX(B84:B90)+1</f>
        <v>8</v>
      </c>
      <c r="G127" s="4">
        <f>G126</f>
        <v>-16.333333333333336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</v>
      </c>
      <c r="C132" s="4">
        <f>C84</f>
        <v>-7</v>
      </c>
      <c r="D132" s="4">
        <f t="shared" ref="D132:E139" si="47">B85</f>
        <v>7</v>
      </c>
      <c r="E132" s="4">
        <f t="shared" si="47"/>
        <v>-7</v>
      </c>
      <c r="F132" s="4">
        <f t="shared" ref="F132:F139" si="48">($B$66/$B$65)*(C132-$B$125)</f>
        <v>0.1457725947521866</v>
      </c>
      <c r="G132" s="4">
        <f t="shared" ref="G132:G139" si="49">($B$66/$B$65)*(E132-$B$125)</f>
        <v>0.1457725947521866</v>
      </c>
      <c r="H132" s="4">
        <f>IF(B132=D132,"V",(C132-E132)/(B132-D132))</f>
        <v>0</v>
      </c>
      <c r="I132" s="4">
        <f>IF(H132="V",0,(-1*B132*H132)+C132)</f>
        <v>-7</v>
      </c>
      <c r="J132" s="4">
        <f>IF($F132&gt;=0,B132,IF(AND($F132&lt;0,$G132&gt;=0),IF(H132="V",B132,($B$125-I132)/H132),0))</f>
        <v>-7</v>
      </c>
      <c r="K132" s="4">
        <f>IF($F132&gt;=0,C132,IF(AND($F132&lt;0,$G132&gt;=0),$B$125,0))</f>
        <v>-7</v>
      </c>
      <c r="L132" s="4">
        <f>IF($G132&gt;=0,D132,IF(AND($G132&lt;0,$F132&gt;=0),IF(H132="V",D132,($B$125-I132)/H132),0))</f>
        <v>7</v>
      </c>
      <c r="M132" s="4">
        <f>IF($G132&gt;=0,E132,IF(AND($G132&lt;0,$F132&gt;=0),$B$125,0))</f>
        <v>-7</v>
      </c>
      <c r="N132" s="4">
        <f>IF(F132&lt;0,0,F132)</f>
        <v>0.1457725947521866</v>
      </c>
      <c r="O132" s="4">
        <f>IF(G132&lt;0,0,G132)</f>
        <v>0.1457725947521866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</v>
      </c>
      <c r="C133" s="4">
        <f t="shared" si="50"/>
        <v>-7</v>
      </c>
      <c r="D133" s="4">
        <f t="shared" si="47"/>
        <v>7</v>
      </c>
      <c r="E133" s="4">
        <f t="shared" si="47"/>
        <v>7</v>
      </c>
      <c r="F133" s="4">
        <f t="shared" si="48"/>
        <v>0.1457725947521866</v>
      </c>
      <c r="G133" s="4">
        <f t="shared" si="49"/>
        <v>0.36443148688046645</v>
      </c>
      <c r="H133" s="4" t="str">
        <f t="shared" ref="H133:H139" si="51">IF(B133=D133,"V",(C133-E133)/(B133-D133))</f>
        <v>V</v>
      </c>
      <c r="I133" s="4">
        <f t="shared" ref="I133:I139" si="52">IF(H133="V",0,(-1*B133*H133)+C133)</f>
        <v>0</v>
      </c>
      <c r="J133" s="4">
        <f t="shared" ref="J133:J139" si="53">IF($F133&gt;=0,B133,IF(AND($F133&lt;0,$G133&gt;=0),IF(H133="V",B133,($B$125-I133)/H133),0))</f>
        <v>7</v>
      </c>
      <c r="K133" s="4">
        <f t="shared" ref="K133:K139" si="54">IF($F133&gt;=0,C133,IF(AND($F133&lt;0,$G133&gt;=0),$B$125,0))</f>
        <v>-7</v>
      </c>
      <c r="L133" s="4">
        <f t="shared" ref="L133:L139" si="55">IF($G133&gt;=0,D133,IF(AND($G133&lt;0,$F133&gt;=0),IF(H133="V",D133,($B$125-I133)/H133),0))</f>
        <v>7</v>
      </c>
      <c r="M133" s="4">
        <f t="shared" ref="M133:M139" si="56">IF($G133&gt;=0,E133,IF(AND($G133&lt;0,$F133&gt;=0),$B$125,0))</f>
        <v>7</v>
      </c>
      <c r="N133" s="4">
        <f t="shared" ref="N133:O139" si="57">IF(F133&lt;0,0,F133)</f>
        <v>0.1457725947521866</v>
      </c>
      <c r="O133" s="4">
        <f t="shared" si="57"/>
        <v>0.36443148688046645</v>
      </c>
      <c r="P133" s="4">
        <f t="shared" ref="P133:P139" si="58">(1/6)*(M133-K133)*((N133*((2*J133)+L133))+(O133*(J133+(2*L133))))</f>
        <v>25</v>
      </c>
      <c r="Q133" s="4">
        <f t="shared" ref="Q133:Q139" si="59">((1/12)*(M133-K133)*(N133*J133*((3*K133)+M133)+N133*L133*(K133+M133)+O133*J133*(K133+M133)+O133*L133*(K133+(3*M133))))</f>
        <v>25</v>
      </c>
      <c r="R133" s="4">
        <f t="shared" ref="R133:R139" si="60">((-1/24)*(M133-K133)*(J133*J133*((3*N133)+O133)+2*J133*L133*(N133+O133)+L133*L133*(N133+(3*O133))))</f>
        <v>-87.499999999999986</v>
      </c>
    </row>
    <row r="134" spans="1:18" x14ac:dyDescent="0.25">
      <c r="A134" t="s">
        <v>71</v>
      </c>
      <c r="B134" s="4">
        <f t="shared" si="50"/>
        <v>7</v>
      </c>
      <c r="C134" s="4">
        <f t="shared" si="50"/>
        <v>7</v>
      </c>
      <c r="D134" s="4">
        <f t="shared" si="47"/>
        <v>-7</v>
      </c>
      <c r="E134" s="4">
        <f t="shared" si="47"/>
        <v>7</v>
      </c>
      <c r="F134" s="4">
        <f t="shared" si="48"/>
        <v>0.36443148688046645</v>
      </c>
      <c r="G134" s="4">
        <f t="shared" si="49"/>
        <v>0.36443148688046645</v>
      </c>
      <c r="H134" s="4">
        <f t="shared" si="51"/>
        <v>0</v>
      </c>
      <c r="I134" s="4">
        <f t="shared" si="52"/>
        <v>7</v>
      </c>
      <c r="J134" s="4">
        <f t="shared" si="53"/>
        <v>7</v>
      </c>
      <c r="K134" s="4">
        <f t="shared" si="54"/>
        <v>7</v>
      </c>
      <c r="L134" s="4">
        <f t="shared" si="55"/>
        <v>-7</v>
      </c>
      <c r="M134" s="4">
        <f t="shared" si="56"/>
        <v>7</v>
      </c>
      <c r="N134" s="4">
        <f t="shared" si="57"/>
        <v>0.36443148688046645</v>
      </c>
      <c r="O134" s="4">
        <f t="shared" si="57"/>
        <v>0.36443148688046645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-7</v>
      </c>
      <c r="C135" s="4">
        <f t="shared" si="50"/>
        <v>7</v>
      </c>
      <c r="D135" s="4">
        <f t="shared" si="47"/>
        <v>-7</v>
      </c>
      <c r="E135" s="4">
        <f t="shared" si="47"/>
        <v>-7</v>
      </c>
      <c r="F135" s="4">
        <f t="shared" si="48"/>
        <v>0.36443148688046645</v>
      </c>
      <c r="G135" s="4">
        <f t="shared" si="49"/>
        <v>0.1457725947521866</v>
      </c>
      <c r="H135" s="4" t="str">
        <f t="shared" si="51"/>
        <v>V</v>
      </c>
      <c r="I135" s="4">
        <f t="shared" si="52"/>
        <v>0</v>
      </c>
      <c r="J135" s="4">
        <f t="shared" si="53"/>
        <v>-7</v>
      </c>
      <c r="K135" s="4">
        <f t="shared" si="54"/>
        <v>7</v>
      </c>
      <c r="L135" s="4">
        <f t="shared" si="55"/>
        <v>-7</v>
      </c>
      <c r="M135" s="4">
        <f t="shared" si="56"/>
        <v>-7</v>
      </c>
      <c r="N135" s="4">
        <f t="shared" si="57"/>
        <v>0.36443148688046645</v>
      </c>
      <c r="O135" s="4">
        <f t="shared" si="57"/>
        <v>0.1457725947521866</v>
      </c>
      <c r="P135" s="4">
        <f t="shared" si="58"/>
        <v>25</v>
      </c>
      <c r="Q135" s="4">
        <f t="shared" si="59"/>
        <v>25</v>
      </c>
      <c r="R135" s="4">
        <f t="shared" si="60"/>
        <v>87.499999999999986</v>
      </c>
    </row>
    <row r="136" spans="1:18" x14ac:dyDescent="0.25">
      <c r="A136" t="s">
        <v>73</v>
      </c>
      <c r="B136" s="4">
        <f t="shared" si="50"/>
        <v>-7</v>
      </c>
      <c r="C136" s="4">
        <f t="shared" si="50"/>
        <v>-7</v>
      </c>
      <c r="D136" s="4">
        <f t="shared" si="47"/>
        <v>-7</v>
      </c>
      <c r="E136" s="4">
        <f t="shared" si="47"/>
        <v>-7</v>
      </c>
      <c r="F136" s="4">
        <f t="shared" si="48"/>
        <v>0.1457725947521866</v>
      </c>
      <c r="G136" s="4">
        <f t="shared" si="49"/>
        <v>0.1457725947521866</v>
      </c>
      <c r="H136" s="4" t="str">
        <f t="shared" si="51"/>
        <v>V</v>
      </c>
      <c r="I136" s="4">
        <f t="shared" si="52"/>
        <v>0</v>
      </c>
      <c r="J136" s="4">
        <f t="shared" si="53"/>
        <v>-7</v>
      </c>
      <c r="K136" s="4">
        <f t="shared" si="54"/>
        <v>-7</v>
      </c>
      <c r="L136" s="4">
        <f t="shared" si="55"/>
        <v>-7</v>
      </c>
      <c r="M136" s="4">
        <f t="shared" si="56"/>
        <v>-7</v>
      </c>
      <c r="N136" s="4">
        <f t="shared" si="57"/>
        <v>0.1457725947521866</v>
      </c>
      <c r="O136" s="4">
        <f t="shared" si="57"/>
        <v>0.1457725947521866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</v>
      </c>
      <c r="C137" s="4">
        <f t="shared" si="50"/>
        <v>-7</v>
      </c>
      <c r="D137" s="4">
        <f t="shared" si="47"/>
        <v>-7</v>
      </c>
      <c r="E137" s="4">
        <f t="shared" si="47"/>
        <v>-7</v>
      </c>
      <c r="F137" s="4">
        <f t="shared" si="48"/>
        <v>0.1457725947521866</v>
      </c>
      <c r="G137" s="4">
        <f t="shared" si="49"/>
        <v>0.1457725947521866</v>
      </c>
      <c r="H137" s="4" t="str">
        <f t="shared" si="51"/>
        <v>V</v>
      </c>
      <c r="I137" s="4">
        <f t="shared" si="52"/>
        <v>0</v>
      </c>
      <c r="J137" s="4">
        <f t="shared" si="53"/>
        <v>-7</v>
      </c>
      <c r="K137" s="4">
        <f t="shared" si="54"/>
        <v>-7</v>
      </c>
      <c r="L137" s="4">
        <f t="shared" si="55"/>
        <v>-7</v>
      </c>
      <c r="M137" s="4">
        <f t="shared" si="56"/>
        <v>-7</v>
      </c>
      <c r="N137" s="4">
        <f t="shared" si="57"/>
        <v>0.1457725947521866</v>
      </c>
      <c r="O137" s="4">
        <f t="shared" si="57"/>
        <v>0.1457725947521866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</v>
      </c>
      <c r="C138" s="4">
        <f t="shared" si="50"/>
        <v>-7</v>
      </c>
      <c r="D138" s="4">
        <f t="shared" si="47"/>
        <v>-7</v>
      </c>
      <c r="E138" s="4">
        <f t="shared" si="47"/>
        <v>-7</v>
      </c>
      <c r="F138" s="4">
        <f t="shared" si="48"/>
        <v>0.1457725947521866</v>
      </c>
      <c r="G138" s="4">
        <f t="shared" si="49"/>
        <v>0.1457725947521866</v>
      </c>
      <c r="H138" s="4" t="str">
        <f t="shared" si="51"/>
        <v>V</v>
      </c>
      <c r="I138" s="4">
        <f t="shared" si="52"/>
        <v>0</v>
      </c>
      <c r="J138" s="4">
        <f t="shared" si="53"/>
        <v>-7</v>
      </c>
      <c r="K138" s="4">
        <f t="shared" si="54"/>
        <v>-7</v>
      </c>
      <c r="L138" s="4">
        <f t="shared" si="55"/>
        <v>-7</v>
      </c>
      <c r="M138" s="4">
        <f t="shared" si="56"/>
        <v>-7</v>
      </c>
      <c r="N138" s="4">
        <f t="shared" si="57"/>
        <v>0.1457725947521866</v>
      </c>
      <c r="O138" s="4">
        <f t="shared" si="57"/>
        <v>0.1457725947521866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</v>
      </c>
      <c r="C139" s="4">
        <f>E138</f>
        <v>-7</v>
      </c>
      <c r="D139" s="4">
        <f t="shared" si="47"/>
        <v>-7</v>
      </c>
      <c r="E139" s="4">
        <f t="shared" si="47"/>
        <v>-7</v>
      </c>
      <c r="F139" s="4">
        <f t="shared" si="48"/>
        <v>0.1457725947521866</v>
      </c>
      <c r="G139" s="4">
        <f t="shared" si="49"/>
        <v>0.1457725947521866</v>
      </c>
      <c r="H139" s="4" t="str">
        <f t="shared" si="51"/>
        <v>V</v>
      </c>
      <c r="I139" s="4">
        <f t="shared" si="52"/>
        <v>0</v>
      </c>
      <c r="J139" s="4">
        <f t="shared" si="53"/>
        <v>-7</v>
      </c>
      <c r="K139" s="4">
        <f t="shared" si="54"/>
        <v>-7</v>
      </c>
      <c r="L139" s="4">
        <f t="shared" si="55"/>
        <v>-7</v>
      </c>
      <c r="M139" s="4">
        <f t="shared" si="56"/>
        <v>-7</v>
      </c>
      <c r="N139" s="4">
        <f t="shared" si="57"/>
        <v>0.1457725947521866</v>
      </c>
      <c r="O139" s="4">
        <f t="shared" si="57"/>
        <v>0.1457725947521866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</v>
      </c>
      <c r="Q140" s="4">
        <f>SUM(Q132:Q139)</f>
        <v>50</v>
      </c>
      <c r="R140" s="4">
        <f>SUM(R132:R139)</f>
        <v>0</v>
      </c>
    </row>
    <row r="142" spans="1:18" x14ac:dyDescent="0.25">
      <c r="O142" t="s">
        <v>96</v>
      </c>
      <c r="P142" s="1">
        <f>-1*R140/P140</f>
        <v>0</v>
      </c>
    </row>
    <row r="143" spans="1:18" x14ac:dyDescent="0.25">
      <c r="O143" t="s">
        <v>97</v>
      </c>
      <c r="P143" s="1">
        <f>Q140/P140</f>
        <v>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</v>
      </c>
      <c r="C146" s="9">
        <f>J84</f>
        <v>-7</v>
      </c>
      <c r="D146" s="9">
        <f t="shared" ref="D146:E153" si="61">I85</f>
        <v>-7</v>
      </c>
      <c r="E146">
        <f t="shared" si="61"/>
        <v>-7</v>
      </c>
      <c r="F146" s="4">
        <f>($B$66/$B$65)*(C146-$B$125)</f>
        <v>0.1457725947521866</v>
      </c>
      <c r="G146" s="4">
        <f>($B$66/$B$65)*(E146-$B$125)</f>
        <v>0.1457725947521866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</v>
      </c>
      <c r="K146" s="4">
        <f>IF($F146&gt;=0,C146,IF(AND($F146&lt;0,$G146&gt;=0),$B$125,0))</f>
        <v>-7</v>
      </c>
      <c r="L146" s="4">
        <f>IF($G146&gt;=0,D146,IF(AND($G146&lt;0,$F146&gt;=0),IF(H146="V",D146,($B$125-I146)/H146),0))</f>
        <v>-7</v>
      </c>
      <c r="M146" s="4">
        <f>IF($G146&gt;=0,E146,IF(AND($G146&lt;0,$F146&gt;=0),$B$125,0))</f>
        <v>-7</v>
      </c>
      <c r="N146" s="4">
        <f>IF(F146&lt;0,0,F146)</f>
        <v>0.1457725947521866</v>
      </c>
      <c r="O146" s="4">
        <f>IF(G146&lt;0,0,G146)</f>
        <v>0.1457725947521866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</v>
      </c>
      <c r="C147">
        <f t="shared" si="62"/>
        <v>-7</v>
      </c>
      <c r="D147" s="9">
        <f t="shared" si="61"/>
        <v>-7</v>
      </c>
      <c r="E147">
        <f t="shared" si="61"/>
        <v>-7</v>
      </c>
      <c r="F147" s="4">
        <f t="shared" ref="F147:F153" si="63">($B$66/$B$65)*(C147-$B$125)</f>
        <v>0.1457725947521866</v>
      </c>
      <c r="G147" s="4">
        <f t="shared" ref="G147:G153" si="64">($B$66/$B$65)*(E147-$B$125)</f>
        <v>0.1457725947521866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</v>
      </c>
      <c r="K147" s="4">
        <f t="shared" ref="K147:K153" si="68">IF($F147&gt;=0,C147,IF(AND($F147&lt;0,$G147&gt;=0),$B$125,0))</f>
        <v>-7</v>
      </c>
      <c r="L147" s="4">
        <f t="shared" ref="L147:L153" si="69">IF($G147&gt;=0,D147,IF(AND($G147&lt;0,$F147&gt;=0),IF(H147="V",D147,($B$125-I147)/H147),0))</f>
        <v>-7</v>
      </c>
      <c r="M147" s="4">
        <f t="shared" ref="M147:M153" si="70">IF($G147&gt;=0,E147,IF(AND($G147&lt;0,$F147&gt;=0),$B$125,0))</f>
        <v>-7</v>
      </c>
      <c r="N147" s="4">
        <f t="shared" ref="N147:O153" si="71">IF(F147&lt;0,0,F147)</f>
        <v>0.1457725947521866</v>
      </c>
      <c r="O147" s="4">
        <f t="shared" si="71"/>
        <v>0.1457725947521866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</v>
      </c>
      <c r="C148">
        <f t="shared" si="62"/>
        <v>-7</v>
      </c>
      <c r="D148" s="9">
        <f t="shared" si="61"/>
        <v>-7</v>
      </c>
      <c r="E148">
        <f t="shared" si="61"/>
        <v>-7</v>
      </c>
      <c r="F148" s="4">
        <f t="shared" si="63"/>
        <v>0.1457725947521866</v>
      </c>
      <c r="G148" s="4">
        <f t="shared" si="64"/>
        <v>0.1457725947521866</v>
      </c>
      <c r="H148" s="4" t="str">
        <f t="shared" si="65"/>
        <v>V</v>
      </c>
      <c r="I148" s="4">
        <f t="shared" si="66"/>
        <v>0</v>
      </c>
      <c r="J148" s="4">
        <f t="shared" si="67"/>
        <v>-7</v>
      </c>
      <c r="K148" s="4">
        <f t="shared" si="68"/>
        <v>-7</v>
      </c>
      <c r="L148" s="4">
        <f t="shared" si="69"/>
        <v>-7</v>
      </c>
      <c r="M148" s="4">
        <f t="shared" si="70"/>
        <v>-7</v>
      </c>
      <c r="N148" s="4">
        <f t="shared" si="71"/>
        <v>0.1457725947521866</v>
      </c>
      <c r="O148" s="4">
        <f t="shared" si="71"/>
        <v>0.1457725947521866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</v>
      </c>
      <c r="C149">
        <f t="shared" si="62"/>
        <v>-7</v>
      </c>
      <c r="D149" s="9">
        <f t="shared" si="61"/>
        <v>-7</v>
      </c>
      <c r="E149">
        <f t="shared" si="61"/>
        <v>-7</v>
      </c>
      <c r="F149" s="4">
        <f t="shared" si="63"/>
        <v>0.1457725947521866</v>
      </c>
      <c r="G149" s="4">
        <f t="shared" si="64"/>
        <v>0.1457725947521866</v>
      </c>
      <c r="H149" s="4" t="str">
        <f t="shared" si="65"/>
        <v>V</v>
      </c>
      <c r="I149" s="4">
        <f t="shared" si="66"/>
        <v>0</v>
      </c>
      <c r="J149" s="4">
        <f t="shared" si="67"/>
        <v>-7</v>
      </c>
      <c r="K149" s="4">
        <f t="shared" si="68"/>
        <v>-7</v>
      </c>
      <c r="L149" s="4">
        <f t="shared" si="69"/>
        <v>-7</v>
      </c>
      <c r="M149" s="4">
        <f t="shared" si="70"/>
        <v>-7</v>
      </c>
      <c r="N149" s="4">
        <f t="shared" si="71"/>
        <v>0.1457725947521866</v>
      </c>
      <c r="O149" s="4">
        <f t="shared" si="71"/>
        <v>0.1457725947521866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</v>
      </c>
      <c r="C150">
        <f t="shared" si="62"/>
        <v>-7</v>
      </c>
      <c r="D150" s="9">
        <f t="shared" si="61"/>
        <v>-7</v>
      </c>
      <c r="E150">
        <f t="shared" si="61"/>
        <v>-7</v>
      </c>
      <c r="F150" s="4">
        <f t="shared" si="63"/>
        <v>0.1457725947521866</v>
      </c>
      <c r="G150" s="4">
        <f t="shared" si="64"/>
        <v>0.1457725947521866</v>
      </c>
      <c r="H150" s="4" t="str">
        <f t="shared" si="65"/>
        <v>V</v>
      </c>
      <c r="I150" s="4">
        <f t="shared" si="66"/>
        <v>0</v>
      </c>
      <c r="J150" s="4">
        <f t="shared" si="67"/>
        <v>-7</v>
      </c>
      <c r="K150" s="4">
        <f t="shared" si="68"/>
        <v>-7</v>
      </c>
      <c r="L150" s="4">
        <f t="shared" si="69"/>
        <v>-7</v>
      </c>
      <c r="M150" s="4">
        <f t="shared" si="70"/>
        <v>-7</v>
      </c>
      <c r="N150" s="4">
        <f t="shared" si="71"/>
        <v>0.1457725947521866</v>
      </c>
      <c r="O150" s="4">
        <f t="shared" si="71"/>
        <v>0.1457725947521866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</v>
      </c>
      <c r="C151">
        <f t="shared" si="62"/>
        <v>-7</v>
      </c>
      <c r="D151" s="9">
        <f t="shared" si="61"/>
        <v>-7</v>
      </c>
      <c r="E151">
        <f t="shared" si="61"/>
        <v>-7</v>
      </c>
      <c r="F151" s="4">
        <f t="shared" si="63"/>
        <v>0.1457725947521866</v>
      </c>
      <c r="G151" s="4">
        <f t="shared" si="64"/>
        <v>0.1457725947521866</v>
      </c>
      <c r="H151" s="4" t="str">
        <f t="shared" si="65"/>
        <v>V</v>
      </c>
      <c r="I151" s="4">
        <f t="shared" si="66"/>
        <v>0</v>
      </c>
      <c r="J151" s="4">
        <f t="shared" si="67"/>
        <v>-7</v>
      </c>
      <c r="K151" s="4">
        <f t="shared" si="68"/>
        <v>-7</v>
      </c>
      <c r="L151" s="4">
        <f t="shared" si="69"/>
        <v>-7</v>
      </c>
      <c r="M151" s="4">
        <f t="shared" si="70"/>
        <v>-7</v>
      </c>
      <c r="N151" s="4">
        <f t="shared" si="71"/>
        <v>0.1457725947521866</v>
      </c>
      <c r="O151" s="4">
        <f t="shared" si="71"/>
        <v>0.1457725947521866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</v>
      </c>
      <c r="C152">
        <f t="shared" si="62"/>
        <v>-7</v>
      </c>
      <c r="D152" s="9">
        <f t="shared" si="61"/>
        <v>-7</v>
      </c>
      <c r="E152">
        <f t="shared" si="61"/>
        <v>-7</v>
      </c>
      <c r="F152" s="4">
        <f t="shared" si="63"/>
        <v>0.1457725947521866</v>
      </c>
      <c r="G152" s="4">
        <f t="shared" si="64"/>
        <v>0.1457725947521866</v>
      </c>
      <c r="H152" s="4" t="str">
        <f t="shared" si="65"/>
        <v>V</v>
      </c>
      <c r="I152" s="4">
        <f t="shared" si="66"/>
        <v>0</v>
      </c>
      <c r="J152" s="4">
        <f t="shared" si="67"/>
        <v>-7</v>
      </c>
      <c r="K152" s="4">
        <f t="shared" si="68"/>
        <v>-7</v>
      </c>
      <c r="L152" s="4">
        <f t="shared" si="69"/>
        <v>-7</v>
      </c>
      <c r="M152" s="4">
        <f t="shared" si="70"/>
        <v>-7</v>
      </c>
      <c r="N152" s="4">
        <f t="shared" si="71"/>
        <v>0.1457725947521866</v>
      </c>
      <c r="O152" s="4">
        <f t="shared" si="71"/>
        <v>0.1457725947521866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</v>
      </c>
      <c r="C153">
        <f t="shared" si="62"/>
        <v>-7</v>
      </c>
      <c r="D153" s="9">
        <f t="shared" si="61"/>
        <v>-7</v>
      </c>
      <c r="E153">
        <f t="shared" si="61"/>
        <v>-7</v>
      </c>
      <c r="F153" s="4">
        <f t="shared" si="63"/>
        <v>0.1457725947521866</v>
      </c>
      <c r="G153" s="4">
        <f t="shared" si="64"/>
        <v>0.1457725947521866</v>
      </c>
      <c r="H153" s="4" t="str">
        <f t="shared" si="65"/>
        <v>V</v>
      </c>
      <c r="I153" s="4">
        <f t="shared" si="66"/>
        <v>0</v>
      </c>
      <c r="J153" s="4">
        <f t="shared" si="67"/>
        <v>-7</v>
      </c>
      <c r="K153" s="4">
        <f t="shared" si="68"/>
        <v>-7</v>
      </c>
      <c r="L153" s="4">
        <f t="shared" si="69"/>
        <v>-7</v>
      </c>
      <c r="M153" s="4">
        <f t="shared" si="70"/>
        <v>-7</v>
      </c>
      <c r="N153" s="4">
        <f t="shared" si="71"/>
        <v>0.1457725947521866</v>
      </c>
      <c r="O153" s="4">
        <f t="shared" si="71"/>
        <v>0.1457725947521866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</v>
      </c>
      <c r="C159" t="s">
        <v>36</v>
      </c>
    </row>
    <row r="160" spans="1:18" x14ac:dyDescent="0.25">
      <c r="A160" s="1" t="s">
        <v>106</v>
      </c>
      <c r="B160" s="4">
        <f>Q140+I122+Q154-O122</f>
        <v>50</v>
      </c>
      <c r="C160" t="s">
        <v>102</v>
      </c>
    </row>
    <row r="161" spans="1:9" x14ac:dyDescent="0.25">
      <c r="A161" s="1" t="s">
        <v>107</v>
      </c>
      <c r="B161" s="4">
        <f>R140+J122+R154-P122</f>
        <v>0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0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0.36443148688046645</v>
      </c>
      <c r="B169" s="1">
        <f>IF(E122=0,0,(MIN(H110:H121)*B65)/(B55*B56*E122))</f>
        <v>0</v>
      </c>
      <c r="C169" s="3">
        <f>A169+B169</f>
        <v>0.36443148688046645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1.4832396974191326E-8</v>
      </c>
      <c r="C175" s="27">
        <f>B65*SQRT(I175)</f>
        <v>3.4608926273113096E-7</v>
      </c>
      <c r="D175" s="27">
        <f>B66*SQRT(I175)</f>
        <v>5.4053924833058761E-9</v>
      </c>
      <c r="E175" s="27">
        <f>B67*SQRT(I175)</f>
        <v>-2.2E-16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1.4832396974191326E-8</v>
      </c>
      <c r="C176" s="3">
        <f>B65+C175</f>
        <v>23.333333679422598</v>
      </c>
      <c r="D176" s="3">
        <f>D175+B66</f>
        <v>0.36443149228585892</v>
      </c>
      <c r="E176" s="3">
        <f>B67+E175</f>
        <v>-1.4832397194191325E-8</v>
      </c>
      <c r="F176" s="16" t="s">
        <v>125</v>
      </c>
    </row>
    <row r="177" spans="1:13" x14ac:dyDescent="0.25">
      <c r="B177" s="27">
        <f>B176-B64</f>
        <v>1.4832396974191326E-8</v>
      </c>
      <c r="C177" s="27">
        <f>C176-B65</f>
        <v>3.460892621376388E-7</v>
      </c>
      <c r="D177" s="27">
        <f>D176-B66</f>
        <v>5.4053924669617004E-9</v>
      </c>
      <c r="E177" s="27">
        <f>E176-B67</f>
        <v>-2.1999999973925744E-16</v>
      </c>
      <c r="F177" s="16" t="s">
        <v>123</v>
      </c>
    </row>
    <row r="178" spans="1:13" x14ac:dyDescent="0.25">
      <c r="B178" t="b">
        <f>B177=B175</f>
        <v>1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-137.19999999178432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7.000000023924617</v>
      </c>
      <c r="B181" s="25">
        <f>(d_alpha_p!E136-d_alpha_m!E136)/(2*B177)</f>
        <v>7.000000023924617</v>
      </c>
      <c r="C181" s="25">
        <f>(d_alpha_p!E137-d_alpha_m!E137)/(2*B177)</f>
        <v>7.000000023924617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0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-0.36443148688046645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-137.19999999178432</v>
      </c>
      <c r="B190" s="25">
        <f>A181</f>
        <v>7.000000023924617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7.000000023924617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7.000000023924617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-137.19999999178432</v>
      </c>
      <c r="B201" s="25">
        <f t="shared" ref="B201:C201" si="77">B190</f>
        <v>7.000000023924617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7.000000023924617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7.000000023924617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2020-11-06T17:02:17Z</dcterms:modified>
</cp:coreProperties>
</file>