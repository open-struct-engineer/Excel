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F1CE4433-BB54-4758-B242-7FC6D80978A1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5" i="1" l="1"/>
  <c r="Q27" i="1"/>
  <c r="E23" i="1"/>
  <c r="E11" i="1"/>
  <c r="X43" i="1" l="1"/>
  <c r="X42" i="1"/>
  <c r="X41" i="1"/>
  <c r="X40" i="1"/>
  <c r="X44" i="1" l="1"/>
  <c r="AI36" i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D29" i="7" l="1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E119" i="5" l="1"/>
  <c r="F119" i="5"/>
  <c r="E120" i="2"/>
  <c r="F120" i="2"/>
  <c r="E119" i="4"/>
  <c r="D33" i="6"/>
  <c r="D34" i="6" s="1"/>
  <c r="E119" i="6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C80" i="4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O13" i="8" s="1"/>
  <c r="W13" i="8" s="1"/>
  <c r="J19" i="3"/>
  <c r="G22" i="3"/>
  <c r="J19" i="5"/>
  <c r="D22" i="2"/>
  <c r="O13" i="2" s="1"/>
  <c r="W13" i="2" s="1"/>
  <c r="B89" i="8"/>
  <c r="F126" i="8" s="1"/>
  <c r="I22" i="8"/>
  <c r="D22" i="3"/>
  <c r="I2" i="3" s="1"/>
  <c r="J19" i="8"/>
  <c r="J22" i="8" s="1"/>
  <c r="M13" i="8" s="1"/>
  <c r="B89" i="3"/>
  <c r="D136" i="3" s="1"/>
  <c r="G22" i="8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F22" i="8"/>
  <c r="E22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J22" i="5" l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E22" i="7"/>
  <c r="I2" i="4"/>
  <c r="J22" i="4"/>
  <c r="M13" i="4" s="1"/>
  <c r="P13" i="4"/>
  <c r="K15" i="8"/>
  <c r="L13" i="4"/>
  <c r="R19" i="8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5" i="8"/>
  <c r="AA15" i="8" s="1"/>
  <c r="Q77" i="4"/>
  <c r="R77" i="4" s="1"/>
  <c r="R76" i="4"/>
  <c r="B137" i="3"/>
  <c r="H136" i="3"/>
  <c r="I136" i="3" s="1"/>
  <c r="C137" i="3"/>
  <c r="K17" i="2" l="1"/>
  <c r="Q13" i="8"/>
  <c r="T13" i="8" s="1"/>
  <c r="R13" i="8"/>
  <c r="Y17" i="8"/>
  <c r="AA17" i="8" s="1"/>
  <c r="Y14" i="8"/>
  <c r="AA14" i="8" s="1"/>
  <c r="AC14" i="8" s="1"/>
  <c r="Y16" i="8"/>
  <c r="AA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H136" i="8"/>
  <c r="I136" i="8" s="1"/>
  <c r="R76" i="8"/>
  <c r="R76" i="9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H136" i="4"/>
  <c r="I136" i="4" s="1"/>
  <c r="Z18" i="9"/>
  <c r="AB18" i="9" s="1"/>
  <c r="AC18" i="9" s="1"/>
  <c r="Q77" i="3"/>
  <c r="R77" i="3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6" i="3" l="1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5" i="1"/>
  <c r="B132" i="1"/>
  <c r="Q13" i="1"/>
  <c r="T13" i="1" s="1"/>
  <c r="R13" i="1"/>
  <c r="AI21" i="1" l="1"/>
  <c r="AI20" i="1"/>
  <c r="AM20" i="1"/>
  <c r="AM21" i="1"/>
  <c r="AM16" i="1"/>
  <c r="AM18" i="1"/>
  <c r="AM19" i="1"/>
  <c r="AM17" i="1"/>
  <c r="AM15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K21" i="1" l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21" i="1" l="1"/>
  <c r="AN21" i="1" s="1"/>
  <c r="AC20" i="1"/>
  <c r="AN20" i="1" s="1"/>
  <c r="AC18" i="1"/>
  <c r="AN18" i="1" s="1"/>
  <c r="AN14" i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J66" i="1" l="1"/>
  <c r="AC27" i="1"/>
  <c r="AD27" i="1" s="1"/>
  <c r="AC26" i="1"/>
  <c r="AD26" i="1" s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AE26" i="1" l="1"/>
  <c r="AE27" i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6" i="1" l="1"/>
  <c r="AF27" i="1"/>
  <c r="AG29" i="1"/>
  <c r="G127" i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AH29" i="1"/>
  <c r="R79" i="1"/>
  <c r="R82" i="1" s="1"/>
  <c r="AE29" i="1"/>
  <c r="AE30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AE32" i="1" l="1"/>
  <c r="J65" i="1" s="1"/>
  <c r="AK29" i="1"/>
  <c r="AJ29" i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AE34" i="1" l="1"/>
  <c r="AE36" i="1" s="1"/>
  <c r="AJ31" i="1"/>
  <c r="Q65" i="1"/>
  <c r="AF36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AJ32" i="1" l="1"/>
  <c r="J64" i="1" s="1"/>
  <c r="Q64" i="1" s="1"/>
  <c r="AJ33" i="1"/>
  <c r="P137" i="4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AJ37" i="1" l="1"/>
  <c r="AJ36" i="1"/>
  <c r="AK36" i="1"/>
  <c r="AK37" i="1"/>
  <c r="Q140" i="4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30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<sst xmlns="http://schemas.openxmlformats.org/spreadsheetml/2006/main" count="2383" uniqueCount="207">
  <si>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</si>
  <si>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</si>
  <si>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</si>
  <si>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</si>
  <si>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</si>
  <si>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</si>
  <si>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</si>
  <si>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</si>
  <si>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</si>
  <si>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</si>
  <si>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</si>
  <si>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</si>
  <si>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</si>
  <si>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</si>
  <si>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</si>
  <si>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</si>
  <si>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</si>
  <si>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</si>
  <si>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</si>
  <si>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</si>
  <si>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</si>
  <si>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</si>
  <si>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</si>
  <si>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</si>
  <si>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</si>
  <si>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</si>
  <si>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</si>
  <si>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</si>
  <si>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</si>
  <si>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</si>
  <si>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</si>
  <si>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</si>
  <si>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</si>
  <si>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</si>
  <si>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</si>
  <si>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</si>
  <si>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</si>
  <si>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</si>
  <si>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</si>
  <si>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</si>
  <si>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</si>
  <si>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</si>
  <si>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</si>
  <si>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</si>
  <si>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</si>
  <si>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</si>
  <si>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</si>
  <si>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</si>
  <si>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</si>
  <si>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</si>
  <si>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</si>
  <si>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</si>
  <si>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</si>
  <si>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</si>
  <si>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</si>
  <si>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</si>
  <si>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</si>
  <si>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</si>
  <si>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</si>
  <si>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</si>
  <si>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</si>
  <si>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</si>
  <si>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</si>
  <si>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</si>
  <si>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</si>
  <si>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</si>
  <si>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</si>
  <si>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</si>
  <si>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</si>
  <si>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</si>
  <si>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</si>
  <si>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</si>
  <si>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</si>
  <si>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</si>
  <si>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</si>
  <si>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</si>
  <si>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</si>
  <si>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</si>
  <si>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</si>
  <si>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</si>
  <si>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</si>
  <si>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</si>
  <si>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</si>
  <si>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</si>
  <si>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</si>
  <si>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</si>
  <si>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</si>
  <si>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</si>
  <si>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</si>
  <si>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</si>
  <si>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</si>
  <si>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</si>
  <si>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</si>
  <si>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</si>
  <si>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</si>
  <si>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</si>
  <si>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</si>
  <si>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</si>
  <si>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</si>
  <si>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</si>
  <si>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</si>
  <si>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</si>
  <si>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</si>
  <si>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</si>
  <si>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</si>
  <si>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</si>
  <si>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</si>
  <si>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</si>
  <si>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</si>
  <si>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</si>
  <si>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</si>
  <si>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</si>
  <si>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</si>
  <si>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</si>
  <si>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</si>
  <si>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</si>
  <si>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</si>
  <si>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</si>
  <si>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</si>
  <si>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</si>
  <si>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</si>
  <si>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</si>
  <si>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</si>
  <si>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</si>
  <si>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</si>
  <si>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</si>
  <si>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</si>
  <si>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</si>
  <si>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</si>
  <si>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</si>
  <si>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</si>
  <si>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</si>
  <si>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</si>
  <si>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</si>
  <si>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</si>
  <si>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</si>
  <si>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</si>
  <si>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</si>
  <si>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</si>
  <si>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</si>
  <si>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</si>
  <si>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</si>
  <si>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</si>
  <si>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</si>
  <si>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</si>
  <si>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</si>
  <si>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</si>
  <si>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</si>
  <si>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</si>
  <si>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</si>
  <si>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</si>
  <si>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</si>
  <si>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</si>
  <si>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</si>
  <si>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</si>
  <si>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</si>
  <si>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</si>
  <si>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</si>
  <si>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</si>
  <si>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</si>
  <si>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</si>
  <si>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</si>
  <si>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</si>
  <si>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</si>
  <si>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</si>
  <si>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</si>
  <si>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</si>
  <si>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</si>
  <si>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</si>
  <si>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</si>
  <si>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</si>
  <si>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</si>
  <si>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</si>
  <si>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</si>
  <si>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</si>
  <si>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</si>
  <si>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</si>
  <si>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</si>
  <si>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</si>
  <si>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</si>
  <si>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</si>
  <si>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</si>
  <si>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</si>
  <si>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</si>
  <si>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</si>
  <si>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</si>
  <si>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</si>
  <si>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</si>
  <si>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</si>
  <si>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</si>
  <si>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</si>
  <si>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</si>
  <si>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</si>
  <si>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</si>
  <si>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</si>
  <si>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</si>
  <si>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</si>
  <si>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</si>
  <si>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</si>
  <si>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</si>
  <si>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</si>
  <si>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</si>
  <si>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</si>
  <si>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</si>
  <si>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required square dim for all compression</t>
  </si>
  <si>
    <t>(Enter Hole Coordinates Clockwise)</t>
  </si>
  <si>
    <t>(Enter Plate Coordinates Counter-Clockwise)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</si>
</sst>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1.8524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BE170D-870B-4F06-A5B6-A7093F1472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E8364E-214C-4325-95EF-14F2773347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572341-DA1F-46A5-B0E0-E43422E708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1431ED-104D-4605-BF0B-8D776F082C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9.5</c:v>
                </c:pt>
                <c:pt idx="3">
                  <c:v>9.5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</c:v>
                </c:pt>
                <c:pt idx="3">
                  <c:v>9.5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5.0934 kips</c:v>
                  </c:pt>
                  <c:pt idx="1">
                    <c:v>
4.9356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4DE3E4C6-5358-442B-BD34-EBA69E78BDD2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870102128038731"/>
                      <c:h val="9.852922930088284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30 kips
Mx: -120 kip-in
My: 120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-1.2635806579619162</c:v>
                </c:pt>
                <c:pt idx="1">
                  <c:v>12.051028785601856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7.1207877396602015</c:v>
                </c:pt>
                <c:pt idx="1">
                  <c:v>6.223879200078601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A908D1-151E-4872-8D09-A967CD78D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5.8126266492607961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9.5480383483361866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40.786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67F60F-FC57-4B15-88A8-A5D43602B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EBA8DF-487D-4D63-AD73-1953B35AA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54EEA50-E9EF-4571-AFC0-E2EAE540F0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6.2946793761669859</c:v>
                </c:pt>
                <c:pt idx="4">
                  <c:v>11</c:v>
                </c:pt>
                <c:pt idx="5">
                  <c:v>11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3">
                    <c:v>0 ksi</c:v>
                  </c:pt>
                  <c:pt idx="4">
                    <c:v>1.8524 ksi</c:v>
                  </c:pt>
                  <c:pt idx="5">
                    <c:v>1.5607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7.0356694876093302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5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9.5</c:v>
                </c:pt>
                <c:pt idx="3">
                  <c:v>9.5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</c:v>
                </c:pt>
                <c:pt idx="3">
                  <c:v>9.5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0078313532873963"/>
                  <c:y val="-0.23951762161810561"/>
                </c:manualLayout>
              </c:layout>
              <c:tx>
                <c:rich>
                  <a:bodyPr/>
                  <a:lstStyle/>
                  <a:p>
                    <a:fld id="{514AD89D-CDF4-4485-835F-D41343EC3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2.75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8.25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1.8524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-1.2635806579619162</c:v>
                </c:pt>
                <c:pt idx="1">
                  <c:v>12.051028785601856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7.1207877396602015</c:v>
                </c:pt>
                <c:pt idx="1">
                  <c:v>6.223879200078601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5.8126266492607961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9.5480383483361866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4.583333333333333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-2.1892958128330888</c:v>
                </c:pt>
                <c:pt idx="1">
                  <c:v>3.298267715714585</c:v>
                </c:pt>
                <c:pt idx="2">
                  <c:v>2.9286104147540861</c:v>
                </c:pt>
                <c:pt idx="3">
                  <c:v>8.4161739433017591</c:v>
                </c:pt>
                <c:pt idx="4">
                  <c:v>8.0465166423412615</c:v>
                </c:pt>
                <c:pt idx="5">
                  <c:v>-2.9286104147540861</c:v>
                </c:pt>
                <c:pt idx="6">
                  <c:v>-2.1892958128330888</c:v>
                </c:pt>
                <c:pt idx="7">
                  <c:v>-2.1892958128330888</c:v>
                </c:pt>
                <c:pt idx="8">
                  <c:v>-2.1892958128330888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-8.4161739433017591</c:v>
                </c:pt>
                <c:pt idx="1">
                  <c:v>-8.0465166423412615</c:v>
                </c:pt>
                <c:pt idx="2">
                  <c:v>-2.5589531137935877</c:v>
                </c:pt>
                <c:pt idx="3">
                  <c:v>-2.1892958128330888</c:v>
                </c:pt>
                <c:pt idx="4">
                  <c:v>3.298267715714585</c:v>
                </c:pt>
                <c:pt idx="5">
                  <c:v>2.5589531137935877</c:v>
                </c:pt>
                <c:pt idx="6">
                  <c:v>-8.4161739433017591</c:v>
                </c:pt>
                <c:pt idx="7">
                  <c:v>-8.4161739433017591</c:v>
                </c:pt>
                <c:pt idx="8">
                  <c:v>-8.4161739433017591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-0.79350320530931384</c:v>
                </c:pt>
                <c:pt idx="1">
                  <c:v>1.7008438531214471</c:v>
                </c:pt>
                <c:pt idx="2">
                  <c:v>6.8187500807086225</c:v>
                </c:pt>
                <c:pt idx="3">
                  <c:v>6.650724034817487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-6.8187500807086225</c:v>
                </c:pt>
                <c:pt idx="1">
                  <c:v>-6.650724034817487</c:v>
                </c:pt>
                <c:pt idx="2">
                  <c:v>-0.79350320530931384</c:v>
                </c:pt>
                <c:pt idx="3">
                  <c:v>1.7008438531214471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-3.9286104147540861</c:v>
                </c:pt>
                <c:pt idx="1">
                  <c:v>9.4161739433017591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-1.396413347098004</c:v>
                </c:pt>
                <c:pt idx="1">
                  <c:v>-1.396413347098004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8.3627632099703302</c:v>
                </c:pt>
                <c:pt idx="4">
                  <c:v>8.0465166423412615</c:v>
                </c:pt>
                <c:pt idx="5">
                  <c:v>-2.9286104147540861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-1.396413347098004</c:v>
                </c:pt>
                <c:pt idx="4">
                  <c:v>3.298267715714585</c:v>
                </c:pt>
                <c:pt idx="5">
                  <c:v>2.5589531137935877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8.0465166423412615</c:v>
                </c:pt>
                <c:pt idx="4">
                  <c:v>-2.9286104147540861</c:v>
                </c:pt>
                <c:pt idx="5">
                  <c:v>-2.6621661025130523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3.298267715714585</c:v>
                </c:pt>
                <c:pt idx="4">
                  <c:v>2.5589531137935877</c:v>
                </c:pt>
                <c:pt idx="5">
                  <c:v>-1.396413347098004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2.9684598090277334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1.5009436727275194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-9.4161739433017591</c:v>
                </c:pt>
                <c:pt idx="1">
                  <c:v>9.4161739433017591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-9.4161739433017591</c:v>
                </c:pt>
                <c:pt idx="1">
                  <c:v>9.4161739433017591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-2.1892958128330888</c:v>
                </c:pt>
                <c:pt idx="1">
                  <c:v>-2.1892958128330888</c:v>
                </c:pt>
                <c:pt idx="2">
                  <c:v>-2.1892958128330888</c:v>
                </c:pt>
                <c:pt idx="3">
                  <c:v>-2.1892958128330888</c:v>
                </c:pt>
                <c:pt idx="4">
                  <c:v>-2.1892958128330888</c:v>
                </c:pt>
                <c:pt idx="5">
                  <c:v>-2.1892958128330888</c:v>
                </c:pt>
                <c:pt idx="6">
                  <c:v>-2.1892958128330888</c:v>
                </c:pt>
                <c:pt idx="7">
                  <c:v>-2.1892958128330888</c:v>
                </c:pt>
                <c:pt idx="8">
                  <c:v>-2.1892958128330888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-8.4161739433017591</c:v>
                </c:pt>
                <c:pt idx="1">
                  <c:v>-8.4161739433017591</c:v>
                </c:pt>
                <c:pt idx="2">
                  <c:v>-8.4161739433017591</c:v>
                </c:pt>
                <c:pt idx="3">
                  <c:v>-8.4161739433017591</c:v>
                </c:pt>
                <c:pt idx="4">
                  <c:v>-8.4161739433017591</c:v>
                </c:pt>
                <c:pt idx="5">
                  <c:v>-8.4161739433017591</c:v>
                </c:pt>
                <c:pt idx="6">
                  <c:v>-8.4161739433017591</c:v>
                </c:pt>
                <c:pt idx="7">
                  <c:v>-8.4161739433017591</c:v>
                </c:pt>
                <c:pt idx="8">
                  <c:v>-8.4161739433017591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-0.79350320530931384</c:v>
                </c:pt>
                <c:pt idx="1">
                  <c:v>1.7008438531214471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-6.8187500807086225</c:v>
                </c:pt>
                <c:pt idx="1">
                  <c:v>-6.650724034817487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11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4.8247767857142856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4.8247767857142856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-2.9533978073377378</c:v>
                </c:pt>
                <c:pt idx="1">
                  <c:v>12.60295137876631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12.602951378766306</c:v>
                </c:pt>
                <c:pt idx="1">
                  <c:v>-2.953397807337736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274544</xdr:colOff>
      <xdr:row>37</xdr:row>
      <xdr:rowOff>73958</xdr:rowOff>
    </xdr:from>
    <xdr:to>
      <xdr:col>36</xdr:col>
      <xdr:colOff>593913</xdr:colOff>
      <xdr:row>56</xdr:row>
      <xdr:rowOff>112059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5" zoomScale="85" zoomScaleNormal="85" workbookViewId="0">
      <selection activeCell="E60" sqref="E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3.57031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30</v>
      </c>
      <c r="C2" t="s">
        <v>36</v>
      </c>
      <c r="D2" t="s">
        <v>103</v>
      </c>
      <c r="H2" s="10" t="s">
        <v>187</v>
      </c>
      <c r="I2">
        <f>B2/D22</f>
        <v>0.33057851239669422</v>
      </c>
      <c r="J2" t="s">
        <v>11</v>
      </c>
      <c r="N2" t="s">
        <v>189</v>
      </c>
    </row>
    <row r="3" spans="1:40" x14ac:dyDescent="0.25">
      <c r="A3" s="10" t="s">
        <v>79</v>
      </c>
      <c r="B3" s="2">
        <v>-120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-1.833333333333333</v>
      </c>
      <c r="J3" t="s">
        <v>22</v>
      </c>
      <c r="K3" t="s">
        <v>180</v>
      </c>
      <c r="L3" s="4">
        <f>B2*I3</f>
        <v>-54.999999999999993</v>
      </c>
      <c r="M3" t="str">
        <f>"+My"</f>
        <v>+My</v>
      </c>
      <c r="N3" s="4">
        <f>L3+B4</f>
        <v>65</v>
      </c>
      <c r="O3" t="s">
        <v>102</v>
      </c>
    </row>
    <row r="4" spans="1:40" x14ac:dyDescent="0.25">
      <c r="A4" s="10" t="s">
        <v>80</v>
      </c>
      <c r="B4" s="2">
        <v>120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1.833333333333333</v>
      </c>
      <c r="J4" t="s">
        <v>22</v>
      </c>
      <c r="K4" t="s">
        <v>181</v>
      </c>
      <c r="L4" s="4">
        <f>B2*I4*-1</f>
        <v>-54.999999999999993</v>
      </c>
      <c r="M4" t="str">
        <f>"+Mx"</f>
        <v>+Mx</v>
      </c>
      <c r="N4" s="4">
        <f>B3+L4</f>
        <v>-175</v>
      </c>
      <c r="O4" t="s">
        <v>102</v>
      </c>
    </row>
    <row r="5" spans="1:40" x14ac:dyDescent="0.25">
      <c r="A5" s="10" t="s">
        <v>104</v>
      </c>
      <c r="B5" s="20">
        <f>IF(AND(B3=0,B4=0),0,ATAN2(B3,B4))</f>
        <v>2.3561944901923448</v>
      </c>
      <c r="C5" t="s">
        <v>19</v>
      </c>
      <c r="M5" s="10" t="s">
        <v>104</v>
      </c>
      <c r="N5" s="20">
        <f>IF(AND(N4=0,N3=0),0,ATAN2(N4,N3))</f>
        <v>2.7859567692890335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2.75</v>
      </c>
      <c r="C9" s="2">
        <v>8.25</v>
      </c>
      <c r="D9" t="s">
        <v>21</v>
      </c>
    </row>
    <row r="11" spans="1:40" x14ac:dyDescent="0.25">
      <c r="A11" t="s">
        <v>0</v>
      </c>
      <c r="B11" t="s">
        <v>206</v>
      </c>
      <c r="E11" s="60" t="str">
        <f>IF(D22&lt;0,"Plate Coordinates entered in the wrong order","")</f>
        <v/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G22-(D22*F22*F22)</f>
        <v>838.80729166666652</v>
      </c>
      <c r="O13" s="19">
        <f>H22-(D22*E22*E22)</f>
        <v>838.80729166666674</v>
      </c>
      <c r="P13" s="19">
        <f>I22-(D22*E22*F22)</f>
        <v>305.02083333333303</v>
      </c>
      <c r="Q13" s="19">
        <f>N13+O13</f>
        <v>1677.6145833333333</v>
      </c>
      <c r="R13" s="19">
        <f>SQRT(ABS(N13/D22))</f>
        <v>3.0402393911591163</v>
      </c>
      <c r="S13" s="19">
        <f>SQRT(O13/D22)</f>
        <v>3.0402393911591168</v>
      </c>
      <c r="T13" s="19">
        <f>SQRT(Q13/D22)</f>
        <v>4.2995477798381438</v>
      </c>
      <c r="U13" s="19">
        <f>N13/(MAX(C13:C20)-F22)</f>
        <v>183.01249999999999</v>
      </c>
      <c r="V13" s="19">
        <f>N13/(MIN(C13:C20)-F22)</f>
        <v>-130.72321428571425</v>
      </c>
      <c r="W13" s="19">
        <f>O13/(MIN(B13:B20)-E22)</f>
        <v>-183.01250000000002</v>
      </c>
      <c r="X13" s="19">
        <f>O13/(MAX(B13:B20)-E22)</f>
        <v>130.72321428571428</v>
      </c>
    </row>
    <row r="14" spans="1:40" x14ac:dyDescent="0.25">
      <c r="A14">
        <v>2</v>
      </c>
      <c r="B14" s="7">
        <v>5.5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L14">
        <f>IF(AND(B14=B15,C14=C15),0,1)</f>
        <v>1</v>
      </c>
      <c r="Y14" s="1">
        <f>$N$13/(C14-$F$22)</f>
        <v>-130.72321428571425</v>
      </c>
      <c r="Z14">
        <f>$O$13/(B14-$E$22)</f>
        <v>915.06249999999977</v>
      </c>
      <c r="AA14">
        <f>-1*$B$3/Y14</f>
        <v>-0.91797008401065527</v>
      </c>
      <c r="AB14">
        <f>$B$4/Z14</f>
        <v>0.1311385834300936</v>
      </c>
      <c r="AC14">
        <f>$I$2+AG14+AK14</f>
        <v>-1.0020392830310185</v>
      </c>
      <c r="AD14" s="9">
        <f>C14-$F$22</f>
        <v>-6.416666666666667</v>
      </c>
      <c r="AE14">
        <f>(AD14*$N$4*$O$13)/(($N$13*$O$13)-($P$13*$P$13))</f>
        <v>1.5426997245179059</v>
      </c>
      <c r="AF14">
        <f>(AD14*$N$3*$P$13)/(($N$13*$O$13)-($P$13*$P$13))</f>
        <v>-0.20836463811670397</v>
      </c>
      <c r="AG14">
        <f>(AE14+AF14)*-1</f>
        <v>-1.334335086401202</v>
      </c>
      <c r="AH14" s="9">
        <f>B14-$E$22</f>
        <v>0.91666666666666696</v>
      </c>
      <c r="AI14">
        <f>(-1*AH14*$N$3*$N$13)/(($N$13*$O$13)-($P$13*$P$13))</f>
        <v>-8.1857536402990927E-2</v>
      </c>
      <c r="AJ14">
        <f>(-1*AH14*$N$4*$P$13)/(($N$13*$O$13)-($P$13*$P$13))</f>
        <v>8.0140245429501544E-2</v>
      </c>
      <c r="AK14">
        <f>(AI14+AJ14)*-1</f>
        <v>1.7172909734893826E-3</v>
      </c>
      <c r="AM14">
        <f>AA14+AB14+$I$2</f>
        <v>-0.4562529881838675</v>
      </c>
      <c r="AN14" t="b">
        <f>AM14=AC14</f>
        <v>0</v>
      </c>
    </row>
    <row r="15" spans="1:40" x14ac:dyDescent="0.25">
      <c r="A15">
        <v>3</v>
      </c>
      <c r="B15" s="7">
        <v>5.5</v>
      </c>
      <c r="C15" s="7">
        <v>5.5</v>
      </c>
      <c r="D15" s="5">
        <f t="shared" ref="D15:D18" si="0">((B14*C15)-(B15*C14))*0.5</f>
        <v>15.125</v>
      </c>
      <c r="E15" s="5">
        <f t="shared" ref="E15:E18" si="1">(B15+B14)*((B14*C15)-(B15*C14))*(1/6)</f>
        <v>55.458333333333329</v>
      </c>
      <c r="F15" s="5">
        <f t="shared" ref="F15:F18" si="2">(C15+C14)*((B14*C15)-(B15*C14))*(1/6)</f>
        <v>27.729166666666664</v>
      </c>
      <c r="G15" s="5">
        <f t="shared" ref="G15:G18" si="3">(((C14*C14)+(C14*C15)+(C15*C15))*((B14*C15)-(B15*C14)))/12</f>
        <v>76.255208333333329</v>
      </c>
      <c r="H15" s="5">
        <f t="shared" ref="H15:H18" si="4">(((B14*B14)+(B14*B15)+(B15*B15))*((B14*C15)-(B15*C14)))/12</f>
        <v>228.765625</v>
      </c>
      <c r="I15" s="5">
        <f t="shared" ref="I15:I18" si="5">(((B14*C15)+(2*B14*C14)+(2*B15*C15)+(B15*C14))*((B14*C15)-(B15*C14)))/24</f>
        <v>114.3828125</v>
      </c>
      <c r="J15" s="5">
        <f t="shared" ref="J15:J18" si="6">G15+H15</f>
        <v>305.02083333333331</v>
      </c>
      <c r="K15">
        <f t="shared" ref="K15:K21" si="7">ATAN2((B15-$E$22),(C15-$F$22))</f>
        <v>-0.78539816339744828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-915.06249999999955</v>
      </c>
      <c r="Z15">
        <f t="shared" ref="Z15:Z21" si="10">$O$13/(B15-$E$22)</f>
        <v>915.06249999999977</v>
      </c>
      <c r="AA15">
        <f t="shared" ref="AA15:AA21" si="11">-1*$B$3/Y15</f>
        <v>-0.13113858343009363</v>
      </c>
      <c r="AB15">
        <f t="shared" ref="AB15:AB21" si="12">$B$4/Z15</f>
        <v>0.1311385834300936</v>
      </c>
      <c r="AC15">
        <f t="shared" ref="AC15:AC21" si="13">$I$2+AG15+AK15</f>
        <v>0.14167650531286899</v>
      </c>
      <c r="AD15" s="9">
        <f t="shared" ref="AD15:AD21" si="14">C15-$F$22</f>
        <v>-0.91666666666666696</v>
      </c>
      <c r="AE15">
        <f t="shared" ref="AE15:AE21" si="15">(AD15*$N$4*$O$13)/(($N$13*$O$13)-($P$13*$P$13))</f>
        <v>0.22038567493112948</v>
      </c>
      <c r="AF15">
        <f t="shared" ref="AF15:AF21" si="16">(AD15*$N$3*$P$13)/(($N$13*$O$13)-($P$13*$P$13))</f>
        <v>-2.9766376873814861E-2</v>
      </c>
      <c r="AG15">
        <f t="shared" ref="AG15:AG21" si="17">(AE15+AF15)*-1</f>
        <v>-0.19061929805731462</v>
      </c>
      <c r="AH15" s="9">
        <f t="shared" ref="AH15:AH21" si="18">B15-$E$22</f>
        <v>0.91666666666666696</v>
      </c>
      <c r="AI15">
        <f t="shared" ref="AI15:AI21" si="19">(-1*AH15*$N$3*$N$13)/(($N$13*$O$13)-($P$13*$P$13))</f>
        <v>-8.1857536402990927E-2</v>
      </c>
      <c r="AJ15">
        <f t="shared" ref="AJ15:AJ21" si="20">(-1*AH15*$N$4*$P$13)/(($N$13*$O$13)-($P$13*$P$13))</f>
        <v>8.0140245429501544E-2</v>
      </c>
      <c r="AK15">
        <f t="shared" ref="AK15:AK21" si="21">(AI15+AJ15)*-1</f>
        <v>1.7172909734893826E-3</v>
      </c>
      <c r="AM15">
        <f t="shared" ref="AM15:AM21" si="22">AA15+AB15+$I$2</f>
        <v>0.33057851239669422</v>
      </c>
      <c r="AN15" t="b">
        <f t="shared" ref="AN15:AN21" si="23">AM15=AC15</f>
        <v>0</v>
      </c>
    </row>
    <row r="16" spans="1:40" x14ac:dyDescent="0.25">
      <c r="A16">
        <v>4</v>
      </c>
      <c r="B16" s="7">
        <v>11</v>
      </c>
      <c r="C16" s="7"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-915.06249999999955</v>
      </c>
      <c r="Z16">
        <f t="shared" si="10"/>
        <v>130.72321428571428</v>
      </c>
      <c r="AA16">
        <f t="shared" si="11"/>
        <v>-0.13113858343009363</v>
      </c>
      <c r="AB16">
        <f t="shared" si="12"/>
        <v>0.91797008401065505</v>
      </c>
      <c r="AC16">
        <f t="shared" si="13"/>
        <v>0.1519802511538054</v>
      </c>
      <c r="AD16" s="9">
        <f t="shared" si="14"/>
        <v>-0.91666666666666696</v>
      </c>
      <c r="AE16">
        <f t="shared" si="15"/>
        <v>0.22038567493112948</v>
      </c>
      <c r="AF16">
        <f t="shared" si="16"/>
        <v>-2.9766376873814861E-2</v>
      </c>
      <c r="AG16">
        <f t="shared" si="17"/>
        <v>-0.19061929805731462</v>
      </c>
      <c r="AH16" s="9">
        <f t="shared" si="18"/>
        <v>6.416666666666667</v>
      </c>
      <c r="AI16">
        <f t="shared" si="19"/>
        <v>-0.57300275482093643</v>
      </c>
      <c r="AJ16">
        <f t="shared" si="20"/>
        <v>0.56098171800651064</v>
      </c>
      <c r="AK16">
        <f t="shared" si="21"/>
        <v>1.202103681442579E-2</v>
      </c>
      <c r="AM16">
        <f t="shared" si="22"/>
        <v>1.1174100129772557</v>
      </c>
      <c r="AN16" t="b">
        <f t="shared" si="23"/>
        <v>0</v>
      </c>
    </row>
    <row r="17" spans="1:40" x14ac:dyDescent="0.25">
      <c r="A17">
        <v>5</v>
      </c>
      <c r="B17" s="7">
        <v>11</v>
      </c>
      <c r="C17" s="7"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L17">
        <f t="shared" si="8"/>
        <v>1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9"/>
        <v>183.01249999999999</v>
      </c>
      <c r="Z17">
        <f t="shared" si="10"/>
        <v>130.72321428571428</v>
      </c>
      <c r="AA17">
        <f t="shared" si="11"/>
        <v>0.65569291715046796</v>
      </c>
      <c r="AB17">
        <f t="shared" si="12"/>
        <v>0.91797008401065505</v>
      </c>
      <c r="AC17">
        <f t="shared" si="13"/>
        <v>1.2956960394976929</v>
      </c>
      <c r="AD17" s="9">
        <f t="shared" si="14"/>
        <v>4.583333333333333</v>
      </c>
      <c r="AE17">
        <f t="shared" si="15"/>
        <v>-1.101928374655647</v>
      </c>
      <c r="AF17">
        <f t="shared" si="16"/>
        <v>0.14883188436907424</v>
      </c>
      <c r="AG17">
        <f t="shared" si="17"/>
        <v>0.95309649028657273</v>
      </c>
      <c r="AH17" s="9">
        <f t="shared" si="18"/>
        <v>6.416666666666667</v>
      </c>
      <c r="AI17">
        <f t="shared" si="19"/>
        <v>-0.57300275482093643</v>
      </c>
      <c r="AJ17">
        <f t="shared" si="20"/>
        <v>0.56098171800651064</v>
      </c>
      <c r="AK17">
        <f t="shared" si="21"/>
        <v>1.202103681442579E-2</v>
      </c>
      <c r="AM17">
        <f t="shared" si="22"/>
        <v>1.9042415135578172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L18">
        <f t="shared" si="8"/>
        <v>1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183.01249999999999</v>
      </c>
      <c r="Z18">
        <f t="shared" si="10"/>
        <v>-183.01250000000002</v>
      </c>
      <c r="AA18">
        <f t="shared" si="11"/>
        <v>0.65569291715046796</v>
      </c>
      <c r="AB18">
        <f t="shared" si="12"/>
        <v>-0.65569291715046785</v>
      </c>
      <c r="AC18">
        <f t="shared" si="13"/>
        <v>1.27508854781582</v>
      </c>
      <c r="AD18" s="9">
        <f t="shared" si="14"/>
        <v>4.583333333333333</v>
      </c>
      <c r="AE18">
        <f t="shared" si="15"/>
        <v>-1.101928374655647</v>
      </c>
      <c r="AF18">
        <f t="shared" si="16"/>
        <v>0.14883188436907424</v>
      </c>
      <c r="AG18">
        <f t="shared" si="17"/>
        <v>0.95309649028657273</v>
      </c>
      <c r="AH18" s="9">
        <f t="shared" si="18"/>
        <v>-4.583333333333333</v>
      </c>
      <c r="AI18">
        <f t="shared" si="19"/>
        <v>0.40928768201495447</v>
      </c>
      <c r="AJ18">
        <f t="shared" si="20"/>
        <v>-0.40070122714750755</v>
      </c>
      <c r="AK18">
        <f t="shared" si="21"/>
        <v>-8.5864548674469132E-3</v>
      </c>
      <c r="AM18">
        <f t="shared" si="22"/>
        <v>0.33057851239669434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-2.1910458127777179</v>
      </c>
      <c r="L19">
        <f t="shared" si="8"/>
        <v>0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9"/>
        <v>-130.72321428571425</v>
      </c>
      <c r="Z19">
        <f t="shared" si="10"/>
        <v>-183.01250000000002</v>
      </c>
      <c r="AA19">
        <f t="shared" si="11"/>
        <v>-0.91797008401065527</v>
      </c>
      <c r="AB19">
        <f t="shared" si="12"/>
        <v>-0.65569291715046785</v>
      </c>
      <c r="AC19">
        <f t="shared" si="13"/>
        <v>-1.0123430288719546</v>
      </c>
      <c r="AD19" s="9">
        <f t="shared" si="14"/>
        <v>-6.416666666666667</v>
      </c>
      <c r="AE19">
        <f t="shared" si="15"/>
        <v>1.5426997245179059</v>
      </c>
      <c r="AF19">
        <f t="shared" si="16"/>
        <v>-0.20836463811670397</v>
      </c>
      <c r="AG19">
        <f t="shared" si="17"/>
        <v>-1.334335086401202</v>
      </c>
      <c r="AH19" s="9">
        <f t="shared" si="18"/>
        <v>-4.583333333333333</v>
      </c>
      <c r="AI19">
        <f t="shared" si="19"/>
        <v>0.40928768201495447</v>
      </c>
      <c r="AJ19">
        <f t="shared" si="20"/>
        <v>-0.40070122714750755</v>
      </c>
      <c r="AK19">
        <f t="shared" si="21"/>
        <v>-8.5864548674469132E-3</v>
      </c>
      <c r="AM19">
        <f t="shared" si="22"/>
        <v>-1.2430844887644288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-2.1910458127777179</v>
      </c>
      <c r="L20">
        <f t="shared" si="8"/>
        <v>0</v>
      </c>
      <c r="Y20" s="1">
        <f t="shared" si="9"/>
        <v>-130.72321428571425</v>
      </c>
      <c r="Z20">
        <f t="shared" si="10"/>
        <v>-183.01250000000002</v>
      </c>
      <c r="AA20">
        <f t="shared" si="11"/>
        <v>-0.91797008401065527</v>
      </c>
      <c r="AB20">
        <f t="shared" si="12"/>
        <v>-0.65569291715046785</v>
      </c>
      <c r="AC20">
        <f t="shared" si="13"/>
        <v>-1.0123430288719546</v>
      </c>
      <c r="AD20" s="9">
        <f t="shared" si="14"/>
        <v>-6.416666666666667</v>
      </c>
      <c r="AE20">
        <f t="shared" si="15"/>
        <v>1.5426997245179059</v>
      </c>
      <c r="AF20">
        <f t="shared" si="16"/>
        <v>-0.20836463811670397</v>
      </c>
      <c r="AG20">
        <f t="shared" si="17"/>
        <v>-1.334335086401202</v>
      </c>
      <c r="AH20" s="9">
        <f t="shared" si="18"/>
        <v>-4.583333333333333</v>
      </c>
      <c r="AI20">
        <f t="shared" si="19"/>
        <v>0.40928768201495447</v>
      </c>
      <c r="AJ20">
        <f t="shared" si="20"/>
        <v>-0.40070122714750755</v>
      </c>
      <c r="AK20">
        <f t="shared" si="21"/>
        <v>-8.5864548674469132E-3</v>
      </c>
      <c r="AM20">
        <f t="shared" si="22"/>
        <v>-1.2430844887644288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-2.1910458127777179</v>
      </c>
      <c r="L21">
        <v>1</v>
      </c>
      <c r="Y21" s="1">
        <f t="shared" si="9"/>
        <v>-130.72321428571425</v>
      </c>
      <c r="Z21">
        <f t="shared" si="10"/>
        <v>-183.01250000000002</v>
      </c>
      <c r="AA21">
        <f t="shared" si="11"/>
        <v>-0.91797008401065527</v>
      </c>
      <c r="AB21">
        <f t="shared" si="12"/>
        <v>-0.65569291715046785</v>
      </c>
      <c r="AC21">
        <f t="shared" si="13"/>
        <v>-1.0123430288719546</v>
      </c>
      <c r="AD21" s="9">
        <f t="shared" si="14"/>
        <v>-6.416666666666667</v>
      </c>
      <c r="AE21">
        <f t="shared" si="15"/>
        <v>1.5426997245179059</v>
      </c>
      <c r="AF21">
        <f t="shared" si="16"/>
        <v>-0.20836463811670397</v>
      </c>
      <c r="AG21">
        <f t="shared" si="17"/>
        <v>-1.334335086401202</v>
      </c>
      <c r="AH21" s="9">
        <f t="shared" si="18"/>
        <v>-4.583333333333333</v>
      </c>
      <c r="AI21">
        <f t="shared" si="19"/>
        <v>0.40928768201495447</v>
      </c>
      <c r="AJ21">
        <f t="shared" si="20"/>
        <v>-0.40070122714750755</v>
      </c>
      <c r="AK21">
        <f t="shared" si="21"/>
        <v>-8.5864548674469132E-3</v>
      </c>
      <c r="AM21">
        <f t="shared" si="22"/>
        <v>-1.2430844887644288</v>
      </c>
      <c r="AN21" t="b">
        <f t="shared" si="23"/>
        <v>0</v>
      </c>
    </row>
    <row r="22" spans="1:40" x14ac:dyDescent="0.25">
      <c r="D22" s="5">
        <f>SUM(D13:D21)</f>
        <v>90.75</v>
      </c>
      <c r="E22" s="3">
        <f>SUM(E14:E21)/D22</f>
        <v>4.583333333333333</v>
      </c>
      <c r="F22" s="3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  <c r="AC22">
        <f>COUNTIF(AC14:AC21,"&gt;0")</f>
        <v>4</v>
      </c>
    </row>
    <row r="23" spans="1:40" x14ac:dyDescent="0.25">
      <c r="A23" t="s">
        <v>133</v>
      </c>
      <c r="B23" t="s">
        <v>205</v>
      </c>
      <c r="D23" s="5"/>
      <c r="E23" s="61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4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30 kips
Mx: -120 kip-in
My: 120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1.2956960394976929</v>
      </c>
      <c r="AD26">
        <f>COUNTIFS(AC14:AC21,AC26,L14:L21,1)</f>
        <v>1</v>
      </c>
      <c r="AE26">
        <f>SUMIF(AC14:AC21,AC26,B14:B21)/AD26</f>
        <v>11</v>
      </c>
      <c r="AF26">
        <f>SUMIF(AC14:AC21,AC26,C14:C21)/AD26</f>
        <v>11</v>
      </c>
      <c r="AG26" t="s">
        <v>202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-1.0123430288719546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0</v>
      </c>
      <c r="AG27" t="s">
        <v>201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194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198</v>
      </c>
      <c r="AE29">
        <f>SQRT(POWER(AE27-AE26,2)+POWER(AF27-AF26,2))</f>
        <v>15.556349186104045</v>
      </c>
      <c r="AG29">
        <f>(AE27-AE26)</f>
        <v>-11</v>
      </c>
      <c r="AH29">
        <f>AF27-AF26</f>
        <v>-11</v>
      </c>
      <c r="AJ29">
        <f>AG29/AE29</f>
        <v>-0.70710678118654757</v>
      </c>
      <c r="AK29">
        <f>AH29/AE29</f>
        <v>-0.70710678118654757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2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1.8524 ksi
Design Status: OK
SOLUTION FOUND</v>
      </c>
      <c r="AD30" t="s">
        <v>199</v>
      </c>
      <c r="AE30">
        <f>(AC27-AC26)/AE29</f>
        <v>-0.14836637058978722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-2.3561944901923448</v>
      </c>
      <c r="AK31" t="s">
        <v>195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191</v>
      </c>
      <c r="AE32">
        <f>IF(AND(AG29=0,AH29=0),0,(-1*AC26/AE30))</f>
        <v>8.733084420324035</v>
      </c>
      <c r="AF32" t="s">
        <v>197</v>
      </c>
      <c r="AJ32">
        <f>AJ31+(PI()/2)</f>
        <v>-0.78539816339744828</v>
      </c>
      <c r="AK32" t="s">
        <v>196</v>
      </c>
    </row>
    <row r="33" spans="1:37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AJ33">
        <f>AJ31-(PI()/2)</f>
        <v>-3.9269908169872414</v>
      </c>
    </row>
    <row r="34" spans="1:37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200</v>
      </c>
      <c r="AE34">
        <f>AE32/AE29</f>
        <v>0.5613839285714286</v>
      </c>
    </row>
    <row r="35" spans="1:37" x14ac:dyDescent="0.25">
      <c r="A35" t="s">
        <v>4</v>
      </c>
      <c r="Q35" t="s">
        <v>25</v>
      </c>
      <c r="T35" t="s">
        <v>14</v>
      </c>
      <c r="AE35" t="s">
        <v>192</v>
      </c>
      <c r="AF35" t="s">
        <v>193</v>
      </c>
    </row>
    <row r="36" spans="1:37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4.8247767857142856</v>
      </c>
      <c r="AF36">
        <f>AF26+(AE34*(AF27-AF26))</f>
        <v>4.8247767857142856</v>
      </c>
      <c r="AI36">
        <f>MAX(B13:C21)*-1</f>
        <v>-11</v>
      </c>
      <c r="AJ36">
        <f>AE36+(AI36*COS(AJ32))</f>
        <v>-2.9533978073377378</v>
      </c>
      <c r="AK36">
        <f>AF36+(AI36*SIN(AJ32))</f>
        <v>12.602951378766306</v>
      </c>
    </row>
    <row r="37" spans="1:37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11</v>
      </c>
      <c r="U37" s="1">
        <f>T37</f>
        <v>11</v>
      </c>
      <c r="AI37">
        <f>-1*AI36</f>
        <v>11</v>
      </c>
      <c r="AJ37">
        <f>AE36+(AI37*COS(AJ32))</f>
        <v>12.60295137876631</v>
      </c>
      <c r="AK37">
        <f>AF36+(AI37*SIN(AJ32))</f>
        <v>-2.953397807337736</v>
      </c>
    </row>
    <row r="38" spans="1:37" x14ac:dyDescent="0.25">
      <c r="A38">
        <v>2</v>
      </c>
      <c r="B38" s="7">
        <v>4</v>
      </c>
      <c r="C38" s="7">
        <v>1.5</v>
      </c>
      <c r="D38" s="13" t="s">
        <v>2</v>
      </c>
      <c r="Q38" s="12">
        <f t="shared" ref="Q38:Q48" si="46">IF($D38="y",B38,NA())</f>
        <v>4</v>
      </c>
      <c r="R38" s="12">
        <f t="shared" ref="R38:R48" si="47">IF($D38="y",C38,NA())</f>
        <v>1.5</v>
      </c>
      <c r="X38" t="s">
        <v>204</v>
      </c>
    </row>
    <row r="39" spans="1:37" x14ac:dyDescent="0.25">
      <c r="A39">
        <v>3</v>
      </c>
      <c r="B39" s="7">
        <v>9.5</v>
      </c>
      <c r="C39" s="7">
        <v>7</v>
      </c>
      <c r="D39" s="13" t="s">
        <v>2</v>
      </c>
      <c r="Q39" s="12">
        <f t="shared" si="46"/>
        <v>9.5</v>
      </c>
      <c r="R39" s="12">
        <f t="shared" si="47"/>
        <v>7</v>
      </c>
      <c r="W39" t="s">
        <v>203</v>
      </c>
      <c r="X39" s="1">
        <v>6.12</v>
      </c>
      <c r="Y39" t="s">
        <v>22</v>
      </c>
    </row>
    <row r="40" spans="1:37" x14ac:dyDescent="0.25">
      <c r="A40">
        <v>4</v>
      </c>
      <c r="B40" s="7">
        <v>9.5</v>
      </c>
      <c r="C40" s="7">
        <v>9.5</v>
      </c>
      <c r="D40" s="13" t="s">
        <v>2</v>
      </c>
      <c r="Q40" s="12">
        <f t="shared" si="46"/>
        <v>9.5</v>
      </c>
      <c r="R40" s="12">
        <f t="shared" si="47"/>
        <v>9.5</v>
      </c>
      <c r="X40" s="3">
        <f>(B2/POWER(X39,2))+(6*B3/POWER(X39,3))+(6*B4/POWER(X39,3))</f>
        <v>0.80097398436498768</v>
      </c>
    </row>
    <row r="41" spans="1:37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X41" s="3">
        <f>(B2/POWER(X39,2))-(6*B3/POWER(X39,3))-(6*B4/POWER(X39,3))</f>
        <v>0.80097398436498768</v>
      </c>
    </row>
    <row r="42" spans="1:37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X42" s="3">
        <f>(B2/POWER(X39,2))+(6*B3/POWER(X39,3))-(6*B4/POWER(X39,3))</f>
        <v>-5.4811749126153089</v>
      </c>
    </row>
    <row r="43" spans="1:37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X43" s="3">
        <f>(B2/POWER(X39,2))-(6*B3/POWER(X39,3))+(6*B4/POWER(X39,3))</f>
        <v>7.0831228813452842</v>
      </c>
    </row>
    <row r="44" spans="1:37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X44" s="3">
        <f>COUNTIF(X40:X43,"&lt;0")+COUNTIF(X40:X43,"&gt;"&amp;B61)</f>
        <v>2</v>
      </c>
    </row>
    <row r="45" spans="1:37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</row>
    <row r="46" spans="1:37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</row>
    <row r="47" spans="1:37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</row>
    <row r="48" spans="1:37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8">E165</f>
        <v>0</v>
      </c>
      <c r="J56" s="51" t="str">
        <f t="shared" si="48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8"/>
        <v>0</v>
      </c>
      <c r="J57" s="53" t="str">
        <f t="shared" si="48"/>
        <v>kip-in</v>
      </c>
      <c r="L57" s="1">
        <f>SQRT(POWER(I57,2)+POWER(I56,2)+POWER(I55,2))</f>
        <v>0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7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  <c r="J64" s="3">
        <f>AJ32</f>
        <v>-0.78539816339744828</v>
      </c>
      <c r="Q64" s="8">
        <f>J64</f>
        <v>-0.78539816339744828</v>
      </c>
      <c r="X64">
        <v>1.75</v>
      </c>
      <c r="Y64">
        <v>5</v>
      </c>
    </row>
    <row r="65" spans="1:25" x14ac:dyDescent="0.25">
      <c r="A65" s="1" t="s">
        <v>40</v>
      </c>
      <c r="B65" s="24">
        <v>4.694681062812589</v>
      </c>
      <c r="C65" t="s">
        <v>22</v>
      </c>
      <c r="D65" t="s">
        <v>29</v>
      </c>
      <c r="J65" s="1">
        <f>AE32</f>
        <v>8.733084420324035</v>
      </c>
      <c r="Q65">
        <f>AE32</f>
        <v>8.733084420324035</v>
      </c>
      <c r="X65">
        <v>2</v>
      </c>
      <c r="Y65">
        <v>4.5</v>
      </c>
    </row>
    <row r="66" spans="1:25" x14ac:dyDescent="0.25">
      <c r="A66" s="11" t="s">
        <v>42</v>
      </c>
      <c r="B66" s="24">
        <v>1.8524160104478808</v>
      </c>
      <c r="C66" t="s">
        <v>11</v>
      </c>
      <c r="D66">
        <f>B66/B53</f>
        <v>4.5466087201160123E-4</v>
      </c>
      <c r="I66" s="20"/>
      <c r="J66" s="4">
        <f>MAX(AC14:AC21)*2</f>
        <v>2.5913920789953857</v>
      </c>
      <c r="Q66">
        <f>MAX(AC14:AC21)</f>
        <v>1.2956960394976929</v>
      </c>
      <c r="X66">
        <v>2.25</v>
      </c>
      <c r="Y66">
        <v>4.5</v>
      </c>
    </row>
    <row r="67" spans="1:25" x14ac:dyDescent="0.25">
      <c r="A67" s="1" t="s">
        <v>37</v>
      </c>
      <c r="B67" s="24">
        <v>5.0934385999185343</v>
      </c>
      <c r="C67" t="s">
        <v>36</v>
      </c>
      <c r="D67" t="s">
        <v>122</v>
      </c>
      <c r="G67" s="20">
        <f ca="1">($B$56*$B$66*$B$55*$E$122)/$B$65</f>
        <v>5.0934385999185343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9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9"/>
        <v>1</v>
      </c>
      <c r="B73" s="4">
        <f t="shared" ref="B73:B81" si="50">B13-$B$9</f>
        <v>-2.75</v>
      </c>
      <c r="C73" s="4">
        <f t="shared" ref="C73:C81" si="51">C13-$C$9</f>
        <v>-8.25</v>
      </c>
      <c r="E73" s="1">
        <v>0</v>
      </c>
      <c r="F73" s="1">
        <v>0</v>
      </c>
      <c r="H73" s="1">
        <f t="shared" ref="H73:H81" si="52">A25</f>
        <v>1</v>
      </c>
      <c r="I73" s="4">
        <f>B25-$B$9</f>
        <v>-2.75</v>
      </c>
      <c r="J73" s="4">
        <f>C25-$C$9</f>
        <v>-8.25</v>
      </c>
      <c r="Q73" cm="1">
        <f t="array" ref="Q73">(-1*MAX(ABS(B84:C91)))-1</f>
        <v>-9.4161739433017591</v>
      </c>
      <c r="R73">
        <f>Q73</f>
        <v>-9.4161739433017591</v>
      </c>
      <c r="X73">
        <v>4</v>
      </c>
      <c r="Y73">
        <v>4</v>
      </c>
    </row>
    <row r="74" spans="1:25" x14ac:dyDescent="0.25">
      <c r="A74" s="1">
        <f t="shared" si="49"/>
        <v>2</v>
      </c>
      <c r="B74" s="4">
        <f t="shared" si="50"/>
        <v>2.75</v>
      </c>
      <c r="C74" s="4">
        <f t="shared" si="51"/>
        <v>-8.25</v>
      </c>
      <c r="H74" s="1">
        <f t="shared" si="52"/>
        <v>2</v>
      </c>
      <c r="I74" s="4">
        <f t="shared" ref="I74:I81" si="53">B26-$B$9</f>
        <v>-2.75</v>
      </c>
      <c r="J74" s="4">
        <f t="shared" ref="J74:J81" si="54">C26-$C$9</f>
        <v>-8.25</v>
      </c>
      <c r="Q74">
        <f>-1*Q73</f>
        <v>9.4161739433017591</v>
      </c>
      <c r="R74">
        <f>Q74</f>
        <v>9.4161739433017591</v>
      </c>
    </row>
    <row r="75" spans="1:25" x14ac:dyDescent="0.25">
      <c r="A75" s="1">
        <f t="shared" si="49"/>
        <v>3</v>
      </c>
      <c r="B75" s="4">
        <f t="shared" si="50"/>
        <v>2.75</v>
      </c>
      <c r="C75" s="4">
        <f t="shared" si="51"/>
        <v>-2.75</v>
      </c>
      <c r="H75" s="1">
        <f t="shared" si="52"/>
        <v>3</v>
      </c>
      <c r="I75" s="4">
        <f t="shared" si="53"/>
        <v>-2.75</v>
      </c>
      <c r="J75" s="4">
        <f t="shared" si="54"/>
        <v>-8.25</v>
      </c>
    </row>
    <row r="76" spans="1:25" x14ac:dyDescent="0.25">
      <c r="A76" s="1">
        <f t="shared" si="49"/>
        <v>4</v>
      </c>
      <c r="B76" s="4">
        <f t="shared" si="50"/>
        <v>8.25</v>
      </c>
      <c r="C76" s="4">
        <f t="shared" si="51"/>
        <v>-2.75</v>
      </c>
      <c r="H76" s="1">
        <f t="shared" si="52"/>
        <v>4</v>
      </c>
      <c r="I76" s="4">
        <f t="shared" si="53"/>
        <v>-2.75</v>
      </c>
      <c r="J76" s="4">
        <f t="shared" si="54"/>
        <v>-8.25</v>
      </c>
    </row>
    <row r="77" spans="1:25" x14ac:dyDescent="0.25">
      <c r="A77" s="1">
        <f t="shared" si="49"/>
        <v>5</v>
      </c>
      <c r="B77" s="4">
        <f t="shared" si="50"/>
        <v>8.25</v>
      </c>
      <c r="C77" s="4">
        <f t="shared" si="51"/>
        <v>2.75</v>
      </c>
      <c r="H77" s="1">
        <f t="shared" si="52"/>
        <v>5</v>
      </c>
      <c r="I77" s="4">
        <f t="shared" si="53"/>
        <v>-2.75</v>
      </c>
      <c r="J77" s="4">
        <f t="shared" si="54"/>
        <v>-8.25</v>
      </c>
      <c r="Q77" t="s">
        <v>148</v>
      </c>
    </row>
    <row r="78" spans="1:25" x14ac:dyDescent="0.25">
      <c r="A78" s="1">
        <f t="shared" si="49"/>
        <v>6</v>
      </c>
      <c r="B78" s="4">
        <f t="shared" si="50"/>
        <v>-2.75</v>
      </c>
      <c r="C78" s="4">
        <f t="shared" si="51"/>
        <v>2.75</v>
      </c>
      <c r="H78" s="1">
        <f t="shared" si="52"/>
        <v>6</v>
      </c>
      <c r="I78" s="4">
        <f t="shared" si="53"/>
        <v>-2.75</v>
      </c>
      <c r="J78" s="4">
        <f t="shared" si="54"/>
        <v>-8.25</v>
      </c>
      <c r="Q78" t="s">
        <v>27</v>
      </c>
      <c r="R78" t="s">
        <v>28</v>
      </c>
    </row>
    <row r="79" spans="1:25" x14ac:dyDescent="0.25">
      <c r="A79" s="1">
        <f t="shared" si="49"/>
        <v>7</v>
      </c>
      <c r="B79" s="4">
        <f t="shared" si="50"/>
        <v>-2.75</v>
      </c>
      <c r="C79" s="4">
        <f t="shared" si="51"/>
        <v>-8.25</v>
      </c>
      <c r="H79" s="1">
        <f t="shared" si="52"/>
        <v>7</v>
      </c>
      <c r="I79" s="4">
        <f t="shared" si="53"/>
        <v>-2.75</v>
      </c>
      <c r="J79" s="4">
        <f t="shared" si="54"/>
        <v>-8.25</v>
      </c>
      <c r="Q79">
        <f>(I126*COS(-1*$B$64))+(J126*SIN(-1*$B$64))</f>
        <v>-4.0135806579619162</v>
      </c>
      <c r="R79">
        <f>(-1*I126*SIN(-1*$B$64))+(J126*COS(-1*$B$64))</f>
        <v>-1.129212260339798</v>
      </c>
    </row>
    <row r="80" spans="1:25" x14ac:dyDescent="0.25">
      <c r="A80" s="1">
        <f t="shared" si="49"/>
        <v>8</v>
      </c>
      <c r="B80" s="4">
        <f t="shared" si="50"/>
        <v>-2.75</v>
      </c>
      <c r="C80" s="4">
        <f t="shared" si="51"/>
        <v>-8.25</v>
      </c>
      <c r="H80" s="1">
        <f t="shared" si="52"/>
        <v>8</v>
      </c>
      <c r="I80" s="4">
        <f t="shared" si="53"/>
        <v>-2.75</v>
      </c>
      <c r="J80" s="4">
        <f t="shared" si="54"/>
        <v>-8.25</v>
      </c>
      <c r="Q80">
        <f>(I127*COS(-1*$B$64))+(J127*SIN(-1*$B$64))</f>
        <v>9.3010287856018561</v>
      </c>
      <c r="R80">
        <f>(-1*I127*SIN(-1*$B$64))+(J127*COS(-1*$B$64))</f>
        <v>-2.026120799921399</v>
      </c>
    </row>
    <row r="81" spans="1:18" x14ac:dyDescent="0.25">
      <c r="A81" s="1">
        <f t="shared" si="49"/>
        <v>9</v>
      </c>
      <c r="B81" s="4">
        <f t="shared" si="50"/>
        <v>-2.75</v>
      </c>
      <c r="C81" s="4">
        <f t="shared" si="51"/>
        <v>-8.25</v>
      </c>
      <c r="H81" s="1">
        <f t="shared" si="52"/>
        <v>9</v>
      </c>
      <c r="I81" s="4">
        <f t="shared" si="53"/>
        <v>-2.75</v>
      </c>
      <c r="J81" s="4">
        <f t="shared" si="54"/>
        <v>-8.25</v>
      </c>
    </row>
    <row r="82" spans="1:18" x14ac:dyDescent="0.25">
      <c r="A82" t="s">
        <v>30</v>
      </c>
      <c r="B82" s="9"/>
      <c r="H82" t="s">
        <v>139</v>
      </c>
      <c r="Q82" s="4">
        <f>Q79+$B$9</f>
        <v>-1.2635806579619162</v>
      </c>
      <c r="R82" s="4">
        <f>R79+$C$9</f>
        <v>7.1207877396602015</v>
      </c>
    </row>
    <row r="83" spans="1:18" x14ac:dyDescent="0.25">
      <c r="A83" s="1" t="str">
        <f t="shared" ref="A83:A92" si="55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12.051028785601856</v>
      </c>
      <c r="R83" s="4">
        <f>R80+$C$9</f>
        <v>6.223879200078601</v>
      </c>
    </row>
    <row r="84" spans="1:18" x14ac:dyDescent="0.25">
      <c r="A84" s="1">
        <f t="shared" si="55"/>
        <v>1</v>
      </c>
      <c r="B84" s="4">
        <f t="shared" ref="B84:B92" si="56">(B73*COS($B$64))+(C73*SIN($B$64))</f>
        <v>-2.1892958128330888</v>
      </c>
      <c r="C84" s="1">
        <f t="shared" ref="C84:C92" si="57">(-1*B73*SIN($B$64))+(C73*COS($B$64))</f>
        <v>-8.4161739433017591</v>
      </c>
      <c r="H84" s="1">
        <f t="shared" ref="H84:H92" si="58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8" x14ac:dyDescent="0.25">
      <c r="A85" s="1">
        <f t="shared" si="55"/>
        <v>2</v>
      </c>
      <c r="B85" s="4">
        <f t="shared" si="56"/>
        <v>3.298267715714585</v>
      </c>
      <c r="C85" s="1">
        <f t="shared" si="57"/>
        <v>-8.0465166423412615</v>
      </c>
      <c r="H85" s="1">
        <f t="shared" si="58"/>
        <v>2</v>
      </c>
      <c r="I85" s="4">
        <f t="shared" ref="I85:I92" si="59">(I74*COS($B$64))+(J74*SIN($B$64))</f>
        <v>-2.1892958128330888</v>
      </c>
      <c r="J85" s="1">
        <f t="shared" ref="J85:J92" si="60">(-1*I74*SIN($B$64))+(J74*COS($B$64))</f>
        <v>-8.4161739433017591</v>
      </c>
      <c r="Q85" t="s">
        <v>149</v>
      </c>
    </row>
    <row r="86" spans="1:18" x14ac:dyDescent="0.25">
      <c r="A86" s="1">
        <f t="shared" si="55"/>
        <v>3</v>
      </c>
      <c r="B86" s="4">
        <f t="shared" si="56"/>
        <v>2.9286104147540861</v>
      </c>
      <c r="C86" s="1">
        <f t="shared" si="57"/>
        <v>-2.5589531137935877</v>
      </c>
      <c r="H86" s="1">
        <f t="shared" si="58"/>
        <v>3</v>
      </c>
      <c r="I86" s="4">
        <f t="shared" si="59"/>
        <v>-2.1892958128330888</v>
      </c>
      <c r="J86" s="1">
        <f t="shared" si="60"/>
        <v>-8.4161739433017591</v>
      </c>
      <c r="Q86" t="s">
        <v>27</v>
      </c>
      <c r="R86" t="s">
        <v>28</v>
      </c>
    </row>
    <row r="87" spans="1:18" x14ac:dyDescent="0.25">
      <c r="A87" s="1">
        <f t="shared" si="55"/>
        <v>4</v>
      </c>
      <c r="B87" s="4">
        <f t="shared" si="56"/>
        <v>8.4161739433017591</v>
      </c>
      <c r="C87" s="1">
        <f t="shared" si="57"/>
        <v>-2.1892958128330888</v>
      </c>
      <c r="H87" s="1">
        <f t="shared" si="58"/>
        <v>4</v>
      </c>
      <c r="I87" s="4">
        <f t="shared" si="59"/>
        <v>-2.1892958128330888</v>
      </c>
      <c r="J87" s="1">
        <f t="shared" si="60"/>
        <v>-8.4161739433017591</v>
      </c>
      <c r="Q87">
        <f>(P142*COS(-1*$B$64))+(P143*SIN(-1*$B$64))</f>
        <v>3.0626266492607956</v>
      </c>
      <c r="R87">
        <f>(-1*P142*SIN(-1*$B$64))+(P143*COS(-1*$B$64))</f>
        <v>1.2980383483361859</v>
      </c>
    </row>
    <row r="88" spans="1:18" x14ac:dyDescent="0.25">
      <c r="A88" s="1">
        <f t="shared" si="55"/>
        <v>5</v>
      </c>
      <c r="B88" s="4">
        <f t="shared" si="56"/>
        <v>8.0465166423412615</v>
      </c>
      <c r="C88" s="1">
        <f t="shared" si="57"/>
        <v>3.298267715714585</v>
      </c>
      <c r="H88" s="1">
        <f t="shared" si="58"/>
        <v>5</v>
      </c>
      <c r="I88" s="4">
        <f t="shared" si="59"/>
        <v>-2.1892958128330888</v>
      </c>
      <c r="J88" s="1">
        <f t="shared" si="60"/>
        <v>-8.4161739433017591</v>
      </c>
    </row>
    <row r="89" spans="1:18" x14ac:dyDescent="0.25">
      <c r="A89" s="1">
        <f t="shared" si="55"/>
        <v>6</v>
      </c>
      <c r="B89" s="4">
        <f t="shared" si="56"/>
        <v>-2.9286104147540861</v>
      </c>
      <c r="C89" s="1">
        <f t="shared" si="57"/>
        <v>2.5589531137935877</v>
      </c>
      <c r="H89" s="1">
        <f t="shared" si="58"/>
        <v>6</v>
      </c>
      <c r="I89" s="4">
        <f t="shared" si="59"/>
        <v>-2.1892958128330888</v>
      </c>
      <c r="J89" s="1">
        <f t="shared" si="60"/>
        <v>-8.4161739433017591</v>
      </c>
    </row>
    <row r="90" spans="1:18" x14ac:dyDescent="0.25">
      <c r="A90" s="1">
        <f t="shared" si="55"/>
        <v>7</v>
      </c>
      <c r="B90" s="4">
        <f t="shared" si="56"/>
        <v>-2.1892958128330888</v>
      </c>
      <c r="C90" s="1">
        <f t="shared" si="57"/>
        <v>-8.4161739433017591</v>
      </c>
      <c r="H90" s="1">
        <f t="shared" si="58"/>
        <v>7</v>
      </c>
      <c r="I90" s="4">
        <f t="shared" si="59"/>
        <v>-2.1892958128330888</v>
      </c>
      <c r="J90" s="1">
        <f t="shared" si="60"/>
        <v>-8.4161739433017591</v>
      </c>
      <c r="Q90" s="4">
        <f>Q87+$B$9</f>
        <v>5.8126266492607961</v>
      </c>
      <c r="R90" s="4">
        <f>R87+$C$9</f>
        <v>9.5480383483361866</v>
      </c>
    </row>
    <row r="91" spans="1:18" x14ac:dyDescent="0.25">
      <c r="A91" s="1">
        <f t="shared" si="55"/>
        <v>8</v>
      </c>
      <c r="B91" s="4">
        <f t="shared" si="56"/>
        <v>-2.1892958128330888</v>
      </c>
      <c r="C91" s="1">
        <f t="shared" si="57"/>
        <v>-8.4161739433017591</v>
      </c>
      <c r="H91" s="1">
        <f t="shared" si="58"/>
        <v>8</v>
      </c>
      <c r="I91" s="4">
        <f t="shared" si="59"/>
        <v>-2.1892958128330888</v>
      </c>
      <c r="J91" s="1">
        <f t="shared" si="60"/>
        <v>-8.4161739433017591</v>
      </c>
    </row>
    <row r="92" spans="1:18" x14ac:dyDescent="0.25">
      <c r="A92" s="1">
        <f t="shared" si="55"/>
        <v>9</v>
      </c>
      <c r="B92" s="4">
        <f t="shared" si="56"/>
        <v>-2.1892958128330888</v>
      </c>
      <c r="C92" s="1">
        <f t="shared" si="57"/>
        <v>-8.4161739433017591</v>
      </c>
      <c r="H92" s="1">
        <f t="shared" si="58"/>
        <v>9</v>
      </c>
      <c r="I92" s="4">
        <f t="shared" si="59"/>
        <v>-2.1892958128330888</v>
      </c>
      <c r="J92" s="1">
        <f t="shared" si="60"/>
        <v>-8.4161739433017591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1">A37</f>
        <v>1</v>
      </c>
      <c r="B95" s="4">
        <f t="shared" ref="B95:B106" si="62">B37-$B$9</f>
        <v>-1.25</v>
      </c>
      <c r="C95" s="4">
        <f t="shared" ref="C95:C106" si="63">C37-$C$9</f>
        <v>-6.75</v>
      </c>
      <c r="D95" t="str">
        <f t="shared" ref="D95:D106" si="64">D37</f>
        <v>y</v>
      </c>
    </row>
    <row r="96" spans="1:18" x14ac:dyDescent="0.25">
      <c r="A96">
        <f t="shared" si="61"/>
        <v>2</v>
      </c>
      <c r="B96" s="4">
        <f t="shared" si="62"/>
        <v>1.25</v>
      </c>
      <c r="C96" s="4">
        <f t="shared" si="63"/>
        <v>-6.75</v>
      </c>
      <c r="D96" t="str">
        <f t="shared" si="64"/>
        <v>y</v>
      </c>
    </row>
    <row r="97" spans="1:28" x14ac:dyDescent="0.25">
      <c r="A97">
        <f t="shared" si="61"/>
        <v>3</v>
      </c>
      <c r="B97" s="4">
        <f t="shared" si="62"/>
        <v>6.75</v>
      </c>
      <c r="C97" s="4">
        <f t="shared" si="63"/>
        <v>-1.25</v>
      </c>
      <c r="D97" t="str">
        <f t="shared" si="64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1"/>
        <v>4</v>
      </c>
      <c r="B98" s="4">
        <f t="shared" si="62"/>
        <v>6.75</v>
      </c>
      <c r="C98" s="4">
        <f t="shared" si="63"/>
        <v>1.25</v>
      </c>
      <c r="D98" t="str">
        <f t="shared" si="64"/>
        <v>y</v>
      </c>
    </row>
    <row r="99" spans="1:28" x14ac:dyDescent="0.25">
      <c r="A99">
        <f t="shared" si="61"/>
        <v>5</v>
      </c>
      <c r="B99" s="4">
        <f t="shared" si="62"/>
        <v>-2.75</v>
      </c>
      <c r="C99" s="4">
        <f t="shared" si="63"/>
        <v>-8.25</v>
      </c>
      <c r="D99" t="str">
        <f t="shared" si="64"/>
        <v>n</v>
      </c>
    </row>
    <row r="100" spans="1:28" x14ac:dyDescent="0.25">
      <c r="A100">
        <f t="shared" si="61"/>
        <v>6</v>
      </c>
      <c r="B100" s="4">
        <f t="shared" si="62"/>
        <v>-2.75</v>
      </c>
      <c r="C100" s="4">
        <f t="shared" si="63"/>
        <v>-8.25</v>
      </c>
      <c r="D100" t="str">
        <f t="shared" si="64"/>
        <v>n</v>
      </c>
    </row>
    <row r="101" spans="1:28" x14ac:dyDescent="0.25">
      <c r="A101">
        <f t="shared" si="61"/>
        <v>7</v>
      </c>
      <c r="B101" s="4">
        <f t="shared" si="62"/>
        <v>-2.75</v>
      </c>
      <c r="C101" s="4">
        <f t="shared" si="63"/>
        <v>-8.25</v>
      </c>
      <c r="D101" t="str">
        <f t="shared" si="64"/>
        <v>n</v>
      </c>
    </row>
    <row r="102" spans="1:28" x14ac:dyDescent="0.25">
      <c r="A102">
        <f t="shared" si="61"/>
        <v>8</v>
      </c>
      <c r="B102" s="4">
        <f t="shared" si="62"/>
        <v>-2.75</v>
      </c>
      <c r="C102" s="4">
        <f t="shared" si="63"/>
        <v>-8.25</v>
      </c>
      <c r="D102" t="str">
        <f t="shared" si="64"/>
        <v>n</v>
      </c>
    </row>
    <row r="103" spans="1:28" x14ac:dyDescent="0.25">
      <c r="A103">
        <f t="shared" si="61"/>
        <v>9</v>
      </c>
      <c r="B103" s="4">
        <f t="shared" si="62"/>
        <v>-2.75</v>
      </c>
      <c r="C103" s="4">
        <f t="shared" si="63"/>
        <v>-8.25</v>
      </c>
      <c r="D103" t="str">
        <f t="shared" si="64"/>
        <v>n</v>
      </c>
    </row>
    <row r="104" spans="1:28" x14ac:dyDescent="0.25">
      <c r="A104">
        <f t="shared" si="61"/>
        <v>10</v>
      </c>
      <c r="B104" s="4">
        <f t="shared" si="62"/>
        <v>-2.75</v>
      </c>
      <c r="C104" s="4">
        <f t="shared" si="63"/>
        <v>-8.25</v>
      </c>
      <c r="D104" t="str">
        <f t="shared" si="64"/>
        <v>n</v>
      </c>
    </row>
    <row r="105" spans="1:28" x14ac:dyDescent="0.25">
      <c r="A105">
        <f t="shared" si="61"/>
        <v>11</v>
      </c>
      <c r="B105" s="4">
        <f t="shared" si="62"/>
        <v>-2.75</v>
      </c>
      <c r="C105" s="4">
        <f t="shared" si="63"/>
        <v>-8.25</v>
      </c>
      <c r="D105" t="str">
        <f t="shared" si="64"/>
        <v>n</v>
      </c>
    </row>
    <row r="106" spans="1:28" x14ac:dyDescent="0.25">
      <c r="A106">
        <f t="shared" si="61"/>
        <v>12</v>
      </c>
      <c r="B106" s="4">
        <f t="shared" si="62"/>
        <v>-2.75</v>
      </c>
      <c r="C106" s="4">
        <f t="shared" si="63"/>
        <v>-8.25</v>
      </c>
      <c r="D106" t="str">
        <f t="shared" si="64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65">D95</f>
        <v>y</v>
      </c>
      <c r="E110" s="4">
        <f t="shared" ref="E110:E121" si="66">IF($D110="y",$B$125-C110,0)</f>
        <v>5.422336733610619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67">IF($E$122=0,0,-1*MAX(($B$67/$E$122)*(E110),0))</f>
        <v>-5.0934385999185343</v>
      </c>
      <c r="I110">
        <f>H110*C110</f>
        <v>34.73088486427892</v>
      </c>
      <c r="J110">
        <f>H110*B110*-1</f>
        <v>-4.0416598550815408</v>
      </c>
      <c r="K110">
        <f ca="1">H110/$B$55</f>
        <v>-15.228810035253368</v>
      </c>
      <c r="L110">
        <f ca="1">K110/$B$54</f>
        <v>-5.2513138052597821E-4</v>
      </c>
      <c r="M110">
        <f t="shared" ref="M110:M121" si="68">IFERROR(($D$66/$B$65)*(G110-$B$125),0)</f>
        <v>-5.2513138052597821E-4</v>
      </c>
      <c r="N110">
        <f t="shared" ref="N110:N121" si="69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-0.79350320530931384</v>
      </c>
      <c r="R110">
        <f>IF($H110&lt;0,G110,NA())</f>
        <v>-6.8187500807086225</v>
      </c>
      <c r="T110">
        <f>(Q110*COS(-1*$B$64))+(R110*SIN(-1*$B$64))</f>
        <v>-1.25</v>
      </c>
      <c r="U110">
        <f>(-1*Q110*SIN(-1*$B$64))+(R110*COS(-1*$B$64))</f>
        <v>-6.75</v>
      </c>
      <c r="W110" s="4">
        <f>T110+$B$9</f>
        <v>1.5</v>
      </c>
      <c r="X110" s="4">
        <f>U110+$C$9</f>
        <v>1.5</v>
      </c>
      <c r="Y110">
        <f t="shared" ref="Y110:Y121" si="70">IF(AND($E$60="n",M110&gt;0,D110="y"),M110*$B$53*$E$59,0)</f>
        <v>0</v>
      </c>
      <c r="AB110" t="str">
        <f t="shared" ref="AB110:AB121" si="71">IF(H110&lt;&gt;0,CHAR(10)&amp;CHAR(10)&amp;ROUND(ABS(H110),4)&amp;" kips",IF(AND($E$60="n",D110="y"),CHAR(10)&amp;CHAR(10)&amp;ROUND(ABS(Y110),4)&amp;" kips",""))</f>
        <v xml:space="preserve">
5.0934 kips</v>
      </c>
    </row>
    <row r="111" spans="1:28" x14ac:dyDescent="0.25">
      <c r="A111">
        <f t="shared" ref="A111:D111" si="72">A96</f>
        <v>2</v>
      </c>
      <c r="B111" s="1">
        <f t="shared" ref="B111:B121" si="73">(B96*COS($B$64))+(C96*SIN($B$64))</f>
        <v>1.7008438531214471</v>
      </c>
      <c r="C111" s="1">
        <f t="shared" ref="C111:C121" si="74">(-1*B96*SIN($B$64))+(C96*COS($B$64))</f>
        <v>-6.650724034817487</v>
      </c>
      <c r="D111" t="str">
        <f t="shared" si="72"/>
        <v>y</v>
      </c>
      <c r="E111" s="4">
        <f t="shared" si="66"/>
        <v>5.2543106877194834</v>
      </c>
      <c r="F111" s="1">
        <f t="shared" ref="F111:F121" si="75">IF($D111="y",B111,NA())</f>
        <v>1.7008438531214471</v>
      </c>
      <c r="G111" s="1">
        <f t="shared" ref="G111:G121" si="76">IF($D111="y",C111,NA())</f>
        <v>-6.650724034817487</v>
      </c>
      <c r="H111">
        <f t="shared" si="67"/>
        <v>-4.9356043690363602</v>
      </c>
      <c r="I111">
        <f t="shared" ref="I111:I121" si="77">H111*C111</f>
        <v>32.825342603500317</v>
      </c>
      <c r="J111">
        <f t="shared" ref="J111:J121" si="78">H111*B111*-1</f>
        <v>8.394692352514852</v>
      </c>
      <c r="K111">
        <f ca="1">H111/$B$55</f>
        <v>-14.756903390653118</v>
      </c>
      <c r="L111">
        <f t="shared" ref="L111:L121" ca="1" si="79">K111/$B$54</f>
        <v>-5.0885873760872816E-4</v>
      </c>
      <c r="M111">
        <f t="shared" si="68"/>
        <v>-5.0885873760872827E-4</v>
      </c>
      <c r="N111">
        <f t="shared" si="69"/>
        <v>0</v>
      </c>
      <c r="O111">
        <f t="shared" ref="O111:O121" si="80">N111*C111</f>
        <v>0</v>
      </c>
      <c r="P111">
        <f t="shared" ref="P111:P121" si="81">N111*B111*-1</f>
        <v>0</v>
      </c>
      <c r="Q111">
        <f t="shared" ref="Q111:Q121" si="82">IF($H111&lt;0,F111,NA())</f>
        <v>1.7008438531214471</v>
      </c>
      <c r="R111">
        <f t="shared" ref="R111:R121" si="83">IF($H111&lt;0,G111,NA())</f>
        <v>-6.650724034817487</v>
      </c>
      <c r="T111">
        <f t="shared" ref="T111:T121" si="84">(Q111*COS(-1*$B$64))+(R111*SIN(-1*$B$64))</f>
        <v>1.25</v>
      </c>
      <c r="U111">
        <f t="shared" ref="U111:U121" si="85">(-1*Q111*SIN(-1*$B$64))+(R111*COS(-1*$B$64))</f>
        <v>-6.75</v>
      </c>
      <c r="W111" s="4">
        <f t="shared" ref="W111:W121" si="86">T111+$B$9</f>
        <v>4</v>
      </c>
      <c r="X111" s="4">
        <f t="shared" ref="X111:X121" si="87">U111+$C$9</f>
        <v>1.5</v>
      </c>
      <c r="Y111">
        <f t="shared" si="70"/>
        <v>0</v>
      </c>
      <c r="AB111" t="str">
        <f t="shared" si="71"/>
        <v xml:space="preserve">
4.9356 kips</v>
      </c>
    </row>
    <row r="112" spans="1:28" x14ac:dyDescent="0.25">
      <c r="A112">
        <f t="shared" ref="A112:D112" si="88">A97</f>
        <v>3</v>
      </c>
      <c r="B112" s="1">
        <f t="shared" si="73"/>
        <v>6.8187500807086225</v>
      </c>
      <c r="C112" s="1">
        <f t="shared" si="74"/>
        <v>-0.79350320530931384</v>
      </c>
      <c r="D112" t="str">
        <f t="shared" si="88"/>
        <v>y</v>
      </c>
      <c r="E112" s="4">
        <f t="shared" si="66"/>
        <v>-0.60291014178869018</v>
      </c>
      <c r="F112" s="1">
        <f t="shared" si="75"/>
        <v>6.8187500807086225</v>
      </c>
      <c r="G112" s="1">
        <f t="shared" si="76"/>
        <v>-0.79350320530931384</v>
      </c>
      <c r="H112">
        <f t="shared" si="67"/>
        <v>0</v>
      </c>
      <c r="I112">
        <f t="shared" si="77"/>
        <v>0</v>
      </c>
      <c r="J112">
        <f t="shared" si="78"/>
        <v>0</v>
      </c>
      <c r="K112">
        <f t="shared" ref="K112:K121" ca="1" si="89">H112/$B$55</f>
        <v>0</v>
      </c>
      <c r="L112">
        <f t="shared" ca="1" si="79"/>
        <v>0</v>
      </c>
      <c r="M112">
        <f t="shared" si="68"/>
        <v>5.8389408597238895E-5</v>
      </c>
      <c r="N112">
        <f t="shared" si="69"/>
        <v>0.12334502647889978</v>
      </c>
      <c r="O112">
        <f t="shared" si="80"/>
        <v>-9.7874673869969162E-2</v>
      </c>
      <c r="P112">
        <f t="shared" si="81"/>
        <v>-0.84105890925800508</v>
      </c>
      <c r="Q112" t="e">
        <f t="shared" si="82"/>
        <v>#N/A</v>
      </c>
      <c r="R112" t="e">
        <f t="shared" si="83"/>
        <v>#N/A</v>
      </c>
      <c r="T112" t="e">
        <f t="shared" si="84"/>
        <v>#N/A</v>
      </c>
      <c r="U112" t="e">
        <f t="shared" si="85"/>
        <v>#N/A</v>
      </c>
      <c r="W112" s="4" t="e">
        <f t="shared" si="86"/>
        <v>#N/A</v>
      </c>
      <c r="X112" s="4" t="e">
        <f t="shared" si="87"/>
        <v>#N/A</v>
      </c>
      <c r="Y112">
        <f t="shared" si="70"/>
        <v>0</v>
      </c>
      <c r="AB112" t="str">
        <f t="shared" si="71"/>
        <v/>
      </c>
    </row>
    <row r="113" spans="1:28" x14ac:dyDescent="0.25">
      <c r="A113">
        <f t="shared" ref="A113:D113" si="90">A98</f>
        <v>4</v>
      </c>
      <c r="B113" s="1">
        <f t="shared" si="73"/>
        <v>6.650724034817487</v>
      </c>
      <c r="C113" s="1">
        <f t="shared" si="74"/>
        <v>1.7008438531214471</v>
      </c>
      <c r="D113" t="str">
        <f t="shared" si="90"/>
        <v>y</v>
      </c>
      <c r="E113" s="4">
        <f t="shared" si="66"/>
        <v>-3.0972572002194512</v>
      </c>
      <c r="F113" s="1">
        <f t="shared" si="75"/>
        <v>6.650724034817487</v>
      </c>
      <c r="G113" s="1">
        <f t="shared" si="76"/>
        <v>1.7008438531214471</v>
      </c>
      <c r="H113">
        <f t="shared" si="67"/>
        <v>0</v>
      </c>
      <c r="I113">
        <f t="shared" si="77"/>
        <v>0</v>
      </c>
      <c r="J113">
        <f t="shared" si="78"/>
        <v>0</v>
      </c>
      <c r="K113">
        <f t="shared" ca="1" si="89"/>
        <v>0</v>
      </c>
      <c r="L113">
        <f t="shared" ca="1" si="79"/>
        <v>0</v>
      </c>
      <c r="M113">
        <f t="shared" si="68"/>
        <v>2.9995683213724663E-4</v>
      </c>
      <c r="N113">
        <f t="shared" si="69"/>
        <v>0.63364545542331696</v>
      </c>
      <c r="O113">
        <f t="shared" si="80"/>
        <v>1.0777319779150887</v>
      </c>
      <c r="P113">
        <f t="shared" si="81"/>
        <v>-4.2142010599367268</v>
      </c>
      <c r="Q113" t="e">
        <f t="shared" si="82"/>
        <v>#N/A</v>
      </c>
      <c r="R113" t="e">
        <f t="shared" si="83"/>
        <v>#N/A</v>
      </c>
      <c r="T113" t="e">
        <f t="shared" si="84"/>
        <v>#N/A</v>
      </c>
      <c r="U113" t="e">
        <f t="shared" si="85"/>
        <v>#N/A</v>
      </c>
      <c r="W113" s="4" t="e">
        <f t="shared" si="86"/>
        <v>#N/A</v>
      </c>
      <c r="X113" s="4" t="e">
        <f t="shared" si="87"/>
        <v>#N/A</v>
      </c>
      <c r="Y113">
        <f t="shared" si="70"/>
        <v>0</v>
      </c>
      <c r="AB113" t="str">
        <f t="shared" si="71"/>
        <v/>
      </c>
    </row>
    <row r="114" spans="1:28" x14ac:dyDescent="0.25">
      <c r="A114">
        <f t="shared" ref="A114:D114" si="91">A99</f>
        <v>5</v>
      </c>
      <c r="B114" s="1">
        <f t="shared" si="73"/>
        <v>-2.1892958128330888</v>
      </c>
      <c r="C114" s="1">
        <f t="shared" si="74"/>
        <v>-8.4161739433017591</v>
      </c>
      <c r="D114" t="str">
        <f t="shared" si="91"/>
        <v>n</v>
      </c>
      <c r="E114" s="4">
        <f t="shared" si="66"/>
        <v>0</v>
      </c>
      <c r="F114" s="1" t="e">
        <f t="shared" si="75"/>
        <v>#N/A</v>
      </c>
      <c r="G114" s="1" t="e">
        <f t="shared" si="76"/>
        <v>#N/A</v>
      </c>
      <c r="H114">
        <f t="shared" si="67"/>
        <v>0</v>
      </c>
      <c r="I114">
        <f t="shared" si="77"/>
        <v>0</v>
      </c>
      <c r="J114">
        <f t="shared" si="78"/>
        <v>0</v>
      </c>
      <c r="K114">
        <f t="shared" ca="1" si="89"/>
        <v>0</v>
      </c>
      <c r="L114">
        <f t="shared" ca="1" si="79"/>
        <v>0</v>
      </c>
      <c r="M114">
        <f t="shared" si="68"/>
        <v>0</v>
      </c>
      <c r="N114">
        <f t="shared" si="69"/>
        <v>0</v>
      </c>
      <c r="O114">
        <f t="shared" si="80"/>
        <v>0</v>
      </c>
      <c r="P114">
        <f t="shared" si="81"/>
        <v>0</v>
      </c>
      <c r="Q114" t="e">
        <f t="shared" si="82"/>
        <v>#N/A</v>
      </c>
      <c r="R114" t="e">
        <f t="shared" si="83"/>
        <v>#N/A</v>
      </c>
      <c r="T114" t="e">
        <f t="shared" si="84"/>
        <v>#N/A</v>
      </c>
      <c r="U114" t="e">
        <f t="shared" si="85"/>
        <v>#N/A</v>
      </c>
      <c r="W114" s="4" t="e">
        <f t="shared" si="86"/>
        <v>#N/A</v>
      </c>
      <c r="X114" s="4" t="e">
        <f t="shared" si="87"/>
        <v>#N/A</v>
      </c>
      <c r="Y114">
        <f t="shared" si="70"/>
        <v>0</v>
      </c>
      <c r="AB114" t="str">
        <f t="shared" si="71"/>
        <v/>
      </c>
    </row>
    <row r="115" spans="1:28" x14ac:dyDescent="0.25">
      <c r="A115">
        <f t="shared" ref="A115:D115" si="92">A100</f>
        <v>6</v>
      </c>
      <c r="B115" s="1">
        <f t="shared" si="73"/>
        <v>-2.1892958128330888</v>
      </c>
      <c r="C115" s="1">
        <f t="shared" si="74"/>
        <v>-8.4161739433017591</v>
      </c>
      <c r="D115" t="str">
        <f t="shared" si="92"/>
        <v>n</v>
      </c>
      <c r="E115" s="4">
        <f t="shared" si="66"/>
        <v>0</v>
      </c>
      <c r="F115" s="1" t="e">
        <f t="shared" si="75"/>
        <v>#N/A</v>
      </c>
      <c r="G115" s="1" t="e">
        <f t="shared" si="76"/>
        <v>#N/A</v>
      </c>
      <c r="H115">
        <f t="shared" si="67"/>
        <v>0</v>
      </c>
      <c r="I115">
        <f t="shared" si="77"/>
        <v>0</v>
      </c>
      <c r="J115">
        <f t="shared" si="78"/>
        <v>0</v>
      </c>
      <c r="K115">
        <f t="shared" ca="1" si="89"/>
        <v>0</v>
      </c>
      <c r="L115">
        <f t="shared" ca="1" si="79"/>
        <v>0</v>
      </c>
      <c r="M115">
        <f t="shared" si="68"/>
        <v>0</v>
      </c>
      <c r="N115">
        <f t="shared" si="69"/>
        <v>0</v>
      </c>
      <c r="O115">
        <f t="shared" si="80"/>
        <v>0</v>
      </c>
      <c r="P115">
        <f t="shared" si="81"/>
        <v>0</v>
      </c>
      <c r="Q115" t="e">
        <f t="shared" si="82"/>
        <v>#N/A</v>
      </c>
      <c r="R115" t="e">
        <f t="shared" si="83"/>
        <v>#N/A</v>
      </c>
      <c r="T115" t="e">
        <f t="shared" si="84"/>
        <v>#N/A</v>
      </c>
      <c r="U115" t="e">
        <f t="shared" si="85"/>
        <v>#N/A</v>
      </c>
      <c r="W115" s="4" t="e">
        <f t="shared" si="86"/>
        <v>#N/A</v>
      </c>
      <c r="X115" s="4" t="e">
        <f t="shared" si="87"/>
        <v>#N/A</v>
      </c>
      <c r="Y115">
        <f t="shared" si="70"/>
        <v>0</v>
      </c>
      <c r="AB115" t="str">
        <f t="shared" si="71"/>
        <v/>
      </c>
    </row>
    <row r="116" spans="1:28" x14ac:dyDescent="0.25">
      <c r="A116">
        <f t="shared" ref="A116:D116" si="93">A101</f>
        <v>7</v>
      </c>
      <c r="B116" s="1">
        <f t="shared" si="73"/>
        <v>-2.1892958128330888</v>
      </c>
      <c r="C116" s="1">
        <f t="shared" si="74"/>
        <v>-8.4161739433017591</v>
      </c>
      <c r="D116" t="str">
        <f t="shared" si="93"/>
        <v>n</v>
      </c>
      <c r="E116" s="4">
        <f t="shared" si="66"/>
        <v>0</v>
      </c>
      <c r="F116" s="1" t="e">
        <f t="shared" si="75"/>
        <v>#N/A</v>
      </c>
      <c r="G116" s="1" t="e">
        <f t="shared" si="76"/>
        <v>#N/A</v>
      </c>
      <c r="H116">
        <f t="shared" si="67"/>
        <v>0</v>
      </c>
      <c r="I116">
        <f t="shared" si="77"/>
        <v>0</v>
      </c>
      <c r="J116">
        <f t="shared" si="78"/>
        <v>0</v>
      </c>
      <c r="K116">
        <f t="shared" ca="1" si="89"/>
        <v>0</v>
      </c>
      <c r="L116">
        <f t="shared" ca="1" si="79"/>
        <v>0</v>
      </c>
      <c r="M116">
        <f t="shared" si="68"/>
        <v>0</v>
      </c>
      <c r="N116">
        <f t="shared" si="69"/>
        <v>0</v>
      </c>
      <c r="O116">
        <f t="shared" si="80"/>
        <v>0</v>
      </c>
      <c r="P116">
        <f t="shared" si="81"/>
        <v>0</v>
      </c>
      <c r="Q116" t="e">
        <f t="shared" si="82"/>
        <v>#N/A</v>
      </c>
      <c r="R116" t="e">
        <f t="shared" si="83"/>
        <v>#N/A</v>
      </c>
      <c r="T116" t="e">
        <f t="shared" si="84"/>
        <v>#N/A</v>
      </c>
      <c r="U116" t="e">
        <f t="shared" si="85"/>
        <v>#N/A</v>
      </c>
      <c r="W116" s="4" t="e">
        <f t="shared" si="86"/>
        <v>#N/A</v>
      </c>
      <c r="X116" s="4" t="e">
        <f t="shared" si="87"/>
        <v>#N/A</v>
      </c>
      <c r="Y116">
        <f t="shared" si="70"/>
        <v>0</v>
      </c>
      <c r="AB116" t="str">
        <f t="shared" si="71"/>
        <v/>
      </c>
    </row>
    <row r="117" spans="1:28" x14ac:dyDescent="0.25">
      <c r="A117">
        <f t="shared" ref="A117:D117" si="94">A102</f>
        <v>8</v>
      </c>
      <c r="B117" s="1">
        <f t="shared" si="73"/>
        <v>-2.1892958128330888</v>
      </c>
      <c r="C117" s="1">
        <f t="shared" si="74"/>
        <v>-8.4161739433017591</v>
      </c>
      <c r="D117" t="str">
        <f t="shared" si="94"/>
        <v>n</v>
      </c>
      <c r="E117" s="4">
        <f t="shared" si="66"/>
        <v>0</v>
      </c>
      <c r="F117" s="1" t="e">
        <f t="shared" si="75"/>
        <v>#N/A</v>
      </c>
      <c r="G117" s="1" t="e">
        <f t="shared" si="76"/>
        <v>#N/A</v>
      </c>
      <c r="H117">
        <f t="shared" si="67"/>
        <v>0</v>
      </c>
      <c r="I117">
        <f t="shared" si="77"/>
        <v>0</v>
      </c>
      <c r="J117">
        <f t="shared" si="78"/>
        <v>0</v>
      </c>
      <c r="K117">
        <f t="shared" ca="1" si="89"/>
        <v>0</v>
      </c>
      <c r="L117">
        <f t="shared" ca="1" si="79"/>
        <v>0</v>
      </c>
      <c r="M117">
        <f t="shared" si="68"/>
        <v>0</v>
      </c>
      <c r="N117">
        <f t="shared" si="69"/>
        <v>0</v>
      </c>
      <c r="O117">
        <f t="shared" si="80"/>
        <v>0</v>
      </c>
      <c r="P117">
        <f t="shared" si="81"/>
        <v>0</v>
      </c>
      <c r="Q117" t="e">
        <f t="shared" si="82"/>
        <v>#N/A</v>
      </c>
      <c r="R117" t="e">
        <f t="shared" si="83"/>
        <v>#N/A</v>
      </c>
      <c r="T117" t="e">
        <f t="shared" si="84"/>
        <v>#N/A</v>
      </c>
      <c r="U117" t="e">
        <f t="shared" si="85"/>
        <v>#N/A</v>
      </c>
      <c r="W117" s="4" t="e">
        <f t="shared" si="86"/>
        <v>#N/A</v>
      </c>
      <c r="X117" s="4" t="e">
        <f t="shared" si="87"/>
        <v>#N/A</v>
      </c>
      <c r="Y117">
        <f t="shared" si="70"/>
        <v>0</v>
      </c>
      <c r="AB117" t="str">
        <f t="shared" si="71"/>
        <v/>
      </c>
    </row>
    <row r="118" spans="1:28" x14ac:dyDescent="0.25">
      <c r="A118">
        <f t="shared" ref="A118:D118" si="95">A103</f>
        <v>9</v>
      </c>
      <c r="B118" s="1">
        <f t="shared" si="73"/>
        <v>-2.1892958128330888</v>
      </c>
      <c r="C118" s="1">
        <f t="shared" si="74"/>
        <v>-8.4161739433017591</v>
      </c>
      <c r="D118" t="str">
        <f t="shared" si="95"/>
        <v>n</v>
      </c>
      <c r="E118" s="4">
        <f t="shared" si="66"/>
        <v>0</v>
      </c>
      <c r="F118" s="1" t="e">
        <f t="shared" si="75"/>
        <v>#N/A</v>
      </c>
      <c r="G118" s="1" t="e">
        <f t="shared" si="76"/>
        <v>#N/A</v>
      </c>
      <c r="H118">
        <f t="shared" si="67"/>
        <v>0</v>
      </c>
      <c r="I118">
        <f t="shared" si="77"/>
        <v>0</v>
      </c>
      <c r="J118">
        <f t="shared" si="78"/>
        <v>0</v>
      </c>
      <c r="K118">
        <f t="shared" ca="1" si="89"/>
        <v>0</v>
      </c>
      <c r="L118">
        <f t="shared" ca="1" si="79"/>
        <v>0</v>
      </c>
      <c r="M118">
        <f t="shared" si="68"/>
        <v>0</v>
      </c>
      <c r="N118">
        <f t="shared" si="69"/>
        <v>0</v>
      </c>
      <c r="O118">
        <f t="shared" si="80"/>
        <v>0</v>
      </c>
      <c r="P118">
        <f t="shared" si="81"/>
        <v>0</v>
      </c>
      <c r="Q118" t="e">
        <f t="shared" si="82"/>
        <v>#N/A</v>
      </c>
      <c r="R118" t="e">
        <f t="shared" si="83"/>
        <v>#N/A</v>
      </c>
      <c r="T118" t="e">
        <f t="shared" si="84"/>
        <v>#N/A</v>
      </c>
      <c r="U118" t="e">
        <f t="shared" si="85"/>
        <v>#N/A</v>
      </c>
      <c r="W118" s="4" t="e">
        <f t="shared" si="86"/>
        <v>#N/A</v>
      </c>
      <c r="X118" s="4" t="e">
        <f t="shared" si="87"/>
        <v>#N/A</v>
      </c>
      <c r="Y118">
        <f t="shared" si="70"/>
        <v>0</v>
      </c>
      <c r="AB118" t="str">
        <f t="shared" si="71"/>
        <v/>
      </c>
    </row>
    <row r="119" spans="1:28" x14ac:dyDescent="0.25">
      <c r="A119">
        <f t="shared" ref="A119:D119" si="96">A104</f>
        <v>10</v>
      </c>
      <c r="B119" s="1">
        <f t="shared" si="73"/>
        <v>-2.1892958128330888</v>
      </c>
      <c r="C119" s="1">
        <f t="shared" si="74"/>
        <v>-8.4161739433017591</v>
      </c>
      <c r="D119" t="str">
        <f t="shared" si="96"/>
        <v>n</v>
      </c>
      <c r="E119" s="4">
        <f t="shared" si="66"/>
        <v>0</v>
      </c>
      <c r="F119" s="1" t="e">
        <f t="shared" si="75"/>
        <v>#N/A</v>
      </c>
      <c r="G119" s="1" t="e">
        <f t="shared" si="76"/>
        <v>#N/A</v>
      </c>
      <c r="H119">
        <f t="shared" si="67"/>
        <v>0</v>
      </c>
      <c r="I119">
        <f t="shared" si="77"/>
        <v>0</v>
      </c>
      <c r="J119">
        <f t="shared" si="78"/>
        <v>0</v>
      </c>
      <c r="K119">
        <f t="shared" ca="1" si="89"/>
        <v>0</v>
      </c>
      <c r="L119">
        <f t="shared" ca="1" si="79"/>
        <v>0</v>
      </c>
      <c r="M119">
        <f t="shared" si="68"/>
        <v>0</v>
      </c>
      <c r="N119">
        <f t="shared" si="69"/>
        <v>0</v>
      </c>
      <c r="O119">
        <f t="shared" si="80"/>
        <v>0</v>
      </c>
      <c r="P119">
        <f t="shared" si="81"/>
        <v>0</v>
      </c>
      <c r="Q119" t="e">
        <f t="shared" si="82"/>
        <v>#N/A</v>
      </c>
      <c r="R119" t="e">
        <f t="shared" si="83"/>
        <v>#N/A</v>
      </c>
      <c r="T119" t="e">
        <f t="shared" si="84"/>
        <v>#N/A</v>
      </c>
      <c r="U119" t="e">
        <f t="shared" si="85"/>
        <v>#N/A</v>
      </c>
      <c r="W119" s="4" t="e">
        <f t="shared" si="86"/>
        <v>#N/A</v>
      </c>
      <c r="X119" s="4" t="e">
        <f t="shared" si="87"/>
        <v>#N/A</v>
      </c>
      <c r="Y119">
        <f t="shared" si="70"/>
        <v>0</v>
      </c>
      <c r="AB119" t="str">
        <f t="shared" si="71"/>
        <v/>
      </c>
    </row>
    <row r="120" spans="1:28" x14ac:dyDescent="0.25">
      <c r="A120">
        <f t="shared" ref="A120:D120" si="97">A105</f>
        <v>11</v>
      </c>
      <c r="B120" s="1">
        <f t="shared" si="73"/>
        <v>-2.1892958128330888</v>
      </c>
      <c r="C120" s="1">
        <f t="shared" si="74"/>
        <v>-8.4161739433017591</v>
      </c>
      <c r="D120" t="str">
        <f t="shared" si="97"/>
        <v>n</v>
      </c>
      <c r="E120" s="4">
        <f t="shared" si="66"/>
        <v>0</v>
      </c>
      <c r="F120" s="1" t="e">
        <f t="shared" si="75"/>
        <v>#N/A</v>
      </c>
      <c r="G120" s="1" t="e">
        <f t="shared" si="76"/>
        <v>#N/A</v>
      </c>
      <c r="H120">
        <f t="shared" si="67"/>
        <v>0</v>
      </c>
      <c r="I120">
        <f t="shared" si="77"/>
        <v>0</v>
      </c>
      <c r="J120">
        <f t="shared" si="78"/>
        <v>0</v>
      </c>
      <c r="K120">
        <f t="shared" ca="1" si="89"/>
        <v>0</v>
      </c>
      <c r="L120">
        <f t="shared" ca="1" si="79"/>
        <v>0</v>
      </c>
      <c r="M120">
        <f t="shared" si="68"/>
        <v>0</v>
      </c>
      <c r="N120">
        <f t="shared" si="69"/>
        <v>0</v>
      </c>
      <c r="O120">
        <f t="shared" si="80"/>
        <v>0</v>
      </c>
      <c r="P120">
        <f t="shared" si="81"/>
        <v>0</v>
      </c>
      <c r="Q120" t="e">
        <f t="shared" si="82"/>
        <v>#N/A</v>
      </c>
      <c r="R120" t="e">
        <f t="shared" si="83"/>
        <v>#N/A</v>
      </c>
      <c r="T120" t="e">
        <f t="shared" si="84"/>
        <v>#N/A</v>
      </c>
      <c r="U120" t="e">
        <f t="shared" si="85"/>
        <v>#N/A</v>
      </c>
      <c r="W120" s="4" t="e">
        <f t="shared" si="86"/>
        <v>#N/A</v>
      </c>
      <c r="X120" s="4" t="e">
        <f t="shared" si="87"/>
        <v>#N/A</v>
      </c>
      <c r="Y120">
        <f t="shared" si="70"/>
        <v>0</v>
      </c>
      <c r="AB120" t="str">
        <f t="shared" si="71"/>
        <v/>
      </c>
    </row>
    <row r="121" spans="1:28" ht="15.75" thickBot="1" x14ac:dyDescent="0.3">
      <c r="A121">
        <f t="shared" ref="A121:D121" si="98">A106</f>
        <v>12</v>
      </c>
      <c r="B121" s="1">
        <f t="shared" si="73"/>
        <v>-2.1892958128330888</v>
      </c>
      <c r="C121" s="1">
        <f t="shared" si="74"/>
        <v>-8.4161739433017591</v>
      </c>
      <c r="D121" t="str">
        <f t="shared" si="98"/>
        <v>n</v>
      </c>
      <c r="E121" s="4">
        <f t="shared" si="66"/>
        <v>0</v>
      </c>
      <c r="F121" s="1" t="e">
        <f t="shared" si="75"/>
        <v>#N/A</v>
      </c>
      <c r="G121" s="1" t="e">
        <f t="shared" si="76"/>
        <v>#N/A</v>
      </c>
      <c r="H121" s="23">
        <f t="shared" si="67"/>
        <v>0</v>
      </c>
      <c r="I121" s="23">
        <f t="shared" si="77"/>
        <v>0</v>
      </c>
      <c r="J121" s="23">
        <f t="shared" si="78"/>
        <v>0</v>
      </c>
      <c r="K121">
        <f t="shared" ca="1" si="89"/>
        <v>0</v>
      </c>
      <c r="L121">
        <f t="shared" ca="1" si="79"/>
        <v>0</v>
      </c>
      <c r="M121">
        <f t="shared" si="68"/>
        <v>0</v>
      </c>
      <c r="N121" s="23">
        <f t="shared" si="69"/>
        <v>0</v>
      </c>
      <c r="O121" s="23">
        <f t="shared" si="80"/>
        <v>0</v>
      </c>
      <c r="P121" s="23">
        <f t="shared" si="81"/>
        <v>0</v>
      </c>
      <c r="Q121" t="e">
        <f t="shared" si="82"/>
        <v>#N/A</v>
      </c>
      <c r="R121" t="e">
        <f t="shared" si="83"/>
        <v>#N/A</v>
      </c>
      <c r="T121" t="e">
        <f t="shared" si="84"/>
        <v>#N/A</v>
      </c>
      <c r="U121" t="e">
        <f t="shared" si="85"/>
        <v>#N/A</v>
      </c>
      <c r="W121" s="4" t="e">
        <f t="shared" si="86"/>
        <v>#N/A</v>
      </c>
      <c r="X121" s="4" t="e">
        <f t="shared" si="87"/>
        <v>#N/A</v>
      </c>
      <c r="Y121">
        <f t="shared" si="70"/>
        <v>0</v>
      </c>
      <c r="AB121" t="str">
        <f t="shared" si="71"/>
        <v/>
      </c>
    </row>
    <row r="122" spans="1:28" ht="15.75" thickTop="1" x14ac:dyDescent="0.25">
      <c r="D122" s="10" t="s">
        <v>44</v>
      </c>
      <c r="E122" s="4">
        <f>MAX(E110:E121)</f>
        <v>5.422336733610619</v>
      </c>
      <c r="H122">
        <f>SUM(H110:H121)</f>
        <v>-10.029042968954894</v>
      </c>
      <c r="I122">
        <f t="shared" ref="I122:J122" si="99">SUM(I110:I121)</f>
        <v>67.556227467779237</v>
      </c>
      <c r="J122">
        <f t="shared" si="99"/>
        <v>4.3530324974333112</v>
      </c>
      <c r="L122">
        <f ca="1">MIN(L110:L121)</f>
        <v>-5.2513138052597821E-4</v>
      </c>
      <c r="M122">
        <f>MIN(M110:M121)</f>
        <v>-5.2513138052597821E-4</v>
      </c>
      <c r="N122">
        <f>SUM(N110:N121)</f>
        <v>0.75699048190221674</v>
      </c>
      <c r="O122">
        <f>SUM(O110:O121)</f>
        <v>0.9798573040451195</v>
      </c>
      <c r="P122">
        <f>SUM(P110:P121)</f>
        <v>-5.055259969194732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-1.396413347098004</v>
      </c>
      <c r="F125" s="1" t="s">
        <v>27</v>
      </c>
      <c r="G125" s="1" t="s">
        <v>28</v>
      </c>
    </row>
    <row r="126" spans="1:28" x14ac:dyDescent="0.25">
      <c r="F126" s="4">
        <f>MIN(B84:B92)-1</f>
        <v>-3.9286104147540861</v>
      </c>
      <c r="G126" s="4">
        <f>B125</f>
        <v>-1.396413347098004</v>
      </c>
      <c r="I126">
        <f>IF(OR($G$126&gt;MAX($C$84:$C$92)+5,$G$126&lt;MIN($C$84:$C$92)-5),NA(),F126)</f>
        <v>-3.9286104147540861</v>
      </c>
      <c r="J126">
        <f>IF(OR($G$126&gt;MAX($C$84:$C$92)+5,$G$126&lt;MIN($C$84:$C$92)-5),NA(),G126)</f>
        <v>-1.396413347098004</v>
      </c>
    </row>
    <row r="127" spans="1:28" x14ac:dyDescent="0.25">
      <c r="F127" s="4">
        <f>MAX(B84:B92)+1</f>
        <v>9.4161739433017591</v>
      </c>
      <c r="G127" s="4">
        <f>G126</f>
        <v>-1.396413347098004</v>
      </c>
      <c r="I127">
        <f>IF(OR($G$126&gt;MAX($C$84:$C$92)+5,$G$126&lt;MIN($C$84:$C$92)-5),NA(),F127)</f>
        <v>9.4161739433017591</v>
      </c>
      <c r="J127">
        <f>IF(OR($G$126&gt;MAX($C$84:$C$92)+5,$G$126&lt;MIN($C$84:$C$92)-5),NA(),G127)</f>
        <v>-1.396413347098004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100">B85</f>
        <v>3.298267715714585</v>
      </c>
      <c r="E132" s="4">
        <f t="shared" si="100"/>
        <v>-8.0465166423412615</v>
      </c>
      <c r="F132" s="4">
        <f t="shared" ref="F132:F139" si="101">($B$66/$B$65)*(C132-$B$125)</f>
        <v>-2.7698403243879945</v>
      </c>
      <c r="G132" s="4">
        <f t="shared" ref="G132:G139" si="102">($B$66/$B$65)*(E132-$B$125)</f>
        <v>-2.6239818318692425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3">D132</f>
        <v>3.298267715714585</v>
      </c>
      <c r="C133" s="4">
        <f t="shared" si="103"/>
        <v>-8.0465166423412615</v>
      </c>
      <c r="D133" s="4">
        <f t="shared" si="100"/>
        <v>2.9286104147540861</v>
      </c>
      <c r="E133" s="4">
        <f t="shared" si="100"/>
        <v>-2.5589531137935877</v>
      </c>
      <c r="F133" s="4">
        <f t="shared" si="101"/>
        <v>-2.6239818318692425</v>
      </c>
      <c r="G133" s="4">
        <f t="shared" si="102"/>
        <v>-0.45871215697005724</v>
      </c>
      <c r="H133" s="4">
        <f t="shared" ref="H133:H139" si="104">IF(B133=D133,"V",(C133-E133)/(B133-D133))</f>
        <v>-14.845002423296025</v>
      </c>
      <c r="I133" s="4">
        <f t="shared" ref="I133:I139" si="105">IF(H133="V",0,(-1*B133*H133)+C133)</f>
        <v>40.916275590120797</v>
      </c>
      <c r="J133" s="4">
        <f t="shared" ref="J133:J139" si="106">IF($F133&gt;=0,B133,IF(AND($F133&lt;0,$G133&gt;=0),IF(H133="V",B133,($B$125-I133)/H133),0))</f>
        <v>0</v>
      </c>
      <c r="K133" s="4">
        <f t="shared" ref="K133:K139" si="107">IF($F133&gt;=0,C133,IF(AND($F133&lt;0,$G133&gt;=0),$B$125,0))</f>
        <v>0</v>
      </c>
      <c r="L133" s="4">
        <f t="shared" ref="L133:L139" si="108">IF($G133&gt;=0,D133,IF(AND($G133&lt;0,$F133&gt;=0),IF(H133="V",D133,($B$125-I133)/H133),0))</f>
        <v>0</v>
      </c>
      <c r="M133" s="4">
        <f t="shared" ref="M133:M139" si="109">IF($G133&gt;=0,E133,IF(AND($G133&lt;0,$F133&gt;=0),$B$125,0))</f>
        <v>0</v>
      </c>
      <c r="N133" s="4">
        <f t="shared" ref="N133:N139" si="110">IF(F133&lt;0,0,F133)</f>
        <v>0</v>
      </c>
      <c r="O133" s="4">
        <f t="shared" ref="O133:O139" si="111">IF(G133&lt;0,0,G133)</f>
        <v>0</v>
      </c>
      <c r="P133" s="4">
        <f t="shared" ref="P133:P139" si="112">(1/6)*(M133-K133)*((N133*((2*J133)+L133))+(O133*(J133+(2*L133))))</f>
        <v>0</v>
      </c>
      <c r="Q133" s="4">
        <f t="shared" ref="Q133:Q139" si="113">((1/12)*(M133-K133)*(N133*J133*((3*K133)+M133)+N133*L133*(K133+M133)+O133*J133*(K133+M133)+O133*L133*(K133+(3*M133))))</f>
        <v>0</v>
      </c>
      <c r="R133" s="4">
        <f t="shared" ref="R133:R139" si="114">((-1/24)*(M133-K133)*(J133*J133*((3*N133)+O133)+2*J133*L133*(N133+O133)+L133*L133*(N133+(3*O133))))</f>
        <v>0</v>
      </c>
      <c r="U133" t="e">
        <f t="shared" ref="U133:U153" si="115">IF(AND(J133=0,K133=0,L133=0,M133=0),NA(),J133)</f>
        <v>#N/A</v>
      </c>
      <c r="V133" t="e">
        <f t="shared" ref="V133:V153" si="116">IF(AND(J133=0,K133=0,L133=0,M133=0),NA(),K133)</f>
        <v>#N/A</v>
      </c>
      <c r="W133" s="9" t="str">
        <f t="shared" ref="W133:W144" si="117">IF(AND(J133=0,K133=0,L133=0,M133=0),"",ROUND(N133,4)&amp;" ksi")</f>
        <v/>
      </c>
      <c r="X133" t="e">
        <f t="shared" ref="X133:X139" si="118">(U133*COS(-1*$B$64))+(V133*SIN(-1*$B$64))</f>
        <v>#N/A</v>
      </c>
      <c r="Y133" t="e">
        <f t="shared" ref="Y133:Y139" si="119">(-1*U133*SIN(-1*$B$64))+(V133*COS(-1*$B$64))</f>
        <v>#N/A</v>
      </c>
      <c r="AA133" s="4" t="e">
        <f t="shared" ref="AA133:AA139" si="120">X133+$B$9</f>
        <v>#N/A</v>
      </c>
      <c r="AB133" s="4" t="e">
        <f t="shared" ref="AB133:AB139" si="121">Y133+$C$9</f>
        <v>#N/A</v>
      </c>
      <c r="AD133" t="e">
        <f t="shared" ref="AD133:AD139" si="122">IF(AND(J133=0,K133=0,L133=0,M133=0),NA(),L133)</f>
        <v>#N/A</v>
      </c>
      <c r="AE133" t="e">
        <f t="shared" ref="AE133:AE139" si="123">IF(AND(J133=0,K133=0,L133=0,M133=0),NA(),M133)</f>
        <v>#N/A</v>
      </c>
      <c r="AF133" s="9" t="str">
        <f t="shared" ref="AF133:AF139" si="124">IF(AND(J133=0,K133=0,L133=0,M133=0),"",ROUND(O133,4)&amp;" ksi")</f>
        <v/>
      </c>
      <c r="AG133" t="e">
        <f t="shared" ref="AG133:AG139" si="125">IF(COUNTIF($U$132:$U$139,AD133)&gt;0,NA(),AD133)</f>
        <v>#N/A</v>
      </c>
      <c r="AH133" t="e">
        <f t="shared" ref="AH133:AH139" si="126">IF(AND(COUNTIF($V$132:$V$139,AE133)&gt;0,AF133&lt;&gt;"0 ksi"),NA(),AE133)</f>
        <v>#N/A</v>
      </c>
      <c r="AI133" t="str">
        <f t="shared" ref="AI133:AI139" si="127">IF(COUNTIF($U$132:$U$139,AD133)&gt;0,"",AF133)</f>
        <v/>
      </c>
      <c r="AJ133" t="e">
        <f t="shared" ref="AJ133:AJ139" si="128">(AG133*COS(-1*$B$64))+(AH133*SIN(-1*$B$64))</f>
        <v>#N/A</v>
      </c>
      <c r="AK133" t="e">
        <f t="shared" ref="AK133:AK139" si="129">(-1*AG133*SIN(-1*$B$64))+(AH133*COS(-1*$B$64))</f>
        <v>#N/A</v>
      </c>
      <c r="AM133" s="4" t="e">
        <f t="shared" ref="AM133:AM139" si="130">AJ133+$B$9</f>
        <v>#N/A</v>
      </c>
      <c r="AN133" s="4" t="e">
        <f t="shared" ref="AN133:AN139" si="131">AK133+$C$9</f>
        <v>#N/A</v>
      </c>
    </row>
    <row r="134" spans="1:40" x14ac:dyDescent="0.25">
      <c r="A134" t="s">
        <v>71</v>
      </c>
      <c r="B134" s="4">
        <f t="shared" si="103"/>
        <v>2.9286104147540861</v>
      </c>
      <c r="C134" s="4">
        <f t="shared" si="103"/>
        <v>-2.5589531137935877</v>
      </c>
      <c r="D134" s="4">
        <f t="shared" si="100"/>
        <v>8.4161739433017591</v>
      </c>
      <c r="E134" s="4">
        <f t="shared" si="100"/>
        <v>-2.1892958128330888</v>
      </c>
      <c r="F134" s="4">
        <f t="shared" si="101"/>
        <v>-0.45871215697005724</v>
      </c>
      <c r="G134" s="4">
        <f t="shared" si="102"/>
        <v>-0.31285366445130475</v>
      </c>
      <c r="H134" s="4">
        <f t="shared" si="104"/>
        <v>6.7362737403849543E-2</v>
      </c>
      <c r="I134" s="4">
        <f t="shared" si="105"/>
        <v>-2.7562323281208463</v>
      </c>
      <c r="J134" s="4">
        <f t="shared" si="106"/>
        <v>0</v>
      </c>
      <c r="K134" s="4">
        <f t="shared" si="107"/>
        <v>0</v>
      </c>
      <c r="L134" s="4">
        <f t="shared" si="108"/>
        <v>0</v>
      </c>
      <c r="M134" s="4">
        <f t="shared" si="109"/>
        <v>0</v>
      </c>
      <c r="N134" s="4">
        <f t="shared" si="110"/>
        <v>0</v>
      </c>
      <c r="O134" s="4">
        <f t="shared" si="111"/>
        <v>0</v>
      </c>
      <c r="P134" s="4">
        <f t="shared" si="112"/>
        <v>0</v>
      </c>
      <c r="Q134" s="4">
        <f t="shared" si="113"/>
        <v>0</v>
      </c>
      <c r="R134" s="4">
        <f t="shared" si="114"/>
        <v>0</v>
      </c>
      <c r="U134" t="e">
        <f t="shared" si="115"/>
        <v>#N/A</v>
      </c>
      <c r="V134" t="e">
        <f t="shared" si="116"/>
        <v>#N/A</v>
      </c>
      <c r="W134" s="9" t="str">
        <f t="shared" si="117"/>
        <v/>
      </c>
      <c r="X134" t="e">
        <f t="shared" si="118"/>
        <v>#N/A</v>
      </c>
      <c r="Y134" t="e">
        <f t="shared" si="119"/>
        <v>#N/A</v>
      </c>
      <c r="AA134" s="4" t="e">
        <f t="shared" si="120"/>
        <v>#N/A</v>
      </c>
      <c r="AB134" s="4" t="e">
        <f t="shared" si="121"/>
        <v>#N/A</v>
      </c>
      <c r="AD134" t="e">
        <f t="shared" si="122"/>
        <v>#N/A</v>
      </c>
      <c r="AE134" t="e">
        <f t="shared" si="123"/>
        <v>#N/A</v>
      </c>
      <c r="AF134" s="9" t="str">
        <f t="shared" si="124"/>
        <v/>
      </c>
      <c r="AG134" t="e">
        <f t="shared" si="125"/>
        <v>#N/A</v>
      </c>
      <c r="AH134" t="e">
        <f t="shared" si="126"/>
        <v>#N/A</v>
      </c>
      <c r="AI134" t="str">
        <f t="shared" si="127"/>
        <v/>
      </c>
      <c r="AJ134" t="e">
        <f t="shared" si="128"/>
        <v>#N/A</v>
      </c>
      <c r="AK134" t="e">
        <f t="shared" si="129"/>
        <v>#N/A</v>
      </c>
      <c r="AM134" s="4" t="e">
        <f t="shared" si="130"/>
        <v>#N/A</v>
      </c>
      <c r="AN134" s="4" t="e">
        <f t="shared" si="131"/>
        <v>#N/A</v>
      </c>
    </row>
    <row r="135" spans="1:40" x14ac:dyDescent="0.25">
      <c r="A135" t="s">
        <v>72</v>
      </c>
      <c r="B135" s="4">
        <f t="shared" si="103"/>
        <v>8.4161739433017591</v>
      </c>
      <c r="C135" s="4">
        <f t="shared" si="103"/>
        <v>-2.1892958128330888</v>
      </c>
      <c r="D135" s="4">
        <f t="shared" si="100"/>
        <v>8.0465166423412615</v>
      </c>
      <c r="E135" s="4">
        <f t="shared" si="100"/>
        <v>3.298267715714585</v>
      </c>
      <c r="F135" s="4">
        <f t="shared" si="101"/>
        <v>-0.31285366445130475</v>
      </c>
      <c r="G135" s="4">
        <f t="shared" si="102"/>
        <v>1.8524160104478808</v>
      </c>
      <c r="H135" s="4">
        <f t="shared" si="104"/>
        <v>-14.845002423296078</v>
      </c>
      <c r="I135" s="4">
        <f t="shared" si="105"/>
        <v>122.74882677036283</v>
      </c>
      <c r="J135" s="4">
        <f t="shared" si="106"/>
        <v>8.3627632099703302</v>
      </c>
      <c r="K135" s="4">
        <f t="shared" si="107"/>
        <v>-1.396413347098004</v>
      </c>
      <c r="L135" s="4">
        <f t="shared" si="108"/>
        <v>8.0465166423412615</v>
      </c>
      <c r="M135" s="4">
        <f t="shared" si="109"/>
        <v>3.298267715714585</v>
      </c>
      <c r="N135" s="4">
        <f t="shared" si="110"/>
        <v>0</v>
      </c>
      <c r="O135" s="4">
        <f t="shared" si="111"/>
        <v>1.8524160104478808</v>
      </c>
      <c r="P135" s="4">
        <f t="shared" si="112"/>
        <v>35.446648674397174</v>
      </c>
      <c r="Q135" s="4">
        <f t="shared" si="113"/>
        <v>61.083647555184328</v>
      </c>
      <c r="R135" s="4">
        <f t="shared" si="114"/>
        <v>-144.49141764490855</v>
      </c>
      <c r="U135">
        <f t="shared" si="115"/>
        <v>8.3627632099703302</v>
      </c>
      <c r="V135">
        <f t="shared" si="116"/>
        <v>-1.396413347098004</v>
      </c>
      <c r="W135" s="9" t="str">
        <f t="shared" si="117"/>
        <v>0 ksi</v>
      </c>
      <c r="X135">
        <f t="shared" si="118"/>
        <v>8.25</v>
      </c>
      <c r="Y135">
        <f t="shared" si="119"/>
        <v>-1.9553206238330145</v>
      </c>
      <c r="AA135" s="4">
        <f t="shared" si="120"/>
        <v>11</v>
      </c>
      <c r="AB135" s="4">
        <f t="shared" si="121"/>
        <v>6.2946793761669859</v>
      </c>
      <c r="AD135">
        <f t="shared" si="122"/>
        <v>8.0465166423412615</v>
      </c>
      <c r="AE135">
        <f t="shared" si="123"/>
        <v>3.298267715714585</v>
      </c>
      <c r="AF135" s="9" t="str">
        <f t="shared" si="124"/>
        <v>1.8524 ksi</v>
      </c>
      <c r="AG135" t="e">
        <f t="shared" si="125"/>
        <v>#N/A</v>
      </c>
      <c r="AH135" t="e">
        <f t="shared" si="126"/>
        <v>#N/A</v>
      </c>
      <c r="AI135" t="str">
        <f t="shared" si="127"/>
        <v/>
      </c>
      <c r="AJ135" t="e">
        <f t="shared" si="128"/>
        <v>#N/A</v>
      </c>
      <c r="AK135" t="e">
        <f t="shared" si="129"/>
        <v>#N/A</v>
      </c>
      <c r="AM135" s="4" t="e">
        <f t="shared" si="130"/>
        <v>#N/A</v>
      </c>
      <c r="AN135" s="4" t="e">
        <f t="shared" si="131"/>
        <v>#N/A</v>
      </c>
    </row>
    <row r="136" spans="1:40" x14ac:dyDescent="0.25">
      <c r="A136" t="s">
        <v>73</v>
      </c>
      <c r="B136" s="4">
        <f t="shared" si="103"/>
        <v>8.0465166423412615</v>
      </c>
      <c r="C136" s="4">
        <f t="shared" si="103"/>
        <v>3.298267715714585</v>
      </c>
      <c r="D136" s="4">
        <f t="shared" si="100"/>
        <v>-2.9286104147540861</v>
      </c>
      <c r="E136" s="4">
        <f t="shared" si="100"/>
        <v>2.5589531137935877</v>
      </c>
      <c r="F136" s="4">
        <f t="shared" si="101"/>
        <v>1.8524160104478808</v>
      </c>
      <c r="G136" s="4">
        <f t="shared" si="102"/>
        <v>1.5606990254103761</v>
      </c>
      <c r="H136" s="4">
        <f t="shared" si="104"/>
        <v>6.7362737403849487E-2</v>
      </c>
      <c r="I136" s="4">
        <f t="shared" si="105"/>
        <v>2.7562323281208458</v>
      </c>
      <c r="J136" s="4">
        <f t="shared" si="106"/>
        <v>8.0465166423412615</v>
      </c>
      <c r="K136" s="4">
        <f t="shared" si="107"/>
        <v>3.298267715714585</v>
      </c>
      <c r="L136" s="4">
        <f t="shared" si="108"/>
        <v>-2.9286104147540861</v>
      </c>
      <c r="M136" s="4">
        <f t="shared" si="109"/>
        <v>2.5589531137935877</v>
      </c>
      <c r="N136" s="4">
        <f t="shared" si="110"/>
        <v>1.8524160104478808</v>
      </c>
      <c r="O136" s="4">
        <f t="shared" si="111"/>
        <v>1.5606990254103761</v>
      </c>
      <c r="P136" s="4">
        <f t="shared" si="112"/>
        <v>-3.425838409341611</v>
      </c>
      <c r="Q136" s="4">
        <f t="shared" si="113"/>
        <v>-10.920063255569188</v>
      </c>
      <c r="R136" s="4">
        <f t="shared" si="114"/>
        <v>10.967908503814025</v>
      </c>
      <c r="U136">
        <f t="shared" si="115"/>
        <v>8.0465166423412615</v>
      </c>
      <c r="V136">
        <f t="shared" si="116"/>
        <v>3.298267715714585</v>
      </c>
      <c r="W136" s="9" t="str">
        <f t="shared" si="117"/>
        <v>1.8524 ksi</v>
      </c>
      <c r="X136">
        <f t="shared" si="118"/>
        <v>8.25</v>
      </c>
      <c r="Y136">
        <f t="shared" si="119"/>
        <v>2.75</v>
      </c>
      <c r="AA136" s="4">
        <f t="shared" si="120"/>
        <v>11</v>
      </c>
      <c r="AB136" s="4">
        <f t="shared" si="121"/>
        <v>11</v>
      </c>
      <c r="AD136">
        <f t="shared" si="122"/>
        <v>-2.9286104147540861</v>
      </c>
      <c r="AE136">
        <f t="shared" si="123"/>
        <v>2.5589531137935877</v>
      </c>
      <c r="AF136" s="9" t="str">
        <f t="shared" si="124"/>
        <v>1.5607 ksi</v>
      </c>
      <c r="AG136" t="e">
        <f t="shared" si="125"/>
        <v>#N/A</v>
      </c>
      <c r="AH136" t="e">
        <f t="shared" si="126"/>
        <v>#N/A</v>
      </c>
      <c r="AI136" t="str">
        <f t="shared" si="127"/>
        <v/>
      </c>
      <c r="AJ136" t="e">
        <f t="shared" si="128"/>
        <v>#N/A</v>
      </c>
      <c r="AK136" t="e">
        <f t="shared" si="129"/>
        <v>#N/A</v>
      </c>
      <c r="AM136" s="4" t="e">
        <f t="shared" si="130"/>
        <v>#N/A</v>
      </c>
      <c r="AN136" s="4" t="e">
        <f t="shared" si="131"/>
        <v>#N/A</v>
      </c>
    </row>
    <row r="137" spans="1:40" x14ac:dyDescent="0.25">
      <c r="A137" t="s">
        <v>74</v>
      </c>
      <c r="B137" s="4">
        <f t="shared" si="103"/>
        <v>-2.9286104147540861</v>
      </c>
      <c r="C137" s="4">
        <f t="shared" si="103"/>
        <v>2.5589531137935877</v>
      </c>
      <c r="D137" s="4">
        <f t="shared" si="100"/>
        <v>-2.1892958128330888</v>
      </c>
      <c r="E137" s="4">
        <f t="shared" si="100"/>
        <v>-8.4161739433017591</v>
      </c>
      <c r="F137" s="4">
        <f t="shared" si="101"/>
        <v>1.5606990254103761</v>
      </c>
      <c r="G137" s="4">
        <f t="shared" si="102"/>
        <v>-2.7698403243879945</v>
      </c>
      <c r="H137" s="4">
        <f t="shared" si="104"/>
        <v>-14.845002423296032</v>
      </c>
      <c r="I137" s="4">
        <f t="shared" si="105"/>
        <v>-40.916275590120819</v>
      </c>
      <c r="J137" s="4">
        <f t="shared" si="106"/>
        <v>-2.9286104147540861</v>
      </c>
      <c r="K137" s="4">
        <f t="shared" si="107"/>
        <v>2.5589531137935877</v>
      </c>
      <c r="L137" s="4">
        <f t="shared" si="108"/>
        <v>-2.6621661025130523</v>
      </c>
      <c r="M137" s="4">
        <f t="shared" si="109"/>
        <v>-1.396413347098004</v>
      </c>
      <c r="N137" s="4">
        <f t="shared" si="110"/>
        <v>1.5606990254103761</v>
      </c>
      <c r="O137" s="4">
        <f t="shared" si="111"/>
        <v>0</v>
      </c>
      <c r="P137" s="4">
        <f t="shared" si="112"/>
        <v>8.7652231858015401</v>
      </c>
      <c r="Q137" s="4">
        <f t="shared" si="113"/>
        <v>11.053954544101783</v>
      </c>
      <c r="R137" s="4">
        <f t="shared" si="114"/>
        <v>12.451808072564507</v>
      </c>
      <c r="U137">
        <f t="shared" si="115"/>
        <v>-2.9286104147540861</v>
      </c>
      <c r="V137">
        <f t="shared" si="116"/>
        <v>2.5589531137935877</v>
      </c>
      <c r="W137" s="9" t="str">
        <f t="shared" si="117"/>
        <v>1.5607 ksi</v>
      </c>
      <c r="X137">
        <f t="shared" si="118"/>
        <v>-2.7499999999999996</v>
      </c>
      <c r="Y137">
        <f t="shared" si="119"/>
        <v>2.75</v>
      </c>
      <c r="AA137" s="4">
        <f t="shared" si="120"/>
        <v>0</v>
      </c>
      <c r="AB137" s="4">
        <f t="shared" si="121"/>
        <v>11</v>
      </c>
      <c r="AD137">
        <f t="shared" si="122"/>
        <v>-2.6621661025130523</v>
      </c>
      <c r="AE137">
        <f t="shared" si="123"/>
        <v>-1.396413347098004</v>
      </c>
      <c r="AF137" s="9" t="str">
        <f t="shared" si="124"/>
        <v>0 ksi</v>
      </c>
      <c r="AG137">
        <f t="shared" si="125"/>
        <v>-2.6621661025130523</v>
      </c>
      <c r="AH137">
        <f t="shared" si="126"/>
        <v>-1.396413347098004</v>
      </c>
      <c r="AI137" t="str">
        <f t="shared" si="127"/>
        <v>0 ksi</v>
      </c>
      <c r="AJ137">
        <f t="shared" si="128"/>
        <v>-2.75</v>
      </c>
      <c r="AK137">
        <f t="shared" si="129"/>
        <v>-1.21433051239067</v>
      </c>
      <c r="AM137" s="4">
        <f t="shared" si="130"/>
        <v>0</v>
      </c>
      <c r="AN137" s="4">
        <f t="shared" si="131"/>
        <v>7.0356694876093302</v>
      </c>
    </row>
    <row r="138" spans="1:40" x14ac:dyDescent="0.25">
      <c r="A138" t="s">
        <v>75</v>
      </c>
      <c r="B138" s="4">
        <f t="shared" si="103"/>
        <v>-2.1892958128330888</v>
      </c>
      <c r="C138" s="4">
        <f t="shared" si="103"/>
        <v>-8.4161739433017591</v>
      </c>
      <c r="D138" s="4">
        <f t="shared" si="100"/>
        <v>-2.1892958128330888</v>
      </c>
      <c r="E138" s="4">
        <f t="shared" si="100"/>
        <v>-8.4161739433017591</v>
      </c>
      <c r="F138" s="4">
        <f t="shared" si="101"/>
        <v>-2.7698403243879945</v>
      </c>
      <c r="G138" s="4">
        <f t="shared" si="102"/>
        <v>-2.7698403243879945</v>
      </c>
      <c r="H138" s="4" t="str">
        <f t="shared" si="104"/>
        <v>V</v>
      </c>
      <c r="I138" s="4">
        <f t="shared" si="105"/>
        <v>0</v>
      </c>
      <c r="J138" s="4">
        <f t="shared" si="106"/>
        <v>0</v>
      </c>
      <c r="K138" s="4">
        <f t="shared" si="107"/>
        <v>0</v>
      </c>
      <c r="L138" s="4">
        <f t="shared" si="108"/>
        <v>0</v>
      </c>
      <c r="M138" s="4">
        <f t="shared" si="109"/>
        <v>0</v>
      </c>
      <c r="N138" s="4">
        <f t="shared" si="110"/>
        <v>0</v>
      </c>
      <c r="O138" s="4">
        <f t="shared" si="111"/>
        <v>0</v>
      </c>
      <c r="P138" s="30">
        <f t="shared" si="112"/>
        <v>0</v>
      </c>
      <c r="Q138" s="30">
        <f t="shared" si="113"/>
        <v>0</v>
      </c>
      <c r="R138" s="30">
        <f t="shared" si="114"/>
        <v>0</v>
      </c>
      <c r="U138" t="e">
        <f t="shared" si="115"/>
        <v>#N/A</v>
      </c>
      <c r="V138" t="e">
        <f t="shared" si="116"/>
        <v>#N/A</v>
      </c>
      <c r="W138" s="9" t="str">
        <f t="shared" si="117"/>
        <v/>
      </c>
      <c r="X138" t="e">
        <f t="shared" si="118"/>
        <v>#N/A</v>
      </c>
      <c r="Y138" t="e">
        <f t="shared" si="119"/>
        <v>#N/A</v>
      </c>
      <c r="AA138" s="4" t="e">
        <f t="shared" si="120"/>
        <v>#N/A</v>
      </c>
      <c r="AB138" s="4" t="e">
        <f t="shared" si="121"/>
        <v>#N/A</v>
      </c>
      <c r="AD138" t="e">
        <f t="shared" si="122"/>
        <v>#N/A</v>
      </c>
      <c r="AE138" t="e">
        <f t="shared" si="123"/>
        <v>#N/A</v>
      </c>
      <c r="AF138" s="9" t="str">
        <f t="shared" si="124"/>
        <v/>
      </c>
      <c r="AG138" t="e">
        <f t="shared" si="125"/>
        <v>#N/A</v>
      </c>
      <c r="AH138" t="e">
        <f t="shared" si="126"/>
        <v>#N/A</v>
      </c>
      <c r="AI138" t="str">
        <f t="shared" si="127"/>
        <v/>
      </c>
      <c r="AJ138" t="e">
        <f t="shared" si="128"/>
        <v>#N/A</v>
      </c>
      <c r="AK138" t="e">
        <f t="shared" si="129"/>
        <v>#N/A</v>
      </c>
      <c r="AM138" s="4" t="e">
        <f t="shared" si="130"/>
        <v>#N/A</v>
      </c>
      <c r="AN138" s="4" t="e">
        <f t="shared" si="131"/>
        <v>#N/A</v>
      </c>
    </row>
    <row r="139" spans="1:40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100"/>
        <v>-2.1892958128330888</v>
      </c>
      <c r="E139" s="4">
        <f t="shared" si="100"/>
        <v>-8.4161739433017591</v>
      </c>
      <c r="F139" s="4">
        <f t="shared" si="101"/>
        <v>-2.7698403243879945</v>
      </c>
      <c r="G139" s="4">
        <f t="shared" si="102"/>
        <v>-2.7698403243879945</v>
      </c>
      <c r="H139" s="4" t="str">
        <f t="shared" si="104"/>
        <v>V</v>
      </c>
      <c r="I139" s="4">
        <f t="shared" si="105"/>
        <v>0</v>
      </c>
      <c r="J139" s="4">
        <f t="shared" si="106"/>
        <v>0</v>
      </c>
      <c r="K139" s="4">
        <f t="shared" si="107"/>
        <v>0</v>
      </c>
      <c r="L139" s="4">
        <f t="shared" si="108"/>
        <v>0</v>
      </c>
      <c r="M139" s="4">
        <f t="shared" si="109"/>
        <v>0</v>
      </c>
      <c r="N139" s="4">
        <f t="shared" si="110"/>
        <v>0</v>
      </c>
      <c r="O139" s="4">
        <f t="shared" si="111"/>
        <v>0</v>
      </c>
      <c r="P139" s="31">
        <f t="shared" si="112"/>
        <v>0</v>
      </c>
      <c r="Q139" s="31">
        <f t="shared" si="113"/>
        <v>0</v>
      </c>
      <c r="R139" s="31">
        <f t="shared" si="114"/>
        <v>0</v>
      </c>
      <c r="U139" t="e">
        <f t="shared" si="115"/>
        <v>#N/A</v>
      </c>
      <c r="V139" t="e">
        <f t="shared" si="116"/>
        <v>#N/A</v>
      </c>
      <c r="W139" s="9" t="str">
        <f t="shared" si="117"/>
        <v/>
      </c>
      <c r="X139" t="e">
        <f t="shared" si="118"/>
        <v>#N/A</v>
      </c>
      <c r="Y139" t="e">
        <f t="shared" si="119"/>
        <v>#N/A</v>
      </c>
      <c r="AA139" s="4" t="e">
        <f t="shared" si="120"/>
        <v>#N/A</v>
      </c>
      <c r="AB139" s="4" t="e">
        <f t="shared" si="121"/>
        <v>#N/A</v>
      </c>
      <c r="AD139" t="e">
        <f t="shared" si="122"/>
        <v>#N/A</v>
      </c>
      <c r="AE139" t="e">
        <f t="shared" si="123"/>
        <v>#N/A</v>
      </c>
      <c r="AF139" s="9" t="str">
        <f t="shared" si="124"/>
        <v/>
      </c>
      <c r="AG139" t="e">
        <f t="shared" si="125"/>
        <v>#N/A</v>
      </c>
      <c r="AH139" t="e">
        <f t="shared" si="126"/>
        <v>#N/A</v>
      </c>
      <c r="AI139" t="str">
        <f t="shared" si="127"/>
        <v/>
      </c>
      <c r="AJ139" t="e">
        <f t="shared" si="128"/>
        <v>#N/A</v>
      </c>
      <c r="AK139" t="e">
        <f t="shared" si="129"/>
        <v>#N/A</v>
      </c>
      <c r="AM139" s="4" t="e">
        <f t="shared" si="130"/>
        <v>#N/A</v>
      </c>
      <c r="AN139" s="4" t="e">
        <f t="shared" si="131"/>
        <v>#N/A</v>
      </c>
    </row>
    <row r="140" spans="1:40" ht="15.75" thickTop="1" x14ac:dyDescent="0.25">
      <c r="P140" s="4">
        <f>SUM(P132:P139)</f>
        <v>40.786033450857104</v>
      </c>
      <c r="Q140" s="4">
        <f>SUM(Q132:Q139)</f>
        <v>61.217538843716923</v>
      </c>
      <c r="R140" s="4">
        <f>SUM(R132:R139)</f>
        <v>-121.07170106853003</v>
      </c>
      <c r="T140" t="str">
        <f>ROUND(P140,4)&amp;" kips"</f>
        <v>40.786 kips</v>
      </c>
      <c r="W140" s="9" t="str">
        <f t="shared" si="117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7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2.9684598090277334</v>
      </c>
      <c r="W142" s="9" t="str">
        <f t="shared" si="117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1.5009436727275194</v>
      </c>
      <c r="W143" s="9" t="str">
        <f t="shared" si="117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7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5"/>
        <v>xi' (in)</v>
      </c>
      <c r="V145" t="str">
        <f t="shared" si="116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132">I85</f>
        <v>-2.1892958128330888</v>
      </c>
      <c r="E146">
        <f t="shared" si="132"/>
        <v>-8.4161739433017591</v>
      </c>
      <c r="F146" s="4">
        <f>($B$66/$B$65)*(C146-$B$125)</f>
        <v>-2.7698403243879945</v>
      </c>
      <c r="G146" s="4">
        <f>($B$66/$B$65)*(E146-$B$125)</f>
        <v>-2.7698403243879945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5"/>
        <v>#N/A</v>
      </c>
      <c r="V146" t="e">
        <f t="shared" si="116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3">(U146*COS(-1*$B$64))+(V146*SIN(-1*$B$64))</f>
        <v>#N/A</v>
      </c>
      <c r="Y146" t="e">
        <f t="shared" ref="Y146:Y153" si="134">(-1*U146*SIN(-1*$B$64))+(V146*COS(-1*$B$64))</f>
        <v>#N/A</v>
      </c>
      <c r="AA146" s="4" t="e">
        <f t="shared" ref="AA146:AA153" si="135">X146+$B$9</f>
        <v>#N/A</v>
      </c>
      <c r="AB146" s="4" t="e">
        <f t="shared" ref="AB146:AB153" si="136">Y146+$C$9</f>
        <v>#N/A</v>
      </c>
      <c r="AD146" t="e">
        <f t="shared" ref="AD146:AD153" si="137">IF(AND(J146=0,K146=0,L146=0,M146=0),NA(),L146)</f>
        <v>#N/A</v>
      </c>
      <c r="AE146" t="e">
        <f t="shared" ref="AE146:AE153" si="138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9">(AG146*COS(-1*$B$64))+(AH146*SIN(-1*$B$64))</f>
        <v>#N/A</v>
      </c>
      <c r="AK146" t="e">
        <f t="shared" ref="AK146:AK153" si="140">(-1*AG146*SIN(-1*$B$64))+(AH146*COS(-1*$B$64))</f>
        <v>#N/A</v>
      </c>
      <c r="AM146" s="4" t="e">
        <f t="shared" ref="AM146:AM153" si="141">AJ146+$B$9</f>
        <v>#N/A</v>
      </c>
      <c r="AN146" s="4" t="e">
        <f t="shared" ref="AN146:AN153" si="142">AK146+$C$9</f>
        <v>#N/A</v>
      </c>
    </row>
    <row r="147" spans="1:40" x14ac:dyDescent="0.25">
      <c r="A147" t="s">
        <v>70</v>
      </c>
      <c r="B147" s="9">
        <f t="shared" ref="B147:C153" si="143">D146</f>
        <v>-2.1892958128330888</v>
      </c>
      <c r="C147">
        <f t="shared" si="143"/>
        <v>-8.4161739433017591</v>
      </c>
      <c r="D147" s="9">
        <f t="shared" si="132"/>
        <v>-2.1892958128330888</v>
      </c>
      <c r="E147">
        <f t="shared" si="132"/>
        <v>-8.4161739433017591</v>
      </c>
      <c r="F147" s="4">
        <f t="shared" ref="F147:F153" si="144">($B$66/$B$65)*(C147-$B$125)</f>
        <v>-2.7698403243879945</v>
      </c>
      <c r="G147" s="4">
        <f t="shared" ref="G147:G153" si="145">($B$66/$B$65)*(E147-$B$125)</f>
        <v>-2.7698403243879945</v>
      </c>
      <c r="H147" s="4" t="str">
        <f t="shared" ref="H147:H153" si="146">IF(B147=D147,"V",(C147-E147)/(B147-D147))</f>
        <v>V</v>
      </c>
      <c r="I147" s="4">
        <f t="shared" ref="I147:I153" si="147">IF(H147="V",0,(-1*B147*H147)+C147)</f>
        <v>0</v>
      </c>
      <c r="J147" s="4">
        <f t="shared" ref="J147:J153" si="148">IF($F147&gt;=0,B147,IF(AND($F147&lt;0,$G147&gt;=0),IF(H147="V",B147,($B$125-I147)/H147),0))</f>
        <v>0</v>
      </c>
      <c r="K147" s="4">
        <f t="shared" ref="K147:K153" si="149">IF($F147&gt;=0,C147,IF(AND($F147&lt;0,$G147&gt;=0),$B$125,0))</f>
        <v>0</v>
      </c>
      <c r="L147" s="4">
        <f t="shared" ref="L147:L153" si="150">IF($G147&gt;=0,D147,IF(AND($G147&lt;0,$F147&gt;=0),IF(H147="V",D147,($B$125-I147)/H147),0))</f>
        <v>0</v>
      </c>
      <c r="M147" s="4">
        <f t="shared" ref="M147:M153" si="151">IF($G147&gt;=0,E147,IF(AND($G147&lt;0,$F147&gt;=0),$B$125,0))</f>
        <v>0</v>
      </c>
      <c r="N147" s="4">
        <f t="shared" ref="N147:N153" si="152">IF(F147&lt;0,0,F147)</f>
        <v>0</v>
      </c>
      <c r="O147" s="4">
        <f t="shared" ref="O147:O153" si="153">IF(G147&lt;0,0,G147)</f>
        <v>0</v>
      </c>
      <c r="P147" s="4">
        <f t="shared" ref="P147:P153" si="154">(1/6)*(M147-K147)*((N147*((2*J147)+L147))+(O147*(J147+(2*L147))))</f>
        <v>0</v>
      </c>
      <c r="Q147" s="4">
        <f t="shared" ref="Q147:Q153" si="155">((1/12)*(M147-K147)*(N147*J147*((3*K147)+M147)+N147*L147*(K147+M147)+O147*J147*(K147+M147)+O147*L147*(K147+(3*M147))))</f>
        <v>0</v>
      </c>
      <c r="R147" s="4">
        <f t="shared" ref="R147:R153" si="156">((-1/24)*(M147-K147)*(J147*J147*((3*N147)+O147)+2*J147*L147*(N147+O147)+L147*L147*(N147+(3*O147))))</f>
        <v>0</v>
      </c>
      <c r="U147" t="e">
        <f t="shared" si="115"/>
        <v>#N/A</v>
      </c>
      <c r="V147" t="e">
        <f t="shared" si="116"/>
        <v>#N/A</v>
      </c>
      <c r="W147" s="9" t="str">
        <f t="shared" ref="W147:W153" si="157">IF($D$34=0,"",IF(AND(J147=0,K147=0,L147=0,M147=0),"",CHAR(10)&amp;CHAR(10)&amp;-1*ROUND(N147,4)&amp;" ksi"))</f>
        <v/>
      </c>
      <c r="X147" t="e">
        <f t="shared" si="133"/>
        <v>#N/A</v>
      </c>
      <c r="Y147" t="e">
        <f t="shared" si="134"/>
        <v>#N/A</v>
      </c>
      <c r="AA147" s="4" t="e">
        <f t="shared" si="135"/>
        <v>#N/A</v>
      </c>
      <c r="AB147" s="4" t="e">
        <f t="shared" si="136"/>
        <v>#N/A</v>
      </c>
      <c r="AD147" t="e">
        <f t="shared" si="137"/>
        <v>#N/A</v>
      </c>
      <c r="AE147" t="e">
        <f t="shared" si="138"/>
        <v>#N/A</v>
      </c>
      <c r="AF147" s="9" t="str">
        <f t="shared" ref="AF147:AF153" si="158">IF(AND(J147=0,K147=0,L147=0,M147=0),"",CHAR(10)&amp;CHAR(10)&amp;-1*ROUND(O147,4)&amp;" ksi")</f>
        <v/>
      </c>
      <c r="AG147" t="e">
        <f t="shared" ref="AG147:AG153" si="159">IF(COUNTIF($U$146:$U$153,AD147)&gt;0,NA(),AD147)</f>
        <v>#N/A</v>
      </c>
      <c r="AH147" t="e">
        <f t="shared" ref="AH147:AH153" si="160">IF(AND(COUNTIF($V$146:$V$153,AE147)&gt;0,AF147&lt;&gt;CHAR(10)&amp;CHAR(10)&amp;"0 ksi"),NA(),AE147)</f>
        <v>#N/A</v>
      </c>
      <c r="AI147" t="str">
        <f t="shared" ref="AI147:AI153" si="161">IF(COUNTIF($U$146:$U$153,AD147)&gt;0,"",AF147)</f>
        <v/>
      </c>
      <c r="AJ147" t="e">
        <f t="shared" si="139"/>
        <v>#N/A</v>
      </c>
      <c r="AK147" t="e">
        <f t="shared" si="140"/>
        <v>#N/A</v>
      </c>
      <c r="AM147" s="4" t="e">
        <f t="shared" si="141"/>
        <v>#N/A</v>
      </c>
      <c r="AN147" s="4" t="e">
        <f t="shared" si="142"/>
        <v>#N/A</v>
      </c>
    </row>
    <row r="148" spans="1:40" x14ac:dyDescent="0.25">
      <c r="A148" t="s">
        <v>71</v>
      </c>
      <c r="B148" s="9">
        <f t="shared" si="143"/>
        <v>-2.1892958128330888</v>
      </c>
      <c r="C148">
        <f t="shared" si="143"/>
        <v>-8.4161739433017591</v>
      </c>
      <c r="D148" s="9">
        <f t="shared" si="132"/>
        <v>-2.1892958128330888</v>
      </c>
      <c r="E148">
        <f t="shared" si="132"/>
        <v>-8.4161739433017591</v>
      </c>
      <c r="F148" s="4">
        <f t="shared" si="144"/>
        <v>-2.7698403243879945</v>
      </c>
      <c r="G148" s="4">
        <f t="shared" si="145"/>
        <v>-2.7698403243879945</v>
      </c>
      <c r="H148" s="4" t="str">
        <f t="shared" si="146"/>
        <v>V</v>
      </c>
      <c r="I148" s="4">
        <f t="shared" si="147"/>
        <v>0</v>
      </c>
      <c r="J148" s="4">
        <f t="shared" si="148"/>
        <v>0</v>
      </c>
      <c r="K148" s="4">
        <f t="shared" si="149"/>
        <v>0</v>
      </c>
      <c r="L148" s="4">
        <f t="shared" si="150"/>
        <v>0</v>
      </c>
      <c r="M148" s="4">
        <f t="shared" si="151"/>
        <v>0</v>
      </c>
      <c r="N148" s="4">
        <f t="shared" si="152"/>
        <v>0</v>
      </c>
      <c r="O148" s="4">
        <f t="shared" si="153"/>
        <v>0</v>
      </c>
      <c r="P148" s="4">
        <f t="shared" si="154"/>
        <v>0</v>
      </c>
      <c r="Q148" s="4">
        <f t="shared" si="155"/>
        <v>0</v>
      </c>
      <c r="R148" s="4">
        <f t="shared" si="156"/>
        <v>0</v>
      </c>
      <c r="U148" t="e">
        <f t="shared" si="115"/>
        <v>#N/A</v>
      </c>
      <c r="V148" t="e">
        <f t="shared" si="116"/>
        <v>#N/A</v>
      </c>
      <c r="W148" s="9" t="str">
        <f t="shared" si="157"/>
        <v/>
      </c>
      <c r="X148" t="e">
        <f t="shared" si="133"/>
        <v>#N/A</v>
      </c>
      <c r="Y148" t="e">
        <f t="shared" si="134"/>
        <v>#N/A</v>
      </c>
      <c r="AA148" s="4" t="e">
        <f t="shared" si="135"/>
        <v>#N/A</v>
      </c>
      <c r="AB148" s="4" t="e">
        <f t="shared" si="136"/>
        <v>#N/A</v>
      </c>
      <c r="AD148" t="e">
        <f t="shared" si="137"/>
        <v>#N/A</v>
      </c>
      <c r="AE148" t="e">
        <f t="shared" si="138"/>
        <v>#N/A</v>
      </c>
      <c r="AF148" s="9" t="str">
        <f t="shared" si="158"/>
        <v/>
      </c>
      <c r="AG148" t="e">
        <f t="shared" si="159"/>
        <v>#N/A</v>
      </c>
      <c r="AH148" t="e">
        <f t="shared" si="160"/>
        <v>#N/A</v>
      </c>
      <c r="AI148" t="str">
        <f t="shared" si="161"/>
        <v/>
      </c>
      <c r="AJ148" t="e">
        <f t="shared" si="139"/>
        <v>#N/A</v>
      </c>
      <c r="AK148" t="e">
        <f t="shared" si="140"/>
        <v>#N/A</v>
      </c>
      <c r="AM148" s="4" t="e">
        <f t="shared" si="141"/>
        <v>#N/A</v>
      </c>
      <c r="AN148" s="4" t="e">
        <f t="shared" si="142"/>
        <v>#N/A</v>
      </c>
    </row>
    <row r="149" spans="1:40" x14ac:dyDescent="0.25">
      <c r="A149" t="s">
        <v>72</v>
      </c>
      <c r="B149" s="9">
        <f t="shared" si="143"/>
        <v>-2.1892958128330888</v>
      </c>
      <c r="C149">
        <f t="shared" si="143"/>
        <v>-8.4161739433017591</v>
      </c>
      <c r="D149" s="9">
        <f t="shared" si="132"/>
        <v>-2.1892958128330888</v>
      </c>
      <c r="E149">
        <f t="shared" si="132"/>
        <v>-8.4161739433017591</v>
      </c>
      <c r="F149" s="4">
        <f t="shared" si="144"/>
        <v>-2.7698403243879945</v>
      </c>
      <c r="G149" s="4">
        <f t="shared" si="145"/>
        <v>-2.7698403243879945</v>
      </c>
      <c r="H149" s="4" t="str">
        <f t="shared" si="146"/>
        <v>V</v>
      </c>
      <c r="I149" s="4">
        <f t="shared" si="147"/>
        <v>0</v>
      </c>
      <c r="J149" s="4">
        <f t="shared" si="148"/>
        <v>0</v>
      </c>
      <c r="K149" s="4">
        <f t="shared" si="149"/>
        <v>0</v>
      </c>
      <c r="L149" s="4">
        <f t="shared" si="150"/>
        <v>0</v>
      </c>
      <c r="M149" s="4">
        <f t="shared" si="151"/>
        <v>0</v>
      </c>
      <c r="N149" s="4">
        <f t="shared" si="152"/>
        <v>0</v>
      </c>
      <c r="O149" s="4">
        <f t="shared" si="153"/>
        <v>0</v>
      </c>
      <c r="P149" s="4">
        <f t="shared" si="154"/>
        <v>0</v>
      </c>
      <c r="Q149" s="4">
        <f t="shared" si="155"/>
        <v>0</v>
      </c>
      <c r="R149" s="4">
        <f t="shared" si="156"/>
        <v>0</v>
      </c>
      <c r="U149" t="e">
        <f t="shared" si="115"/>
        <v>#N/A</v>
      </c>
      <c r="V149" t="e">
        <f t="shared" si="116"/>
        <v>#N/A</v>
      </c>
      <c r="W149" s="9" t="str">
        <f t="shared" si="157"/>
        <v/>
      </c>
      <c r="X149" t="e">
        <f t="shared" si="133"/>
        <v>#N/A</v>
      </c>
      <c r="Y149" t="e">
        <f t="shared" si="134"/>
        <v>#N/A</v>
      </c>
      <c r="AA149" s="4" t="e">
        <f t="shared" si="135"/>
        <v>#N/A</v>
      </c>
      <c r="AB149" s="4" t="e">
        <f t="shared" si="136"/>
        <v>#N/A</v>
      </c>
      <c r="AD149" t="e">
        <f t="shared" si="137"/>
        <v>#N/A</v>
      </c>
      <c r="AE149" t="e">
        <f t="shared" si="138"/>
        <v>#N/A</v>
      </c>
      <c r="AF149" s="9" t="str">
        <f t="shared" si="158"/>
        <v/>
      </c>
      <c r="AG149" t="e">
        <f t="shared" si="159"/>
        <v>#N/A</v>
      </c>
      <c r="AH149" t="e">
        <f t="shared" si="160"/>
        <v>#N/A</v>
      </c>
      <c r="AI149" t="str">
        <f t="shared" si="161"/>
        <v/>
      </c>
      <c r="AJ149" t="e">
        <f t="shared" si="139"/>
        <v>#N/A</v>
      </c>
      <c r="AK149" t="e">
        <f t="shared" si="140"/>
        <v>#N/A</v>
      </c>
      <c r="AM149" s="4" t="e">
        <f t="shared" si="141"/>
        <v>#N/A</v>
      </c>
      <c r="AN149" s="4" t="e">
        <f t="shared" si="142"/>
        <v>#N/A</v>
      </c>
    </row>
    <row r="150" spans="1:40" x14ac:dyDescent="0.25">
      <c r="A150" t="s">
        <v>73</v>
      </c>
      <c r="B150" s="9">
        <f t="shared" si="143"/>
        <v>-2.1892958128330888</v>
      </c>
      <c r="C150">
        <f t="shared" si="143"/>
        <v>-8.4161739433017591</v>
      </c>
      <c r="D150" s="9">
        <f t="shared" si="132"/>
        <v>-2.1892958128330888</v>
      </c>
      <c r="E150">
        <f t="shared" si="132"/>
        <v>-8.4161739433017591</v>
      </c>
      <c r="F150" s="4">
        <f t="shared" si="144"/>
        <v>-2.7698403243879945</v>
      </c>
      <c r="G150" s="4">
        <f t="shared" si="145"/>
        <v>-2.7698403243879945</v>
      </c>
      <c r="H150" s="4" t="str">
        <f t="shared" si="146"/>
        <v>V</v>
      </c>
      <c r="I150" s="4">
        <f t="shared" si="147"/>
        <v>0</v>
      </c>
      <c r="J150" s="4">
        <f t="shared" si="148"/>
        <v>0</v>
      </c>
      <c r="K150" s="4">
        <f t="shared" si="149"/>
        <v>0</v>
      </c>
      <c r="L150" s="4">
        <f t="shared" si="150"/>
        <v>0</v>
      </c>
      <c r="M150" s="4">
        <f t="shared" si="151"/>
        <v>0</v>
      </c>
      <c r="N150" s="4">
        <f t="shared" si="152"/>
        <v>0</v>
      </c>
      <c r="O150" s="4">
        <f t="shared" si="153"/>
        <v>0</v>
      </c>
      <c r="P150" s="4">
        <f t="shared" si="154"/>
        <v>0</v>
      </c>
      <c r="Q150" s="4">
        <f t="shared" si="155"/>
        <v>0</v>
      </c>
      <c r="R150" s="4">
        <f t="shared" si="156"/>
        <v>0</v>
      </c>
      <c r="U150" t="e">
        <f t="shared" si="115"/>
        <v>#N/A</v>
      </c>
      <c r="V150" t="e">
        <f t="shared" si="116"/>
        <v>#N/A</v>
      </c>
      <c r="W150" s="9" t="str">
        <f t="shared" si="157"/>
        <v/>
      </c>
      <c r="X150" t="e">
        <f t="shared" si="133"/>
        <v>#N/A</v>
      </c>
      <c r="Y150" t="e">
        <f t="shared" si="134"/>
        <v>#N/A</v>
      </c>
      <c r="AA150" s="4" t="e">
        <f t="shared" si="135"/>
        <v>#N/A</v>
      </c>
      <c r="AB150" s="4" t="e">
        <f t="shared" si="136"/>
        <v>#N/A</v>
      </c>
      <c r="AD150" t="e">
        <f t="shared" si="137"/>
        <v>#N/A</v>
      </c>
      <c r="AE150" t="e">
        <f t="shared" si="138"/>
        <v>#N/A</v>
      </c>
      <c r="AF150" s="9" t="str">
        <f t="shared" si="158"/>
        <v/>
      </c>
      <c r="AG150" t="e">
        <f t="shared" si="159"/>
        <v>#N/A</v>
      </c>
      <c r="AH150" t="e">
        <f t="shared" si="160"/>
        <v>#N/A</v>
      </c>
      <c r="AI150" t="str">
        <f t="shared" si="161"/>
        <v/>
      </c>
      <c r="AJ150" t="e">
        <f t="shared" si="139"/>
        <v>#N/A</v>
      </c>
      <c r="AK150" t="e">
        <f t="shared" si="140"/>
        <v>#N/A</v>
      </c>
      <c r="AM150" s="4" t="e">
        <f t="shared" si="141"/>
        <v>#N/A</v>
      </c>
      <c r="AN150" s="4" t="e">
        <f t="shared" si="142"/>
        <v>#N/A</v>
      </c>
    </row>
    <row r="151" spans="1:40" x14ac:dyDescent="0.25">
      <c r="A151" t="s">
        <v>74</v>
      </c>
      <c r="B151" s="9">
        <f t="shared" si="143"/>
        <v>-2.1892958128330888</v>
      </c>
      <c r="C151">
        <f t="shared" si="143"/>
        <v>-8.4161739433017591</v>
      </c>
      <c r="D151" s="9">
        <f t="shared" si="132"/>
        <v>-2.1892958128330888</v>
      </c>
      <c r="E151">
        <f t="shared" si="132"/>
        <v>-8.4161739433017591</v>
      </c>
      <c r="F151" s="4">
        <f t="shared" si="144"/>
        <v>-2.7698403243879945</v>
      </c>
      <c r="G151" s="4">
        <f t="shared" si="145"/>
        <v>-2.7698403243879945</v>
      </c>
      <c r="H151" s="4" t="str">
        <f t="shared" si="146"/>
        <v>V</v>
      </c>
      <c r="I151" s="4">
        <f t="shared" si="147"/>
        <v>0</v>
      </c>
      <c r="J151" s="4">
        <f t="shared" si="148"/>
        <v>0</v>
      </c>
      <c r="K151" s="4">
        <f t="shared" si="149"/>
        <v>0</v>
      </c>
      <c r="L151" s="4">
        <f t="shared" si="150"/>
        <v>0</v>
      </c>
      <c r="M151" s="4">
        <f t="shared" si="151"/>
        <v>0</v>
      </c>
      <c r="N151" s="4">
        <f t="shared" si="152"/>
        <v>0</v>
      </c>
      <c r="O151" s="4">
        <f t="shared" si="153"/>
        <v>0</v>
      </c>
      <c r="P151" s="4">
        <f t="shared" si="154"/>
        <v>0</v>
      </c>
      <c r="Q151" s="4">
        <f t="shared" si="155"/>
        <v>0</v>
      </c>
      <c r="R151" s="4">
        <f t="shared" si="156"/>
        <v>0</v>
      </c>
      <c r="U151" t="e">
        <f t="shared" si="115"/>
        <v>#N/A</v>
      </c>
      <c r="V151" t="e">
        <f t="shared" si="116"/>
        <v>#N/A</v>
      </c>
      <c r="W151" s="9" t="str">
        <f t="shared" si="157"/>
        <v/>
      </c>
      <c r="X151" t="e">
        <f t="shared" si="133"/>
        <v>#N/A</v>
      </c>
      <c r="Y151" t="e">
        <f t="shared" si="134"/>
        <v>#N/A</v>
      </c>
      <c r="AA151" s="4" t="e">
        <f t="shared" si="135"/>
        <v>#N/A</v>
      </c>
      <c r="AB151" s="4" t="e">
        <f t="shared" si="136"/>
        <v>#N/A</v>
      </c>
      <c r="AD151" t="e">
        <f t="shared" si="137"/>
        <v>#N/A</v>
      </c>
      <c r="AE151" t="e">
        <f t="shared" si="138"/>
        <v>#N/A</v>
      </c>
      <c r="AF151" s="9" t="str">
        <f t="shared" si="158"/>
        <v/>
      </c>
      <c r="AG151" t="e">
        <f t="shared" si="159"/>
        <v>#N/A</v>
      </c>
      <c r="AH151" t="e">
        <f t="shared" si="160"/>
        <v>#N/A</v>
      </c>
      <c r="AI151" t="str">
        <f t="shared" si="161"/>
        <v/>
      </c>
      <c r="AJ151" t="e">
        <f t="shared" si="139"/>
        <v>#N/A</v>
      </c>
      <c r="AK151" t="e">
        <f t="shared" si="140"/>
        <v>#N/A</v>
      </c>
      <c r="AM151" s="4" t="e">
        <f t="shared" si="141"/>
        <v>#N/A</v>
      </c>
      <c r="AN151" s="4" t="e">
        <f t="shared" si="142"/>
        <v>#N/A</v>
      </c>
    </row>
    <row r="152" spans="1:40" x14ac:dyDescent="0.25">
      <c r="A152" t="s">
        <v>75</v>
      </c>
      <c r="B152" s="9">
        <f t="shared" si="143"/>
        <v>-2.1892958128330888</v>
      </c>
      <c r="C152">
        <f t="shared" si="143"/>
        <v>-8.4161739433017591</v>
      </c>
      <c r="D152" s="9">
        <f t="shared" si="132"/>
        <v>-2.1892958128330888</v>
      </c>
      <c r="E152">
        <f t="shared" si="132"/>
        <v>-8.4161739433017591</v>
      </c>
      <c r="F152" s="4">
        <f t="shared" si="144"/>
        <v>-2.7698403243879945</v>
      </c>
      <c r="G152" s="4">
        <f t="shared" si="145"/>
        <v>-2.7698403243879945</v>
      </c>
      <c r="H152" s="4" t="str">
        <f t="shared" si="146"/>
        <v>V</v>
      </c>
      <c r="I152" s="4">
        <f t="shared" si="147"/>
        <v>0</v>
      </c>
      <c r="J152" s="4">
        <f t="shared" si="148"/>
        <v>0</v>
      </c>
      <c r="K152" s="4">
        <f t="shared" si="149"/>
        <v>0</v>
      </c>
      <c r="L152" s="4">
        <f t="shared" si="150"/>
        <v>0</v>
      </c>
      <c r="M152" s="4">
        <f t="shared" si="151"/>
        <v>0</v>
      </c>
      <c r="N152" s="4">
        <f t="shared" si="152"/>
        <v>0</v>
      </c>
      <c r="O152" s="4">
        <f t="shared" si="153"/>
        <v>0</v>
      </c>
      <c r="P152" s="4">
        <f t="shared" si="154"/>
        <v>0</v>
      </c>
      <c r="Q152" s="4">
        <f t="shared" si="155"/>
        <v>0</v>
      </c>
      <c r="R152" s="4">
        <f t="shared" si="156"/>
        <v>0</v>
      </c>
      <c r="U152" t="e">
        <f t="shared" si="115"/>
        <v>#N/A</v>
      </c>
      <c r="V152" t="e">
        <f t="shared" si="116"/>
        <v>#N/A</v>
      </c>
      <c r="W152" s="9" t="str">
        <f t="shared" si="157"/>
        <v/>
      </c>
      <c r="X152" t="e">
        <f t="shared" si="133"/>
        <v>#N/A</v>
      </c>
      <c r="Y152" t="e">
        <f t="shared" si="134"/>
        <v>#N/A</v>
      </c>
      <c r="AA152" s="4" t="e">
        <f t="shared" si="135"/>
        <v>#N/A</v>
      </c>
      <c r="AB152" s="4" t="e">
        <f t="shared" si="136"/>
        <v>#N/A</v>
      </c>
      <c r="AD152" t="e">
        <f t="shared" si="137"/>
        <v>#N/A</v>
      </c>
      <c r="AE152" t="e">
        <f t="shared" si="138"/>
        <v>#N/A</v>
      </c>
      <c r="AF152" s="9" t="str">
        <f t="shared" si="158"/>
        <v/>
      </c>
      <c r="AG152" t="e">
        <f t="shared" si="159"/>
        <v>#N/A</v>
      </c>
      <c r="AH152" t="e">
        <f t="shared" si="160"/>
        <v>#N/A</v>
      </c>
      <c r="AI152" t="str">
        <f t="shared" si="161"/>
        <v/>
      </c>
      <c r="AJ152" t="e">
        <f t="shared" si="139"/>
        <v>#N/A</v>
      </c>
      <c r="AK152" t="e">
        <f t="shared" si="140"/>
        <v>#N/A</v>
      </c>
      <c r="AM152" s="4" t="e">
        <f t="shared" si="141"/>
        <v>#N/A</v>
      </c>
      <c r="AN152" s="4" t="e">
        <f t="shared" si="142"/>
        <v>#N/A</v>
      </c>
    </row>
    <row r="153" spans="1:40" ht="15.75" thickBot="1" x14ac:dyDescent="0.3">
      <c r="A153" t="s">
        <v>134</v>
      </c>
      <c r="B153" s="9">
        <f t="shared" si="143"/>
        <v>-2.1892958128330888</v>
      </c>
      <c r="C153">
        <f t="shared" si="143"/>
        <v>-8.4161739433017591</v>
      </c>
      <c r="D153" s="9">
        <f t="shared" si="132"/>
        <v>-2.1892958128330888</v>
      </c>
      <c r="E153">
        <f t="shared" si="132"/>
        <v>-8.4161739433017591</v>
      </c>
      <c r="F153" s="4">
        <f t="shared" si="144"/>
        <v>-2.7698403243879945</v>
      </c>
      <c r="G153" s="4">
        <f t="shared" si="145"/>
        <v>-2.7698403243879945</v>
      </c>
      <c r="H153" s="4" t="str">
        <f t="shared" si="146"/>
        <v>V</v>
      </c>
      <c r="I153" s="4">
        <f t="shared" si="147"/>
        <v>0</v>
      </c>
      <c r="J153" s="4">
        <f t="shared" si="148"/>
        <v>0</v>
      </c>
      <c r="K153" s="4">
        <f t="shared" si="149"/>
        <v>0</v>
      </c>
      <c r="L153" s="4">
        <f t="shared" si="150"/>
        <v>0</v>
      </c>
      <c r="M153" s="4">
        <f t="shared" si="151"/>
        <v>0</v>
      </c>
      <c r="N153" s="4">
        <f t="shared" si="152"/>
        <v>0</v>
      </c>
      <c r="O153" s="4">
        <f t="shared" si="153"/>
        <v>0</v>
      </c>
      <c r="P153" s="22">
        <f t="shared" si="154"/>
        <v>0</v>
      </c>
      <c r="Q153" s="22">
        <f t="shared" si="155"/>
        <v>0</v>
      </c>
      <c r="R153" s="22">
        <f t="shared" si="156"/>
        <v>0</v>
      </c>
      <c r="U153" t="e">
        <f t="shared" si="115"/>
        <v>#N/A</v>
      </c>
      <c r="V153" t="e">
        <f t="shared" si="116"/>
        <v>#N/A</v>
      </c>
      <c r="W153" s="9" t="str">
        <f t="shared" si="157"/>
        <v/>
      </c>
      <c r="X153" t="e">
        <f t="shared" si="133"/>
        <v>#N/A</v>
      </c>
      <c r="Y153" t="e">
        <f t="shared" si="134"/>
        <v>#N/A</v>
      </c>
      <c r="AA153" s="4" t="e">
        <f t="shared" si="135"/>
        <v>#N/A</v>
      </c>
      <c r="AB153" s="4" t="e">
        <f t="shared" si="136"/>
        <v>#N/A</v>
      </c>
      <c r="AD153" t="e">
        <f t="shared" si="137"/>
        <v>#N/A</v>
      </c>
      <c r="AE153" t="e">
        <f t="shared" si="138"/>
        <v>#N/A</v>
      </c>
      <c r="AF153" s="9" t="str">
        <f t="shared" si="158"/>
        <v/>
      </c>
      <c r="AG153" t="e">
        <f t="shared" si="159"/>
        <v>#N/A</v>
      </c>
      <c r="AH153" t="e">
        <f t="shared" si="160"/>
        <v>#N/A</v>
      </c>
      <c r="AI153" t="str">
        <f t="shared" si="161"/>
        <v/>
      </c>
      <c r="AJ153" t="e">
        <f t="shared" si="139"/>
        <v>#N/A</v>
      </c>
      <c r="AK153" t="e">
        <f t="shared" si="140"/>
        <v>#N/A</v>
      </c>
      <c r="AM153" s="4" t="e">
        <f t="shared" si="141"/>
        <v>#N/A</v>
      </c>
      <c r="AN153" s="4" t="e">
        <f t="shared" si="142"/>
        <v>#N/A</v>
      </c>
    </row>
    <row r="154" spans="1:40" ht="15.75" thickTop="1" x14ac:dyDescent="0.25">
      <c r="P154" s="4">
        <f>SUM(P146:P153)</f>
        <v>0</v>
      </c>
      <c r="Q154" s="4">
        <f t="shared" ref="Q154:R154" si="162">SUM(Q146:Q153)</f>
        <v>0</v>
      </c>
      <c r="R154" s="4">
        <f t="shared" si="162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29.999999999999993</v>
      </c>
      <c r="C159" t="s">
        <v>36</v>
      </c>
    </row>
    <row r="160" spans="1:40" x14ac:dyDescent="0.25">
      <c r="A160" s="1" t="s">
        <v>106</v>
      </c>
      <c r="B160" s="4">
        <f>Q140+I122+Q154-O122</f>
        <v>127.79390900745103</v>
      </c>
      <c r="C160" t="s">
        <v>102</v>
      </c>
    </row>
    <row r="161" spans="1:9" x14ac:dyDescent="0.25">
      <c r="A161" s="1" t="s">
        <v>107</v>
      </c>
      <c r="B161" s="4">
        <f>R140+J122+R154-P122</f>
        <v>-111.66340860190198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29.999999999999993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119.99999999999999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-119.99999999999996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-1.8524160104478804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6.9633373190854763E-8</v>
      </c>
      <c r="D175" s="27">
        <f>B66*SQRT(I175)</f>
        <v>2.7475769628310713E-8</v>
      </c>
      <c r="E175" s="27">
        <f>IF(B67=0,SQRT(I175),B67*SQRT(I175))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4.6946811324459619</v>
      </c>
      <c r="D176" s="3">
        <f>D175+B66</f>
        <v>1.8524160379236505</v>
      </c>
      <c r="E176" s="3">
        <f>B67+E175</f>
        <v>5.0934386754664374</v>
      </c>
      <c r="F176" s="16" t="s">
        <v>125</v>
      </c>
    </row>
    <row r="177" spans="1:14" x14ac:dyDescent="0.25">
      <c r="B177" s="27">
        <f>B176-B64</f>
        <v>-9.9764366212617972E-10</v>
      </c>
      <c r="C177" s="27">
        <f>C176-B65</f>
        <v>6.9633372845601116E-8</v>
      </c>
      <c r="D177" s="27">
        <f>D176-B66</f>
        <v>2.7475769659446314E-8</v>
      </c>
      <c r="E177" s="27">
        <f>E176-B67</f>
        <v>7.5547903044537179E-8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3">C177=C175</f>
        <v>0</v>
      </c>
      <c r="D178" t="b">
        <f t="shared" si="163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-21.609100045413012</v>
      </c>
      <c r="B180" s="25">
        <f>(d_sigma_p!E165-d_sigma_m!E165)/(2*'Rigid Bearing Plate Analysis'!D177)</f>
        <v>28.235536767107863</v>
      </c>
      <c r="C180" s="25">
        <f>(d_sigma_p!E166-d_sigma_m!E166)/(2*'Rigid Bearing Plate Analysis'!D177)</f>
        <v>-64.673759772780102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-94.935323130341359</v>
      </c>
      <c r="B181" s="25">
        <f>(d_alpha_p!E165-d_alpha_m!E165)/(2*B177)</f>
        <v>78.725665308281364</v>
      </c>
      <c r="C181" s="25">
        <f>(d_alpha_p!E166-d_alpha_m!E166)/(2*B177)</f>
        <v>-88.087332757788303</v>
      </c>
      <c r="D181" s="25">
        <f ca="1">(d_alpha_p!C169-d_alpha_m!C169)/(2*B177)</f>
        <v>-3.0199886206007522</v>
      </c>
    </row>
    <row r="182" spans="1:14" x14ac:dyDescent="0.25">
      <c r="A182" s="25">
        <f>(d_Y_p!E164-d_Y_m!E164)/(2*C177)</f>
        <v>-9.9081516467405297</v>
      </c>
      <c r="B182" s="25">
        <f>(d_Y_p!E165-d_Y_m!E165)/(2*C177)</f>
        <v>-0.47569832977994142</v>
      </c>
      <c r="C182" s="25">
        <f>(d_Y_p!E166-d_Y_m!E166)/(2*C177)</f>
        <v>-26.444205454148793</v>
      </c>
      <c r="D182" s="25">
        <f ca="1">(d_Y_p!C169-d_Y_m!C169)/(2*C177)</f>
        <v>-0.73620448972533337</v>
      </c>
    </row>
    <row r="183" spans="1:14" x14ac:dyDescent="0.25">
      <c r="A183" s="25">
        <f>(d_T_p!E164-d_T_m!E164)/(2*E177)</f>
        <v>1.9690122583427809</v>
      </c>
      <c r="B183" s="25">
        <f>(d_T_p!E165-d_T_m!E165)/(2*E177)</f>
        <v>13.290832638005332</v>
      </c>
      <c r="C183" s="25">
        <f>(d_T_p!E166-d_T_m!E166)/(2*E177)</f>
        <v>-3.8734729975743884E-2</v>
      </c>
      <c r="D183" s="25">
        <f ca="1">(d_T_p!C169-d_T_m!C169)/(2*E177)</f>
        <v>-0.3636867264499245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6.1624422680890065E-3</v>
      </c>
      <c r="B185" s="25">
        <f ca="1"/>
        <v>-1.3676051821317701E-2</v>
      </c>
      <c r="C185" s="25">
        <f ca="1"/>
        <v>3.0383434981725289E-2</v>
      </c>
      <c r="D185" s="25">
        <f ca="1"/>
        <v>6.9003183430303497E-2</v>
      </c>
      <c r="F185" s="8">
        <f>-1*E164</f>
        <v>0</v>
      </c>
      <c r="H185">
        <f t="array" aca="1" ref="H185:H188" ca="1">MMULT(A185:D188,F185:F188)</f>
        <v>0</v>
      </c>
      <c r="J185" s="8">
        <f ca="1">$B$66+H185</f>
        <v>1.8524160104478808</v>
      </c>
      <c r="K185" s="11" t="s">
        <v>115</v>
      </c>
      <c r="L185" s="8">
        <f ca="1">J186</f>
        <v>-6.7261122428805997E-2</v>
      </c>
      <c r="M185" s="11" t="s">
        <v>116</v>
      </c>
      <c r="N185" t="s">
        <v>143</v>
      </c>
    </row>
    <row r="186" spans="1:14" x14ac:dyDescent="0.25">
      <c r="A186" s="25">
        <f ca="1"/>
        <v>6.7354370219363767E-3</v>
      </c>
      <c r="B186" s="25">
        <f ca="1"/>
        <v>1.8581868645855025E-3</v>
      </c>
      <c r="C186" s="25">
        <f ca="1"/>
        <v>-2.2734320537442888E-2</v>
      </c>
      <c r="D186" s="25">
        <f ca="1"/>
        <v>4.9110515692460686E-2</v>
      </c>
      <c r="F186" s="8">
        <f>-1*E165</f>
        <v>0</v>
      </c>
      <c r="H186">
        <f ca="1"/>
        <v>0</v>
      </c>
      <c r="J186" s="8">
        <f ca="1">$B$64+H186</f>
        <v>-6.7261122428805997E-2</v>
      </c>
      <c r="K186" s="11" t="s">
        <v>116</v>
      </c>
      <c r="L186" s="8">
        <f ca="1">J187</f>
        <v>4.694681062812589</v>
      </c>
      <c r="M186" s="1" t="s">
        <v>117</v>
      </c>
    </row>
    <row r="187" spans="1:14" x14ac:dyDescent="0.25">
      <c r="A187" s="25">
        <f ca="1"/>
        <v>-1.0241973517869091E-2</v>
      </c>
      <c r="B187" s="25">
        <f ca="1"/>
        <v>5.2771997637143771E-3</v>
      </c>
      <c r="C187" s="25">
        <f ca="1"/>
        <v>-3.0330179051752001E-2</v>
      </c>
      <c r="D187" s="25">
        <f ca="1"/>
        <v>-1.0585601510481553E-2</v>
      </c>
      <c r="F187" s="8">
        <f>-1*E166</f>
        <v>0</v>
      </c>
      <c r="H187">
        <f ca="1"/>
        <v>0</v>
      </c>
      <c r="J187" s="8">
        <f ca="1">$B$65+H187</f>
        <v>4.694681062812589</v>
      </c>
      <c r="K187" s="1" t="s">
        <v>117</v>
      </c>
      <c r="L187" s="8">
        <f ca="1">J185</f>
        <v>1.8524160104478808</v>
      </c>
      <c r="M187" s="11" t="s">
        <v>115</v>
      </c>
    </row>
    <row r="188" spans="1:14" x14ac:dyDescent="0.25">
      <c r="A188" s="25">
        <f ca="1"/>
        <v>0.28059921692595208</v>
      </c>
      <c r="B188" s="25">
        <f ca="1"/>
        <v>-6.6977257768322833E-3</v>
      </c>
      <c r="C188" s="25">
        <f ca="1"/>
        <v>-0.66309228420482924</v>
      </c>
      <c r="D188" s="25">
        <f ca="1"/>
        <v>-0.58017572642795001</v>
      </c>
      <c r="F188">
        <f ca="1">-1*C169</f>
        <v>0</v>
      </c>
      <c r="H188">
        <f ca="1"/>
        <v>0</v>
      </c>
      <c r="J188" s="8">
        <f ca="1">$B$67+H188</f>
        <v>5.0934385999185343</v>
      </c>
      <c r="K188" s="1" t="s">
        <v>118</v>
      </c>
      <c r="L188" s="8">
        <f ca="1">J188</f>
        <v>5.0934385999185343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-21.609100045413012</v>
      </c>
      <c r="B190" s="25">
        <f>A181</f>
        <v>-94.935323130341359</v>
      </c>
      <c r="C190" s="25">
        <f>A182</f>
        <v>-9.9081516467405297</v>
      </c>
      <c r="D190" s="25">
        <f>A183</f>
        <v>1.9690122583427809</v>
      </c>
      <c r="F190" t="s">
        <v>119</v>
      </c>
    </row>
    <row r="191" spans="1:14" x14ac:dyDescent="0.25">
      <c r="A191" s="25">
        <f>B180</f>
        <v>28.235536767107863</v>
      </c>
      <c r="B191" s="25">
        <f>B181</f>
        <v>78.725665308281364</v>
      </c>
      <c r="C191" s="25">
        <f>B182</f>
        <v>-0.47569832977994142</v>
      </c>
      <c r="D191" s="25">
        <f>B183</f>
        <v>13.290832638005332</v>
      </c>
      <c r="F191" t="s">
        <v>120</v>
      </c>
    </row>
    <row r="192" spans="1:14" x14ac:dyDescent="0.25">
      <c r="A192" s="25">
        <f>C180</f>
        <v>-64.673759772780102</v>
      </c>
      <c r="B192" s="25">
        <f>C181</f>
        <v>-88.087332757788303</v>
      </c>
      <c r="C192" s="25">
        <f>C182</f>
        <v>-26.444205454148793</v>
      </c>
      <c r="D192" s="25">
        <f>C183</f>
        <v>-3.8734729975743884E-2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-3.0199886206007522</v>
      </c>
      <c r="C193" s="25">
        <f ca="1">D182</f>
        <v>-0.73620448972533337</v>
      </c>
      <c r="D193" s="25">
        <f ca="1">D183</f>
        <v>-0.3636867264499245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6.1624422680890091E-3</v>
      </c>
      <c r="B195" s="25">
        <f ca="1"/>
        <v>6.7354370219363706E-3</v>
      </c>
      <c r="C195" s="25">
        <f ca="1"/>
        <v>-1.0241973517869091E-2</v>
      </c>
      <c r="D195" s="25">
        <f ca="1"/>
        <v>0.28059921692595202</v>
      </c>
      <c r="H195">
        <f t="array" aca="1" ref="H195:H198" ca="1">MMULT(A195:D198,F185:F188)</f>
        <v>0</v>
      </c>
      <c r="J195" s="8">
        <f ca="1">$B$66+H195</f>
        <v>1.8524160104478808</v>
      </c>
      <c r="K195" s="11" t="s">
        <v>115</v>
      </c>
      <c r="L195" s="36">
        <f ca="1">J196</f>
        <v>-6.7261122428805997E-2</v>
      </c>
      <c r="M195" s="37" t="s">
        <v>116</v>
      </c>
      <c r="N195" t="s">
        <v>146</v>
      </c>
    </row>
    <row r="196" spans="1:14" x14ac:dyDescent="0.25">
      <c r="A196" s="25">
        <f ca="1"/>
        <v>-1.3676051821317699E-2</v>
      </c>
      <c r="B196" s="25">
        <f ca="1"/>
        <v>1.8581868645855023E-3</v>
      </c>
      <c r="C196" s="25">
        <f ca="1"/>
        <v>5.2771997637143771E-3</v>
      </c>
      <c r="D196" s="25">
        <f ca="1"/>
        <v>-6.6977257768322911E-3</v>
      </c>
      <c r="H196">
        <f ca="1"/>
        <v>0</v>
      </c>
      <c r="J196" s="8">
        <f ca="1">$B$64+H196</f>
        <v>-6.7261122428805997E-2</v>
      </c>
      <c r="K196" s="11" t="s">
        <v>116</v>
      </c>
      <c r="L196" s="38">
        <f ca="1">J197</f>
        <v>4.694681062812589</v>
      </c>
      <c r="M196" s="39" t="s">
        <v>117</v>
      </c>
    </row>
    <row r="197" spans="1:14" x14ac:dyDescent="0.25">
      <c r="A197" s="25">
        <f ca="1"/>
        <v>3.0383434981725271E-2</v>
      </c>
      <c r="B197" s="25">
        <f ca="1"/>
        <v>-2.2734320537442874E-2</v>
      </c>
      <c r="C197" s="25">
        <f ca="1"/>
        <v>-3.0330179051751997E-2</v>
      </c>
      <c r="D197" s="25">
        <f ca="1"/>
        <v>-0.66309228420482902</v>
      </c>
      <c r="H197">
        <f ca="1"/>
        <v>0</v>
      </c>
      <c r="J197" s="8">
        <f ca="1">$B$65+H197</f>
        <v>4.694681062812589</v>
      </c>
      <c r="K197" s="1" t="s">
        <v>117</v>
      </c>
      <c r="L197" s="38">
        <f ca="1">J195</f>
        <v>1.8524160104478808</v>
      </c>
      <c r="M197" s="43" t="s">
        <v>115</v>
      </c>
    </row>
    <row r="198" spans="1:14" ht="15.75" thickBot="1" x14ac:dyDescent="0.3">
      <c r="A198" s="25">
        <f ca="1"/>
        <v>6.9003183430303497E-2</v>
      </c>
      <c r="B198" s="25">
        <f ca="1"/>
        <v>4.9110515692460693E-2</v>
      </c>
      <c r="C198" s="25">
        <f ca="1"/>
        <v>-1.0585601510481556E-2</v>
      </c>
      <c r="D198" s="25">
        <f ca="1"/>
        <v>-0.5801757264279499</v>
      </c>
      <c r="H198">
        <f ca="1"/>
        <v>0</v>
      </c>
      <c r="J198" s="8">
        <f ca="1">$B$67+H198</f>
        <v>5.0934385999185343</v>
      </c>
      <c r="K198" s="1" t="s">
        <v>118</v>
      </c>
      <c r="L198" s="41">
        <f ca="1">J198</f>
        <v>5.0934385999185343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-21.609100045413012</v>
      </c>
      <c r="B201" s="25">
        <f t="shared" ref="B201:C201" si="164">B190</f>
        <v>-94.935323130341359</v>
      </c>
      <c r="C201" s="25">
        <f t="shared" si="164"/>
        <v>-9.9081516467405297</v>
      </c>
      <c r="D201" s="25"/>
    </row>
    <row r="202" spans="1:14" x14ac:dyDescent="0.25">
      <c r="A202" s="25">
        <f t="shared" ref="A202:C202" si="165">A191</f>
        <v>28.235536767107863</v>
      </c>
      <c r="B202" s="25">
        <f t="shared" si="165"/>
        <v>78.725665308281364</v>
      </c>
      <c r="C202" s="25">
        <f t="shared" si="165"/>
        <v>-0.47569832977994142</v>
      </c>
      <c r="D202" s="25"/>
    </row>
    <row r="203" spans="1:14" x14ac:dyDescent="0.25">
      <c r="A203" s="25">
        <f t="shared" ref="A203:C203" si="166">A192</f>
        <v>-64.673759772780102</v>
      </c>
      <c r="B203" s="25">
        <f t="shared" si="166"/>
        <v>-88.087332757788303</v>
      </c>
      <c r="C203" s="25">
        <f t="shared" si="166"/>
        <v>-26.444205454148793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3.9535502108339872E-2</v>
      </c>
      <c r="B205" s="25">
        <v>3.0487503195021068E-2</v>
      </c>
      <c r="C205" s="25">
        <v>-1.5361649090680518E-2</v>
      </c>
      <c r="D205" s="25"/>
      <c r="H205">
        <f t="array" ref="H205:H207">MMULT(A205:C207,F185:F187)</f>
        <v>0</v>
      </c>
      <c r="J205" s="8">
        <f>$B$66+H205</f>
        <v>1.8524160104478808</v>
      </c>
      <c r="K205" s="11" t="s">
        <v>115</v>
      </c>
      <c r="L205" s="8">
        <f>J206</f>
        <v>-6.7261122428805997E-2</v>
      </c>
      <c r="M205" s="11" t="s">
        <v>116</v>
      </c>
      <c r="N205" t="s">
        <v>145</v>
      </c>
    </row>
    <row r="206" spans="1:14" x14ac:dyDescent="0.25">
      <c r="A206" s="25">
        <v>-1.4472645645037462E-2</v>
      </c>
      <c r="B206" s="25">
        <v>1.2912400726332038E-3</v>
      </c>
      <c r="C206" s="25">
        <v>5.3994031804904356E-3</v>
      </c>
      <c r="D206" s="25"/>
      <c r="H206">
        <v>0</v>
      </c>
      <c r="J206" s="8">
        <f>$B$64+H206</f>
        <v>-6.7261122428805997E-2</v>
      </c>
      <c r="K206" s="11" t="s">
        <v>116</v>
      </c>
      <c r="L206" s="8">
        <f>J207</f>
        <v>4.694681062812589</v>
      </c>
      <c r="M206" s="1" t="s">
        <v>117</v>
      </c>
      <c r="N206" t="s">
        <v>147</v>
      </c>
    </row>
    <row r="207" spans="1:14" x14ac:dyDescent="0.25">
      <c r="A207" s="25">
        <v>-4.8481426876446548E-2</v>
      </c>
      <c r="B207" s="25">
        <v>-7.8863528543932929E-2</v>
      </c>
      <c r="C207" s="25">
        <v>-1.8231722729762114E-2</v>
      </c>
      <c r="D207" s="25"/>
      <c r="H207">
        <v>0</v>
      </c>
      <c r="J207" s="8">
        <f>$B$65+H207</f>
        <v>4.694681062812589</v>
      </c>
      <c r="K207" s="1" t="s">
        <v>117</v>
      </c>
      <c r="L207" s="8">
        <f>J205</f>
        <v>1.8524160104478808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-94.935323130341359</v>
      </c>
      <c r="B212" s="25">
        <f>A182</f>
        <v>-9.9081516467405297</v>
      </c>
      <c r="C212" s="25">
        <f>A183</f>
        <v>1.9690122583427809</v>
      </c>
    </row>
    <row r="213" spans="1:14" x14ac:dyDescent="0.25">
      <c r="A213" s="25">
        <f>B181</f>
        <v>78.725665308281364</v>
      </c>
      <c r="B213" s="25">
        <f>B182</f>
        <v>-0.47569832977994142</v>
      </c>
      <c r="C213" s="25">
        <f>B183</f>
        <v>13.290832638005332</v>
      </c>
    </row>
    <row r="214" spans="1:14" x14ac:dyDescent="0.25">
      <c r="A214" s="25">
        <f>C181</f>
        <v>-88.087332757788303</v>
      </c>
      <c r="B214" s="25">
        <f>C182</f>
        <v>-26.444205454148793</v>
      </c>
      <c r="C214" s="25">
        <f>C183</f>
        <v>-3.8734729975743884E-2</v>
      </c>
    </row>
    <row r="215" spans="1:14" ht="15.75" thickBot="1" x14ac:dyDescent="0.3"/>
    <row r="216" spans="1:14" x14ac:dyDescent="0.25">
      <c r="A216">
        <f t="array" ref="A216:C218">MINVERSE(A212:C214)</f>
        <v>-1.3528958223269237E-2</v>
      </c>
      <c r="B216">
        <v>2.0189574848825595E-3</v>
      </c>
      <c r="C216">
        <v>5.0327303357958824E-3</v>
      </c>
      <c r="H216" cm="1">
        <f t="array" ref="H216:H218">MMULT(A216:C218,F185:F187)</f>
        <v>0</v>
      </c>
      <c r="J216" s="8">
        <f>$B$64+H216</f>
        <v>-6.7261122428805997E-2</v>
      </c>
      <c r="K216" s="11" t="s">
        <v>116</v>
      </c>
      <c r="L216" s="36">
        <f>J216</f>
        <v>-6.7261122428805997E-2</v>
      </c>
      <c r="M216" s="37" t="s">
        <v>116</v>
      </c>
      <c r="N216" t="s">
        <v>144</v>
      </c>
    </row>
    <row r="217" spans="1:14" x14ac:dyDescent="0.25">
      <c r="A217">
        <v>4.4946084031832451E-2</v>
      </c>
      <c r="B217">
        <v>-6.8176106872790366E-3</v>
      </c>
      <c r="C217">
        <v>-5.4533288700918905E-2</v>
      </c>
      <c r="H217">
        <v>0</v>
      </c>
      <c r="J217" s="8">
        <f>$B$65+H217</f>
        <v>4.694681062812589</v>
      </c>
      <c r="K217" s="1" t="s">
        <v>117</v>
      </c>
      <c r="L217" s="38">
        <f>J217</f>
        <v>4.694681062812589</v>
      </c>
      <c r="M217" s="39" t="s">
        <v>117</v>
      </c>
    </row>
    <row r="218" spans="1:14" x14ac:dyDescent="0.25">
      <c r="A218">
        <v>8.1744842008781751E-2</v>
      </c>
      <c r="B218">
        <v>6.3036916164358178E-2</v>
      </c>
      <c r="C218">
        <v>-3.1762226630407002E-2</v>
      </c>
      <c r="H218">
        <v>0</v>
      </c>
      <c r="J218" s="8">
        <f>$B$67+H218</f>
        <v>5.0934385999185343</v>
      </c>
      <c r="K218" s="1" t="s">
        <v>118</v>
      </c>
      <c r="L218" s="38">
        <f>B66</f>
        <v>1.8524160104478808</v>
      </c>
      <c r="M218" s="40"/>
    </row>
    <row r="219" spans="1:14" ht="15.75" thickBot="1" x14ac:dyDescent="0.3">
      <c r="L219" s="41">
        <f>J218</f>
        <v>5.0934385999185343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1.8524160379236505</v>
      </c>
      <c r="C66" t="s">
        <v>11</v>
      </c>
      <c r="D66">
        <f>B66/B53</f>
        <v>4.546608787553118E-4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5.0934386754664382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5.422336733610619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-5.0934385999185343</v>
      </c>
      <c r="I110">
        <f>H110*C110</f>
        <v>34.73088486427892</v>
      </c>
      <c r="J110">
        <f>H110*B110*-1</f>
        <v>-4.0416598550815408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-5.251313883149353E-4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5.2543106877194834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-4.9356043690363602</v>
      </c>
      <c r="I111">
        <f t="shared" ref="I111:I121" si="39">H111*C111</f>
        <v>32.825342603500317</v>
      </c>
      <c r="J111">
        <f t="shared" ref="J111:J121" si="40">H111*B111*-1</f>
        <v>8.394692352514852</v>
      </c>
      <c r="K111">
        <f ca="1">H111/$B$55</f>
        <v>-14.756903390653118</v>
      </c>
      <c r="L111">
        <f t="shared" ref="L111:L121" ca="1" si="41">K111/$B$54</f>
        <v>-5.0885873760872816E-4</v>
      </c>
      <c r="M111">
        <f t="shared" si="34"/>
        <v>-5.0885874515632309E-4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-0.60291014178869018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5.8389409463293783E-5</v>
      </c>
      <c r="N112">
        <f t="shared" si="42"/>
        <v>0.12334502830840217</v>
      </c>
      <c r="O112">
        <f t="shared" si="43"/>
        <v>-9.7874675321685173E-2</v>
      </c>
      <c r="P112">
        <f t="shared" si="44"/>
        <v>-0.84105892173292462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-3.0972572002194512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2.9995683658632543E-4</v>
      </c>
      <c r="N113">
        <f t="shared" si="42"/>
        <v>0.63364546482179784</v>
      </c>
      <c r="O113">
        <f t="shared" si="43"/>
        <v>1.0777319939004371</v>
      </c>
      <c r="P113">
        <f t="shared" si="44"/>
        <v>-4.2142011224434297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5.422336733610619</v>
      </c>
      <c r="H122">
        <f>SUM(H110:H121)</f>
        <v>-10.029042968954894</v>
      </c>
      <c r="I122">
        <f t="shared" ref="I122:J122" si="46">SUM(I110:I121)</f>
        <v>67.556227467779237</v>
      </c>
      <c r="J122">
        <f t="shared" si="46"/>
        <v>4.3530324974333112</v>
      </c>
      <c r="L122">
        <f ca="1">MIN(L110:L121)</f>
        <v>-5.2513138052597821E-4</v>
      </c>
      <c r="M122">
        <f>MIN(M110:M121)</f>
        <v>-5.251313883149353E-4</v>
      </c>
      <c r="N122">
        <f>SUM(N110:N121)</f>
        <v>0.75699049313020006</v>
      </c>
      <c r="O122">
        <f>SUM(O110:O121)</f>
        <v>0.97985731857875191</v>
      </c>
      <c r="P122">
        <f>SUM(P110:P121)</f>
        <v>-5.0552600441763547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-1.396413347098004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-1.396413347098004</v>
      </c>
    </row>
    <row r="127" spans="1:16" x14ac:dyDescent="0.25">
      <c r="F127" s="4">
        <f>MAX(B84:B90)+1</f>
        <v>9.4161739433017591</v>
      </c>
      <c r="G127" s="4">
        <f>G126</f>
        <v>-1.396413347098004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-2.7698403654713659</v>
      </c>
      <c r="G132" s="4">
        <f t="shared" ref="G132:G139" si="49">($B$66/$B$65)*(E132-$B$125)</f>
        <v>-2.6239818707891831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-2.6239818707891831</v>
      </c>
      <c r="G133" s="4">
        <f t="shared" si="49"/>
        <v>-0.45871216377385804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-0.45871216377385804</v>
      </c>
      <c r="G134" s="4">
        <f t="shared" si="49"/>
        <v>-0.3128536690916745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-0.3128536690916745</v>
      </c>
      <c r="G135" s="4">
        <f t="shared" si="49"/>
        <v>1.8524160379236505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8.3627632099703302</v>
      </c>
      <c r="K135" s="4">
        <f t="shared" si="54"/>
        <v>-1.396413347098004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1.8524160379236505</v>
      </c>
      <c r="P135" s="4">
        <f t="shared" si="58"/>
        <v>35.446649200155939</v>
      </c>
      <c r="Q135" s="4">
        <f t="shared" si="59"/>
        <v>61.083648461201236</v>
      </c>
      <c r="R135" s="4">
        <f t="shared" si="60"/>
        <v>-144.49141978806261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1.8524160379236505</v>
      </c>
      <c r="G136" s="4">
        <f t="shared" si="49"/>
        <v>1.5606990485592838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1.8524160379236505</v>
      </c>
      <c r="O136" s="4">
        <f t="shared" si="57"/>
        <v>1.5606990485592838</v>
      </c>
      <c r="P136" s="4">
        <f t="shared" si="58"/>
        <v>-3.4258384601550067</v>
      </c>
      <c r="Q136" s="4">
        <f t="shared" si="59"/>
        <v>-10.920063417539902</v>
      </c>
      <c r="R136" s="4">
        <f t="shared" si="60"/>
        <v>10.967908666494399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1.5606990485592838</v>
      </c>
      <c r="G137" s="4">
        <f t="shared" si="49"/>
        <v>-2.7698403654713659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-2.6621661025130523</v>
      </c>
      <c r="M137" s="4">
        <f t="shared" si="56"/>
        <v>-1.396413347098004</v>
      </c>
      <c r="N137" s="4">
        <f t="shared" si="57"/>
        <v>1.5606990485592838</v>
      </c>
      <c r="O137" s="4">
        <f t="shared" si="57"/>
        <v>0</v>
      </c>
      <c r="P137" s="4">
        <f t="shared" si="58"/>
        <v>8.7652233158108093</v>
      </c>
      <c r="Q137" s="4">
        <f t="shared" si="59"/>
        <v>11.053954708058425</v>
      </c>
      <c r="R137" s="4">
        <f t="shared" si="60"/>
        <v>12.451808257254665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-2.7698403654713659</v>
      </c>
      <c r="G138" s="4">
        <f t="shared" si="49"/>
        <v>-2.7698403654713659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-2.7698403654713659</v>
      </c>
      <c r="G139" s="4">
        <f t="shared" si="49"/>
        <v>-2.7698403654713659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40.78603405581174</v>
      </c>
      <c r="Q140" s="4">
        <f>SUM(Q132:Q139)</f>
        <v>61.217539751719762</v>
      </c>
      <c r="R140" s="4">
        <f>SUM(R132:R139)</f>
        <v>-121.07170286431355</v>
      </c>
    </row>
    <row r="142" spans="1:18" x14ac:dyDescent="0.25">
      <c r="O142" t="s">
        <v>96</v>
      </c>
      <c r="P142" s="1">
        <f>-1*R140/P140</f>
        <v>2.9684598090277334</v>
      </c>
    </row>
    <row r="143" spans="1:18" x14ac:dyDescent="0.25">
      <c r="O143" t="s">
        <v>97</v>
      </c>
      <c r="P143" s="1">
        <f>Q140/P140</f>
        <v>1.5009436727275196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-2.7698403654713659</v>
      </c>
      <c r="G146" s="4">
        <f>($B$66/$B$65)*(E146-$B$125)</f>
        <v>-2.7698403654713659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-2.7698403654713659</v>
      </c>
      <c r="G147" s="4">
        <f t="shared" ref="G147:G153" si="64">($B$66/$B$65)*(E147-$B$125)</f>
        <v>-2.7698403654713659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-2.7698403654713659</v>
      </c>
      <c r="G148" s="4">
        <f t="shared" si="64"/>
        <v>-2.7698403654713659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-2.7698403654713659</v>
      </c>
      <c r="G149" s="4">
        <f t="shared" si="64"/>
        <v>-2.7698403654713659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-2.7698403654713659</v>
      </c>
      <c r="G150" s="4">
        <f t="shared" si="64"/>
        <v>-2.7698403654713659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-2.7698403654713659</v>
      </c>
      <c r="G151" s="4">
        <f t="shared" si="64"/>
        <v>-2.7698403654713659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-2.7698403654713659</v>
      </c>
      <c r="G152" s="4">
        <f t="shared" si="64"/>
        <v>-2.7698403654713659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-2.7698403654713659</v>
      </c>
      <c r="G153" s="4">
        <f t="shared" si="64"/>
        <v>-2.7698403654713659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30.000000593726647</v>
      </c>
      <c r="C159" t="s">
        <v>36</v>
      </c>
    </row>
    <row r="160" spans="1:18" x14ac:dyDescent="0.25">
      <c r="A160" s="1" t="s">
        <v>106</v>
      </c>
      <c r="B160" s="4">
        <f>Q140+I122+Q154-O122</f>
        <v>127.79390990092026</v>
      </c>
      <c r="C160" t="s">
        <v>102</v>
      </c>
    </row>
    <row r="161" spans="1:9" x14ac:dyDescent="0.25">
      <c r="A161" s="1" t="s">
        <v>107</v>
      </c>
      <c r="B161" s="4">
        <f>R140+J122+R154-P122</f>
        <v>-111.6634103227039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30.000000593726647</v>
      </c>
      <c r="C164" t="s">
        <v>36</v>
      </c>
      <c r="E164" s="8">
        <f>B2-B164</f>
        <v>-5.937266465139146E-7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120.0000007757931</v>
      </c>
      <c r="C165" t="s">
        <v>102</v>
      </c>
      <c r="E165" s="8">
        <f>B3+B165</f>
        <v>7.7579309731845569E-7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-120.00000177696128</v>
      </c>
      <c r="C166" t="s">
        <v>102</v>
      </c>
      <c r="E166" s="8">
        <f>B4+B166</f>
        <v>-1.7769612838947069E-6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1.8524160379236505</v>
      </c>
      <c r="B169" s="1">
        <f ca="1">IF(E122=0,0,(MIN(H110:H121)*B65)/(B55*B56*E122))</f>
        <v>-1.8524160104478804</v>
      </c>
      <c r="C169" s="3">
        <f ca="1">A169+B169</f>
        <v>2.7475770103535524E-8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6.9633373190854763E-8</v>
      </c>
      <c r="D175" s="27">
        <f>B66*SQRT(I175)</f>
        <v>2.7475770035842239E-8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4.6946811324459619</v>
      </c>
      <c r="D176" s="3">
        <f>D175+B66</f>
        <v>1.8524160653994206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6.9633372845601116E-8</v>
      </c>
      <c r="D177" s="27">
        <f>D176-B66</f>
        <v>2.7475770103535524E-8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5.937266465139146E-7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-7.7579309731845569E-7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1.7769612838947069E-6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-2.7475770103535524E-8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1.8524159829721112</v>
      </c>
      <c r="C66" t="s">
        <v>11</v>
      </c>
      <c r="D66">
        <f>B66/B53</f>
        <v>4.5466086526789066E-4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5.0934385243706304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5.422336733610619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-5.0934385999185343</v>
      </c>
      <c r="I110">
        <f>H110*C110</f>
        <v>34.73088486427892</v>
      </c>
      <c r="J110">
        <f>H110*B110*-1</f>
        <v>-4.0416598550815408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-5.2513137273702101E-4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5.2543106877194834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-4.9356043690363602</v>
      </c>
      <c r="I111">
        <f t="shared" ref="I111:I121" si="39">H111*C111</f>
        <v>32.825342603500317</v>
      </c>
      <c r="J111">
        <f t="shared" ref="J111:J121" si="40">H111*B111*-1</f>
        <v>8.394692352514852</v>
      </c>
      <c r="K111">
        <f ca="1">H111/$B$55</f>
        <v>-14.756903390653118</v>
      </c>
      <c r="L111">
        <f t="shared" ref="L111:L121" ca="1" si="41">K111/$B$54</f>
        <v>-5.0885873760872816E-4</v>
      </c>
      <c r="M111">
        <f t="shared" si="34"/>
        <v>-5.0885873006113335E-4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-0.60291014178869018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5.8389407731184E-5</v>
      </c>
      <c r="N112">
        <f t="shared" si="42"/>
        <v>0.12334502464939737</v>
      </c>
      <c r="O112">
        <f t="shared" si="43"/>
        <v>-9.7874672418253136E-2</v>
      </c>
      <c r="P112">
        <f t="shared" si="44"/>
        <v>-0.84105889678308532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-3.0972572002194512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2.9995682768816777E-4</v>
      </c>
      <c r="N113">
        <f t="shared" si="42"/>
        <v>0.63364544602483597</v>
      </c>
      <c r="O113">
        <f t="shared" si="43"/>
        <v>1.0777319619297401</v>
      </c>
      <c r="P113">
        <f t="shared" si="44"/>
        <v>-4.214200997430023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5.422336733610619</v>
      </c>
      <c r="H122">
        <f>SUM(H110:H121)</f>
        <v>-10.029042968954894</v>
      </c>
      <c r="I122">
        <f t="shared" ref="I122:J122" si="46">SUM(I110:I121)</f>
        <v>67.556227467779237</v>
      </c>
      <c r="J122">
        <f t="shared" si="46"/>
        <v>4.3530324974333112</v>
      </c>
      <c r="L122">
        <f ca="1">MIN(L110:L121)</f>
        <v>-5.2513138052597821E-4</v>
      </c>
      <c r="M122">
        <f>MIN(M110:M121)</f>
        <v>-5.2513137273702101E-4</v>
      </c>
      <c r="N122">
        <f>SUM(N110:N121)</f>
        <v>0.75699047067423331</v>
      </c>
      <c r="O122">
        <f>SUM(O110:O121)</f>
        <v>0.97985728951148698</v>
      </c>
      <c r="P122">
        <f>SUM(P110:P121)</f>
        <v>-5.0552598942131084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-1.396413347098004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-1.396413347098004</v>
      </c>
    </row>
    <row r="127" spans="1:16" x14ac:dyDescent="0.25">
      <c r="F127" s="4">
        <f>MAX(B84:B90)+1</f>
        <v>9.4161739433017591</v>
      </c>
      <c r="G127" s="4">
        <f>G126</f>
        <v>-1.396413347098004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-2.7698402833046232</v>
      </c>
      <c r="G132" s="4">
        <f t="shared" ref="G132:G139" si="49">($B$66/$B$65)*(E132-$B$125)</f>
        <v>-2.6239817929493023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-2.6239817929493023</v>
      </c>
      <c r="G133" s="4">
        <f t="shared" si="49"/>
        <v>-0.45871215016625638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-0.45871215016625638</v>
      </c>
      <c r="G134" s="4">
        <f t="shared" si="49"/>
        <v>-0.31285365981093499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-0.31285365981093499</v>
      </c>
      <c r="G135" s="4">
        <f t="shared" si="49"/>
        <v>1.8524159829721112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8.3627632099703302</v>
      </c>
      <c r="K135" s="4">
        <f t="shared" si="54"/>
        <v>-1.396413347098004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1.8524159829721112</v>
      </c>
      <c r="P135" s="4">
        <f t="shared" si="58"/>
        <v>35.44664814863841</v>
      </c>
      <c r="Q135" s="4">
        <f t="shared" si="59"/>
        <v>61.083646649167413</v>
      </c>
      <c r="R135" s="4">
        <f t="shared" si="60"/>
        <v>-144.49141550175446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1.8524159829721112</v>
      </c>
      <c r="G136" s="4">
        <f t="shared" si="49"/>
        <v>1.5606990022614686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1.8524159829721112</v>
      </c>
      <c r="O136" s="4">
        <f t="shared" si="57"/>
        <v>1.5606990022614686</v>
      </c>
      <c r="P136" s="4">
        <f t="shared" si="58"/>
        <v>-3.4258383585282157</v>
      </c>
      <c r="Q136" s="4">
        <f t="shared" si="59"/>
        <v>-10.920063093598475</v>
      </c>
      <c r="R136" s="4">
        <f t="shared" si="60"/>
        <v>10.967908341133649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1.5606990022614686</v>
      </c>
      <c r="G137" s="4">
        <f t="shared" si="49"/>
        <v>-2.7698402833046232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-2.6621661025130523</v>
      </c>
      <c r="M137" s="4">
        <f t="shared" si="56"/>
        <v>-1.396413347098004</v>
      </c>
      <c r="N137" s="4">
        <f t="shared" si="57"/>
        <v>1.5606990022614686</v>
      </c>
      <c r="O137" s="4">
        <f t="shared" si="57"/>
        <v>0</v>
      </c>
      <c r="P137" s="4">
        <f t="shared" si="58"/>
        <v>8.7652230557922692</v>
      </c>
      <c r="Q137" s="4">
        <f t="shared" si="59"/>
        <v>11.053954380145139</v>
      </c>
      <c r="R137" s="4">
        <f t="shared" si="60"/>
        <v>12.451807887874347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-2.7698402833046232</v>
      </c>
      <c r="G138" s="4">
        <f t="shared" si="49"/>
        <v>-2.7698402833046232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-2.7698402833046232</v>
      </c>
      <c r="G139" s="4">
        <f t="shared" si="49"/>
        <v>-2.7698402833046232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40.786032845902461</v>
      </c>
      <c r="Q140" s="4">
        <f>SUM(Q132:Q139)</f>
        <v>61.217537935714077</v>
      </c>
      <c r="R140" s="4">
        <f>SUM(R132:R139)</f>
        <v>-121.07169927274647</v>
      </c>
    </row>
    <row r="142" spans="1:18" x14ac:dyDescent="0.25">
      <c r="O142" t="s">
        <v>96</v>
      </c>
      <c r="P142" s="1">
        <f>-1*R140/P140</f>
        <v>2.968459809027733</v>
      </c>
    </row>
    <row r="143" spans="1:18" x14ac:dyDescent="0.25">
      <c r="O143" t="s">
        <v>97</v>
      </c>
      <c r="P143" s="1">
        <f>Q140/P140</f>
        <v>1.5009436727275194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-2.7698402833046232</v>
      </c>
      <c r="G146" s="4">
        <f>($B$66/$B$65)*(E146-$B$125)</f>
        <v>-2.7698402833046232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-2.7698402833046232</v>
      </c>
      <c r="G147" s="4">
        <f t="shared" ref="G147:G153" si="64">($B$66/$B$65)*(E147-$B$125)</f>
        <v>-2.7698402833046232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-2.7698402833046232</v>
      </c>
      <c r="G148" s="4">
        <f t="shared" si="64"/>
        <v>-2.7698402833046232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-2.7698402833046232</v>
      </c>
      <c r="G149" s="4">
        <f t="shared" si="64"/>
        <v>-2.7698402833046232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-2.7698402833046232</v>
      </c>
      <c r="G150" s="4">
        <f t="shared" si="64"/>
        <v>-2.7698402833046232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-2.7698402833046232</v>
      </c>
      <c r="G151" s="4">
        <f t="shared" si="64"/>
        <v>-2.7698402833046232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-2.7698402833046232</v>
      </c>
      <c r="G152" s="4">
        <f t="shared" si="64"/>
        <v>-2.7698402833046232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-2.7698402833046232</v>
      </c>
      <c r="G153" s="4">
        <f t="shared" si="64"/>
        <v>-2.7698402833046232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29.999999406273336</v>
      </c>
      <c r="C159" t="s">
        <v>36</v>
      </c>
    </row>
    <row r="160" spans="1:18" x14ac:dyDescent="0.25">
      <c r="A160" s="1" t="s">
        <v>106</v>
      </c>
      <c r="B160" s="4">
        <f>Q140+I122+Q154-O122</f>
        <v>127.79390811398183</v>
      </c>
      <c r="C160" t="s">
        <v>102</v>
      </c>
    </row>
    <row r="161" spans="1:9" x14ac:dyDescent="0.25">
      <c r="A161" s="1" t="s">
        <v>107</v>
      </c>
      <c r="B161" s="4">
        <f>R140+J122+R154-P122</f>
        <v>-111.66340688110004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29.999999406273336</v>
      </c>
      <c r="C164" t="s">
        <v>36</v>
      </c>
      <c r="E164" s="8">
        <f>B2-B164</f>
        <v>5.93726664277483E-7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119.99999922420689</v>
      </c>
      <c r="C165" t="s">
        <v>102</v>
      </c>
      <c r="E165" s="8">
        <f>B3+B165</f>
        <v>-7.7579311152931041E-7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-119.99999822303863</v>
      </c>
      <c r="C166" t="s">
        <v>102</v>
      </c>
      <c r="E166" s="8">
        <f>B4+B166</f>
        <v>1.7769613691598352E-6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1.8524159829721112</v>
      </c>
      <c r="B169" s="1">
        <f ca="1">IF(E122=0,0,(MIN(H110:H121)*B65)/(B55*B56*E122))</f>
        <v>-1.8524160104478804</v>
      </c>
      <c r="C169" s="3">
        <f ca="1">A169+B169</f>
        <v>-2.7475769215357104E-8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6.9633373190854763E-8</v>
      </c>
      <c r="D175" s="27">
        <f>B66*SQRT(I175)</f>
        <v>2.747576922077919E-8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4.6946811324459619</v>
      </c>
      <c r="D176" s="3">
        <f>D175+B66</f>
        <v>1.8524160104478804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6.9633372845601116E-8</v>
      </c>
      <c r="D177" s="27">
        <f>D176-B66</f>
        <v>2.7475769215357104E-8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-5.93726664277483E-7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7.7579311152931041E-7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-1.7769613691598352E-6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2.7475769215357104E-8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-6.7261123426449659E-2</v>
      </c>
      <c r="C64" t="s">
        <v>19</v>
      </c>
      <c r="D64" t="s">
        <v>34</v>
      </c>
      <c r="H64" s="17">
        <f>DEGREES(B64)</f>
        <v>-3.8537784976440759</v>
      </c>
      <c r="I64" t="s">
        <v>41</v>
      </c>
    </row>
    <row r="65" spans="1:18" x14ac:dyDescent="0.25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5.0934386082027858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-9.4161739454858981</v>
      </c>
      <c r="R76">
        <f>Q76</f>
        <v>-9.4161739454858981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9.4161739454858981</v>
      </c>
      <c r="R77">
        <f>Q77</f>
        <v>9.4161739454858981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-2.1892958044367461</v>
      </c>
      <c r="C84" s="1">
        <f t="shared" ref="C84:C92" si="23">(-1*B73*SIN($B$64))+(C73*COS($B$64))</f>
        <v>-8.4161739454858981</v>
      </c>
      <c r="H84" s="1">
        <f t="shared" ref="H84:H92" si="24">H73</f>
        <v>1</v>
      </c>
      <c r="I84" s="4">
        <f>(I73*COS($B$64))+(J73*SIN($B$64))</f>
        <v>-2.1892958044367461</v>
      </c>
      <c r="J84" s="1">
        <f>(-1*I73*SIN($B$64))+(J73*COS($B$64))</f>
        <v>-8.4161739454858981</v>
      </c>
    </row>
    <row r="85" spans="1:10" x14ac:dyDescent="0.25">
      <c r="A85" s="1">
        <f t="shared" si="21"/>
        <v>2</v>
      </c>
      <c r="B85" s="4">
        <f t="shared" si="22"/>
        <v>3.2982677237421418</v>
      </c>
      <c r="C85" s="1">
        <f t="shared" si="23"/>
        <v>-8.0465166390507648</v>
      </c>
      <c r="H85" s="1">
        <f t="shared" si="24"/>
        <v>2</v>
      </c>
      <c r="I85" s="4">
        <f t="shared" ref="I85:I92" si="25">(I74*COS($B$64))+(J74*SIN($B$64))</f>
        <v>-2.1892958044367461</v>
      </c>
      <c r="J85" s="1">
        <f t="shared" ref="J85:J92" si="26">(-1*I74*SIN($B$64))+(J74*COS($B$64))</f>
        <v>-8.4161739454858981</v>
      </c>
    </row>
    <row r="86" spans="1:10" x14ac:dyDescent="0.25">
      <c r="A86" s="1">
        <f t="shared" si="21"/>
        <v>3</v>
      </c>
      <c r="B86" s="4">
        <f t="shared" si="22"/>
        <v>2.9286104173070098</v>
      </c>
      <c r="C86" s="1">
        <f t="shared" si="23"/>
        <v>-2.5589531108718782</v>
      </c>
      <c r="H86" s="1">
        <f t="shared" si="24"/>
        <v>3</v>
      </c>
      <c r="I86" s="4">
        <f t="shared" si="25"/>
        <v>-2.1892958044367461</v>
      </c>
      <c r="J86" s="1">
        <f t="shared" si="26"/>
        <v>-8.4161739454858981</v>
      </c>
    </row>
    <row r="87" spans="1:10" x14ac:dyDescent="0.25">
      <c r="A87" s="1">
        <f t="shared" si="21"/>
        <v>4</v>
      </c>
      <c r="B87" s="4">
        <f t="shared" si="22"/>
        <v>8.4161739454858981</v>
      </c>
      <c r="C87" s="1">
        <f t="shared" si="23"/>
        <v>-2.1892958044367461</v>
      </c>
      <c r="H87" s="1">
        <f t="shared" si="24"/>
        <v>4</v>
      </c>
      <c r="I87" s="4">
        <f t="shared" si="25"/>
        <v>-2.1892958044367461</v>
      </c>
      <c r="J87" s="1">
        <f t="shared" si="26"/>
        <v>-8.4161739454858981</v>
      </c>
    </row>
    <row r="88" spans="1:10" x14ac:dyDescent="0.25">
      <c r="A88" s="1">
        <f t="shared" si="21"/>
        <v>5</v>
      </c>
      <c r="B88" s="4">
        <f t="shared" si="22"/>
        <v>8.0465166390507648</v>
      </c>
      <c r="C88" s="1">
        <f t="shared" si="23"/>
        <v>3.2982677237421418</v>
      </c>
      <c r="H88" s="1">
        <f t="shared" si="24"/>
        <v>5</v>
      </c>
      <c r="I88" s="4">
        <f t="shared" si="25"/>
        <v>-2.1892958044367461</v>
      </c>
      <c r="J88" s="1">
        <f t="shared" si="26"/>
        <v>-8.4161739454858981</v>
      </c>
    </row>
    <row r="89" spans="1:10" x14ac:dyDescent="0.25">
      <c r="A89" s="1">
        <f t="shared" si="21"/>
        <v>6</v>
      </c>
      <c r="B89" s="4">
        <f t="shared" si="22"/>
        <v>-2.9286104173070098</v>
      </c>
      <c r="C89" s="1">
        <f t="shared" si="23"/>
        <v>2.5589531108718782</v>
      </c>
      <c r="H89" s="1">
        <f t="shared" si="24"/>
        <v>6</v>
      </c>
      <c r="I89" s="4">
        <f t="shared" si="25"/>
        <v>-2.1892958044367461</v>
      </c>
      <c r="J89" s="1">
        <f t="shared" si="26"/>
        <v>-8.4161739454858981</v>
      </c>
    </row>
    <row r="90" spans="1:10" x14ac:dyDescent="0.25">
      <c r="A90" s="1">
        <f t="shared" si="21"/>
        <v>7</v>
      </c>
      <c r="B90" s="4">
        <f t="shared" si="22"/>
        <v>-2.1892958044367461</v>
      </c>
      <c r="C90" s="1">
        <f t="shared" si="23"/>
        <v>-8.4161739454858981</v>
      </c>
      <c r="H90" s="1">
        <f t="shared" si="24"/>
        <v>7</v>
      </c>
      <c r="I90" s="4">
        <f t="shared" si="25"/>
        <v>-2.1892958044367461</v>
      </c>
      <c r="J90" s="1">
        <f t="shared" si="26"/>
        <v>-8.4161739454858981</v>
      </c>
    </row>
    <row r="91" spans="1:10" x14ac:dyDescent="0.25">
      <c r="A91" s="1">
        <f t="shared" si="21"/>
        <v>8</v>
      </c>
      <c r="B91" s="4">
        <f t="shared" si="22"/>
        <v>-2.1892958044367461</v>
      </c>
      <c r="C91" s="1">
        <f t="shared" si="23"/>
        <v>-8.4161739454858981</v>
      </c>
      <c r="H91" s="1">
        <f t="shared" si="24"/>
        <v>8</v>
      </c>
      <c r="I91" s="4">
        <f t="shared" si="25"/>
        <v>-2.1892958044367461</v>
      </c>
      <c r="J91" s="1">
        <f t="shared" si="26"/>
        <v>-8.4161739454858981</v>
      </c>
    </row>
    <row r="92" spans="1:10" x14ac:dyDescent="0.25">
      <c r="A92" s="1">
        <f t="shared" si="21"/>
        <v>9</v>
      </c>
      <c r="B92" s="4">
        <f t="shared" si="22"/>
        <v>-2.1892958044367461</v>
      </c>
      <c r="C92" s="1">
        <f t="shared" si="23"/>
        <v>-8.4161739454858981</v>
      </c>
      <c r="H92" s="1">
        <f t="shared" si="24"/>
        <v>9</v>
      </c>
      <c r="I92" s="4">
        <f t="shared" si="25"/>
        <v>-2.1892958044367461</v>
      </c>
      <c r="J92" s="1">
        <f t="shared" si="26"/>
        <v>-8.4161739454858981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-0.79350319850663098</v>
      </c>
      <c r="C110" s="1">
        <f>(-1*B95*SIN($B$64))+(C95*COS($B$64))</f>
        <v>-6.818750081500256</v>
      </c>
      <c r="D110" t="str">
        <f t="shared" ref="D110" si="31">D95</f>
        <v>y</v>
      </c>
      <c r="E110" s="4">
        <f t="shared" ref="E110:E121" si="32">IF($D110="y",$B$125-C110,0)</f>
        <v>5.4223367424298088</v>
      </c>
      <c r="F110" s="1">
        <f>IF($D110="y",B110,NA())</f>
        <v>-0.79350319850663098</v>
      </c>
      <c r="G110" s="1">
        <f>IF($D110="y",C110,NA())</f>
        <v>-6.818750081500256</v>
      </c>
      <c r="H110">
        <f t="shared" ref="H110:H121" si="33">IF($E$122=0,0,-1*MAX(($B$67/$E$122)*(E110),0))</f>
        <v>-5.0934385999185343</v>
      </c>
      <c r="I110">
        <f>H110*C110</f>
        <v>34.730884868311058</v>
      </c>
      <c r="J110">
        <f>H110*B110*-1</f>
        <v>-4.0416598204324936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-5.2513138138008113E-4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1.7008438597564997</v>
      </c>
      <c r="C111" s="1">
        <f t="shared" ref="C111:C121" si="37">(-1*B96*SIN($B$64))+(C96*COS($B$64))</f>
        <v>-6.6507240331206505</v>
      </c>
      <c r="D111" t="str">
        <f t="shared" si="35"/>
        <v>y</v>
      </c>
      <c r="E111" s="4">
        <f t="shared" si="32"/>
        <v>5.2543106940502033</v>
      </c>
      <c r="F111" s="1">
        <f t="shared" ref="F111:G121" si="38">IF($D111="y",B111,NA())</f>
        <v>1.7008438597564997</v>
      </c>
      <c r="G111" s="1">
        <f t="shared" si="38"/>
        <v>-6.6507240331206505</v>
      </c>
      <c r="H111">
        <f t="shared" si="33"/>
        <v>-4.9356043669555421</v>
      </c>
      <c r="I111">
        <f t="shared" ref="I111:I121" si="39">H111*C111</f>
        <v>32.825342581286456</v>
      </c>
      <c r="J111">
        <f t="shared" ref="J111:J121" si="40">H111*B111*-1</f>
        <v>8.3946923817236989</v>
      </c>
      <c r="K111">
        <f ca="1">H111/$B$55</f>
        <v>-14.756903384431705</v>
      </c>
      <c r="L111">
        <f t="shared" ref="L111:L121" ca="1" si="41">K111/$B$54</f>
        <v>-5.0885873739419676E-4</v>
      </c>
      <c r="M111">
        <f t="shared" si="34"/>
        <v>-5.0885873822183289E-4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6.818750081500256</v>
      </c>
      <c r="C112" s="1">
        <f t="shared" si="37"/>
        <v>-0.79350319850663098</v>
      </c>
      <c r="D112" t="str">
        <f t="shared" si="35"/>
        <v>y</v>
      </c>
      <c r="E112" s="4">
        <f t="shared" si="32"/>
        <v>-0.6029101405638162</v>
      </c>
      <c r="F112" s="1">
        <f t="shared" si="38"/>
        <v>6.818750081500256</v>
      </c>
      <c r="G112" s="1">
        <f t="shared" si="38"/>
        <v>-0.79350319850663098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5.8389408478614804E-5</v>
      </c>
      <c r="N112">
        <f t="shared" si="42"/>
        <v>0.12334502622831167</v>
      </c>
      <c r="O112">
        <f t="shared" si="43"/>
        <v>-9.7874672832049606E-2</v>
      </c>
      <c r="P112">
        <f t="shared" si="44"/>
        <v>-0.84105890764695146</v>
      </c>
    </row>
    <row r="113" spans="1:16" x14ac:dyDescent="0.25">
      <c r="A113">
        <f t="shared" si="35"/>
        <v>4</v>
      </c>
      <c r="B113" s="1">
        <f t="shared" si="36"/>
        <v>6.6507240331206505</v>
      </c>
      <c r="C113" s="1">
        <f t="shared" si="37"/>
        <v>1.7008438597564997</v>
      </c>
      <c r="D113" t="str">
        <f t="shared" si="35"/>
        <v>y</v>
      </c>
      <c r="E113" s="4">
        <f t="shared" si="32"/>
        <v>-3.0972571988269468</v>
      </c>
      <c r="F113" s="1">
        <f t="shared" si="38"/>
        <v>6.6507240331206505</v>
      </c>
      <c r="G113" s="1">
        <f t="shared" si="38"/>
        <v>1.7008438597564997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2.9995683200238819E-4</v>
      </c>
      <c r="N113">
        <f t="shared" si="42"/>
        <v>0.63364545513843462</v>
      </c>
      <c r="O113">
        <f t="shared" si="43"/>
        <v>1.077731981634819</v>
      </c>
      <c r="P113">
        <f t="shared" si="44"/>
        <v>-4.2142010569668598</v>
      </c>
    </row>
    <row r="114" spans="1:16" x14ac:dyDescent="0.25">
      <c r="A114">
        <f t="shared" si="35"/>
        <v>5</v>
      </c>
      <c r="B114" s="1">
        <f t="shared" si="36"/>
        <v>-2.1892958044367461</v>
      </c>
      <c r="C114" s="1">
        <f t="shared" si="37"/>
        <v>-8.4161739454858981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-2.1892958044367461</v>
      </c>
      <c r="C115" s="1">
        <f t="shared" si="37"/>
        <v>-8.4161739454858981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-2.1892958044367461</v>
      </c>
      <c r="C116" s="1">
        <f t="shared" si="37"/>
        <v>-8.4161739454858981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-2.1892958044367461</v>
      </c>
      <c r="C117" s="1">
        <f t="shared" si="37"/>
        <v>-8.4161739454858981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-2.1892958044367461</v>
      </c>
      <c r="C118" s="1">
        <f t="shared" si="37"/>
        <v>-8.4161739454858981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-2.1892958044367461</v>
      </c>
      <c r="C119" s="1">
        <f t="shared" si="37"/>
        <v>-8.4161739454858981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-2.1892958044367461</v>
      </c>
      <c r="C120" s="1">
        <f t="shared" si="37"/>
        <v>-8.4161739454858981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-2.1892958044367461</v>
      </c>
      <c r="C121" s="1">
        <f t="shared" si="37"/>
        <v>-8.4161739454858981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5.4223367424298088</v>
      </c>
      <c r="H122">
        <f>SUM(H110:H121)</f>
        <v>-10.029042966874076</v>
      </c>
      <c r="I122">
        <f t="shared" ref="I122:J122" si="46">SUM(I110:I121)</f>
        <v>67.556227449597515</v>
      </c>
      <c r="J122">
        <f t="shared" si="46"/>
        <v>4.3530325612912053</v>
      </c>
      <c r="L122">
        <f ca="1">MIN(L110:L121)</f>
        <v>-5.2513138052597821E-4</v>
      </c>
      <c r="M122">
        <f>MIN(M110:M121)</f>
        <v>-5.2513138138008113E-4</v>
      </c>
      <c r="N122">
        <f>SUM(N110:N121)</f>
        <v>0.75699048136674629</v>
      </c>
      <c r="O122">
        <f>SUM(O110:O121)</f>
        <v>0.97985730880276933</v>
      </c>
      <c r="P122">
        <f>SUM(P110:P121)</f>
        <v>-5.0552599646138114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-1.3964133390704472</v>
      </c>
      <c r="F125" s="1" t="s">
        <v>27</v>
      </c>
      <c r="G125" s="1" t="s">
        <v>28</v>
      </c>
    </row>
    <row r="126" spans="1:16" x14ac:dyDescent="0.25">
      <c r="F126" s="4">
        <f>MIN(B84:B90)-1</f>
        <v>-3.9286104173070098</v>
      </c>
      <c r="G126" s="4">
        <f>B125</f>
        <v>-1.3964133390704472</v>
      </c>
    </row>
    <row r="127" spans="1:16" x14ac:dyDescent="0.25">
      <c r="F127" s="4">
        <f>MAX(B84:B90)+1</f>
        <v>9.4161739454858981</v>
      </c>
      <c r="G127" s="4">
        <f>G126</f>
        <v>-1.3964133390704472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-2.1892958044367461</v>
      </c>
      <c r="C132" s="4">
        <f>C84</f>
        <v>-8.4161739454858981</v>
      </c>
      <c r="D132" s="4">
        <f t="shared" ref="D132:E139" si="47">B85</f>
        <v>3.2982677237421418</v>
      </c>
      <c r="E132" s="4">
        <f t="shared" si="47"/>
        <v>-8.0465166390507648</v>
      </c>
      <c r="F132" s="4">
        <f t="shared" ref="F132:F139" si="48">($B$66/$B$65)*(C132-$B$125)</f>
        <v>-2.7698403284173012</v>
      </c>
      <c r="G132" s="4">
        <f t="shared" ref="G132:G139" si="49">($B$66/$B$65)*(E132-$B$125)</f>
        <v>-2.6239818337383807</v>
      </c>
      <c r="H132" s="4">
        <f>IF(B132=D132,"V",(C132-E132)/(B132-D132))</f>
        <v>6.7362738406020514E-2</v>
      </c>
      <c r="I132" s="4">
        <f>IF(H132="V",0,(-1*B132*H132)+C132)</f>
        <v>-8.2686969849182272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3.2982677237421418</v>
      </c>
      <c r="C133" s="4">
        <f t="shared" si="50"/>
        <v>-8.0465166390507648</v>
      </c>
      <c r="D133" s="4">
        <f t="shared" si="47"/>
        <v>2.9286104173070098</v>
      </c>
      <c r="E133" s="4">
        <f t="shared" si="47"/>
        <v>-2.5589531108718782</v>
      </c>
      <c r="F133" s="4">
        <f t="shared" si="48"/>
        <v>-2.6239818337383807</v>
      </c>
      <c r="G133" s="4">
        <f t="shared" si="49"/>
        <v>-0.45871215898471024</v>
      </c>
      <c r="H133" s="4">
        <f t="shared" ref="H133:H139" si="51">IF(B133=D133,"V",(C133-E133)/(B133-D133))</f>
        <v>-14.845002202443554</v>
      </c>
      <c r="I133" s="4">
        <f t="shared" ref="I133:I139" si="52">IF(H133="V",0,(-1*B133*H133)+C133)</f>
        <v>40.916274984149823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2.9286104173070098</v>
      </c>
      <c r="C134" s="4">
        <f t="shared" si="50"/>
        <v>-2.5589531108718782</v>
      </c>
      <c r="D134" s="4">
        <f t="shared" si="47"/>
        <v>8.4161739454858981</v>
      </c>
      <c r="E134" s="4">
        <f t="shared" si="47"/>
        <v>-2.1892958044367461</v>
      </c>
      <c r="F134" s="4">
        <f t="shared" si="48"/>
        <v>-0.45871215898471024</v>
      </c>
      <c r="G134" s="4">
        <f t="shared" si="49"/>
        <v>-0.31285366430579009</v>
      </c>
      <c r="H134" s="4">
        <f t="shared" si="51"/>
        <v>6.7362738406020251E-2</v>
      </c>
      <c r="I134" s="4">
        <f t="shared" si="52"/>
        <v>-2.7562323283060759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8.4161739454858981</v>
      </c>
      <c r="C135" s="4">
        <f t="shared" si="50"/>
        <v>-2.1892958044367461</v>
      </c>
      <c r="D135" s="4">
        <f t="shared" si="47"/>
        <v>8.0465166390507648</v>
      </c>
      <c r="E135" s="4">
        <f t="shared" si="47"/>
        <v>3.2982677237421418</v>
      </c>
      <c r="F135" s="4">
        <f t="shared" si="48"/>
        <v>-0.31285366430579009</v>
      </c>
      <c r="G135" s="4">
        <f t="shared" si="49"/>
        <v>1.8524160104478808</v>
      </c>
      <c r="H135" s="4">
        <f t="shared" si="51"/>
        <v>-14.845002202443503</v>
      </c>
      <c r="I135" s="4">
        <f t="shared" si="52"/>
        <v>122.74882495244904</v>
      </c>
      <c r="J135" s="4">
        <f t="shared" si="53"/>
        <v>8.3627632113847081</v>
      </c>
      <c r="K135" s="4">
        <f t="shared" si="54"/>
        <v>-1.3964133390704472</v>
      </c>
      <c r="L135" s="4">
        <f t="shared" si="55"/>
        <v>8.0465166390507648</v>
      </c>
      <c r="M135" s="4">
        <f t="shared" si="56"/>
        <v>3.2982677237421418</v>
      </c>
      <c r="N135" s="4">
        <f t="shared" si="57"/>
        <v>0</v>
      </c>
      <c r="O135" s="4">
        <f t="shared" si="57"/>
        <v>1.8524160104478808</v>
      </c>
      <c r="P135" s="4">
        <f t="shared" si="58"/>
        <v>35.446648666908601</v>
      </c>
      <c r="Q135" s="4">
        <f t="shared" si="59"/>
        <v>61.083647821418047</v>
      </c>
      <c r="R135" s="4">
        <f t="shared" si="60"/>
        <v>-144.49141758422158</v>
      </c>
    </row>
    <row r="136" spans="1:18" x14ac:dyDescent="0.25">
      <c r="A136" t="s">
        <v>73</v>
      </c>
      <c r="B136" s="4">
        <f t="shared" si="50"/>
        <v>8.0465166390507648</v>
      </c>
      <c r="C136" s="4">
        <f t="shared" si="50"/>
        <v>3.2982677237421418</v>
      </c>
      <c r="D136" s="4">
        <f t="shared" si="47"/>
        <v>-2.9286104173070098</v>
      </c>
      <c r="E136" s="4">
        <f t="shared" si="47"/>
        <v>2.5589531108718782</v>
      </c>
      <c r="F136" s="4">
        <f t="shared" si="48"/>
        <v>1.8524160104478808</v>
      </c>
      <c r="G136" s="4">
        <f t="shared" si="49"/>
        <v>1.5606990210900409</v>
      </c>
      <c r="H136" s="4">
        <f t="shared" si="51"/>
        <v>6.7362738406020237E-2</v>
      </c>
      <c r="I136" s="4">
        <f t="shared" si="52"/>
        <v>2.7562323283060759</v>
      </c>
      <c r="J136" s="4">
        <f t="shared" si="53"/>
        <v>8.0465166390507648</v>
      </c>
      <c r="K136" s="4">
        <f t="shared" si="54"/>
        <v>3.2982677237421418</v>
      </c>
      <c r="L136" s="4">
        <f t="shared" si="55"/>
        <v>-2.9286104173070098</v>
      </c>
      <c r="M136" s="4">
        <f t="shared" si="56"/>
        <v>2.5589531108718782</v>
      </c>
      <c r="N136" s="4">
        <f t="shared" si="57"/>
        <v>1.8524160104478808</v>
      </c>
      <c r="O136" s="4">
        <f t="shared" si="57"/>
        <v>1.5606990210900409</v>
      </c>
      <c r="P136" s="4">
        <f t="shared" si="58"/>
        <v>-3.4258384552133632</v>
      </c>
      <c r="Q136" s="4">
        <f t="shared" si="59"/>
        <v>-10.920063424259569</v>
      </c>
      <c r="R136" s="4">
        <f t="shared" si="60"/>
        <v>10.967908649585814</v>
      </c>
    </row>
    <row r="137" spans="1:18" x14ac:dyDescent="0.25">
      <c r="A137" t="s">
        <v>74</v>
      </c>
      <c r="B137" s="4">
        <f t="shared" si="50"/>
        <v>-2.9286104173070098</v>
      </c>
      <c r="C137" s="4">
        <f t="shared" si="50"/>
        <v>2.5589531108718782</v>
      </c>
      <c r="D137" s="4">
        <f t="shared" si="47"/>
        <v>-2.1892958044367461</v>
      </c>
      <c r="E137" s="4">
        <f t="shared" si="47"/>
        <v>-8.4161739454858981</v>
      </c>
      <c r="F137" s="4">
        <f t="shared" si="48"/>
        <v>1.5606990210900409</v>
      </c>
      <c r="G137" s="4">
        <f t="shared" si="49"/>
        <v>-2.7698403284173012</v>
      </c>
      <c r="H137" s="4">
        <f t="shared" si="51"/>
        <v>-14.845002202443565</v>
      </c>
      <c r="I137" s="4">
        <f t="shared" si="52"/>
        <v>-40.916274984149851</v>
      </c>
      <c r="J137" s="4">
        <f t="shared" si="53"/>
        <v>-2.9286104173070098</v>
      </c>
      <c r="K137" s="4">
        <f t="shared" si="54"/>
        <v>2.5589531108718782</v>
      </c>
      <c r="L137" s="4">
        <f t="shared" si="55"/>
        <v>-2.6621661018395959</v>
      </c>
      <c r="M137" s="4">
        <f t="shared" si="56"/>
        <v>-1.3964133390704472</v>
      </c>
      <c r="N137" s="4">
        <f t="shared" si="57"/>
        <v>1.5606990210900409</v>
      </c>
      <c r="O137" s="4">
        <f t="shared" si="57"/>
        <v>0</v>
      </c>
      <c r="P137" s="4">
        <f t="shared" si="58"/>
        <v>8.7652231418339603</v>
      </c>
      <c r="Q137" s="4">
        <f t="shared" si="59"/>
        <v>11.053954496629105</v>
      </c>
      <c r="R137" s="4">
        <f t="shared" si="60"/>
        <v>12.451808016723891</v>
      </c>
    </row>
    <row r="138" spans="1:18" x14ac:dyDescent="0.25">
      <c r="A138" t="s">
        <v>75</v>
      </c>
      <c r="B138" s="4">
        <f t="shared" si="50"/>
        <v>-2.1892958044367461</v>
      </c>
      <c r="C138" s="4">
        <f t="shared" si="50"/>
        <v>-8.4161739454858981</v>
      </c>
      <c r="D138" s="4">
        <f t="shared" si="47"/>
        <v>-2.1892958044367461</v>
      </c>
      <c r="E138" s="4">
        <f t="shared" si="47"/>
        <v>-8.4161739454858981</v>
      </c>
      <c r="F138" s="4">
        <f t="shared" si="48"/>
        <v>-2.7698403284173012</v>
      </c>
      <c r="G138" s="4">
        <f t="shared" si="49"/>
        <v>-2.7698403284173012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-2.1892958044367461</v>
      </c>
      <c r="C139" s="4">
        <f>E138</f>
        <v>-8.4161739454858981</v>
      </c>
      <c r="D139" s="4">
        <f t="shared" si="47"/>
        <v>-2.1892958044367461</v>
      </c>
      <c r="E139" s="4">
        <f t="shared" si="47"/>
        <v>-8.4161739454858981</v>
      </c>
      <c r="F139" s="4">
        <f t="shared" si="48"/>
        <v>-2.7698403284173012</v>
      </c>
      <c r="G139" s="4">
        <f t="shared" si="49"/>
        <v>-2.7698403284173012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40.786033353529191</v>
      </c>
      <c r="Q140" s="4">
        <f>SUM(Q132:Q139)</f>
        <v>61.217538893787584</v>
      </c>
      <c r="R140" s="4">
        <f>SUM(R132:R139)</f>
        <v>-121.07170091791188</v>
      </c>
    </row>
    <row r="142" spans="1:18" x14ac:dyDescent="0.25">
      <c r="O142" t="s">
        <v>96</v>
      </c>
      <c r="P142" s="1">
        <f>-1*R140/P140</f>
        <v>2.9684598124184984</v>
      </c>
    </row>
    <row r="143" spans="1:18" x14ac:dyDescent="0.25">
      <c r="O143" t="s">
        <v>97</v>
      </c>
      <c r="P143" s="1">
        <f>Q140/P140</f>
        <v>1.500943677536871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-2.1892958044367461</v>
      </c>
      <c r="C146" s="9">
        <f>J84</f>
        <v>-8.4161739454858981</v>
      </c>
      <c r="D146" s="9">
        <f t="shared" ref="D146:E153" si="61">I85</f>
        <v>-2.1892958044367461</v>
      </c>
      <c r="E146">
        <f t="shared" si="61"/>
        <v>-8.4161739454858981</v>
      </c>
      <c r="F146" s="4">
        <f>($B$66/$B$65)*(C146-$B$125)</f>
        <v>-2.7698403284173012</v>
      </c>
      <c r="G146" s="4">
        <f>($B$66/$B$65)*(E146-$B$125)</f>
        <v>-2.7698403284173012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-2.1892958044367461</v>
      </c>
      <c r="C147">
        <f t="shared" si="62"/>
        <v>-8.4161739454858981</v>
      </c>
      <c r="D147" s="9">
        <f t="shared" si="61"/>
        <v>-2.1892958044367461</v>
      </c>
      <c r="E147">
        <f t="shared" si="61"/>
        <v>-8.4161739454858981</v>
      </c>
      <c r="F147" s="4">
        <f t="shared" ref="F147:F153" si="63">($B$66/$B$65)*(C147-$B$125)</f>
        <v>-2.7698403284173012</v>
      </c>
      <c r="G147" s="4">
        <f t="shared" ref="G147:G153" si="64">($B$66/$B$65)*(E147-$B$125)</f>
        <v>-2.7698403284173012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-2.1892958044367461</v>
      </c>
      <c r="C148">
        <f t="shared" si="62"/>
        <v>-8.4161739454858981</v>
      </c>
      <c r="D148" s="9">
        <f t="shared" si="61"/>
        <v>-2.1892958044367461</v>
      </c>
      <c r="E148">
        <f t="shared" si="61"/>
        <v>-8.4161739454858981</v>
      </c>
      <c r="F148" s="4">
        <f t="shared" si="63"/>
        <v>-2.7698403284173012</v>
      </c>
      <c r="G148" s="4">
        <f t="shared" si="64"/>
        <v>-2.7698403284173012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-2.1892958044367461</v>
      </c>
      <c r="C149">
        <f t="shared" si="62"/>
        <v>-8.4161739454858981</v>
      </c>
      <c r="D149" s="9">
        <f t="shared" si="61"/>
        <v>-2.1892958044367461</v>
      </c>
      <c r="E149">
        <f t="shared" si="61"/>
        <v>-8.4161739454858981</v>
      </c>
      <c r="F149" s="4">
        <f t="shared" si="63"/>
        <v>-2.7698403284173012</v>
      </c>
      <c r="G149" s="4">
        <f t="shared" si="64"/>
        <v>-2.7698403284173012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-2.1892958044367461</v>
      </c>
      <c r="C150">
        <f t="shared" si="62"/>
        <v>-8.4161739454858981</v>
      </c>
      <c r="D150" s="9">
        <f t="shared" si="61"/>
        <v>-2.1892958044367461</v>
      </c>
      <c r="E150">
        <f t="shared" si="61"/>
        <v>-8.4161739454858981</v>
      </c>
      <c r="F150" s="4">
        <f t="shared" si="63"/>
        <v>-2.7698403284173012</v>
      </c>
      <c r="G150" s="4">
        <f t="shared" si="64"/>
        <v>-2.7698403284173012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-2.1892958044367461</v>
      </c>
      <c r="C151">
        <f t="shared" si="62"/>
        <v>-8.4161739454858981</v>
      </c>
      <c r="D151" s="9">
        <f t="shared" si="61"/>
        <v>-2.1892958044367461</v>
      </c>
      <c r="E151">
        <f t="shared" si="61"/>
        <v>-8.4161739454858981</v>
      </c>
      <c r="F151" s="4">
        <f t="shared" si="63"/>
        <v>-2.7698403284173012</v>
      </c>
      <c r="G151" s="4">
        <f t="shared" si="64"/>
        <v>-2.7698403284173012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-2.1892958044367461</v>
      </c>
      <c r="C152">
        <f t="shared" si="62"/>
        <v>-8.4161739454858981</v>
      </c>
      <c r="D152" s="9">
        <f t="shared" si="61"/>
        <v>-2.1892958044367461</v>
      </c>
      <c r="E152">
        <f t="shared" si="61"/>
        <v>-8.4161739454858981</v>
      </c>
      <c r="F152" s="4">
        <f t="shared" si="63"/>
        <v>-2.7698403284173012</v>
      </c>
      <c r="G152" s="4">
        <f t="shared" si="64"/>
        <v>-2.7698403284173012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-2.1892958044367461</v>
      </c>
      <c r="C153">
        <f t="shared" si="62"/>
        <v>-8.4161739454858981</v>
      </c>
      <c r="D153" s="9">
        <f t="shared" si="61"/>
        <v>-2.1892958044367461</v>
      </c>
      <c r="E153">
        <f t="shared" si="61"/>
        <v>-8.4161739454858981</v>
      </c>
      <c r="F153" s="4">
        <f t="shared" si="63"/>
        <v>-2.7698403284173012</v>
      </c>
      <c r="G153" s="4">
        <f t="shared" si="64"/>
        <v>-2.7698403284173012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29.999999905288369</v>
      </c>
      <c r="C159" t="s">
        <v>36</v>
      </c>
    </row>
    <row r="160" spans="1:18" x14ac:dyDescent="0.25">
      <c r="A160" s="1" t="s">
        <v>106</v>
      </c>
      <c r="B160" s="4">
        <f>Q140+I122+Q154-O122</f>
        <v>127.79390903458233</v>
      </c>
      <c r="C160" t="s">
        <v>102</v>
      </c>
    </row>
    <row r="161" spans="1:9" x14ac:dyDescent="0.25">
      <c r="A161" s="1" t="s">
        <v>107</v>
      </c>
      <c r="B161" s="4">
        <f>R140+J122+R154-P122</f>
        <v>-111.66340839200687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29.999999905288369</v>
      </c>
      <c r="C164" t="s">
        <v>36</v>
      </c>
      <c r="E164" s="8">
        <f>B2-B164</f>
        <v>9.4711630538313329E-8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119.99999992145983</v>
      </c>
      <c r="C165" t="s">
        <v>102</v>
      </c>
      <c r="E165" s="8">
        <f>B3+B165</f>
        <v>-7.8540168146901124E-8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-119.99999991212022</v>
      </c>
      <c r="C166" t="s">
        <v>102</v>
      </c>
      <c r="E166" s="8">
        <f>B4+B166</f>
        <v>8.7879783450262039E-8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-1.8524160074350082</v>
      </c>
      <c r="C169" s="3">
        <f ca="1">A169+B169</f>
        <v>3.0128726180578269E-9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-9.9764368359118119E-10</v>
      </c>
      <c r="C175" s="27">
        <f>B65*SQRT(I175)</f>
        <v>6.9633373190854763E-8</v>
      </c>
      <c r="D175" s="27">
        <f>B66*SQRT(I175)</f>
        <v>2.7475769628310713E-8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-6.7261124424093349E-2</v>
      </c>
      <c r="C176" s="3">
        <f>B65+C175</f>
        <v>4.6946811324459619</v>
      </c>
      <c r="D176" s="3">
        <f>D175+B66</f>
        <v>1.8524160379236505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-9.9764368988175534E-10</v>
      </c>
      <c r="C177" s="27">
        <f>C176-B65</f>
        <v>6.9633372845601116E-8</v>
      </c>
      <c r="D177" s="27">
        <f>D176-B66</f>
        <v>2.7475769659446314E-8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-8.0465167081748667</v>
      </c>
      <c r="B181" s="25">
        <f>(d_alpha_p!E136-d_alpha_m!E136)/(2*B177)</f>
        <v>2.9286100323776756</v>
      </c>
      <c r="C181" s="25">
        <f>(d_alpha_p!E137-d_alpha_m!E137)/(2*B177)</f>
        <v>2.1892959757123753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-9.4711630538313329E-8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7.8540168146901124E-8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-8.7879783450262039E-8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-3.0128726180578269E-9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-8.0465167081748667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2.9286100323776756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2.1892959757123753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-8.0465167081748667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2.9286100323776756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2.1892959757123753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-6.7261121431162335E-2</v>
      </c>
      <c r="C64" t="s">
        <v>19</v>
      </c>
      <c r="D64" t="s">
        <v>34</v>
      </c>
      <c r="H64" s="17">
        <f>DEGREES(B64)</f>
        <v>-3.8537783833225334</v>
      </c>
      <c r="I64" t="s">
        <v>41</v>
      </c>
    </row>
    <row r="65" spans="1:18" x14ac:dyDescent="0.25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5.0934385916342819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-9.4161739411176235</v>
      </c>
      <c r="R76">
        <f>Q76</f>
        <v>-9.4161739411176235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9.4161739411176235</v>
      </c>
      <c r="R77">
        <f>Q77</f>
        <v>9.4161739411176235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-2.1892958212294311</v>
      </c>
      <c r="C84" s="1">
        <f t="shared" ref="C84:C92" si="23">(-1*B73*SIN($B$64))+(C73*COS($B$64))</f>
        <v>-8.4161739411176235</v>
      </c>
      <c r="H84" s="1">
        <f t="shared" ref="H84:H92" si="24">H73</f>
        <v>1</v>
      </c>
      <c r="I84" s="4">
        <f>(I73*COS($B$64))+(J73*SIN($B$64))</f>
        <v>-2.1892958212294311</v>
      </c>
      <c r="J84" s="1">
        <f>(-1*I73*SIN($B$64))+(J73*COS($B$64))</f>
        <v>-8.4161739411176235</v>
      </c>
    </row>
    <row r="85" spans="1:10" x14ac:dyDescent="0.25">
      <c r="A85" s="1">
        <f t="shared" si="21"/>
        <v>2</v>
      </c>
      <c r="B85" s="4">
        <f t="shared" si="22"/>
        <v>3.2982677076870286</v>
      </c>
      <c r="C85" s="1">
        <f t="shared" si="23"/>
        <v>-8.0465166456317583</v>
      </c>
      <c r="H85" s="1">
        <f t="shared" si="24"/>
        <v>2</v>
      </c>
      <c r="I85" s="4">
        <f t="shared" ref="I85:I92" si="25">(I74*COS($B$64))+(J74*SIN($B$64))</f>
        <v>-2.1892958212294311</v>
      </c>
      <c r="J85" s="1">
        <f t="shared" ref="J85:J92" si="26">(-1*I74*SIN($B$64))+(J74*COS($B$64))</f>
        <v>-8.4161739411176235</v>
      </c>
    </row>
    <row r="86" spans="1:10" x14ac:dyDescent="0.25">
      <c r="A86" s="1">
        <f t="shared" si="21"/>
        <v>3</v>
      </c>
      <c r="B86" s="4">
        <f t="shared" si="22"/>
        <v>2.9286104122011629</v>
      </c>
      <c r="C86" s="1">
        <f t="shared" si="23"/>
        <v>-2.5589531167152968</v>
      </c>
      <c r="H86" s="1">
        <f t="shared" si="24"/>
        <v>3</v>
      </c>
      <c r="I86" s="4">
        <f t="shared" si="25"/>
        <v>-2.1892958212294311</v>
      </c>
      <c r="J86" s="1">
        <f t="shared" si="26"/>
        <v>-8.4161739411176235</v>
      </c>
    </row>
    <row r="87" spans="1:10" x14ac:dyDescent="0.25">
      <c r="A87" s="1">
        <f t="shared" si="21"/>
        <v>4</v>
      </c>
      <c r="B87" s="4">
        <f t="shared" si="22"/>
        <v>8.4161739411176235</v>
      </c>
      <c r="C87" s="1">
        <f t="shared" si="23"/>
        <v>-2.1892958212294311</v>
      </c>
      <c r="H87" s="1">
        <f t="shared" si="24"/>
        <v>4</v>
      </c>
      <c r="I87" s="4">
        <f t="shared" si="25"/>
        <v>-2.1892958212294311</v>
      </c>
      <c r="J87" s="1">
        <f t="shared" si="26"/>
        <v>-8.4161739411176235</v>
      </c>
    </row>
    <row r="88" spans="1:10" x14ac:dyDescent="0.25">
      <c r="A88" s="1">
        <f t="shared" si="21"/>
        <v>5</v>
      </c>
      <c r="B88" s="4">
        <f t="shared" si="22"/>
        <v>8.0465166456317583</v>
      </c>
      <c r="C88" s="1">
        <f t="shared" si="23"/>
        <v>3.2982677076870286</v>
      </c>
      <c r="H88" s="1">
        <f t="shared" si="24"/>
        <v>5</v>
      </c>
      <c r="I88" s="4">
        <f t="shared" si="25"/>
        <v>-2.1892958212294311</v>
      </c>
      <c r="J88" s="1">
        <f t="shared" si="26"/>
        <v>-8.4161739411176235</v>
      </c>
    </row>
    <row r="89" spans="1:10" x14ac:dyDescent="0.25">
      <c r="A89" s="1">
        <f t="shared" si="21"/>
        <v>6</v>
      </c>
      <c r="B89" s="4">
        <f t="shared" si="22"/>
        <v>-2.9286104122011629</v>
      </c>
      <c r="C89" s="1">
        <f t="shared" si="23"/>
        <v>2.5589531167152968</v>
      </c>
      <c r="H89" s="1">
        <f t="shared" si="24"/>
        <v>6</v>
      </c>
      <c r="I89" s="4">
        <f t="shared" si="25"/>
        <v>-2.1892958212294311</v>
      </c>
      <c r="J89" s="1">
        <f t="shared" si="26"/>
        <v>-8.4161739411176235</v>
      </c>
    </row>
    <row r="90" spans="1:10" x14ac:dyDescent="0.25">
      <c r="A90" s="1">
        <f t="shared" si="21"/>
        <v>7</v>
      </c>
      <c r="B90" s="4">
        <f t="shared" si="22"/>
        <v>-2.1892958212294311</v>
      </c>
      <c r="C90" s="1">
        <f t="shared" si="23"/>
        <v>-8.4161739411176235</v>
      </c>
      <c r="H90" s="1">
        <f t="shared" si="24"/>
        <v>7</v>
      </c>
      <c r="I90" s="4">
        <f t="shared" si="25"/>
        <v>-2.1892958212294311</v>
      </c>
      <c r="J90" s="1">
        <f t="shared" si="26"/>
        <v>-8.4161739411176235</v>
      </c>
    </row>
    <row r="91" spans="1:10" x14ac:dyDescent="0.25">
      <c r="A91" s="1">
        <f t="shared" si="21"/>
        <v>8</v>
      </c>
      <c r="B91" s="4">
        <f t="shared" si="22"/>
        <v>-2.1892958212294311</v>
      </c>
      <c r="C91" s="1">
        <f t="shared" si="23"/>
        <v>-8.4161739411176235</v>
      </c>
      <c r="H91" s="1">
        <f t="shared" si="24"/>
        <v>8</v>
      </c>
      <c r="I91" s="4">
        <f t="shared" si="25"/>
        <v>-2.1892958212294311</v>
      </c>
      <c r="J91" s="1">
        <f t="shared" si="26"/>
        <v>-8.4161739411176235</v>
      </c>
    </row>
    <row r="92" spans="1:10" x14ac:dyDescent="0.25">
      <c r="A92" s="1">
        <f t="shared" si="21"/>
        <v>9</v>
      </c>
      <c r="B92" s="4">
        <f t="shared" si="22"/>
        <v>-2.1892958212294311</v>
      </c>
      <c r="C92" s="1">
        <f t="shared" si="23"/>
        <v>-8.4161739411176235</v>
      </c>
      <c r="H92" s="1">
        <f t="shared" si="24"/>
        <v>9</v>
      </c>
      <c r="I92" s="4">
        <f t="shared" si="25"/>
        <v>-2.1892958212294311</v>
      </c>
      <c r="J92" s="1">
        <f t="shared" si="26"/>
        <v>-8.4161739411176235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-0.79350321211199648</v>
      </c>
      <c r="C110" s="1">
        <f>(-1*B95*SIN($B$64))+(C95*COS($B$64))</f>
        <v>-6.8187500799169882</v>
      </c>
      <c r="D110" t="str">
        <f t="shared" ref="D110" si="31">D95</f>
        <v>y</v>
      </c>
      <c r="E110" s="4">
        <f t="shared" ref="E110:E121" si="32">IF($D110="y",$B$125-C110,0)</f>
        <v>5.4223367247914283</v>
      </c>
      <c r="F110" s="1">
        <f>IF($D110="y",B110,NA())</f>
        <v>-0.79350321211199648</v>
      </c>
      <c r="G110" s="1">
        <f>IF($D110="y",C110,NA())</f>
        <v>-6.8187500799169882</v>
      </c>
      <c r="H110">
        <f t="shared" ref="H110:H121" si="33">IF($E$122=0,0,-1*MAX(($B$67/$E$122)*(E110),0))</f>
        <v>-5.0934385999185343</v>
      </c>
      <c r="I110">
        <f>H110*C110</f>
        <v>34.730884860246782</v>
      </c>
      <c r="J110">
        <f>H110*B110*-1</f>
        <v>-4.0416598897305871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-5.2513137967187529E-4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1.7008438464863944</v>
      </c>
      <c r="C111" s="1">
        <f t="shared" ref="C111:C121" si="37">(-1*B96*SIN($B$64))+(C96*COS($B$64))</f>
        <v>-6.6507240365143225</v>
      </c>
      <c r="D111" t="str">
        <f t="shared" si="35"/>
        <v>y</v>
      </c>
      <c r="E111" s="4">
        <f t="shared" si="32"/>
        <v>5.2543106813887626</v>
      </c>
      <c r="F111" s="1">
        <f t="shared" ref="F111:G121" si="38">IF($D111="y",B111,NA())</f>
        <v>1.7008438464863944</v>
      </c>
      <c r="G111" s="1">
        <f t="shared" si="38"/>
        <v>-6.6507240365143225</v>
      </c>
      <c r="H111">
        <f t="shared" si="33"/>
        <v>-4.9356043711171784</v>
      </c>
      <c r="I111">
        <f t="shared" ref="I111:I121" si="39">H111*C111</f>
        <v>32.825342625714178</v>
      </c>
      <c r="J111">
        <f t="shared" ref="J111:J121" si="40">H111*B111*-1</f>
        <v>8.3946923233060033</v>
      </c>
      <c r="K111">
        <f ca="1">H111/$B$55</f>
        <v>-14.756903396874531</v>
      </c>
      <c r="L111">
        <f t="shared" ref="L111:L121" ca="1" si="41">K111/$B$54</f>
        <v>-5.0885873782325968E-4</v>
      </c>
      <c r="M111">
        <f t="shared" si="34"/>
        <v>-5.0885873699562355E-4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6.8187500799169882</v>
      </c>
      <c r="C112" s="1">
        <f t="shared" si="37"/>
        <v>-0.79350321211199648</v>
      </c>
      <c r="D112" t="str">
        <f t="shared" si="35"/>
        <v>y</v>
      </c>
      <c r="E112" s="4">
        <f t="shared" si="32"/>
        <v>-0.60291014301356394</v>
      </c>
      <c r="F112" s="1">
        <f t="shared" si="38"/>
        <v>6.8187500799169882</v>
      </c>
      <c r="G112" s="1">
        <f t="shared" si="38"/>
        <v>-0.79350321211199648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5.8389408715862966E-5</v>
      </c>
      <c r="N112">
        <f t="shared" si="42"/>
        <v>0.12334502672948784</v>
      </c>
      <c r="O112">
        <f t="shared" si="43"/>
        <v>-9.7874674907888662E-2</v>
      </c>
      <c r="P112">
        <f t="shared" si="44"/>
        <v>-0.84105891086905826</v>
      </c>
    </row>
    <row r="113" spans="1:16" x14ac:dyDescent="0.25">
      <c r="A113">
        <f t="shared" si="35"/>
        <v>4</v>
      </c>
      <c r="B113" s="1">
        <f t="shared" si="36"/>
        <v>6.6507240365143225</v>
      </c>
      <c r="C113" s="1">
        <f t="shared" si="37"/>
        <v>1.7008438464863944</v>
      </c>
      <c r="D113" t="str">
        <f t="shared" si="35"/>
        <v>y</v>
      </c>
      <c r="E113" s="4">
        <f t="shared" si="32"/>
        <v>-3.0972572016119546</v>
      </c>
      <c r="F113" s="1">
        <f t="shared" si="38"/>
        <v>6.6507240365143225</v>
      </c>
      <c r="G113" s="1">
        <f t="shared" si="38"/>
        <v>1.7008438464863944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2.9995683227210495E-4</v>
      </c>
      <c r="N113">
        <f t="shared" si="42"/>
        <v>0.63364545570819919</v>
      </c>
      <c r="O113">
        <f t="shared" si="43"/>
        <v>1.0777319741953577</v>
      </c>
      <c r="P113">
        <f t="shared" si="44"/>
        <v>-4.214201062906592</v>
      </c>
    </row>
    <row r="114" spans="1:16" x14ac:dyDescent="0.25">
      <c r="A114">
        <f t="shared" si="35"/>
        <v>5</v>
      </c>
      <c r="B114" s="1">
        <f t="shared" si="36"/>
        <v>-2.1892958212294311</v>
      </c>
      <c r="C114" s="1">
        <f t="shared" si="37"/>
        <v>-8.4161739411176235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-2.1892958212294311</v>
      </c>
      <c r="C115" s="1">
        <f t="shared" si="37"/>
        <v>-8.4161739411176235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-2.1892958212294311</v>
      </c>
      <c r="C116" s="1">
        <f t="shared" si="37"/>
        <v>-8.4161739411176235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-2.1892958212294311</v>
      </c>
      <c r="C117" s="1">
        <f t="shared" si="37"/>
        <v>-8.4161739411176235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-2.1892958212294311</v>
      </c>
      <c r="C118" s="1">
        <f t="shared" si="37"/>
        <v>-8.4161739411176235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-2.1892958212294311</v>
      </c>
      <c r="C119" s="1">
        <f t="shared" si="37"/>
        <v>-8.4161739411176235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-2.1892958212294311</v>
      </c>
      <c r="C120" s="1">
        <f t="shared" si="37"/>
        <v>-8.4161739411176235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-2.1892958212294311</v>
      </c>
      <c r="C121" s="1">
        <f t="shared" si="37"/>
        <v>-8.4161739411176235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5.4223367247914283</v>
      </c>
      <c r="H122">
        <f>SUM(H110:H121)</f>
        <v>-10.029042971035713</v>
      </c>
      <c r="I122">
        <f t="shared" ref="I122:J122" si="46">SUM(I110:I121)</f>
        <v>67.55622748596096</v>
      </c>
      <c r="J122">
        <f t="shared" si="46"/>
        <v>4.3530324335754162</v>
      </c>
      <c r="L122">
        <f ca="1">MIN(L110:L121)</f>
        <v>-5.2513138052597821E-4</v>
      </c>
      <c r="M122">
        <f>MIN(M110:M121)</f>
        <v>-5.2513137967187529E-4</v>
      </c>
      <c r="N122">
        <f>SUM(N110:N121)</f>
        <v>0.75699048243768707</v>
      </c>
      <c r="O122">
        <f>SUM(O110:O121)</f>
        <v>0.97985729928746901</v>
      </c>
      <c r="P122">
        <f>SUM(P110:P121)</f>
        <v>-5.0552599737756498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-1.3964133551255604</v>
      </c>
      <c r="F125" s="1" t="s">
        <v>27</v>
      </c>
      <c r="G125" s="1" t="s">
        <v>28</v>
      </c>
    </row>
    <row r="126" spans="1:16" x14ac:dyDescent="0.25">
      <c r="F126" s="4">
        <f>MIN(B84:B90)-1</f>
        <v>-3.9286104122011629</v>
      </c>
      <c r="G126" s="4">
        <f>B125</f>
        <v>-1.3964133551255604</v>
      </c>
    </row>
    <row r="127" spans="1:16" x14ac:dyDescent="0.25">
      <c r="F127" s="4">
        <f>MAX(B84:B90)+1</f>
        <v>9.4161739411176235</v>
      </c>
      <c r="G127" s="4">
        <f>G126</f>
        <v>-1.3964133551255604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-2.1892958212294311</v>
      </c>
      <c r="C132" s="4">
        <f>C84</f>
        <v>-8.4161739411176235</v>
      </c>
      <c r="D132" s="4">
        <f t="shared" ref="D132:E139" si="47">B85</f>
        <v>3.2982677076870286</v>
      </c>
      <c r="E132" s="4">
        <f t="shared" si="47"/>
        <v>-8.0465166456317583</v>
      </c>
      <c r="F132" s="4">
        <f t="shared" ref="F132:F139" si="48">($B$66/$B$65)*(C132-$B$125)</f>
        <v>-2.7698403203586901</v>
      </c>
      <c r="G132" s="4">
        <f t="shared" ref="G132:G139" si="49">($B$66/$B$65)*(E132-$B$125)</f>
        <v>-2.6239818300001052</v>
      </c>
      <c r="H132" s="4">
        <f>IF(B132=D132,"V",(C132-E132)/(B132-D132))</f>
        <v>6.7362736401678697E-2</v>
      </c>
      <c r="I132" s="4">
        <f>IF(H132="V",0,(-1*B132*H132)+C132)</f>
        <v>-8.2686969838068478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3.2982677076870286</v>
      </c>
      <c r="C133" s="4">
        <f t="shared" si="50"/>
        <v>-8.0465166456317583</v>
      </c>
      <c r="D133" s="4">
        <f t="shared" si="47"/>
        <v>2.9286104122011629</v>
      </c>
      <c r="E133" s="4">
        <f t="shared" si="47"/>
        <v>-2.5589531167152968</v>
      </c>
      <c r="F133" s="4">
        <f t="shared" si="48"/>
        <v>-2.6239818300001052</v>
      </c>
      <c r="G133" s="4">
        <f t="shared" si="49"/>
        <v>-0.45871215495540424</v>
      </c>
      <c r="H133" s="4">
        <f t="shared" ref="H133:H139" si="51">IF(B133=D133,"V",(C133-E133)/(B133-D133))</f>
        <v>-14.845002644148506</v>
      </c>
      <c r="I133" s="4">
        <f t="shared" ref="I133:I139" si="52">IF(H133="V",0,(-1*B133*H133)+C133)</f>
        <v>40.916276196091815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2.9286104122011629</v>
      </c>
      <c r="C134" s="4">
        <f t="shared" si="50"/>
        <v>-2.5589531167152968</v>
      </c>
      <c r="D134" s="4">
        <f t="shared" si="47"/>
        <v>8.4161739411176235</v>
      </c>
      <c r="E134" s="4">
        <f t="shared" si="47"/>
        <v>-2.1892958212294311</v>
      </c>
      <c r="F134" s="4">
        <f t="shared" si="48"/>
        <v>-0.45871215495540424</v>
      </c>
      <c r="G134" s="4">
        <f t="shared" si="49"/>
        <v>-0.3128536645968194</v>
      </c>
      <c r="H134" s="4">
        <f t="shared" si="51"/>
        <v>6.7362736401678766E-2</v>
      </c>
      <c r="I134" s="4">
        <f t="shared" si="52"/>
        <v>-2.7562323279356153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8.4161739411176235</v>
      </c>
      <c r="C135" s="4">
        <f t="shared" si="50"/>
        <v>-2.1892958212294311</v>
      </c>
      <c r="D135" s="4">
        <f t="shared" si="47"/>
        <v>8.0465166456317583</v>
      </c>
      <c r="E135" s="4">
        <f t="shared" si="47"/>
        <v>3.2982677076870286</v>
      </c>
      <c r="F135" s="4">
        <f t="shared" si="48"/>
        <v>-0.3128536645968194</v>
      </c>
      <c r="G135" s="4">
        <f t="shared" si="49"/>
        <v>1.8524160104478808</v>
      </c>
      <c r="H135" s="4">
        <f t="shared" si="51"/>
        <v>-14.845002644148519</v>
      </c>
      <c r="I135" s="4">
        <f t="shared" si="52"/>
        <v>122.74882858827554</v>
      </c>
      <c r="J135" s="4">
        <f t="shared" si="53"/>
        <v>8.3627632085559558</v>
      </c>
      <c r="K135" s="4">
        <f t="shared" si="54"/>
        <v>-1.3964133551255604</v>
      </c>
      <c r="L135" s="4">
        <f t="shared" si="55"/>
        <v>8.0465166456317583</v>
      </c>
      <c r="M135" s="4">
        <f t="shared" si="56"/>
        <v>3.2982677076870286</v>
      </c>
      <c r="N135" s="4">
        <f t="shared" si="57"/>
        <v>0</v>
      </c>
      <c r="O135" s="4">
        <f t="shared" si="57"/>
        <v>1.8524160104478808</v>
      </c>
      <c r="P135" s="4">
        <f t="shared" si="58"/>
        <v>35.446648681885762</v>
      </c>
      <c r="Q135" s="4">
        <f t="shared" si="59"/>
        <v>61.083647288950644</v>
      </c>
      <c r="R135" s="4">
        <f t="shared" si="60"/>
        <v>-144.49141770559555</v>
      </c>
    </row>
    <row r="136" spans="1:18" x14ac:dyDescent="0.25">
      <c r="A136" t="s">
        <v>73</v>
      </c>
      <c r="B136" s="4">
        <f t="shared" si="50"/>
        <v>8.0465166456317583</v>
      </c>
      <c r="C136" s="4">
        <f t="shared" si="50"/>
        <v>3.2982677076870286</v>
      </c>
      <c r="D136" s="4">
        <f t="shared" si="47"/>
        <v>-2.9286104122011629</v>
      </c>
      <c r="E136" s="4">
        <f t="shared" si="47"/>
        <v>2.5589531167152968</v>
      </c>
      <c r="F136" s="4">
        <f t="shared" si="48"/>
        <v>1.8524160104478808</v>
      </c>
      <c r="G136" s="4">
        <f t="shared" si="49"/>
        <v>1.5606990297307111</v>
      </c>
      <c r="H136" s="4">
        <f t="shared" si="51"/>
        <v>6.7362736401678808E-2</v>
      </c>
      <c r="I136" s="4">
        <f t="shared" si="52"/>
        <v>2.7562323279356158</v>
      </c>
      <c r="J136" s="4">
        <f t="shared" si="53"/>
        <v>8.0465166456317583</v>
      </c>
      <c r="K136" s="4">
        <f t="shared" si="54"/>
        <v>3.2982677076870286</v>
      </c>
      <c r="L136" s="4">
        <f t="shared" si="55"/>
        <v>-2.9286104122011629</v>
      </c>
      <c r="M136" s="4">
        <f t="shared" si="56"/>
        <v>2.5589531167152968</v>
      </c>
      <c r="N136" s="4">
        <f t="shared" si="57"/>
        <v>1.8524160104478808</v>
      </c>
      <c r="O136" s="4">
        <f t="shared" si="57"/>
        <v>1.5606990297307111</v>
      </c>
      <c r="P136" s="4">
        <f t="shared" si="58"/>
        <v>-3.4258383634698633</v>
      </c>
      <c r="Q136" s="4">
        <f t="shared" si="59"/>
        <v>-10.920063086878818</v>
      </c>
      <c r="R136" s="4">
        <f t="shared" si="60"/>
        <v>10.967908358042243</v>
      </c>
    </row>
    <row r="137" spans="1:18" x14ac:dyDescent="0.25">
      <c r="A137" t="s">
        <v>74</v>
      </c>
      <c r="B137" s="4">
        <f t="shared" si="50"/>
        <v>-2.9286104122011629</v>
      </c>
      <c r="C137" s="4">
        <f t="shared" si="50"/>
        <v>2.5589531167152968</v>
      </c>
      <c r="D137" s="4">
        <f t="shared" si="47"/>
        <v>-2.1892958212294311</v>
      </c>
      <c r="E137" s="4">
        <f t="shared" si="47"/>
        <v>-8.4161739411176235</v>
      </c>
      <c r="F137" s="4">
        <f t="shared" si="48"/>
        <v>1.5606990297307111</v>
      </c>
      <c r="G137" s="4">
        <f t="shared" si="49"/>
        <v>-2.7698403203586901</v>
      </c>
      <c r="H137" s="4">
        <f t="shared" si="51"/>
        <v>-14.845002644148494</v>
      </c>
      <c r="I137" s="4">
        <f t="shared" si="52"/>
        <v>-40.916276196091779</v>
      </c>
      <c r="J137" s="4">
        <f t="shared" si="53"/>
        <v>-2.9286104122011629</v>
      </c>
      <c r="K137" s="4">
        <f t="shared" si="54"/>
        <v>2.5589531167152968</v>
      </c>
      <c r="L137" s="4">
        <f t="shared" si="55"/>
        <v>-2.6621661031865091</v>
      </c>
      <c r="M137" s="4">
        <f t="shared" si="56"/>
        <v>-1.3964133551255604</v>
      </c>
      <c r="N137" s="4">
        <f t="shared" si="57"/>
        <v>1.5606990297307111</v>
      </c>
      <c r="O137" s="4">
        <f t="shared" si="57"/>
        <v>0</v>
      </c>
      <c r="P137" s="4">
        <f t="shared" si="58"/>
        <v>8.7652232297691199</v>
      </c>
      <c r="Q137" s="4">
        <f t="shared" si="59"/>
        <v>11.053954591574456</v>
      </c>
      <c r="R137" s="4">
        <f t="shared" si="60"/>
        <v>12.451808128405119</v>
      </c>
    </row>
    <row r="138" spans="1:18" x14ac:dyDescent="0.25">
      <c r="A138" t="s">
        <v>75</v>
      </c>
      <c r="B138" s="4">
        <f t="shared" si="50"/>
        <v>-2.1892958212294311</v>
      </c>
      <c r="C138" s="4">
        <f t="shared" si="50"/>
        <v>-8.4161739411176235</v>
      </c>
      <c r="D138" s="4">
        <f t="shared" si="47"/>
        <v>-2.1892958212294311</v>
      </c>
      <c r="E138" s="4">
        <f t="shared" si="47"/>
        <v>-8.4161739411176235</v>
      </c>
      <c r="F138" s="4">
        <f t="shared" si="48"/>
        <v>-2.7698403203586901</v>
      </c>
      <c r="G138" s="4">
        <f t="shared" si="49"/>
        <v>-2.7698403203586901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-2.1892958212294311</v>
      </c>
      <c r="C139" s="4">
        <f>E138</f>
        <v>-8.4161739411176235</v>
      </c>
      <c r="D139" s="4">
        <f t="shared" si="47"/>
        <v>-2.1892958212294311</v>
      </c>
      <c r="E139" s="4">
        <f t="shared" si="47"/>
        <v>-8.4161739411176235</v>
      </c>
      <c r="F139" s="4">
        <f t="shared" si="48"/>
        <v>-2.7698403203586901</v>
      </c>
      <c r="G139" s="4">
        <f t="shared" si="49"/>
        <v>-2.7698403203586901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40.786033548185017</v>
      </c>
      <c r="Q140" s="4">
        <f>SUM(Q132:Q139)</f>
        <v>61.217538793646284</v>
      </c>
      <c r="R140" s="4">
        <f>SUM(R132:R139)</f>
        <v>-121.07170121914818</v>
      </c>
    </row>
    <row r="142" spans="1:18" x14ac:dyDescent="0.25">
      <c r="O142" t="s">
        <v>96</v>
      </c>
      <c r="P142" s="1">
        <f>-1*R140/P140</f>
        <v>2.9684598056369689</v>
      </c>
    </row>
    <row r="143" spans="1:18" x14ac:dyDescent="0.25">
      <c r="O143" t="s">
        <v>97</v>
      </c>
      <c r="P143" s="1">
        <f>Q140/P140</f>
        <v>1.5009436679181682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-2.1892958212294311</v>
      </c>
      <c r="C146" s="9">
        <f>J84</f>
        <v>-8.4161739411176235</v>
      </c>
      <c r="D146" s="9">
        <f t="shared" ref="D146:E153" si="61">I85</f>
        <v>-2.1892958212294311</v>
      </c>
      <c r="E146">
        <f t="shared" si="61"/>
        <v>-8.4161739411176235</v>
      </c>
      <c r="F146" s="4">
        <f>($B$66/$B$65)*(C146-$B$125)</f>
        <v>-2.7698403203586901</v>
      </c>
      <c r="G146" s="4">
        <f>($B$66/$B$65)*(E146-$B$125)</f>
        <v>-2.7698403203586901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-2.1892958212294311</v>
      </c>
      <c r="C147">
        <f t="shared" si="62"/>
        <v>-8.4161739411176235</v>
      </c>
      <c r="D147" s="9">
        <f t="shared" si="61"/>
        <v>-2.1892958212294311</v>
      </c>
      <c r="E147">
        <f t="shared" si="61"/>
        <v>-8.4161739411176235</v>
      </c>
      <c r="F147" s="4">
        <f t="shared" ref="F147:F153" si="63">($B$66/$B$65)*(C147-$B$125)</f>
        <v>-2.7698403203586901</v>
      </c>
      <c r="G147" s="4">
        <f t="shared" ref="G147:G153" si="64">($B$66/$B$65)*(E147-$B$125)</f>
        <v>-2.7698403203586901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-2.1892958212294311</v>
      </c>
      <c r="C148">
        <f t="shared" si="62"/>
        <v>-8.4161739411176235</v>
      </c>
      <c r="D148" s="9">
        <f t="shared" si="61"/>
        <v>-2.1892958212294311</v>
      </c>
      <c r="E148">
        <f t="shared" si="61"/>
        <v>-8.4161739411176235</v>
      </c>
      <c r="F148" s="4">
        <f t="shared" si="63"/>
        <v>-2.7698403203586901</v>
      </c>
      <c r="G148" s="4">
        <f t="shared" si="64"/>
        <v>-2.7698403203586901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-2.1892958212294311</v>
      </c>
      <c r="C149">
        <f t="shared" si="62"/>
        <v>-8.4161739411176235</v>
      </c>
      <c r="D149" s="9">
        <f t="shared" si="61"/>
        <v>-2.1892958212294311</v>
      </c>
      <c r="E149">
        <f t="shared" si="61"/>
        <v>-8.4161739411176235</v>
      </c>
      <c r="F149" s="4">
        <f t="shared" si="63"/>
        <v>-2.7698403203586901</v>
      </c>
      <c r="G149" s="4">
        <f t="shared" si="64"/>
        <v>-2.7698403203586901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-2.1892958212294311</v>
      </c>
      <c r="C150">
        <f t="shared" si="62"/>
        <v>-8.4161739411176235</v>
      </c>
      <c r="D150" s="9">
        <f t="shared" si="61"/>
        <v>-2.1892958212294311</v>
      </c>
      <c r="E150">
        <f t="shared" si="61"/>
        <v>-8.4161739411176235</v>
      </c>
      <c r="F150" s="4">
        <f t="shared" si="63"/>
        <v>-2.7698403203586901</v>
      </c>
      <c r="G150" s="4">
        <f t="shared" si="64"/>
        <v>-2.7698403203586901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-2.1892958212294311</v>
      </c>
      <c r="C151">
        <f t="shared" si="62"/>
        <v>-8.4161739411176235</v>
      </c>
      <c r="D151" s="9">
        <f t="shared" si="61"/>
        <v>-2.1892958212294311</v>
      </c>
      <c r="E151">
        <f t="shared" si="61"/>
        <v>-8.4161739411176235</v>
      </c>
      <c r="F151" s="4">
        <f t="shared" si="63"/>
        <v>-2.7698403203586901</v>
      </c>
      <c r="G151" s="4">
        <f t="shared" si="64"/>
        <v>-2.7698403203586901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-2.1892958212294311</v>
      </c>
      <c r="C152">
        <f t="shared" si="62"/>
        <v>-8.4161739411176235</v>
      </c>
      <c r="D152" s="9">
        <f t="shared" si="61"/>
        <v>-2.1892958212294311</v>
      </c>
      <c r="E152">
        <f t="shared" si="61"/>
        <v>-8.4161739411176235</v>
      </c>
      <c r="F152" s="4">
        <f t="shared" si="63"/>
        <v>-2.7698403203586901</v>
      </c>
      <c r="G152" s="4">
        <f t="shared" si="64"/>
        <v>-2.7698403203586901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-2.1892958212294311</v>
      </c>
      <c r="C153">
        <f t="shared" si="62"/>
        <v>-8.4161739411176235</v>
      </c>
      <c r="D153" s="9">
        <f t="shared" si="61"/>
        <v>-2.1892958212294311</v>
      </c>
      <c r="E153">
        <f t="shared" si="61"/>
        <v>-8.4161739411176235</v>
      </c>
      <c r="F153" s="4">
        <f t="shared" si="63"/>
        <v>-2.7698403203586901</v>
      </c>
      <c r="G153" s="4">
        <f t="shared" si="64"/>
        <v>-2.7698403203586901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30.000000094711616</v>
      </c>
      <c r="C159" t="s">
        <v>36</v>
      </c>
    </row>
    <row r="160" spans="1:18" x14ac:dyDescent="0.25">
      <c r="A160" s="1" t="s">
        <v>106</v>
      </c>
      <c r="B160" s="4">
        <f>Q140+I122+Q154-O122</f>
        <v>127.79390898031976</v>
      </c>
      <c r="C160" t="s">
        <v>102</v>
      </c>
    </row>
    <row r="161" spans="1:9" x14ac:dyDescent="0.25">
      <c r="A161" s="1" t="s">
        <v>107</v>
      </c>
      <c r="B161" s="4">
        <f>R140+J122+R154-P122</f>
        <v>-111.66340881179711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30.000000094711616</v>
      </c>
      <c r="C164" t="s">
        <v>36</v>
      </c>
      <c r="E164" s="8">
        <f>B2-B164</f>
        <v>-9.4711616327458614E-8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120.00000007854015</v>
      </c>
      <c r="C165" t="s">
        <v>102</v>
      </c>
      <c r="E165" s="8">
        <f>B3+B165</f>
        <v>7.8540153936046408E-8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-120.00000008787976</v>
      </c>
      <c r="C166" t="s">
        <v>102</v>
      </c>
      <c r="E166" s="8">
        <f>B4+B166</f>
        <v>-8.7879755028552609E-8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-1.8524160134607532</v>
      </c>
      <c r="C169" s="3">
        <f ca="1">A169+B169</f>
        <v>-3.012872396013222E-9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-9.976436539962876E-10</v>
      </c>
      <c r="C175" s="27">
        <f>B65*SQRT(I175)</f>
        <v>6.9633373190854763E-8</v>
      </c>
      <c r="D175" s="27">
        <f>B66*SQRT(I175)</f>
        <v>2.7475769628310713E-8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-6.7261122428805983E-2</v>
      </c>
      <c r="C176" s="3">
        <f>B65+C175</f>
        <v>4.6946811324459619</v>
      </c>
      <c r="D176" s="3">
        <f>D175+B66</f>
        <v>1.8524160379236505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-9.9764364824839191E-10</v>
      </c>
      <c r="C177" s="27">
        <f>C176-B65</f>
        <v>6.9633372845601116E-8</v>
      </c>
      <c r="D177" s="27">
        <f>D176-B66</f>
        <v>2.7475769659446314E-8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-8.046517043969672</v>
      </c>
      <c r="B181" s="25">
        <f>(d_alpha_p!E136-d_alpha_m!E136)/(2*B177)</f>
        <v>2.928610154593545</v>
      </c>
      <c r="C181" s="25">
        <f>(d_alpha_p!E137-d_alpha_m!E137)/(2*B177)</f>
        <v>2.1892960670754138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9.4711616327458614E-8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-7.8540153936046408E-8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8.7879755028552609E-8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3.012872396013222E-9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-8.046517043969672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2.928610154593545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2.1892960670754138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-8.046517043969672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2.928610154593545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2.1892960670754138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4.6946811324459619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5.0934384589609536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5.4223366639772461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-5.0934385999185343</v>
      </c>
      <c r="I110">
        <f>H110*C110</f>
        <v>34.73088486427892</v>
      </c>
      <c r="J110">
        <f>H110*B110*-1</f>
        <v>-4.0416598550815408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-5.2513136599331082E-4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5.2543106180861106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-4.9356043670094607</v>
      </c>
      <c r="I111">
        <f t="shared" ref="I111:I121" si="39">H111*C111</f>
        <v>32.825342590019972</v>
      </c>
      <c r="J111">
        <f t="shared" ref="J111:J121" si="40">H111*B111*-1</f>
        <v>8.3946923490674124</v>
      </c>
      <c r="K111">
        <f ca="1">H111/$B$55</f>
        <v>-14.756903384592915</v>
      </c>
      <c r="L111">
        <f t="shared" ref="L111:L121" ca="1" si="41">K111/$B$54</f>
        <v>-5.0885873739975568E-4</v>
      </c>
      <c r="M111">
        <f t="shared" si="34"/>
        <v>-5.0885872331742315E-4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-0.60291021142206302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5.8389414474894435E-5</v>
      </c>
      <c r="N112">
        <f t="shared" si="42"/>
        <v>0.12334503889518546</v>
      </c>
      <c r="O112">
        <f t="shared" si="43"/>
        <v>-9.7874683722331643E-2</v>
      </c>
      <c r="P112">
        <f t="shared" si="44"/>
        <v>-0.84105899392155403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-3.097257269852824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2.9995683443187829E-4</v>
      </c>
      <c r="N113">
        <f t="shared" si="42"/>
        <v>0.63364546027062429</v>
      </c>
      <c r="O113">
        <f t="shared" si="43"/>
        <v>1.0777319861596015</v>
      </c>
      <c r="P113">
        <f t="shared" si="44"/>
        <v>-4.2142010921748296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5.4223366639772461</v>
      </c>
      <c r="H122">
        <f>SUM(H110:H121)</f>
        <v>-10.029042966927996</v>
      </c>
      <c r="I122">
        <f t="shared" ref="I122:J122" si="46">SUM(I110:I121)</f>
        <v>67.556227454298892</v>
      </c>
      <c r="J122">
        <f t="shared" si="46"/>
        <v>4.3530324939858716</v>
      </c>
      <c r="L122">
        <f ca="1">MIN(L110:L121)</f>
        <v>-5.2513138052597821E-4</v>
      </c>
      <c r="M122">
        <f>MIN(M110:M121)</f>
        <v>-5.2513136599331082E-4</v>
      </c>
      <c r="N122">
        <f>SUM(N110:N121)</f>
        <v>0.75699049916580974</v>
      </c>
      <c r="O122">
        <f>SUM(O110:O121)</f>
        <v>0.97985730243726987</v>
      </c>
      <c r="P122">
        <f>SUM(P110:P121)</f>
        <v>-5.0552600860963839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-1.3964134167313769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-1.3964134167313769</v>
      </c>
    </row>
    <row r="127" spans="1:16" x14ac:dyDescent="0.25">
      <c r="F127" s="4">
        <f>MAX(B84:B90)+1</f>
        <v>9.4161739433017591</v>
      </c>
      <c r="G127" s="4">
        <f>G126</f>
        <v>-1.3964134167313769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-2.7698402558288553</v>
      </c>
      <c r="G132" s="4">
        <f t="shared" ref="G132:G139" si="49">($B$66/$B$65)*(E132-$B$125)</f>
        <v>-2.623981765473534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-2.623981765473534</v>
      </c>
      <c r="G133" s="4">
        <f t="shared" si="49"/>
        <v>-0.45871212269048744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-0.45871212269048744</v>
      </c>
      <c r="G134" s="4">
        <f t="shared" si="49"/>
        <v>-0.312853632335166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-0.312853632335166</v>
      </c>
      <c r="G135" s="4">
        <f t="shared" si="49"/>
        <v>1.8524160104478808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8.3627632146610242</v>
      </c>
      <c r="K135" s="4">
        <f t="shared" si="54"/>
        <v>-1.3964134167313769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1.8524160104478808</v>
      </c>
      <c r="P135" s="4">
        <f t="shared" si="58"/>
        <v>35.44664920695471</v>
      </c>
      <c r="Q135" s="4">
        <f t="shared" si="59"/>
        <v>61.083647639590104</v>
      </c>
      <c r="R135" s="4">
        <f t="shared" si="60"/>
        <v>-144.49141984384406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1.8524160104478808</v>
      </c>
      <c r="G136" s="4">
        <f t="shared" si="49"/>
        <v>1.5606990297372381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1.8524160104478808</v>
      </c>
      <c r="O136" s="4">
        <f t="shared" si="57"/>
        <v>1.5606990297372381</v>
      </c>
      <c r="P136" s="4">
        <f t="shared" si="58"/>
        <v>-3.4258384105088386</v>
      </c>
      <c r="Q136" s="4">
        <f t="shared" si="59"/>
        <v>-10.920063259564726</v>
      </c>
      <c r="R136" s="4">
        <f t="shared" si="60"/>
        <v>10.967908509591588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1.5606990297372381</v>
      </c>
      <c r="G137" s="4">
        <f t="shared" si="49"/>
        <v>-2.7698402558288553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-2.6621660978223578</v>
      </c>
      <c r="M137" s="4">
        <f t="shared" si="56"/>
        <v>-1.3964134167313769</v>
      </c>
      <c r="N137" s="4">
        <f t="shared" si="57"/>
        <v>1.5606990297372381</v>
      </c>
      <c r="O137" s="4">
        <f t="shared" si="57"/>
        <v>0</v>
      </c>
      <c r="P137" s="4">
        <f t="shared" si="58"/>
        <v>8.7652233595859457</v>
      </c>
      <c r="Q137" s="4">
        <f t="shared" si="59"/>
        <v>11.053954566275648</v>
      </c>
      <c r="R137" s="4">
        <f t="shared" si="60"/>
        <v>12.451808312806449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-2.7698402558288553</v>
      </c>
      <c r="G138" s="4">
        <f t="shared" si="49"/>
        <v>-2.7698402558288553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-2.7698402558288553</v>
      </c>
      <c r="G139" s="4">
        <f t="shared" si="49"/>
        <v>-2.7698402558288553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40.786034156031818</v>
      </c>
      <c r="Q140" s="4">
        <f>SUM(Q132:Q139)</f>
        <v>61.217538946301026</v>
      </c>
      <c r="R140" s="4">
        <f>SUM(R132:R139)</f>
        <v>-121.07170302144603</v>
      </c>
    </row>
    <row r="142" spans="1:18" x14ac:dyDescent="0.25">
      <c r="O142" t="s">
        <v>96</v>
      </c>
      <c r="P142" s="1">
        <f>-1*R140/P140</f>
        <v>2.9684598055861926</v>
      </c>
    </row>
    <row r="143" spans="1:18" x14ac:dyDescent="0.25">
      <c r="O143" t="s">
        <v>97</v>
      </c>
      <c r="P143" s="1">
        <f>Q140/P140</f>
        <v>1.5009436492919626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-2.7698402558288553</v>
      </c>
      <c r="G146" s="4">
        <f>($B$66/$B$65)*(E146-$B$125)</f>
        <v>-2.7698402558288553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-2.7698402558288553</v>
      </c>
      <c r="G147" s="4">
        <f t="shared" ref="G147:G153" si="64">($B$66/$B$65)*(E147-$B$125)</f>
        <v>-2.7698402558288553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-2.7698402558288553</v>
      </c>
      <c r="G148" s="4">
        <f t="shared" si="64"/>
        <v>-2.7698402558288553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-2.7698402558288553</v>
      </c>
      <c r="G149" s="4">
        <f t="shared" si="64"/>
        <v>-2.7698402558288553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-2.7698402558288553</v>
      </c>
      <c r="G150" s="4">
        <f t="shared" si="64"/>
        <v>-2.7698402558288553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-2.7698402558288553</v>
      </c>
      <c r="G151" s="4">
        <f t="shared" si="64"/>
        <v>-2.7698402558288553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-2.7698402558288553</v>
      </c>
      <c r="G152" s="4">
        <f t="shared" si="64"/>
        <v>-2.7698402558288553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-2.7698402558288553</v>
      </c>
      <c r="G153" s="4">
        <f t="shared" si="64"/>
        <v>-2.7698402558288553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30.000000689938012</v>
      </c>
      <c r="C159" t="s">
        <v>36</v>
      </c>
    </row>
    <row r="160" spans="1:18" x14ac:dyDescent="0.25">
      <c r="A160" s="1" t="s">
        <v>106</v>
      </c>
      <c r="B160" s="4">
        <f>Q140+I122+Q154-O122</f>
        <v>127.79390909816266</v>
      </c>
      <c r="C160" t="s">
        <v>102</v>
      </c>
    </row>
    <row r="161" spans="1:9" x14ac:dyDescent="0.25">
      <c r="A161" s="1" t="s">
        <v>107</v>
      </c>
      <c r="B161" s="4">
        <f>R140+J122+R154-P122</f>
        <v>-111.66341044136377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30.000000689938012</v>
      </c>
      <c r="C164" t="s">
        <v>36</v>
      </c>
      <c r="E164" s="8">
        <f>B2-B164</f>
        <v>-6.8993801249916942E-7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119.99999996687549</v>
      </c>
      <c r="C165" t="s">
        <v>102</v>
      </c>
      <c r="E165" s="8">
        <f>B3+B165</f>
        <v>-3.3124507581305807E-8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-120.00000184139917</v>
      </c>
      <c r="C166" t="s">
        <v>102</v>
      </c>
      <c r="E166" s="8">
        <f>B4+B166</f>
        <v>-1.8413991682564301E-6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-1.8524160617122831</v>
      </c>
      <c r="C169" s="3">
        <f ca="1">A169+B169</f>
        <v>-5.1264402278761168E-8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6.9633374223684585E-8</v>
      </c>
      <c r="D175" s="27">
        <f>B66*SQRT(I175)</f>
        <v>2.7475769628310713E-8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4.6946812020793365</v>
      </c>
      <c r="D176" s="3">
        <f>D175+B66</f>
        <v>1.8524160379236505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6.9633374621957955E-8</v>
      </c>
      <c r="D177" s="27">
        <f>D176-B66</f>
        <v>2.7475769659446314E-8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6.8993801249916942E-7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3.3124507581305807E-8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1.8413991682564301E-6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5.1264402278761168E-8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4.6946809931792162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x14ac:dyDescent="0.25">
      <c r="A67" s="1" t="s">
        <v>37</v>
      </c>
      <c r="B67" s="17">
        <f>'Rigid Bearing Plate Analysis'!B67</f>
        <v>5.0934385999185343</v>
      </c>
      <c r="C67" t="s">
        <v>36</v>
      </c>
      <c r="D67" t="s">
        <v>122</v>
      </c>
      <c r="G67" s="20">
        <f ca="1">($B$56*$B$66*$B$55*$E$122)/$B$65</f>
        <v>5.0934387408761186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5.4223368032439918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-5.0934385999185343</v>
      </c>
      <c r="I110">
        <f>H110*C110</f>
        <v>34.73088486427892</v>
      </c>
      <c r="J110">
        <f>H110*B110*-1</f>
        <v>-4.0416598550815408</v>
      </c>
      <c r="K110">
        <f ca="1">H110/$B$55</f>
        <v>-15.228810035253368</v>
      </c>
      <c r="L110">
        <f ca="1">K110/$B$54</f>
        <v>-5.2513138052597821E-4</v>
      </c>
      <c r="M110">
        <f t="shared" ref="M110:M121" si="34">IFERROR(($D$66/$B$65)*(G110-$B$125),0)</f>
        <v>-5.2513139505864603E-4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5.2543107573528562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-4.9356043710632589</v>
      </c>
      <c r="I111">
        <f t="shared" ref="I111:I121" si="39">H111*C111</f>
        <v>32.825342616980663</v>
      </c>
      <c r="J111">
        <f t="shared" ref="J111:J121" si="40">H111*B111*-1</f>
        <v>8.3946923559622899</v>
      </c>
      <c r="K111">
        <f ca="1">H111/$B$55</f>
        <v>-14.756903396713318</v>
      </c>
      <c r="L111">
        <f t="shared" ref="L111:L121" ca="1" si="41">K111/$B$54</f>
        <v>-5.0885873781770065E-4</v>
      </c>
      <c r="M111">
        <f t="shared" si="34"/>
        <v>-5.0885875190003372E-4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-0.60291007215531733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5.8389402719583185E-5</v>
      </c>
      <c r="N112">
        <f t="shared" si="42"/>
        <v>0.12334501406261372</v>
      </c>
      <c r="O112">
        <f t="shared" si="43"/>
        <v>-9.7874664017606375E-2</v>
      </c>
      <c r="P112">
        <f t="shared" si="44"/>
        <v>-0.84105882459445347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-3.0972571305860783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2.9995682984261486E-4</v>
      </c>
      <c r="N113">
        <f t="shared" si="42"/>
        <v>0.63364545057600952</v>
      </c>
      <c r="O113">
        <f t="shared" si="43"/>
        <v>1.0777319696705756</v>
      </c>
      <c r="P113">
        <f t="shared" si="44"/>
        <v>-4.2142010276986221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5.4223368032439918</v>
      </c>
      <c r="H122">
        <f>SUM(H110:H121)</f>
        <v>-10.029042970981793</v>
      </c>
      <c r="I122">
        <f t="shared" ref="I122:J122" si="46">SUM(I110:I121)</f>
        <v>67.556227481259583</v>
      </c>
      <c r="J122">
        <f t="shared" si="46"/>
        <v>4.3530325008807491</v>
      </c>
      <c r="L122">
        <f ca="1">MIN(L110:L121)</f>
        <v>-5.2513138052597821E-4</v>
      </c>
      <c r="M122">
        <f>MIN(M110:M121)</f>
        <v>-5.2513139505864603E-4</v>
      </c>
      <c r="N122">
        <f>SUM(N110:N121)</f>
        <v>0.75699046463862318</v>
      </c>
      <c r="O122">
        <f>SUM(O110:O121)</f>
        <v>0.97985730565296925</v>
      </c>
      <c r="P122">
        <f>SUM(P110:P121)</f>
        <v>-5.0552598522930756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-1.3964132774646312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-1.3964132774646312</v>
      </c>
    </row>
    <row r="127" spans="1:16" x14ac:dyDescent="0.25">
      <c r="F127" s="4">
        <f>MAX(B84:B90)+1</f>
        <v>9.4161739433017591</v>
      </c>
      <c r="G127" s="4">
        <f>G126</f>
        <v>-1.3964132774646312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-2.7698403929471365</v>
      </c>
      <c r="G132" s="4">
        <f t="shared" ref="G132:G139" si="49">($B$66/$B$65)*(E132-$B$125)</f>
        <v>-2.6239818982649532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-2.6239818982649532</v>
      </c>
      <c r="G133" s="4">
        <f t="shared" si="49"/>
        <v>-0.45871219124962798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-0.45871219124962798</v>
      </c>
      <c r="G134" s="4">
        <f t="shared" si="49"/>
        <v>-0.31285369656744444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-0.31285369656744444</v>
      </c>
      <c r="G135" s="4">
        <f t="shared" si="49"/>
        <v>1.8524160104478808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8.3627632052796343</v>
      </c>
      <c r="K135" s="4">
        <f t="shared" si="54"/>
        <v>-1.3964132774646312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1.8524160104478808</v>
      </c>
      <c r="P135" s="4">
        <f t="shared" si="58"/>
        <v>35.446648141839638</v>
      </c>
      <c r="Q135" s="4">
        <f t="shared" si="59"/>
        <v>61.083647470778509</v>
      </c>
      <c r="R135" s="4">
        <f t="shared" si="60"/>
        <v>-144.49141544597299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1.8524160104478808</v>
      </c>
      <c r="G136" s="4">
        <f t="shared" si="49"/>
        <v>1.5606990210835141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1.8524160104478808</v>
      </c>
      <c r="O136" s="4">
        <f t="shared" si="57"/>
        <v>1.5606990210835141</v>
      </c>
      <c r="P136" s="4">
        <f t="shared" si="58"/>
        <v>-3.4258384081743833</v>
      </c>
      <c r="Q136" s="4">
        <f t="shared" si="59"/>
        <v>-10.920063251573653</v>
      </c>
      <c r="R136" s="4">
        <f t="shared" si="60"/>
        <v>10.967908498036456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1.5606990210835141</v>
      </c>
      <c r="G137" s="4">
        <f t="shared" si="49"/>
        <v>-2.7698403929471365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-2.6621661072037468</v>
      </c>
      <c r="M137" s="4">
        <f t="shared" si="56"/>
        <v>-1.3964132774646312</v>
      </c>
      <c r="N137" s="4">
        <f t="shared" si="57"/>
        <v>1.5606990210835141</v>
      </c>
      <c r="O137" s="4">
        <f t="shared" si="57"/>
        <v>0</v>
      </c>
      <c r="P137" s="4">
        <f t="shared" si="58"/>
        <v>8.7652230120171364</v>
      </c>
      <c r="Q137" s="4">
        <f t="shared" si="59"/>
        <v>11.053954521927908</v>
      </c>
      <c r="R137" s="4">
        <f t="shared" si="60"/>
        <v>12.45180783232256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-2.7698403929471365</v>
      </c>
      <c r="G138" s="4">
        <f t="shared" si="49"/>
        <v>-2.7698403929471365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-2.7698403929471365</v>
      </c>
      <c r="G139" s="4">
        <f t="shared" si="49"/>
        <v>-2.7698403929471365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40.786032745682391</v>
      </c>
      <c r="Q140" s="4">
        <f>SUM(Q132:Q139)</f>
        <v>61.217538741132763</v>
      </c>
      <c r="R140" s="4">
        <f>SUM(R132:R139)</f>
        <v>-121.07169911561398</v>
      </c>
    </row>
    <row r="142" spans="1:18" x14ac:dyDescent="0.25">
      <c r="O142" t="s">
        <v>96</v>
      </c>
      <c r="P142" s="1">
        <f>-1*R140/P140</f>
        <v>2.9684598124692729</v>
      </c>
    </row>
    <row r="143" spans="1:18" x14ac:dyDescent="0.25">
      <c r="O143" t="s">
        <v>97</v>
      </c>
      <c r="P143" s="1">
        <f>Q140/P140</f>
        <v>1.5009436961630755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-2.7698403929471365</v>
      </c>
      <c r="G146" s="4">
        <f>($B$66/$B$65)*(E146-$B$125)</f>
        <v>-2.7698403929471365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-2.7698403929471365</v>
      </c>
      <c r="G147" s="4">
        <f t="shared" ref="G147:G153" si="64">($B$66/$B$65)*(E147-$B$125)</f>
        <v>-2.7698403929471365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-2.7698403929471365</v>
      </c>
      <c r="G148" s="4">
        <f t="shared" si="64"/>
        <v>-2.7698403929471365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-2.7698403929471365</v>
      </c>
      <c r="G149" s="4">
        <f t="shared" si="64"/>
        <v>-2.7698403929471365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-2.7698403929471365</v>
      </c>
      <c r="G150" s="4">
        <f t="shared" si="64"/>
        <v>-2.7698403929471365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-2.7698403929471365</v>
      </c>
      <c r="G151" s="4">
        <f t="shared" si="64"/>
        <v>-2.7698403929471365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-2.7698403929471365</v>
      </c>
      <c r="G152" s="4">
        <f t="shared" si="64"/>
        <v>-2.7698403929471365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-2.7698403929471365</v>
      </c>
      <c r="G153" s="4">
        <f t="shared" si="64"/>
        <v>-2.7698403929471365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29.999999310061977</v>
      </c>
      <c r="C159" t="s">
        <v>36</v>
      </c>
    </row>
    <row r="160" spans="1:18" x14ac:dyDescent="0.25">
      <c r="A160" s="1" t="s">
        <v>106</v>
      </c>
      <c r="B160" s="4">
        <f>Q140+I122+Q154-O122</f>
        <v>127.79390891673937</v>
      </c>
      <c r="C160" t="s">
        <v>102</v>
      </c>
    </row>
    <row r="161" spans="1:9" x14ac:dyDescent="0.25">
      <c r="A161" s="1" t="s">
        <v>107</v>
      </c>
      <c r="B161" s="4">
        <f>R140+J122+R154-P122</f>
        <v>-111.66340676244016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29.999999310061977</v>
      </c>
      <c r="C164" t="s">
        <v>36</v>
      </c>
      <c r="E164" s="8">
        <f>B2-B164</f>
        <v>6.8993802315731045E-7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120.00000003312445</v>
      </c>
      <c r="C165" t="s">
        <v>102</v>
      </c>
      <c r="E165" s="8">
        <f>B3+B165</f>
        <v>3.3124450737886946E-8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-119.99999815860073</v>
      </c>
      <c r="C166" t="s">
        <v>102</v>
      </c>
      <c r="E166" s="8">
        <f>B4+B166</f>
        <v>1.8413992677324131E-6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-1.8524159591834797</v>
      </c>
      <c r="C169" s="3">
        <f ca="1">A169+B169</f>
        <v>5.1264401168538143E-8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6.9633372158024927E-8</v>
      </c>
      <c r="D175" s="27">
        <f>B66*SQRT(I175)</f>
        <v>2.7475769628310713E-8</v>
      </c>
      <c r="E175" s="27">
        <f>B67*SQRT(I175)</f>
        <v>7.5547903277660975E-8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4.6946810628125881</v>
      </c>
      <c r="D176" s="3">
        <f>D175+B66</f>
        <v>1.8524160379236505</v>
      </c>
      <c r="E176" s="3">
        <f>B67+E175</f>
        <v>5.0934386754664374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6.9633371957422696E-8</v>
      </c>
      <c r="D177" s="27">
        <f>D176-B66</f>
        <v>2.7475769659446314E-8</v>
      </c>
      <c r="E177" s="27">
        <f>E176-B67</f>
        <v>7.5547903044537179E-8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-6.8993802315731045E-7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-3.3124450737886946E-8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-1.8413992677324131E-6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-5.1264401168538143E-8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x14ac:dyDescent="0.25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5.0934386754664374</v>
      </c>
      <c r="C67" t="s">
        <v>36</v>
      </c>
      <c r="D67" t="s">
        <v>122</v>
      </c>
      <c r="G67" s="20">
        <f ca="1">($B$56*$B$66*$B$55*$E$122)/$B$65</f>
        <v>5.0934385999185343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5.422336733610619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-5.0934386754664374</v>
      </c>
      <c r="I110">
        <f>H110*C110</f>
        <v>34.730885379421188</v>
      </c>
      <c r="J110">
        <f>H110*B110*-1</f>
        <v>-4.0416599150290438</v>
      </c>
      <c r="K110">
        <f ca="1">H110/$B$55</f>
        <v>-15.228810261133123</v>
      </c>
      <c r="L110">
        <f ca="1">K110/$B$54</f>
        <v>-5.251313883149353E-4</v>
      </c>
      <c r="M110">
        <f t="shared" ref="M110:M121" si="34">IFERROR(($D$66/$B$65)*(G110-$B$125),0)</f>
        <v>-5.2513138052597821E-4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5.2543106877194834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-4.9356044422432035</v>
      </c>
      <c r="I111">
        <f t="shared" ref="I111:I121" si="39">H111*C111</f>
        <v>32.82534309037883</v>
      </c>
      <c r="J111">
        <f t="shared" ref="J111:J121" si="40">H111*B111*-1</f>
        <v>8.3946924770282614</v>
      </c>
      <c r="K111">
        <f ca="1">H111/$B$55</f>
        <v>-14.756903609533367</v>
      </c>
      <c r="L111">
        <f t="shared" ref="L111:L121" ca="1" si="41">K111/$B$54</f>
        <v>-5.0885874515632298E-4</v>
      </c>
      <c r="M111">
        <f t="shared" si="34"/>
        <v>-5.0885873760872827E-4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-0.60291014178869018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5.8389408597238895E-5</v>
      </c>
      <c r="N112">
        <f t="shared" si="42"/>
        <v>0.12334502647889978</v>
      </c>
      <c r="O112">
        <f t="shared" si="43"/>
        <v>-9.7874673869969162E-2</v>
      </c>
      <c r="P112">
        <f t="shared" si="44"/>
        <v>-0.84105890925800508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-3.0972572002194512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2.9995683213724663E-4</v>
      </c>
      <c r="N113">
        <f t="shared" si="42"/>
        <v>0.63364545542331696</v>
      </c>
      <c r="O113">
        <f t="shared" si="43"/>
        <v>1.0777319779150887</v>
      </c>
      <c r="P113">
        <f t="shared" si="44"/>
        <v>-4.2142010599367268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5.422336733610619</v>
      </c>
      <c r="H122">
        <f>SUM(H110:H121)</f>
        <v>-10.029043117709641</v>
      </c>
      <c r="I122">
        <f t="shared" ref="I122:J122" si="46">SUM(I110:I121)</f>
        <v>67.556228469800018</v>
      </c>
      <c r="J122">
        <f t="shared" si="46"/>
        <v>4.3530325619992176</v>
      </c>
      <c r="L122">
        <f ca="1">MIN(L110:L121)</f>
        <v>-5.251313883149353E-4</v>
      </c>
      <c r="M122">
        <f>MIN(M110:M121)</f>
        <v>-5.2513138052597821E-4</v>
      </c>
      <c r="N122">
        <f>SUM(N110:N121)</f>
        <v>0.75699048190221674</v>
      </c>
      <c r="O122">
        <f>SUM(O110:O121)</f>
        <v>0.9798573040451195</v>
      </c>
      <c r="P122">
        <f>SUM(P110:P121)</f>
        <v>-5.055259969194732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-1.396413347098004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-1.396413347098004</v>
      </c>
    </row>
    <row r="127" spans="1:16" x14ac:dyDescent="0.25">
      <c r="F127" s="4">
        <f>MAX(B84:B90)+1</f>
        <v>9.4161739433017591</v>
      </c>
      <c r="G127" s="4">
        <f>G126</f>
        <v>-1.396413347098004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-2.7698403243879945</v>
      </c>
      <c r="G132" s="4">
        <f t="shared" ref="G132:G139" si="49">($B$66/$B$65)*(E132-$B$125)</f>
        <v>-2.6239818318692425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-2.6239818318692425</v>
      </c>
      <c r="G133" s="4">
        <f t="shared" si="49"/>
        <v>-0.45871215697005724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-0.45871215697005724</v>
      </c>
      <c r="G134" s="4">
        <f t="shared" si="49"/>
        <v>-0.31285366445130475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-0.31285366445130475</v>
      </c>
      <c r="G135" s="4">
        <f t="shared" si="49"/>
        <v>1.8524160104478808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8.3627632099703302</v>
      </c>
      <c r="K135" s="4">
        <f t="shared" si="54"/>
        <v>-1.396413347098004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1.8524160104478808</v>
      </c>
      <c r="P135" s="4">
        <f t="shared" si="58"/>
        <v>35.446648674397174</v>
      </c>
      <c r="Q135" s="4">
        <f t="shared" si="59"/>
        <v>61.083647555184328</v>
      </c>
      <c r="R135" s="4">
        <f t="shared" si="60"/>
        <v>-144.49141764490855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1.8524160104478808</v>
      </c>
      <c r="G136" s="4">
        <f t="shared" si="49"/>
        <v>1.5606990254103761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1.8524160104478808</v>
      </c>
      <c r="O136" s="4">
        <f t="shared" si="57"/>
        <v>1.5606990254103761</v>
      </c>
      <c r="P136" s="4">
        <f t="shared" si="58"/>
        <v>-3.425838409341611</v>
      </c>
      <c r="Q136" s="4">
        <f t="shared" si="59"/>
        <v>-10.920063255569188</v>
      </c>
      <c r="R136" s="4">
        <f t="shared" si="60"/>
        <v>10.967908503814025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1.5606990254103761</v>
      </c>
      <c r="G137" s="4">
        <f t="shared" si="49"/>
        <v>-2.7698403243879945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-2.6621661025130523</v>
      </c>
      <c r="M137" s="4">
        <f t="shared" si="56"/>
        <v>-1.396413347098004</v>
      </c>
      <c r="N137" s="4">
        <f t="shared" si="57"/>
        <v>1.5606990254103761</v>
      </c>
      <c r="O137" s="4">
        <f t="shared" si="57"/>
        <v>0</v>
      </c>
      <c r="P137" s="4">
        <f t="shared" si="58"/>
        <v>8.7652231858015401</v>
      </c>
      <c r="Q137" s="4">
        <f t="shared" si="59"/>
        <v>11.053954544101783</v>
      </c>
      <c r="R137" s="4">
        <f t="shared" si="60"/>
        <v>12.451808072564507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-2.7698403243879945</v>
      </c>
      <c r="G138" s="4">
        <f t="shared" si="49"/>
        <v>-2.7698403243879945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-2.7698403243879945</v>
      </c>
      <c r="G139" s="4">
        <f t="shared" si="49"/>
        <v>-2.7698403243879945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40.786033450857104</v>
      </c>
      <c r="Q140" s="4">
        <f>SUM(Q132:Q139)</f>
        <v>61.217538843716923</v>
      </c>
      <c r="R140" s="4">
        <f>SUM(R132:R139)</f>
        <v>-121.07170106853003</v>
      </c>
    </row>
    <row r="142" spans="1:18" x14ac:dyDescent="0.25">
      <c r="O142" t="s">
        <v>96</v>
      </c>
      <c r="P142" s="1">
        <f>-1*R140/P140</f>
        <v>2.9684598090277334</v>
      </c>
    </row>
    <row r="143" spans="1:18" x14ac:dyDescent="0.25">
      <c r="O143" t="s">
        <v>97</v>
      </c>
      <c r="P143" s="1">
        <f>Q140/P140</f>
        <v>1.5009436727275194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-2.7698403243879945</v>
      </c>
      <c r="G146" s="4">
        <f>($B$66/$B$65)*(E146-$B$125)</f>
        <v>-2.7698403243879945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-2.7698403243879945</v>
      </c>
      <c r="G147" s="4">
        <f t="shared" ref="G147:G153" si="64">($B$66/$B$65)*(E147-$B$125)</f>
        <v>-2.7698403243879945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-2.7698403243879945</v>
      </c>
      <c r="G148" s="4">
        <f t="shared" si="64"/>
        <v>-2.7698403243879945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-2.7698403243879945</v>
      </c>
      <c r="G149" s="4">
        <f t="shared" si="64"/>
        <v>-2.7698403243879945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-2.7698403243879945</v>
      </c>
      <c r="G150" s="4">
        <f t="shared" si="64"/>
        <v>-2.7698403243879945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-2.7698403243879945</v>
      </c>
      <c r="G151" s="4">
        <f t="shared" si="64"/>
        <v>-2.7698403243879945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-2.7698403243879945</v>
      </c>
      <c r="G152" s="4">
        <f t="shared" si="64"/>
        <v>-2.7698403243879945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-2.7698403243879945</v>
      </c>
      <c r="G153" s="4">
        <f t="shared" si="64"/>
        <v>-2.7698403243879945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29.999999851245246</v>
      </c>
      <c r="C159" t="s">
        <v>36</v>
      </c>
    </row>
    <row r="160" spans="1:18" x14ac:dyDescent="0.25">
      <c r="A160" s="1" t="s">
        <v>106</v>
      </c>
      <c r="B160" s="4">
        <f>Q140+I122+Q154-O122</f>
        <v>127.79391000947182</v>
      </c>
      <c r="C160" t="s">
        <v>102</v>
      </c>
    </row>
    <row r="161" spans="1:9" x14ac:dyDescent="0.25">
      <c r="A161" s="1" t="s">
        <v>107</v>
      </c>
      <c r="B161" s="4">
        <f>R140+J122+R154-P122</f>
        <v>-111.66340853733608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29.999999851245246</v>
      </c>
      <c r="C164" t="s">
        <v>36</v>
      </c>
      <c r="E164" s="8">
        <f>B2-B164</f>
        <v>1.4875475429221297E-7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120.00000100409453</v>
      </c>
      <c r="C165" t="s">
        <v>102</v>
      </c>
      <c r="E165" s="8">
        <f>B3+B165</f>
        <v>1.0040945284117697E-6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-120.0000000029263</v>
      </c>
      <c r="C166" t="s">
        <v>102</v>
      </c>
      <c r="E166" s="8">
        <f>B4+B166</f>
        <v>-2.9262992029543966E-9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-1.8524160379236501</v>
      </c>
      <c r="C169" s="3">
        <f ca="1">A169+B169</f>
        <v>-2.7475769215357104E-8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6.9633373190854763E-8</v>
      </c>
      <c r="D175" s="27">
        <f>B66*SQRT(I175)</f>
        <v>2.7475769628310713E-8</v>
      </c>
      <c r="E175" s="27">
        <f>B67*SQRT(I175)</f>
        <v>7.5547904398217457E-8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4.6946811324459619</v>
      </c>
      <c r="D176" s="3">
        <f>D175+B66</f>
        <v>1.8524160379236505</v>
      </c>
      <c r="E176" s="3">
        <f>B67+E175</f>
        <v>5.0934387510143422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6.9633372845601116E-8</v>
      </c>
      <c r="D177" s="27">
        <f>D176-B66</f>
        <v>2.7475769659446314E-8</v>
      </c>
      <c r="E177" s="27">
        <f>E176-B67</f>
        <v>7.5547904820894018E-8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-1.4875475429221297E-7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-1.0040945284117697E-6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2.9262992029543966E-9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2.7475769215357104E-8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-120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-0.61822475045615544</v>
      </c>
      <c r="J3" t="s">
        <v>11</v>
      </c>
    </row>
    <row r="4" spans="1:29" x14ac:dyDescent="0.25">
      <c r="A4" s="10" t="s">
        <v>80</v>
      </c>
      <c r="B4" s="17">
        <f>'Rigid Bearing Plate Analysis'!B4</f>
        <v>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0.48084147257700977</v>
      </c>
      <c r="J4" t="s">
        <v>11</v>
      </c>
    </row>
    <row r="5" spans="1:29" x14ac:dyDescent="0.25">
      <c r="A5" s="10" t="s">
        <v>104</v>
      </c>
      <c r="B5" s="20">
        <f>ATAN2(B3,B4)</f>
        <v>2.3561944901923448</v>
      </c>
      <c r="C5" t="s">
        <v>19</v>
      </c>
      <c r="I5">
        <f>SUM(I2:I4)</f>
        <v>0.19319523451754855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2.75</v>
      </c>
      <c r="C9" s="17">
        <f>'Rigid Bearing Plate Analysis'!C9</f>
        <v>8.25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-1601.359375</v>
      </c>
      <c r="O13" s="19">
        <f>H22-(D22*B9*B9)</f>
        <v>2058.890625</v>
      </c>
      <c r="P13" s="19">
        <f>I22-(D22*B9*C9)</f>
        <v>915.0625</v>
      </c>
      <c r="Q13" s="19">
        <f>N13+O13</f>
        <v>457.53125</v>
      </c>
      <c r="R13" s="19">
        <f>SQRT(ABS(N13/D22))</f>
        <v>4.2006943870428533</v>
      </c>
      <c r="S13" s="19">
        <f>SQRT(O13/D22)</f>
        <v>4.7631397208144124</v>
      </c>
      <c r="T13" s="19">
        <f>SQRT(Q13/D22)</f>
        <v>2.2453655975512468</v>
      </c>
      <c r="U13" s="19">
        <f>N13/(MAX(C13:C20)-C9)</f>
        <v>-582.3125</v>
      </c>
      <c r="V13" s="19">
        <f>N13/(MIN(C13:C20)-C9)</f>
        <v>194.10416666666666</v>
      </c>
      <c r="W13" s="19">
        <f>O13/(MIN(B13:B20)-B9)</f>
        <v>-748.6875</v>
      </c>
      <c r="X13" s="19">
        <f>O13/(MAX(B13:B20)-B9)</f>
        <v>249.5625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194.10416666666666</v>
      </c>
      <c r="Z14">
        <f>$O$13/(B14-$B$9)</f>
        <v>748.6875</v>
      </c>
      <c r="AA14">
        <f>$B$3/Y14</f>
        <v>-0.61822475045615544</v>
      </c>
      <c r="AB14">
        <f>$B$4/Z14</f>
        <v>0.16028049085900326</v>
      </c>
      <c r="AC14">
        <f>$I$2+AA14+AB14</f>
        <v>-0.12736574720045796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582.3125</v>
      </c>
      <c r="Z15">
        <f t="shared" ref="Z15:Z21" si="9">$O$13/(B15-$B$9)</f>
        <v>748.6875</v>
      </c>
      <c r="AA15">
        <f t="shared" ref="AA15:AA20" si="10">$B$3/Y15</f>
        <v>-0.20607491681871848</v>
      </c>
      <c r="AB15">
        <f t="shared" ref="AB15:AB21" si="11">$B$4/Z15</f>
        <v>0.16028049085900326</v>
      </c>
      <c r="AC15">
        <f t="shared" ref="AC15:AC20" si="12">$I$2+AA15+AB15</f>
        <v>0.284784086436979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582.3125</v>
      </c>
      <c r="Z16">
        <f t="shared" si="9"/>
        <v>249.5625</v>
      </c>
      <c r="AA16">
        <f t="shared" si="10"/>
        <v>-0.20607491681871848</v>
      </c>
      <c r="AB16">
        <f t="shared" si="11"/>
        <v>0.48084147257700977</v>
      </c>
      <c r="AC16">
        <f t="shared" si="12"/>
        <v>0.60534506815498546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-582.3125</v>
      </c>
      <c r="Z17">
        <f t="shared" si="9"/>
        <v>249.5625</v>
      </c>
      <c r="AA17">
        <f t="shared" si="10"/>
        <v>0.20607491681871848</v>
      </c>
      <c r="AB17">
        <f t="shared" si="11"/>
        <v>0.48084147257700977</v>
      </c>
      <c r="AC17">
        <f t="shared" si="12"/>
        <v>1.0174949017924224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-582.3125</v>
      </c>
      <c r="Z18">
        <f t="shared" si="9"/>
        <v>-748.6875</v>
      </c>
      <c r="AA18">
        <f t="shared" si="10"/>
        <v>0.20607491681871848</v>
      </c>
      <c r="AB18">
        <f t="shared" si="11"/>
        <v>-0.16028049085900326</v>
      </c>
      <c r="AC18">
        <f t="shared" si="12"/>
        <v>0.37637293835640945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194.10416666666666</v>
      </c>
      <c r="Z19">
        <f t="shared" si="9"/>
        <v>-748.6875</v>
      </c>
      <c r="AA19">
        <f t="shared" si="10"/>
        <v>-0.61822475045615544</v>
      </c>
      <c r="AB19">
        <f t="shared" si="11"/>
        <v>-0.16028049085900326</v>
      </c>
      <c r="AC19">
        <f t="shared" si="12"/>
        <v>-0.44792672891846447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194.10416666666666</v>
      </c>
      <c r="Z20">
        <f t="shared" si="9"/>
        <v>-748.6875</v>
      </c>
      <c r="AA20">
        <f t="shared" si="10"/>
        <v>-0.61822475045615544</v>
      </c>
      <c r="AB20">
        <f t="shared" si="11"/>
        <v>-0.16028049085900326</v>
      </c>
      <c r="AC20">
        <f t="shared" si="12"/>
        <v>-0.44792672891846447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-748.6875</v>
      </c>
      <c r="AB21">
        <f t="shared" si="11"/>
        <v>-0.16028049085900326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9.5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9.5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9.5</v>
      </c>
      <c r="C40" s="17">
        <f>'Rigid Bearing Plate Analysis'!C40</f>
        <v>9.5</v>
      </c>
      <c r="D40" s="17" t="str">
        <f>'Rigid Bearing Plate Analysis'!D40</f>
        <v>y</v>
      </c>
      <c r="Q40" s="12">
        <f t="shared" si="14"/>
        <v>9.5</v>
      </c>
      <c r="R40" s="12">
        <f t="shared" si="14"/>
        <v>9.5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-6.7261122428805997E-2</v>
      </c>
      <c r="C64" t="s">
        <v>19</v>
      </c>
      <c r="D64" t="s">
        <v>34</v>
      </c>
      <c r="H64" s="17">
        <f>DEGREES(B64)</f>
        <v>-3.8537784404833046</v>
      </c>
      <c r="I64" t="s">
        <v>41</v>
      </c>
    </row>
    <row r="65" spans="1:18" x14ac:dyDescent="0.25">
      <c r="A65" s="1" t="s">
        <v>40</v>
      </c>
      <c r="B65" s="17">
        <f>'Rigid Bearing Plate Analysis'!B65</f>
        <v>4.694681062812589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1.8524160104478808</v>
      </c>
      <c r="C66" t="s">
        <v>11</v>
      </c>
      <c r="D66">
        <f>B66/B53</f>
        <v>4.5466087201160123E-4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5.0934385243706313</v>
      </c>
      <c r="C67" t="s">
        <v>36</v>
      </c>
      <c r="D67" t="s">
        <v>122</v>
      </c>
      <c r="G67" s="20">
        <f ca="1">($B$56*$B$66*$B$55*$E$122)/$B$65</f>
        <v>5.0934385999185343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-2.75</v>
      </c>
      <c r="C73" s="4">
        <f t="shared" ref="C73:C81" si="17">C13-$C$9</f>
        <v>-8.25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-2.75</v>
      </c>
      <c r="J73" s="4">
        <f>C25-$C$9</f>
        <v>-8.25</v>
      </c>
    </row>
    <row r="74" spans="1:18" x14ac:dyDescent="0.25">
      <c r="A74" s="1">
        <f t="shared" si="15"/>
        <v>2</v>
      </c>
      <c r="B74" s="4">
        <f t="shared" si="16"/>
        <v>2.75</v>
      </c>
      <c r="C74" s="4">
        <f t="shared" si="17"/>
        <v>-8.25</v>
      </c>
      <c r="H74" s="1">
        <f t="shared" si="18"/>
        <v>2</v>
      </c>
      <c r="I74" s="4">
        <f t="shared" ref="I74:I81" si="19">B26-$B$9</f>
        <v>-2.75</v>
      </c>
      <c r="J74" s="4">
        <f t="shared" ref="J74:J81" si="20">C26-$C$9</f>
        <v>-8.25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2.75</v>
      </c>
      <c r="C75" s="4">
        <f t="shared" si="17"/>
        <v>-2.75</v>
      </c>
      <c r="H75" s="1">
        <f t="shared" si="18"/>
        <v>3</v>
      </c>
      <c r="I75" s="4">
        <f t="shared" si="19"/>
        <v>-2.75</v>
      </c>
      <c r="J75" s="4">
        <f t="shared" si="20"/>
        <v>-8.25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8.25</v>
      </c>
      <c r="C76" s="4">
        <f t="shared" si="17"/>
        <v>-2.75</v>
      </c>
      <c r="H76" s="1">
        <f t="shared" si="18"/>
        <v>4</v>
      </c>
      <c r="I76" s="4">
        <f t="shared" si="19"/>
        <v>-2.75</v>
      </c>
      <c r="J76" s="4">
        <f t="shared" si="20"/>
        <v>-8.25</v>
      </c>
      <c r="Q76" cm="1">
        <f t="array" ref="Q76">(-1*MAX(ABS(B84:C91)))-1</f>
        <v>-9.4161739433017591</v>
      </c>
      <c r="R76">
        <f>Q76</f>
        <v>-9.4161739433017591</v>
      </c>
    </row>
    <row r="77" spans="1:18" x14ac:dyDescent="0.25">
      <c r="A77" s="1">
        <f t="shared" si="15"/>
        <v>5</v>
      </c>
      <c r="B77" s="4">
        <f t="shared" si="16"/>
        <v>8.25</v>
      </c>
      <c r="C77" s="4">
        <f t="shared" si="17"/>
        <v>2.75</v>
      </c>
      <c r="H77" s="1">
        <f t="shared" si="18"/>
        <v>5</v>
      </c>
      <c r="I77" s="4">
        <f t="shared" si="19"/>
        <v>-2.75</v>
      </c>
      <c r="J77" s="4">
        <f t="shared" si="20"/>
        <v>-8.25</v>
      </c>
      <c r="Q77">
        <f>-1*Q76</f>
        <v>9.4161739433017591</v>
      </c>
      <c r="R77">
        <f>Q77</f>
        <v>9.4161739433017591</v>
      </c>
    </row>
    <row r="78" spans="1:18" x14ac:dyDescent="0.25">
      <c r="A78" s="1">
        <f t="shared" si="15"/>
        <v>6</v>
      </c>
      <c r="B78" s="4">
        <f t="shared" si="16"/>
        <v>-2.75</v>
      </c>
      <c r="C78" s="4">
        <f t="shared" si="17"/>
        <v>2.75</v>
      </c>
      <c r="H78" s="1">
        <f t="shared" si="18"/>
        <v>6</v>
      </c>
      <c r="I78" s="4">
        <f t="shared" si="19"/>
        <v>-2.75</v>
      </c>
      <c r="J78" s="4">
        <f t="shared" si="20"/>
        <v>-8.25</v>
      </c>
    </row>
    <row r="79" spans="1:18" x14ac:dyDescent="0.25">
      <c r="A79" s="1">
        <f t="shared" si="15"/>
        <v>7</v>
      </c>
      <c r="B79" s="4">
        <f t="shared" si="16"/>
        <v>-2.75</v>
      </c>
      <c r="C79" s="4">
        <f t="shared" si="17"/>
        <v>-8.25</v>
      </c>
      <c r="H79" s="1">
        <f t="shared" si="18"/>
        <v>7</v>
      </c>
      <c r="I79" s="4">
        <f t="shared" si="19"/>
        <v>-2.75</v>
      </c>
      <c r="J79" s="4">
        <f t="shared" si="20"/>
        <v>-8.25</v>
      </c>
    </row>
    <row r="80" spans="1:18" x14ac:dyDescent="0.25">
      <c r="A80" s="1">
        <f t="shared" si="15"/>
        <v>8</v>
      </c>
      <c r="B80" s="4">
        <f t="shared" si="16"/>
        <v>-2.75</v>
      </c>
      <c r="C80" s="4">
        <f t="shared" si="17"/>
        <v>-8.25</v>
      </c>
      <c r="H80" s="1">
        <f t="shared" si="18"/>
        <v>8</v>
      </c>
      <c r="I80" s="4">
        <f t="shared" si="19"/>
        <v>-2.75</v>
      </c>
      <c r="J80" s="4">
        <f t="shared" si="20"/>
        <v>-8.25</v>
      </c>
    </row>
    <row r="81" spans="1:10" x14ac:dyDescent="0.25">
      <c r="A81" s="1">
        <f t="shared" si="15"/>
        <v>9</v>
      </c>
      <c r="B81" s="4">
        <f t="shared" si="16"/>
        <v>-2.75</v>
      </c>
      <c r="C81" s="4">
        <f t="shared" si="17"/>
        <v>-8.25</v>
      </c>
      <c r="H81" s="1">
        <f t="shared" si="18"/>
        <v>9</v>
      </c>
      <c r="I81" s="4">
        <f t="shared" si="19"/>
        <v>-2.75</v>
      </c>
      <c r="J81" s="4">
        <f t="shared" si="20"/>
        <v>-8.25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-2.1892958128330888</v>
      </c>
      <c r="C84" s="1">
        <f t="shared" ref="C84:C92" si="23">(-1*B73*SIN($B$64))+(C73*COS($B$64))</f>
        <v>-8.4161739433017591</v>
      </c>
      <c r="H84" s="1">
        <f t="shared" ref="H84:H92" si="24">H73</f>
        <v>1</v>
      </c>
      <c r="I84" s="4">
        <f>(I73*COS($B$64))+(J73*SIN($B$64))</f>
        <v>-2.1892958128330888</v>
      </c>
      <c r="J84" s="1">
        <f>(-1*I73*SIN($B$64))+(J73*COS($B$64))</f>
        <v>-8.4161739433017591</v>
      </c>
    </row>
    <row r="85" spans="1:10" x14ac:dyDescent="0.25">
      <c r="A85" s="1">
        <f t="shared" si="21"/>
        <v>2</v>
      </c>
      <c r="B85" s="4">
        <f t="shared" si="22"/>
        <v>3.298267715714585</v>
      </c>
      <c r="C85" s="1">
        <f t="shared" si="23"/>
        <v>-8.0465166423412615</v>
      </c>
      <c r="H85" s="1">
        <f t="shared" si="24"/>
        <v>2</v>
      </c>
      <c r="I85" s="4">
        <f t="shared" ref="I85:I92" si="25">(I74*COS($B$64))+(J74*SIN($B$64))</f>
        <v>-2.1892958128330888</v>
      </c>
      <c r="J85" s="1">
        <f t="shared" ref="J85:J92" si="26">(-1*I74*SIN($B$64))+(J74*COS($B$64))</f>
        <v>-8.4161739433017591</v>
      </c>
    </row>
    <row r="86" spans="1:10" x14ac:dyDescent="0.25">
      <c r="A86" s="1">
        <f t="shared" si="21"/>
        <v>3</v>
      </c>
      <c r="B86" s="4">
        <f t="shared" si="22"/>
        <v>2.9286104147540861</v>
      </c>
      <c r="C86" s="1">
        <f t="shared" si="23"/>
        <v>-2.5589531137935877</v>
      </c>
      <c r="H86" s="1">
        <f t="shared" si="24"/>
        <v>3</v>
      </c>
      <c r="I86" s="4">
        <f t="shared" si="25"/>
        <v>-2.1892958128330888</v>
      </c>
      <c r="J86" s="1">
        <f t="shared" si="26"/>
        <v>-8.4161739433017591</v>
      </c>
    </row>
    <row r="87" spans="1:10" x14ac:dyDescent="0.25">
      <c r="A87" s="1">
        <f t="shared" si="21"/>
        <v>4</v>
      </c>
      <c r="B87" s="4">
        <f t="shared" si="22"/>
        <v>8.4161739433017591</v>
      </c>
      <c r="C87" s="1">
        <f t="shared" si="23"/>
        <v>-2.1892958128330888</v>
      </c>
      <c r="H87" s="1">
        <f t="shared" si="24"/>
        <v>4</v>
      </c>
      <c r="I87" s="4">
        <f t="shared" si="25"/>
        <v>-2.1892958128330888</v>
      </c>
      <c r="J87" s="1">
        <f t="shared" si="26"/>
        <v>-8.4161739433017591</v>
      </c>
    </row>
    <row r="88" spans="1:10" x14ac:dyDescent="0.25">
      <c r="A88" s="1">
        <f t="shared" si="21"/>
        <v>5</v>
      </c>
      <c r="B88" s="4">
        <f t="shared" si="22"/>
        <v>8.0465166423412615</v>
      </c>
      <c r="C88" s="1">
        <f t="shared" si="23"/>
        <v>3.298267715714585</v>
      </c>
      <c r="H88" s="1">
        <f t="shared" si="24"/>
        <v>5</v>
      </c>
      <c r="I88" s="4">
        <f t="shared" si="25"/>
        <v>-2.1892958128330888</v>
      </c>
      <c r="J88" s="1">
        <f t="shared" si="26"/>
        <v>-8.4161739433017591</v>
      </c>
    </row>
    <row r="89" spans="1:10" x14ac:dyDescent="0.25">
      <c r="A89" s="1">
        <f t="shared" si="21"/>
        <v>6</v>
      </c>
      <c r="B89" s="4">
        <f t="shared" si="22"/>
        <v>-2.9286104147540861</v>
      </c>
      <c r="C89" s="1">
        <f t="shared" si="23"/>
        <v>2.5589531137935877</v>
      </c>
      <c r="H89" s="1">
        <f t="shared" si="24"/>
        <v>6</v>
      </c>
      <c r="I89" s="4">
        <f t="shared" si="25"/>
        <v>-2.1892958128330888</v>
      </c>
      <c r="J89" s="1">
        <f t="shared" si="26"/>
        <v>-8.4161739433017591</v>
      </c>
    </row>
    <row r="90" spans="1:10" x14ac:dyDescent="0.25">
      <c r="A90" s="1">
        <f t="shared" si="21"/>
        <v>7</v>
      </c>
      <c r="B90" s="4">
        <f t="shared" si="22"/>
        <v>-2.1892958128330888</v>
      </c>
      <c r="C90" s="1">
        <f t="shared" si="23"/>
        <v>-8.4161739433017591</v>
      </c>
      <c r="H90" s="1">
        <f t="shared" si="24"/>
        <v>7</v>
      </c>
      <c r="I90" s="4">
        <f t="shared" si="25"/>
        <v>-2.1892958128330888</v>
      </c>
      <c r="J90" s="1">
        <f t="shared" si="26"/>
        <v>-8.4161739433017591</v>
      </c>
    </row>
    <row r="91" spans="1:10" x14ac:dyDescent="0.25">
      <c r="A91" s="1">
        <f t="shared" si="21"/>
        <v>8</v>
      </c>
      <c r="B91" s="4">
        <f t="shared" si="22"/>
        <v>-2.1892958128330888</v>
      </c>
      <c r="C91" s="1">
        <f t="shared" si="23"/>
        <v>-8.4161739433017591</v>
      </c>
      <c r="H91" s="1">
        <f t="shared" si="24"/>
        <v>8</v>
      </c>
      <c r="I91" s="4">
        <f t="shared" si="25"/>
        <v>-2.1892958128330888</v>
      </c>
      <c r="J91" s="1">
        <f t="shared" si="26"/>
        <v>-8.4161739433017591</v>
      </c>
    </row>
    <row r="92" spans="1:10" x14ac:dyDescent="0.25">
      <c r="A92" s="1">
        <f t="shared" si="21"/>
        <v>9</v>
      </c>
      <c r="B92" s="4">
        <f t="shared" si="22"/>
        <v>-2.1892958128330888</v>
      </c>
      <c r="C92" s="1">
        <f t="shared" si="23"/>
        <v>-8.4161739433017591</v>
      </c>
      <c r="H92" s="1">
        <f t="shared" si="24"/>
        <v>9</v>
      </c>
      <c r="I92" s="4">
        <f t="shared" si="25"/>
        <v>-2.1892958128330888</v>
      </c>
      <c r="J92" s="1">
        <f t="shared" si="26"/>
        <v>-8.4161739433017591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-1.25</v>
      </c>
      <c r="C95" s="4">
        <f t="shared" ref="C95:C106" si="29">C37-$C$9</f>
        <v>-6.75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1.25</v>
      </c>
      <c r="C96" s="4">
        <f t="shared" si="29"/>
        <v>-6.75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6.75</v>
      </c>
      <c r="C97" s="4">
        <f t="shared" si="29"/>
        <v>-1.25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6.75</v>
      </c>
      <c r="C98" s="4">
        <f t="shared" si="29"/>
        <v>1.25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-2.75</v>
      </c>
      <c r="C99" s="4">
        <f t="shared" si="29"/>
        <v>-8.25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-2.75</v>
      </c>
      <c r="C100" s="4">
        <f t="shared" si="29"/>
        <v>-8.25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-2.75</v>
      </c>
      <c r="C101" s="4">
        <f t="shared" si="29"/>
        <v>-8.25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-2.75</v>
      </c>
      <c r="C102" s="4">
        <f t="shared" si="29"/>
        <v>-8.25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-2.75</v>
      </c>
      <c r="C103" s="4">
        <f t="shared" si="29"/>
        <v>-8.25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-2.75</v>
      </c>
      <c r="C104" s="4">
        <f t="shared" si="29"/>
        <v>-8.25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-2.75</v>
      </c>
      <c r="C105" s="4">
        <f t="shared" si="29"/>
        <v>-8.25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-2.75</v>
      </c>
      <c r="C106" s="4">
        <f t="shared" si="29"/>
        <v>-8.25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-0.79350320530931384</v>
      </c>
      <c r="C110" s="1">
        <f>(-1*B95*SIN($B$64))+(C95*COS($B$64))</f>
        <v>-6.8187500807086225</v>
      </c>
      <c r="D110" t="str">
        <f t="shared" ref="D110" si="31">D95</f>
        <v>y</v>
      </c>
      <c r="E110" s="4">
        <f t="shared" ref="E110:E121" si="32">IF($D110="y",$B$125-C110,0)</f>
        <v>5.422336733610619</v>
      </c>
      <c r="F110" s="1">
        <f>IF($D110="y",B110,NA())</f>
        <v>-0.79350320530931384</v>
      </c>
      <c r="G110" s="1">
        <f>IF($D110="y",C110,NA())</f>
        <v>-6.8187500807086225</v>
      </c>
      <c r="H110">
        <f t="shared" ref="H110:H121" si="33">IF($E$122=0,0,-1*MAX(($B$67/$E$122)*(E110),0))</f>
        <v>-5.0934385243706313</v>
      </c>
      <c r="I110">
        <f>H110*C110</f>
        <v>34.730884349136652</v>
      </c>
      <c r="J110">
        <f>H110*B110*-1</f>
        <v>-4.0416597951340378</v>
      </c>
      <c r="K110">
        <f ca="1">H110/$B$55</f>
        <v>-15.228809809373612</v>
      </c>
      <c r="L110">
        <f ca="1">K110/$B$54</f>
        <v>-5.2513137273702112E-4</v>
      </c>
      <c r="M110">
        <f t="shared" ref="M110:M121" si="34">IFERROR(($D$66/$B$65)*(G110-$B$125),0)</f>
        <v>-5.2513138052597821E-4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1.7008438531214471</v>
      </c>
      <c r="C111" s="1">
        <f t="shared" ref="C111:C121" si="37">(-1*B96*SIN($B$64))+(C96*COS($B$64))</f>
        <v>-6.650724034817487</v>
      </c>
      <c r="D111" t="str">
        <f t="shared" si="35"/>
        <v>y</v>
      </c>
      <c r="E111" s="4">
        <f t="shared" si="32"/>
        <v>5.2543106877194834</v>
      </c>
      <c r="F111" s="1">
        <f t="shared" ref="F111:G121" si="38">IF($D111="y",B111,NA())</f>
        <v>1.7008438531214471</v>
      </c>
      <c r="G111" s="1">
        <f t="shared" si="38"/>
        <v>-6.650724034817487</v>
      </c>
      <c r="H111">
        <f t="shared" si="33"/>
        <v>-4.935604295829517</v>
      </c>
      <c r="I111">
        <f t="shared" ref="I111:I121" si="39">H111*C111</f>
        <v>32.825342116621805</v>
      </c>
      <c r="J111">
        <f t="shared" ref="J111:J121" si="40">H111*B111*-1</f>
        <v>8.3946922280014427</v>
      </c>
      <c r="K111">
        <f ca="1">H111/$B$55</f>
        <v>-14.756903171772869</v>
      </c>
      <c r="L111">
        <f t="shared" ref="L111:L121" ca="1" si="41">K111/$B$54</f>
        <v>-5.0885873006113345E-4</v>
      </c>
      <c r="M111">
        <f t="shared" si="34"/>
        <v>-5.0885873760872827E-4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6.8187500807086225</v>
      </c>
      <c r="C112" s="1">
        <f t="shared" si="37"/>
        <v>-0.79350320530931384</v>
      </c>
      <c r="D112" t="str">
        <f t="shared" si="35"/>
        <v>y</v>
      </c>
      <c r="E112" s="4">
        <f t="shared" si="32"/>
        <v>-0.60291014178869018</v>
      </c>
      <c r="F112" s="1">
        <f t="shared" si="38"/>
        <v>6.8187500807086225</v>
      </c>
      <c r="G112" s="1">
        <f t="shared" si="38"/>
        <v>-0.79350320530931384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5.8389408597238895E-5</v>
      </c>
      <c r="N112">
        <f t="shared" si="42"/>
        <v>0.12334502647889978</v>
      </c>
      <c r="O112">
        <f t="shared" si="43"/>
        <v>-9.7874673869969162E-2</v>
      </c>
      <c r="P112">
        <f t="shared" si="44"/>
        <v>-0.84105890925800508</v>
      </c>
    </row>
    <row r="113" spans="1:16" x14ac:dyDescent="0.25">
      <c r="A113">
        <f t="shared" si="35"/>
        <v>4</v>
      </c>
      <c r="B113" s="1">
        <f t="shared" si="36"/>
        <v>6.650724034817487</v>
      </c>
      <c r="C113" s="1">
        <f t="shared" si="37"/>
        <v>1.7008438531214471</v>
      </c>
      <c r="D113" t="str">
        <f t="shared" si="35"/>
        <v>y</v>
      </c>
      <c r="E113" s="4">
        <f t="shared" si="32"/>
        <v>-3.0972572002194512</v>
      </c>
      <c r="F113" s="1">
        <f t="shared" si="38"/>
        <v>6.650724034817487</v>
      </c>
      <c r="G113" s="1">
        <f t="shared" si="38"/>
        <v>1.7008438531214471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2.9995683213724663E-4</v>
      </c>
      <c r="N113">
        <f t="shared" si="42"/>
        <v>0.63364545542331696</v>
      </c>
      <c r="O113">
        <f t="shared" si="43"/>
        <v>1.0777319779150887</v>
      </c>
      <c r="P113">
        <f t="shared" si="44"/>
        <v>-4.2142010599367268</v>
      </c>
    </row>
    <row r="114" spans="1:16" x14ac:dyDescent="0.25">
      <c r="A114">
        <f t="shared" si="35"/>
        <v>5</v>
      </c>
      <c r="B114" s="1">
        <f t="shared" si="36"/>
        <v>-2.1892958128330888</v>
      </c>
      <c r="C114" s="1">
        <f t="shared" si="37"/>
        <v>-8.4161739433017591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-2.1892958128330888</v>
      </c>
      <c r="C115" s="1">
        <f t="shared" si="37"/>
        <v>-8.4161739433017591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-2.1892958128330888</v>
      </c>
      <c r="C116" s="1">
        <f t="shared" si="37"/>
        <v>-8.4161739433017591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-2.1892958128330888</v>
      </c>
      <c r="C117" s="1">
        <f t="shared" si="37"/>
        <v>-8.4161739433017591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-2.1892958128330888</v>
      </c>
      <c r="C118" s="1">
        <f t="shared" si="37"/>
        <v>-8.4161739433017591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-2.1892958128330888</v>
      </c>
      <c r="C119" s="1">
        <f t="shared" si="37"/>
        <v>-8.4161739433017591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-2.1892958128330888</v>
      </c>
      <c r="C120" s="1">
        <f t="shared" si="37"/>
        <v>-8.4161739433017591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-2.1892958128330888</v>
      </c>
      <c r="C121" s="1">
        <f t="shared" si="37"/>
        <v>-8.4161739433017591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5.422336733610619</v>
      </c>
      <c r="H122">
        <f>SUM(H110:H121)</f>
        <v>-10.029042820200148</v>
      </c>
      <c r="I122">
        <f t="shared" ref="I122:J122" si="46">SUM(I110:I121)</f>
        <v>67.556226465758456</v>
      </c>
      <c r="J122">
        <f t="shared" si="46"/>
        <v>4.3530324328674048</v>
      </c>
      <c r="L122">
        <f ca="1">MIN(L110:L121)</f>
        <v>-5.2513137273702112E-4</v>
      </c>
      <c r="M122">
        <f>MIN(M110:M121)</f>
        <v>-5.2513138052597821E-4</v>
      </c>
      <c r="N122">
        <f>SUM(N110:N121)</f>
        <v>0.75699048190221674</v>
      </c>
      <c r="O122">
        <f>SUM(O110:O121)</f>
        <v>0.9798573040451195</v>
      </c>
      <c r="P122">
        <f>SUM(P110:P121)</f>
        <v>-5.055259969194732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-1.396413347098004</v>
      </c>
      <c r="F125" s="1" t="s">
        <v>27</v>
      </c>
      <c r="G125" s="1" t="s">
        <v>28</v>
      </c>
    </row>
    <row r="126" spans="1:16" x14ac:dyDescent="0.25">
      <c r="F126" s="4">
        <f>MIN(B84:B90)-1</f>
        <v>-3.9286104147540861</v>
      </c>
      <c r="G126" s="4">
        <f>B125</f>
        <v>-1.396413347098004</v>
      </c>
    </row>
    <row r="127" spans="1:16" x14ac:dyDescent="0.25">
      <c r="F127" s="4">
        <f>MAX(B84:B90)+1</f>
        <v>9.4161739433017591</v>
      </c>
      <c r="G127" s="4">
        <f>G126</f>
        <v>-1.396413347098004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-2.1892958128330888</v>
      </c>
      <c r="C132" s="4">
        <f>C84</f>
        <v>-8.4161739433017591</v>
      </c>
      <c r="D132" s="4">
        <f t="shared" ref="D132:E139" si="47">B85</f>
        <v>3.298267715714585</v>
      </c>
      <c r="E132" s="4">
        <f t="shared" si="47"/>
        <v>-8.0465166423412615</v>
      </c>
      <c r="F132" s="4">
        <f t="shared" ref="F132:F139" si="48">($B$66/$B$65)*(C132-$B$125)</f>
        <v>-2.7698403243879945</v>
      </c>
      <c r="G132" s="4">
        <f t="shared" ref="G132:G139" si="49">($B$66/$B$65)*(E132-$B$125)</f>
        <v>-2.6239818318692425</v>
      </c>
      <c r="H132" s="4">
        <f>IF(B132=D132,"V",(C132-E132)/(B132-D132))</f>
        <v>6.7362737403849279E-2</v>
      </c>
      <c r="I132" s="4">
        <f>IF(H132="V",0,(-1*B132*H132)+C132)</f>
        <v>-8.2686969843625366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3.298267715714585</v>
      </c>
      <c r="C133" s="4">
        <f t="shared" si="50"/>
        <v>-8.0465166423412615</v>
      </c>
      <c r="D133" s="4">
        <f t="shared" si="47"/>
        <v>2.9286104147540861</v>
      </c>
      <c r="E133" s="4">
        <f t="shared" si="47"/>
        <v>-2.5589531137935877</v>
      </c>
      <c r="F133" s="4">
        <f t="shared" si="48"/>
        <v>-2.6239818318692425</v>
      </c>
      <c r="G133" s="4">
        <f t="shared" si="49"/>
        <v>-0.45871215697005724</v>
      </c>
      <c r="H133" s="4">
        <f t="shared" ref="H133:H139" si="51">IF(B133=D133,"V",(C133-E133)/(B133-D133))</f>
        <v>-14.845002423296025</v>
      </c>
      <c r="I133" s="4">
        <f t="shared" ref="I133:I139" si="52">IF(H133="V",0,(-1*B133*H133)+C133)</f>
        <v>40.916275590120797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2.9286104147540861</v>
      </c>
      <c r="C134" s="4">
        <f t="shared" si="50"/>
        <v>-2.5589531137935877</v>
      </c>
      <c r="D134" s="4">
        <f t="shared" si="47"/>
        <v>8.4161739433017591</v>
      </c>
      <c r="E134" s="4">
        <f t="shared" si="47"/>
        <v>-2.1892958128330888</v>
      </c>
      <c r="F134" s="4">
        <f t="shared" si="48"/>
        <v>-0.45871215697005724</v>
      </c>
      <c r="G134" s="4">
        <f t="shared" si="49"/>
        <v>-0.31285366445130475</v>
      </c>
      <c r="H134" s="4">
        <f t="shared" si="51"/>
        <v>6.7362737403849543E-2</v>
      </c>
      <c r="I134" s="4">
        <f t="shared" si="52"/>
        <v>-2.7562323281208463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8.4161739433017591</v>
      </c>
      <c r="C135" s="4">
        <f t="shared" si="50"/>
        <v>-2.1892958128330888</v>
      </c>
      <c r="D135" s="4">
        <f t="shared" si="47"/>
        <v>8.0465166423412615</v>
      </c>
      <c r="E135" s="4">
        <f t="shared" si="47"/>
        <v>3.298267715714585</v>
      </c>
      <c r="F135" s="4">
        <f t="shared" si="48"/>
        <v>-0.31285366445130475</v>
      </c>
      <c r="G135" s="4">
        <f t="shared" si="49"/>
        <v>1.8524160104478808</v>
      </c>
      <c r="H135" s="4">
        <f t="shared" si="51"/>
        <v>-14.845002423296078</v>
      </c>
      <c r="I135" s="4">
        <f t="shared" si="52"/>
        <v>122.74882677036283</v>
      </c>
      <c r="J135" s="4">
        <f t="shared" si="53"/>
        <v>8.3627632099703302</v>
      </c>
      <c r="K135" s="4">
        <f t="shared" si="54"/>
        <v>-1.396413347098004</v>
      </c>
      <c r="L135" s="4">
        <f t="shared" si="55"/>
        <v>8.0465166423412615</v>
      </c>
      <c r="M135" s="4">
        <f t="shared" si="56"/>
        <v>3.298267715714585</v>
      </c>
      <c r="N135" s="4">
        <f t="shared" si="57"/>
        <v>0</v>
      </c>
      <c r="O135" s="4">
        <f t="shared" si="57"/>
        <v>1.8524160104478808</v>
      </c>
      <c r="P135" s="4">
        <f t="shared" si="58"/>
        <v>35.446648674397174</v>
      </c>
      <c r="Q135" s="4">
        <f t="shared" si="59"/>
        <v>61.083647555184328</v>
      </c>
      <c r="R135" s="4">
        <f t="shared" si="60"/>
        <v>-144.49141764490855</v>
      </c>
    </row>
    <row r="136" spans="1:18" x14ac:dyDescent="0.25">
      <c r="A136" t="s">
        <v>73</v>
      </c>
      <c r="B136" s="4">
        <f t="shared" si="50"/>
        <v>8.0465166423412615</v>
      </c>
      <c r="C136" s="4">
        <f t="shared" si="50"/>
        <v>3.298267715714585</v>
      </c>
      <c r="D136" s="4">
        <f t="shared" si="47"/>
        <v>-2.9286104147540861</v>
      </c>
      <c r="E136" s="4">
        <f t="shared" si="47"/>
        <v>2.5589531137935877</v>
      </c>
      <c r="F136" s="4">
        <f t="shared" si="48"/>
        <v>1.8524160104478808</v>
      </c>
      <c r="G136" s="4">
        <f t="shared" si="49"/>
        <v>1.5606990254103761</v>
      </c>
      <c r="H136" s="4">
        <f t="shared" si="51"/>
        <v>6.7362737403849487E-2</v>
      </c>
      <c r="I136" s="4">
        <f t="shared" si="52"/>
        <v>2.7562323281208458</v>
      </c>
      <c r="J136" s="4">
        <f t="shared" si="53"/>
        <v>8.0465166423412615</v>
      </c>
      <c r="K136" s="4">
        <f t="shared" si="54"/>
        <v>3.298267715714585</v>
      </c>
      <c r="L136" s="4">
        <f t="shared" si="55"/>
        <v>-2.9286104147540861</v>
      </c>
      <c r="M136" s="4">
        <f t="shared" si="56"/>
        <v>2.5589531137935877</v>
      </c>
      <c r="N136" s="4">
        <f t="shared" si="57"/>
        <v>1.8524160104478808</v>
      </c>
      <c r="O136" s="4">
        <f t="shared" si="57"/>
        <v>1.5606990254103761</v>
      </c>
      <c r="P136" s="4">
        <f t="shared" si="58"/>
        <v>-3.425838409341611</v>
      </c>
      <c r="Q136" s="4">
        <f t="shared" si="59"/>
        <v>-10.920063255569188</v>
      </c>
      <c r="R136" s="4">
        <f t="shared" si="60"/>
        <v>10.967908503814025</v>
      </c>
    </row>
    <row r="137" spans="1:18" x14ac:dyDescent="0.25">
      <c r="A137" t="s">
        <v>74</v>
      </c>
      <c r="B137" s="4">
        <f t="shared" si="50"/>
        <v>-2.9286104147540861</v>
      </c>
      <c r="C137" s="4">
        <f t="shared" si="50"/>
        <v>2.5589531137935877</v>
      </c>
      <c r="D137" s="4">
        <f t="shared" si="47"/>
        <v>-2.1892958128330888</v>
      </c>
      <c r="E137" s="4">
        <f t="shared" si="47"/>
        <v>-8.4161739433017591</v>
      </c>
      <c r="F137" s="4">
        <f t="shared" si="48"/>
        <v>1.5606990254103761</v>
      </c>
      <c r="G137" s="4">
        <f t="shared" si="49"/>
        <v>-2.7698403243879945</v>
      </c>
      <c r="H137" s="4">
        <f t="shared" si="51"/>
        <v>-14.845002423296032</v>
      </c>
      <c r="I137" s="4">
        <f t="shared" si="52"/>
        <v>-40.916275590120819</v>
      </c>
      <c r="J137" s="4">
        <f t="shared" si="53"/>
        <v>-2.9286104147540861</v>
      </c>
      <c r="K137" s="4">
        <f t="shared" si="54"/>
        <v>2.5589531137935877</v>
      </c>
      <c r="L137" s="4">
        <f t="shared" si="55"/>
        <v>-2.6621661025130523</v>
      </c>
      <c r="M137" s="4">
        <f t="shared" si="56"/>
        <v>-1.396413347098004</v>
      </c>
      <c r="N137" s="4">
        <f t="shared" si="57"/>
        <v>1.5606990254103761</v>
      </c>
      <c r="O137" s="4">
        <f t="shared" si="57"/>
        <v>0</v>
      </c>
      <c r="P137" s="4">
        <f t="shared" si="58"/>
        <v>8.7652231858015401</v>
      </c>
      <c r="Q137" s="4">
        <f t="shared" si="59"/>
        <v>11.053954544101783</v>
      </c>
      <c r="R137" s="4">
        <f t="shared" si="60"/>
        <v>12.451808072564507</v>
      </c>
    </row>
    <row r="138" spans="1:18" x14ac:dyDescent="0.25">
      <c r="A138" t="s">
        <v>75</v>
      </c>
      <c r="B138" s="4">
        <f t="shared" si="50"/>
        <v>-2.1892958128330888</v>
      </c>
      <c r="C138" s="4">
        <f t="shared" si="50"/>
        <v>-8.4161739433017591</v>
      </c>
      <c r="D138" s="4">
        <f t="shared" si="47"/>
        <v>-2.1892958128330888</v>
      </c>
      <c r="E138" s="4">
        <f t="shared" si="47"/>
        <v>-8.4161739433017591</v>
      </c>
      <c r="F138" s="4">
        <f t="shared" si="48"/>
        <v>-2.7698403243879945</v>
      </c>
      <c r="G138" s="4">
        <f t="shared" si="49"/>
        <v>-2.7698403243879945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-2.1892958128330888</v>
      </c>
      <c r="C139" s="4">
        <f>E138</f>
        <v>-8.4161739433017591</v>
      </c>
      <c r="D139" s="4">
        <f t="shared" si="47"/>
        <v>-2.1892958128330888</v>
      </c>
      <c r="E139" s="4">
        <f t="shared" si="47"/>
        <v>-8.4161739433017591</v>
      </c>
      <c r="F139" s="4">
        <f t="shared" si="48"/>
        <v>-2.7698403243879945</v>
      </c>
      <c r="G139" s="4">
        <f t="shared" si="49"/>
        <v>-2.7698403243879945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40.786033450857104</v>
      </c>
      <c r="Q140" s="4">
        <f>SUM(Q132:Q139)</f>
        <v>61.217538843716923</v>
      </c>
      <c r="R140" s="4">
        <f>SUM(R132:R139)</f>
        <v>-121.07170106853003</v>
      </c>
    </row>
    <row r="142" spans="1:18" x14ac:dyDescent="0.25">
      <c r="O142" t="s">
        <v>96</v>
      </c>
      <c r="P142" s="1">
        <f>-1*R140/P140</f>
        <v>2.9684598090277334</v>
      </c>
    </row>
    <row r="143" spans="1:18" x14ac:dyDescent="0.25">
      <c r="O143" t="s">
        <v>97</v>
      </c>
      <c r="P143" s="1">
        <f>Q140/P140</f>
        <v>1.5009436727275194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-2.1892958128330888</v>
      </c>
      <c r="C146" s="9">
        <f>J84</f>
        <v>-8.4161739433017591</v>
      </c>
      <c r="D146" s="9">
        <f t="shared" ref="D146:E153" si="61">I85</f>
        <v>-2.1892958128330888</v>
      </c>
      <c r="E146">
        <f t="shared" si="61"/>
        <v>-8.4161739433017591</v>
      </c>
      <c r="F146" s="4">
        <f>($B$66/$B$65)*(C146-$B$125)</f>
        <v>-2.7698403243879945</v>
      </c>
      <c r="G146" s="4">
        <f>($B$66/$B$65)*(E146-$B$125)</f>
        <v>-2.7698403243879945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-2.1892958128330888</v>
      </c>
      <c r="C147">
        <f t="shared" si="62"/>
        <v>-8.4161739433017591</v>
      </c>
      <c r="D147" s="9">
        <f t="shared" si="61"/>
        <v>-2.1892958128330888</v>
      </c>
      <c r="E147">
        <f t="shared" si="61"/>
        <v>-8.4161739433017591</v>
      </c>
      <c r="F147" s="4">
        <f t="shared" ref="F147:F153" si="63">($B$66/$B$65)*(C147-$B$125)</f>
        <v>-2.7698403243879945</v>
      </c>
      <c r="G147" s="4">
        <f t="shared" ref="G147:G153" si="64">($B$66/$B$65)*(E147-$B$125)</f>
        <v>-2.7698403243879945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-2.1892958128330888</v>
      </c>
      <c r="C148">
        <f t="shared" si="62"/>
        <v>-8.4161739433017591</v>
      </c>
      <c r="D148" s="9">
        <f t="shared" si="61"/>
        <v>-2.1892958128330888</v>
      </c>
      <c r="E148">
        <f t="shared" si="61"/>
        <v>-8.4161739433017591</v>
      </c>
      <c r="F148" s="4">
        <f t="shared" si="63"/>
        <v>-2.7698403243879945</v>
      </c>
      <c r="G148" s="4">
        <f t="shared" si="64"/>
        <v>-2.7698403243879945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-2.1892958128330888</v>
      </c>
      <c r="C149">
        <f t="shared" si="62"/>
        <v>-8.4161739433017591</v>
      </c>
      <c r="D149" s="9">
        <f t="shared" si="61"/>
        <v>-2.1892958128330888</v>
      </c>
      <c r="E149">
        <f t="shared" si="61"/>
        <v>-8.4161739433017591</v>
      </c>
      <c r="F149" s="4">
        <f t="shared" si="63"/>
        <v>-2.7698403243879945</v>
      </c>
      <c r="G149" s="4">
        <f t="shared" si="64"/>
        <v>-2.7698403243879945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-2.1892958128330888</v>
      </c>
      <c r="C150">
        <f t="shared" si="62"/>
        <v>-8.4161739433017591</v>
      </c>
      <c r="D150" s="9">
        <f t="shared" si="61"/>
        <v>-2.1892958128330888</v>
      </c>
      <c r="E150">
        <f t="shared" si="61"/>
        <v>-8.4161739433017591</v>
      </c>
      <c r="F150" s="4">
        <f t="shared" si="63"/>
        <v>-2.7698403243879945</v>
      </c>
      <c r="G150" s="4">
        <f t="shared" si="64"/>
        <v>-2.7698403243879945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-2.1892958128330888</v>
      </c>
      <c r="C151">
        <f t="shared" si="62"/>
        <v>-8.4161739433017591</v>
      </c>
      <c r="D151" s="9">
        <f t="shared" si="61"/>
        <v>-2.1892958128330888</v>
      </c>
      <c r="E151">
        <f t="shared" si="61"/>
        <v>-8.4161739433017591</v>
      </c>
      <c r="F151" s="4">
        <f t="shared" si="63"/>
        <v>-2.7698403243879945</v>
      </c>
      <c r="G151" s="4">
        <f t="shared" si="64"/>
        <v>-2.7698403243879945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-2.1892958128330888</v>
      </c>
      <c r="C152">
        <f t="shared" si="62"/>
        <v>-8.4161739433017591</v>
      </c>
      <c r="D152" s="9">
        <f t="shared" si="61"/>
        <v>-2.1892958128330888</v>
      </c>
      <c r="E152">
        <f t="shared" si="61"/>
        <v>-8.4161739433017591</v>
      </c>
      <c r="F152" s="4">
        <f t="shared" si="63"/>
        <v>-2.7698403243879945</v>
      </c>
      <c r="G152" s="4">
        <f t="shared" si="64"/>
        <v>-2.7698403243879945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-2.1892958128330888</v>
      </c>
      <c r="C153">
        <f t="shared" si="62"/>
        <v>-8.4161739433017591</v>
      </c>
      <c r="D153" s="9">
        <f t="shared" si="61"/>
        <v>-2.1892958128330888</v>
      </c>
      <c r="E153">
        <f t="shared" si="61"/>
        <v>-8.4161739433017591</v>
      </c>
      <c r="F153" s="4">
        <f t="shared" si="63"/>
        <v>-2.7698403243879945</v>
      </c>
      <c r="G153" s="4">
        <f t="shared" si="64"/>
        <v>-2.7698403243879945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30.00000014875474</v>
      </c>
      <c r="C159" t="s">
        <v>36</v>
      </c>
    </row>
    <row r="160" spans="1:18" x14ac:dyDescent="0.25">
      <c r="A160" s="1" t="s">
        <v>106</v>
      </c>
      <c r="B160" s="4">
        <f>Q140+I122+Q154-O122</f>
        <v>127.79390800543025</v>
      </c>
      <c r="C160" t="s">
        <v>102</v>
      </c>
    </row>
    <row r="161" spans="1:9" x14ac:dyDescent="0.25">
      <c r="A161" s="1" t="s">
        <v>107</v>
      </c>
      <c r="B161" s="4">
        <f>R140+J122+R154-P122</f>
        <v>-111.66340866646789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30.00000014875474</v>
      </c>
      <c r="C164" t="s">
        <v>36</v>
      </c>
      <c r="E164" s="8">
        <f>B2-B164</f>
        <v>-1.4875474008135825E-7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119.99999899590546</v>
      </c>
      <c r="C165" t="s">
        <v>102</v>
      </c>
      <c r="E165" s="8">
        <f>B3+B165</f>
        <v>-1.0040945426226244E-6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-119.99999999707364</v>
      </c>
      <c r="C166" t="s">
        <v>102</v>
      </c>
      <c r="E166" s="8">
        <f>B4+B166</f>
        <v>2.9263560463732574E-9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1.8524160104478808</v>
      </c>
      <c r="B169" s="1">
        <f ca="1">IF(E122=0,0,(MIN(H110:H121)*B65)/(B55*B56*E122))</f>
        <v>-1.852415982972111</v>
      </c>
      <c r="C169" s="3">
        <f ca="1">A169+B169</f>
        <v>2.7475769881490919E-8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-9.9764366879373439E-10</v>
      </c>
      <c r="C175" s="27">
        <f>B65*SQRT(I175)</f>
        <v>6.9633373190854763E-8</v>
      </c>
      <c r="D175" s="27">
        <f>B66*SQRT(I175)</f>
        <v>2.7475769628310713E-8</v>
      </c>
      <c r="E175" s="27">
        <f>B67*SQRT(I175)</f>
        <v>7.5547902157104479E-8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-6.7261123426449659E-2</v>
      </c>
      <c r="C176" s="3">
        <f>B65+C175</f>
        <v>4.6946811324459619</v>
      </c>
      <c r="D176" s="3">
        <f>D175+B66</f>
        <v>1.8524160379236505</v>
      </c>
      <c r="E176" s="3">
        <f>B67+E175</f>
        <v>5.0934385999185334</v>
      </c>
      <c r="F176" s="16" t="s">
        <v>125</v>
      </c>
    </row>
    <row r="177" spans="1:13" x14ac:dyDescent="0.25">
      <c r="B177" s="27">
        <f>B176-B64</f>
        <v>-9.9764366212617972E-10</v>
      </c>
      <c r="C177" s="27">
        <f>C176-B65</f>
        <v>6.9633372845601116E-8</v>
      </c>
      <c r="D177" s="27">
        <f>D176-B66</f>
        <v>2.7475769659446314E-8</v>
      </c>
      <c r="E177" s="27">
        <f>E176-B67</f>
        <v>7.5547902156358759E-8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-21.609100045413012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-8.0465169320380667</v>
      </c>
      <c r="B181" s="25">
        <f>(d_alpha_p!E136-d_alpha_m!E136)/(2*B177)</f>
        <v>2.9286101138549205</v>
      </c>
      <c r="C181" s="25">
        <f>(d_alpha_p!E137-d_alpha_m!E137)/(2*B177)</f>
        <v>2.1892960366210668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1.4875474008135825E-7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1.0040945426226244E-6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-2.9263560463732574E-9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-2.7475769881490919E-8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-21.609100045413012</v>
      </c>
      <c r="B190" s="25">
        <f>A181</f>
        <v>-8.0465169320380667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2.9286101138549205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2.1892960366210668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-21.609100045413012</v>
      </c>
      <c r="B201" s="25">
        <f t="shared" ref="B201:C201" si="77">B190</f>
        <v>-8.0465169320380667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2.9286101138549205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2.1892960366210668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2020-11-03T21:32:52Z</dcterms:modified>
</cp:coreProperties>
</file>