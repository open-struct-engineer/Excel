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F85CD28B-D865-4A87-9822-7A99F26173BE}" xr6:coauthVersionLast="45" xr6:coauthVersionMax="45" xr10:uidLastSave="{00000000-0000-0000-0000-000000000000}"/>
  <bookViews>
    <workbookView xWindow="-120" yWindow="-120" windowWidth="27930" windowHeight="18240" activeTab="1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M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J65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Q39" i="7" s="1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D98" i="8"/>
  <c r="D113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D27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Q43" i="2" s="1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Q46" i="3" l="1"/>
  <c r="Q47" i="5"/>
  <c r="D100" i="7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F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G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F119" i="3" s="1"/>
  <c r="R45" i="4"/>
  <c r="R43" i="9"/>
  <c r="Q41" i="2"/>
  <c r="Q42" i="2"/>
  <c r="D104" i="6"/>
  <c r="D119" i="6" s="1"/>
  <c r="G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G120" i="9"/>
  <c r="F120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19" i="8"/>
  <c r="F121" i="4"/>
  <c r="F14" i="4"/>
  <c r="F120" i="4"/>
  <c r="E120" i="4"/>
  <c r="G120" i="4"/>
  <c r="I14" i="4"/>
  <c r="E121" i="4"/>
  <c r="E119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20" i="6"/>
  <c r="B74" i="6"/>
  <c r="G121" i="6"/>
  <c r="F121" i="6"/>
  <c r="E121" i="6"/>
  <c r="G120" i="6"/>
  <c r="F118" i="6"/>
  <c r="E118" i="6"/>
  <c r="D14" i="6"/>
  <c r="D33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F120" i="2"/>
  <c r="E120" i="2"/>
  <c r="J81" i="1"/>
  <c r="D32" i="1"/>
  <c r="E119" i="6" l="1"/>
  <c r="F119" i="6"/>
  <c r="F119" i="4"/>
  <c r="G118" i="9"/>
  <c r="G119" i="3"/>
  <c r="E118" i="9"/>
  <c r="E118" i="2"/>
  <c r="E119" i="3"/>
  <c r="F121" i="8"/>
  <c r="F118" i="2"/>
  <c r="G121" i="8"/>
  <c r="G119" i="2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80" i="4"/>
  <c r="B76" i="4"/>
  <c r="B79" i="3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C91" i="5" l="1"/>
  <c r="E138" i="5" s="1"/>
  <c r="C139" i="5" s="1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E135" i="6"/>
  <c r="D22" i="8" l="1"/>
  <c r="J19" i="3"/>
  <c r="G22" i="3"/>
  <c r="J19" i="5"/>
  <c r="D22" i="2"/>
  <c r="O13" i="2" s="1"/>
  <c r="W13" i="2" s="1"/>
  <c r="B89" i="8"/>
  <c r="F126" i="8" s="1"/>
  <c r="I22" i="8"/>
  <c r="P13" i="8" s="1"/>
  <c r="D22" i="3"/>
  <c r="I2" i="3" s="1"/>
  <c r="J19" i="8"/>
  <c r="J22" i="8" s="1"/>
  <c r="M13" i="8" s="1"/>
  <c r="B89" i="3"/>
  <c r="D136" i="3" s="1"/>
  <c r="G22" i="8"/>
  <c r="N13" i="8" s="1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I2" i="2"/>
  <c r="F22" i="2"/>
  <c r="R19" i="2" s="1"/>
  <c r="H139" i="6"/>
  <c r="I139" i="6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H22" i="9"/>
  <c r="L13" i="9" s="1"/>
  <c r="F22" i="9"/>
  <c r="R19" i="9" s="1"/>
  <c r="I2" i="9"/>
  <c r="O13" i="8"/>
  <c r="W13" i="8" s="1"/>
  <c r="F22" i="8"/>
  <c r="E22" i="8"/>
  <c r="I2" i="8"/>
  <c r="L13" i="8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E22" i="2" l="1"/>
  <c r="L13" i="2"/>
  <c r="M13" i="2"/>
  <c r="P13" i="2"/>
  <c r="F22" i="3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F22" i="6"/>
  <c r="K15" i="6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K20" i="2"/>
  <c r="K19" i="2"/>
  <c r="E22" i="7"/>
  <c r="K14" i="2"/>
  <c r="O17" i="2" s="1"/>
  <c r="O19" i="2" s="1"/>
  <c r="I2" i="4"/>
  <c r="J22" i="4"/>
  <c r="M13" i="4" s="1"/>
  <c r="P13" i="4"/>
  <c r="K21" i="2"/>
  <c r="K15" i="2"/>
  <c r="Q19" i="2"/>
  <c r="K17" i="2"/>
  <c r="K15" i="8"/>
  <c r="K16" i="2"/>
  <c r="L13" i="4"/>
  <c r="R19" i="8"/>
  <c r="R19" i="3"/>
  <c r="J22" i="9"/>
  <c r="M13" i="9" s="1"/>
  <c r="Y16" i="3"/>
  <c r="AA16" i="3" s="1"/>
  <c r="M13" i="6"/>
  <c r="K21" i="9"/>
  <c r="K18" i="9"/>
  <c r="Y19" i="3"/>
  <c r="AA19" i="3" s="1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K18" i="2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Q77" i="4"/>
  <c r="R77" i="4" s="1"/>
  <c r="R76" i="4"/>
  <c r="B137" i="3"/>
  <c r="H136" i="3"/>
  <c r="I136" i="3" s="1"/>
  <c r="C137" i="3"/>
  <c r="V13" i="2" l="1"/>
  <c r="Y20" i="2"/>
  <c r="AA20" i="2" s="1"/>
  <c r="Y17" i="2"/>
  <c r="AA17" i="2" s="1"/>
  <c r="Q13" i="2"/>
  <c r="T13" i="2" s="1"/>
  <c r="Y15" i="2"/>
  <c r="AA15" i="2" s="1"/>
  <c r="AC15" i="2" s="1"/>
  <c r="R13" i="2"/>
  <c r="Y19" i="2"/>
  <c r="AA19" i="2" s="1"/>
  <c r="AC19" i="2" s="1"/>
  <c r="U13" i="2"/>
  <c r="I3" i="2" s="1" a="1"/>
  <c r="I3" i="2" s="1"/>
  <c r="I5" i="2" s="1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AC19" i="3" s="1"/>
  <c r="Z17" i="3"/>
  <c r="AB17" i="3" s="1"/>
  <c r="Z16" i="3"/>
  <c r="AB16" i="3" s="1"/>
  <c r="AC16" i="3" s="1"/>
  <c r="H136" i="8"/>
  <c r="I136" i="8" s="1"/>
  <c r="R76" i="8"/>
  <c r="R76" i="9"/>
  <c r="Q13" i="9"/>
  <c r="T13" i="9" s="1"/>
  <c r="Z14" i="9"/>
  <c r="AB14" i="9" s="1"/>
  <c r="AC14" i="9" s="1"/>
  <c r="AC17" i="2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AC20" i="2"/>
  <c r="H136" i="4"/>
  <c r="I136" i="4" s="1"/>
  <c r="N19" i="3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N19" i="2"/>
  <c r="X13" i="7"/>
  <c r="W13" i="6"/>
  <c r="Z17" i="6"/>
  <c r="AB17" i="6" s="1"/>
  <c r="AC18" i="8"/>
  <c r="K14" i="7"/>
  <c r="O17" i="7" s="1"/>
  <c r="N19" i="7" s="1"/>
  <c r="K20" i="7"/>
  <c r="K19" i="7"/>
  <c r="K21" i="7"/>
  <c r="K16" i="7"/>
  <c r="Q19" i="7"/>
  <c r="K17" i="7"/>
  <c r="K15" i="7"/>
  <c r="AC14" i="8"/>
  <c r="AC20" i="8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20" i="3" l="1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3" l="1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H139" i="1"/>
  <c r="I139" i="1" s="1"/>
  <c r="F22" i="1"/>
  <c r="N13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Y14" i="1" l="1"/>
  <c r="Y16" i="1"/>
  <c r="V13" i="1"/>
  <c r="Y17" i="1"/>
  <c r="U13" i="1"/>
  <c r="Y18" i="1"/>
  <c r="AA18" i="1" s="1"/>
  <c r="Y19" i="1"/>
  <c r="AA19" i="1" s="1"/>
  <c r="Y21" i="1"/>
  <c r="AA21" i="1" s="1"/>
  <c r="Y20" i="1"/>
  <c r="Y15" i="1"/>
  <c r="K21" i="1"/>
  <c r="AD19" i="1"/>
  <c r="AD20" i="1"/>
  <c r="I4" i="1"/>
  <c r="L4" i="1" s="1"/>
  <c r="N4" i="1" s="1"/>
  <c r="N5" i="1" s="1"/>
  <c r="J64" i="1" s="1"/>
  <c r="AD18" i="1"/>
  <c r="AD21" i="1"/>
  <c r="AD15" i="1"/>
  <c r="AD14" i="1"/>
  <c r="AD16" i="1"/>
  <c r="AD17" i="1"/>
  <c r="P13" i="1"/>
  <c r="AI14" i="1" s="1"/>
  <c r="AI20" i="1"/>
  <c r="AI21" i="1"/>
  <c r="Z14" i="1"/>
  <c r="AB14" i="1" s="1"/>
  <c r="AM14" i="1" s="1"/>
  <c r="Z15" i="1"/>
  <c r="AB15" i="1" s="1"/>
  <c r="Z17" i="1"/>
  <c r="AB17" i="1" s="1"/>
  <c r="Z18" i="1"/>
  <c r="AB18" i="1" s="1"/>
  <c r="Z19" i="1"/>
  <c r="AB19" i="1" s="1"/>
  <c r="Z20" i="1"/>
  <c r="AB20" i="1" s="1"/>
  <c r="X13" i="1"/>
  <c r="Z16" i="1"/>
  <c r="AB16" i="1" s="1"/>
  <c r="Z21" i="1"/>
  <c r="AB21" i="1" s="1"/>
  <c r="W13" i="1"/>
  <c r="C132" i="1"/>
  <c r="K20" i="1"/>
  <c r="R19" i="1"/>
  <c r="K16" i="1"/>
  <c r="K19" i="1"/>
  <c r="K15" i="1"/>
  <c r="K14" i="1"/>
  <c r="O17" i="1" s="1"/>
  <c r="N19" i="1" s="1"/>
  <c r="K17" i="1"/>
  <c r="K18" i="1"/>
  <c r="S13" i="1"/>
  <c r="AA20" i="1"/>
  <c r="AA14" i="1"/>
  <c r="AA16" i="1"/>
  <c r="AA17" i="1"/>
  <c r="AA15" i="1"/>
  <c r="B132" i="1"/>
  <c r="Q13" i="1"/>
  <c r="T13" i="1" s="1"/>
  <c r="R13" i="1"/>
  <c r="AM20" i="1" l="1"/>
  <c r="AM21" i="1"/>
  <c r="AM16" i="1"/>
  <c r="AM18" i="1"/>
  <c r="AM19" i="1"/>
  <c r="AM17" i="1"/>
  <c r="AM15" i="1"/>
  <c r="AJ21" i="1"/>
  <c r="AK21" i="1" s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K20" i="1" s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G21" i="1" l="1"/>
  <c r="AK18" i="1"/>
  <c r="AK15" i="1"/>
  <c r="AC21" i="1"/>
  <c r="AN21" i="1" s="1"/>
  <c r="AK19" i="1"/>
  <c r="AK17" i="1"/>
  <c r="AG20" i="1"/>
  <c r="AC20" i="1" s="1"/>
  <c r="AN20" i="1" s="1"/>
  <c r="AK16" i="1"/>
  <c r="AG15" i="1"/>
  <c r="AG14" i="1"/>
  <c r="AC14" i="1" s="1"/>
  <c r="AG18" i="1"/>
  <c r="AC18" i="1" s="1"/>
  <c r="AN18" i="1" s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U37" i="1"/>
  <c r="AN14" i="1" l="1"/>
  <c r="AC19" i="1"/>
  <c r="AN19" i="1" s="1"/>
  <c r="AC15" i="1"/>
  <c r="AN15" i="1" s="1"/>
  <c r="AC17" i="1"/>
  <c r="AN17" i="1" s="1"/>
  <c r="AC16" i="1"/>
  <c r="AN16" i="1" s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J66" i="1" l="1"/>
  <c r="F126" i="1"/>
  <c r="F127" i="1"/>
  <c r="AC23" i="1"/>
  <c r="AC24" i="1"/>
  <c r="AC22" i="1"/>
  <c r="Q66" i="1"/>
  <c r="E132" i="1"/>
  <c r="C133" i="1" s="1"/>
  <c r="Q65" i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B125" i="1"/>
  <c r="B65" i="7" l="1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G127" i="1" l="1"/>
  <c r="J127" i="1" s="1"/>
  <c r="J126" i="1"/>
  <c r="I127" i="1"/>
  <c r="I126" i="1"/>
  <c r="B65" i="4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R79" i="1"/>
  <c r="R82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R80" i="1" l="1"/>
  <c r="R83" i="1" s="1"/>
  <c r="Q79" i="1"/>
  <c r="Q82" i="1" s="1"/>
  <c r="Q80" i="1"/>
  <c r="Q83" i="1" s="1"/>
  <c r="W151" i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I67" i="1" l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K148" i="4" l="1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P137" i="4" l="1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Q140" i="4" l="1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Q24" i="1" s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  <c r="Q6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<sst xmlns="http://schemas.openxmlformats.org/spreadsheetml/2006/main" count="2366" uniqueCount="191">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</sst>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12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7C7AB66-C774-4E44-A58B-CD386F7F17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ADEA6D-B9FC-4054-B2EF-0AB384A573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938090-52C2-4555-A2B4-BBCFA00E1F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03AEEF-BB88-4E30-8BA8-94B88C49DE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58A8AB-A983-42DC-A274-7C15D3AC9A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46811C-ED45-4A72-82C4-841D72D446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792F72-48C6-48F6-A3BC-ED8C34E758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541.7802 kips</c:v>
                  </c:pt>
                  <c:pt idx="1">
                    <c:v>
572.6293 kips</c:v>
                  </c:pt>
                  <c:pt idx="2">
                    <c:v>
225.118 kips</c:v>
                  </c:pt>
                  <c:pt idx="3">
                    <c:v>
20.5131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46169716535907424"/>
                  <c:y val="-0.43203012670160146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66E2034D-52B0-435D-BC96-ADC39762F44C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733289001255292"/>
                      <c:h val="0.14297370828508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4.9725 ksi
NG
NOT A SOLUTION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5.9999999999999982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-2.3477158630837982</c:v>
                </c:pt>
                <c:pt idx="1">
                  <c:v>13.132276163239336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8.8636658655333331</c:v>
                </c:pt>
                <c:pt idx="1">
                  <c:v>11.19765130145238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4B5948F-77D3-4C1C-A880-31E38C321B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4.2112723321294023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11.284197640091158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1460.0406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1.5000000000000004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1.4999999999999991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8DB0E2-447C-46BD-879C-23A377C328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5C73B9-288D-43B1-85F5-6A65038AEE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040F74-394D-4C13-9FE0-5211068C77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11.026933120852219</c:v>
                </c:pt>
                <c:pt idx="4">
                  <c:v>12</c:v>
                </c:pt>
                <c:pt idx="5">
                  <c:v>12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3">
                    <c:v>0 ksi</c:v>
                  </c:pt>
                  <c:pt idx="4">
                    <c:v>62.3351 ksi</c:v>
                  </c:pt>
                  <c:pt idx="5">
                    <c:v>178.2392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403E77-CF86-4832-9F25-89D15064E2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9.2176411532980786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5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6C9BE3-3792-4FC1-A748-DC0C9D11FD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940BC8-890B-486D-9705-01D4538F6C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12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7AB0B0F-2CD8-49F8-8890-F992229A05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4.9725 ksi
NG
NOT A SOLUTION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5.9999999999999982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-2.3477158630837982</c:v>
                </c:pt>
                <c:pt idx="1">
                  <c:v>13.132276163239336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8.8636658655333331</c:v>
                </c:pt>
                <c:pt idx="1">
                  <c:v>11.19765130145238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4.2112723321294023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11.284197640091158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1.5000000000000004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1.4999999999999991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5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-4.3082743801384131</c:v>
                </c:pt>
                <c:pt idx="1">
                  <c:v>1.6246680909246241</c:v>
                </c:pt>
                <c:pt idx="2">
                  <c:v>2.5192035206625536</c:v>
                </c:pt>
                <c:pt idx="3">
                  <c:v>8.4521459917255921</c:v>
                </c:pt>
                <c:pt idx="4">
                  <c:v>9.3466814214635203</c:v>
                </c:pt>
                <c:pt idx="5">
                  <c:v>-2.5192035206625536</c:v>
                </c:pt>
                <c:pt idx="6">
                  <c:v>-4.3082743801384131</c:v>
                </c:pt>
                <c:pt idx="7">
                  <c:v>-4.3082743801384131</c:v>
                </c:pt>
                <c:pt idx="8">
                  <c:v>-4.3082743801384131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-8.4521459917255921</c:v>
                </c:pt>
                <c:pt idx="1">
                  <c:v>-9.3466814214635203</c:v>
                </c:pt>
                <c:pt idx="2">
                  <c:v>-3.4137389504004836</c:v>
                </c:pt>
                <c:pt idx="3">
                  <c:v>-4.3082743801384131</c:v>
                </c:pt>
                <c:pt idx="4">
                  <c:v>1.6246680909246241</c:v>
                </c:pt>
                <c:pt idx="5">
                  <c:v>3.4137389504004836</c:v>
                </c:pt>
                <c:pt idx="6">
                  <c:v>-8.4521459917255921</c:v>
                </c:pt>
                <c:pt idx="7">
                  <c:v>-8.4521459917255921</c:v>
                </c:pt>
                <c:pt idx="8">
                  <c:v>-8.4521459917255921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-2.6014049049381711</c:v>
                </c:pt>
                <c:pt idx="1">
                  <c:v>0.36506633059334725</c:v>
                </c:pt>
                <c:pt idx="2">
                  <c:v>7.1925442313943142</c:v>
                </c:pt>
                <c:pt idx="3">
                  <c:v>7.6398119462632783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-7.1925442313943142</c:v>
                </c:pt>
                <c:pt idx="1">
                  <c:v>-7.6398119462632783</c:v>
                </c:pt>
                <c:pt idx="2">
                  <c:v>-2.6014049049381711</c:v>
                </c:pt>
                <c:pt idx="3">
                  <c:v>0.36506633059334725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-5.3082743801384131</c:v>
                </c:pt>
                <c:pt idx="1">
                  <c:v>10.34668142146352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0.66247645517785081</c:v>
                </c:pt>
                <c:pt idx="1">
                  <c:v>0.66247645517785081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9.2016076216464864</c:v>
                </c:pt>
                <c:pt idx="4">
                  <c:v>9.3466814214635203</c:v>
                </c:pt>
                <c:pt idx="5">
                  <c:v>-2.5192035206625536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0.66247645517785081</c:v>
                </c:pt>
                <c:pt idx="4">
                  <c:v>1.6246680909246241</c:v>
                </c:pt>
                <c:pt idx="5">
                  <c:v>3.4137389504004836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9.3466814214635203</c:v>
                </c:pt>
                <c:pt idx="4">
                  <c:v>-2.5192035206625536</c:v>
                </c:pt>
                <c:pt idx="5">
                  <c:v>-2.9340232817658252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1.6246680909246241</c:v>
                </c:pt>
                <c:pt idx="4">
                  <c:v>3.4137389504004836</c:v>
                </c:pt>
                <c:pt idx="5">
                  <c:v>0.66247645517785081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1.5382841301499022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2.0780811958412917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-10.34668142146352</c:v>
                </c:pt>
                <c:pt idx="1">
                  <c:v>10.34668142146352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-10.34668142146352</c:v>
                </c:pt>
                <c:pt idx="1">
                  <c:v>10.34668142146352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-4.3082743801384131</c:v>
                </c:pt>
                <c:pt idx="1">
                  <c:v>-4.3082743801384131</c:v>
                </c:pt>
                <c:pt idx="2">
                  <c:v>-4.3082743801384131</c:v>
                </c:pt>
                <c:pt idx="3">
                  <c:v>-4.3082743801384131</c:v>
                </c:pt>
                <c:pt idx="4">
                  <c:v>-4.3082743801384131</c:v>
                </c:pt>
                <c:pt idx="5">
                  <c:v>-4.3082743801384131</c:v>
                </c:pt>
                <c:pt idx="6">
                  <c:v>-4.3082743801384131</c:v>
                </c:pt>
                <c:pt idx="7">
                  <c:v>-3.4137389504004836</c:v>
                </c:pt>
                <c:pt idx="8">
                  <c:v>-4.3082743801384131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-8.4521459917255921</c:v>
                </c:pt>
                <c:pt idx="1">
                  <c:v>-8.4521459917255921</c:v>
                </c:pt>
                <c:pt idx="2">
                  <c:v>-8.4521459917255921</c:v>
                </c:pt>
                <c:pt idx="3">
                  <c:v>-8.4521459917255921</c:v>
                </c:pt>
                <c:pt idx="4">
                  <c:v>-8.4521459917255921</c:v>
                </c:pt>
                <c:pt idx="5">
                  <c:v>-8.4521459917255921</c:v>
                </c:pt>
                <c:pt idx="6">
                  <c:v>-8.4521459917255921</c:v>
                </c:pt>
                <c:pt idx="7">
                  <c:v>-2.5192035206625554</c:v>
                </c:pt>
                <c:pt idx="8">
                  <c:v>-8.4521459917255921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-2.6014049049381711</c:v>
                </c:pt>
                <c:pt idx="1">
                  <c:v>0.36506633059334725</c:v>
                </c:pt>
                <c:pt idx="2">
                  <c:v>7.1925442313943142</c:v>
                </c:pt>
                <c:pt idx="3">
                  <c:v>7.6398119462632783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-7.1925442313943142</c:v>
                </c:pt>
                <c:pt idx="1">
                  <c:v>-7.6398119462632783</c:v>
                </c:pt>
                <c:pt idx="2">
                  <c:v>-2.6014049049381711</c:v>
                </c:pt>
                <c:pt idx="3">
                  <c:v>0.36506633059334725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16" zoomScale="85" zoomScaleNormal="85" workbookViewId="0">
      <selection activeCell="B4" sqref="B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100</v>
      </c>
      <c r="C2" t="s">
        <v>36</v>
      </c>
      <c r="D2" t="s">
        <v>103</v>
      </c>
      <c r="H2" s="10" t="s">
        <v>187</v>
      </c>
      <c r="I2">
        <f>B2/D22</f>
        <v>0.92592592592592593</v>
      </c>
      <c r="J2" t="s">
        <v>11</v>
      </c>
      <c r="N2" t="s">
        <v>189</v>
      </c>
    </row>
    <row r="3" spans="1:40" x14ac:dyDescent="0.25">
      <c r="A3" s="10" t="s">
        <v>79</v>
      </c>
      <c r="B3" s="2">
        <v>-12000</v>
      </c>
      <c r="C3" t="s">
        <v>102</v>
      </c>
      <c r="D3" t="str">
        <f>"- Mx puts compression on +y"</f>
        <v>- Mx puts compression on +y</v>
      </c>
      <c r="H3" s="10" t="s">
        <v>178</v>
      </c>
      <c r="I3" s="3">
        <f>B9-E22</f>
        <v>-2</v>
      </c>
      <c r="J3" t="s">
        <v>22</v>
      </c>
      <c r="K3" t="s">
        <v>180</v>
      </c>
      <c r="L3" s="4">
        <f>B2*I3</f>
        <v>-200</v>
      </c>
      <c r="M3" t="str">
        <f>"+My"</f>
        <v>+My</v>
      </c>
      <c r="N3" s="4">
        <f>L3+B4</f>
        <v>-320</v>
      </c>
      <c r="O3" t="s">
        <v>102</v>
      </c>
    </row>
    <row r="4" spans="1:40" x14ac:dyDescent="0.25">
      <c r="A4" s="10" t="s">
        <v>80</v>
      </c>
      <c r="B4" s="2">
        <v>-120</v>
      </c>
      <c r="C4" t="s">
        <v>102</v>
      </c>
      <c r="D4" t="str">
        <f>"- My puts compression on -x"</f>
        <v>- My puts compression on -x</v>
      </c>
      <c r="H4" s="10" t="s">
        <v>179</v>
      </c>
      <c r="I4" s="3">
        <f>C9-F22</f>
        <v>2</v>
      </c>
      <c r="J4" t="s">
        <v>22</v>
      </c>
      <c r="K4" t="s">
        <v>181</v>
      </c>
      <c r="L4" s="4">
        <f>B2*I4*-1</f>
        <v>-200</v>
      </c>
      <c r="M4" t="str">
        <f>"+Mx"</f>
        <v>+Mx</v>
      </c>
      <c r="N4" s="4">
        <f>B3+L4</f>
        <v>-12200</v>
      </c>
      <c r="O4" t="s">
        <v>102</v>
      </c>
    </row>
    <row r="5" spans="1:40" x14ac:dyDescent="0.25">
      <c r="A5" s="10" t="s">
        <v>104</v>
      </c>
      <c r="B5" s="20">
        <f>IF(AND(B3=0,B4=0),0,ATAN2(B3,B4))</f>
        <v>-3.131592986903128</v>
      </c>
      <c r="C5" t="s">
        <v>19</v>
      </c>
      <c r="M5" s="10" t="s">
        <v>104</v>
      </c>
      <c r="N5" s="20">
        <f>IF(AND(N4=0,N3=0),0,ATAN2(N4,N3))</f>
        <v>-3.1153691580990301</v>
      </c>
      <c r="O5" t="s">
        <v>19</v>
      </c>
      <c r="P5" t="s">
        <v>188</v>
      </c>
    </row>
    <row r="6" spans="1:40" x14ac:dyDescent="0.25">
      <c r="A6" s="10"/>
      <c r="B6" s="15"/>
    </row>
    <row r="7" spans="1:40" x14ac:dyDescent="0.25">
      <c r="A7" t="s">
        <v>20</v>
      </c>
    </row>
    <row r="8" spans="1:40" x14ac:dyDescent="0.25">
      <c r="B8" s="1" t="s">
        <v>6</v>
      </c>
      <c r="C8" s="1" t="s">
        <v>7</v>
      </c>
    </row>
    <row r="9" spans="1:40" x14ac:dyDescent="0.25">
      <c r="B9" s="2">
        <v>3</v>
      </c>
      <c r="C9" s="2">
        <v>9</v>
      </c>
      <c r="D9" t="s">
        <v>21</v>
      </c>
    </row>
    <row r="11" spans="1:40" x14ac:dyDescent="0.25">
      <c r="A11" t="s">
        <v>0</v>
      </c>
      <c r="N11" t="s">
        <v>177</v>
      </c>
      <c r="AD11" t="s">
        <v>182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183</v>
      </c>
      <c r="AE12" s="18"/>
      <c r="AG12" s="18" t="s">
        <v>184</v>
      </c>
      <c r="AH12" s="18" t="s">
        <v>185</v>
      </c>
      <c r="AK12" s="18" t="s">
        <v>186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G22-(D22*F22*F22)</f>
        <v>1188</v>
      </c>
      <c r="O13" s="19">
        <f>H22-(D22*E22*E22)</f>
        <v>1188</v>
      </c>
      <c r="P13" s="19">
        <f>I22-(D22*E22*F22)</f>
        <v>432</v>
      </c>
      <c r="Q13" s="19">
        <f>N13+O13</f>
        <v>2376</v>
      </c>
      <c r="R13" s="19">
        <f>SQRT(ABS(N13/D22))</f>
        <v>3.3166247903553998</v>
      </c>
      <c r="S13" s="19">
        <f>SQRT(O13/D22)</f>
        <v>3.3166247903553998</v>
      </c>
      <c r="T13" s="19">
        <f>SQRT(Q13/D22)</f>
        <v>4.6904157598234297</v>
      </c>
      <c r="U13" s="19">
        <f>N13/(MAX(C13:C20)-F22)</f>
        <v>237.6</v>
      </c>
      <c r="V13" s="19">
        <f>N13/(MIN(C13:C20)-F22)</f>
        <v>-169.71428571428572</v>
      </c>
      <c r="W13" s="19">
        <f>O13/(MIN(B13:B20)-E22)</f>
        <v>-237.6</v>
      </c>
      <c r="X13" s="19">
        <f>O13/(MAX(B13:B20)-E22)</f>
        <v>169.71428571428572</v>
      </c>
    </row>
    <row r="14" spans="1:40" x14ac:dyDescent="0.25">
      <c r="A14">
        <v>2</v>
      </c>
      <c r="B14" s="7">
        <v>6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$N$13/(C14-$F$22)</f>
        <v>-169.71428571428572</v>
      </c>
      <c r="Z14">
        <f>$O$13/(B14-$E$22)</f>
        <v>1188</v>
      </c>
      <c r="AA14">
        <f>-1*$B$3/Y14</f>
        <v>-70.707070707070699</v>
      </c>
      <c r="AB14">
        <f>$B$4/Z14</f>
        <v>-0.10101010101010101</v>
      </c>
      <c r="AC14">
        <f>$I$2+AG14+AK14</f>
        <v>-87.317460317460331</v>
      </c>
      <c r="AD14" s="9">
        <f>C14-$F$22</f>
        <v>-7</v>
      </c>
      <c r="AE14">
        <f>(AD14*$N$4*$O$13)/(($N$13*$O$13)-($P$13*$P$13))</f>
        <v>82.839506172839506</v>
      </c>
      <c r="AF14">
        <f>(AD14*$N$3*$P$13)/(($N$13*$O$13)-($P$13*$P$13))</f>
        <v>0.79012345679012341</v>
      </c>
      <c r="AG14">
        <f>(AE14+AF14)*-1</f>
        <v>-83.629629629629633</v>
      </c>
      <c r="AH14" s="9">
        <f>B14-$E$22</f>
        <v>1</v>
      </c>
      <c r="AI14">
        <f>(-1*AH14*$N$3*$N$13)/(($N$13*$O$13)-($P$13*$P$13))</f>
        <v>0.31040564373897706</v>
      </c>
      <c r="AJ14">
        <f>(-1*AH14*$N$4*$P$13)/(($N$13*$O$13)-($P$13*$P$13))</f>
        <v>4.3033509700176369</v>
      </c>
      <c r="AK14">
        <f>(AI14+AJ14)*-1</f>
        <v>-4.6137566137566139</v>
      </c>
      <c r="AM14">
        <f>AA14+AB14+$I$2</f>
        <v>-69.882154882154879</v>
      </c>
      <c r="AN14" t="b">
        <f>AM14=AC14</f>
        <v>0</v>
      </c>
    </row>
    <row r="15" spans="1:40" x14ac:dyDescent="0.25">
      <c r="A15">
        <v>3</v>
      </c>
      <c r="B15" s="7">
        <v>6</v>
      </c>
      <c r="C15" s="7">
        <v>6</v>
      </c>
      <c r="D15" s="5">
        <f t="shared" ref="D15:D18" si="0">((B14*C15)-(B15*C14))*0.5</f>
        <v>18</v>
      </c>
      <c r="E15" s="5">
        <f t="shared" ref="E15:E18" si="1">(B15+B14)*((B14*C15)-(B15*C14))*(1/6)</f>
        <v>72</v>
      </c>
      <c r="F15" s="5">
        <f t="shared" ref="F15:F18" si="2">(C15+C14)*((B14*C15)-(B15*C14))*(1/6)</f>
        <v>36</v>
      </c>
      <c r="G15" s="5">
        <f t="shared" ref="G15:G18" si="3">(((C14*C14)+(C14*C15)+(C15*C15))*((B14*C15)-(B15*C14)))/12</f>
        <v>108</v>
      </c>
      <c r="H15" s="5">
        <f t="shared" ref="H15:H18" si="4">(((B14*B14)+(B14*B15)+(B15*B15))*((B14*C15)-(B15*C14)))/12</f>
        <v>324</v>
      </c>
      <c r="I15" s="5">
        <f t="shared" ref="I15:I18" si="5">(((B14*C15)+(2*B14*C14)+(2*B15*C15)+(B15*C14))*((B14*C15)-(B15*C14)))/24</f>
        <v>162</v>
      </c>
      <c r="J15" s="5">
        <f t="shared" ref="J15:J18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1" si="8">$N$13/(C15-$F$22)</f>
        <v>-1188</v>
      </c>
      <c r="Z15">
        <f t="shared" ref="Z15:Z21" si="9">$O$13/(B15-$E$22)</f>
        <v>1188</v>
      </c>
      <c r="AA15">
        <f t="shared" ref="AA15:AA21" si="10">-1*$B$3/Y15</f>
        <v>-10.1010101010101</v>
      </c>
      <c r="AB15">
        <f t="shared" ref="AB15:AB21" si="11">$B$4/Z15</f>
        <v>-0.10101010101010101</v>
      </c>
      <c r="AC15">
        <f t="shared" ref="AC15:AC21" si="12">$I$2+AG15+AK15</f>
        <v>-15.634920634920636</v>
      </c>
      <c r="AD15" s="9">
        <f t="shared" ref="AD15:AD21" si="13">C15-$F$22</f>
        <v>-1</v>
      </c>
      <c r="AE15">
        <f t="shared" ref="AE15:AE21" si="14">(AD15*$N$4*$O$13)/(($N$13*$O$13)-($P$13*$P$13))</f>
        <v>11.834215167548502</v>
      </c>
      <c r="AF15">
        <f t="shared" ref="AF15:AF21" si="15">(AD15*$N$3*$P$13)/(($N$13*$O$13)-($P$13*$P$13))</f>
        <v>0.1128747795414462</v>
      </c>
      <c r="AG15">
        <f t="shared" ref="AG15:AG21" si="16">(AE15+AF15)*-1</f>
        <v>-11.947089947089948</v>
      </c>
      <c r="AH15" s="9">
        <f t="shared" ref="AH15:AH21" si="17">B15-$E$22</f>
        <v>1</v>
      </c>
      <c r="AI15">
        <f t="shared" ref="AI15:AI21" si="18">(-1*AH15*$N$3*$N$13)/(($N$13*$O$13)-($P$13*$P$13))</f>
        <v>0.31040564373897706</v>
      </c>
      <c r="AJ15">
        <f t="shared" ref="AJ15:AJ21" si="19">(-1*AH15*$N$4*$P$13)/(($N$13*$O$13)-($P$13*$P$13))</f>
        <v>4.3033509700176369</v>
      </c>
      <c r="AK15">
        <f t="shared" ref="AK15:AK21" si="20">(AI15+AJ15)*-1</f>
        <v>-4.6137566137566139</v>
      </c>
      <c r="AM15">
        <f t="shared" ref="AM15:AM21" si="21">AA15+AB15+$I$2</f>
        <v>-9.2760942760942751</v>
      </c>
      <c r="AN15" t="b">
        <f t="shared" ref="AN15:AN21" si="22">AM15=AC15</f>
        <v>0</v>
      </c>
    </row>
    <row r="16" spans="1:40" x14ac:dyDescent="0.25">
      <c r="A16">
        <v>4</v>
      </c>
      <c r="B16" s="7">
        <v>12</v>
      </c>
      <c r="C16" s="7"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-1188</v>
      </c>
      <c r="Z16">
        <f t="shared" si="9"/>
        <v>169.71428571428572</v>
      </c>
      <c r="AA16">
        <f t="shared" si="10"/>
        <v>-10.1010101010101</v>
      </c>
      <c r="AB16">
        <f t="shared" si="11"/>
        <v>-0.70707070707070707</v>
      </c>
      <c r="AC16">
        <f t="shared" si="12"/>
        <v>-43.317460317460316</v>
      </c>
      <c r="AD16" s="9">
        <f t="shared" si="13"/>
        <v>-1</v>
      </c>
      <c r="AE16">
        <f t="shared" si="14"/>
        <v>11.834215167548502</v>
      </c>
      <c r="AF16">
        <f t="shared" si="15"/>
        <v>0.1128747795414462</v>
      </c>
      <c r="AG16">
        <f t="shared" si="16"/>
        <v>-11.947089947089948</v>
      </c>
      <c r="AH16" s="9">
        <f t="shared" si="17"/>
        <v>7</v>
      </c>
      <c r="AI16">
        <f t="shared" si="18"/>
        <v>2.1728395061728394</v>
      </c>
      <c r="AJ16">
        <f t="shared" si="19"/>
        <v>30.123456790123456</v>
      </c>
      <c r="AK16">
        <f t="shared" si="20"/>
        <v>-32.296296296296298</v>
      </c>
      <c r="AM16">
        <f t="shared" si="21"/>
        <v>-9.8821548821548824</v>
      </c>
      <c r="AN16" t="b">
        <f t="shared" si="22"/>
        <v>0</v>
      </c>
    </row>
    <row r="17" spans="1:40" x14ac:dyDescent="0.25">
      <c r="A17">
        <v>5</v>
      </c>
      <c r="B17" s="7">
        <v>12</v>
      </c>
      <c r="C17" s="7"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237.6</v>
      </c>
      <c r="Z17">
        <f t="shared" si="9"/>
        <v>169.71428571428572</v>
      </c>
      <c r="AA17">
        <f t="shared" si="10"/>
        <v>50.505050505050505</v>
      </c>
      <c r="AB17">
        <f t="shared" si="11"/>
        <v>-0.70707070707070707</v>
      </c>
      <c r="AC17">
        <f t="shared" si="12"/>
        <v>28.36507936507936</v>
      </c>
      <c r="AD17" s="9">
        <f t="shared" si="13"/>
        <v>5</v>
      </c>
      <c r="AE17">
        <f t="shared" si="14"/>
        <v>-59.171075837742507</v>
      </c>
      <c r="AF17">
        <f t="shared" si="15"/>
        <v>-0.56437389770723101</v>
      </c>
      <c r="AG17">
        <f t="shared" si="16"/>
        <v>59.735449735449734</v>
      </c>
      <c r="AH17" s="9">
        <f t="shared" si="17"/>
        <v>7</v>
      </c>
      <c r="AI17">
        <f t="shared" si="18"/>
        <v>2.1728395061728394</v>
      </c>
      <c r="AJ17">
        <f t="shared" si="19"/>
        <v>30.123456790123456</v>
      </c>
      <c r="AK17">
        <f t="shared" si="20"/>
        <v>-32.296296296296298</v>
      </c>
      <c r="AM17">
        <f t="shared" si="21"/>
        <v>50.723905723905723</v>
      </c>
      <c r="AN17" t="b">
        <f t="shared" si="22"/>
        <v>0</v>
      </c>
    </row>
    <row r="18" spans="1:40" x14ac:dyDescent="0.25">
      <c r="A18">
        <v>6</v>
      </c>
      <c r="B18" s="7">
        <v>0</v>
      </c>
      <c r="C18" s="7"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237.6</v>
      </c>
      <c r="Z18">
        <f t="shared" si="9"/>
        <v>-237.6</v>
      </c>
      <c r="AA18">
        <f t="shared" si="10"/>
        <v>50.505050505050505</v>
      </c>
      <c r="AB18">
        <f t="shared" si="11"/>
        <v>0.50505050505050508</v>
      </c>
      <c r="AC18">
        <f t="shared" si="12"/>
        <v>83.730158730158735</v>
      </c>
      <c r="AD18" s="9">
        <f t="shared" si="13"/>
        <v>5</v>
      </c>
      <c r="AE18">
        <f t="shared" si="14"/>
        <v>-59.171075837742507</v>
      </c>
      <c r="AF18">
        <f t="shared" si="15"/>
        <v>-0.56437389770723101</v>
      </c>
      <c r="AG18">
        <f t="shared" si="16"/>
        <v>59.735449735449734</v>
      </c>
      <c r="AH18" s="9">
        <f t="shared" si="17"/>
        <v>-5</v>
      </c>
      <c r="AI18">
        <f t="shared" si="18"/>
        <v>-1.5520282186948853</v>
      </c>
      <c r="AJ18">
        <f t="shared" si="19"/>
        <v>-21.516754850088184</v>
      </c>
      <c r="AK18">
        <f t="shared" si="20"/>
        <v>23.06878306878307</v>
      </c>
      <c r="AM18">
        <f t="shared" si="21"/>
        <v>51.936026936026934</v>
      </c>
      <c r="AN18" t="b">
        <f t="shared" si="22"/>
        <v>0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3">((B18*C19)-(B19*C18))*0.5</f>
        <v>0</v>
      </c>
      <c r="E19" s="5">
        <f t="shared" ref="E19" si="24">(B19+B18)*((B18*C19)-(B19*C18))*(1/6)</f>
        <v>0</v>
      </c>
      <c r="F19" s="5">
        <f t="shared" ref="F19" si="25">(C19+C18)*((B18*C19)-(B19*C18))*(1/6)</f>
        <v>0</v>
      </c>
      <c r="G19" s="5">
        <f t="shared" ref="G19" si="26">(((C18*C18)+(C18*C19)+(C19*C19))*((B18*C19)-(B19*C18)))/12</f>
        <v>0</v>
      </c>
      <c r="H19" s="5">
        <f t="shared" ref="H19" si="27">(((B18*B18)+(B18*B19)+(B19*B19))*((B18*C19)-(B19*C18)))/12</f>
        <v>0</v>
      </c>
      <c r="I19" s="5">
        <f t="shared" ref="I19" si="28">(((B18*C19)+(2*B18*C18)+(2*B19*C19)+(B19*C18))*((B18*C19)-(B19*C18)))/24</f>
        <v>0</v>
      </c>
      <c r="J19" s="5">
        <f t="shared" ref="J19" si="29">G19+H19</f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-169.71428571428572</v>
      </c>
      <c r="Z19">
        <f t="shared" si="9"/>
        <v>-237.6</v>
      </c>
      <c r="AA19">
        <f t="shared" si="10"/>
        <v>-70.707070707070699</v>
      </c>
      <c r="AB19">
        <f t="shared" si="11"/>
        <v>0.50505050505050508</v>
      </c>
      <c r="AC19">
        <f t="shared" si="12"/>
        <v>-59.63492063492064</v>
      </c>
      <c r="AD19" s="9">
        <f t="shared" si="13"/>
        <v>-7</v>
      </c>
      <c r="AE19">
        <f t="shared" si="14"/>
        <v>82.839506172839506</v>
      </c>
      <c r="AF19">
        <f t="shared" si="15"/>
        <v>0.79012345679012341</v>
      </c>
      <c r="AG19">
        <f t="shared" si="16"/>
        <v>-83.629629629629633</v>
      </c>
      <c r="AH19" s="9">
        <f t="shared" si="17"/>
        <v>-5</v>
      </c>
      <c r="AI19">
        <f t="shared" si="18"/>
        <v>-1.5520282186948853</v>
      </c>
      <c r="AJ19">
        <f t="shared" si="19"/>
        <v>-21.516754850088184</v>
      </c>
      <c r="AK19">
        <f t="shared" si="20"/>
        <v>23.06878306878307</v>
      </c>
      <c r="AM19">
        <f t="shared" si="21"/>
        <v>-69.27609427609427</v>
      </c>
      <c r="AN19" t="b">
        <f t="shared" si="22"/>
        <v>0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0">((B19*C20)-(B20*C19))*0.5</f>
        <v>0</v>
      </c>
      <c r="E20" s="5">
        <f t="shared" ref="E20" si="31">(B20+B19)*((B19*C20)-(B20*C19))*(1/6)</f>
        <v>0</v>
      </c>
      <c r="F20" s="5">
        <f t="shared" ref="F20" si="32">(C20+C19)*((B19*C20)-(B20*C19))*(1/6)</f>
        <v>0</v>
      </c>
      <c r="G20" s="5">
        <f t="shared" ref="G20" si="33">(((C19*C19)+(C19*C20)+(C20*C20))*((B19*C20)-(B20*C19)))/12</f>
        <v>0</v>
      </c>
      <c r="H20" s="5">
        <f t="shared" ref="H20" si="34">(((B19*B19)+(B19*B20)+(B20*B20))*((B19*C20)-(B20*C19)))/12</f>
        <v>0</v>
      </c>
      <c r="I20" s="5">
        <f t="shared" ref="I20" si="35">(((B19*C20)+(2*B19*C19)+(2*B20*C20)+(B20*C19))*((B19*C20)-(B20*C19)))/24</f>
        <v>0</v>
      </c>
      <c r="J20" s="5">
        <f t="shared" ref="J20" si="36">G20+H20</f>
        <v>0</v>
      </c>
      <c r="K20">
        <f t="shared" si="7"/>
        <v>-2.1910458127777179</v>
      </c>
      <c r="Y20" s="1">
        <f t="shared" si="8"/>
        <v>-169.71428571428572</v>
      </c>
      <c r="Z20">
        <f t="shared" si="9"/>
        <v>-237.6</v>
      </c>
      <c r="AA20">
        <f t="shared" si="10"/>
        <v>-70.707070707070699</v>
      </c>
      <c r="AB20">
        <f t="shared" si="11"/>
        <v>0.50505050505050508</v>
      </c>
      <c r="AC20">
        <f t="shared" si="12"/>
        <v>-59.63492063492064</v>
      </c>
      <c r="AD20" s="9">
        <f t="shared" si="13"/>
        <v>-7</v>
      </c>
      <c r="AE20">
        <f t="shared" si="14"/>
        <v>82.839506172839506</v>
      </c>
      <c r="AF20">
        <f t="shared" si="15"/>
        <v>0.79012345679012341</v>
      </c>
      <c r="AG20">
        <f t="shared" si="16"/>
        <v>-83.629629629629633</v>
      </c>
      <c r="AH20" s="9">
        <f t="shared" si="17"/>
        <v>-5</v>
      </c>
      <c r="AI20">
        <f t="shared" si="18"/>
        <v>-1.5520282186948853</v>
      </c>
      <c r="AJ20">
        <f t="shared" si="19"/>
        <v>-21.516754850088184</v>
      </c>
      <c r="AK20">
        <f t="shared" si="20"/>
        <v>23.06878306878307</v>
      </c>
      <c r="AM20">
        <f t="shared" si="21"/>
        <v>-69.27609427609427</v>
      </c>
      <c r="AN20" t="b">
        <f t="shared" si="22"/>
        <v>0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7">((B20*C21)-(B21*C20))*0.5</f>
        <v>0</v>
      </c>
      <c r="E21" s="5">
        <f t="shared" ref="E21" si="38">(B21+B20)*((B20*C21)-(B21*C20))*(1/6)</f>
        <v>0</v>
      </c>
      <c r="F21" s="5">
        <f t="shared" ref="F21" si="39">(C21+C20)*((B20*C21)-(B21*C20))*(1/6)</f>
        <v>0</v>
      </c>
      <c r="G21" s="5">
        <f t="shared" ref="G21" si="40">(((C20*C20)+(C20*C21)+(C21*C21))*((B20*C21)-(B21*C20)))/12</f>
        <v>0</v>
      </c>
      <c r="H21" s="5">
        <f t="shared" ref="H21" si="41">(((B20*B20)+(B20*B21)+(B21*B21))*((B20*C21)-(B21*C20)))/12</f>
        <v>0</v>
      </c>
      <c r="I21" s="5">
        <f t="shared" ref="I21" si="42">(((B20*C21)+(2*B20*C20)+(2*B21*C21)+(B21*C20))*((B20*C21)-(B21*C20)))/24</f>
        <v>0</v>
      </c>
      <c r="J21" s="5">
        <f t="shared" ref="J21" si="43">G21+H21</f>
        <v>0</v>
      </c>
      <c r="K21">
        <f t="shared" si="7"/>
        <v>-2.1910458127777179</v>
      </c>
      <c r="Y21" s="1">
        <f t="shared" si="8"/>
        <v>-169.71428571428572</v>
      </c>
      <c r="Z21">
        <f t="shared" si="9"/>
        <v>-237.6</v>
      </c>
      <c r="AA21">
        <f t="shared" si="10"/>
        <v>-70.707070707070699</v>
      </c>
      <c r="AB21">
        <f t="shared" si="11"/>
        <v>0.50505050505050508</v>
      </c>
      <c r="AC21">
        <f t="shared" si="12"/>
        <v>-59.63492063492064</v>
      </c>
      <c r="AD21" s="9">
        <f t="shared" si="13"/>
        <v>-7</v>
      </c>
      <c r="AE21">
        <f t="shared" si="14"/>
        <v>82.839506172839506</v>
      </c>
      <c r="AF21">
        <f t="shared" si="15"/>
        <v>0.79012345679012341</v>
      </c>
      <c r="AG21">
        <f t="shared" si="16"/>
        <v>-83.629629629629633</v>
      </c>
      <c r="AH21" s="9">
        <f t="shared" si="17"/>
        <v>-5</v>
      </c>
      <c r="AI21">
        <f t="shared" si="18"/>
        <v>-1.5520282186948853</v>
      </c>
      <c r="AJ21">
        <f t="shared" si="19"/>
        <v>-21.516754850088184</v>
      </c>
      <c r="AK21">
        <f t="shared" si="20"/>
        <v>23.06878306878307</v>
      </c>
      <c r="AM21">
        <f t="shared" si="21"/>
        <v>-69.27609427609427</v>
      </c>
      <c r="AN21" t="b">
        <f t="shared" si="22"/>
        <v>0</v>
      </c>
    </row>
    <row r="22" spans="1:40" x14ac:dyDescent="0.25">
      <c r="D22" s="5">
        <f>SUM(D13:D21)</f>
        <v>108</v>
      </c>
      <c r="E22" s="3">
        <f>SUM(E14:E21)/D22</f>
        <v>5</v>
      </c>
      <c r="F22" s="3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  <c r="AC22">
        <f>COUNTIF(AC14:AC21,"&gt;0")</f>
        <v>2</v>
      </c>
    </row>
    <row r="23" spans="1:40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 ca="1">A61&amp;"= 0.65*0.85*F'c*√A2/A1"&amp;CHAR(10)&amp;"= "&amp;ROUND(B61,4)&amp;" "&amp;C61&amp;CHAR(10)&amp;IF(B66&lt;=B61,"OK"&amp;CHAR(10)&amp;M57,"NG"&amp;CHAR(10)&amp;M57)</f>
        <v>φfp,max= 0.65*0.85*F'c*√A2/A1
= 4.9725 ksi
NG
NOT A SOLUTION</v>
      </c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4">((B26*C27)-(B27*C26))*0.5</f>
        <v>0</v>
      </c>
      <c r="E27" s="5"/>
      <c r="F27" s="5"/>
      <c r="G27" s="5"/>
      <c r="H27" s="5"/>
      <c r="I27" s="5"/>
      <c r="J27" s="5"/>
    </row>
    <row r="28" spans="1:40" x14ac:dyDescent="0.25">
      <c r="A28">
        <v>4</v>
      </c>
      <c r="B28" s="2">
        <v>0</v>
      </c>
      <c r="C28" s="2">
        <v>0</v>
      </c>
      <c r="D28" s="5">
        <f t="shared" si="44"/>
        <v>0</v>
      </c>
      <c r="E28" s="5"/>
      <c r="F28" s="5"/>
      <c r="G28" s="5"/>
      <c r="H28" s="5"/>
      <c r="I28" s="5"/>
      <c r="J28" s="5"/>
    </row>
    <row r="29" spans="1:40" x14ac:dyDescent="0.25">
      <c r="A29">
        <v>5</v>
      </c>
      <c r="B29" s="2">
        <v>0</v>
      </c>
      <c r="C29" s="2">
        <v>0</v>
      </c>
      <c r="D29" s="5">
        <f t="shared" si="44"/>
        <v>0</v>
      </c>
      <c r="E29" s="5"/>
      <c r="F29" s="5"/>
      <c r="G29" s="5"/>
      <c r="H29" s="5"/>
      <c r="I29" s="5"/>
      <c r="J29" s="5"/>
    </row>
    <row r="30" spans="1:40" x14ac:dyDescent="0.25">
      <c r="A30">
        <v>6</v>
      </c>
      <c r="B30" s="2">
        <v>0</v>
      </c>
      <c r="C30" s="2">
        <v>0</v>
      </c>
      <c r="D30" s="5">
        <f t="shared" si="44"/>
        <v>0</v>
      </c>
      <c r="E30" s="5"/>
      <c r="F30" s="5"/>
      <c r="G30" s="5"/>
      <c r="H30" s="5"/>
      <c r="I30" s="5"/>
      <c r="J30" s="5"/>
    </row>
    <row r="31" spans="1:40" x14ac:dyDescent="0.25">
      <c r="A31">
        <v>7</v>
      </c>
      <c r="B31" s="2">
        <v>0</v>
      </c>
      <c r="C31" s="2">
        <v>0</v>
      </c>
      <c r="D31" s="5">
        <f t="shared" si="44"/>
        <v>0</v>
      </c>
      <c r="E31" s="5"/>
      <c r="F31" s="5"/>
      <c r="G31" s="5"/>
      <c r="H31" s="5"/>
      <c r="I31" s="5"/>
      <c r="J31" s="5"/>
    </row>
    <row r="32" spans="1:40" x14ac:dyDescent="0.25">
      <c r="A32">
        <v>8</v>
      </c>
      <c r="B32" s="2">
        <v>0</v>
      </c>
      <c r="C32" s="2">
        <v>5.9999999999999982</v>
      </c>
      <c r="D32" s="5">
        <f t="shared" si="44"/>
        <v>0</v>
      </c>
      <c r="E32" s="5"/>
      <c r="F32" s="5"/>
      <c r="G32" s="5"/>
      <c r="H32" s="5"/>
      <c r="I32" s="5"/>
      <c r="J32" s="5"/>
    </row>
    <row r="33" spans="1:24" x14ac:dyDescent="0.25">
      <c r="A33">
        <v>9</v>
      </c>
      <c r="B33" s="1">
        <f>B25</f>
        <v>0</v>
      </c>
      <c r="C33" s="1">
        <f>C25</f>
        <v>0</v>
      </c>
      <c r="D33" s="5">
        <f t="shared" si="44"/>
        <v>0</v>
      </c>
      <c r="E33" s="5"/>
      <c r="F33" s="5"/>
      <c r="G33" s="5"/>
      <c r="H33" s="5"/>
      <c r="I33" s="5"/>
      <c r="J33" s="5"/>
    </row>
    <row r="34" spans="1:24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4" x14ac:dyDescent="0.25">
      <c r="A35" t="s">
        <v>4</v>
      </c>
      <c r="Q35" t="s">
        <v>25</v>
      </c>
      <c r="T35" t="s">
        <v>14</v>
      </c>
    </row>
    <row r="36" spans="1:24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</row>
    <row r="37" spans="1:24" x14ac:dyDescent="0.25">
      <c r="A37">
        <v>1</v>
      </c>
      <c r="B37" s="7">
        <v>1.5</v>
      </c>
      <c r="C37" s="7">
        <v>1.5</v>
      </c>
      <c r="D37" s="13" t="s">
        <v>2</v>
      </c>
      <c r="Q37" s="12">
        <f>IF($D37="y",B37,NA())</f>
        <v>1.5</v>
      </c>
      <c r="R37" s="12">
        <f>IF($D37="y",C37,NA())</f>
        <v>1.5</v>
      </c>
      <c r="T37" s="4">
        <f>MAX(MAX(B13:B20),MAX(C13:C20))</f>
        <v>12</v>
      </c>
      <c r="U37" s="1">
        <f>T37</f>
        <v>12</v>
      </c>
    </row>
    <row r="38" spans="1:24" x14ac:dyDescent="0.25">
      <c r="A38">
        <v>2</v>
      </c>
      <c r="B38" s="7">
        <v>4.5</v>
      </c>
      <c r="C38" s="7">
        <v>1.5</v>
      </c>
      <c r="D38" s="13" t="s">
        <v>2</v>
      </c>
      <c r="Q38" s="12">
        <f t="shared" ref="Q38:Q48" si="45">IF($D38="y",B38,NA())</f>
        <v>4.5</v>
      </c>
      <c r="R38" s="12">
        <f t="shared" ref="R38:R48" si="46">IF($D38="y",C38,NA())</f>
        <v>1.5</v>
      </c>
    </row>
    <row r="39" spans="1:24" x14ac:dyDescent="0.25">
      <c r="A39">
        <v>3</v>
      </c>
      <c r="B39" s="7">
        <v>10.5</v>
      </c>
      <c r="C39" s="7">
        <v>7.5</v>
      </c>
      <c r="D39" s="13" t="s">
        <v>2</v>
      </c>
      <c r="Q39" s="12">
        <f t="shared" si="45"/>
        <v>10.5</v>
      </c>
      <c r="R39" s="12">
        <f t="shared" si="46"/>
        <v>7.5</v>
      </c>
    </row>
    <row r="40" spans="1:24" x14ac:dyDescent="0.25">
      <c r="A40">
        <v>4</v>
      </c>
      <c r="B40" s="7">
        <v>10.5</v>
      </c>
      <c r="C40" s="7">
        <v>10.5</v>
      </c>
      <c r="D40" s="13" t="s">
        <v>2</v>
      </c>
      <c r="Q40" s="12">
        <f t="shared" si="45"/>
        <v>10.5</v>
      </c>
      <c r="R40" s="12">
        <f t="shared" si="46"/>
        <v>10.5</v>
      </c>
    </row>
    <row r="41" spans="1:24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45"/>
        <v>#N/A</v>
      </c>
      <c r="R41" s="12" t="e">
        <f t="shared" si="46"/>
        <v>#N/A</v>
      </c>
    </row>
    <row r="42" spans="1:24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45"/>
        <v>#N/A</v>
      </c>
      <c r="R42" s="12" t="e">
        <f t="shared" si="46"/>
        <v>#N/A</v>
      </c>
    </row>
    <row r="43" spans="1:24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5"/>
        <v>#N/A</v>
      </c>
      <c r="R43" s="12" t="e">
        <f t="shared" si="46"/>
        <v>#N/A</v>
      </c>
    </row>
    <row r="44" spans="1:24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5"/>
        <v>#N/A</v>
      </c>
      <c r="R44" s="12" t="e">
        <f t="shared" si="46"/>
        <v>#N/A</v>
      </c>
    </row>
    <row r="45" spans="1:24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5"/>
        <v>#N/A</v>
      </c>
      <c r="R45" s="12" t="e">
        <f t="shared" si="46"/>
        <v>#N/A</v>
      </c>
    </row>
    <row r="46" spans="1:24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5"/>
        <v>#N/A</v>
      </c>
      <c r="R46" s="12" t="e">
        <f t="shared" si="46"/>
        <v>#N/A</v>
      </c>
    </row>
    <row r="47" spans="1:24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5"/>
        <v>#N/A</v>
      </c>
      <c r="R47" s="12" t="e">
        <f t="shared" si="46"/>
        <v>#N/A</v>
      </c>
    </row>
    <row r="48" spans="1:24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5"/>
        <v>#N/A</v>
      </c>
      <c r="R48" s="12" t="e">
        <f t="shared" si="46"/>
        <v>#N/A</v>
      </c>
    </row>
    <row r="50" spans="1:25" x14ac:dyDescent="0.25">
      <c r="A50" t="s">
        <v>176</v>
      </c>
      <c r="B50" s="13" t="s">
        <v>190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4.5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IF(B50="Density",(POWER(B52,1.5)*33*SQRT(1000*B51))/1000,(57000*SQRT(B51*1000))/1000)</f>
        <v>3865.2020403207894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0.1418988244310414</v>
      </c>
      <c r="C55" t="s">
        <v>67</v>
      </c>
      <c r="D55" s="54" t="s">
        <v>165</v>
      </c>
      <c r="E55" s="1">
        <f ca="1">OFFSET(X52,MATCH(E54,X53:X73,0),1)</f>
        <v>13</v>
      </c>
      <c r="F55" s="7">
        <v>0</v>
      </c>
      <c r="G55" t="s">
        <v>175</v>
      </c>
      <c r="H55" s="48" t="s">
        <v>160</v>
      </c>
      <c r="I55" s="55">
        <f>E164</f>
        <v>-1.5916157281026244E-12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7.5028419465475515</v>
      </c>
      <c r="D56" s="54" t="s">
        <v>154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161</v>
      </c>
      <c r="I56" s="56">
        <f t="shared" ref="I56:J57" si="47">E165</f>
        <v>0</v>
      </c>
      <c r="J56" s="51" t="str">
        <f t="shared" si="47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47"/>
        <v>-6.3664629124104977E-12</v>
      </c>
      <c r="J57" s="53" t="str">
        <f t="shared" si="47"/>
        <v>kip-in</v>
      </c>
      <c r="L57" s="1">
        <f>SQRT(POWER(I57,2)+POWER(I56,2)+POWER(I55,2))</f>
        <v>6.5623997623614794E-12</v>
      </c>
      <c r="M57" s="44" t="str">
        <f ca="1">IF(M59=TRUE,IF(AND(ABS(L57)&lt;=L59,B66=B61),"SOLUTION IF STRAIN IGNORED","NOT A SOLUTION"),"SOLUTION FOUND")</f>
        <v>NOT A SOLUTION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0.24850488763747386</v>
      </c>
      <c r="F59" t="s">
        <v>67</v>
      </c>
      <c r="H59" s="10" t="s">
        <v>169</v>
      </c>
      <c r="I59" s="2">
        <v>200</v>
      </c>
      <c r="K59" t="s">
        <v>171</v>
      </c>
      <c r="L59" s="58">
        <v>9.9999999999999998E-13</v>
      </c>
      <c r="M59" t="b">
        <f ca="1">OR(ABS(L57)&gt;L59,B66&lt;0,ABS(I67)&gt;(L59*10000))</f>
        <v>1</v>
      </c>
      <c r="X59">
        <v>1</v>
      </c>
      <c r="Y59">
        <v>8</v>
      </c>
    </row>
    <row r="60" spans="1:25" x14ac:dyDescent="0.25">
      <c r="D60" s="54" t="s">
        <v>156</v>
      </c>
      <c r="E60" s="13" t="s">
        <v>2</v>
      </c>
      <c r="H60" s="10" t="s">
        <v>170</v>
      </c>
      <c r="I60" s="1">
        <v>200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4.9725000000000001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>required stress greater than allowed, upsize plate</v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-6.1335381541594094</v>
      </c>
      <c r="C64" t="s">
        <v>19</v>
      </c>
      <c r="D64" t="s">
        <v>34</v>
      </c>
      <c r="H64" s="17">
        <f>DEGREES(B64)</f>
        <v>-351.42584971579544</v>
      </c>
      <c r="I64" t="s">
        <v>41</v>
      </c>
      <c r="J64" s="3">
        <f>N5-PI()</f>
        <v>-6.2569618116888233</v>
      </c>
      <c r="Q64" s="8">
        <f>IF(AND(B3=0,B4=0),0,J64)</f>
        <v>-6.2569618116888233</v>
      </c>
      <c r="X64">
        <v>1.75</v>
      </c>
      <c r="Y64">
        <v>5</v>
      </c>
    </row>
    <row r="65" spans="1:25" x14ac:dyDescent="0.25">
      <c r="A65" s="1" t="s">
        <v>40</v>
      </c>
      <c r="B65" s="24">
        <v>2.7512624952226328</v>
      </c>
      <c r="C65" t="s">
        <v>22</v>
      </c>
      <c r="D65" t="s">
        <v>29</v>
      </c>
      <c r="J65" s="1">
        <f>MAX(C13:C21)*0.5</f>
        <v>6</v>
      </c>
      <c r="Q65">
        <f>MAX(C84:C92)-MIN(C84:C92)</f>
        <v>12.760420371864004</v>
      </c>
      <c r="X65">
        <v>2</v>
      </c>
      <c r="Y65">
        <v>4.5</v>
      </c>
    </row>
    <row r="66" spans="1:25" x14ac:dyDescent="0.25">
      <c r="A66" s="11" t="s">
        <v>42</v>
      </c>
      <c r="B66" s="24">
        <v>178.23919622745157</v>
      </c>
      <c r="C66" t="s">
        <v>11</v>
      </c>
      <c r="D66">
        <f>B66/B53</f>
        <v>4.6113810964629097E-2</v>
      </c>
      <c r="I66" s="20"/>
      <c r="J66" s="1">
        <f>MAX(AC14:AC21)</f>
        <v>83.730158730158735</v>
      </c>
      <c r="Q66">
        <f>MAX(AC14:AC21)</f>
        <v>83.730158730158735</v>
      </c>
      <c r="X66">
        <v>2.25</v>
      </c>
      <c r="Y66">
        <v>4.5</v>
      </c>
    </row>
    <row r="67" spans="1:25" x14ac:dyDescent="0.25">
      <c r="A67" s="1" t="s">
        <v>37</v>
      </c>
      <c r="B67" s="24">
        <v>572.62934221924797</v>
      </c>
      <c r="C67" t="s">
        <v>36</v>
      </c>
      <c r="D67" t="s">
        <v>122</v>
      </c>
      <c r="G67" s="20">
        <f ca="1">($B$56*$B$66*$B$55*$E$122)/$B$65</f>
        <v>572.62934221924786</v>
      </c>
      <c r="H67" t="s">
        <v>36</v>
      </c>
      <c r="I67">
        <f ca="1">IF(B67=0,0,1-G67/B67)</f>
        <v>2.2204460492503131E-16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8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8"/>
        <v>1</v>
      </c>
      <c r="B73" s="4">
        <f t="shared" ref="B73:B81" si="49">B13-$B$9</f>
        <v>-3</v>
      </c>
      <c r="C73" s="4">
        <f t="shared" ref="C73:C81" si="50">C13-$C$9</f>
        <v>-9</v>
      </c>
      <c r="E73" s="1">
        <v>0</v>
      </c>
      <c r="F73" s="1">
        <v>0</v>
      </c>
      <c r="H73" s="1">
        <f t="shared" ref="H73:H81" si="51">A25</f>
        <v>1</v>
      </c>
      <c r="I73" s="4">
        <f>B25-$B$9</f>
        <v>-3</v>
      </c>
      <c r="J73" s="4">
        <f>C25-$C$9</f>
        <v>-9</v>
      </c>
      <c r="Q73" cm="1">
        <f t="array" ref="Q73">(-1*MAX(ABS(B84:C91)))-1</f>
        <v>-10.34668142146352</v>
      </c>
      <c r="R73">
        <f>Q73</f>
        <v>-10.34668142146352</v>
      </c>
      <c r="X73">
        <v>4</v>
      </c>
      <c r="Y73">
        <v>4</v>
      </c>
    </row>
    <row r="74" spans="1:25" x14ac:dyDescent="0.25">
      <c r="A74" s="1">
        <f t="shared" si="48"/>
        <v>2</v>
      </c>
      <c r="B74" s="4">
        <f t="shared" si="49"/>
        <v>3</v>
      </c>
      <c r="C74" s="4">
        <f t="shared" si="50"/>
        <v>-9</v>
      </c>
      <c r="H74" s="1">
        <f t="shared" si="51"/>
        <v>2</v>
      </c>
      <c r="I74" s="4">
        <f t="shared" ref="I74:I81" si="52">B26-$B$9</f>
        <v>-3</v>
      </c>
      <c r="J74" s="4">
        <f t="shared" ref="J74:J81" si="53">C26-$C$9</f>
        <v>-9</v>
      </c>
      <c r="Q74">
        <f>-1*Q73</f>
        <v>10.34668142146352</v>
      </c>
      <c r="R74">
        <f>Q74</f>
        <v>10.34668142146352</v>
      </c>
    </row>
    <row r="75" spans="1:25" x14ac:dyDescent="0.25">
      <c r="A75" s="1">
        <f t="shared" si="48"/>
        <v>3</v>
      </c>
      <c r="B75" s="4">
        <f t="shared" si="49"/>
        <v>3</v>
      </c>
      <c r="C75" s="4">
        <f t="shared" si="50"/>
        <v>-3</v>
      </c>
      <c r="H75" s="1">
        <f t="shared" si="51"/>
        <v>3</v>
      </c>
      <c r="I75" s="4">
        <f t="shared" si="52"/>
        <v>-3</v>
      </c>
      <c r="J75" s="4">
        <f t="shared" si="53"/>
        <v>-9</v>
      </c>
    </row>
    <row r="76" spans="1:25" x14ac:dyDescent="0.25">
      <c r="A76" s="1">
        <f t="shared" si="48"/>
        <v>4</v>
      </c>
      <c r="B76" s="4">
        <f t="shared" si="49"/>
        <v>9</v>
      </c>
      <c r="C76" s="4">
        <f t="shared" si="50"/>
        <v>-3</v>
      </c>
      <c r="H76" s="1">
        <f t="shared" si="51"/>
        <v>4</v>
      </c>
      <c r="I76" s="4">
        <f t="shared" si="52"/>
        <v>-3</v>
      </c>
      <c r="J76" s="4">
        <f t="shared" si="53"/>
        <v>-9</v>
      </c>
    </row>
    <row r="77" spans="1:25" x14ac:dyDescent="0.25">
      <c r="A77" s="1">
        <f t="shared" si="48"/>
        <v>5</v>
      </c>
      <c r="B77" s="4">
        <f t="shared" si="49"/>
        <v>9</v>
      </c>
      <c r="C77" s="4">
        <f t="shared" si="50"/>
        <v>3</v>
      </c>
      <c r="H77" s="1">
        <f t="shared" si="51"/>
        <v>5</v>
      </c>
      <c r="I77" s="4">
        <f t="shared" si="52"/>
        <v>-3</v>
      </c>
      <c r="J77" s="4">
        <f t="shared" si="53"/>
        <v>-9</v>
      </c>
      <c r="Q77" t="s">
        <v>148</v>
      </c>
    </row>
    <row r="78" spans="1:25" x14ac:dyDescent="0.25">
      <c r="A78" s="1">
        <f t="shared" si="48"/>
        <v>6</v>
      </c>
      <c r="B78" s="4">
        <f t="shared" si="49"/>
        <v>-3</v>
      </c>
      <c r="C78" s="4">
        <f t="shared" si="50"/>
        <v>3</v>
      </c>
      <c r="H78" s="1">
        <f t="shared" si="51"/>
        <v>6</v>
      </c>
      <c r="I78" s="4">
        <f t="shared" si="52"/>
        <v>-3</v>
      </c>
      <c r="J78" s="4">
        <f t="shared" si="53"/>
        <v>-9</v>
      </c>
      <c r="Q78" t="s">
        <v>27</v>
      </c>
      <c r="R78" t="s">
        <v>28</v>
      </c>
    </row>
    <row r="79" spans="1:25" x14ac:dyDescent="0.25">
      <c r="A79" s="1">
        <f t="shared" si="48"/>
        <v>7</v>
      </c>
      <c r="B79" s="4">
        <f t="shared" si="49"/>
        <v>-3</v>
      </c>
      <c r="C79" s="4">
        <f t="shared" si="50"/>
        <v>-9</v>
      </c>
      <c r="H79" s="1">
        <f t="shared" si="51"/>
        <v>7</v>
      </c>
      <c r="I79" s="4">
        <f t="shared" si="52"/>
        <v>-3</v>
      </c>
      <c r="J79" s="4">
        <f t="shared" si="53"/>
        <v>-9</v>
      </c>
      <c r="Q79">
        <f>(I126*COS(-1*$B$64))+(J126*SIN(-1*$B$64))</f>
        <v>-5.3477158630837982</v>
      </c>
      <c r="R79">
        <f>(-1*F126*SIN(-1*$B$64))+(G126*COS(-1*$B$64))</f>
        <v>-0.13633413446666642</v>
      </c>
    </row>
    <row r="80" spans="1:25" x14ac:dyDescent="0.25">
      <c r="A80" s="1">
        <f t="shared" si="48"/>
        <v>8</v>
      </c>
      <c r="B80" s="4">
        <f t="shared" si="49"/>
        <v>-3</v>
      </c>
      <c r="C80" s="4">
        <f t="shared" si="50"/>
        <v>-9</v>
      </c>
      <c r="H80" s="1">
        <f t="shared" si="51"/>
        <v>8</v>
      </c>
      <c r="I80" s="4">
        <f t="shared" si="52"/>
        <v>-3</v>
      </c>
      <c r="J80" s="4">
        <f t="shared" si="53"/>
        <v>-3.0000000000000018</v>
      </c>
      <c r="Q80">
        <f>(I127*COS(-1*$B$64))+(J127*SIN(-1*$B$64))</f>
        <v>10.132276163239336</v>
      </c>
      <c r="R80">
        <f>(-1*F127*SIN(-1*$B$64))+(G127*COS(-1*$B$64))</f>
        <v>2.1976513014523804</v>
      </c>
    </row>
    <row r="81" spans="1:18" x14ac:dyDescent="0.25">
      <c r="A81" s="1">
        <f t="shared" si="48"/>
        <v>9</v>
      </c>
      <c r="B81" s="4">
        <f t="shared" si="49"/>
        <v>-3</v>
      </c>
      <c r="C81" s="4">
        <f t="shared" si="50"/>
        <v>-9</v>
      </c>
      <c r="H81" s="1">
        <f t="shared" si="51"/>
        <v>9</v>
      </c>
      <c r="I81" s="4">
        <f t="shared" si="52"/>
        <v>-3</v>
      </c>
      <c r="J81" s="4">
        <f t="shared" si="53"/>
        <v>-9</v>
      </c>
    </row>
    <row r="82" spans="1:18" x14ac:dyDescent="0.25">
      <c r="A82" t="s">
        <v>30</v>
      </c>
      <c r="B82" s="9"/>
      <c r="H82" t="s">
        <v>139</v>
      </c>
      <c r="Q82" s="4">
        <f>Q79+$B$9</f>
        <v>-2.3477158630837982</v>
      </c>
      <c r="R82" s="4">
        <f>R79+$C$9</f>
        <v>8.8636658655333331</v>
      </c>
    </row>
    <row r="83" spans="1:18" x14ac:dyDescent="0.25">
      <c r="A83" s="1" t="str">
        <f t="shared" ref="A83:A92" si="54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13.132276163239336</v>
      </c>
      <c r="R83" s="4">
        <f>R80+$C$9</f>
        <v>11.19765130145238</v>
      </c>
    </row>
    <row r="84" spans="1:18" x14ac:dyDescent="0.25">
      <c r="A84" s="1">
        <f t="shared" si="54"/>
        <v>1</v>
      </c>
      <c r="B84" s="4">
        <f t="shared" ref="B84:B92" si="55">(B73*COS($B$64))+(C73*SIN($B$64))</f>
        <v>-4.3082743801384131</v>
      </c>
      <c r="C84" s="1">
        <f t="shared" ref="C84:C92" si="56">(-1*B73*SIN($B$64))+(C73*COS($B$64))</f>
        <v>-8.4521459917255921</v>
      </c>
      <c r="H84" s="1">
        <f t="shared" ref="H84:H92" si="57">H73</f>
        <v>1</v>
      </c>
      <c r="I84" s="4">
        <f>(I73*COS($B$64))+(J73*SIN($B$64))</f>
        <v>-4.3082743801384131</v>
      </c>
      <c r="J84" s="1">
        <f>(-1*I73*SIN($B$64))+(J73*COS($B$64))</f>
        <v>-8.4521459917255921</v>
      </c>
    </row>
    <row r="85" spans="1:18" x14ac:dyDescent="0.25">
      <c r="A85" s="1">
        <f t="shared" si="54"/>
        <v>2</v>
      </c>
      <c r="B85" s="4">
        <f t="shared" si="55"/>
        <v>1.6246680909246241</v>
      </c>
      <c r="C85" s="1">
        <f t="shared" si="56"/>
        <v>-9.3466814214635203</v>
      </c>
      <c r="H85" s="1">
        <f t="shared" si="57"/>
        <v>2</v>
      </c>
      <c r="I85" s="4">
        <f t="shared" ref="I85:I92" si="58">(I74*COS($B$64))+(J74*SIN($B$64))</f>
        <v>-4.3082743801384131</v>
      </c>
      <c r="J85" s="1">
        <f t="shared" ref="J85:J92" si="59">(-1*I74*SIN($B$64))+(J74*COS($B$64))</f>
        <v>-8.4521459917255921</v>
      </c>
      <c r="Q85" t="s">
        <v>149</v>
      </c>
    </row>
    <row r="86" spans="1:18" x14ac:dyDescent="0.25">
      <c r="A86" s="1">
        <f t="shared" si="54"/>
        <v>3</v>
      </c>
      <c r="B86" s="4">
        <f t="shared" si="55"/>
        <v>2.5192035206625536</v>
      </c>
      <c r="C86" s="1">
        <f t="shared" si="56"/>
        <v>-3.4137389504004836</v>
      </c>
      <c r="H86" s="1">
        <f t="shared" si="57"/>
        <v>3</v>
      </c>
      <c r="I86" s="4">
        <f t="shared" si="58"/>
        <v>-4.3082743801384131</v>
      </c>
      <c r="J86" s="1">
        <f t="shared" si="59"/>
        <v>-8.4521459917255921</v>
      </c>
      <c r="Q86" t="s">
        <v>27</v>
      </c>
      <c r="R86" t="s">
        <v>28</v>
      </c>
    </row>
    <row r="87" spans="1:18" x14ac:dyDescent="0.25">
      <c r="A87" s="1">
        <f t="shared" si="54"/>
        <v>4</v>
      </c>
      <c r="B87" s="4">
        <f t="shared" si="55"/>
        <v>8.4521459917255921</v>
      </c>
      <c r="C87" s="1">
        <f t="shared" si="56"/>
        <v>-4.3082743801384131</v>
      </c>
      <c r="H87" s="1">
        <f t="shared" si="57"/>
        <v>4</v>
      </c>
      <c r="I87" s="4">
        <f t="shared" si="58"/>
        <v>-4.3082743801384131</v>
      </c>
      <c r="J87" s="1">
        <f t="shared" si="59"/>
        <v>-8.4521459917255921</v>
      </c>
      <c r="Q87">
        <f>(P142*COS(-1*$B$64))+(P143*SIN(-1*$B$64))</f>
        <v>1.2112723321294023</v>
      </c>
      <c r="R87">
        <f>(-1*P142*SIN(-1*$B$64))+(P143*COS(-1*$B$64))</f>
        <v>2.2841976400911577</v>
      </c>
    </row>
    <row r="88" spans="1:18" x14ac:dyDescent="0.25">
      <c r="A88" s="1">
        <f t="shared" si="54"/>
        <v>5</v>
      </c>
      <c r="B88" s="4">
        <f t="shared" si="55"/>
        <v>9.3466814214635203</v>
      </c>
      <c r="C88" s="1">
        <f t="shared" si="56"/>
        <v>1.6246680909246241</v>
      </c>
      <c r="H88" s="1">
        <f t="shared" si="57"/>
        <v>5</v>
      </c>
      <c r="I88" s="4">
        <f t="shared" si="58"/>
        <v>-4.3082743801384131</v>
      </c>
      <c r="J88" s="1">
        <f t="shared" si="59"/>
        <v>-8.4521459917255921</v>
      </c>
    </row>
    <row r="89" spans="1:18" x14ac:dyDescent="0.25">
      <c r="A89" s="1">
        <f t="shared" si="54"/>
        <v>6</v>
      </c>
      <c r="B89" s="4">
        <f t="shared" si="55"/>
        <v>-2.5192035206625536</v>
      </c>
      <c r="C89" s="1">
        <f t="shared" si="56"/>
        <v>3.4137389504004836</v>
      </c>
      <c r="H89" s="1">
        <f t="shared" si="57"/>
        <v>6</v>
      </c>
      <c r="I89" s="4">
        <f t="shared" si="58"/>
        <v>-4.3082743801384131</v>
      </c>
      <c r="J89" s="1">
        <f t="shared" si="59"/>
        <v>-8.4521459917255921</v>
      </c>
    </row>
    <row r="90" spans="1:18" x14ac:dyDescent="0.25">
      <c r="A90" s="1">
        <f t="shared" si="54"/>
        <v>7</v>
      </c>
      <c r="B90" s="4">
        <f t="shared" si="55"/>
        <v>-4.3082743801384131</v>
      </c>
      <c r="C90" s="1">
        <f t="shared" si="56"/>
        <v>-8.4521459917255921</v>
      </c>
      <c r="H90" s="1">
        <f t="shared" si="57"/>
        <v>7</v>
      </c>
      <c r="I90" s="4">
        <f t="shared" si="58"/>
        <v>-4.3082743801384131</v>
      </c>
      <c r="J90" s="1">
        <f t="shared" si="59"/>
        <v>-8.4521459917255921</v>
      </c>
      <c r="Q90" s="4">
        <f>Q87+$B$9</f>
        <v>4.2112723321294023</v>
      </c>
      <c r="R90" s="4">
        <f>R87+$C$9</f>
        <v>11.284197640091158</v>
      </c>
    </row>
    <row r="91" spans="1:18" x14ac:dyDescent="0.25">
      <c r="A91" s="1">
        <f t="shared" si="54"/>
        <v>8</v>
      </c>
      <c r="B91" s="4">
        <f t="shared" si="55"/>
        <v>-4.3082743801384131</v>
      </c>
      <c r="C91" s="1">
        <f t="shared" si="56"/>
        <v>-8.4521459917255921</v>
      </c>
      <c r="H91" s="1">
        <f t="shared" si="57"/>
        <v>8</v>
      </c>
      <c r="I91" s="4">
        <f t="shared" si="58"/>
        <v>-3.4137389504004836</v>
      </c>
      <c r="J91" s="1">
        <f t="shared" si="59"/>
        <v>-2.5192035206625554</v>
      </c>
    </row>
    <row r="92" spans="1:18" x14ac:dyDescent="0.25">
      <c r="A92" s="1">
        <f t="shared" si="54"/>
        <v>9</v>
      </c>
      <c r="B92" s="4">
        <f t="shared" si="55"/>
        <v>-4.3082743801384131</v>
      </c>
      <c r="C92" s="1">
        <f t="shared" si="56"/>
        <v>-8.4521459917255921</v>
      </c>
      <c r="H92" s="1">
        <f t="shared" si="57"/>
        <v>9</v>
      </c>
      <c r="I92" s="4">
        <f t="shared" si="58"/>
        <v>-4.3082743801384131</v>
      </c>
      <c r="J92" s="1">
        <f t="shared" si="59"/>
        <v>-8.4521459917255921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0">A37</f>
        <v>1</v>
      </c>
      <c r="B95" s="4">
        <f t="shared" ref="B95:B106" si="61">B37-$B$9</f>
        <v>-1.5</v>
      </c>
      <c r="C95" s="4">
        <f t="shared" ref="C95:C106" si="62">C37-$C$9</f>
        <v>-7.5</v>
      </c>
      <c r="D95" t="str">
        <f t="shared" ref="D95:D106" si="63">D37</f>
        <v>y</v>
      </c>
    </row>
    <row r="96" spans="1:18" x14ac:dyDescent="0.25">
      <c r="A96">
        <f t="shared" si="60"/>
        <v>2</v>
      </c>
      <c r="B96" s="4">
        <f t="shared" si="61"/>
        <v>1.5</v>
      </c>
      <c r="C96" s="4">
        <f t="shared" si="62"/>
        <v>-7.5</v>
      </c>
      <c r="D96" t="str">
        <f t="shared" si="63"/>
        <v>y</v>
      </c>
    </row>
    <row r="97" spans="1:28" x14ac:dyDescent="0.25">
      <c r="A97">
        <f t="shared" si="60"/>
        <v>3</v>
      </c>
      <c r="B97" s="4">
        <f t="shared" si="61"/>
        <v>7.5</v>
      </c>
      <c r="C97" s="4">
        <f t="shared" si="62"/>
        <v>-1.5</v>
      </c>
      <c r="D97" t="str">
        <f t="shared" si="63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0"/>
        <v>4</v>
      </c>
      <c r="B98" s="4">
        <f t="shared" si="61"/>
        <v>7.5</v>
      </c>
      <c r="C98" s="4">
        <f t="shared" si="62"/>
        <v>1.5</v>
      </c>
      <c r="D98" t="str">
        <f t="shared" si="63"/>
        <v>y</v>
      </c>
    </row>
    <row r="99" spans="1:28" x14ac:dyDescent="0.25">
      <c r="A99">
        <f t="shared" si="60"/>
        <v>5</v>
      </c>
      <c r="B99" s="4">
        <f t="shared" si="61"/>
        <v>-3</v>
      </c>
      <c r="C99" s="4">
        <f t="shared" si="62"/>
        <v>-9</v>
      </c>
      <c r="D99" t="str">
        <f t="shared" si="63"/>
        <v>n</v>
      </c>
    </row>
    <row r="100" spans="1:28" x14ac:dyDescent="0.25">
      <c r="A100">
        <f t="shared" si="60"/>
        <v>6</v>
      </c>
      <c r="B100" s="4">
        <f t="shared" si="61"/>
        <v>-3</v>
      </c>
      <c r="C100" s="4">
        <f t="shared" si="62"/>
        <v>-9</v>
      </c>
      <c r="D100" t="str">
        <f t="shared" si="63"/>
        <v>n</v>
      </c>
    </row>
    <row r="101" spans="1:28" x14ac:dyDescent="0.25">
      <c r="A101">
        <f t="shared" si="60"/>
        <v>7</v>
      </c>
      <c r="B101" s="4">
        <f t="shared" si="61"/>
        <v>-3</v>
      </c>
      <c r="C101" s="4">
        <f t="shared" si="62"/>
        <v>-9</v>
      </c>
      <c r="D101" t="str">
        <f t="shared" si="63"/>
        <v>n</v>
      </c>
    </row>
    <row r="102" spans="1:28" x14ac:dyDescent="0.25">
      <c r="A102">
        <f t="shared" si="60"/>
        <v>8</v>
      </c>
      <c r="B102" s="4">
        <f t="shared" si="61"/>
        <v>-3</v>
      </c>
      <c r="C102" s="4">
        <f t="shared" si="62"/>
        <v>-9</v>
      </c>
      <c r="D102" t="str">
        <f t="shared" si="63"/>
        <v>n</v>
      </c>
    </row>
    <row r="103" spans="1:28" x14ac:dyDescent="0.25">
      <c r="A103">
        <f t="shared" si="60"/>
        <v>9</v>
      </c>
      <c r="B103" s="4">
        <f t="shared" si="61"/>
        <v>-3</v>
      </c>
      <c r="C103" s="4">
        <f t="shared" si="62"/>
        <v>-9</v>
      </c>
      <c r="D103" t="str">
        <f t="shared" si="63"/>
        <v>n</v>
      </c>
    </row>
    <row r="104" spans="1:28" x14ac:dyDescent="0.25">
      <c r="A104">
        <f t="shared" si="60"/>
        <v>10</v>
      </c>
      <c r="B104" s="4">
        <f t="shared" si="61"/>
        <v>-3</v>
      </c>
      <c r="C104" s="4">
        <f t="shared" si="62"/>
        <v>-9</v>
      </c>
      <c r="D104" t="str">
        <f t="shared" si="63"/>
        <v>n</v>
      </c>
    </row>
    <row r="105" spans="1:28" x14ac:dyDescent="0.25">
      <c r="A105">
        <f t="shared" si="60"/>
        <v>11</v>
      </c>
      <c r="B105" s="4">
        <f t="shared" si="61"/>
        <v>-3</v>
      </c>
      <c r="C105" s="4">
        <f t="shared" si="62"/>
        <v>-9</v>
      </c>
      <c r="D105" t="str">
        <f t="shared" si="63"/>
        <v>n</v>
      </c>
    </row>
    <row r="106" spans="1:28" x14ac:dyDescent="0.25">
      <c r="A106">
        <f t="shared" si="60"/>
        <v>12</v>
      </c>
      <c r="B106" s="4">
        <f t="shared" si="61"/>
        <v>-3</v>
      </c>
      <c r="C106" s="4">
        <f t="shared" si="62"/>
        <v>-9</v>
      </c>
      <c r="D106" t="str">
        <f t="shared" si="63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-2.6014049049381711</v>
      </c>
      <c r="C110" s="1">
        <f>(-1*B95*SIN($B$64))+(C95*COS($B$64))</f>
        <v>-7.1925442313943142</v>
      </c>
      <c r="D110" t="str">
        <f t="shared" ref="D110" si="64">D95</f>
        <v>y</v>
      </c>
      <c r="E110" s="4">
        <f t="shared" ref="E110:E121" si="65">IF($D110="y",$B$125-C110,0)</f>
        <v>7.855020686572165</v>
      </c>
      <c r="F110" s="1">
        <f>IF($D110="y",B110,NA())</f>
        <v>-2.6014049049381711</v>
      </c>
      <c r="G110" s="1">
        <f>IF($D110="y",C110,NA())</f>
        <v>-7.1925442313943142</v>
      </c>
      <c r="H110">
        <f t="shared" ref="H110:H121" si="66">IF($E$122=0,0,-1*MAX(($B$67/$E$122)*(E110),0))</f>
        <v>-541.78018293000162</v>
      </c>
      <c r="I110">
        <f>H110*C110</f>
        <v>3896.7779294169395</v>
      </c>
      <c r="J110">
        <f>H110*B110*-1</f>
        <v>-1409.3896252724057</v>
      </c>
      <c r="K110">
        <f ca="1">H110/$B$55</f>
        <v>-3818.0737937916506</v>
      </c>
      <c r="L110">
        <f ca="1">K110/$B$54</f>
        <v>-0.13165771702729831</v>
      </c>
      <c r="M110">
        <f t="shared" ref="M110:M121" si="67">IFERROR(($D$66/$B$65)*(G110-$B$125),0)</f>
        <v>-0.13165771702729823</v>
      </c>
      <c r="N110">
        <f t="shared" ref="N110:N121" si="68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-2.6014049049381711</v>
      </c>
      <c r="R110">
        <f>IF($H110&lt;0,G110,NA())</f>
        <v>-7.1925442313943142</v>
      </c>
      <c r="T110">
        <f>(Q110*COS(-1*$B$64))+(R110*SIN(-1*$B$64))</f>
        <v>-1.4999999999999996</v>
      </c>
      <c r="U110">
        <f>(-1*Q110*SIN(-1*$B$64))+(R110*COS(-1*$B$64))</f>
        <v>-7.5000000000000009</v>
      </c>
      <c r="W110" s="4">
        <f>T110+$B$9</f>
        <v>1.5000000000000004</v>
      </c>
      <c r="X110" s="4">
        <f>U110+$C$9</f>
        <v>1.4999999999999991</v>
      </c>
      <c r="Y110">
        <f t="shared" ref="Y110:Y121" si="69">IF(AND($E$60="n",M110&gt;0,D110="y"),M110*$B$53*$E$59,0)</f>
        <v>0</v>
      </c>
      <c r="AB110" t="str">
        <f t="shared" ref="AB110:AB121" si="70">IF(H110&lt;&gt;0,CHAR(10)&amp;CHAR(10)&amp;ROUND(ABS(H110),4)&amp;" kips",IF(AND($E$60="n",D110="y"),CHAR(10)&amp;CHAR(10)&amp;ROUND(ABS(Y110),4)&amp;" kips",""))</f>
        <v xml:space="preserve">
541.7802 kips</v>
      </c>
    </row>
    <row r="111" spans="1:28" x14ac:dyDescent="0.25">
      <c r="A111">
        <f t="shared" ref="A111:D111" si="71">A96</f>
        <v>2</v>
      </c>
      <c r="B111" s="1">
        <f t="shared" ref="B111:B121" si="72">(B96*COS($B$64))+(C96*SIN($B$64))</f>
        <v>0.36506633059334725</v>
      </c>
      <c r="C111" s="1">
        <f t="shared" ref="C111:C121" si="73">(-1*B96*SIN($B$64))+(C96*COS($B$64))</f>
        <v>-7.6398119462632783</v>
      </c>
      <c r="D111" t="str">
        <f t="shared" si="71"/>
        <v>y</v>
      </c>
      <c r="E111" s="4">
        <f t="shared" si="65"/>
        <v>8.3022884014411282</v>
      </c>
      <c r="F111" s="1">
        <f t="shared" ref="F111:F121" si="74">IF($D111="y",B111,NA())</f>
        <v>0.36506633059334725</v>
      </c>
      <c r="G111" s="1">
        <f t="shared" ref="G111:G121" si="75">IF($D111="y",C111,NA())</f>
        <v>-7.6398119462632783</v>
      </c>
      <c r="H111">
        <f t="shared" si="66"/>
        <v>-572.62934221924797</v>
      </c>
      <c r="I111">
        <f t="shared" ref="I111:I121" si="76">H111*C111</f>
        <v>4374.7804894674937</v>
      </c>
      <c r="J111">
        <f t="shared" ref="J111:J121" si="77">H111*B111*-1</f>
        <v>209.04769275406295</v>
      </c>
      <c r="K111">
        <f ca="1">H111/$B$55</f>
        <v>-4035.4762945730304</v>
      </c>
      <c r="L111">
        <f t="shared" ref="L111:L121" ca="1" si="78">K111/$B$54</f>
        <v>-0.1391543549852769</v>
      </c>
      <c r="M111">
        <f t="shared" si="67"/>
        <v>-0.13915435498527687</v>
      </c>
      <c r="N111">
        <f t="shared" si="68"/>
        <v>0</v>
      </c>
      <c r="O111">
        <f t="shared" ref="O111:O121" si="79">N111*C111</f>
        <v>0</v>
      </c>
      <c r="P111">
        <f t="shared" ref="P111:P121" si="80">N111*B111*-1</f>
        <v>0</v>
      </c>
      <c r="Q111">
        <f t="shared" ref="Q111:Q121" si="81">IF($H111&lt;0,F111,NA())</f>
        <v>0.36506633059334725</v>
      </c>
      <c r="R111">
        <f t="shared" ref="R111:R121" si="82">IF($H111&lt;0,G111,NA())</f>
        <v>-7.6398119462632783</v>
      </c>
      <c r="T111">
        <f t="shared" ref="T111:T121" si="83">(Q111*COS(-1*$B$64))+(R111*SIN(-1*$B$64))</f>
        <v>1.5</v>
      </c>
      <c r="U111">
        <f t="shared" ref="U111:U121" si="84">(-1*Q111*SIN(-1*$B$64))+(R111*COS(-1*$B$64))</f>
        <v>-7.5</v>
      </c>
      <c r="W111" s="4">
        <f t="shared" ref="W111:W121" si="85">T111+$B$9</f>
        <v>4.5</v>
      </c>
      <c r="X111" s="4">
        <f t="shared" ref="X111:X121" si="86">U111+$C$9</f>
        <v>1.5</v>
      </c>
      <c r="Y111">
        <f t="shared" si="69"/>
        <v>0</v>
      </c>
      <c r="AB111" t="str">
        <f t="shared" si="70"/>
        <v xml:space="preserve">
572.6293 kips</v>
      </c>
    </row>
    <row r="112" spans="1:28" x14ac:dyDescent="0.25">
      <c r="A112">
        <f t="shared" ref="A112:D112" si="87">A97</f>
        <v>3</v>
      </c>
      <c r="B112" s="1">
        <f t="shared" si="72"/>
        <v>7.1925442313943142</v>
      </c>
      <c r="C112" s="1">
        <f t="shared" si="73"/>
        <v>-2.6014049049381711</v>
      </c>
      <c r="D112" t="str">
        <f t="shared" si="87"/>
        <v>y</v>
      </c>
      <c r="E112" s="4">
        <f t="shared" si="65"/>
        <v>3.2638813601160219</v>
      </c>
      <c r="F112" s="1">
        <f t="shared" si="74"/>
        <v>7.1925442313943142</v>
      </c>
      <c r="G112" s="1">
        <f t="shared" si="75"/>
        <v>-2.6014049049381711</v>
      </c>
      <c r="H112">
        <f t="shared" si="66"/>
        <v>-225.11796097091477</v>
      </c>
      <c r="I112">
        <f t="shared" si="76"/>
        <v>585.62296785941749</v>
      </c>
      <c r="J112">
        <f t="shared" si="77"/>
        <v>1619.1708915646034</v>
      </c>
      <c r="K112">
        <f t="shared" ref="K112:K121" ca="1" si="88">H112/$B$55</f>
        <v>-1586.468118207106</v>
      </c>
      <c r="L112">
        <f t="shared" ca="1" si="78"/>
        <v>-5.4705797179555378E-2</v>
      </c>
      <c r="M112">
        <f t="shared" si="67"/>
        <v>-5.470579717955535E-2</v>
      </c>
      <c r="N112">
        <f t="shared" si="68"/>
        <v>0</v>
      </c>
      <c r="O112">
        <f t="shared" si="79"/>
        <v>0</v>
      </c>
      <c r="P112">
        <f t="shared" si="80"/>
        <v>0</v>
      </c>
      <c r="Q112">
        <f t="shared" si="81"/>
        <v>7.1925442313943142</v>
      </c>
      <c r="R112">
        <f t="shared" si="82"/>
        <v>-2.6014049049381711</v>
      </c>
      <c r="T112">
        <f t="shared" si="83"/>
        <v>7.5000000000000009</v>
      </c>
      <c r="U112">
        <f t="shared" si="84"/>
        <v>-1.4999999999999996</v>
      </c>
      <c r="W112" s="4">
        <f t="shared" si="85"/>
        <v>10.5</v>
      </c>
      <c r="X112" s="4">
        <f t="shared" si="86"/>
        <v>7.5</v>
      </c>
      <c r="Y112">
        <f t="shared" si="69"/>
        <v>0</v>
      </c>
      <c r="AB112" t="str">
        <f t="shared" si="70"/>
        <v xml:space="preserve">
225.118 kips</v>
      </c>
    </row>
    <row r="113" spans="1:28" x14ac:dyDescent="0.25">
      <c r="A113">
        <f t="shared" ref="A113:D113" si="89">A98</f>
        <v>4</v>
      </c>
      <c r="B113" s="1">
        <f t="shared" si="72"/>
        <v>7.6398119462632783</v>
      </c>
      <c r="C113" s="1">
        <f t="shared" si="73"/>
        <v>0.36506633059334725</v>
      </c>
      <c r="D113" t="str">
        <f t="shared" si="89"/>
        <v>y</v>
      </c>
      <c r="E113" s="4">
        <f t="shared" si="65"/>
        <v>0.29741012458450355</v>
      </c>
      <c r="F113" s="1">
        <f t="shared" si="74"/>
        <v>7.6398119462632783</v>
      </c>
      <c r="G113" s="1">
        <f t="shared" si="75"/>
        <v>0.36506633059334725</v>
      </c>
      <c r="H113">
        <f t="shared" si="66"/>
        <v>-20.513111057501551</v>
      </c>
      <c r="I113">
        <f t="shared" si="76"/>
        <v>-7.4886461828159083</v>
      </c>
      <c r="J113">
        <f t="shared" si="77"/>
        <v>156.71631091212569</v>
      </c>
      <c r="K113">
        <f t="shared" ca="1" si="88"/>
        <v>-144.56152924276205</v>
      </c>
      <c r="L113">
        <f t="shared" ca="1" si="78"/>
        <v>-4.9848803187159327E-3</v>
      </c>
      <c r="M113">
        <f t="shared" si="67"/>
        <v>-4.9848803187159309E-3</v>
      </c>
      <c r="N113">
        <f t="shared" si="68"/>
        <v>0</v>
      </c>
      <c r="O113">
        <f t="shared" si="79"/>
        <v>0</v>
      </c>
      <c r="P113">
        <f t="shared" si="80"/>
        <v>0</v>
      </c>
      <c r="Q113">
        <f t="shared" si="81"/>
        <v>7.6398119462632783</v>
      </c>
      <c r="R113">
        <f t="shared" si="82"/>
        <v>0.36506633059334725</v>
      </c>
      <c r="T113">
        <f t="shared" si="83"/>
        <v>7.5</v>
      </c>
      <c r="U113">
        <f t="shared" si="84"/>
        <v>1.5</v>
      </c>
      <c r="W113" s="4">
        <f t="shared" si="85"/>
        <v>10.5</v>
      </c>
      <c r="X113" s="4">
        <f t="shared" si="86"/>
        <v>10.5</v>
      </c>
      <c r="Y113">
        <f t="shared" si="69"/>
        <v>0</v>
      </c>
      <c r="AB113" t="str">
        <f t="shared" si="70"/>
        <v xml:space="preserve">
20.5131 kips</v>
      </c>
    </row>
    <row r="114" spans="1:28" x14ac:dyDescent="0.25">
      <c r="A114">
        <f t="shared" ref="A114:D114" si="90">A99</f>
        <v>5</v>
      </c>
      <c r="B114" s="1">
        <f t="shared" si="72"/>
        <v>-4.3082743801384131</v>
      </c>
      <c r="C114" s="1">
        <f t="shared" si="73"/>
        <v>-8.4521459917255921</v>
      </c>
      <c r="D114" t="str">
        <f t="shared" si="90"/>
        <v>n</v>
      </c>
      <c r="E114" s="4">
        <f t="shared" si="65"/>
        <v>0</v>
      </c>
      <c r="F114" s="1" t="e">
        <f t="shared" si="74"/>
        <v>#N/A</v>
      </c>
      <c r="G114" s="1" t="e">
        <f t="shared" si="75"/>
        <v>#N/A</v>
      </c>
      <c r="H114">
        <f t="shared" si="66"/>
        <v>0</v>
      </c>
      <c r="I114">
        <f t="shared" si="76"/>
        <v>0</v>
      </c>
      <c r="J114">
        <f t="shared" si="77"/>
        <v>0</v>
      </c>
      <c r="K114">
        <f t="shared" ca="1" si="88"/>
        <v>0</v>
      </c>
      <c r="L114">
        <f t="shared" ca="1" si="78"/>
        <v>0</v>
      </c>
      <c r="M114">
        <f t="shared" si="67"/>
        <v>0</v>
      </c>
      <c r="N114">
        <f t="shared" si="68"/>
        <v>0</v>
      </c>
      <c r="O114">
        <f t="shared" si="79"/>
        <v>0</v>
      </c>
      <c r="P114">
        <f t="shared" si="80"/>
        <v>0</v>
      </c>
      <c r="Q114" t="e">
        <f t="shared" si="81"/>
        <v>#N/A</v>
      </c>
      <c r="R114" t="e">
        <f t="shared" si="82"/>
        <v>#N/A</v>
      </c>
      <c r="T114" t="e">
        <f t="shared" si="83"/>
        <v>#N/A</v>
      </c>
      <c r="U114" t="e">
        <f t="shared" si="84"/>
        <v>#N/A</v>
      </c>
      <c r="W114" s="4" t="e">
        <f t="shared" si="85"/>
        <v>#N/A</v>
      </c>
      <c r="X114" s="4" t="e">
        <f t="shared" si="86"/>
        <v>#N/A</v>
      </c>
      <c r="Y114">
        <f t="shared" si="69"/>
        <v>0</v>
      </c>
      <c r="AB114" t="str">
        <f t="shared" si="70"/>
        <v/>
      </c>
    </row>
    <row r="115" spans="1:28" x14ac:dyDescent="0.25">
      <c r="A115">
        <f t="shared" ref="A115:D115" si="91">A100</f>
        <v>6</v>
      </c>
      <c r="B115" s="1">
        <f t="shared" si="72"/>
        <v>-4.3082743801384131</v>
      </c>
      <c r="C115" s="1">
        <f t="shared" si="73"/>
        <v>-8.4521459917255921</v>
      </c>
      <c r="D115" t="str">
        <f t="shared" si="91"/>
        <v>n</v>
      </c>
      <c r="E115" s="4">
        <f t="shared" si="65"/>
        <v>0</v>
      </c>
      <c r="F115" s="1" t="e">
        <f t="shared" si="74"/>
        <v>#N/A</v>
      </c>
      <c r="G115" s="1" t="e">
        <f t="shared" si="75"/>
        <v>#N/A</v>
      </c>
      <c r="H115">
        <f t="shared" si="66"/>
        <v>0</v>
      </c>
      <c r="I115">
        <f t="shared" si="76"/>
        <v>0</v>
      </c>
      <c r="J115">
        <f t="shared" si="77"/>
        <v>0</v>
      </c>
      <c r="K115">
        <f t="shared" ca="1" si="88"/>
        <v>0</v>
      </c>
      <c r="L115">
        <f t="shared" ca="1" si="78"/>
        <v>0</v>
      </c>
      <c r="M115">
        <f t="shared" si="67"/>
        <v>0</v>
      </c>
      <c r="N115">
        <f t="shared" si="68"/>
        <v>0</v>
      </c>
      <c r="O115">
        <f t="shared" si="79"/>
        <v>0</v>
      </c>
      <c r="P115">
        <f t="shared" si="80"/>
        <v>0</v>
      </c>
      <c r="Q115" t="e">
        <f t="shared" si="81"/>
        <v>#N/A</v>
      </c>
      <c r="R115" t="e">
        <f t="shared" si="82"/>
        <v>#N/A</v>
      </c>
      <c r="T115" t="e">
        <f t="shared" si="83"/>
        <v>#N/A</v>
      </c>
      <c r="U115" t="e">
        <f t="shared" si="84"/>
        <v>#N/A</v>
      </c>
      <c r="W115" s="4" t="e">
        <f t="shared" si="85"/>
        <v>#N/A</v>
      </c>
      <c r="X115" s="4" t="e">
        <f t="shared" si="86"/>
        <v>#N/A</v>
      </c>
      <c r="Y115">
        <f t="shared" si="69"/>
        <v>0</v>
      </c>
      <c r="AB115" t="str">
        <f t="shared" si="70"/>
        <v/>
      </c>
    </row>
    <row r="116" spans="1:28" x14ac:dyDescent="0.25">
      <c r="A116">
        <f t="shared" ref="A116:D116" si="92">A101</f>
        <v>7</v>
      </c>
      <c r="B116" s="1">
        <f t="shared" si="72"/>
        <v>-4.3082743801384131</v>
      </c>
      <c r="C116" s="1">
        <f t="shared" si="73"/>
        <v>-8.4521459917255921</v>
      </c>
      <c r="D116" t="str">
        <f t="shared" si="92"/>
        <v>n</v>
      </c>
      <c r="E116" s="4">
        <f t="shared" si="65"/>
        <v>0</v>
      </c>
      <c r="F116" s="1" t="e">
        <f t="shared" si="74"/>
        <v>#N/A</v>
      </c>
      <c r="G116" s="1" t="e">
        <f t="shared" si="75"/>
        <v>#N/A</v>
      </c>
      <c r="H116">
        <f t="shared" si="66"/>
        <v>0</v>
      </c>
      <c r="I116">
        <f t="shared" si="76"/>
        <v>0</v>
      </c>
      <c r="J116">
        <f t="shared" si="77"/>
        <v>0</v>
      </c>
      <c r="K116">
        <f t="shared" ca="1" si="88"/>
        <v>0</v>
      </c>
      <c r="L116">
        <f t="shared" ca="1" si="78"/>
        <v>0</v>
      </c>
      <c r="M116">
        <f t="shared" si="67"/>
        <v>0</v>
      </c>
      <c r="N116">
        <f t="shared" si="68"/>
        <v>0</v>
      </c>
      <c r="O116">
        <f t="shared" si="79"/>
        <v>0</v>
      </c>
      <c r="P116">
        <f t="shared" si="80"/>
        <v>0</v>
      </c>
      <c r="Q116" t="e">
        <f t="shared" si="81"/>
        <v>#N/A</v>
      </c>
      <c r="R116" t="e">
        <f t="shared" si="82"/>
        <v>#N/A</v>
      </c>
      <c r="T116" t="e">
        <f t="shared" si="83"/>
        <v>#N/A</v>
      </c>
      <c r="U116" t="e">
        <f t="shared" si="84"/>
        <v>#N/A</v>
      </c>
      <c r="W116" s="4" t="e">
        <f t="shared" si="85"/>
        <v>#N/A</v>
      </c>
      <c r="X116" s="4" t="e">
        <f t="shared" si="86"/>
        <v>#N/A</v>
      </c>
      <c r="Y116">
        <f t="shared" si="69"/>
        <v>0</v>
      </c>
      <c r="AB116" t="str">
        <f t="shared" si="70"/>
        <v/>
      </c>
    </row>
    <row r="117" spans="1:28" x14ac:dyDescent="0.25">
      <c r="A117">
        <f t="shared" ref="A117:D117" si="93">A102</f>
        <v>8</v>
      </c>
      <c r="B117" s="1">
        <f t="shared" si="72"/>
        <v>-4.3082743801384131</v>
      </c>
      <c r="C117" s="1">
        <f t="shared" si="73"/>
        <v>-8.4521459917255921</v>
      </c>
      <c r="D117" t="str">
        <f t="shared" si="93"/>
        <v>n</v>
      </c>
      <c r="E117" s="4">
        <f t="shared" si="65"/>
        <v>0</v>
      </c>
      <c r="F117" s="1" t="e">
        <f t="shared" si="74"/>
        <v>#N/A</v>
      </c>
      <c r="G117" s="1" t="e">
        <f t="shared" si="75"/>
        <v>#N/A</v>
      </c>
      <c r="H117">
        <f t="shared" si="66"/>
        <v>0</v>
      </c>
      <c r="I117">
        <f t="shared" si="76"/>
        <v>0</v>
      </c>
      <c r="J117">
        <f t="shared" si="77"/>
        <v>0</v>
      </c>
      <c r="K117">
        <f t="shared" ca="1" si="88"/>
        <v>0</v>
      </c>
      <c r="L117">
        <f t="shared" ca="1" si="78"/>
        <v>0</v>
      </c>
      <c r="M117">
        <f t="shared" si="67"/>
        <v>0</v>
      </c>
      <c r="N117">
        <f t="shared" si="68"/>
        <v>0</v>
      </c>
      <c r="O117">
        <f t="shared" si="79"/>
        <v>0</v>
      </c>
      <c r="P117">
        <f t="shared" si="80"/>
        <v>0</v>
      </c>
      <c r="Q117" t="e">
        <f t="shared" si="81"/>
        <v>#N/A</v>
      </c>
      <c r="R117" t="e">
        <f t="shared" si="82"/>
        <v>#N/A</v>
      </c>
      <c r="T117" t="e">
        <f t="shared" si="83"/>
        <v>#N/A</v>
      </c>
      <c r="U117" t="e">
        <f t="shared" si="84"/>
        <v>#N/A</v>
      </c>
      <c r="W117" s="4" t="e">
        <f t="shared" si="85"/>
        <v>#N/A</v>
      </c>
      <c r="X117" s="4" t="e">
        <f t="shared" si="86"/>
        <v>#N/A</v>
      </c>
      <c r="Y117">
        <f t="shared" si="69"/>
        <v>0</v>
      </c>
      <c r="AB117" t="str">
        <f t="shared" si="70"/>
        <v/>
      </c>
    </row>
    <row r="118" spans="1:28" x14ac:dyDescent="0.25">
      <c r="A118">
        <f t="shared" ref="A118:D118" si="94">A103</f>
        <v>9</v>
      </c>
      <c r="B118" s="1">
        <f t="shared" si="72"/>
        <v>-4.3082743801384131</v>
      </c>
      <c r="C118" s="1">
        <f t="shared" si="73"/>
        <v>-8.4521459917255921</v>
      </c>
      <c r="D118" t="str">
        <f t="shared" si="94"/>
        <v>n</v>
      </c>
      <c r="E118" s="4">
        <f t="shared" si="65"/>
        <v>0</v>
      </c>
      <c r="F118" s="1" t="e">
        <f t="shared" si="74"/>
        <v>#N/A</v>
      </c>
      <c r="G118" s="1" t="e">
        <f t="shared" si="75"/>
        <v>#N/A</v>
      </c>
      <c r="H118">
        <f t="shared" si="66"/>
        <v>0</v>
      </c>
      <c r="I118">
        <f t="shared" si="76"/>
        <v>0</v>
      </c>
      <c r="J118">
        <f t="shared" si="77"/>
        <v>0</v>
      </c>
      <c r="K118">
        <f t="shared" ca="1" si="88"/>
        <v>0</v>
      </c>
      <c r="L118">
        <f t="shared" ca="1" si="78"/>
        <v>0</v>
      </c>
      <c r="M118">
        <f t="shared" si="67"/>
        <v>0</v>
      </c>
      <c r="N118">
        <f t="shared" si="68"/>
        <v>0</v>
      </c>
      <c r="O118">
        <f t="shared" si="79"/>
        <v>0</v>
      </c>
      <c r="P118">
        <f t="shared" si="80"/>
        <v>0</v>
      </c>
      <c r="Q118" t="e">
        <f t="shared" si="81"/>
        <v>#N/A</v>
      </c>
      <c r="R118" t="e">
        <f t="shared" si="82"/>
        <v>#N/A</v>
      </c>
      <c r="T118" t="e">
        <f t="shared" si="83"/>
        <v>#N/A</v>
      </c>
      <c r="U118" t="e">
        <f t="shared" si="84"/>
        <v>#N/A</v>
      </c>
      <c r="W118" s="4" t="e">
        <f t="shared" si="85"/>
        <v>#N/A</v>
      </c>
      <c r="X118" s="4" t="e">
        <f t="shared" si="86"/>
        <v>#N/A</v>
      </c>
      <c r="Y118">
        <f t="shared" si="69"/>
        <v>0</v>
      </c>
      <c r="AB118" t="str">
        <f t="shared" si="70"/>
        <v/>
      </c>
    </row>
    <row r="119" spans="1:28" x14ac:dyDescent="0.25">
      <c r="A119">
        <f t="shared" ref="A119:D119" si="95">A104</f>
        <v>10</v>
      </c>
      <c r="B119" s="1">
        <f t="shared" si="72"/>
        <v>-4.3082743801384131</v>
      </c>
      <c r="C119" s="1">
        <f t="shared" si="73"/>
        <v>-8.4521459917255921</v>
      </c>
      <c r="D119" t="str">
        <f t="shared" si="95"/>
        <v>n</v>
      </c>
      <c r="E119" s="4">
        <f t="shared" si="65"/>
        <v>0</v>
      </c>
      <c r="F119" s="1" t="e">
        <f t="shared" si="74"/>
        <v>#N/A</v>
      </c>
      <c r="G119" s="1" t="e">
        <f t="shared" si="75"/>
        <v>#N/A</v>
      </c>
      <c r="H119">
        <f t="shared" si="66"/>
        <v>0</v>
      </c>
      <c r="I119">
        <f t="shared" si="76"/>
        <v>0</v>
      </c>
      <c r="J119">
        <f t="shared" si="77"/>
        <v>0</v>
      </c>
      <c r="K119">
        <f t="shared" ca="1" si="88"/>
        <v>0</v>
      </c>
      <c r="L119">
        <f t="shared" ca="1" si="78"/>
        <v>0</v>
      </c>
      <c r="M119">
        <f t="shared" si="67"/>
        <v>0</v>
      </c>
      <c r="N119">
        <f t="shared" si="68"/>
        <v>0</v>
      </c>
      <c r="O119">
        <f t="shared" si="79"/>
        <v>0</v>
      </c>
      <c r="P119">
        <f t="shared" si="80"/>
        <v>0</v>
      </c>
      <c r="Q119" t="e">
        <f t="shared" si="81"/>
        <v>#N/A</v>
      </c>
      <c r="R119" t="e">
        <f t="shared" si="82"/>
        <v>#N/A</v>
      </c>
      <c r="T119" t="e">
        <f t="shared" si="83"/>
        <v>#N/A</v>
      </c>
      <c r="U119" t="e">
        <f t="shared" si="84"/>
        <v>#N/A</v>
      </c>
      <c r="W119" s="4" t="e">
        <f t="shared" si="85"/>
        <v>#N/A</v>
      </c>
      <c r="X119" s="4" t="e">
        <f t="shared" si="86"/>
        <v>#N/A</v>
      </c>
      <c r="Y119">
        <f t="shared" si="69"/>
        <v>0</v>
      </c>
      <c r="AB119" t="str">
        <f t="shared" si="70"/>
        <v/>
      </c>
    </row>
    <row r="120" spans="1:28" x14ac:dyDescent="0.25">
      <c r="A120">
        <f t="shared" ref="A120:D120" si="96">A105</f>
        <v>11</v>
      </c>
      <c r="B120" s="1">
        <f t="shared" si="72"/>
        <v>-4.3082743801384131</v>
      </c>
      <c r="C120" s="1">
        <f t="shared" si="73"/>
        <v>-8.4521459917255921</v>
      </c>
      <c r="D120" t="str">
        <f t="shared" si="96"/>
        <v>n</v>
      </c>
      <c r="E120" s="4">
        <f t="shared" si="65"/>
        <v>0</v>
      </c>
      <c r="F120" s="1" t="e">
        <f t="shared" si="74"/>
        <v>#N/A</v>
      </c>
      <c r="G120" s="1" t="e">
        <f t="shared" si="75"/>
        <v>#N/A</v>
      </c>
      <c r="H120">
        <f t="shared" si="66"/>
        <v>0</v>
      </c>
      <c r="I120">
        <f t="shared" si="76"/>
        <v>0</v>
      </c>
      <c r="J120">
        <f t="shared" si="77"/>
        <v>0</v>
      </c>
      <c r="K120">
        <f t="shared" ca="1" si="88"/>
        <v>0</v>
      </c>
      <c r="L120">
        <f t="shared" ca="1" si="78"/>
        <v>0</v>
      </c>
      <c r="M120">
        <f t="shared" si="67"/>
        <v>0</v>
      </c>
      <c r="N120">
        <f t="shared" si="68"/>
        <v>0</v>
      </c>
      <c r="O120">
        <f t="shared" si="79"/>
        <v>0</v>
      </c>
      <c r="P120">
        <f t="shared" si="80"/>
        <v>0</v>
      </c>
      <c r="Q120" t="e">
        <f t="shared" si="81"/>
        <v>#N/A</v>
      </c>
      <c r="R120" t="e">
        <f t="shared" si="82"/>
        <v>#N/A</v>
      </c>
      <c r="T120" t="e">
        <f t="shared" si="83"/>
        <v>#N/A</v>
      </c>
      <c r="U120" t="e">
        <f t="shared" si="84"/>
        <v>#N/A</v>
      </c>
      <c r="W120" s="4" t="e">
        <f t="shared" si="85"/>
        <v>#N/A</v>
      </c>
      <c r="X120" s="4" t="e">
        <f t="shared" si="86"/>
        <v>#N/A</v>
      </c>
      <c r="Y120">
        <f t="shared" si="69"/>
        <v>0</v>
      </c>
      <c r="AB120" t="str">
        <f t="shared" si="70"/>
        <v/>
      </c>
    </row>
    <row r="121" spans="1:28" ht="15.75" thickBot="1" x14ac:dyDescent="0.3">
      <c r="A121">
        <f t="shared" ref="A121:D121" si="97">A106</f>
        <v>12</v>
      </c>
      <c r="B121" s="1">
        <f t="shared" si="72"/>
        <v>-4.3082743801384131</v>
      </c>
      <c r="C121" s="1">
        <f t="shared" si="73"/>
        <v>-8.4521459917255921</v>
      </c>
      <c r="D121" t="str">
        <f t="shared" si="97"/>
        <v>n</v>
      </c>
      <c r="E121" s="4">
        <f t="shared" si="65"/>
        <v>0</v>
      </c>
      <c r="F121" s="1" t="e">
        <f t="shared" si="74"/>
        <v>#N/A</v>
      </c>
      <c r="G121" s="1" t="e">
        <f t="shared" si="75"/>
        <v>#N/A</v>
      </c>
      <c r="H121" s="23">
        <f t="shared" si="66"/>
        <v>0</v>
      </c>
      <c r="I121" s="23">
        <f t="shared" si="76"/>
        <v>0</v>
      </c>
      <c r="J121" s="23">
        <f t="shared" si="77"/>
        <v>0</v>
      </c>
      <c r="K121">
        <f t="shared" ca="1" si="88"/>
        <v>0</v>
      </c>
      <c r="L121">
        <f t="shared" ca="1" si="78"/>
        <v>0</v>
      </c>
      <c r="M121">
        <f t="shared" si="67"/>
        <v>0</v>
      </c>
      <c r="N121" s="23">
        <f t="shared" si="68"/>
        <v>0</v>
      </c>
      <c r="O121" s="23">
        <f t="shared" si="79"/>
        <v>0</v>
      </c>
      <c r="P121" s="23">
        <f t="shared" si="80"/>
        <v>0</v>
      </c>
      <c r="Q121" t="e">
        <f t="shared" si="81"/>
        <v>#N/A</v>
      </c>
      <c r="R121" t="e">
        <f t="shared" si="82"/>
        <v>#N/A</v>
      </c>
      <c r="T121" t="e">
        <f t="shared" si="83"/>
        <v>#N/A</v>
      </c>
      <c r="U121" t="e">
        <f t="shared" si="84"/>
        <v>#N/A</v>
      </c>
      <c r="W121" s="4" t="e">
        <f t="shared" si="85"/>
        <v>#N/A</v>
      </c>
      <c r="X121" s="4" t="e">
        <f t="shared" si="86"/>
        <v>#N/A</v>
      </c>
      <c r="Y121">
        <f t="shared" si="69"/>
        <v>0</v>
      </c>
      <c r="AB121" t="str">
        <f t="shared" si="70"/>
        <v/>
      </c>
    </row>
    <row r="122" spans="1:28" ht="15.75" thickTop="1" x14ac:dyDescent="0.25">
      <c r="D122" s="10" t="s">
        <v>44</v>
      </c>
      <c r="E122" s="4">
        <f>MAX(E110:E121)</f>
        <v>8.3022884014411282</v>
      </c>
      <c r="H122">
        <f>SUM(H110:H121)</f>
        <v>-1360.0405971776659</v>
      </c>
      <c r="I122">
        <f t="shared" ref="I122:J122" si="98">SUM(I110:I121)</f>
        <v>8849.692740561035</v>
      </c>
      <c r="J122">
        <f t="shared" si="98"/>
        <v>575.54526995838637</v>
      </c>
      <c r="L122">
        <f ca="1">MIN(L110:L121)</f>
        <v>-0.1391543549852769</v>
      </c>
      <c r="M122">
        <f>MIN(M110:M121)</f>
        <v>-0.13915435498527687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0.66247645517785081</v>
      </c>
      <c r="F125" s="1" t="s">
        <v>27</v>
      </c>
      <c r="G125" s="1" t="s">
        <v>28</v>
      </c>
    </row>
    <row r="126" spans="1:28" x14ac:dyDescent="0.25">
      <c r="F126" s="4">
        <f>MIN(B84:B92)-1</f>
        <v>-5.3082743801384131</v>
      </c>
      <c r="G126" s="4">
        <f>B125</f>
        <v>0.66247645517785081</v>
      </c>
      <c r="I126">
        <f>IF(OR($G$126&gt;MAX($C$84:$C$92)+5,$G$126&lt;MIN($C$84:$C$92)-5),NA(),F126)</f>
        <v>-5.3082743801384131</v>
      </c>
      <c r="J126">
        <f>IF(OR($G$126&gt;MAX($C$84:$C$92)+5,$G$126&lt;MIN($C$84:$C$92)-5),NA(),G126)</f>
        <v>0.66247645517785081</v>
      </c>
    </row>
    <row r="127" spans="1:28" x14ac:dyDescent="0.25">
      <c r="F127" s="4">
        <f>MAX(B84:B92)+1</f>
        <v>10.34668142146352</v>
      </c>
      <c r="G127" s="4">
        <f>G126</f>
        <v>0.66247645517785081</v>
      </c>
      <c r="I127">
        <f>IF(OR($G$126&gt;MAX($C$84:$C$92)+5,$G$126&lt;MIN($C$84:$C$92)-5),NA(),F127)</f>
        <v>10.34668142146352</v>
      </c>
      <c r="J127">
        <f>IF(OR($G$126&gt;MAX($C$84:$C$92)+5,$G$126&lt;MIN($C$84:$C$92)-5),NA(),G127)</f>
        <v>0.66247645517785081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-4.3082743801384131</v>
      </c>
      <c r="C132" s="4">
        <f>C84</f>
        <v>-8.4521459917255921</v>
      </c>
      <c r="D132" s="4">
        <f t="shared" ref="D132:E139" si="99">B85</f>
        <v>1.6246680909246241</v>
      </c>
      <c r="E132" s="4">
        <f t="shared" si="99"/>
        <v>-9.3466814214635203</v>
      </c>
      <c r="F132" s="4">
        <f t="shared" ref="F132:F139" si="100">($B$66/$B$65)*(C132-$B$125)</f>
        <v>-590.48636096109612</v>
      </c>
      <c r="G132" s="4">
        <f t="shared" ref="G132:G139" si="101">($B$66/$B$65)*(E132-$B$125)</f>
        <v>-648.43840162254685</v>
      </c>
      <c r="H132" s="4">
        <f>IF(B132=D132,"V",(C132-E132)/(B132-D132))</f>
        <v>-0.15077433062951132</v>
      </c>
      <c r="I132" s="4">
        <f>IF(H132="V",0,(-1*B132*H132)+C132)</f>
        <v>-9.1017231775592347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2">D132</f>
        <v>1.6246680909246241</v>
      </c>
      <c r="C133" s="4">
        <f t="shared" si="102"/>
        <v>-9.3466814214635203</v>
      </c>
      <c r="D133" s="4">
        <f t="shared" si="99"/>
        <v>2.5192035206625536</v>
      </c>
      <c r="E133" s="4">
        <f t="shared" si="99"/>
        <v>-3.4137389504004836</v>
      </c>
      <c r="F133" s="4">
        <f t="shared" si="100"/>
        <v>-648.43840162254685</v>
      </c>
      <c r="G133" s="4">
        <f t="shared" si="101"/>
        <v>-264.07562302827307</v>
      </c>
      <c r="H133" s="4">
        <f t="shared" ref="H133:H139" si="103">IF(B133=D133,"V",(C133-E133)/(B133-D133))</f>
        <v>6.6324287153178494</v>
      </c>
      <c r="I133" s="4">
        <f t="shared" ref="I133:I139" si="104">IF(H133="V",0,(-1*B133*H133)+C133)</f>
        <v>-20.122176720572625</v>
      </c>
      <c r="J133" s="4">
        <f t="shared" ref="J133:J139" si="105">IF($F133&gt;=0,B133,IF(AND($F133&lt;0,$G133&gt;=0),IF(H133="V",B133,($B$125-I133)/H133),0))</f>
        <v>0</v>
      </c>
      <c r="K133" s="4">
        <f t="shared" ref="K133:K139" si="106">IF($F133&gt;=0,C133,IF(AND($F133&lt;0,$G133&gt;=0),$B$125,0))</f>
        <v>0</v>
      </c>
      <c r="L133" s="4">
        <f t="shared" ref="L133:L139" si="107">IF($G133&gt;=0,D133,IF(AND($G133&lt;0,$F133&gt;=0),IF(H133="V",D133,($B$125-I133)/H133),0))</f>
        <v>0</v>
      </c>
      <c r="M133" s="4">
        <f t="shared" ref="M133:M139" si="108">IF($G133&gt;=0,E133,IF(AND($G133&lt;0,$F133&gt;=0),$B$125,0))</f>
        <v>0</v>
      </c>
      <c r="N133" s="4">
        <f t="shared" ref="N133:N139" si="109">IF(F133&lt;0,0,F133)</f>
        <v>0</v>
      </c>
      <c r="O133" s="4">
        <f t="shared" ref="O133:O139" si="110">IF(G133&lt;0,0,G133)</f>
        <v>0</v>
      </c>
      <c r="P133" s="4">
        <f t="shared" ref="P133:P139" si="111">(1/6)*(M133-K133)*((N133*((2*J133)+L133))+(O133*(J133+(2*L133))))</f>
        <v>0</v>
      </c>
      <c r="Q133" s="4">
        <f t="shared" ref="Q133:Q139" si="112">((1/12)*(M133-K133)*(N133*J133*((3*K133)+M133)+N133*L133*(K133+M133)+O133*J133*(K133+M133)+O133*L133*(K133+(3*M133))))</f>
        <v>0</v>
      </c>
      <c r="R133" s="4">
        <f t="shared" ref="R133:R139" si="113">((-1/24)*(M133-K133)*(J133*J133*((3*N133)+O133)+2*J133*L133*(N133+O133)+L133*L133*(N133+(3*O133))))</f>
        <v>0</v>
      </c>
      <c r="U133" t="e">
        <f t="shared" ref="U133:U153" si="114">IF(AND(J133=0,K133=0,L133=0,M133=0),NA(),J133)</f>
        <v>#N/A</v>
      </c>
      <c r="V133" t="e">
        <f t="shared" ref="V133:V153" si="115">IF(AND(J133=0,K133=0,L133=0,M133=0),NA(),K133)</f>
        <v>#N/A</v>
      </c>
      <c r="W133" s="9" t="str">
        <f t="shared" ref="W133:W144" si="116">IF(AND(J133=0,K133=0,L133=0,M133=0),"",ROUND(N133,4)&amp;" ksi")</f>
        <v/>
      </c>
      <c r="X133" t="e">
        <f t="shared" ref="X133:X139" si="117">(U133*COS(-1*$B$64))+(V133*SIN(-1*$B$64))</f>
        <v>#N/A</v>
      </c>
      <c r="Y133" t="e">
        <f t="shared" ref="Y133:Y139" si="118">(-1*U133*SIN(-1*$B$64))+(V133*COS(-1*$B$64))</f>
        <v>#N/A</v>
      </c>
      <c r="AA133" s="4" t="e">
        <f t="shared" ref="AA133:AA139" si="119">X133+$B$9</f>
        <v>#N/A</v>
      </c>
      <c r="AB133" s="4" t="e">
        <f t="shared" ref="AB133:AB139" si="120">Y133+$C$9</f>
        <v>#N/A</v>
      </c>
      <c r="AD133" t="e">
        <f t="shared" ref="AD133:AD139" si="121">IF(AND(J133=0,K133=0,L133=0,M133=0),NA(),L133)</f>
        <v>#N/A</v>
      </c>
      <c r="AE133" t="e">
        <f t="shared" ref="AE133:AE139" si="122">IF(AND(J133=0,K133=0,L133=0,M133=0),NA(),M133)</f>
        <v>#N/A</v>
      </c>
      <c r="AF133" s="9" t="str">
        <f t="shared" ref="AF133:AF139" si="123">IF(AND(J133=0,K133=0,L133=0,M133=0),"",ROUND(O133,4)&amp;" ksi")</f>
        <v/>
      </c>
      <c r="AG133" t="e">
        <f t="shared" ref="AG133:AG139" si="124">IF(COUNTIF($U$132:$U$139,AD133)&gt;0,NA(),AD133)</f>
        <v>#N/A</v>
      </c>
      <c r="AH133" t="e">
        <f t="shared" ref="AH133:AH139" si="125">IF(AND(COUNTIF($V$132:$V$139,AE133)&gt;0,AF133&lt;&gt;"0 ksi"),NA(),AE133)</f>
        <v>#N/A</v>
      </c>
      <c r="AI133" t="str">
        <f t="shared" ref="AI133:AI139" si="126">IF(COUNTIF($U$132:$U$139,AD133)&gt;0,"",AF133)</f>
        <v/>
      </c>
      <c r="AJ133" t="e">
        <f t="shared" ref="AJ133:AJ139" si="127">(AG133*COS(-1*$B$64))+(AH133*SIN(-1*$B$64))</f>
        <v>#N/A</v>
      </c>
      <c r="AK133" t="e">
        <f t="shared" ref="AK133:AK139" si="128">(-1*AG133*SIN(-1*$B$64))+(AH133*COS(-1*$B$64))</f>
        <v>#N/A</v>
      </c>
      <c r="AM133" s="4" t="e">
        <f t="shared" ref="AM133:AM139" si="129">AJ133+$B$9</f>
        <v>#N/A</v>
      </c>
      <c r="AN133" s="4" t="e">
        <f t="shared" ref="AN133:AN139" si="130">AK133+$C$9</f>
        <v>#N/A</v>
      </c>
    </row>
    <row r="134" spans="1:40" x14ac:dyDescent="0.25">
      <c r="A134" t="s">
        <v>71</v>
      </c>
      <c r="B134" s="4">
        <f t="shared" si="102"/>
        <v>2.5192035206625536</v>
      </c>
      <c r="C134" s="4">
        <f t="shared" si="102"/>
        <v>-3.4137389504004836</v>
      </c>
      <c r="D134" s="4">
        <f t="shared" si="99"/>
        <v>8.4521459917255921</v>
      </c>
      <c r="E134" s="4">
        <f t="shared" si="99"/>
        <v>-4.3082743801384131</v>
      </c>
      <c r="F134" s="4">
        <f t="shared" si="100"/>
        <v>-264.07562302827307</v>
      </c>
      <c r="G134" s="4">
        <f t="shared" si="101"/>
        <v>-322.02766368972385</v>
      </c>
      <c r="H134" s="4">
        <f t="shared" si="103"/>
        <v>-0.15077433062951151</v>
      </c>
      <c r="I134" s="4">
        <f t="shared" si="104"/>
        <v>-3.0339077258530782</v>
      </c>
      <c r="J134" s="4">
        <f t="shared" si="105"/>
        <v>0</v>
      </c>
      <c r="K134" s="4">
        <f t="shared" si="106"/>
        <v>0</v>
      </c>
      <c r="L134" s="4">
        <f t="shared" si="107"/>
        <v>0</v>
      </c>
      <c r="M134" s="4">
        <f t="shared" si="108"/>
        <v>0</v>
      </c>
      <c r="N134" s="4">
        <f t="shared" si="109"/>
        <v>0</v>
      </c>
      <c r="O134" s="4">
        <f t="shared" si="110"/>
        <v>0</v>
      </c>
      <c r="P134" s="4">
        <f t="shared" si="111"/>
        <v>0</v>
      </c>
      <c r="Q134" s="4">
        <f t="shared" si="112"/>
        <v>0</v>
      </c>
      <c r="R134" s="4">
        <f t="shared" si="113"/>
        <v>0</v>
      </c>
      <c r="U134" t="e">
        <f t="shared" si="114"/>
        <v>#N/A</v>
      </c>
      <c r="V134" t="e">
        <f t="shared" si="115"/>
        <v>#N/A</v>
      </c>
      <c r="W134" s="9" t="str">
        <f t="shared" si="116"/>
        <v/>
      </c>
      <c r="X134" t="e">
        <f t="shared" si="117"/>
        <v>#N/A</v>
      </c>
      <c r="Y134" t="e">
        <f t="shared" si="118"/>
        <v>#N/A</v>
      </c>
      <c r="AA134" s="4" t="e">
        <f t="shared" si="119"/>
        <v>#N/A</v>
      </c>
      <c r="AB134" s="4" t="e">
        <f t="shared" si="120"/>
        <v>#N/A</v>
      </c>
      <c r="AD134" t="e">
        <f t="shared" si="121"/>
        <v>#N/A</v>
      </c>
      <c r="AE134" t="e">
        <f t="shared" si="122"/>
        <v>#N/A</v>
      </c>
      <c r="AF134" s="9" t="str">
        <f t="shared" si="123"/>
        <v/>
      </c>
      <c r="AG134" t="e">
        <f t="shared" si="124"/>
        <v>#N/A</v>
      </c>
      <c r="AH134" t="e">
        <f t="shared" si="125"/>
        <v>#N/A</v>
      </c>
      <c r="AI134" t="str">
        <f t="shared" si="126"/>
        <v/>
      </c>
      <c r="AJ134" t="e">
        <f t="shared" si="127"/>
        <v>#N/A</v>
      </c>
      <c r="AK134" t="e">
        <f t="shared" si="128"/>
        <v>#N/A</v>
      </c>
      <c r="AM134" s="4" t="e">
        <f t="shared" si="129"/>
        <v>#N/A</v>
      </c>
      <c r="AN134" s="4" t="e">
        <f t="shared" si="130"/>
        <v>#N/A</v>
      </c>
    </row>
    <row r="135" spans="1:40" x14ac:dyDescent="0.25">
      <c r="A135" t="s">
        <v>72</v>
      </c>
      <c r="B135" s="4">
        <f t="shared" si="102"/>
        <v>8.4521459917255921</v>
      </c>
      <c r="C135" s="4">
        <f t="shared" si="102"/>
        <v>-4.3082743801384131</v>
      </c>
      <c r="D135" s="4">
        <f t="shared" si="99"/>
        <v>9.3466814214635203</v>
      </c>
      <c r="E135" s="4">
        <f t="shared" si="99"/>
        <v>1.6246680909246241</v>
      </c>
      <c r="F135" s="4">
        <f t="shared" si="100"/>
        <v>-322.02766368972385</v>
      </c>
      <c r="G135" s="4">
        <f t="shared" si="101"/>
        <v>62.335114904549989</v>
      </c>
      <c r="H135" s="4">
        <f t="shared" si="103"/>
        <v>6.63242871531786</v>
      </c>
      <c r="I135" s="4">
        <f t="shared" si="104"/>
        <v>-60.366530161717982</v>
      </c>
      <c r="J135" s="4">
        <f t="shared" si="105"/>
        <v>9.2016076216464864</v>
      </c>
      <c r="K135" s="4">
        <f t="shared" si="106"/>
        <v>0.66247645517785081</v>
      </c>
      <c r="L135" s="4">
        <f t="shared" si="107"/>
        <v>9.3466814214635203</v>
      </c>
      <c r="M135" s="4">
        <f t="shared" si="108"/>
        <v>1.6246680909246241</v>
      </c>
      <c r="N135" s="4">
        <f t="shared" si="109"/>
        <v>0</v>
      </c>
      <c r="O135" s="4">
        <f t="shared" si="110"/>
        <v>62.335114904549989</v>
      </c>
      <c r="P135" s="4">
        <f t="shared" si="111"/>
        <v>278.84893952524237</v>
      </c>
      <c r="Q135" s="4">
        <f t="shared" si="112"/>
        <v>363.83416577386532</v>
      </c>
      <c r="R135" s="4">
        <f t="shared" si="113"/>
        <v>-1296.4313543597066</v>
      </c>
      <c r="U135">
        <f t="shared" si="114"/>
        <v>9.2016076216464864</v>
      </c>
      <c r="V135">
        <f t="shared" si="115"/>
        <v>0.66247645517785081</v>
      </c>
      <c r="W135" s="9" t="str">
        <f t="shared" si="116"/>
        <v>0 ksi</v>
      </c>
      <c r="X135">
        <f t="shared" si="117"/>
        <v>9</v>
      </c>
      <c r="Y135">
        <f t="shared" si="118"/>
        <v>2.0269331208522181</v>
      </c>
      <c r="AA135" s="4">
        <f t="shared" si="119"/>
        <v>12</v>
      </c>
      <c r="AB135" s="4">
        <f t="shared" si="120"/>
        <v>11.026933120852219</v>
      </c>
      <c r="AD135">
        <f t="shared" si="121"/>
        <v>9.3466814214635203</v>
      </c>
      <c r="AE135">
        <f t="shared" si="122"/>
        <v>1.6246680909246241</v>
      </c>
      <c r="AF135" s="9" t="str">
        <f t="shared" si="123"/>
        <v>62.3351 ksi</v>
      </c>
      <c r="AG135" t="e">
        <f t="shared" si="124"/>
        <v>#N/A</v>
      </c>
      <c r="AH135" t="e">
        <f t="shared" si="125"/>
        <v>#N/A</v>
      </c>
      <c r="AI135" t="str">
        <f t="shared" si="126"/>
        <v/>
      </c>
      <c r="AJ135" t="e">
        <f t="shared" si="127"/>
        <v>#N/A</v>
      </c>
      <c r="AK135" t="e">
        <f t="shared" si="128"/>
        <v>#N/A</v>
      </c>
      <c r="AM135" s="4" t="e">
        <f t="shared" si="129"/>
        <v>#N/A</v>
      </c>
      <c r="AN135" s="4" t="e">
        <f t="shared" si="130"/>
        <v>#N/A</v>
      </c>
    </row>
    <row r="136" spans="1:40" x14ac:dyDescent="0.25">
      <c r="A136" t="s">
        <v>73</v>
      </c>
      <c r="B136" s="4">
        <f t="shared" si="102"/>
        <v>9.3466814214635203</v>
      </c>
      <c r="C136" s="4">
        <f t="shared" si="102"/>
        <v>1.6246680909246241</v>
      </c>
      <c r="D136" s="4">
        <f t="shared" si="99"/>
        <v>-2.5192035206625536</v>
      </c>
      <c r="E136" s="4">
        <f t="shared" si="99"/>
        <v>3.4137389504004836</v>
      </c>
      <c r="F136" s="4">
        <f t="shared" si="100"/>
        <v>62.335114904549989</v>
      </c>
      <c r="G136" s="4">
        <f t="shared" si="101"/>
        <v>178.23919622745157</v>
      </c>
      <c r="H136" s="4">
        <f t="shared" si="103"/>
        <v>-0.15077433062951157</v>
      </c>
      <c r="I136" s="4">
        <f t="shared" si="104"/>
        <v>3.0339077258530782</v>
      </c>
      <c r="J136" s="4">
        <f t="shared" si="105"/>
        <v>9.3466814214635203</v>
      </c>
      <c r="K136" s="4">
        <f t="shared" si="106"/>
        <v>1.6246680909246241</v>
      </c>
      <c r="L136" s="4">
        <f t="shared" si="107"/>
        <v>-2.5192035206625536</v>
      </c>
      <c r="M136" s="4">
        <f t="shared" si="108"/>
        <v>3.4137389504004836</v>
      </c>
      <c r="N136" s="4">
        <f t="shared" si="109"/>
        <v>62.335114904549989</v>
      </c>
      <c r="O136" s="4">
        <f t="shared" si="110"/>
        <v>178.23919622745157</v>
      </c>
      <c r="P136" s="4">
        <f t="shared" si="111"/>
        <v>529.60118593884533</v>
      </c>
      <c r="Q136" s="4">
        <f t="shared" si="112"/>
        <v>1059.0006455278483</v>
      </c>
      <c r="R136" s="4">
        <f t="shared" si="113"/>
        <v>-1816.4911819736253</v>
      </c>
      <c r="U136">
        <f t="shared" si="114"/>
        <v>9.3466814214635203</v>
      </c>
      <c r="V136">
        <f t="shared" si="115"/>
        <v>1.6246680909246241</v>
      </c>
      <c r="W136" s="9" t="str">
        <f t="shared" si="116"/>
        <v>62.3351 ksi</v>
      </c>
      <c r="X136">
        <f t="shared" si="117"/>
        <v>9</v>
      </c>
      <c r="Y136">
        <f t="shared" si="118"/>
        <v>3</v>
      </c>
      <c r="AA136" s="4">
        <f t="shared" si="119"/>
        <v>12</v>
      </c>
      <c r="AB136" s="4">
        <f t="shared" si="120"/>
        <v>12</v>
      </c>
      <c r="AD136">
        <f t="shared" si="121"/>
        <v>-2.5192035206625536</v>
      </c>
      <c r="AE136">
        <f t="shared" si="122"/>
        <v>3.4137389504004836</v>
      </c>
      <c r="AF136" s="9" t="str">
        <f t="shared" si="123"/>
        <v>178.2392 ksi</v>
      </c>
      <c r="AG136" t="e">
        <f t="shared" si="124"/>
        <v>#N/A</v>
      </c>
      <c r="AH136" t="e">
        <f t="shared" si="125"/>
        <v>#N/A</v>
      </c>
      <c r="AI136" t="str">
        <f t="shared" si="126"/>
        <v/>
      </c>
      <c r="AJ136" t="e">
        <f t="shared" si="127"/>
        <v>#N/A</v>
      </c>
      <c r="AK136" t="e">
        <f t="shared" si="128"/>
        <v>#N/A</v>
      </c>
      <c r="AM136" s="4" t="e">
        <f t="shared" si="129"/>
        <v>#N/A</v>
      </c>
      <c r="AN136" s="4" t="e">
        <f t="shared" si="130"/>
        <v>#N/A</v>
      </c>
    </row>
    <row r="137" spans="1:40" x14ac:dyDescent="0.25">
      <c r="A137" t="s">
        <v>74</v>
      </c>
      <c r="B137" s="4">
        <f t="shared" si="102"/>
        <v>-2.5192035206625536</v>
      </c>
      <c r="C137" s="4">
        <f t="shared" si="102"/>
        <v>3.4137389504004836</v>
      </c>
      <c r="D137" s="4">
        <f t="shared" si="99"/>
        <v>-4.3082743801384131</v>
      </c>
      <c r="E137" s="4">
        <f t="shared" si="99"/>
        <v>-8.4521459917255921</v>
      </c>
      <c r="F137" s="4">
        <f t="shared" si="100"/>
        <v>178.23919622745157</v>
      </c>
      <c r="G137" s="4">
        <f t="shared" si="101"/>
        <v>-590.48636096109612</v>
      </c>
      <c r="H137" s="4">
        <f t="shared" si="103"/>
        <v>6.6324287153178494</v>
      </c>
      <c r="I137" s="4">
        <f t="shared" si="104"/>
        <v>20.122176720572625</v>
      </c>
      <c r="J137" s="4">
        <f t="shared" si="105"/>
        <v>-2.5192035206625536</v>
      </c>
      <c r="K137" s="4">
        <f t="shared" si="106"/>
        <v>3.4137389504004836</v>
      </c>
      <c r="L137" s="4">
        <f t="shared" si="107"/>
        <v>-2.9340232817658252</v>
      </c>
      <c r="M137" s="4">
        <f t="shared" si="108"/>
        <v>0.66247645517785081</v>
      </c>
      <c r="N137" s="4">
        <f t="shared" si="109"/>
        <v>178.23919622745157</v>
      </c>
      <c r="O137" s="4">
        <f t="shared" si="110"/>
        <v>0</v>
      </c>
      <c r="P137" s="4">
        <f t="shared" si="111"/>
        <v>651.59047171357975</v>
      </c>
      <c r="Q137" s="4">
        <f t="shared" si="112"/>
        <v>1611.2480988580874</v>
      </c>
      <c r="R137" s="4">
        <f t="shared" si="113"/>
        <v>866.96525632033979</v>
      </c>
      <c r="U137">
        <f t="shared" si="114"/>
        <v>-2.5192035206625536</v>
      </c>
      <c r="V137">
        <f t="shared" si="115"/>
        <v>3.4137389504004836</v>
      </c>
      <c r="W137" s="9" t="str">
        <f t="shared" si="116"/>
        <v>178.2392 ksi</v>
      </c>
      <c r="X137">
        <f t="shared" si="117"/>
        <v>-3</v>
      </c>
      <c r="Y137">
        <f t="shared" si="118"/>
        <v>3.0000000000000004</v>
      </c>
      <c r="AA137" s="4">
        <f t="shared" si="119"/>
        <v>0</v>
      </c>
      <c r="AB137" s="4">
        <f t="shared" si="120"/>
        <v>12</v>
      </c>
      <c r="AD137">
        <f t="shared" si="121"/>
        <v>-2.9340232817658252</v>
      </c>
      <c r="AE137">
        <f t="shared" si="122"/>
        <v>0.66247645517785081</v>
      </c>
      <c r="AF137" s="9" t="str">
        <f t="shared" si="123"/>
        <v>0 ksi</v>
      </c>
      <c r="AG137">
        <f t="shared" si="124"/>
        <v>-2.9340232817658252</v>
      </c>
      <c r="AH137">
        <f t="shared" si="125"/>
        <v>0.66247645517785081</v>
      </c>
      <c r="AI137" t="str">
        <f t="shared" si="126"/>
        <v>0 ksi</v>
      </c>
      <c r="AJ137">
        <f t="shared" si="127"/>
        <v>-2.9999999999999991</v>
      </c>
      <c r="AK137">
        <f t="shared" si="128"/>
        <v>0.21764115329807937</v>
      </c>
      <c r="AM137" s="4">
        <f t="shared" si="129"/>
        <v>0</v>
      </c>
      <c r="AN137" s="4">
        <f t="shared" si="130"/>
        <v>9.2176411532980786</v>
      </c>
    </row>
    <row r="138" spans="1:40" x14ac:dyDescent="0.25">
      <c r="A138" t="s">
        <v>75</v>
      </c>
      <c r="B138" s="4">
        <f t="shared" si="102"/>
        <v>-4.3082743801384131</v>
      </c>
      <c r="C138" s="4">
        <f t="shared" si="102"/>
        <v>-8.4521459917255921</v>
      </c>
      <c r="D138" s="4">
        <f t="shared" si="99"/>
        <v>-4.3082743801384131</v>
      </c>
      <c r="E138" s="4">
        <f t="shared" si="99"/>
        <v>-8.4521459917255921</v>
      </c>
      <c r="F138" s="4">
        <f t="shared" si="100"/>
        <v>-590.48636096109612</v>
      </c>
      <c r="G138" s="4">
        <f t="shared" si="101"/>
        <v>-590.48636096109612</v>
      </c>
      <c r="H138" s="4" t="str">
        <f t="shared" si="103"/>
        <v>V</v>
      </c>
      <c r="I138" s="4">
        <f t="shared" si="104"/>
        <v>0</v>
      </c>
      <c r="J138" s="4">
        <f t="shared" si="105"/>
        <v>0</v>
      </c>
      <c r="K138" s="4">
        <f t="shared" si="106"/>
        <v>0</v>
      </c>
      <c r="L138" s="4">
        <f t="shared" si="107"/>
        <v>0</v>
      </c>
      <c r="M138" s="4">
        <f t="shared" si="108"/>
        <v>0</v>
      </c>
      <c r="N138" s="4">
        <f t="shared" si="109"/>
        <v>0</v>
      </c>
      <c r="O138" s="4">
        <f t="shared" si="110"/>
        <v>0</v>
      </c>
      <c r="P138" s="30">
        <f t="shared" si="111"/>
        <v>0</v>
      </c>
      <c r="Q138" s="30">
        <f t="shared" si="112"/>
        <v>0</v>
      </c>
      <c r="R138" s="30">
        <f t="shared" si="113"/>
        <v>0</v>
      </c>
      <c r="U138" t="e">
        <f t="shared" si="114"/>
        <v>#N/A</v>
      </c>
      <c r="V138" t="e">
        <f t="shared" si="115"/>
        <v>#N/A</v>
      </c>
      <c r="W138" s="9" t="str">
        <f t="shared" si="116"/>
        <v/>
      </c>
      <c r="X138" t="e">
        <f t="shared" si="117"/>
        <v>#N/A</v>
      </c>
      <c r="Y138" t="e">
        <f t="shared" si="118"/>
        <v>#N/A</v>
      </c>
      <c r="AA138" s="4" t="e">
        <f t="shared" si="119"/>
        <v>#N/A</v>
      </c>
      <c r="AB138" s="4" t="e">
        <f t="shared" si="120"/>
        <v>#N/A</v>
      </c>
      <c r="AD138" t="e">
        <f t="shared" si="121"/>
        <v>#N/A</v>
      </c>
      <c r="AE138" t="e">
        <f t="shared" si="122"/>
        <v>#N/A</v>
      </c>
      <c r="AF138" s="9" t="str">
        <f t="shared" si="123"/>
        <v/>
      </c>
      <c r="AG138" t="e">
        <f t="shared" si="124"/>
        <v>#N/A</v>
      </c>
      <c r="AH138" t="e">
        <f t="shared" si="125"/>
        <v>#N/A</v>
      </c>
      <c r="AI138" t="str">
        <f t="shared" si="126"/>
        <v/>
      </c>
      <c r="AJ138" t="e">
        <f t="shared" si="127"/>
        <v>#N/A</v>
      </c>
      <c r="AK138" t="e">
        <f t="shared" si="128"/>
        <v>#N/A</v>
      </c>
      <c r="AM138" s="4" t="e">
        <f t="shared" si="129"/>
        <v>#N/A</v>
      </c>
      <c r="AN138" s="4" t="e">
        <f t="shared" si="130"/>
        <v>#N/A</v>
      </c>
    </row>
    <row r="139" spans="1:40" ht="15.75" thickBot="1" x14ac:dyDescent="0.3">
      <c r="A139" t="s">
        <v>134</v>
      </c>
      <c r="B139" s="4">
        <f>D138</f>
        <v>-4.3082743801384131</v>
      </c>
      <c r="C139" s="4">
        <f>E138</f>
        <v>-8.4521459917255921</v>
      </c>
      <c r="D139" s="4">
        <f t="shared" si="99"/>
        <v>-4.3082743801384131</v>
      </c>
      <c r="E139" s="4">
        <f t="shared" si="99"/>
        <v>-8.4521459917255921</v>
      </c>
      <c r="F139" s="4">
        <f t="shared" si="100"/>
        <v>-590.48636096109612</v>
      </c>
      <c r="G139" s="4">
        <f t="shared" si="101"/>
        <v>-590.48636096109612</v>
      </c>
      <c r="H139" s="4" t="str">
        <f t="shared" si="103"/>
        <v>V</v>
      </c>
      <c r="I139" s="4">
        <f t="shared" si="104"/>
        <v>0</v>
      </c>
      <c r="J139" s="4">
        <f t="shared" si="105"/>
        <v>0</v>
      </c>
      <c r="K139" s="4">
        <f t="shared" si="106"/>
        <v>0</v>
      </c>
      <c r="L139" s="4">
        <f t="shared" si="107"/>
        <v>0</v>
      </c>
      <c r="M139" s="4">
        <f t="shared" si="108"/>
        <v>0</v>
      </c>
      <c r="N139" s="4">
        <f t="shared" si="109"/>
        <v>0</v>
      </c>
      <c r="O139" s="4">
        <f t="shared" si="110"/>
        <v>0</v>
      </c>
      <c r="P139" s="31">
        <f t="shared" si="111"/>
        <v>0</v>
      </c>
      <c r="Q139" s="31">
        <f t="shared" si="112"/>
        <v>0</v>
      </c>
      <c r="R139" s="31">
        <f t="shared" si="113"/>
        <v>0</v>
      </c>
      <c r="U139" t="e">
        <f t="shared" si="114"/>
        <v>#N/A</v>
      </c>
      <c r="V139" t="e">
        <f t="shared" si="115"/>
        <v>#N/A</v>
      </c>
      <c r="W139" s="9" t="str">
        <f t="shared" si="116"/>
        <v/>
      </c>
      <c r="X139" t="e">
        <f t="shared" si="117"/>
        <v>#N/A</v>
      </c>
      <c r="Y139" t="e">
        <f t="shared" si="118"/>
        <v>#N/A</v>
      </c>
      <c r="AA139" s="4" t="e">
        <f t="shared" si="119"/>
        <v>#N/A</v>
      </c>
      <c r="AB139" s="4" t="e">
        <f t="shared" si="120"/>
        <v>#N/A</v>
      </c>
      <c r="AD139" t="e">
        <f t="shared" si="121"/>
        <v>#N/A</v>
      </c>
      <c r="AE139" t="e">
        <f t="shared" si="122"/>
        <v>#N/A</v>
      </c>
      <c r="AF139" s="9" t="str">
        <f t="shared" si="123"/>
        <v/>
      </c>
      <c r="AG139" t="e">
        <f t="shared" si="124"/>
        <v>#N/A</v>
      </c>
      <c r="AH139" t="e">
        <f t="shared" si="125"/>
        <v>#N/A</v>
      </c>
      <c r="AI139" t="str">
        <f t="shared" si="126"/>
        <v/>
      </c>
      <c r="AJ139" t="e">
        <f t="shared" si="127"/>
        <v>#N/A</v>
      </c>
      <c r="AK139" t="e">
        <f t="shared" si="128"/>
        <v>#N/A</v>
      </c>
      <c r="AM139" s="4" t="e">
        <f t="shared" si="129"/>
        <v>#N/A</v>
      </c>
      <c r="AN139" s="4" t="e">
        <f t="shared" si="130"/>
        <v>#N/A</v>
      </c>
    </row>
    <row r="140" spans="1:40" ht="15.75" thickTop="1" x14ac:dyDescent="0.25">
      <c r="P140" s="4">
        <f>SUM(P132:P139)</f>
        <v>1460.0405971776675</v>
      </c>
      <c r="Q140" s="4">
        <f>SUM(Q132:Q139)</f>
        <v>3034.082910159801</v>
      </c>
      <c r="R140" s="4">
        <f>SUM(R132:R139)</f>
        <v>-2245.9572800129918</v>
      </c>
      <c r="T140" t="str">
        <f>ROUND(P140,4)&amp;" kips"</f>
        <v>1460.0406 kips</v>
      </c>
      <c r="W140" s="9" t="str">
        <f t="shared" si="116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6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1.5382841301499022</v>
      </c>
      <c r="W142" s="9" t="str">
        <f t="shared" si="116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2.0780811958412917</v>
      </c>
      <c r="W143" s="9" t="str">
        <f t="shared" si="116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6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4"/>
        <v>xi' (in)</v>
      </c>
      <c r="V145" t="str">
        <f t="shared" si="115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-4.3082743801384131</v>
      </c>
      <c r="C146" s="9">
        <f>J84</f>
        <v>-8.4521459917255921</v>
      </c>
      <c r="D146" s="9">
        <f t="shared" ref="D146:E153" si="131">I85</f>
        <v>-4.3082743801384131</v>
      </c>
      <c r="E146">
        <f t="shared" si="131"/>
        <v>-8.4521459917255921</v>
      </c>
      <c r="F146" s="4">
        <f>($B$66/$B$65)*(C146-$B$125)</f>
        <v>-590.48636096109612</v>
      </c>
      <c r="G146" s="4">
        <f>($B$66/$B$65)*(E146-$B$125)</f>
        <v>-590.48636096109612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14"/>
        <v>#N/A</v>
      </c>
      <c r="V146" t="e">
        <f t="shared" si="115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32">(U146*COS(-1*$B$64))+(V146*SIN(-1*$B$64))</f>
        <v>#N/A</v>
      </c>
      <c r="Y146" t="e">
        <f t="shared" ref="Y146:Y153" si="133">(-1*U146*SIN(-1*$B$64))+(V146*COS(-1*$B$64))</f>
        <v>#N/A</v>
      </c>
      <c r="AA146" s="4" t="e">
        <f t="shared" ref="AA146:AA153" si="134">X146+$B$9</f>
        <v>#N/A</v>
      </c>
      <c r="AB146" s="4" t="e">
        <f t="shared" ref="AB146:AB153" si="135">Y146+$C$9</f>
        <v>#N/A</v>
      </c>
      <c r="AD146" t="e">
        <f t="shared" ref="AD146:AD153" si="136">IF(AND(J146=0,K146=0,L146=0,M146=0),NA(),L146)</f>
        <v>#N/A</v>
      </c>
      <c r="AE146" t="e">
        <f t="shared" ref="AE146:AE153" si="137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8">(AG146*COS(-1*$B$64))+(AH146*SIN(-1*$B$64))</f>
        <v>#N/A</v>
      </c>
      <c r="AK146" t="e">
        <f t="shared" ref="AK146:AK153" si="139">(-1*AG146*SIN(-1*$B$64))+(AH146*COS(-1*$B$64))</f>
        <v>#N/A</v>
      </c>
      <c r="AM146" s="4" t="e">
        <f t="shared" ref="AM146:AM153" si="140">AJ146+$B$9</f>
        <v>#N/A</v>
      </c>
      <c r="AN146" s="4" t="e">
        <f t="shared" ref="AN146:AN153" si="141">AK146+$C$9</f>
        <v>#N/A</v>
      </c>
    </row>
    <row r="147" spans="1:40" x14ac:dyDescent="0.25">
      <c r="A147" t="s">
        <v>70</v>
      </c>
      <c r="B147" s="9">
        <f t="shared" ref="B147:C153" si="142">D146</f>
        <v>-4.3082743801384131</v>
      </c>
      <c r="C147">
        <f t="shared" si="142"/>
        <v>-8.4521459917255921</v>
      </c>
      <c r="D147" s="9">
        <f t="shared" si="131"/>
        <v>-4.3082743801384131</v>
      </c>
      <c r="E147">
        <f t="shared" si="131"/>
        <v>-8.4521459917255921</v>
      </c>
      <c r="F147" s="4">
        <f t="shared" ref="F147:F153" si="143">($B$66/$B$65)*(C147-$B$125)</f>
        <v>-590.48636096109612</v>
      </c>
      <c r="G147" s="4">
        <f t="shared" ref="G147:G153" si="144">($B$66/$B$65)*(E147-$B$125)</f>
        <v>-590.48636096109612</v>
      </c>
      <c r="H147" s="4" t="str">
        <f t="shared" ref="H147:H153" si="145">IF(B147=D147,"V",(C147-E147)/(B147-D147))</f>
        <v>V</v>
      </c>
      <c r="I147" s="4">
        <f t="shared" ref="I147:I153" si="146">IF(H147="V",0,(-1*B147*H147)+C147)</f>
        <v>0</v>
      </c>
      <c r="J147" s="4">
        <f t="shared" ref="J147:J153" si="147">IF($F147&gt;=0,B147,IF(AND($F147&lt;0,$G147&gt;=0),IF(H147="V",B147,($B$125-I147)/H147),0))</f>
        <v>0</v>
      </c>
      <c r="K147" s="4">
        <f t="shared" ref="K147:K153" si="148">IF($F147&gt;=0,C147,IF(AND($F147&lt;0,$G147&gt;=0),$B$125,0))</f>
        <v>0</v>
      </c>
      <c r="L147" s="4">
        <f t="shared" ref="L147:L153" si="149">IF($G147&gt;=0,D147,IF(AND($G147&lt;0,$F147&gt;=0),IF(H147="V",D147,($B$125-I147)/H147),0))</f>
        <v>0</v>
      </c>
      <c r="M147" s="4">
        <f t="shared" ref="M147:M153" si="150">IF($G147&gt;=0,E147,IF(AND($G147&lt;0,$F147&gt;=0),$B$125,0))</f>
        <v>0</v>
      </c>
      <c r="N147" s="4">
        <f t="shared" ref="N147:N153" si="151">IF(F147&lt;0,0,F147)</f>
        <v>0</v>
      </c>
      <c r="O147" s="4">
        <f t="shared" ref="O147:O153" si="152">IF(G147&lt;0,0,G147)</f>
        <v>0</v>
      </c>
      <c r="P147" s="4">
        <f t="shared" ref="P147:P153" si="153">(1/6)*(M147-K147)*((N147*((2*J147)+L147))+(O147*(J147+(2*L147))))</f>
        <v>0</v>
      </c>
      <c r="Q147" s="4">
        <f t="shared" ref="Q147:Q153" si="154">((1/12)*(M147-K147)*(N147*J147*((3*K147)+M147)+N147*L147*(K147+M147)+O147*J147*(K147+M147)+O147*L147*(K147+(3*M147))))</f>
        <v>0</v>
      </c>
      <c r="R147" s="4">
        <f t="shared" ref="R147:R153" si="155">((-1/24)*(M147-K147)*(J147*J147*((3*N147)+O147)+2*J147*L147*(N147+O147)+L147*L147*(N147+(3*O147))))</f>
        <v>0</v>
      </c>
      <c r="U147" t="e">
        <f t="shared" si="114"/>
        <v>#N/A</v>
      </c>
      <c r="V147" t="e">
        <f t="shared" si="115"/>
        <v>#N/A</v>
      </c>
      <c r="W147" s="9" t="str">
        <f t="shared" ref="W147:W153" si="156">IF($D$34=0,"",IF(AND(J147=0,K147=0,L147=0,M147=0),"",CHAR(10)&amp;CHAR(10)&amp;-1*ROUND(N147,4)&amp;" ksi"))</f>
        <v/>
      </c>
      <c r="X147" t="e">
        <f t="shared" si="132"/>
        <v>#N/A</v>
      </c>
      <c r="Y147" t="e">
        <f t="shared" si="133"/>
        <v>#N/A</v>
      </c>
      <c r="AA147" s="4" t="e">
        <f t="shared" si="134"/>
        <v>#N/A</v>
      </c>
      <c r="AB147" s="4" t="e">
        <f t="shared" si="135"/>
        <v>#N/A</v>
      </c>
      <c r="AD147" t="e">
        <f t="shared" si="136"/>
        <v>#N/A</v>
      </c>
      <c r="AE147" t="e">
        <f t="shared" si="137"/>
        <v>#N/A</v>
      </c>
      <c r="AF147" s="9" t="str">
        <f t="shared" ref="AF147:AF153" si="157">IF(AND(J147=0,K147=0,L147=0,M147=0),"",CHAR(10)&amp;CHAR(10)&amp;-1*ROUND(O147,4)&amp;" ksi")</f>
        <v/>
      </c>
      <c r="AG147" t="e">
        <f t="shared" ref="AG147:AG153" si="158">IF(COUNTIF($U$146:$U$153,AD147)&gt;0,NA(),AD147)</f>
        <v>#N/A</v>
      </c>
      <c r="AH147" t="e">
        <f t="shared" ref="AH147:AH153" si="159">IF(AND(COUNTIF($V$146:$V$153,AE147)&gt;0,AF147&lt;&gt;CHAR(10)&amp;CHAR(10)&amp;"0 ksi"),NA(),AE147)</f>
        <v>#N/A</v>
      </c>
      <c r="AI147" t="str">
        <f t="shared" ref="AI147:AI153" si="160">IF(COUNTIF($U$146:$U$153,AD147)&gt;0,"",AF147)</f>
        <v/>
      </c>
      <c r="AJ147" t="e">
        <f t="shared" si="138"/>
        <v>#N/A</v>
      </c>
      <c r="AK147" t="e">
        <f t="shared" si="139"/>
        <v>#N/A</v>
      </c>
      <c r="AM147" s="4" t="e">
        <f t="shared" si="140"/>
        <v>#N/A</v>
      </c>
      <c r="AN147" s="4" t="e">
        <f t="shared" si="141"/>
        <v>#N/A</v>
      </c>
    </row>
    <row r="148" spans="1:40" x14ac:dyDescent="0.25">
      <c r="A148" t="s">
        <v>71</v>
      </c>
      <c r="B148" s="9">
        <f t="shared" si="142"/>
        <v>-4.3082743801384131</v>
      </c>
      <c r="C148">
        <f t="shared" si="142"/>
        <v>-8.4521459917255921</v>
      </c>
      <c r="D148" s="9">
        <f t="shared" si="131"/>
        <v>-4.3082743801384131</v>
      </c>
      <c r="E148">
        <f t="shared" si="131"/>
        <v>-8.4521459917255921</v>
      </c>
      <c r="F148" s="4">
        <f t="shared" si="143"/>
        <v>-590.48636096109612</v>
      </c>
      <c r="G148" s="4">
        <f t="shared" si="144"/>
        <v>-590.48636096109612</v>
      </c>
      <c r="H148" s="4" t="str">
        <f t="shared" si="145"/>
        <v>V</v>
      </c>
      <c r="I148" s="4">
        <f t="shared" si="146"/>
        <v>0</v>
      </c>
      <c r="J148" s="4">
        <f t="shared" si="147"/>
        <v>0</v>
      </c>
      <c r="K148" s="4">
        <f t="shared" si="148"/>
        <v>0</v>
      </c>
      <c r="L148" s="4">
        <f t="shared" si="149"/>
        <v>0</v>
      </c>
      <c r="M148" s="4">
        <f t="shared" si="150"/>
        <v>0</v>
      </c>
      <c r="N148" s="4">
        <f t="shared" si="151"/>
        <v>0</v>
      </c>
      <c r="O148" s="4">
        <f t="shared" si="152"/>
        <v>0</v>
      </c>
      <c r="P148" s="4">
        <f t="shared" si="153"/>
        <v>0</v>
      </c>
      <c r="Q148" s="4">
        <f t="shared" si="154"/>
        <v>0</v>
      </c>
      <c r="R148" s="4">
        <f t="shared" si="155"/>
        <v>0</v>
      </c>
      <c r="U148" t="e">
        <f t="shared" si="114"/>
        <v>#N/A</v>
      </c>
      <c r="V148" t="e">
        <f t="shared" si="115"/>
        <v>#N/A</v>
      </c>
      <c r="W148" s="9" t="str">
        <f t="shared" si="156"/>
        <v/>
      </c>
      <c r="X148" t="e">
        <f t="shared" si="132"/>
        <v>#N/A</v>
      </c>
      <c r="Y148" t="e">
        <f t="shared" si="133"/>
        <v>#N/A</v>
      </c>
      <c r="AA148" s="4" t="e">
        <f t="shared" si="134"/>
        <v>#N/A</v>
      </c>
      <c r="AB148" s="4" t="e">
        <f t="shared" si="135"/>
        <v>#N/A</v>
      </c>
      <c r="AD148" t="e">
        <f t="shared" si="136"/>
        <v>#N/A</v>
      </c>
      <c r="AE148" t="e">
        <f t="shared" si="137"/>
        <v>#N/A</v>
      </c>
      <c r="AF148" s="9" t="str">
        <f t="shared" si="157"/>
        <v/>
      </c>
      <c r="AG148" t="e">
        <f t="shared" si="158"/>
        <v>#N/A</v>
      </c>
      <c r="AH148" t="e">
        <f t="shared" si="159"/>
        <v>#N/A</v>
      </c>
      <c r="AI148" t="str">
        <f t="shared" si="160"/>
        <v/>
      </c>
      <c r="AJ148" t="e">
        <f t="shared" si="138"/>
        <v>#N/A</v>
      </c>
      <c r="AK148" t="e">
        <f t="shared" si="139"/>
        <v>#N/A</v>
      </c>
      <c r="AM148" s="4" t="e">
        <f t="shared" si="140"/>
        <v>#N/A</v>
      </c>
      <c r="AN148" s="4" t="e">
        <f t="shared" si="141"/>
        <v>#N/A</v>
      </c>
    </row>
    <row r="149" spans="1:40" x14ac:dyDescent="0.25">
      <c r="A149" t="s">
        <v>72</v>
      </c>
      <c r="B149" s="9">
        <f t="shared" si="142"/>
        <v>-4.3082743801384131</v>
      </c>
      <c r="C149">
        <f t="shared" si="142"/>
        <v>-8.4521459917255921</v>
      </c>
      <c r="D149" s="9">
        <f t="shared" si="131"/>
        <v>-4.3082743801384131</v>
      </c>
      <c r="E149">
        <f t="shared" si="131"/>
        <v>-8.4521459917255921</v>
      </c>
      <c r="F149" s="4">
        <f t="shared" si="143"/>
        <v>-590.48636096109612</v>
      </c>
      <c r="G149" s="4">
        <f t="shared" si="144"/>
        <v>-590.48636096109612</v>
      </c>
      <c r="H149" s="4" t="str">
        <f t="shared" si="145"/>
        <v>V</v>
      </c>
      <c r="I149" s="4">
        <f t="shared" si="146"/>
        <v>0</v>
      </c>
      <c r="J149" s="4">
        <f t="shared" si="147"/>
        <v>0</v>
      </c>
      <c r="K149" s="4">
        <f t="shared" si="148"/>
        <v>0</v>
      </c>
      <c r="L149" s="4">
        <f t="shared" si="149"/>
        <v>0</v>
      </c>
      <c r="M149" s="4">
        <f t="shared" si="150"/>
        <v>0</v>
      </c>
      <c r="N149" s="4">
        <f t="shared" si="151"/>
        <v>0</v>
      </c>
      <c r="O149" s="4">
        <f t="shared" si="152"/>
        <v>0</v>
      </c>
      <c r="P149" s="4">
        <f t="shared" si="153"/>
        <v>0</v>
      </c>
      <c r="Q149" s="4">
        <f t="shared" si="154"/>
        <v>0</v>
      </c>
      <c r="R149" s="4">
        <f t="shared" si="155"/>
        <v>0</v>
      </c>
      <c r="U149" t="e">
        <f t="shared" si="114"/>
        <v>#N/A</v>
      </c>
      <c r="V149" t="e">
        <f t="shared" si="115"/>
        <v>#N/A</v>
      </c>
      <c r="W149" s="9" t="str">
        <f t="shared" si="156"/>
        <v/>
      </c>
      <c r="X149" t="e">
        <f t="shared" si="132"/>
        <v>#N/A</v>
      </c>
      <c r="Y149" t="e">
        <f t="shared" si="133"/>
        <v>#N/A</v>
      </c>
      <c r="AA149" s="4" t="e">
        <f t="shared" si="134"/>
        <v>#N/A</v>
      </c>
      <c r="AB149" s="4" t="e">
        <f t="shared" si="135"/>
        <v>#N/A</v>
      </c>
      <c r="AD149" t="e">
        <f t="shared" si="136"/>
        <v>#N/A</v>
      </c>
      <c r="AE149" t="e">
        <f t="shared" si="137"/>
        <v>#N/A</v>
      </c>
      <c r="AF149" s="9" t="str">
        <f t="shared" si="157"/>
        <v/>
      </c>
      <c r="AG149" t="e">
        <f t="shared" si="158"/>
        <v>#N/A</v>
      </c>
      <c r="AH149" t="e">
        <f t="shared" si="159"/>
        <v>#N/A</v>
      </c>
      <c r="AI149" t="str">
        <f t="shared" si="160"/>
        <v/>
      </c>
      <c r="AJ149" t="e">
        <f t="shared" si="138"/>
        <v>#N/A</v>
      </c>
      <c r="AK149" t="e">
        <f t="shared" si="139"/>
        <v>#N/A</v>
      </c>
      <c r="AM149" s="4" t="e">
        <f t="shared" si="140"/>
        <v>#N/A</v>
      </c>
      <c r="AN149" s="4" t="e">
        <f t="shared" si="141"/>
        <v>#N/A</v>
      </c>
    </row>
    <row r="150" spans="1:40" x14ac:dyDescent="0.25">
      <c r="A150" t="s">
        <v>73</v>
      </c>
      <c r="B150" s="9">
        <f t="shared" si="142"/>
        <v>-4.3082743801384131</v>
      </c>
      <c r="C150">
        <f t="shared" si="142"/>
        <v>-8.4521459917255921</v>
      </c>
      <c r="D150" s="9">
        <f t="shared" si="131"/>
        <v>-4.3082743801384131</v>
      </c>
      <c r="E150">
        <f t="shared" si="131"/>
        <v>-8.4521459917255921</v>
      </c>
      <c r="F150" s="4">
        <f t="shared" si="143"/>
        <v>-590.48636096109612</v>
      </c>
      <c r="G150" s="4">
        <f t="shared" si="144"/>
        <v>-590.48636096109612</v>
      </c>
      <c r="H150" s="4" t="str">
        <f t="shared" si="145"/>
        <v>V</v>
      </c>
      <c r="I150" s="4">
        <f t="shared" si="146"/>
        <v>0</v>
      </c>
      <c r="J150" s="4">
        <f t="shared" si="147"/>
        <v>0</v>
      </c>
      <c r="K150" s="4">
        <f t="shared" si="148"/>
        <v>0</v>
      </c>
      <c r="L150" s="4">
        <f t="shared" si="149"/>
        <v>0</v>
      </c>
      <c r="M150" s="4">
        <f t="shared" si="150"/>
        <v>0</v>
      </c>
      <c r="N150" s="4">
        <f t="shared" si="151"/>
        <v>0</v>
      </c>
      <c r="O150" s="4">
        <f t="shared" si="152"/>
        <v>0</v>
      </c>
      <c r="P150" s="4">
        <f t="shared" si="153"/>
        <v>0</v>
      </c>
      <c r="Q150" s="4">
        <f t="shared" si="154"/>
        <v>0</v>
      </c>
      <c r="R150" s="4">
        <f t="shared" si="155"/>
        <v>0</v>
      </c>
      <c r="U150" t="e">
        <f t="shared" si="114"/>
        <v>#N/A</v>
      </c>
      <c r="V150" t="e">
        <f t="shared" si="115"/>
        <v>#N/A</v>
      </c>
      <c r="W150" s="9" t="str">
        <f t="shared" si="156"/>
        <v/>
      </c>
      <c r="X150" t="e">
        <f t="shared" si="132"/>
        <v>#N/A</v>
      </c>
      <c r="Y150" t="e">
        <f t="shared" si="133"/>
        <v>#N/A</v>
      </c>
      <c r="AA150" s="4" t="e">
        <f t="shared" si="134"/>
        <v>#N/A</v>
      </c>
      <c r="AB150" s="4" t="e">
        <f t="shared" si="135"/>
        <v>#N/A</v>
      </c>
      <c r="AD150" t="e">
        <f t="shared" si="136"/>
        <v>#N/A</v>
      </c>
      <c r="AE150" t="e">
        <f t="shared" si="137"/>
        <v>#N/A</v>
      </c>
      <c r="AF150" s="9" t="str">
        <f t="shared" si="157"/>
        <v/>
      </c>
      <c r="AG150" t="e">
        <f t="shared" si="158"/>
        <v>#N/A</v>
      </c>
      <c r="AH150" t="e">
        <f t="shared" si="159"/>
        <v>#N/A</v>
      </c>
      <c r="AI150" t="str">
        <f t="shared" si="160"/>
        <v/>
      </c>
      <c r="AJ150" t="e">
        <f t="shared" si="138"/>
        <v>#N/A</v>
      </c>
      <c r="AK150" t="e">
        <f t="shared" si="139"/>
        <v>#N/A</v>
      </c>
      <c r="AM150" s="4" t="e">
        <f t="shared" si="140"/>
        <v>#N/A</v>
      </c>
      <c r="AN150" s="4" t="e">
        <f t="shared" si="141"/>
        <v>#N/A</v>
      </c>
    </row>
    <row r="151" spans="1:40" x14ac:dyDescent="0.25">
      <c r="A151" t="s">
        <v>74</v>
      </c>
      <c r="B151" s="9">
        <f t="shared" si="142"/>
        <v>-4.3082743801384131</v>
      </c>
      <c r="C151">
        <f t="shared" si="142"/>
        <v>-8.4521459917255921</v>
      </c>
      <c r="D151" s="9">
        <f t="shared" si="131"/>
        <v>-4.3082743801384131</v>
      </c>
      <c r="E151">
        <f t="shared" si="131"/>
        <v>-8.4521459917255921</v>
      </c>
      <c r="F151" s="4">
        <f t="shared" si="143"/>
        <v>-590.48636096109612</v>
      </c>
      <c r="G151" s="4">
        <f t="shared" si="144"/>
        <v>-590.48636096109612</v>
      </c>
      <c r="H151" s="4" t="str">
        <f t="shared" si="145"/>
        <v>V</v>
      </c>
      <c r="I151" s="4">
        <f t="shared" si="146"/>
        <v>0</v>
      </c>
      <c r="J151" s="4">
        <f t="shared" si="147"/>
        <v>0</v>
      </c>
      <c r="K151" s="4">
        <f t="shared" si="148"/>
        <v>0</v>
      </c>
      <c r="L151" s="4">
        <f t="shared" si="149"/>
        <v>0</v>
      </c>
      <c r="M151" s="4">
        <f t="shared" si="150"/>
        <v>0</v>
      </c>
      <c r="N151" s="4">
        <f t="shared" si="151"/>
        <v>0</v>
      </c>
      <c r="O151" s="4">
        <f t="shared" si="152"/>
        <v>0</v>
      </c>
      <c r="P151" s="4">
        <f t="shared" si="153"/>
        <v>0</v>
      </c>
      <c r="Q151" s="4">
        <f t="shared" si="154"/>
        <v>0</v>
      </c>
      <c r="R151" s="4">
        <f t="shared" si="155"/>
        <v>0</v>
      </c>
      <c r="U151" t="e">
        <f t="shared" si="114"/>
        <v>#N/A</v>
      </c>
      <c r="V151" t="e">
        <f t="shared" si="115"/>
        <v>#N/A</v>
      </c>
      <c r="W151" s="9" t="str">
        <f t="shared" si="156"/>
        <v/>
      </c>
      <c r="X151" t="e">
        <f t="shared" si="132"/>
        <v>#N/A</v>
      </c>
      <c r="Y151" t="e">
        <f t="shared" si="133"/>
        <v>#N/A</v>
      </c>
      <c r="AA151" s="4" t="e">
        <f t="shared" si="134"/>
        <v>#N/A</v>
      </c>
      <c r="AB151" s="4" t="e">
        <f t="shared" si="135"/>
        <v>#N/A</v>
      </c>
      <c r="AD151" t="e">
        <f t="shared" si="136"/>
        <v>#N/A</v>
      </c>
      <c r="AE151" t="e">
        <f t="shared" si="137"/>
        <v>#N/A</v>
      </c>
      <c r="AF151" s="9" t="str">
        <f t="shared" si="157"/>
        <v/>
      </c>
      <c r="AG151" t="e">
        <f t="shared" si="158"/>
        <v>#N/A</v>
      </c>
      <c r="AH151" t="e">
        <f t="shared" si="159"/>
        <v>#N/A</v>
      </c>
      <c r="AI151" t="str">
        <f t="shared" si="160"/>
        <v/>
      </c>
      <c r="AJ151" t="e">
        <f t="shared" si="138"/>
        <v>#N/A</v>
      </c>
      <c r="AK151" t="e">
        <f t="shared" si="139"/>
        <v>#N/A</v>
      </c>
      <c r="AM151" s="4" t="e">
        <f t="shared" si="140"/>
        <v>#N/A</v>
      </c>
      <c r="AN151" s="4" t="e">
        <f t="shared" si="141"/>
        <v>#N/A</v>
      </c>
    </row>
    <row r="152" spans="1:40" x14ac:dyDescent="0.25">
      <c r="A152" t="s">
        <v>75</v>
      </c>
      <c r="B152" s="9">
        <f t="shared" si="142"/>
        <v>-4.3082743801384131</v>
      </c>
      <c r="C152">
        <f t="shared" si="142"/>
        <v>-8.4521459917255921</v>
      </c>
      <c r="D152" s="9">
        <f t="shared" si="131"/>
        <v>-3.4137389504004836</v>
      </c>
      <c r="E152">
        <f t="shared" si="131"/>
        <v>-2.5192035206625554</v>
      </c>
      <c r="F152" s="4">
        <f t="shared" si="143"/>
        <v>-590.48636096109612</v>
      </c>
      <c r="G152" s="4">
        <f t="shared" si="144"/>
        <v>-206.12358236682238</v>
      </c>
      <c r="H152" s="4">
        <f t="shared" si="145"/>
        <v>6.6324287153178494</v>
      </c>
      <c r="I152" s="4">
        <f t="shared" si="146"/>
        <v>20.122176720572625</v>
      </c>
      <c r="J152" s="4">
        <f t="shared" si="147"/>
        <v>0</v>
      </c>
      <c r="K152" s="4">
        <f t="shared" si="148"/>
        <v>0</v>
      </c>
      <c r="L152" s="4">
        <f t="shared" si="149"/>
        <v>0</v>
      </c>
      <c r="M152" s="4">
        <f t="shared" si="150"/>
        <v>0</v>
      </c>
      <c r="N152" s="4">
        <f t="shared" si="151"/>
        <v>0</v>
      </c>
      <c r="O152" s="4">
        <f t="shared" si="152"/>
        <v>0</v>
      </c>
      <c r="P152" s="4">
        <f t="shared" si="153"/>
        <v>0</v>
      </c>
      <c r="Q152" s="4">
        <f t="shared" si="154"/>
        <v>0</v>
      </c>
      <c r="R152" s="4">
        <f t="shared" si="155"/>
        <v>0</v>
      </c>
      <c r="U152" t="e">
        <f t="shared" si="114"/>
        <v>#N/A</v>
      </c>
      <c r="V152" t="e">
        <f t="shared" si="115"/>
        <v>#N/A</v>
      </c>
      <c r="W152" s="9" t="str">
        <f t="shared" si="156"/>
        <v/>
      </c>
      <c r="X152" t="e">
        <f t="shared" si="132"/>
        <v>#N/A</v>
      </c>
      <c r="Y152" t="e">
        <f t="shared" si="133"/>
        <v>#N/A</v>
      </c>
      <c r="AA152" s="4" t="e">
        <f t="shared" si="134"/>
        <v>#N/A</v>
      </c>
      <c r="AB152" s="4" t="e">
        <f t="shared" si="135"/>
        <v>#N/A</v>
      </c>
      <c r="AD152" t="e">
        <f t="shared" si="136"/>
        <v>#N/A</v>
      </c>
      <c r="AE152" t="e">
        <f t="shared" si="137"/>
        <v>#N/A</v>
      </c>
      <c r="AF152" s="9" t="str">
        <f t="shared" si="157"/>
        <v/>
      </c>
      <c r="AG152" t="e">
        <f t="shared" si="158"/>
        <v>#N/A</v>
      </c>
      <c r="AH152" t="e">
        <f t="shared" si="159"/>
        <v>#N/A</v>
      </c>
      <c r="AI152" t="str">
        <f t="shared" si="160"/>
        <v/>
      </c>
      <c r="AJ152" t="e">
        <f t="shared" si="138"/>
        <v>#N/A</v>
      </c>
      <c r="AK152" t="e">
        <f t="shared" si="139"/>
        <v>#N/A</v>
      </c>
      <c r="AM152" s="4" t="e">
        <f t="shared" si="140"/>
        <v>#N/A</v>
      </c>
      <c r="AN152" s="4" t="e">
        <f t="shared" si="141"/>
        <v>#N/A</v>
      </c>
    </row>
    <row r="153" spans="1:40" ht="15.75" thickBot="1" x14ac:dyDescent="0.3">
      <c r="A153" t="s">
        <v>134</v>
      </c>
      <c r="B153" s="9">
        <f t="shared" si="142"/>
        <v>-3.4137389504004836</v>
      </c>
      <c r="C153">
        <f t="shared" si="142"/>
        <v>-2.5192035206625554</v>
      </c>
      <c r="D153" s="9">
        <f t="shared" si="131"/>
        <v>-4.3082743801384131</v>
      </c>
      <c r="E153">
        <f t="shared" si="131"/>
        <v>-8.4521459917255921</v>
      </c>
      <c r="F153" s="4">
        <f t="shared" si="143"/>
        <v>-206.12358236682238</v>
      </c>
      <c r="G153" s="4">
        <f t="shared" si="144"/>
        <v>-590.48636096109612</v>
      </c>
      <c r="H153" s="4">
        <f t="shared" si="145"/>
        <v>6.6324287153178494</v>
      </c>
      <c r="I153" s="4">
        <f t="shared" si="146"/>
        <v>20.122176720572629</v>
      </c>
      <c r="J153" s="4">
        <f t="shared" si="147"/>
        <v>0</v>
      </c>
      <c r="K153" s="4">
        <f t="shared" si="148"/>
        <v>0</v>
      </c>
      <c r="L153" s="4">
        <f t="shared" si="149"/>
        <v>0</v>
      </c>
      <c r="M153" s="4">
        <f t="shared" si="150"/>
        <v>0</v>
      </c>
      <c r="N153" s="4">
        <f t="shared" si="151"/>
        <v>0</v>
      </c>
      <c r="O153" s="4">
        <f t="shared" si="152"/>
        <v>0</v>
      </c>
      <c r="P153" s="22">
        <f t="shared" si="153"/>
        <v>0</v>
      </c>
      <c r="Q153" s="22">
        <f t="shared" si="154"/>
        <v>0</v>
      </c>
      <c r="R153" s="22">
        <f t="shared" si="155"/>
        <v>0</v>
      </c>
      <c r="U153" t="e">
        <f t="shared" si="114"/>
        <v>#N/A</v>
      </c>
      <c r="V153" t="e">
        <f t="shared" si="115"/>
        <v>#N/A</v>
      </c>
      <c r="W153" s="9" t="str">
        <f t="shared" si="156"/>
        <v/>
      </c>
      <c r="X153" t="e">
        <f t="shared" si="132"/>
        <v>#N/A</v>
      </c>
      <c r="Y153" t="e">
        <f t="shared" si="133"/>
        <v>#N/A</v>
      </c>
      <c r="AA153" s="4" t="e">
        <f t="shared" si="134"/>
        <v>#N/A</v>
      </c>
      <c r="AB153" s="4" t="e">
        <f t="shared" si="135"/>
        <v>#N/A</v>
      </c>
      <c r="AD153" t="e">
        <f t="shared" si="136"/>
        <v>#N/A</v>
      </c>
      <c r="AE153" t="e">
        <f t="shared" si="137"/>
        <v>#N/A</v>
      </c>
      <c r="AF153" s="9" t="str">
        <f t="shared" si="157"/>
        <v/>
      </c>
      <c r="AG153" t="e">
        <f t="shared" si="158"/>
        <v>#N/A</v>
      </c>
      <c r="AH153" t="e">
        <f t="shared" si="159"/>
        <v>#N/A</v>
      </c>
      <c r="AI153" t="str">
        <f t="shared" si="160"/>
        <v/>
      </c>
      <c r="AJ153" t="e">
        <f t="shared" si="138"/>
        <v>#N/A</v>
      </c>
      <c r="AK153" t="e">
        <f t="shared" si="139"/>
        <v>#N/A</v>
      </c>
      <c r="AM153" s="4" t="e">
        <f t="shared" si="140"/>
        <v>#N/A</v>
      </c>
      <c r="AN153" s="4" t="e">
        <f t="shared" si="141"/>
        <v>#N/A</v>
      </c>
    </row>
    <row r="154" spans="1:40" ht="15.75" thickTop="1" x14ac:dyDescent="0.25">
      <c r="P154" s="4">
        <f>SUM(P146:P153)</f>
        <v>0</v>
      </c>
      <c r="Q154" s="4">
        <f t="shared" ref="Q154:R154" si="161">SUM(Q146:Q153)</f>
        <v>0</v>
      </c>
      <c r="R154" s="4">
        <f t="shared" si="161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100.00000000000159</v>
      </c>
      <c r="C159" t="s">
        <v>36</v>
      </c>
    </row>
    <row r="160" spans="1:40" x14ac:dyDescent="0.25">
      <c r="A160" s="1" t="s">
        <v>106</v>
      </c>
      <c r="B160" s="4">
        <f>Q140+I122+Q154-O122</f>
        <v>11883.775650720836</v>
      </c>
      <c r="C160" t="s">
        <v>102</v>
      </c>
    </row>
    <row r="161" spans="1:9" x14ac:dyDescent="0.25">
      <c r="A161" s="1" t="s">
        <v>107</v>
      </c>
      <c r="B161" s="4">
        <f>R140+J122+R154-P122</f>
        <v>-1670.4120100546054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100.00000000000159</v>
      </c>
      <c r="C164" t="s">
        <v>36</v>
      </c>
      <c r="E164" s="8">
        <f>B2-B164</f>
        <v>-1.5916157281026244E-12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12000.000000000004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119.99999999999363</v>
      </c>
      <c r="C166" t="s">
        <v>102</v>
      </c>
      <c r="E166" s="8">
        <f>B4+B166</f>
        <v>-6.3664629124104977E-12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178.23919622745157</v>
      </c>
      <c r="B169" s="1">
        <f ca="1">IF(E122=0,0,(MIN(H110:H121)*B65)/(B55*B56*E122))</f>
        <v>-178.2391962274516</v>
      </c>
      <c r="C169" s="3">
        <f ca="1">A169+B169</f>
        <v>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-9.097507275884107E-8</v>
      </c>
      <c r="C175" s="27">
        <f>B65*SQRT(I175)</f>
        <v>4.0807817509346258E-8</v>
      </c>
      <c r="D175" s="27">
        <f>B66*SQRT(I175)</f>
        <v>2.6437145148063467E-6</v>
      </c>
      <c r="E175" s="27">
        <f>IF(B67=0,SQRT(I175),B67*SQRT(I175))</f>
        <v>8.4934657228659421E-6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-6.1335382451344822</v>
      </c>
      <c r="C176" s="3">
        <f>B65+C175</f>
        <v>2.7512625360304503</v>
      </c>
      <c r="D176" s="3">
        <f>D175+B66</f>
        <v>178.23919887116608</v>
      </c>
      <c r="E176" s="3">
        <f>B67+E175</f>
        <v>572.62935071271374</v>
      </c>
      <c r="F176" s="16" t="s">
        <v>125</v>
      </c>
    </row>
    <row r="177" spans="1:14" x14ac:dyDescent="0.25">
      <c r="B177" s="27">
        <f>B176-B64</f>
        <v>-9.09750728084191E-8</v>
      </c>
      <c r="C177" s="27">
        <f>C176-B65</f>
        <v>4.0807817569543658E-8</v>
      </c>
      <c r="D177" s="27">
        <f>D176-B66</f>
        <v>2.6437145095314918E-6</v>
      </c>
      <c r="E177" s="27">
        <f>E176-B67</f>
        <v>8.4934657706980943E-6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2">C177=C175</f>
        <v>0</v>
      </c>
      <c r="D178" t="b">
        <f t="shared" si="162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-8.1914675888450379</v>
      </c>
      <c r="B180" s="25">
        <f>(d_sigma_p!E165-d_sigma_m!E165)/(2*'Rigid Bearing Plate Analysis'!D177)</f>
        <v>18.710930741102462</v>
      </c>
      <c r="C180" s="25">
        <f>(d_sigma_p!E166-d_sigma_m!E166)/(2*'Rigid Bearing Plate Analysis'!D177)</f>
        <v>-9.9220980668839118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8141.0037069057107</v>
      </c>
      <c r="B181" s="25">
        <f>(d_alpha_p!E165-d_alpha_m!E165)/(2*B177)</f>
        <v>-16922.641560296706</v>
      </c>
      <c r="C181" s="25">
        <f>(d_alpha_p!E166-d_alpha_m!E166)/(2*B177)</f>
        <v>40448.934569415062</v>
      </c>
      <c r="D181" s="25">
        <f ca="1">(d_alpha_p!C169-d_alpha_m!C169)/(2*B177)</f>
        <v>61.921474644256882</v>
      </c>
    </row>
    <row r="182" spans="1:14" x14ac:dyDescent="0.25">
      <c r="A182" s="25">
        <f>(d_Y_p!E164-d_Y_m!E164)/(2*C177)</f>
        <v>-1041.155035492254</v>
      </c>
      <c r="B182" s="25">
        <f>(d_Y_p!E165-d_Y_m!E165)/(2*C177)</f>
        <v>1699.658762624028</v>
      </c>
      <c r="C182" s="25">
        <f>(d_Y_p!E166-d_Y_m!E166)/(2*C177)</f>
        <v>-3137.0329925108254</v>
      </c>
      <c r="D182" s="25">
        <f ca="1">(d_Y_p!C169-d_Y_m!C169)/(2*C177)</f>
        <v>-86.253194054749798</v>
      </c>
    </row>
    <row r="183" spans="1:14" x14ac:dyDescent="0.25">
      <c r="A183" s="25">
        <f>(d_T_p!E164-d_T_m!E164)/(2*E177)</f>
        <v>2.3750801757451532</v>
      </c>
      <c r="B183" s="25">
        <f>(d_T_p!E165-d_T_m!E165)/(2*E177)</f>
        <v>15.13191547800967</v>
      </c>
      <c r="C183" s="25">
        <f>(d_T_p!E166-d_T_m!E166)/(2*E177)</f>
        <v>3.2979567407357435</v>
      </c>
      <c r="D183" s="25">
        <f ca="1">(d_T_p!C169-d_T_m!C169)/(2*E177)</f>
        <v>-0.3112645190228287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-6.4234374728940252E-2</v>
      </c>
      <c r="B185" s="25">
        <f ca="1"/>
        <v>-1.0960321300208379E-4</v>
      </c>
      <c r="C185" s="25">
        <f ca="1"/>
        <v>-1.1228294510809021E-3</v>
      </c>
      <c r="D185" s="25">
        <f ca="1"/>
        <v>8.2972705375382733E-2</v>
      </c>
      <c r="F185" s="8">
        <f>-1*E164</f>
        <v>1.5916157281026244E-12</v>
      </c>
      <c r="H185">
        <f t="array" aca="1" ref="H185:H188" ca="1">MMULT(A185:D188,F185:F188)</f>
        <v>-1.0938489316068787E-13</v>
      </c>
      <c r="J185" s="8">
        <f ca="1">$B$66+H185</f>
        <v>178.23919622745146</v>
      </c>
      <c r="K185" s="11" t="s">
        <v>115</v>
      </c>
      <c r="L185" s="8">
        <f ca="1">J186</f>
        <v>-6.1335381541593872</v>
      </c>
      <c r="M185" s="11" t="s">
        <v>116</v>
      </c>
      <c r="N185" t="s">
        <v>143</v>
      </c>
    </row>
    <row r="186" spans="1:14" x14ac:dyDescent="0.25">
      <c r="A186" s="25">
        <f ca="1"/>
        <v>1.4135534680688382E-2</v>
      </c>
      <c r="B186" s="25">
        <f ca="1"/>
        <v>-1.3816350312559818E-6</v>
      </c>
      <c r="C186" s="25">
        <f ca="1"/>
        <v>-1.1670284864206037E-5</v>
      </c>
      <c r="D186" s="25">
        <f ca="1"/>
        <v>4.8372301457510938E-2</v>
      </c>
      <c r="F186" s="8">
        <f>-1*E165</f>
        <v>0</v>
      </c>
      <c r="H186">
        <f ca="1"/>
        <v>2.2424040887158505E-14</v>
      </c>
      <c r="J186" s="8">
        <f ca="1">$B$64+H186</f>
        <v>-6.1335381541593872</v>
      </c>
      <c r="K186" s="11" t="s">
        <v>116</v>
      </c>
      <c r="L186" s="8">
        <f ca="1">J187</f>
        <v>2.7512624952226634</v>
      </c>
      <c r="M186" s="1" t="s">
        <v>117</v>
      </c>
    </row>
    <row r="187" spans="1:14" x14ac:dyDescent="0.25">
      <c r="A187" s="25">
        <f ca="1"/>
        <v>1.8244513626680819E-2</v>
      </c>
      <c r="B187" s="25">
        <f ca="1"/>
        <v>4.6827485166522894E-5</v>
      </c>
      <c r="C187" s="25">
        <f ca="1"/>
        <v>2.3133722185787755E-4</v>
      </c>
      <c r="D187" s="25">
        <f ca="1"/>
        <v>3.8249341004794866E-3</v>
      </c>
      <c r="F187" s="8">
        <f>-1*E166</f>
        <v>6.3664629124104977E-12</v>
      </c>
      <c r="H187">
        <f ca="1"/>
        <v>3.0511054683026102E-14</v>
      </c>
      <c r="J187" s="8">
        <f ca="1">$B$65+H187</f>
        <v>2.7512624952226634</v>
      </c>
      <c r="K187" s="1" t="s">
        <v>117</v>
      </c>
      <c r="L187" s="8">
        <f ca="1">J185</f>
        <v>178.23919622745146</v>
      </c>
      <c r="M187" s="11" t="s">
        <v>115</v>
      </c>
    </row>
    <row r="188" spans="1:14" x14ac:dyDescent="0.25">
      <c r="A188" s="25">
        <f ca="1"/>
        <v>0.39036104430587393</v>
      </c>
      <c r="B188" s="25">
        <f ca="1"/>
        <v>-4.0733258951274461E-4</v>
      </c>
      <c r="C188" s="25">
        <f ca="1"/>
        <v>-6.683908562712438E-3</v>
      </c>
      <c r="D188" s="25">
        <f ca="1"/>
        <v>-0.18747118427365483</v>
      </c>
      <c r="F188">
        <f ca="1">-1*C169</f>
        <v>0</v>
      </c>
      <c r="H188">
        <f ca="1"/>
        <v>5.7875192178134263E-13</v>
      </c>
      <c r="J188" s="8">
        <f ca="1">$B$67+H188</f>
        <v>572.62934221924854</v>
      </c>
      <c r="K188" s="1" t="s">
        <v>118</v>
      </c>
      <c r="L188" s="8">
        <f ca="1">J188</f>
        <v>572.62934221924854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-8.1914675888450379</v>
      </c>
      <c r="B190" s="25">
        <f>A181</f>
        <v>8141.0037069057107</v>
      </c>
      <c r="C190" s="25">
        <f>A182</f>
        <v>-1041.155035492254</v>
      </c>
      <c r="D190" s="25">
        <f>A183</f>
        <v>2.3750801757451532</v>
      </c>
      <c r="F190" t="s">
        <v>119</v>
      </c>
    </row>
    <row r="191" spans="1:14" x14ac:dyDescent="0.25">
      <c r="A191" s="25">
        <f>B180</f>
        <v>18.710930741102462</v>
      </c>
      <c r="B191" s="25">
        <f>B181</f>
        <v>-16922.641560296706</v>
      </c>
      <c r="C191" s="25">
        <f>B182</f>
        <v>1699.658762624028</v>
      </c>
      <c r="D191" s="25">
        <f>B183</f>
        <v>15.13191547800967</v>
      </c>
      <c r="F191" t="s">
        <v>120</v>
      </c>
    </row>
    <row r="192" spans="1:14" x14ac:dyDescent="0.25">
      <c r="A192" s="25">
        <f>C180</f>
        <v>-9.9220980668839118</v>
      </c>
      <c r="B192" s="25">
        <f>C181</f>
        <v>40448.934569415062</v>
      </c>
      <c r="C192" s="25">
        <f>C182</f>
        <v>-3137.0329925108254</v>
      </c>
      <c r="D192" s="25">
        <f>C183</f>
        <v>3.2979567407357435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61.921474644256882</v>
      </c>
      <c r="C193" s="25">
        <f ca="1">D182</f>
        <v>-86.253194054749798</v>
      </c>
      <c r="D193" s="25">
        <f ca="1">D183</f>
        <v>-0.3112645190228287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-6.4234374728940252E-2</v>
      </c>
      <c r="B195" s="25">
        <f ca="1"/>
        <v>1.4135534680688382E-2</v>
      </c>
      <c r="C195" s="25">
        <f ca="1"/>
        <v>1.8244513626680826E-2</v>
      </c>
      <c r="D195" s="25">
        <f ca="1"/>
        <v>0.39036104430587387</v>
      </c>
      <c r="H195">
        <f t="array" aca="1" ref="H195:H198" ca="1">MMULT(A195:D198,F185:F188)</f>
        <v>1.3916578255812347E-14</v>
      </c>
      <c r="J195" s="8">
        <f ca="1">$B$66+H195</f>
        <v>178.23919622745157</v>
      </c>
      <c r="K195" s="11" t="s">
        <v>115</v>
      </c>
      <c r="L195" s="36">
        <f ca="1">J196</f>
        <v>-6.1335381541594094</v>
      </c>
      <c r="M195" s="37" t="s">
        <v>116</v>
      </c>
      <c r="N195" t="s">
        <v>146</v>
      </c>
    </row>
    <row r="196" spans="1:14" x14ac:dyDescent="0.25">
      <c r="A196" s="25">
        <f ca="1"/>
        <v>-1.0960321300208375E-4</v>
      </c>
      <c r="B196" s="25">
        <f ca="1"/>
        <v>-1.3816350312559612E-6</v>
      </c>
      <c r="C196" s="25">
        <f ca="1"/>
        <v>4.68274851665229E-5</v>
      </c>
      <c r="D196" s="25">
        <f ca="1"/>
        <v>-4.0733258951274498E-4</v>
      </c>
      <c r="H196">
        <f ca="1"/>
        <v>1.2367924992942222E-16</v>
      </c>
      <c r="J196" s="8">
        <f ca="1">$B$64+H196</f>
        <v>-6.1335381541594094</v>
      </c>
      <c r="K196" s="11" t="s">
        <v>116</v>
      </c>
      <c r="L196" s="38">
        <f ca="1">J197</f>
        <v>2.7512624952226323</v>
      </c>
      <c r="M196" s="39" t="s">
        <v>117</v>
      </c>
    </row>
    <row r="197" spans="1:14" x14ac:dyDescent="0.25">
      <c r="A197" s="25">
        <f ca="1"/>
        <v>-1.1228294510809017E-3</v>
      </c>
      <c r="B197" s="25">
        <f ca="1"/>
        <v>-1.1670284864205749E-5</v>
      </c>
      <c r="C197" s="25">
        <f ca="1"/>
        <v>2.3133722185787755E-4</v>
      </c>
      <c r="D197" s="25">
        <f ca="1"/>
        <v>-6.6839085627124397E-3</v>
      </c>
      <c r="H197">
        <f ca="1"/>
        <v>-3.1431317109894279E-16</v>
      </c>
      <c r="J197" s="8">
        <f ca="1">$B$65+H197</f>
        <v>2.7512624952226323</v>
      </c>
      <c r="K197" s="1" t="s">
        <v>117</v>
      </c>
      <c r="L197" s="38">
        <f ca="1">J195</f>
        <v>178.23919622745157</v>
      </c>
      <c r="M197" s="43" t="s">
        <v>115</v>
      </c>
    </row>
    <row r="198" spans="1:14" ht="15.75" thickBot="1" x14ac:dyDescent="0.3">
      <c r="A198" s="25">
        <f ca="1"/>
        <v>8.297270537538276E-2</v>
      </c>
      <c r="B198" s="25">
        <f ca="1"/>
        <v>4.8372301457510945E-2</v>
      </c>
      <c r="C198" s="25">
        <f ca="1"/>
        <v>3.8249341004794857E-3</v>
      </c>
      <c r="D198" s="25">
        <f ca="1"/>
        <v>-0.18747118427365486</v>
      </c>
      <c r="H198">
        <f ca="1"/>
        <v>1.564119639718012E-13</v>
      </c>
      <c r="J198" s="8">
        <f ca="1">$B$67+H198</f>
        <v>572.62934221924809</v>
      </c>
      <c r="K198" s="1" t="s">
        <v>118</v>
      </c>
      <c r="L198" s="41">
        <f ca="1">J198</f>
        <v>572.62934221924809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-8.1914675888450379</v>
      </c>
      <c r="B201" s="25">
        <f t="shared" ref="B201:C201" si="163">B190</f>
        <v>8141.0037069057107</v>
      </c>
      <c r="C201" s="25">
        <f t="shared" si="163"/>
        <v>-1041.155035492254</v>
      </c>
      <c r="D201" s="25"/>
    </row>
    <row r="202" spans="1:14" x14ac:dyDescent="0.25">
      <c r="A202" s="25">
        <f t="shared" ref="A202:C202" si="164">A191</f>
        <v>18.710930741102462</v>
      </c>
      <c r="B202" s="25">
        <f t="shared" si="164"/>
        <v>-16922.641560296706</v>
      </c>
      <c r="C202" s="25">
        <f t="shared" si="164"/>
        <v>1699.658762624028</v>
      </c>
      <c r="D202" s="25"/>
    </row>
    <row r="203" spans="1:14" x14ac:dyDescent="0.25">
      <c r="A203" s="25">
        <f t="shared" ref="A203:C203" si="165">A192</f>
        <v>-9.9220980668839118</v>
      </c>
      <c r="B203" s="25">
        <f t="shared" si="165"/>
        <v>40448.934569415062</v>
      </c>
      <c r="C203" s="25">
        <f t="shared" si="165"/>
        <v>-3137.0329925108254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0.10853517406709644</v>
      </c>
      <c r="B205" s="25">
        <v>0.11485854544947501</v>
      </c>
      <c r="C205" s="25">
        <v>2.6208965740477728E-2</v>
      </c>
      <c r="D205" s="25"/>
      <c r="H205">
        <f t="array" ref="H205:H207">MMULT(A205:C207,F185:F187)</f>
        <v>3.3960469845693554E-13</v>
      </c>
      <c r="J205" s="8">
        <f>$B$66+H205</f>
        <v>178.23919622745191</v>
      </c>
      <c r="K205" s="11" t="s">
        <v>115</v>
      </c>
      <c r="L205" s="8">
        <f>J206</f>
        <v>-6.1335381541594094</v>
      </c>
      <c r="M205" s="11" t="s">
        <v>116</v>
      </c>
      <c r="N205" t="s">
        <v>145</v>
      </c>
    </row>
    <row r="206" spans="1:14" x14ac:dyDescent="0.25">
      <c r="A206" s="25">
        <v>-2.8988418295690062E-4</v>
      </c>
      <c r="B206" s="25">
        <v>-1.0648373320020634E-4</v>
      </c>
      <c r="C206" s="25">
        <v>3.8516766279775786E-5</v>
      </c>
      <c r="D206" s="25"/>
      <c r="H206">
        <v>-2.1616866089620596E-16</v>
      </c>
      <c r="J206" s="8">
        <f>$B$64+H206</f>
        <v>-6.1335381541594094</v>
      </c>
      <c r="K206" s="11" t="s">
        <v>116</v>
      </c>
      <c r="L206" s="8">
        <f>J207</f>
        <v>2.751262495222627</v>
      </c>
      <c r="M206" s="1" t="s">
        <v>117</v>
      </c>
      <c r="N206" t="s">
        <v>147</v>
      </c>
    </row>
    <row r="207" spans="1:14" x14ac:dyDescent="0.25">
      <c r="A207" s="25">
        <v>-4.0810546208776876E-3</v>
      </c>
      <c r="B207" s="25">
        <v>-1.7362875435785632E-3</v>
      </c>
      <c r="C207" s="25">
        <v>9.4966878409856082E-5</v>
      </c>
      <c r="D207" s="25"/>
      <c r="H207">
        <v>-5.8908676125310751E-15</v>
      </c>
      <c r="J207" s="8">
        <f>$B$65+H207</f>
        <v>2.751262495222627</v>
      </c>
      <c r="K207" s="1" t="s">
        <v>117</v>
      </c>
      <c r="L207" s="8">
        <f>J205</f>
        <v>178.23919622745191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8141.0037069057107</v>
      </c>
      <c r="B212" s="25">
        <f>A182</f>
        <v>-1041.155035492254</v>
      </c>
      <c r="C212" s="25">
        <f>A183</f>
        <v>2.3750801757451532</v>
      </c>
    </row>
    <row r="213" spans="1:14" x14ac:dyDescent="0.25">
      <c r="A213" s="25">
        <f>B181</f>
        <v>-16922.641560296706</v>
      </c>
      <c r="B213" s="25">
        <f>B182</f>
        <v>1699.658762624028</v>
      </c>
      <c r="C213" s="25">
        <f>B183</f>
        <v>15.13191547800967</v>
      </c>
    </row>
    <row r="214" spans="1:14" x14ac:dyDescent="0.25">
      <c r="A214" s="25">
        <f>C181</f>
        <v>40448.934569415062</v>
      </c>
      <c r="B214" s="25">
        <f>C182</f>
        <v>-3137.0329925108254</v>
      </c>
      <c r="C214" s="25">
        <f>C183</f>
        <v>3.2979567407357435</v>
      </c>
    </row>
    <row r="215" spans="1:14" ht="15.75" thickBot="1" x14ac:dyDescent="0.3"/>
    <row r="216" spans="1:14" x14ac:dyDescent="0.25">
      <c r="A216">
        <f t="array" ref="A216:C218">MINVERSE(A212:C214)</f>
        <v>-1.7663027570655131E-4</v>
      </c>
      <c r="B216">
        <v>1.3368463703289755E-5</v>
      </c>
      <c r="C216">
        <v>6.5865207009825779E-5</v>
      </c>
      <c r="H216" cm="1">
        <f t="array" ref="H216:H218">MMULT(A216:C218,F185:F187)</f>
        <v>1.3820087277264581E-16</v>
      </c>
      <c r="J216" s="8">
        <f>$B$64+H216</f>
        <v>-6.1335381541594094</v>
      </c>
      <c r="K216" s="11" t="s">
        <v>116</v>
      </c>
      <c r="L216" s="36">
        <f>J216</f>
        <v>-6.1335381541594094</v>
      </c>
      <c r="M216" s="37" t="s">
        <v>116</v>
      </c>
      <c r="N216" t="s">
        <v>144</v>
      </c>
    </row>
    <row r="217" spans="1:14" x14ac:dyDescent="0.25">
      <c r="A217">
        <v>-2.222674565069349E-3</v>
      </c>
      <c r="B217">
        <v>2.3036365440546155E-4</v>
      </c>
      <c r="C217">
        <v>5.4372664347327804E-4</v>
      </c>
      <c r="H217">
        <v>-7.6028286055965745E-17</v>
      </c>
      <c r="J217" s="8">
        <f>$B$65+H217</f>
        <v>2.7512624952226328</v>
      </c>
      <c r="K217" s="1" t="s">
        <v>117</v>
      </c>
      <c r="L217" s="38">
        <f>J217</f>
        <v>2.7512624952226328</v>
      </c>
      <c r="M217" s="39" t="s">
        <v>117</v>
      </c>
    </row>
    <row r="218" spans="1:14" x14ac:dyDescent="0.25">
      <c r="A218">
        <v>5.2124098740145938E-2</v>
      </c>
      <c r="B218">
        <v>5.5160902588656392E-2</v>
      </c>
      <c r="C218">
        <v>1.2586875451908595E-2</v>
      </c>
      <c r="H218">
        <v>1.6309541111569664E-13</v>
      </c>
      <c r="J218" s="8">
        <f>$B$67+H218</f>
        <v>572.62934221924809</v>
      </c>
      <c r="K218" s="1" t="s">
        <v>118</v>
      </c>
      <c r="L218" s="38">
        <f>B66</f>
        <v>178.23919622745157</v>
      </c>
      <c r="M218" s="40"/>
    </row>
    <row r="219" spans="1:14" ht="15.75" thickBot="1" x14ac:dyDescent="0.3">
      <c r="L219" s="41">
        <f>J218</f>
        <v>572.62934221924809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D37:D48 E60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51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-12000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-47.61904761904762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-3.131592986903128</v>
      </c>
      <c r="C5" t="s">
        <v>19</v>
      </c>
      <c r="I5">
        <f>SUM(I2:I4)</f>
        <v>-47.06349206349207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-47.61904761904762</v>
      </c>
      <c r="AB14">
        <f>$B$4/Z14</f>
        <v>-0.12345679012345678</v>
      </c>
      <c r="AC14">
        <f>$I$2+AA14+AB14</f>
        <v>-46.816578483245152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-15.873015873015873</v>
      </c>
      <c r="AB15">
        <f t="shared" ref="AB15:AB21" si="11">$B$4/Z15</f>
        <v>-0.12345679012345678</v>
      </c>
      <c r="AC15">
        <f t="shared" ref="AC15:AC20" si="12">$I$2+AA15+AB15</f>
        <v>-15.070546737213405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-15.873015873015873</v>
      </c>
      <c r="AB16">
        <f t="shared" si="11"/>
        <v>-0.37037037037037035</v>
      </c>
      <c r="AC16">
        <f t="shared" si="12"/>
        <v>-15.317460317460318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15.873015873015873</v>
      </c>
      <c r="AB17">
        <f t="shared" si="11"/>
        <v>-0.37037037037037035</v>
      </c>
      <c r="AC17">
        <f t="shared" si="12"/>
        <v>16.428571428571431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15.873015873015873</v>
      </c>
      <c r="AB18">
        <f t="shared" si="11"/>
        <v>0.12345679012345678</v>
      </c>
      <c r="AC18">
        <f t="shared" si="12"/>
        <v>16.922398589065256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-47.61904761904762</v>
      </c>
      <c r="AB19">
        <f t="shared" si="11"/>
        <v>0.12345679012345678</v>
      </c>
      <c r="AC19">
        <f t="shared" si="12"/>
        <v>-46.569664902998241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-47.61904761904762</v>
      </c>
      <c r="AB20">
        <f t="shared" si="11"/>
        <v>0.12345679012345678</v>
      </c>
      <c r="AC20">
        <f t="shared" si="12"/>
        <v>-46.569664902998241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5.9999999999999982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-6.1335381541594094</v>
      </c>
      <c r="C64" t="s">
        <v>19</v>
      </c>
      <c r="D64" t="s">
        <v>34</v>
      </c>
      <c r="H64" s="17">
        <f>DEGREES(B64)</f>
        <v>-351.42584971579544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2.7512624952226328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178.23919887116608</v>
      </c>
      <c r="C66" t="s">
        <v>11</v>
      </c>
      <c r="D66">
        <f>B66/B53</f>
        <v>4.6113811648607443E-2</v>
      </c>
      <c r="I66" s="20"/>
    </row>
    <row r="67" spans="1:18" x14ac:dyDescent="0.25">
      <c r="A67" s="1" t="s">
        <v>37</v>
      </c>
      <c r="B67" s="17">
        <f>'Rigid Bearing Plate Analysis'!B67</f>
        <v>572.62934221924797</v>
      </c>
      <c r="C67" t="s">
        <v>36</v>
      </c>
      <c r="D67" t="s">
        <v>122</v>
      </c>
      <c r="G67" s="20">
        <f ca="1">($B$56*$B$66*$B$55*$E$122)/$B$65</f>
        <v>572.62935071271352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-10.34668142146352</v>
      </c>
      <c r="R76">
        <f>Q76</f>
        <v>-10.34668142146352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10.34668142146352</v>
      </c>
      <c r="R77">
        <f>Q77</f>
        <v>10.34668142146352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-3.0000000000000018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-4.3082743801384131</v>
      </c>
      <c r="C84" s="1">
        <f t="shared" ref="C84:C92" si="23">(-1*B73*SIN($B$64))+(C73*COS($B$64))</f>
        <v>-8.4521459917255921</v>
      </c>
      <c r="H84" s="1">
        <f t="shared" ref="H84:H92" si="24">H73</f>
        <v>1</v>
      </c>
      <c r="I84" s="4">
        <f>(I73*COS($B$64))+(J73*SIN($B$64))</f>
        <v>-4.3082743801384131</v>
      </c>
      <c r="J84" s="1">
        <f>(-1*I73*SIN($B$64))+(J73*COS($B$64))</f>
        <v>-8.4521459917255921</v>
      </c>
    </row>
    <row r="85" spans="1:10" x14ac:dyDescent="0.25">
      <c r="A85" s="1">
        <f t="shared" si="21"/>
        <v>2</v>
      </c>
      <c r="B85" s="4">
        <f t="shared" si="22"/>
        <v>1.6246680909246241</v>
      </c>
      <c r="C85" s="1">
        <f t="shared" si="23"/>
        <v>-9.3466814214635203</v>
      </c>
      <c r="H85" s="1">
        <f t="shared" si="24"/>
        <v>2</v>
      </c>
      <c r="I85" s="4">
        <f t="shared" ref="I85:I92" si="25">(I74*COS($B$64))+(J74*SIN($B$64))</f>
        <v>-4.3082743801384131</v>
      </c>
      <c r="J85" s="1">
        <f t="shared" ref="J85:J92" si="26">(-1*I74*SIN($B$64))+(J74*COS($B$64))</f>
        <v>-8.4521459917255921</v>
      </c>
    </row>
    <row r="86" spans="1:10" x14ac:dyDescent="0.25">
      <c r="A86" s="1">
        <f t="shared" si="21"/>
        <v>3</v>
      </c>
      <c r="B86" s="4">
        <f t="shared" si="22"/>
        <v>2.5192035206625536</v>
      </c>
      <c r="C86" s="1">
        <f t="shared" si="23"/>
        <v>-3.4137389504004836</v>
      </c>
      <c r="H86" s="1">
        <f t="shared" si="24"/>
        <v>3</v>
      </c>
      <c r="I86" s="4">
        <f t="shared" si="25"/>
        <v>-4.3082743801384131</v>
      </c>
      <c r="J86" s="1">
        <f t="shared" si="26"/>
        <v>-8.4521459917255921</v>
      </c>
    </row>
    <row r="87" spans="1:10" x14ac:dyDescent="0.25">
      <c r="A87" s="1">
        <f t="shared" si="21"/>
        <v>4</v>
      </c>
      <c r="B87" s="4">
        <f t="shared" si="22"/>
        <v>8.4521459917255921</v>
      </c>
      <c r="C87" s="1">
        <f t="shared" si="23"/>
        <v>-4.3082743801384131</v>
      </c>
      <c r="H87" s="1">
        <f t="shared" si="24"/>
        <v>4</v>
      </c>
      <c r="I87" s="4">
        <f t="shared" si="25"/>
        <v>-4.3082743801384131</v>
      </c>
      <c r="J87" s="1">
        <f t="shared" si="26"/>
        <v>-8.4521459917255921</v>
      </c>
    </row>
    <row r="88" spans="1:10" x14ac:dyDescent="0.25">
      <c r="A88" s="1">
        <f t="shared" si="21"/>
        <v>5</v>
      </c>
      <c r="B88" s="4">
        <f t="shared" si="22"/>
        <v>9.3466814214635203</v>
      </c>
      <c r="C88" s="1">
        <f t="shared" si="23"/>
        <v>1.6246680909246241</v>
      </c>
      <c r="H88" s="1">
        <f t="shared" si="24"/>
        <v>5</v>
      </c>
      <c r="I88" s="4">
        <f t="shared" si="25"/>
        <v>-4.3082743801384131</v>
      </c>
      <c r="J88" s="1">
        <f t="shared" si="26"/>
        <v>-8.4521459917255921</v>
      </c>
    </row>
    <row r="89" spans="1:10" x14ac:dyDescent="0.25">
      <c r="A89" s="1">
        <f t="shared" si="21"/>
        <v>6</v>
      </c>
      <c r="B89" s="4">
        <f t="shared" si="22"/>
        <v>-2.5192035206625536</v>
      </c>
      <c r="C89" s="1">
        <f t="shared" si="23"/>
        <v>3.4137389504004836</v>
      </c>
      <c r="H89" s="1">
        <f t="shared" si="24"/>
        <v>6</v>
      </c>
      <c r="I89" s="4">
        <f t="shared" si="25"/>
        <v>-4.3082743801384131</v>
      </c>
      <c r="J89" s="1">
        <f t="shared" si="26"/>
        <v>-8.4521459917255921</v>
      </c>
    </row>
    <row r="90" spans="1:10" x14ac:dyDescent="0.25">
      <c r="A90" s="1">
        <f t="shared" si="21"/>
        <v>7</v>
      </c>
      <c r="B90" s="4">
        <f t="shared" si="22"/>
        <v>-4.3082743801384131</v>
      </c>
      <c r="C90" s="1">
        <f t="shared" si="23"/>
        <v>-8.4521459917255921</v>
      </c>
      <c r="H90" s="1">
        <f t="shared" si="24"/>
        <v>7</v>
      </c>
      <c r="I90" s="4">
        <f t="shared" si="25"/>
        <v>-4.3082743801384131</v>
      </c>
      <c r="J90" s="1">
        <f t="shared" si="26"/>
        <v>-8.4521459917255921</v>
      </c>
    </row>
    <row r="91" spans="1:10" x14ac:dyDescent="0.25">
      <c r="A91" s="1">
        <f t="shared" si="21"/>
        <v>8</v>
      </c>
      <c r="B91" s="4">
        <f t="shared" si="22"/>
        <v>-4.3082743801384131</v>
      </c>
      <c r="C91" s="1">
        <f t="shared" si="23"/>
        <v>-8.4521459917255921</v>
      </c>
      <c r="H91" s="1">
        <f t="shared" si="24"/>
        <v>8</v>
      </c>
      <c r="I91" s="4">
        <f t="shared" si="25"/>
        <v>-3.4137389504004836</v>
      </c>
      <c r="J91" s="1">
        <f t="shared" si="26"/>
        <v>-2.5192035206625554</v>
      </c>
    </row>
    <row r="92" spans="1:10" x14ac:dyDescent="0.25">
      <c r="A92" s="1">
        <f t="shared" si="21"/>
        <v>9</v>
      </c>
      <c r="B92" s="4">
        <f t="shared" si="22"/>
        <v>-4.3082743801384131</v>
      </c>
      <c r="C92" s="1">
        <f t="shared" si="23"/>
        <v>-8.4521459917255921</v>
      </c>
      <c r="H92" s="1">
        <f t="shared" si="24"/>
        <v>9</v>
      </c>
      <c r="I92" s="4">
        <f t="shared" si="25"/>
        <v>-4.3082743801384131</v>
      </c>
      <c r="J92" s="1">
        <f t="shared" si="26"/>
        <v>-8.4521459917255921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-2.6014049049381711</v>
      </c>
      <c r="C110" s="1">
        <f>(-1*B95*SIN($B$64))+(C95*COS($B$64))</f>
        <v>-7.1925442313943142</v>
      </c>
      <c r="D110" t="str">
        <f t="shared" ref="D110" si="31">D95</f>
        <v>y</v>
      </c>
      <c r="E110" s="4">
        <f t="shared" ref="E110:E121" si="32">IF($D110="y",$B$125-C110,0)</f>
        <v>7.855020686572165</v>
      </c>
      <c r="F110" s="1">
        <f>IF($D110="y",B110,NA())</f>
        <v>-2.6014049049381711</v>
      </c>
      <c r="G110" s="1">
        <f>IF($D110="y",C110,NA())</f>
        <v>-7.1925442313943142</v>
      </c>
      <c r="H110">
        <f t="shared" ref="H110:H121" si="33">IF($E$122=0,0,-1*MAX(($B$67/$E$122)*(E110),0))</f>
        <v>-541.78018293000162</v>
      </c>
      <c r="I110">
        <f>H110*C110</f>
        <v>3896.7779294169395</v>
      </c>
      <c r="J110">
        <f>H110*B110*-1</f>
        <v>-1409.3896252724057</v>
      </c>
      <c r="K110">
        <f ca="1">H110/$B$55</f>
        <v>-3818.0737937916506</v>
      </c>
      <c r="L110">
        <f ca="1">K110/$B$54</f>
        <v>-0.13165771702729831</v>
      </c>
      <c r="M110">
        <f t="shared" ref="M110:M121" si="34">IFERROR(($D$66/$B$65)*(G110-$B$125),0)</f>
        <v>-0.13165771898009776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0.36506633059334725</v>
      </c>
      <c r="C111" s="1">
        <f t="shared" ref="C111:C121" si="37">(-1*B96*SIN($B$64))+(C96*COS($B$64))</f>
        <v>-7.6398119462632783</v>
      </c>
      <c r="D111" t="str">
        <f t="shared" si="35"/>
        <v>y</v>
      </c>
      <c r="E111" s="4">
        <f t="shared" si="32"/>
        <v>8.3022884014411282</v>
      </c>
      <c r="F111" s="1">
        <f t="shared" ref="F111:G121" si="38">IF($D111="y",B111,NA())</f>
        <v>0.36506633059334725</v>
      </c>
      <c r="G111" s="1">
        <f t="shared" si="38"/>
        <v>-7.6398119462632783</v>
      </c>
      <c r="H111">
        <f t="shared" si="33"/>
        <v>-572.62934221924797</v>
      </c>
      <c r="I111">
        <f t="shared" ref="I111:I121" si="39">H111*C111</f>
        <v>4374.7804894674937</v>
      </c>
      <c r="J111">
        <f t="shared" ref="J111:J121" si="40">H111*B111*-1</f>
        <v>209.04769275406295</v>
      </c>
      <c r="K111">
        <f ca="1">H111/$B$55</f>
        <v>-4035.4762945730304</v>
      </c>
      <c r="L111">
        <f t="shared" ref="L111:L121" ca="1" si="41">K111/$B$54</f>
        <v>-0.1391543549852769</v>
      </c>
      <c r="M111">
        <f t="shared" si="34"/>
        <v>-0.13915435704926951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7.1925442313943142</v>
      </c>
      <c r="C112" s="1">
        <f t="shared" si="37"/>
        <v>-2.6014049049381711</v>
      </c>
      <c r="D112" t="str">
        <f t="shared" si="35"/>
        <v>y</v>
      </c>
      <c r="E112" s="4">
        <f t="shared" si="32"/>
        <v>3.2638813601160219</v>
      </c>
      <c r="F112" s="1">
        <f t="shared" si="38"/>
        <v>7.1925442313943142</v>
      </c>
      <c r="G112" s="1">
        <f t="shared" si="38"/>
        <v>-2.6014049049381711</v>
      </c>
      <c r="H112">
        <f t="shared" si="33"/>
        <v>-225.11796097091477</v>
      </c>
      <c r="I112">
        <f t="shared" si="39"/>
        <v>585.62296785941749</v>
      </c>
      <c r="J112">
        <f t="shared" si="40"/>
        <v>1619.1708915646034</v>
      </c>
      <c r="K112">
        <f t="shared" ref="K112:K121" ca="1" si="45">H112/$B$55</f>
        <v>-1586.468118207106</v>
      </c>
      <c r="L112">
        <f t="shared" ca="1" si="41"/>
        <v>-5.4705797179555378E-2</v>
      </c>
      <c r="M112">
        <f t="shared" si="34"/>
        <v>-5.4705797990973457E-2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7.6398119462632783</v>
      </c>
      <c r="C113" s="1">
        <f t="shared" si="37"/>
        <v>0.36506633059334725</v>
      </c>
      <c r="D113" t="str">
        <f t="shared" si="35"/>
        <v>y</v>
      </c>
      <c r="E113" s="4">
        <f t="shared" si="32"/>
        <v>0.29741012458450355</v>
      </c>
      <c r="F113" s="1">
        <f t="shared" si="38"/>
        <v>7.6398119462632783</v>
      </c>
      <c r="G113" s="1">
        <f t="shared" si="38"/>
        <v>0.36506633059334725</v>
      </c>
      <c r="H113">
        <f t="shared" si="33"/>
        <v>-20.513111057501551</v>
      </c>
      <c r="I113">
        <f t="shared" si="39"/>
        <v>-7.4886461828159083</v>
      </c>
      <c r="J113">
        <f t="shared" si="40"/>
        <v>156.71631091212569</v>
      </c>
      <c r="K113">
        <f t="shared" ca="1" si="45"/>
        <v>-144.56152924276205</v>
      </c>
      <c r="L113">
        <f t="shared" ca="1" si="41"/>
        <v>-4.9848803187159327E-3</v>
      </c>
      <c r="M113">
        <f t="shared" si="34"/>
        <v>-4.9848803926536549E-3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-4.3082743801384131</v>
      </c>
      <c r="C114" s="1">
        <f t="shared" si="37"/>
        <v>-8.4521459917255921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-4.3082743801384131</v>
      </c>
      <c r="C115" s="1">
        <f t="shared" si="37"/>
        <v>-8.4521459917255921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-4.3082743801384131</v>
      </c>
      <c r="C116" s="1">
        <f t="shared" si="37"/>
        <v>-8.4521459917255921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-4.3082743801384131</v>
      </c>
      <c r="C117" s="1">
        <f t="shared" si="37"/>
        <v>-8.4521459917255921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-4.3082743801384131</v>
      </c>
      <c r="C118" s="1">
        <f t="shared" si="37"/>
        <v>-8.4521459917255921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-4.3082743801384131</v>
      </c>
      <c r="C119" s="1">
        <f t="shared" si="37"/>
        <v>-8.4521459917255921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-4.3082743801384131</v>
      </c>
      <c r="C120" s="1">
        <f t="shared" si="37"/>
        <v>-8.4521459917255921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-4.3082743801384131</v>
      </c>
      <c r="C121" s="1">
        <f t="shared" si="37"/>
        <v>-8.4521459917255921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8.3022884014411282</v>
      </c>
      <c r="H122">
        <f>SUM(H110:H121)</f>
        <v>-1360.0405971776659</v>
      </c>
      <c r="I122">
        <f t="shared" ref="I122:J122" si="46">SUM(I110:I121)</f>
        <v>8849.692740561035</v>
      </c>
      <c r="J122">
        <f t="shared" si="46"/>
        <v>575.54526995838637</v>
      </c>
      <c r="L122">
        <f ca="1">MIN(L110:L121)</f>
        <v>-0.1391543549852769</v>
      </c>
      <c r="M122">
        <f>MIN(M110:M121)</f>
        <v>-0.13915435704926951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0.66247645517785081</v>
      </c>
      <c r="F125" s="1" t="s">
        <v>27</v>
      </c>
      <c r="G125" s="1" t="s">
        <v>28</v>
      </c>
    </row>
    <row r="126" spans="1:16" x14ac:dyDescent="0.25">
      <c r="F126" s="4">
        <f>MIN(B84:B90)-1</f>
        <v>-5.3082743801384131</v>
      </c>
      <c r="G126" s="4">
        <f>B125</f>
        <v>0.66247645517785081</v>
      </c>
    </row>
    <row r="127" spans="1:16" x14ac:dyDescent="0.25">
      <c r="F127" s="4">
        <f>MAX(B84:B90)+1</f>
        <v>10.34668142146352</v>
      </c>
      <c r="G127" s="4">
        <f>G126</f>
        <v>0.66247645517785081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-4.3082743801384131</v>
      </c>
      <c r="C132" s="4">
        <f>C84</f>
        <v>-8.4521459917255921</v>
      </c>
      <c r="D132" s="4">
        <f t="shared" ref="D132:E139" si="47">B85</f>
        <v>1.6246680909246241</v>
      </c>
      <c r="E132" s="4">
        <f t="shared" si="47"/>
        <v>-9.3466814214635203</v>
      </c>
      <c r="F132" s="4">
        <f t="shared" ref="F132:F139" si="48">($B$66/$B$65)*(C132-$B$125)</f>
        <v>-590.48636971942426</v>
      </c>
      <c r="G132" s="4">
        <f t="shared" ref="G132:G139" si="49">($B$66/$B$65)*(E132-$B$125)</f>
        <v>-648.43841124044263</v>
      </c>
      <c r="H132" s="4">
        <f>IF(B132=D132,"V",(C132-E132)/(B132-D132))</f>
        <v>-0.15077433062951132</v>
      </c>
      <c r="I132" s="4">
        <f>IF(H132="V",0,(-1*B132*H132)+C132)</f>
        <v>-9.1017231775592347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1.6246680909246241</v>
      </c>
      <c r="C133" s="4">
        <f t="shared" si="50"/>
        <v>-9.3466814214635203</v>
      </c>
      <c r="D133" s="4">
        <f t="shared" si="47"/>
        <v>2.5192035206625536</v>
      </c>
      <c r="E133" s="4">
        <f t="shared" si="47"/>
        <v>-3.4137389504004836</v>
      </c>
      <c r="F133" s="4">
        <f t="shared" si="48"/>
        <v>-648.43841124044263</v>
      </c>
      <c r="G133" s="4">
        <f t="shared" si="49"/>
        <v>-264.07562694514758</v>
      </c>
      <c r="H133" s="4">
        <f t="shared" ref="H133:H139" si="51">IF(B133=D133,"V",(C133-E133)/(B133-D133))</f>
        <v>6.6324287153178494</v>
      </c>
      <c r="I133" s="4">
        <f t="shared" ref="I133:I139" si="52">IF(H133="V",0,(-1*B133*H133)+C133)</f>
        <v>-20.122176720572625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2.5192035206625536</v>
      </c>
      <c r="C134" s="4">
        <f t="shared" si="50"/>
        <v>-3.4137389504004836</v>
      </c>
      <c r="D134" s="4">
        <f t="shared" si="47"/>
        <v>8.4521459917255921</v>
      </c>
      <c r="E134" s="4">
        <f t="shared" si="47"/>
        <v>-4.3082743801384131</v>
      </c>
      <c r="F134" s="4">
        <f t="shared" si="48"/>
        <v>-264.07562694514758</v>
      </c>
      <c r="G134" s="4">
        <f t="shared" si="49"/>
        <v>-322.02766846616601</v>
      </c>
      <c r="H134" s="4">
        <f t="shared" si="51"/>
        <v>-0.15077433062951151</v>
      </c>
      <c r="I134" s="4">
        <f t="shared" si="52"/>
        <v>-3.0339077258530782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8.4521459917255921</v>
      </c>
      <c r="C135" s="4">
        <f t="shared" si="50"/>
        <v>-4.3082743801384131</v>
      </c>
      <c r="D135" s="4">
        <f t="shared" si="47"/>
        <v>9.3466814214635203</v>
      </c>
      <c r="E135" s="4">
        <f t="shared" si="47"/>
        <v>1.6246680909246241</v>
      </c>
      <c r="F135" s="4">
        <f t="shared" si="48"/>
        <v>-322.02766846616601</v>
      </c>
      <c r="G135" s="4">
        <f t="shared" si="49"/>
        <v>62.335115829129158</v>
      </c>
      <c r="H135" s="4">
        <f t="shared" si="51"/>
        <v>6.63242871531786</v>
      </c>
      <c r="I135" s="4">
        <f t="shared" si="52"/>
        <v>-60.366530161717982</v>
      </c>
      <c r="J135" s="4">
        <f t="shared" si="53"/>
        <v>9.2016076216464864</v>
      </c>
      <c r="K135" s="4">
        <f t="shared" si="54"/>
        <v>0.66247645517785081</v>
      </c>
      <c r="L135" s="4">
        <f t="shared" si="55"/>
        <v>9.3466814214635203</v>
      </c>
      <c r="M135" s="4">
        <f t="shared" si="56"/>
        <v>1.6246680909246241</v>
      </c>
      <c r="N135" s="4">
        <f t="shared" si="57"/>
        <v>0</v>
      </c>
      <c r="O135" s="4">
        <f t="shared" si="57"/>
        <v>62.335115829129158</v>
      </c>
      <c r="P135" s="4">
        <f t="shared" si="58"/>
        <v>278.84894366124053</v>
      </c>
      <c r="Q135" s="4">
        <f t="shared" si="59"/>
        <v>363.83417117039806</v>
      </c>
      <c r="R135" s="4">
        <f t="shared" si="60"/>
        <v>-1296.4313735888911</v>
      </c>
    </row>
    <row r="136" spans="1:18" x14ac:dyDescent="0.25">
      <c r="A136" t="s">
        <v>73</v>
      </c>
      <c r="B136" s="4">
        <f t="shared" si="50"/>
        <v>9.3466814214635203</v>
      </c>
      <c r="C136" s="4">
        <f t="shared" si="50"/>
        <v>1.6246680909246241</v>
      </c>
      <c r="D136" s="4">
        <f t="shared" si="47"/>
        <v>-2.5192035206625536</v>
      </c>
      <c r="E136" s="4">
        <f t="shared" si="47"/>
        <v>3.4137389504004836</v>
      </c>
      <c r="F136" s="4">
        <f t="shared" si="48"/>
        <v>62.335115829129158</v>
      </c>
      <c r="G136" s="4">
        <f t="shared" si="49"/>
        <v>178.23919887116608</v>
      </c>
      <c r="H136" s="4">
        <f t="shared" si="51"/>
        <v>-0.15077433062951157</v>
      </c>
      <c r="I136" s="4">
        <f t="shared" si="52"/>
        <v>3.0339077258530782</v>
      </c>
      <c r="J136" s="4">
        <f t="shared" si="53"/>
        <v>9.3466814214635203</v>
      </c>
      <c r="K136" s="4">
        <f t="shared" si="54"/>
        <v>1.6246680909246241</v>
      </c>
      <c r="L136" s="4">
        <f t="shared" si="55"/>
        <v>-2.5192035206625536</v>
      </c>
      <c r="M136" s="4">
        <f t="shared" si="56"/>
        <v>3.4137389504004836</v>
      </c>
      <c r="N136" s="4">
        <f t="shared" si="57"/>
        <v>62.335115829129158</v>
      </c>
      <c r="O136" s="4">
        <f t="shared" si="57"/>
        <v>178.23919887116608</v>
      </c>
      <c r="P136" s="4">
        <f t="shared" si="58"/>
        <v>529.60119379410037</v>
      </c>
      <c r="Q136" s="4">
        <f t="shared" si="59"/>
        <v>1059.0006612353661</v>
      </c>
      <c r="R136" s="4">
        <f t="shared" si="60"/>
        <v>-1816.4912089165434</v>
      </c>
    </row>
    <row r="137" spans="1:18" x14ac:dyDescent="0.25">
      <c r="A137" t="s">
        <v>74</v>
      </c>
      <c r="B137" s="4">
        <f t="shared" si="50"/>
        <v>-2.5192035206625536</v>
      </c>
      <c r="C137" s="4">
        <f t="shared" si="50"/>
        <v>3.4137389504004836</v>
      </c>
      <c r="D137" s="4">
        <f t="shared" si="47"/>
        <v>-4.3082743801384131</v>
      </c>
      <c r="E137" s="4">
        <f t="shared" si="47"/>
        <v>-8.4521459917255921</v>
      </c>
      <c r="F137" s="4">
        <f t="shared" si="48"/>
        <v>178.23919887116608</v>
      </c>
      <c r="G137" s="4">
        <f t="shared" si="49"/>
        <v>-590.48636971942426</v>
      </c>
      <c r="H137" s="4">
        <f t="shared" si="51"/>
        <v>6.6324287153178494</v>
      </c>
      <c r="I137" s="4">
        <f t="shared" si="52"/>
        <v>20.122176720572625</v>
      </c>
      <c r="J137" s="4">
        <f t="shared" si="53"/>
        <v>-2.5192035206625536</v>
      </c>
      <c r="K137" s="4">
        <f t="shared" si="54"/>
        <v>3.4137389504004836</v>
      </c>
      <c r="L137" s="4">
        <f t="shared" si="55"/>
        <v>-2.9340232817658252</v>
      </c>
      <c r="M137" s="4">
        <f t="shared" si="56"/>
        <v>0.66247645517785081</v>
      </c>
      <c r="N137" s="4">
        <f t="shared" si="57"/>
        <v>178.23919887116608</v>
      </c>
      <c r="O137" s="4">
        <f t="shared" si="57"/>
        <v>0</v>
      </c>
      <c r="P137" s="4">
        <f t="shared" si="58"/>
        <v>651.59048137822833</v>
      </c>
      <c r="Q137" s="4">
        <f t="shared" si="59"/>
        <v>1611.2481227567587</v>
      </c>
      <c r="R137" s="4">
        <f t="shared" si="60"/>
        <v>866.96526917951269</v>
      </c>
    </row>
    <row r="138" spans="1:18" x14ac:dyDescent="0.25">
      <c r="A138" t="s">
        <v>75</v>
      </c>
      <c r="B138" s="4">
        <f t="shared" si="50"/>
        <v>-4.3082743801384131</v>
      </c>
      <c r="C138" s="4">
        <f t="shared" si="50"/>
        <v>-8.4521459917255921</v>
      </c>
      <c r="D138" s="4">
        <f t="shared" si="47"/>
        <v>-4.3082743801384131</v>
      </c>
      <c r="E138" s="4">
        <f t="shared" si="47"/>
        <v>-8.4521459917255921</v>
      </c>
      <c r="F138" s="4">
        <f t="shared" si="48"/>
        <v>-590.48636971942426</v>
      </c>
      <c r="G138" s="4">
        <f t="shared" si="49"/>
        <v>-590.48636971942426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-4.3082743801384131</v>
      </c>
      <c r="C139" s="4">
        <f>E138</f>
        <v>-8.4521459917255921</v>
      </c>
      <c r="D139" s="4">
        <f t="shared" si="47"/>
        <v>-4.3082743801384131</v>
      </c>
      <c r="E139" s="4">
        <f t="shared" si="47"/>
        <v>-8.4521459917255921</v>
      </c>
      <c r="F139" s="4">
        <f t="shared" si="48"/>
        <v>-590.48636971942426</v>
      </c>
      <c r="G139" s="4">
        <f t="shared" si="49"/>
        <v>-590.48636971942426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1460.0406188335692</v>
      </c>
      <c r="Q140" s="4">
        <f>SUM(Q132:Q139)</f>
        <v>3034.0829551625229</v>
      </c>
      <c r="R140" s="4">
        <f>SUM(R132:R139)</f>
        <v>-2245.9573133259219</v>
      </c>
    </row>
    <row r="142" spans="1:18" x14ac:dyDescent="0.25">
      <c r="O142" t="s">
        <v>96</v>
      </c>
      <c r="P142" s="1">
        <f>-1*R140/P140</f>
        <v>1.5382841301499022</v>
      </c>
    </row>
    <row r="143" spans="1:18" x14ac:dyDescent="0.25">
      <c r="O143" t="s">
        <v>97</v>
      </c>
      <c r="P143" s="1">
        <f>Q140/P140</f>
        <v>2.0780811958412917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-4.3082743801384131</v>
      </c>
      <c r="C146" s="9">
        <f>J84</f>
        <v>-8.4521459917255921</v>
      </c>
      <c r="D146" s="9">
        <f t="shared" ref="D146:E153" si="61">I85</f>
        <v>-4.3082743801384131</v>
      </c>
      <c r="E146">
        <f t="shared" si="61"/>
        <v>-8.4521459917255921</v>
      </c>
      <c r="F146" s="4">
        <f>($B$66/$B$65)*(C146-$B$125)</f>
        <v>-590.48636971942426</v>
      </c>
      <c r="G146" s="4">
        <f>($B$66/$B$65)*(E146-$B$125)</f>
        <v>-590.48636971942426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-4.3082743801384131</v>
      </c>
      <c r="C147">
        <f t="shared" si="62"/>
        <v>-8.4521459917255921</v>
      </c>
      <c r="D147" s="9">
        <f t="shared" si="61"/>
        <v>-4.3082743801384131</v>
      </c>
      <c r="E147">
        <f t="shared" si="61"/>
        <v>-8.4521459917255921</v>
      </c>
      <c r="F147" s="4">
        <f t="shared" ref="F147:F153" si="63">($B$66/$B$65)*(C147-$B$125)</f>
        <v>-590.48636971942426</v>
      </c>
      <c r="G147" s="4">
        <f t="shared" ref="G147:G153" si="64">($B$66/$B$65)*(E147-$B$125)</f>
        <v>-590.48636971942426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-4.3082743801384131</v>
      </c>
      <c r="C148">
        <f t="shared" si="62"/>
        <v>-8.4521459917255921</v>
      </c>
      <c r="D148" s="9">
        <f t="shared" si="61"/>
        <v>-4.3082743801384131</v>
      </c>
      <c r="E148">
        <f t="shared" si="61"/>
        <v>-8.4521459917255921</v>
      </c>
      <c r="F148" s="4">
        <f t="shared" si="63"/>
        <v>-590.48636971942426</v>
      </c>
      <c r="G148" s="4">
        <f t="shared" si="64"/>
        <v>-590.48636971942426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-4.3082743801384131</v>
      </c>
      <c r="C149">
        <f t="shared" si="62"/>
        <v>-8.4521459917255921</v>
      </c>
      <c r="D149" s="9">
        <f t="shared" si="61"/>
        <v>-4.3082743801384131</v>
      </c>
      <c r="E149">
        <f t="shared" si="61"/>
        <v>-8.4521459917255921</v>
      </c>
      <c r="F149" s="4">
        <f t="shared" si="63"/>
        <v>-590.48636971942426</v>
      </c>
      <c r="G149" s="4">
        <f t="shared" si="64"/>
        <v>-590.48636971942426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-4.3082743801384131</v>
      </c>
      <c r="C150">
        <f t="shared" si="62"/>
        <v>-8.4521459917255921</v>
      </c>
      <c r="D150" s="9">
        <f t="shared" si="61"/>
        <v>-4.3082743801384131</v>
      </c>
      <c r="E150">
        <f t="shared" si="61"/>
        <v>-8.4521459917255921</v>
      </c>
      <c r="F150" s="4">
        <f t="shared" si="63"/>
        <v>-590.48636971942426</v>
      </c>
      <c r="G150" s="4">
        <f t="shared" si="64"/>
        <v>-590.48636971942426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-4.3082743801384131</v>
      </c>
      <c r="C151">
        <f t="shared" si="62"/>
        <v>-8.4521459917255921</v>
      </c>
      <c r="D151" s="9">
        <f t="shared" si="61"/>
        <v>-4.3082743801384131</v>
      </c>
      <c r="E151">
        <f t="shared" si="61"/>
        <v>-8.4521459917255921</v>
      </c>
      <c r="F151" s="4">
        <f t="shared" si="63"/>
        <v>-590.48636971942426</v>
      </c>
      <c r="G151" s="4">
        <f t="shared" si="64"/>
        <v>-590.48636971942426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-4.3082743801384131</v>
      </c>
      <c r="C152">
        <f t="shared" si="62"/>
        <v>-8.4521459917255921</v>
      </c>
      <c r="D152" s="9">
        <f t="shared" si="61"/>
        <v>-3.4137389504004836</v>
      </c>
      <c r="E152">
        <f t="shared" si="61"/>
        <v>-2.5192035206625554</v>
      </c>
      <c r="F152" s="4">
        <f t="shared" si="63"/>
        <v>-590.48636971942426</v>
      </c>
      <c r="G152" s="4">
        <f t="shared" si="64"/>
        <v>-206.12358542412915</v>
      </c>
      <c r="H152" s="4">
        <f t="shared" si="65"/>
        <v>6.6324287153178494</v>
      </c>
      <c r="I152" s="4">
        <f t="shared" si="66"/>
        <v>20.122176720572625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-3.4137389504004836</v>
      </c>
      <c r="C153">
        <f t="shared" si="62"/>
        <v>-2.5192035206625554</v>
      </c>
      <c r="D153" s="9">
        <f t="shared" si="61"/>
        <v>-4.3082743801384131</v>
      </c>
      <c r="E153">
        <f t="shared" si="61"/>
        <v>-8.4521459917255921</v>
      </c>
      <c r="F153" s="4">
        <f t="shared" si="63"/>
        <v>-206.12358542412915</v>
      </c>
      <c r="G153" s="4">
        <f t="shared" si="64"/>
        <v>-590.48636971942426</v>
      </c>
      <c r="H153" s="4">
        <f t="shared" si="65"/>
        <v>6.6324287153178494</v>
      </c>
      <c r="I153" s="4">
        <f t="shared" si="66"/>
        <v>20.122176720572629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100.00002165590331</v>
      </c>
      <c r="C159" t="s">
        <v>36</v>
      </c>
    </row>
    <row r="160" spans="1:18" x14ac:dyDescent="0.25">
      <c r="A160" s="1" t="s">
        <v>106</v>
      </c>
      <c r="B160" s="4">
        <f>Q140+I122+Q154-O122</f>
        <v>11883.775695723558</v>
      </c>
      <c r="C160" t="s">
        <v>102</v>
      </c>
    </row>
    <row r="161" spans="1:9" x14ac:dyDescent="0.25">
      <c r="A161" s="1" t="s">
        <v>107</v>
      </c>
      <c r="B161" s="4">
        <f>R140+J122+R154-P122</f>
        <v>-1670.4120433675355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100.00002165590331</v>
      </c>
      <c r="C164" t="s">
        <v>36</v>
      </c>
      <c r="E164" s="8">
        <f>B2-B164</f>
        <v>-2.1655903310602298E-5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12000.000049466364</v>
      </c>
      <c r="C165" t="s">
        <v>102</v>
      </c>
      <c r="E165" s="8">
        <f>B3+B165</f>
        <v>4.9466363634564914E-5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119.99997376879901</v>
      </c>
      <c r="C166" t="s">
        <v>102</v>
      </c>
      <c r="E166" s="8">
        <f>B4+B166</f>
        <v>-2.6231200990878278E-5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178.23919887116608</v>
      </c>
      <c r="B169" s="1">
        <f ca="1">IF(E122=0,0,(MIN(H110:H121)*B65)/(B55*B56*E122))</f>
        <v>-178.2391962274516</v>
      </c>
      <c r="C169" s="3">
        <f ca="1">A169+B169</f>
        <v>2.6437144811097824E-6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-9.097507275884107E-8</v>
      </c>
      <c r="C175" s="27">
        <f>B65*SQRT(I175)</f>
        <v>4.0807817509346258E-8</v>
      </c>
      <c r="D175" s="27">
        <f>B66*SQRT(I175)</f>
        <v>2.6437145540189696E-6</v>
      </c>
      <c r="E175" s="27">
        <f>B67*SQRT(I175)</f>
        <v>8.4934657228659421E-6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-6.1335382451344822</v>
      </c>
      <c r="C176" s="3">
        <f>B65+C175</f>
        <v>2.7512625360304503</v>
      </c>
      <c r="D176" s="3">
        <f>D175+B66</f>
        <v>178.23920151488065</v>
      </c>
      <c r="E176" s="3">
        <f>B67+E175</f>
        <v>572.62935071271374</v>
      </c>
      <c r="F176" s="16" t="s">
        <v>125</v>
      </c>
    </row>
    <row r="177" spans="1:13" x14ac:dyDescent="0.25">
      <c r="B177" s="27">
        <f>B176-B64</f>
        <v>-9.09750728084191E-8</v>
      </c>
      <c r="C177" s="27">
        <f>C176-B65</f>
        <v>4.0807817569543658E-8</v>
      </c>
      <c r="D177" s="27">
        <f>D176-B66</f>
        <v>2.6437145663749106E-6</v>
      </c>
      <c r="E177" s="27">
        <f>E176-B67</f>
        <v>8.4934657706980943E-6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-9.3466814202771396</v>
      </c>
      <c r="B181" s="25">
        <f>(d_alpha_p!E136-d_alpha_m!E136)/(2*B177)</f>
        <v>2.5192035247968185</v>
      </c>
      <c r="C181" s="25">
        <f>(d_alpha_p!E137-d_alpha_m!E137)/(2*B177)</f>
        <v>4.3082743719038623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2.1655903310602298E-5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-4.9466363634564914E-5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2.6231200990878278E-5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-2.6437144811097824E-6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-9.3466814202771396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2.5192035247968185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4.3082743719038623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-9.3466814202771396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2.5192035247968185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4.3082743719038623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-12000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-47.61904761904762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-3.131592986903128</v>
      </c>
      <c r="C5" t="s">
        <v>19</v>
      </c>
      <c r="I5">
        <f>SUM(I2:I4)</f>
        <v>-47.06349206349207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-47.61904761904762</v>
      </c>
      <c r="AB14">
        <f>$B$4/Z14</f>
        <v>-0.12345679012345678</v>
      </c>
      <c r="AC14">
        <f>$I$2+AA14+AB14</f>
        <v>-46.816578483245152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-15.873015873015873</v>
      </c>
      <c r="AB15">
        <f t="shared" ref="AB15:AB21" si="11">$B$4/Z15</f>
        <v>-0.12345679012345678</v>
      </c>
      <c r="AC15">
        <f t="shared" ref="AC15:AC20" si="12">$I$2+AA15+AB15</f>
        <v>-15.070546737213405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-15.873015873015873</v>
      </c>
      <c r="AB16">
        <f t="shared" si="11"/>
        <v>-0.37037037037037035</v>
      </c>
      <c r="AC16">
        <f t="shared" si="12"/>
        <v>-15.317460317460318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15.873015873015873</v>
      </c>
      <c r="AB17">
        <f t="shared" si="11"/>
        <v>-0.37037037037037035</v>
      </c>
      <c r="AC17">
        <f t="shared" si="12"/>
        <v>16.428571428571431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15.873015873015873</v>
      </c>
      <c r="AB18">
        <f t="shared" si="11"/>
        <v>0.12345679012345678</v>
      </c>
      <c r="AC18">
        <f t="shared" si="12"/>
        <v>16.922398589065256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-47.61904761904762</v>
      </c>
      <c r="AB19">
        <f t="shared" si="11"/>
        <v>0.12345679012345678</v>
      </c>
      <c r="AC19">
        <f t="shared" si="12"/>
        <v>-46.569664902998241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-47.61904761904762</v>
      </c>
      <c r="AB20">
        <f t="shared" si="11"/>
        <v>0.12345679012345678</v>
      </c>
      <c r="AC20">
        <f t="shared" si="12"/>
        <v>-46.569664902998241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5.9999999999999982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-6.1335381541594094</v>
      </c>
      <c r="C64" t="s">
        <v>19</v>
      </c>
      <c r="D64" t="s">
        <v>34</v>
      </c>
      <c r="H64" s="17">
        <f>DEGREES(B64)</f>
        <v>-351.42584971579544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2.7512624952226328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178.23919358373706</v>
      </c>
      <c r="C66" t="s">
        <v>11</v>
      </c>
      <c r="D66">
        <f>B66/B53</f>
        <v>4.6113810280650751E-2</v>
      </c>
      <c r="I66" s="20"/>
    </row>
    <row r="67" spans="1:18" x14ac:dyDescent="0.25">
      <c r="A67" s="1" t="s">
        <v>37</v>
      </c>
      <c r="B67" s="17">
        <f>'Rigid Bearing Plate Analysis'!B67</f>
        <v>572.62934221924797</v>
      </c>
      <c r="C67" t="s">
        <v>36</v>
      </c>
      <c r="D67" t="s">
        <v>122</v>
      </c>
      <c r="G67" s="20">
        <f ca="1">($B$56*$B$66*$B$55*$E$122)/$B$65</f>
        <v>572.62933372578209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-10.34668142146352</v>
      </c>
      <c r="R76">
        <f>Q76</f>
        <v>-10.34668142146352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10.34668142146352</v>
      </c>
      <c r="R77">
        <f>Q77</f>
        <v>10.34668142146352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-3.0000000000000018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-4.3082743801384131</v>
      </c>
      <c r="C84" s="1">
        <f t="shared" ref="C84:C92" si="23">(-1*B73*SIN($B$64))+(C73*COS($B$64))</f>
        <v>-8.4521459917255921</v>
      </c>
      <c r="H84" s="1">
        <f t="shared" ref="H84:H92" si="24">H73</f>
        <v>1</v>
      </c>
      <c r="I84" s="4">
        <f>(I73*COS($B$64))+(J73*SIN($B$64))</f>
        <v>-4.3082743801384131</v>
      </c>
      <c r="J84" s="1">
        <f>(-1*I73*SIN($B$64))+(J73*COS($B$64))</f>
        <v>-8.4521459917255921</v>
      </c>
    </row>
    <row r="85" spans="1:10" x14ac:dyDescent="0.25">
      <c r="A85" s="1">
        <f t="shared" si="21"/>
        <v>2</v>
      </c>
      <c r="B85" s="4">
        <f t="shared" si="22"/>
        <v>1.6246680909246241</v>
      </c>
      <c r="C85" s="1">
        <f t="shared" si="23"/>
        <v>-9.3466814214635203</v>
      </c>
      <c r="H85" s="1">
        <f t="shared" si="24"/>
        <v>2</v>
      </c>
      <c r="I85" s="4">
        <f t="shared" ref="I85:I92" si="25">(I74*COS($B$64))+(J74*SIN($B$64))</f>
        <v>-4.3082743801384131</v>
      </c>
      <c r="J85" s="1">
        <f t="shared" ref="J85:J92" si="26">(-1*I74*SIN($B$64))+(J74*COS($B$64))</f>
        <v>-8.4521459917255921</v>
      </c>
    </row>
    <row r="86" spans="1:10" x14ac:dyDescent="0.25">
      <c r="A86" s="1">
        <f t="shared" si="21"/>
        <v>3</v>
      </c>
      <c r="B86" s="4">
        <f t="shared" si="22"/>
        <v>2.5192035206625536</v>
      </c>
      <c r="C86" s="1">
        <f t="shared" si="23"/>
        <v>-3.4137389504004836</v>
      </c>
      <c r="H86" s="1">
        <f t="shared" si="24"/>
        <v>3</v>
      </c>
      <c r="I86" s="4">
        <f t="shared" si="25"/>
        <v>-4.3082743801384131</v>
      </c>
      <c r="J86" s="1">
        <f t="shared" si="26"/>
        <v>-8.4521459917255921</v>
      </c>
    </row>
    <row r="87" spans="1:10" x14ac:dyDescent="0.25">
      <c r="A87" s="1">
        <f t="shared" si="21"/>
        <v>4</v>
      </c>
      <c r="B87" s="4">
        <f t="shared" si="22"/>
        <v>8.4521459917255921</v>
      </c>
      <c r="C87" s="1">
        <f t="shared" si="23"/>
        <v>-4.3082743801384131</v>
      </c>
      <c r="H87" s="1">
        <f t="shared" si="24"/>
        <v>4</v>
      </c>
      <c r="I87" s="4">
        <f t="shared" si="25"/>
        <v>-4.3082743801384131</v>
      </c>
      <c r="J87" s="1">
        <f t="shared" si="26"/>
        <v>-8.4521459917255921</v>
      </c>
    </row>
    <row r="88" spans="1:10" x14ac:dyDescent="0.25">
      <c r="A88" s="1">
        <f t="shared" si="21"/>
        <v>5</v>
      </c>
      <c r="B88" s="4">
        <f t="shared" si="22"/>
        <v>9.3466814214635203</v>
      </c>
      <c r="C88" s="1">
        <f t="shared" si="23"/>
        <v>1.6246680909246241</v>
      </c>
      <c r="H88" s="1">
        <f t="shared" si="24"/>
        <v>5</v>
      </c>
      <c r="I88" s="4">
        <f t="shared" si="25"/>
        <v>-4.3082743801384131</v>
      </c>
      <c r="J88" s="1">
        <f t="shared" si="26"/>
        <v>-8.4521459917255921</v>
      </c>
    </row>
    <row r="89" spans="1:10" x14ac:dyDescent="0.25">
      <c r="A89" s="1">
        <f t="shared" si="21"/>
        <v>6</v>
      </c>
      <c r="B89" s="4">
        <f t="shared" si="22"/>
        <v>-2.5192035206625536</v>
      </c>
      <c r="C89" s="1">
        <f t="shared" si="23"/>
        <v>3.4137389504004836</v>
      </c>
      <c r="H89" s="1">
        <f t="shared" si="24"/>
        <v>6</v>
      </c>
      <c r="I89" s="4">
        <f t="shared" si="25"/>
        <v>-4.3082743801384131</v>
      </c>
      <c r="J89" s="1">
        <f t="shared" si="26"/>
        <v>-8.4521459917255921</v>
      </c>
    </row>
    <row r="90" spans="1:10" x14ac:dyDescent="0.25">
      <c r="A90" s="1">
        <f t="shared" si="21"/>
        <v>7</v>
      </c>
      <c r="B90" s="4">
        <f t="shared" si="22"/>
        <v>-4.3082743801384131</v>
      </c>
      <c r="C90" s="1">
        <f t="shared" si="23"/>
        <v>-8.4521459917255921</v>
      </c>
      <c r="H90" s="1">
        <f t="shared" si="24"/>
        <v>7</v>
      </c>
      <c r="I90" s="4">
        <f t="shared" si="25"/>
        <v>-4.3082743801384131</v>
      </c>
      <c r="J90" s="1">
        <f t="shared" si="26"/>
        <v>-8.4521459917255921</v>
      </c>
    </row>
    <row r="91" spans="1:10" x14ac:dyDescent="0.25">
      <c r="A91" s="1">
        <f t="shared" si="21"/>
        <v>8</v>
      </c>
      <c r="B91" s="4">
        <f t="shared" si="22"/>
        <v>-4.3082743801384131</v>
      </c>
      <c r="C91" s="1">
        <f t="shared" si="23"/>
        <v>-8.4521459917255921</v>
      </c>
      <c r="H91" s="1">
        <f t="shared" si="24"/>
        <v>8</v>
      </c>
      <c r="I91" s="4">
        <f t="shared" si="25"/>
        <v>-3.4137389504004836</v>
      </c>
      <c r="J91" s="1">
        <f t="shared" si="26"/>
        <v>-2.5192035206625554</v>
      </c>
    </row>
    <row r="92" spans="1:10" x14ac:dyDescent="0.25">
      <c r="A92" s="1">
        <f t="shared" si="21"/>
        <v>9</v>
      </c>
      <c r="B92" s="4">
        <f t="shared" si="22"/>
        <v>-4.3082743801384131</v>
      </c>
      <c r="C92" s="1">
        <f t="shared" si="23"/>
        <v>-8.4521459917255921</v>
      </c>
      <c r="H92" s="1">
        <f t="shared" si="24"/>
        <v>9</v>
      </c>
      <c r="I92" s="4">
        <f t="shared" si="25"/>
        <v>-4.3082743801384131</v>
      </c>
      <c r="J92" s="1">
        <f t="shared" si="26"/>
        <v>-8.4521459917255921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-2.6014049049381711</v>
      </c>
      <c r="C110" s="1">
        <f>(-1*B95*SIN($B$64))+(C95*COS($B$64))</f>
        <v>-7.1925442313943142</v>
      </c>
      <c r="D110" t="str">
        <f t="shared" ref="D110" si="31">D95</f>
        <v>y</v>
      </c>
      <c r="E110" s="4">
        <f t="shared" ref="E110:E121" si="32">IF($D110="y",$B$125-C110,0)</f>
        <v>7.855020686572165</v>
      </c>
      <c r="F110" s="1">
        <f>IF($D110="y",B110,NA())</f>
        <v>-2.6014049049381711</v>
      </c>
      <c r="G110" s="1">
        <f>IF($D110="y",C110,NA())</f>
        <v>-7.1925442313943142</v>
      </c>
      <c r="H110">
        <f t="shared" ref="H110:H121" si="33">IF($E$122=0,0,-1*MAX(($B$67/$E$122)*(E110),0))</f>
        <v>-541.78018293000162</v>
      </c>
      <c r="I110">
        <f>H110*C110</f>
        <v>3896.7779294169395</v>
      </c>
      <c r="J110">
        <f>H110*B110*-1</f>
        <v>-1409.3896252724057</v>
      </c>
      <c r="K110">
        <f ca="1">H110/$B$55</f>
        <v>-3818.0737937916506</v>
      </c>
      <c r="L110">
        <f ca="1">K110/$B$54</f>
        <v>-0.13165771702729831</v>
      </c>
      <c r="M110">
        <f t="shared" ref="M110:M121" si="34">IFERROR(($D$66/$B$65)*(G110-$B$125),0)</f>
        <v>-0.13165771507449875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0.36506633059334725</v>
      </c>
      <c r="C111" s="1">
        <f t="shared" ref="C111:C121" si="37">(-1*B96*SIN($B$64))+(C96*COS($B$64))</f>
        <v>-7.6398119462632783</v>
      </c>
      <c r="D111" t="str">
        <f t="shared" si="35"/>
        <v>y</v>
      </c>
      <c r="E111" s="4">
        <f t="shared" si="32"/>
        <v>8.3022884014411282</v>
      </c>
      <c r="F111" s="1">
        <f t="shared" ref="F111:G121" si="38">IF($D111="y",B111,NA())</f>
        <v>0.36506633059334725</v>
      </c>
      <c r="G111" s="1">
        <f t="shared" si="38"/>
        <v>-7.6398119462632783</v>
      </c>
      <c r="H111">
        <f t="shared" si="33"/>
        <v>-572.62934221924797</v>
      </c>
      <c r="I111">
        <f t="shared" ref="I111:I121" si="39">H111*C111</f>
        <v>4374.7804894674937</v>
      </c>
      <c r="J111">
        <f t="shared" ref="J111:J121" si="40">H111*B111*-1</f>
        <v>209.04769275406295</v>
      </c>
      <c r="K111">
        <f ca="1">H111/$B$55</f>
        <v>-4035.4762945730304</v>
      </c>
      <c r="L111">
        <f t="shared" ref="L111:L121" ca="1" si="41">K111/$B$54</f>
        <v>-0.1391543549852769</v>
      </c>
      <c r="M111">
        <f t="shared" si="34"/>
        <v>-0.13915435292128425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7.1925442313943142</v>
      </c>
      <c r="C112" s="1">
        <f t="shared" si="37"/>
        <v>-2.6014049049381711</v>
      </c>
      <c r="D112" t="str">
        <f t="shared" si="35"/>
        <v>y</v>
      </c>
      <c r="E112" s="4">
        <f t="shared" si="32"/>
        <v>3.2638813601160219</v>
      </c>
      <c r="F112" s="1">
        <f t="shared" si="38"/>
        <v>7.1925442313943142</v>
      </c>
      <c r="G112" s="1">
        <f t="shared" si="38"/>
        <v>-2.6014049049381711</v>
      </c>
      <c r="H112">
        <f t="shared" si="33"/>
        <v>-225.11796097091477</v>
      </c>
      <c r="I112">
        <f t="shared" si="39"/>
        <v>585.62296785941749</v>
      </c>
      <c r="J112">
        <f t="shared" si="40"/>
        <v>1619.1708915646034</v>
      </c>
      <c r="K112">
        <f t="shared" ref="K112:K121" ca="1" si="45">H112/$B$55</f>
        <v>-1586.468118207106</v>
      </c>
      <c r="L112">
        <f t="shared" ca="1" si="41"/>
        <v>-5.4705797179555378E-2</v>
      </c>
      <c r="M112">
        <f t="shared" si="34"/>
        <v>-5.4705796368137265E-2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7.6398119462632783</v>
      </c>
      <c r="C113" s="1">
        <f t="shared" si="37"/>
        <v>0.36506633059334725</v>
      </c>
      <c r="D113" t="str">
        <f t="shared" si="35"/>
        <v>y</v>
      </c>
      <c r="E113" s="4">
        <f t="shared" si="32"/>
        <v>0.29741012458450355</v>
      </c>
      <c r="F113" s="1">
        <f t="shared" si="38"/>
        <v>7.6398119462632783</v>
      </c>
      <c r="G113" s="1">
        <f t="shared" si="38"/>
        <v>0.36506633059334725</v>
      </c>
      <c r="H113">
        <f t="shared" si="33"/>
        <v>-20.513111057501551</v>
      </c>
      <c r="I113">
        <f t="shared" si="39"/>
        <v>-7.4886461828159083</v>
      </c>
      <c r="J113">
        <f t="shared" si="40"/>
        <v>156.71631091212569</v>
      </c>
      <c r="K113">
        <f t="shared" ca="1" si="45"/>
        <v>-144.56152924276205</v>
      </c>
      <c r="L113">
        <f t="shared" ca="1" si="41"/>
        <v>-4.9848803187159327E-3</v>
      </c>
      <c r="M113">
        <f t="shared" si="34"/>
        <v>-4.9848802447782078E-3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-4.3082743801384131</v>
      </c>
      <c r="C114" s="1">
        <f t="shared" si="37"/>
        <v>-8.4521459917255921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-4.3082743801384131</v>
      </c>
      <c r="C115" s="1">
        <f t="shared" si="37"/>
        <v>-8.4521459917255921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-4.3082743801384131</v>
      </c>
      <c r="C116" s="1">
        <f t="shared" si="37"/>
        <v>-8.4521459917255921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-4.3082743801384131</v>
      </c>
      <c r="C117" s="1">
        <f t="shared" si="37"/>
        <v>-8.4521459917255921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-4.3082743801384131</v>
      </c>
      <c r="C118" s="1">
        <f t="shared" si="37"/>
        <v>-8.4521459917255921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-4.3082743801384131</v>
      </c>
      <c r="C119" s="1">
        <f t="shared" si="37"/>
        <v>-8.4521459917255921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-4.3082743801384131</v>
      </c>
      <c r="C120" s="1">
        <f t="shared" si="37"/>
        <v>-8.4521459917255921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-4.3082743801384131</v>
      </c>
      <c r="C121" s="1">
        <f t="shared" si="37"/>
        <v>-8.4521459917255921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8.3022884014411282</v>
      </c>
      <c r="H122">
        <f>SUM(H110:H121)</f>
        <v>-1360.0405971776659</v>
      </c>
      <c r="I122">
        <f t="shared" ref="I122:J122" si="46">SUM(I110:I121)</f>
        <v>8849.692740561035</v>
      </c>
      <c r="J122">
        <f t="shared" si="46"/>
        <v>575.54526995838637</v>
      </c>
      <c r="L122">
        <f ca="1">MIN(L110:L121)</f>
        <v>-0.1391543549852769</v>
      </c>
      <c r="M122">
        <f>MIN(M110:M121)</f>
        <v>-0.13915435292128425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0.66247645517785081</v>
      </c>
      <c r="F125" s="1" t="s">
        <v>27</v>
      </c>
      <c r="G125" s="1" t="s">
        <v>28</v>
      </c>
    </row>
    <row r="126" spans="1:16" x14ac:dyDescent="0.25">
      <c r="F126" s="4">
        <f>MIN(B84:B90)-1</f>
        <v>-5.3082743801384131</v>
      </c>
      <c r="G126" s="4">
        <f>B125</f>
        <v>0.66247645517785081</v>
      </c>
    </row>
    <row r="127" spans="1:16" x14ac:dyDescent="0.25">
      <c r="F127" s="4">
        <f>MAX(B84:B90)+1</f>
        <v>10.34668142146352</v>
      </c>
      <c r="G127" s="4">
        <f>G126</f>
        <v>0.66247645517785081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-4.3082743801384131</v>
      </c>
      <c r="C132" s="4">
        <f>C84</f>
        <v>-8.4521459917255921</v>
      </c>
      <c r="D132" s="4">
        <f t="shared" ref="D132:E139" si="47">B85</f>
        <v>1.6246680909246241</v>
      </c>
      <c r="E132" s="4">
        <f t="shared" si="47"/>
        <v>-9.3466814214635203</v>
      </c>
      <c r="F132" s="4">
        <f t="shared" ref="F132:F139" si="48">($B$66/$B$65)*(C132-$B$125)</f>
        <v>-590.4863522027681</v>
      </c>
      <c r="G132" s="4">
        <f t="shared" ref="G132:G139" si="49">($B$66/$B$65)*(E132-$B$125)</f>
        <v>-648.43839200465106</v>
      </c>
      <c r="H132" s="4">
        <f>IF(B132=D132,"V",(C132-E132)/(B132-D132))</f>
        <v>-0.15077433062951132</v>
      </c>
      <c r="I132" s="4">
        <f>IF(H132="V",0,(-1*B132*H132)+C132)</f>
        <v>-9.1017231775592347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1.6246680909246241</v>
      </c>
      <c r="C133" s="4">
        <f t="shared" si="50"/>
        <v>-9.3466814214635203</v>
      </c>
      <c r="D133" s="4">
        <f t="shared" si="47"/>
        <v>2.5192035206625536</v>
      </c>
      <c r="E133" s="4">
        <f t="shared" si="47"/>
        <v>-3.4137389504004836</v>
      </c>
      <c r="F133" s="4">
        <f t="shared" si="48"/>
        <v>-648.43839200465106</v>
      </c>
      <c r="G133" s="4">
        <f t="shared" si="49"/>
        <v>-264.07561911139862</v>
      </c>
      <c r="H133" s="4">
        <f t="shared" ref="H133:H139" si="51">IF(B133=D133,"V",(C133-E133)/(B133-D133))</f>
        <v>6.6324287153178494</v>
      </c>
      <c r="I133" s="4">
        <f t="shared" ref="I133:I139" si="52">IF(H133="V",0,(-1*B133*H133)+C133)</f>
        <v>-20.122176720572625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2.5192035206625536</v>
      </c>
      <c r="C134" s="4">
        <f t="shared" si="50"/>
        <v>-3.4137389504004836</v>
      </c>
      <c r="D134" s="4">
        <f t="shared" si="47"/>
        <v>8.4521459917255921</v>
      </c>
      <c r="E134" s="4">
        <f t="shared" si="47"/>
        <v>-4.3082743801384131</v>
      </c>
      <c r="F134" s="4">
        <f t="shared" si="48"/>
        <v>-264.07561911139862</v>
      </c>
      <c r="G134" s="4">
        <f t="shared" si="49"/>
        <v>-322.0276589132817</v>
      </c>
      <c r="H134" s="4">
        <f t="shared" si="51"/>
        <v>-0.15077433062951151</v>
      </c>
      <c r="I134" s="4">
        <f t="shared" si="52"/>
        <v>-3.0339077258530782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8.4521459917255921</v>
      </c>
      <c r="C135" s="4">
        <f t="shared" si="50"/>
        <v>-4.3082743801384131</v>
      </c>
      <c r="D135" s="4">
        <f t="shared" si="47"/>
        <v>9.3466814214635203</v>
      </c>
      <c r="E135" s="4">
        <f t="shared" si="47"/>
        <v>1.6246680909246241</v>
      </c>
      <c r="F135" s="4">
        <f t="shared" si="48"/>
        <v>-322.0276589132817</v>
      </c>
      <c r="G135" s="4">
        <f t="shared" si="49"/>
        <v>62.335113979970821</v>
      </c>
      <c r="H135" s="4">
        <f t="shared" si="51"/>
        <v>6.63242871531786</v>
      </c>
      <c r="I135" s="4">
        <f t="shared" si="52"/>
        <v>-60.366530161717982</v>
      </c>
      <c r="J135" s="4">
        <f t="shared" si="53"/>
        <v>9.2016076216464864</v>
      </c>
      <c r="K135" s="4">
        <f t="shared" si="54"/>
        <v>0.66247645517785081</v>
      </c>
      <c r="L135" s="4">
        <f t="shared" si="55"/>
        <v>9.3466814214635203</v>
      </c>
      <c r="M135" s="4">
        <f t="shared" si="56"/>
        <v>1.6246680909246241</v>
      </c>
      <c r="N135" s="4">
        <f t="shared" si="57"/>
        <v>0</v>
      </c>
      <c r="O135" s="4">
        <f t="shared" si="57"/>
        <v>62.335113979970821</v>
      </c>
      <c r="P135" s="4">
        <f t="shared" si="58"/>
        <v>278.84893538924422</v>
      </c>
      <c r="Q135" s="4">
        <f t="shared" si="59"/>
        <v>363.83416037733252</v>
      </c>
      <c r="R135" s="4">
        <f t="shared" si="60"/>
        <v>-1296.431335130522</v>
      </c>
    </row>
    <row r="136" spans="1:18" x14ac:dyDescent="0.25">
      <c r="A136" t="s">
        <v>73</v>
      </c>
      <c r="B136" s="4">
        <f t="shared" si="50"/>
        <v>9.3466814214635203</v>
      </c>
      <c r="C136" s="4">
        <f t="shared" si="50"/>
        <v>1.6246680909246241</v>
      </c>
      <c r="D136" s="4">
        <f t="shared" si="47"/>
        <v>-2.5192035206625536</v>
      </c>
      <c r="E136" s="4">
        <f t="shared" si="47"/>
        <v>3.4137389504004836</v>
      </c>
      <c r="F136" s="4">
        <f t="shared" si="48"/>
        <v>62.335113979970821</v>
      </c>
      <c r="G136" s="4">
        <f t="shared" si="49"/>
        <v>178.23919358373706</v>
      </c>
      <c r="H136" s="4">
        <f t="shared" si="51"/>
        <v>-0.15077433062951157</v>
      </c>
      <c r="I136" s="4">
        <f t="shared" si="52"/>
        <v>3.0339077258530782</v>
      </c>
      <c r="J136" s="4">
        <f t="shared" si="53"/>
        <v>9.3466814214635203</v>
      </c>
      <c r="K136" s="4">
        <f t="shared" si="54"/>
        <v>1.6246680909246241</v>
      </c>
      <c r="L136" s="4">
        <f t="shared" si="55"/>
        <v>-2.5192035206625536</v>
      </c>
      <c r="M136" s="4">
        <f t="shared" si="56"/>
        <v>3.4137389504004836</v>
      </c>
      <c r="N136" s="4">
        <f t="shared" si="57"/>
        <v>62.335113979970821</v>
      </c>
      <c r="O136" s="4">
        <f t="shared" si="57"/>
        <v>178.23919358373706</v>
      </c>
      <c r="P136" s="4">
        <f t="shared" si="58"/>
        <v>529.6011780835903</v>
      </c>
      <c r="Q136" s="4">
        <f t="shared" si="59"/>
        <v>1059.0006298203302</v>
      </c>
      <c r="R136" s="4">
        <f t="shared" si="60"/>
        <v>-1816.4911550307072</v>
      </c>
    </row>
    <row r="137" spans="1:18" x14ac:dyDescent="0.25">
      <c r="A137" t="s">
        <v>74</v>
      </c>
      <c r="B137" s="4">
        <f t="shared" si="50"/>
        <v>-2.5192035206625536</v>
      </c>
      <c r="C137" s="4">
        <f t="shared" si="50"/>
        <v>3.4137389504004836</v>
      </c>
      <c r="D137" s="4">
        <f t="shared" si="47"/>
        <v>-4.3082743801384131</v>
      </c>
      <c r="E137" s="4">
        <f t="shared" si="47"/>
        <v>-8.4521459917255921</v>
      </c>
      <c r="F137" s="4">
        <f t="shared" si="48"/>
        <v>178.23919358373706</v>
      </c>
      <c r="G137" s="4">
        <f t="shared" si="49"/>
        <v>-590.4863522027681</v>
      </c>
      <c r="H137" s="4">
        <f t="shared" si="51"/>
        <v>6.6324287153178494</v>
      </c>
      <c r="I137" s="4">
        <f t="shared" si="52"/>
        <v>20.122176720572625</v>
      </c>
      <c r="J137" s="4">
        <f t="shared" si="53"/>
        <v>-2.5192035206625536</v>
      </c>
      <c r="K137" s="4">
        <f t="shared" si="54"/>
        <v>3.4137389504004836</v>
      </c>
      <c r="L137" s="4">
        <f t="shared" si="55"/>
        <v>-2.9340232817658252</v>
      </c>
      <c r="M137" s="4">
        <f t="shared" si="56"/>
        <v>0.66247645517785081</v>
      </c>
      <c r="N137" s="4">
        <f t="shared" si="57"/>
        <v>178.23919358373706</v>
      </c>
      <c r="O137" s="4">
        <f t="shared" si="57"/>
        <v>0</v>
      </c>
      <c r="P137" s="4">
        <f t="shared" si="58"/>
        <v>651.59046204893127</v>
      </c>
      <c r="Q137" s="4">
        <f t="shared" si="59"/>
        <v>1611.248074959416</v>
      </c>
      <c r="R137" s="4">
        <f t="shared" si="60"/>
        <v>866.96524346116701</v>
      </c>
    </row>
    <row r="138" spans="1:18" x14ac:dyDescent="0.25">
      <c r="A138" t="s">
        <v>75</v>
      </c>
      <c r="B138" s="4">
        <f t="shared" si="50"/>
        <v>-4.3082743801384131</v>
      </c>
      <c r="C138" s="4">
        <f t="shared" si="50"/>
        <v>-8.4521459917255921</v>
      </c>
      <c r="D138" s="4">
        <f t="shared" si="47"/>
        <v>-4.3082743801384131</v>
      </c>
      <c r="E138" s="4">
        <f t="shared" si="47"/>
        <v>-8.4521459917255921</v>
      </c>
      <c r="F138" s="4">
        <f t="shared" si="48"/>
        <v>-590.4863522027681</v>
      </c>
      <c r="G138" s="4">
        <f t="shared" si="49"/>
        <v>-590.4863522027681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-4.3082743801384131</v>
      </c>
      <c r="C139" s="4">
        <f>E138</f>
        <v>-8.4521459917255921</v>
      </c>
      <c r="D139" s="4">
        <f t="shared" si="47"/>
        <v>-4.3082743801384131</v>
      </c>
      <c r="E139" s="4">
        <f t="shared" si="47"/>
        <v>-8.4521459917255921</v>
      </c>
      <c r="F139" s="4">
        <f t="shared" si="48"/>
        <v>-590.4863522027681</v>
      </c>
      <c r="G139" s="4">
        <f t="shared" si="49"/>
        <v>-590.4863522027681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1460.0405755217657</v>
      </c>
      <c r="Q140" s="4">
        <f>SUM(Q132:Q139)</f>
        <v>3034.0828651570787</v>
      </c>
      <c r="R140" s="4">
        <f>SUM(R132:R139)</f>
        <v>-2245.9572467000621</v>
      </c>
    </row>
    <row r="142" spans="1:18" x14ac:dyDescent="0.25">
      <c r="O142" t="s">
        <v>96</v>
      </c>
      <c r="P142" s="1">
        <f>-1*R140/P140</f>
        <v>1.5382841301499024</v>
      </c>
    </row>
    <row r="143" spans="1:18" x14ac:dyDescent="0.25">
      <c r="O143" t="s">
        <v>97</v>
      </c>
      <c r="P143" s="1">
        <f>Q140/P140</f>
        <v>2.0780811958412917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-4.3082743801384131</v>
      </c>
      <c r="C146" s="9">
        <f>J84</f>
        <v>-8.4521459917255921</v>
      </c>
      <c r="D146" s="9">
        <f t="shared" ref="D146:E153" si="61">I85</f>
        <v>-4.3082743801384131</v>
      </c>
      <c r="E146">
        <f t="shared" si="61"/>
        <v>-8.4521459917255921</v>
      </c>
      <c r="F146" s="4">
        <f>($B$66/$B$65)*(C146-$B$125)</f>
        <v>-590.4863522027681</v>
      </c>
      <c r="G146" s="4">
        <f>($B$66/$B$65)*(E146-$B$125)</f>
        <v>-590.4863522027681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-4.3082743801384131</v>
      </c>
      <c r="C147">
        <f t="shared" si="62"/>
        <v>-8.4521459917255921</v>
      </c>
      <c r="D147" s="9">
        <f t="shared" si="61"/>
        <v>-4.3082743801384131</v>
      </c>
      <c r="E147">
        <f t="shared" si="61"/>
        <v>-8.4521459917255921</v>
      </c>
      <c r="F147" s="4">
        <f t="shared" ref="F147:F153" si="63">($B$66/$B$65)*(C147-$B$125)</f>
        <v>-590.4863522027681</v>
      </c>
      <c r="G147" s="4">
        <f t="shared" ref="G147:G153" si="64">($B$66/$B$65)*(E147-$B$125)</f>
        <v>-590.4863522027681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-4.3082743801384131</v>
      </c>
      <c r="C148">
        <f t="shared" si="62"/>
        <v>-8.4521459917255921</v>
      </c>
      <c r="D148" s="9">
        <f t="shared" si="61"/>
        <v>-4.3082743801384131</v>
      </c>
      <c r="E148">
        <f t="shared" si="61"/>
        <v>-8.4521459917255921</v>
      </c>
      <c r="F148" s="4">
        <f t="shared" si="63"/>
        <v>-590.4863522027681</v>
      </c>
      <c r="G148" s="4">
        <f t="shared" si="64"/>
        <v>-590.4863522027681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-4.3082743801384131</v>
      </c>
      <c r="C149">
        <f t="shared" si="62"/>
        <v>-8.4521459917255921</v>
      </c>
      <c r="D149" s="9">
        <f t="shared" si="61"/>
        <v>-4.3082743801384131</v>
      </c>
      <c r="E149">
        <f t="shared" si="61"/>
        <v>-8.4521459917255921</v>
      </c>
      <c r="F149" s="4">
        <f t="shared" si="63"/>
        <v>-590.4863522027681</v>
      </c>
      <c r="G149" s="4">
        <f t="shared" si="64"/>
        <v>-590.4863522027681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-4.3082743801384131</v>
      </c>
      <c r="C150">
        <f t="shared" si="62"/>
        <v>-8.4521459917255921</v>
      </c>
      <c r="D150" s="9">
        <f t="shared" si="61"/>
        <v>-4.3082743801384131</v>
      </c>
      <c r="E150">
        <f t="shared" si="61"/>
        <v>-8.4521459917255921</v>
      </c>
      <c r="F150" s="4">
        <f t="shared" si="63"/>
        <v>-590.4863522027681</v>
      </c>
      <c r="G150" s="4">
        <f t="shared" si="64"/>
        <v>-590.4863522027681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-4.3082743801384131</v>
      </c>
      <c r="C151">
        <f t="shared" si="62"/>
        <v>-8.4521459917255921</v>
      </c>
      <c r="D151" s="9">
        <f t="shared" si="61"/>
        <v>-4.3082743801384131</v>
      </c>
      <c r="E151">
        <f t="shared" si="61"/>
        <v>-8.4521459917255921</v>
      </c>
      <c r="F151" s="4">
        <f t="shared" si="63"/>
        <v>-590.4863522027681</v>
      </c>
      <c r="G151" s="4">
        <f t="shared" si="64"/>
        <v>-590.4863522027681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-4.3082743801384131</v>
      </c>
      <c r="C152">
        <f t="shared" si="62"/>
        <v>-8.4521459917255921</v>
      </c>
      <c r="D152" s="9">
        <f t="shared" si="61"/>
        <v>-3.4137389504004836</v>
      </c>
      <c r="E152">
        <f t="shared" si="61"/>
        <v>-2.5192035206625554</v>
      </c>
      <c r="F152" s="4">
        <f t="shared" si="63"/>
        <v>-590.4863522027681</v>
      </c>
      <c r="G152" s="4">
        <f t="shared" si="64"/>
        <v>-206.12357930951558</v>
      </c>
      <c r="H152" s="4">
        <f t="shared" si="65"/>
        <v>6.6324287153178494</v>
      </c>
      <c r="I152" s="4">
        <f t="shared" si="66"/>
        <v>20.122176720572625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-3.4137389504004836</v>
      </c>
      <c r="C153">
        <f t="shared" si="62"/>
        <v>-2.5192035206625554</v>
      </c>
      <c r="D153" s="9">
        <f t="shared" si="61"/>
        <v>-4.3082743801384131</v>
      </c>
      <c r="E153">
        <f t="shared" si="61"/>
        <v>-8.4521459917255921</v>
      </c>
      <c r="F153" s="4">
        <f t="shared" si="63"/>
        <v>-206.12357930951558</v>
      </c>
      <c r="G153" s="4">
        <f t="shared" si="64"/>
        <v>-590.4863522027681</v>
      </c>
      <c r="H153" s="4">
        <f t="shared" si="65"/>
        <v>6.6324287153178494</v>
      </c>
      <c r="I153" s="4">
        <f t="shared" si="66"/>
        <v>20.122176720572629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99.999978344099873</v>
      </c>
      <c r="C159" t="s">
        <v>36</v>
      </c>
    </row>
    <row r="160" spans="1:18" x14ac:dyDescent="0.25">
      <c r="A160" s="1" t="s">
        <v>106</v>
      </c>
      <c r="B160" s="4">
        <f>Q140+I122+Q154-O122</f>
        <v>11883.775605718114</v>
      </c>
      <c r="C160" t="s">
        <v>102</v>
      </c>
    </row>
    <row r="161" spans="1:9" x14ac:dyDescent="0.25">
      <c r="A161" s="1" t="s">
        <v>107</v>
      </c>
      <c r="B161" s="4">
        <f>R140+J122+R154-P122</f>
        <v>-1670.4119767416757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99.999978344099873</v>
      </c>
      <c r="C164" t="s">
        <v>36</v>
      </c>
      <c r="E164" s="8">
        <f>B2-B164</f>
        <v>2.1655900127370842E-5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11999.999950533645</v>
      </c>
      <c r="C165" t="s">
        <v>102</v>
      </c>
      <c r="E165" s="8">
        <f>B3+B165</f>
        <v>-4.9466354539617896E-5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120.00002623118826</v>
      </c>
      <c r="C166" t="s">
        <v>102</v>
      </c>
      <c r="E166" s="8">
        <f>B4+B166</f>
        <v>2.6231188257952454E-5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178.23919358373706</v>
      </c>
      <c r="B169" s="1">
        <f ca="1">IF(E122=0,0,(MIN(H110:H121)*B65)/(B55*B56*E122))</f>
        <v>-178.2391962274516</v>
      </c>
      <c r="C169" s="3">
        <f ca="1">A169+B169</f>
        <v>-2.6437145379532012E-6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-9.097507275884107E-8</v>
      </c>
      <c r="C175" s="27">
        <f>B65*SQRT(I175)</f>
        <v>4.0807817509346258E-8</v>
      </c>
      <c r="D175" s="27">
        <f>B66*SQRT(I175)</f>
        <v>2.6437144755937234E-6</v>
      </c>
      <c r="E175" s="27">
        <f>B67*SQRT(I175)</f>
        <v>8.4934657228659421E-6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-6.1335382451344822</v>
      </c>
      <c r="C176" s="3">
        <f>B65+C175</f>
        <v>2.7512625360304503</v>
      </c>
      <c r="D176" s="3">
        <f>D175+B66</f>
        <v>178.23919622745154</v>
      </c>
      <c r="E176" s="3">
        <f>B67+E175</f>
        <v>572.62935071271374</v>
      </c>
      <c r="F176" s="16" t="s">
        <v>125</v>
      </c>
    </row>
    <row r="177" spans="1:13" x14ac:dyDescent="0.25">
      <c r="B177" s="27">
        <f>B176-B64</f>
        <v>-9.09750728084191E-8</v>
      </c>
      <c r="C177" s="27">
        <f>C176-B65</f>
        <v>4.0807817569543658E-8</v>
      </c>
      <c r="D177" s="27">
        <f>D176-B66</f>
        <v>2.6437144811097824E-6</v>
      </c>
      <c r="E177" s="27">
        <f>E176-B67</f>
        <v>8.4934657706980943E-6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-8.1914675888450379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-9.3466814202771396</v>
      </c>
      <c r="B181" s="25">
        <f>(d_alpha_p!E136-d_alpha_m!E136)/(2*B177)</f>
        <v>2.5192035247968185</v>
      </c>
      <c r="C181" s="25">
        <f>(d_alpha_p!E137-d_alpha_m!E137)/(2*B177)</f>
        <v>4.3082743719038623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-2.1655900127370842E-5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4.9466354539617896E-5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-2.6231188257952454E-5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2.6437145379532012E-6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-8.1914675888450379</v>
      </c>
      <c r="B190" s="25">
        <f>A181</f>
        <v>-9.3466814202771396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2.5192035247968185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4.3082743719038623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-8.1914675888450379</v>
      </c>
      <c r="B201" s="25">
        <f t="shared" ref="B201:C201" si="77">B190</f>
        <v>-9.3466814202771396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2.5192035247968185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4.3082743719038623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-12000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-47.61904761904762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-3.131592986903128</v>
      </c>
      <c r="C5" t="s">
        <v>19</v>
      </c>
      <c r="I5">
        <f>SUM(I2:I4)</f>
        <v>-47.06349206349207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-47.61904761904762</v>
      </c>
      <c r="AB14">
        <f>$B$4/Z14</f>
        <v>-0.12345679012345678</v>
      </c>
      <c r="AC14">
        <f>$I$2+AA14+AB14</f>
        <v>-46.816578483245152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-15.873015873015873</v>
      </c>
      <c r="AB15">
        <f t="shared" ref="AB15:AB21" si="11">$B$4/Z15</f>
        <v>-0.12345679012345678</v>
      </c>
      <c r="AC15">
        <f t="shared" ref="AC15:AC20" si="12">$I$2+AA15+AB15</f>
        <v>-15.070546737213405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-15.873015873015873</v>
      </c>
      <c r="AB16">
        <f t="shared" si="11"/>
        <v>-0.37037037037037035</v>
      </c>
      <c r="AC16">
        <f t="shared" si="12"/>
        <v>-15.317460317460318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15.873015873015873</v>
      </c>
      <c r="AB17">
        <f t="shared" si="11"/>
        <v>-0.37037037037037035</v>
      </c>
      <c r="AC17">
        <f t="shared" si="12"/>
        <v>16.428571428571431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15.873015873015873</v>
      </c>
      <c r="AB18">
        <f t="shared" si="11"/>
        <v>0.12345679012345678</v>
      </c>
      <c r="AC18">
        <f t="shared" si="12"/>
        <v>16.922398589065256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-47.61904761904762</v>
      </c>
      <c r="AB19">
        <f t="shared" si="11"/>
        <v>0.12345679012345678</v>
      </c>
      <c r="AC19">
        <f t="shared" si="12"/>
        <v>-46.569664902998241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-47.61904761904762</v>
      </c>
      <c r="AB20">
        <f t="shared" si="11"/>
        <v>0.12345679012345678</v>
      </c>
      <c r="AC20">
        <f t="shared" si="12"/>
        <v>-46.569664902998241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5.9999999999999982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-6.1335382451344822</v>
      </c>
      <c r="C64" t="s">
        <v>19</v>
      </c>
      <c r="D64" t="s">
        <v>34</v>
      </c>
      <c r="H64" s="17">
        <f>DEGREES(B64)</f>
        <v>-351.42585492828317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2.7512624952226328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178.23919622745157</v>
      </c>
      <c r="C66" t="s">
        <v>11</v>
      </c>
      <c r="D66">
        <f>B66/B53</f>
        <v>4.6113810964629097E-2</v>
      </c>
      <c r="I66" s="20"/>
    </row>
    <row r="67" spans="1:18" x14ac:dyDescent="0.25">
      <c r="A67" s="1" t="s">
        <v>37</v>
      </c>
      <c r="B67" s="17">
        <f>'Rigid Bearing Plate Analysis'!B67</f>
        <v>572.62934221924797</v>
      </c>
      <c r="C67" t="s">
        <v>36</v>
      </c>
      <c r="D67" t="s">
        <v>122</v>
      </c>
      <c r="G67" s="20">
        <f ca="1">($B$56*$B$66*$B$55*$E$122)/$B$65</f>
        <v>572.62932412109876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-10.346681273659183</v>
      </c>
      <c r="R76">
        <f>Q76</f>
        <v>-10.346681273659183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10.346681273659183</v>
      </c>
      <c r="R77">
        <f>Q77</f>
        <v>10.346681273659183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-3.0000000000000018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-4.3082736112037985</v>
      </c>
      <c r="C84" s="1">
        <f t="shared" ref="C84:C92" si="23">(-1*B73*SIN($B$64))+(C73*COS($B$64))</f>
        <v>-8.4521463836711312</v>
      </c>
      <c r="H84" s="1">
        <f t="shared" ref="H84:H92" si="24">H73</f>
        <v>1</v>
      </c>
      <c r="I84" s="4">
        <f>(I73*COS($B$64))+(J73*SIN($B$64))</f>
        <v>-4.3082736112037985</v>
      </c>
      <c r="J84" s="1">
        <f>(-1*I73*SIN($B$64))+(J73*COS($B$64))</f>
        <v>-8.4521463836711312</v>
      </c>
    </row>
    <row r="85" spans="1:10" x14ac:dyDescent="0.25">
      <c r="A85" s="1">
        <f t="shared" si="21"/>
        <v>2</v>
      </c>
      <c r="B85" s="4">
        <f t="shared" si="22"/>
        <v>1.62466894123964</v>
      </c>
      <c r="C85" s="1">
        <f t="shared" si="23"/>
        <v>-9.3466812736591827</v>
      </c>
      <c r="H85" s="1">
        <f t="shared" si="24"/>
        <v>2</v>
      </c>
      <c r="I85" s="4">
        <f t="shared" ref="I85:I92" si="25">(I74*COS($B$64))+(J74*SIN($B$64))</f>
        <v>-4.3082736112037985</v>
      </c>
      <c r="J85" s="1">
        <f t="shared" ref="J85:J92" si="26">(-1*I74*SIN($B$64))+(J74*COS($B$64))</f>
        <v>-8.4521463836711312</v>
      </c>
    </row>
    <row r="86" spans="1:10" x14ac:dyDescent="0.25">
      <c r="A86" s="1">
        <f t="shared" si="21"/>
        <v>3</v>
      </c>
      <c r="B86" s="4">
        <f t="shared" si="22"/>
        <v>2.519203831227693</v>
      </c>
      <c r="C86" s="1">
        <f t="shared" si="23"/>
        <v>-3.4137387212157453</v>
      </c>
      <c r="H86" s="1">
        <f t="shared" si="24"/>
        <v>3</v>
      </c>
      <c r="I86" s="4">
        <f t="shared" si="25"/>
        <v>-4.3082736112037985</v>
      </c>
      <c r="J86" s="1">
        <f t="shared" si="26"/>
        <v>-8.4521463836711312</v>
      </c>
    </row>
    <row r="87" spans="1:10" x14ac:dyDescent="0.25">
      <c r="A87" s="1">
        <f t="shared" si="21"/>
        <v>4</v>
      </c>
      <c r="B87" s="4">
        <f t="shared" si="22"/>
        <v>8.4521463836711312</v>
      </c>
      <c r="C87" s="1">
        <f t="shared" si="23"/>
        <v>-4.3082736112037985</v>
      </c>
      <c r="H87" s="1">
        <f t="shared" si="24"/>
        <v>4</v>
      </c>
      <c r="I87" s="4">
        <f t="shared" si="25"/>
        <v>-4.3082736112037985</v>
      </c>
      <c r="J87" s="1">
        <f t="shared" si="26"/>
        <v>-8.4521463836711312</v>
      </c>
    </row>
    <row r="88" spans="1:10" x14ac:dyDescent="0.25">
      <c r="A88" s="1">
        <f t="shared" si="21"/>
        <v>5</v>
      </c>
      <c r="B88" s="4">
        <f t="shared" si="22"/>
        <v>9.3466812736591827</v>
      </c>
      <c r="C88" s="1">
        <f t="shared" si="23"/>
        <v>1.62466894123964</v>
      </c>
      <c r="H88" s="1">
        <f t="shared" si="24"/>
        <v>5</v>
      </c>
      <c r="I88" s="4">
        <f t="shared" si="25"/>
        <v>-4.3082736112037985</v>
      </c>
      <c r="J88" s="1">
        <f t="shared" si="26"/>
        <v>-8.4521463836711312</v>
      </c>
    </row>
    <row r="89" spans="1:10" x14ac:dyDescent="0.25">
      <c r="A89" s="1">
        <f t="shared" si="21"/>
        <v>6</v>
      </c>
      <c r="B89" s="4">
        <f t="shared" si="22"/>
        <v>-2.519203831227693</v>
      </c>
      <c r="C89" s="1">
        <f t="shared" si="23"/>
        <v>3.4137387212157453</v>
      </c>
      <c r="H89" s="1">
        <f t="shared" si="24"/>
        <v>6</v>
      </c>
      <c r="I89" s="4">
        <f t="shared" si="25"/>
        <v>-4.3082736112037985</v>
      </c>
      <c r="J89" s="1">
        <f t="shared" si="26"/>
        <v>-8.4521463836711312</v>
      </c>
    </row>
    <row r="90" spans="1:10" x14ac:dyDescent="0.25">
      <c r="A90" s="1">
        <f t="shared" si="21"/>
        <v>7</v>
      </c>
      <c r="B90" s="4">
        <f t="shared" si="22"/>
        <v>-4.3082736112037985</v>
      </c>
      <c r="C90" s="1">
        <f t="shared" si="23"/>
        <v>-8.4521463836711312</v>
      </c>
      <c r="H90" s="1">
        <f t="shared" si="24"/>
        <v>7</v>
      </c>
      <c r="I90" s="4">
        <f t="shared" si="25"/>
        <v>-4.3082736112037985</v>
      </c>
      <c r="J90" s="1">
        <f t="shared" si="26"/>
        <v>-8.4521463836711312</v>
      </c>
    </row>
    <row r="91" spans="1:10" x14ac:dyDescent="0.25">
      <c r="A91" s="1">
        <f t="shared" si="21"/>
        <v>8</v>
      </c>
      <c r="B91" s="4">
        <f t="shared" si="22"/>
        <v>-4.3082736112037985</v>
      </c>
      <c r="C91" s="1">
        <f t="shared" si="23"/>
        <v>-8.4521463836711312</v>
      </c>
      <c r="H91" s="1">
        <f t="shared" si="24"/>
        <v>8</v>
      </c>
      <c r="I91" s="4">
        <f t="shared" si="25"/>
        <v>-3.4137387212157457</v>
      </c>
      <c r="J91" s="1">
        <f t="shared" si="26"/>
        <v>-2.5192038312276948</v>
      </c>
    </row>
    <row r="92" spans="1:10" x14ac:dyDescent="0.25">
      <c r="A92" s="1">
        <f t="shared" si="21"/>
        <v>9</v>
      </c>
      <c r="B92" s="4">
        <f t="shared" si="22"/>
        <v>-4.3082736112037985</v>
      </c>
      <c r="C92" s="1">
        <f t="shared" si="23"/>
        <v>-8.4521463836711312</v>
      </c>
      <c r="H92" s="1">
        <f t="shared" si="24"/>
        <v>9</v>
      </c>
      <c r="I92" s="4">
        <f t="shared" si="25"/>
        <v>-4.3082736112037985</v>
      </c>
      <c r="J92" s="1">
        <f t="shared" si="26"/>
        <v>-8.4521463836711312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-2.6014042505959258</v>
      </c>
      <c r="C110" s="1">
        <f>(-1*B95*SIN($B$64))+(C95*COS($B$64))</f>
        <v>-7.1925444680572852</v>
      </c>
      <c r="D110" t="str">
        <f t="shared" ref="D110" si="31">D95</f>
        <v>y</v>
      </c>
      <c r="E110" s="4">
        <f t="shared" ref="E110:E121" si="32">IF($D110="y",$B$125-C110,0)</f>
        <v>7.8550206940503973</v>
      </c>
      <c r="F110" s="1">
        <f>IF($D110="y",B110,NA())</f>
        <v>-2.6014042505959258</v>
      </c>
      <c r="G110" s="1">
        <f>IF($D110="y",C110,NA())</f>
        <v>-7.1925444680572852</v>
      </c>
      <c r="H110">
        <f t="shared" ref="H110:H121" si="33">IF($E$122=0,0,-1*MAX(($B$67/$E$122)*(E110),0))</f>
        <v>-541.78020056894491</v>
      </c>
      <c r="I110">
        <f>H110*C110</f>
        <v>3896.7781845051313</v>
      </c>
      <c r="J110">
        <f>H110*B110*-1</f>
        <v>-1409.3893166487665</v>
      </c>
      <c r="K110">
        <f ca="1">H110/$B$55</f>
        <v>-3818.07391809813</v>
      </c>
      <c r="L110">
        <f ca="1">K110/$B$54</f>
        <v>-0.13165772131372863</v>
      </c>
      <c r="M110">
        <f t="shared" ref="M110:M121" si="34">IFERROR(($D$66/$B$65)*(G110-$B$125),0)</f>
        <v>-0.1316577171526406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0.36506702562579352</v>
      </c>
      <c r="C111" s="1">
        <f t="shared" ref="C111:C121" si="37">(-1*B96*SIN($B$64))+(C96*COS($B$64))</f>
        <v>-7.6398119130513109</v>
      </c>
      <c r="D111" t="str">
        <f t="shared" si="35"/>
        <v>y</v>
      </c>
      <c r="E111" s="4">
        <f t="shared" si="32"/>
        <v>8.302288139044423</v>
      </c>
      <c r="F111" s="1">
        <f t="shared" ref="F111:G121" si="38">IF($D111="y",B111,NA())</f>
        <v>0.36506702562579352</v>
      </c>
      <c r="G111" s="1">
        <f t="shared" si="38"/>
        <v>-7.6398119130513109</v>
      </c>
      <c r="H111">
        <f t="shared" si="33"/>
        <v>-572.62934221924797</v>
      </c>
      <c r="I111">
        <f t="shared" ref="I111:I121" si="39">H111*C111</f>
        <v>4374.7804704493465</v>
      </c>
      <c r="J111">
        <f t="shared" ref="J111:J121" si="40">H111*B111*-1</f>
        <v>209.0480907500355</v>
      </c>
      <c r="K111">
        <f ca="1">H111/$B$55</f>
        <v>-4035.4762945730304</v>
      </c>
      <c r="L111">
        <f t="shared" ref="L111:L121" ca="1" si="41">K111/$B$54</f>
        <v>-0.1391543549852769</v>
      </c>
      <c r="M111">
        <f t="shared" si="34"/>
        <v>-0.1391543505872552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7.1925444680572852</v>
      </c>
      <c r="C112" s="1">
        <f t="shared" si="37"/>
        <v>-2.6014042505959258</v>
      </c>
      <c r="D112" t="str">
        <f t="shared" si="35"/>
        <v>y</v>
      </c>
      <c r="E112" s="4">
        <f t="shared" si="32"/>
        <v>3.2638804765890383</v>
      </c>
      <c r="F112" s="1">
        <f t="shared" si="38"/>
        <v>7.1925444680572852</v>
      </c>
      <c r="G112" s="1">
        <f t="shared" si="38"/>
        <v>-2.6014042505959258</v>
      </c>
      <c r="H112">
        <f t="shared" si="33"/>
        <v>-225.11790714680546</v>
      </c>
      <c r="I112">
        <f t="shared" si="39"/>
        <v>585.62268053695868</v>
      </c>
      <c r="J112">
        <f t="shared" si="40"/>
        <v>1619.1705577093892</v>
      </c>
      <c r="K112">
        <f t="shared" ref="K112:K121" ca="1" si="45">H112/$B$55</f>
        <v>-1586.4677388938205</v>
      </c>
      <c r="L112">
        <f t="shared" ca="1" si="41"/>
        <v>-5.4705784099786915E-2</v>
      </c>
      <c r="M112">
        <f t="shared" si="34"/>
        <v>-5.4705782370791607E-2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7.6398119130513109</v>
      </c>
      <c r="C113" s="1">
        <f t="shared" si="37"/>
        <v>0.36506702562579352</v>
      </c>
      <c r="D113" t="str">
        <f t="shared" si="35"/>
        <v>y</v>
      </c>
      <c r="E113" s="4">
        <f t="shared" si="32"/>
        <v>0.29740920036731899</v>
      </c>
      <c r="F113" s="1">
        <f t="shared" si="38"/>
        <v>7.6398119130513109</v>
      </c>
      <c r="G113" s="1">
        <f t="shared" si="38"/>
        <v>0.36506702562579352</v>
      </c>
      <c r="H113">
        <f t="shared" si="33"/>
        <v>-20.513047960281007</v>
      </c>
      <c r="I113">
        <f t="shared" si="39"/>
        <v>-7.4886374053790377</v>
      </c>
      <c r="J113">
        <f t="shared" si="40"/>
        <v>156.71582817994772</v>
      </c>
      <c r="K113">
        <f t="shared" ca="1" si="45"/>
        <v>-144.56108457931401</v>
      </c>
      <c r="L113">
        <f t="shared" ca="1" si="41"/>
        <v>-4.9848649854935864E-3</v>
      </c>
      <c r="M113">
        <f t="shared" si="34"/>
        <v>-4.984864827945198E-3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-4.3082736112037985</v>
      </c>
      <c r="C114" s="1">
        <f t="shared" si="37"/>
        <v>-8.4521463836711312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-4.3082736112037985</v>
      </c>
      <c r="C115" s="1">
        <f t="shared" si="37"/>
        <v>-8.4521463836711312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-4.3082736112037985</v>
      </c>
      <c r="C116" s="1">
        <f t="shared" si="37"/>
        <v>-8.4521463836711312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-4.3082736112037985</v>
      </c>
      <c r="C117" s="1">
        <f t="shared" si="37"/>
        <v>-8.4521463836711312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-4.3082736112037985</v>
      </c>
      <c r="C118" s="1">
        <f t="shared" si="37"/>
        <v>-8.4521463836711312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-4.3082736112037985</v>
      </c>
      <c r="C119" s="1">
        <f t="shared" si="37"/>
        <v>-8.4521463836711312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-4.3082736112037985</v>
      </c>
      <c r="C120" s="1">
        <f t="shared" si="37"/>
        <v>-8.4521463836711312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-4.3082736112037985</v>
      </c>
      <c r="C121" s="1">
        <f t="shared" si="37"/>
        <v>-8.4521463836711312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8.302288139044423</v>
      </c>
      <c r="H122">
        <f>SUM(H110:H121)</f>
        <v>-1360.0404978952795</v>
      </c>
      <c r="I122">
        <f t="shared" ref="I122:J122" si="46">SUM(I110:I121)</f>
        <v>8849.692698086059</v>
      </c>
      <c r="J122">
        <f t="shared" si="46"/>
        <v>575.54515999060595</v>
      </c>
      <c r="L122">
        <f ca="1">MIN(L110:L121)</f>
        <v>-0.1391543549852769</v>
      </c>
      <c r="M122">
        <f>MIN(M110:M121)</f>
        <v>-0.1391543505872552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0.66247622599311251</v>
      </c>
      <c r="F125" s="1" t="s">
        <v>27</v>
      </c>
      <c r="G125" s="1" t="s">
        <v>28</v>
      </c>
    </row>
    <row r="126" spans="1:16" x14ac:dyDescent="0.25">
      <c r="F126" s="4">
        <f>MIN(B84:B90)-1</f>
        <v>-5.3082736112037985</v>
      </c>
      <c r="G126" s="4">
        <f>B125</f>
        <v>0.66247622599311251</v>
      </c>
    </row>
    <row r="127" spans="1:16" x14ac:dyDescent="0.25">
      <c r="F127" s="4">
        <f>MAX(B84:B90)+1</f>
        <v>10.346681273659183</v>
      </c>
      <c r="G127" s="4">
        <f>G126</f>
        <v>0.66247622599311251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-4.3082736112037985</v>
      </c>
      <c r="C132" s="4">
        <f>C84</f>
        <v>-8.4521463836711312</v>
      </c>
      <c r="D132" s="4">
        <f t="shared" ref="D132:E139" si="47">B85</f>
        <v>1.62466894123964</v>
      </c>
      <c r="E132" s="4">
        <f t="shared" si="47"/>
        <v>-9.3466812736591827</v>
      </c>
      <c r="F132" s="4">
        <f t="shared" ref="F132:F139" si="48">($B$66/$B$65)*(C132-$B$125)</f>
        <v>-590.48637150547506</v>
      </c>
      <c r="G132" s="4">
        <f t="shared" ref="G132:G139" si="49">($B$66/$B$65)*(E132-$B$125)</f>
        <v>-648.43837719949374</v>
      </c>
      <c r="H132" s="4">
        <f>IF(B132=D132,"V",(C132-E132)/(B132-D132))</f>
        <v>-0.1507742375863127</v>
      </c>
      <c r="I132" s="4">
        <f>IF(H132="V",0,(-1*B132*H132)+C132)</f>
        <v>-9.1017230527136146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1.62466894123964</v>
      </c>
      <c r="C133" s="4">
        <f t="shared" si="50"/>
        <v>-9.3466812736591827</v>
      </c>
      <c r="D133" s="4">
        <f t="shared" si="47"/>
        <v>2.519203831227693</v>
      </c>
      <c r="E133" s="4">
        <f t="shared" si="47"/>
        <v>-3.4137387212157453</v>
      </c>
      <c r="F133" s="4">
        <f t="shared" si="48"/>
        <v>-648.43837719949374</v>
      </c>
      <c r="G133" s="4">
        <f t="shared" si="49"/>
        <v>-264.0755933330305</v>
      </c>
      <c r="H133" s="4">
        <f t="shared" ref="H133:H139" si="51">IF(B133=D133,"V",(C133-E133)/(B133-D133))</f>
        <v>6.632432808207934</v>
      </c>
      <c r="I133" s="4">
        <f t="shared" ref="I133:I139" si="52">IF(H133="V",0,(-1*B133*H133)+C133)</f>
        <v>-20.122188862013417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2.519203831227693</v>
      </c>
      <c r="C134" s="4">
        <f t="shared" si="50"/>
        <v>-3.4137387212157453</v>
      </c>
      <c r="D134" s="4">
        <f t="shared" si="47"/>
        <v>8.4521463836711312</v>
      </c>
      <c r="E134" s="4">
        <f t="shared" si="47"/>
        <v>-4.3082736112037985</v>
      </c>
      <c r="F134" s="4">
        <f t="shared" si="48"/>
        <v>-264.0755933330305</v>
      </c>
      <c r="G134" s="4">
        <f t="shared" si="49"/>
        <v>-322.02759902704929</v>
      </c>
      <c r="H134" s="4">
        <f t="shared" si="51"/>
        <v>-0.150774237586313</v>
      </c>
      <c r="I134" s="4">
        <f t="shared" si="52"/>
        <v>-3.0339076842378709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8.4521463836711312</v>
      </c>
      <c r="C135" s="4">
        <f t="shared" si="50"/>
        <v>-4.3082736112037985</v>
      </c>
      <c r="D135" s="4">
        <f t="shared" si="47"/>
        <v>9.3466812736591827</v>
      </c>
      <c r="E135" s="4">
        <f t="shared" si="47"/>
        <v>1.62466894123964</v>
      </c>
      <c r="F135" s="4">
        <f t="shared" si="48"/>
        <v>-322.02759902704929</v>
      </c>
      <c r="G135" s="4">
        <f t="shared" si="49"/>
        <v>62.335184839414026</v>
      </c>
      <c r="H135" s="4">
        <f t="shared" si="51"/>
        <v>6.6324328082079465</v>
      </c>
      <c r="I135" s="4">
        <f t="shared" si="52"/>
        <v>-60.366566586040364</v>
      </c>
      <c r="J135" s="4">
        <f t="shared" si="53"/>
        <v>9.2016074006067843</v>
      </c>
      <c r="K135" s="4">
        <f t="shared" si="54"/>
        <v>0.66247622599311251</v>
      </c>
      <c r="L135" s="4">
        <f t="shared" si="55"/>
        <v>9.3466812736591827</v>
      </c>
      <c r="M135" s="4">
        <f t="shared" si="56"/>
        <v>1.62466894123964</v>
      </c>
      <c r="N135" s="4">
        <f t="shared" si="57"/>
        <v>0</v>
      </c>
      <c r="O135" s="4">
        <f t="shared" si="57"/>
        <v>62.335184839414026</v>
      </c>
      <c r="P135" s="4">
        <f t="shared" si="58"/>
        <v>278.84956005204396</v>
      </c>
      <c r="Q135" s="4">
        <f t="shared" si="59"/>
        <v>363.83511257283993</v>
      </c>
      <c r="R135" s="4">
        <f t="shared" si="60"/>
        <v>-1296.434215335019</v>
      </c>
    </row>
    <row r="136" spans="1:18" x14ac:dyDescent="0.25">
      <c r="A136" t="s">
        <v>73</v>
      </c>
      <c r="B136" s="4">
        <f t="shared" si="50"/>
        <v>9.3466812736591827</v>
      </c>
      <c r="C136" s="4">
        <f t="shared" si="50"/>
        <v>1.62466894123964</v>
      </c>
      <c r="D136" s="4">
        <f t="shared" si="47"/>
        <v>-2.519203831227693</v>
      </c>
      <c r="E136" s="4">
        <f t="shared" si="47"/>
        <v>3.4137387212157453</v>
      </c>
      <c r="F136" s="4">
        <f t="shared" si="48"/>
        <v>62.335184839414026</v>
      </c>
      <c r="G136" s="4">
        <f t="shared" si="49"/>
        <v>178.23919622745157</v>
      </c>
      <c r="H136" s="4">
        <f t="shared" si="51"/>
        <v>-0.15077423758631292</v>
      </c>
      <c r="I136" s="4">
        <f t="shared" si="52"/>
        <v>3.0339076842378714</v>
      </c>
      <c r="J136" s="4">
        <f t="shared" si="53"/>
        <v>9.3466812736591827</v>
      </c>
      <c r="K136" s="4">
        <f t="shared" si="54"/>
        <v>1.62466894123964</v>
      </c>
      <c r="L136" s="4">
        <f t="shared" si="55"/>
        <v>-2.519203831227693</v>
      </c>
      <c r="M136" s="4">
        <f t="shared" si="56"/>
        <v>3.4137387212157453</v>
      </c>
      <c r="N136" s="4">
        <f t="shared" si="57"/>
        <v>62.335184839414026</v>
      </c>
      <c r="O136" s="4">
        <f t="shared" si="57"/>
        <v>178.23919622745157</v>
      </c>
      <c r="P136" s="4">
        <f t="shared" si="58"/>
        <v>529.60115153219488</v>
      </c>
      <c r="Q136" s="4">
        <f t="shared" si="59"/>
        <v>1059.0008687380034</v>
      </c>
      <c r="R136" s="4">
        <f t="shared" si="60"/>
        <v>-1816.4911434659864</v>
      </c>
    </row>
    <row r="137" spans="1:18" x14ac:dyDescent="0.25">
      <c r="A137" t="s">
        <v>74</v>
      </c>
      <c r="B137" s="4">
        <f t="shared" si="50"/>
        <v>-2.519203831227693</v>
      </c>
      <c r="C137" s="4">
        <f t="shared" si="50"/>
        <v>3.4137387212157453</v>
      </c>
      <c r="D137" s="4">
        <f t="shared" si="47"/>
        <v>-4.3082736112037985</v>
      </c>
      <c r="E137" s="4">
        <f t="shared" si="47"/>
        <v>-8.4521463836711312</v>
      </c>
      <c r="F137" s="4">
        <f t="shared" si="48"/>
        <v>178.23919622745157</v>
      </c>
      <c r="G137" s="4">
        <f t="shared" si="49"/>
        <v>-590.48637150547506</v>
      </c>
      <c r="H137" s="4">
        <f t="shared" si="51"/>
        <v>6.6324328082079367</v>
      </c>
      <c r="I137" s="4">
        <f t="shared" si="52"/>
        <v>20.122188862013424</v>
      </c>
      <c r="J137" s="4">
        <f t="shared" si="53"/>
        <v>-2.519203831227693</v>
      </c>
      <c r="K137" s="4">
        <f t="shared" si="54"/>
        <v>3.4137387212157453</v>
      </c>
      <c r="L137" s="4">
        <f t="shared" si="55"/>
        <v>-2.9340233363447017</v>
      </c>
      <c r="M137" s="4">
        <f t="shared" si="56"/>
        <v>0.66247622599311251</v>
      </c>
      <c r="N137" s="4">
        <f t="shared" si="57"/>
        <v>178.23919622745157</v>
      </c>
      <c r="O137" s="4">
        <f t="shared" si="57"/>
        <v>0</v>
      </c>
      <c r="P137" s="4">
        <f t="shared" si="58"/>
        <v>651.59052693960609</v>
      </c>
      <c r="Q137" s="4">
        <f t="shared" si="59"/>
        <v>1611.248096997218</v>
      </c>
      <c r="R137" s="4">
        <f t="shared" si="60"/>
        <v>866.96540163576094</v>
      </c>
    </row>
    <row r="138" spans="1:18" x14ac:dyDescent="0.25">
      <c r="A138" t="s">
        <v>75</v>
      </c>
      <c r="B138" s="4">
        <f t="shared" si="50"/>
        <v>-4.3082736112037985</v>
      </c>
      <c r="C138" s="4">
        <f t="shared" si="50"/>
        <v>-8.4521463836711312</v>
      </c>
      <c r="D138" s="4">
        <f t="shared" si="47"/>
        <v>-4.3082736112037985</v>
      </c>
      <c r="E138" s="4">
        <f t="shared" si="47"/>
        <v>-8.4521463836711312</v>
      </c>
      <c r="F138" s="4">
        <f t="shared" si="48"/>
        <v>-590.48637150547506</v>
      </c>
      <c r="G138" s="4">
        <f t="shared" si="49"/>
        <v>-590.48637150547506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-4.3082736112037985</v>
      </c>
      <c r="C139" s="4">
        <f>E138</f>
        <v>-8.4521463836711312</v>
      </c>
      <c r="D139" s="4">
        <f t="shared" si="47"/>
        <v>-4.3082736112037985</v>
      </c>
      <c r="E139" s="4">
        <f t="shared" si="47"/>
        <v>-8.4521463836711312</v>
      </c>
      <c r="F139" s="4">
        <f t="shared" si="48"/>
        <v>-590.48637150547506</v>
      </c>
      <c r="G139" s="4">
        <f t="shared" si="49"/>
        <v>-590.48637150547506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1460.0412385238451</v>
      </c>
      <c r="Q140" s="4">
        <f>SUM(Q132:Q139)</f>
        <v>3034.0840783080612</v>
      </c>
      <c r="R140" s="4">
        <f>SUM(R132:R139)</f>
        <v>-2245.9599571652443</v>
      </c>
    </row>
    <row r="142" spans="1:18" x14ac:dyDescent="0.25">
      <c r="O142" t="s">
        <v>96</v>
      </c>
      <c r="P142" s="1">
        <f>-1*R140/P140</f>
        <v>1.5382852880484332</v>
      </c>
    </row>
    <row r="143" spans="1:18" x14ac:dyDescent="0.25">
      <c r="O143" t="s">
        <v>97</v>
      </c>
      <c r="P143" s="1">
        <f>Q140/P140</f>
        <v>2.0780810830902494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-4.3082736112037985</v>
      </c>
      <c r="C146" s="9">
        <f>J84</f>
        <v>-8.4521463836711312</v>
      </c>
      <c r="D146" s="9">
        <f t="shared" ref="D146:E153" si="61">I85</f>
        <v>-4.3082736112037985</v>
      </c>
      <c r="E146">
        <f t="shared" si="61"/>
        <v>-8.4521463836711312</v>
      </c>
      <c r="F146" s="4">
        <f>($B$66/$B$65)*(C146-$B$125)</f>
        <v>-590.48637150547506</v>
      </c>
      <c r="G146" s="4">
        <f>($B$66/$B$65)*(E146-$B$125)</f>
        <v>-590.48637150547506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-4.3082736112037985</v>
      </c>
      <c r="C147">
        <f t="shared" si="62"/>
        <v>-8.4521463836711312</v>
      </c>
      <c r="D147" s="9">
        <f t="shared" si="61"/>
        <v>-4.3082736112037985</v>
      </c>
      <c r="E147">
        <f t="shared" si="61"/>
        <v>-8.4521463836711312</v>
      </c>
      <c r="F147" s="4">
        <f t="shared" ref="F147:F153" si="63">($B$66/$B$65)*(C147-$B$125)</f>
        <v>-590.48637150547506</v>
      </c>
      <c r="G147" s="4">
        <f t="shared" ref="G147:G153" si="64">($B$66/$B$65)*(E147-$B$125)</f>
        <v>-590.48637150547506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-4.3082736112037985</v>
      </c>
      <c r="C148">
        <f t="shared" si="62"/>
        <v>-8.4521463836711312</v>
      </c>
      <c r="D148" s="9">
        <f t="shared" si="61"/>
        <v>-4.3082736112037985</v>
      </c>
      <c r="E148">
        <f t="shared" si="61"/>
        <v>-8.4521463836711312</v>
      </c>
      <c r="F148" s="4">
        <f t="shared" si="63"/>
        <v>-590.48637150547506</v>
      </c>
      <c r="G148" s="4">
        <f t="shared" si="64"/>
        <v>-590.48637150547506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-4.3082736112037985</v>
      </c>
      <c r="C149">
        <f t="shared" si="62"/>
        <v>-8.4521463836711312</v>
      </c>
      <c r="D149" s="9">
        <f t="shared" si="61"/>
        <v>-4.3082736112037985</v>
      </c>
      <c r="E149">
        <f t="shared" si="61"/>
        <v>-8.4521463836711312</v>
      </c>
      <c r="F149" s="4">
        <f t="shared" si="63"/>
        <v>-590.48637150547506</v>
      </c>
      <c r="G149" s="4">
        <f t="shared" si="64"/>
        <v>-590.48637150547506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-4.3082736112037985</v>
      </c>
      <c r="C150">
        <f t="shared" si="62"/>
        <v>-8.4521463836711312</v>
      </c>
      <c r="D150" s="9">
        <f t="shared" si="61"/>
        <v>-4.3082736112037985</v>
      </c>
      <c r="E150">
        <f t="shared" si="61"/>
        <v>-8.4521463836711312</v>
      </c>
      <c r="F150" s="4">
        <f t="shared" si="63"/>
        <v>-590.48637150547506</v>
      </c>
      <c r="G150" s="4">
        <f t="shared" si="64"/>
        <v>-590.48637150547506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-4.3082736112037985</v>
      </c>
      <c r="C151">
        <f t="shared" si="62"/>
        <v>-8.4521463836711312</v>
      </c>
      <c r="D151" s="9">
        <f t="shared" si="61"/>
        <v>-4.3082736112037985</v>
      </c>
      <c r="E151">
        <f t="shared" si="61"/>
        <v>-8.4521463836711312</v>
      </c>
      <c r="F151" s="4">
        <f t="shared" si="63"/>
        <v>-590.48637150547506</v>
      </c>
      <c r="G151" s="4">
        <f t="shared" si="64"/>
        <v>-590.48637150547506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-4.3082736112037985</v>
      </c>
      <c r="C152">
        <f t="shared" si="62"/>
        <v>-8.4521463836711312</v>
      </c>
      <c r="D152" s="9">
        <f t="shared" si="61"/>
        <v>-3.4137387212157457</v>
      </c>
      <c r="E152">
        <f t="shared" si="61"/>
        <v>-2.5192038312276948</v>
      </c>
      <c r="F152" s="4">
        <f t="shared" si="63"/>
        <v>-590.48637150547506</v>
      </c>
      <c r="G152" s="4">
        <f t="shared" si="64"/>
        <v>-206.12358763901187</v>
      </c>
      <c r="H152" s="4">
        <f t="shared" si="65"/>
        <v>6.6324328082079349</v>
      </c>
      <c r="I152" s="4">
        <f t="shared" si="66"/>
        <v>20.12218886201342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-3.4137387212157457</v>
      </c>
      <c r="C153">
        <f t="shared" si="62"/>
        <v>-2.5192038312276948</v>
      </c>
      <c r="D153" s="9">
        <f t="shared" si="61"/>
        <v>-4.3082736112037985</v>
      </c>
      <c r="E153">
        <f t="shared" si="61"/>
        <v>-8.4521463836711312</v>
      </c>
      <c r="F153" s="4">
        <f t="shared" si="63"/>
        <v>-206.12358763901187</v>
      </c>
      <c r="G153" s="4">
        <f t="shared" si="64"/>
        <v>-590.48637150547506</v>
      </c>
      <c r="H153" s="4">
        <f t="shared" si="65"/>
        <v>6.6324328082079349</v>
      </c>
      <c r="I153" s="4">
        <f t="shared" si="66"/>
        <v>20.122188862013417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100.00074062856561</v>
      </c>
      <c r="C159" t="s">
        <v>36</v>
      </c>
    </row>
    <row r="160" spans="1:18" x14ac:dyDescent="0.25">
      <c r="A160" s="1" t="s">
        <v>106</v>
      </c>
      <c r="B160" s="4">
        <f>Q140+I122+Q154-O122</f>
        <v>11883.776776394119</v>
      </c>
      <c r="C160" t="s">
        <v>102</v>
      </c>
    </row>
    <row r="161" spans="1:9" x14ac:dyDescent="0.25">
      <c r="A161" s="1" t="s">
        <v>107</v>
      </c>
      <c r="B161" s="4">
        <f>R140+J122+R154-P122</f>
        <v>-1670.4147971746384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100.00074062856561</v>
      </c>
      <c r="C164" t="s">
        <v>36</v>
      </c>
      <c r="E164" s="8">
        <f>B2-B164</f>
        <v>-7.4062856560885848E-4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12000.001539538802</v>
      </c>
      <c r="C165" t="s">
        <v>102</v>
      </c>
      <c r="E165" s="8">
        <f>B3+B165</f>
        <v>1.5395388018077938E-3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119.99632015428369</v>
      </c>
      <c r="C166" t="s">
        <v>102</v>
      </c>
      <c r="E166" s="8">
        <f>B4+B166</f>
        <v>-3.6798457163058629E-3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178.23919622745157</v>
      </c>
      <c r="B169" s="1">
        <f ca="1">IF(E122=0,0,(MIN(H110:H121)*B65)/(B55*B56*E122))</f>
        <v>-178.23920186076344</v>
      </c>
      <c r="C169" s="3">
        <f ca="1">A169+B169</f>
        <v>-5.6333118720885977E-6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-9.0975074108219467E-8</v>
      </c>
      <c r="C175" s="27">
        <f>B65*SQRT(I175)</f>
        <v>4.0807817509346258E-8</v>
      </c>
      <c r="D175" s="27">
        <f>B66*SQRT(I175)</f>
        <v>2.6437145148063467E-6</v>
      </c>
      <c r="E175" s="27">
        <f>B67*SQRT(I175)</f>
        <v>8.4934657228659421E-6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-6.1335383361095559</v>
      </c>
      <c r="C176" s="3">
        <f>B65+C175</f>
        <v>2.7512625360304503</v>
      </c>
      <c r="D176" s="3">
        <f>D175+B66</f>
        <v>178.23919887116608</v>
      </c>
      <c r="E176" s="3">
        <f>B67+E175</f>
        <v>572.62935071271374</v>
      </c>
      <c r="F176" s="16" t="s">
        <v>125</v>
      </c>
    </row>
    <row r="177" spans="1:13" x14ac:dyDescent="0.25">
      <c r="B177" s="27">
        <f>B176-B64</f>
        <v>-9.0975073696597519E-8</v>
      </c>
      <c r="C177" s="27">
        <f>C176-B65</f>
        <v>4.0807817569543658E-8</v>
      </c>
      <c r="D177" s="27">
        <f>D176-B66</f>
        <v>2.6437145095314918E-6</v>
      </c>
      <c r="E177" s="27">
        <f>E176-B67</f>
        <v>8.4934657706980943E-6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-8.1914675888450379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-9.3466813290266426</v>
      </c>
      <c r="B181" s="25">
        <f>(d_alpha_p!E136-d_alpha_m!E136)/(2*B177)</f>
        <v>2.5192035002021451</v>
      </c>
      <c r="C181" s="25">
        <f>(d_alpha_p!E137-d_alpha_m!E137)/(2*B177)</f>
        <v>4.3082743298427113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7.4062856560885848E-4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-1.5395388018077938E-3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3.6798457163058629E-3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5.6333118720885977E-6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-8.1914675888450379</v>
      </c>
      <c r="B190" s="25">
        <f>A181</f>
        <v>-9.3466813290266426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2.5192035002021451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4.3082743298427113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-8.1914675888450379</v>
      </c>
      <c r="B201" s="25">
        <f t="shared" ref="B201:C201" si="77">B190</f>
        <v>-9.3466813290266426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2.5192035002021451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4.3082743298427113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-12000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-47.61904761904762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-3.131592986903128</v>
      </c>
      <c r="C5" t="s">
        <v>19</v>
      </c>
      <c r="I5">
        <f>SUM(I2:I4)</f>
        <v>-47.06349206349207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-47.61904761904762</v>
      </c>
      <c r="AB14">
        <f>$B$4/Z14</f>
        <v>-0.12345679012345678</v>
      </c>
      <c r="AC14">
        <f>$I$2+AA14+AB14</f>
        <v>-46.816578483245152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-15.873015873015873</v>
      </c>
      <c r="AB15">
        <f t="shared" ref="AB15:AB21" si="11">$B$4/Z15</f>
        <v>-0.12345679012345678</v>
      </c>
      <c r="AC15">
        <f t="shared" ref="AC15:AC20" si="12">$I$2+AA15+AB15</f>
        <v>-15.070546737213405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-15.873015873015873</v>
      </c>
      <c r="AB16">
        <f t="shared" si="11"/>
        <v>-0.37037037037037035</v>
      </c>
      <c r="AC16">
        <f t="shared" si="12"/>
        <v>-15.317460317460318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15.873015873015873</v>
      </c>
      <c r="AB17">
        <f t="shared" si="11"/>
        <v>-0.37037037037037035</v>
      </c>
      <c r="AC17">
        <f t="shared" si="12"/>
        <v>16.428571428571431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15.873015873015873</v>
      </c>
      <c r="AB18">
        <f t="shared" si="11"/>
        <v>0.12345679012345678</v>
      </c>
      <c r="AC18">
        <f t="shared" si="12"/>
        <v>16.922398589065256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-47.61904761904762</v>
      </c>
      <c r="AB19">
        <f t="shared" si="11"/>
        <v>0.12345679012345678</v>
      </c>
      <c r="AC19">
        <f t="shared" si="12"/>
        <v>-46.569664902998241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-47.61904761904762</v>
      </c>
      <c r="AB20">
        <f t="shared" si="11"/>
        <v>0.12345679012345678</v>
      </c>
      <c r="AC20">
        <f t="shared" si="12"/>
        <v>-46.569664902998241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5.9999999999999982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-6.1335380631843366</v>
      </c>
      <c r="C64" t="s">
        <v>19</v>
      </c>
      <c r="D64" t="s">
        <v>34</v>
      </c>
      <c r="H64" s="17">
        <f>DEGREES(B64)</f>
        <v>-351.42584450330776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2.7512624952226328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178.23919622745157</v>
      </c>
      <c r="C66" t="s">
        <v>11</v>
      </c>
      <c r="D66">
        <f>B66/B53</f>
        <v>4.6113810964629097E-2</v>
      </c>
      <c r="I66" s="20"/>
    </row>
    <row r="67" spans="1:18" x14ac:dyDescent="0.25">
      <c r="A67" s="1" t="s">
        <v>37</v>
      </c>
      <c r="B67" s="17">
        <f>'Rigid Bearing Plate Analysis'!B67</f>
        <v>572.62934221924797</v>
      </c>
      <c r="C67" t="s">
        <v>36</v>
      </c>
      <c r="D67" t="s">
        <v>122</v>
      </c>
      <c r="G67" s="20">
        <f ca="1">($B$56*$B$66*$B$55*$E$122)/$B$65</f>
        <v>572.62936031739059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-10.34668156926778</v>
      </c>
      <c r="R76">
        <f>Q76</f>
        <v>-10.34668156926778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10.34668156926778</v>
      </c>
      <c r="R77">
        <f>Q77</f>
        <v>10.34668156926778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-3.0000000000000018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-4.3082751490729922</v>
      </c>
      <c r="C84" s="1">
        <f t="shared" ref="C84:C92" si="23">(-1*B73*SIN($B$64))+(C73*COS($B$64))</f>
        <v>-8.4521455997799819</v>
      </c>
      <c r="H84" s="1">
        <f t="shared" ref="H84:H92" si="24">H73</f>
        <v>1</v>
      </c>
      <c r="I84" s="4">
        <f>(I73*COS($B$64))+(J73*SIN($B$64))</f>
        <v>-4.3082751490729922</v>
      </c>
      <c r="J84" s="1">
        <f>(-1*I73*SIN($B$64))+(J73*COS($B$64))</f>
        <v>-8.4521455997799819</v>
      </c>
    </row>
    <row r="85" spans="1:10" x14ac:dyDescent="0.25">
      <c r="A85" s="1">
        <f t="shared" si="21"/>
        <v>2</v>
      </c>
      <c r="B85" s="4">
        <f t="shared" si="22"/>
        <v>1.6246672406095946</v>
      </c>
      <c r="C85" s="1">
        <f t="shared" si="23"/>
        <v>-9.3466815692677798</v>
      </c>
      <c r="H85" s="1">
        <f t="shared" si="24"/>
        <v>2</v>
      </c>
      <c r="I85" s="4">
        <f t="shared" ref="I85:I92" si="25">(I74*COS($B$64))+(J74*SIN($B$64))</f>
        <v>-4.3082751490729922</v>
      </c>
      <c r="J85" s="1">
        <f t="shared" ref="J85:J92" si="26">(-1*I74*SIN($B$64))+(J74*COS($B$64))</f>
        <v>-8.4521455997799819</v>
      </c>
    </row>
    <row r="86" spans="1:10" x14ac:dyDescent="0.25">
      <c r="A86" s="1">
        <f t="shared" si="21"/>
        <v>3</v>
      </c>
      <c r="B86" s="4">
        <f t="shared" si="22"/>
        <v>2.5192032100973938</v>
      </c>
      <c r="C86" s="1">
        <f t="shared" si="23"/>
        <v>-3.4137391795851935</v>
      </c>
      <c r="H86" s="1">
        <f t="shared" si="24"/>
        <v>3</v>
      </c>
      <c r="I86" s="4">
        <f t="shared" si="25"/>
        <v>-4.3082751490729922</v>
      </c>
      <c r="J86" s="1">
        <f t="shared" si="26"/>
        <v>-8.4521455997799819</v>
      </c>
    </row>
    <row r="87" spans="1:10" x14ac:dyDescent="0.25">
      <c r="A87" s="1">
        <f t="shared" si="21"/>
        <v>4</v>
      </c>
      <c r="B87" s="4">
        <f t="shared" si="22"/>
        <v>8.4521455997799819</v>
      </c>
      <c r="C87" s="1">
        <f t="shared" si="23"/>
        <v>-4.3082751490729922</v>
      </c>
      <c r="H87" s="1">
        <f t="shared" si="24"/>
        <v>4</v>
      </c>
      <c r="I87" s="4">
        <f t="shared" si="25"/>
        <v>-4.3082751490729922</v>
      </c>
      <c r="J87" s="1">
        <f t="shared" si="26"/>
        <v>-8.4521455997799819</v>
      </c>
    </row>
    <row r="88" spans="1:10" x14ac:dyDescent="0.25">
      <c r="A88" s="1">
        <f t="shared" si="21"/>
        <v>5</v>
      </c>
      <c r="B88" s="4">
        <f t="shared" si="22"/>
        <v>9.3466815692677798</v>
      </c>
      <c r="C88" s="1">
        <f t="shared" si="23"/>
        <v>1.6246672406095946</v>
      </c>
      <c r="H88" s="1">
        <f t="shared" si="24"/>
        <v>5</v>
      </c>
      <c r="I88" s="4">
        <f t="shared" si="25"/>
        <v>-4.3082751490729922</v>
      </c>
      <c r="J88" s="1">
        <f t="shared" si="26"/>
        <v>-8.4521455997799819</v>
      </c>
    </row>
    <row r="89" spans="1:10" x14ac:dyDescent="0.25">
      <c r="A89" s="1">
        <f t="shared" si="21"/>
        <v>6</v>
      </c>
      <c r="B89" s="4">
        <f t="shared" si="22"/>
        <v>-2.5192032100973938</v>
      </c>
      <c r="C89" s="1">
        <f t="shared" si="23"/>
        <v>3.4137391795851935</v>
      </c>
      <c r="H89" s="1">
        <f t="shared" si="24"/>
        <v>6</v>
      </c>
      <c r="I89" s="4">
        <f t="shared" si="25"/>
        <v>-4.3082751490729922</v>
      </c>
      <c r="J89" s="1">
        <f t="shared" si="26"/>
        <v>-8.4521455997799819</v>
      </c>
    </row>
    <row r="90" spans="1:10" x14ac:dyDescent="0.25">
      <c r="A90" s="1">
        <f t="shared" si="21"/>
        <v>7</v>
      </c>
      <c r="B90" s="4">
        <f t="shared" si="22"/>
        <v>-4.3082751490729922</v>
      </c>
      <c r="C90" s="1">
        <f t="shared" si="23"/>
        <v>-8.4521455997799819</v>
      </c>
      <c r="H90" s="1">
        <f t="shared" si="24"/>
        <v>7</v>
      </c>
      <c r="I90" s="4">
        <f t="shared" si="25"/>
        <v>-4.3082751490729922</v>
      </c>
      <c r="J90" s="1">
        <f t="shared" si="26"/>
        <v>-8.4521455997799819</v>
      </c>
    </row>
    <row r="91" spans="1:10" x14ac:dyDescent="0.25">
      <c r="A91" s="1">
        <f t="shared" si="21"/>
        <v>8</v>
      </c>
      <c r="B91" s="4">
        <f t="shared" si="22"/>
        <v>-4.3082751490729922</v>
      </c>
      <c r="C91" s="1">
        <f t="shared" si="23"/>
        <v>-8.4521455997799819</v>
      </c>
      <c r="H91" s="1">
        <f t="shared" si="24"/>
        <v>8</v>
      </c>
      <c r="I91" s="4">
        <f t="shared" si="25"/>
        <v>-3.4137391795851935</v>
      </c>
      <c r="J91" s="1">
        <f t="shared" si="26"/>
        <v>-2.5192032100973951</v>
      </c>
    </row>
    <row r="92" spans="1:10" x14ac:dyDescent="0.25">
      <c r="A92" s="1">
        <f t="shared" si="21"/>
        <v>9</v>
      </c>
      <c r="B92" s="4">
        <f t="shared" si="22"/>
        <v>-4.3082751490729922</v>
      </c>
      <c r="C92" s="1">
        <f t="shared" si="23"/>
        <v>-8.4521455997799819</v>
      </c>
      <c r="H92" s="1">
        <f t="shared" si="24"/>
        <v>9</v>
      </c>
      <c r="I92" s="4">
        <f t="shared" si="25"/>
        <v>-4.3082751490729922</v>
      </c>
      <c r="J92" s="1">
        <f t="shared" si="26"/>
        <v>-8.4521455997799819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-2.601405559280396</v>
      </c>
      <c r="C110" s="1">
        <f>(-1*B95*SIN($B$64))+(C95*COS($B$64))</f>
        <v>-7.1925439947312837</v>
      </c>
      <c r="D110" t="str">
        <f t="shared" ref="D110" si="31">D95</f>
        <v>y</v>
      </c>
      <c r="E110" s="4">
        <f t="shared" ref="E110:E121" si="32">IF($D110="y",$B$125-C110,0)</f>
        <v>7.8550206790938439</v>
      </c>
      <c r="F110" s="1">
        <f>IF($D110="y",B110,NA())</f>
        <v>-2.601405559280396</v>
      </c>
      <c r="G110" s="1">
        <f>IF($D110="y",C110,NA())</f>
        <v>-7.1925439947312837</v>
      </c>
      <c r="H110">
        <f t="shared" ref="H110:H121" si="33">IF($E$122=0,0,-1*MAX(($B$67/$E$122)*(E110),0))</f>
        <v>-541.78016529105912</v>
      </c>
      <c r="I110">
        <f>H110*C110</f>
        <v>3896.7776743287295</v>
      </c>
      <c r="J110">
        <f>H110*B110*-1</f>
        <v>-1409.389933896013</v>
      </c>
      <c r="K110">
        <f ca="1">H110/$B$55</f>
        <v>-3818.0736694851771</v>
      </c>
      <c r="L110">
        <f ca="1">K110/$B$54</f>
        <v>-0.13165771274086818</v>
      </c>
      <c r="M110">
        <f t="shared" ref="M110:M121" si="34">IFERROR(($D$66/$B$65)*(G110-$B$125),0)</f>
        <v>-0.13165771690195435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0.36506563556089766</v>
      </c>
      <c r="C111" s="1">
        <f t="shared" ref="C111:C121" si="37">(-1*B96*SIN($B$64))+(C96*COS($B$64))</f>
        <v>-7.6398119794751826</v>
      </c>
      <c r="D111" t="str">
        <f t="shared" si="35"/>
        <v>y</v>
      </c>
      <c r="E111" s="4">
        <f t="shared" si="32"/>
        <v>8.3022886638377429</v>
      </c>
      <c r="F111" s="1">
        <f t="shared" ref="F111:G121" si="38">IF($D111="y",B111,NA())</f>
        <v>0.36506563556089766</v>
      </c>
      <c r="G111" s="1">
        <f t="shared" si="38"/>
        <v>-7.6398119794751826</v>
      </c>
      <c r="H111">
        <f t="shared" si="33"/>
        <v>-572.62934221924797</v>
      </c>
      <c r="I111">
        <f t="shared" ref="I111:I121" si="39">H111*C111</f>
        <v>4374.7805084856045</v>
      </c>
      <c r="J111">
        <f t="shared" ref="J111:J121" si="40">H111*B111*-1</f>
        <v>209.04729475808853</v>
      </c>
      <c r="K111">
        <f ca="1">H111/$B$55</f>
        <v>-4035.4762945730304</v>
      </c>
      <c r="L111">
        <f t="shared" ref="L111:L121" ca="1" si="41">K111/$B$54</f>
        <v>-0.1391543549852769</v>
      </c>
      <c r="M111">
        <f t="shared" si="34"/>
        <v>-0.13915435938329701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7.1925439947312837</v>
      </c>
      <c r="C112" s="1">
        <f t="shared" si="37"/>
        <v>-2.601405559280396</v>
      </c>
      <c r="D112" t="str">
        <f t="shared" si="35"/>
        <v>y</v>
      </c>
      <c r="E112" s="4">
        <f t="shared" si="32"/>
        <v>3.2638822436429566</v>
      </c>
      <c r="F112" s="1">
        <f t="shared" si="38"/>
        <v>7.1925439947312837</v>
      </c>
      <c r="G112" s="1">
        <f t="shared" si="38"/>
        <v>-2.601405559280396</v>
      </c>
      <c r="H112">
        <f t="shared" si="33"/>
        <v>-225.11801479501972</v>
      </c>
      <c r="I112">
        <f t="shared" si="39"/>
        <v>585.62325518193074</v>
      </c>
      <c r="J112">
        <f t="shared" si="40"/>
        <v>1619.1712254197473</v>
      </c>
      <c r="K112">
        <f t="shared" ref="K112:K121" ca="1" si="45">H112/$B$55</f>
        <v>-1586.4684975203609</v>
      </c>
      <c r="L112">
        <f t="shared" ca="1" si="41"/>
        <v>-5.4705810259322786E-2</v>
      </c>
      <c r="M112">
        <f t="shared" si="34"/>
        <v>-5.4705811988318281E-2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7.6398119794751826</v>
      </c>
      <c r="C113" s="1">
        <f t="shared" si="37"/>
        <v>0.36506563556089766</v>
      </c>
      <c r="D113" t="str">
        <f t="shared" si="35"/>
        <v>y</v>
      </c>
      <c r="E113" s="4">
        <f t="shared" si="32"/>
        <v>0.29741104880166302</v>
      </c>
      <c r="F113" s="1">
        <f t="shared" si="38"/>
        <v>7.6398119794751826</v>
      </c>
      <c r="G113" s="1">
        <f t="shared" si="38"/>
        <v>0.36506563556089766</v>
      </c>
      <c r="H113">
        <f t="shared" si="33"/>
        <v>-20.513174154716594</v>
      </c>
      <c r="I113">
        <f t="shared" si="39"/>
        <v>-7.488654960162993</v>
      </c>
      <c r="J113">
        <f t="shared" si="40"/>
        <v>156.71679364426456</v>
      </c>
      <c r="K113">
        <f t="shared" ca="1" si="45"/>
        <v>-144.56197390617132</v>
      </c>
      <c r="L113">
        <f t="shared" ca="1" si="41"/>
        <v>-4.9848956519369424E-3</v>
      </c>
      <c r="M113">
        <f t="shared" si="34"/>
        <v>-4.9848958094862433E-3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-4.3082751490729922</v>
      </c>
      <c r="C114" s="1">
        <f t="shared" si="37"/>
        <v>-8.4521455997799819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-4.3082751490729922</v>
      </c>
      <c r="C115" s="1">
        <f t="shared" si="37"/>
        <v>-8.4521455997799819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-4.3082751490729922</v>
      </c>
      <c r="C116" s="1">
        <f t="shared" si="37"/>
        <v>-8.4521455997799819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-4.3082751490729922</v>
      </c>
      <c r="C117" s="1">
        <f t="shared" si="37"/>
        <v>-8.4521455997799819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-4.3082751490729922</v>
      </c>
      <c r="C118" s="1">
        <f t="shared" si="37"/>
        <v>-8.4521455997799819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-4.3082751490729922</v>
      </c>
      <c r="C119" s="1">
        <f t="shared" si="37"/>
        <v>-8.4521455997799819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-4.3082751490729922</v>
      </c>
      <c r="C120" s="1">
        <f t="shared" si="37"/>
        <v>-8.4521455997799819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-4.3082751490729922</v>
      </c>
      <c r="C121" s="1">
        <f t="shared" si="37"/>
        <v>-8.4521455997799819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8.3022886638377429</v>
      </c>
      <c r="H122">
        <f>SUM(H110:H121)</f>
        <v>-1360.0406964600434</v>
      </c>
      <c r="I122">
        <f t="shared" ref="I122:J122" si="46">SUM(I110:I121)</f>
        <v>8849.6927830361001</v>
      </c>
      <c r="J122">
        <f t="shared" si="46"/>
        <v>575.54537992608743</v>
      </c>
      <c r="L122">
        <f ca="1">MIN(L110:L121)</f>
        <v>-0.1391543549852769</v>
      </c>
      <c r="M122">
        <f>MIN(M110:M121)</f>
        <v>-0.13915435938329701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0.66247668436256069</v>
      </c>
      <c r="F125" s="1" t="s">
        <v>27</v>
      </c>
      <c r="G125" s="1" t="s">
        <v>28</v>
      </c>
    </row>
    <row r="126" spans="1:16" x14ac:dyDescent="0.25">
      <c r="F126" s="4">
        <f>MIN(B84:B90)-1</f>
        <v>-5.3082751490729922</v>
      </c>
      <c r="G126" s="4">
        <f>B125</f>
        <v>0.66247668436256069</v>
      </c>
    </row>
    <row r="127" spans="1:16" x14ac:dyDescent="0.25">
      <c r="F127" s="4">
        <f>MAX(B84:B90)+1</f>
        <v>10.34668156926778</v>
      </c>
      <c r="G127" s="4">
        <f>G126</f>
        <v>0.66247668436256069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-4.3082751490729922</v>
      </c>
      <c r="C132" s="4">
        <f>C84</f>
        <v>-8.4521455997799819</v>
      </c>
      <c r="D132" s="4">
        <f t="shared" ref="D132:E139" si="47">B85</f>
        <v>1.6246672406095946</v>
      </c>
      <c r="E132" s="4">
        <f t="shared" si="47"/>
        <v>-9.3466815692677798</v>
      </c>
      <c r="F132" s="4">
        <f t="shared" ref="F132:F139" si="48">($B$66/$B$65)*(C132-$B$125)</f>
        <v>-590.48635041671082</v>
      </c>
      <c r="G132" s="4">
        <f t="shared" ref="G132:G139" si="49">($B$66/$B$65)*(E132-$B$125)</f>
        <v>-648.43842604559302</v>
      </c>
      <c r="H132" s="4">
        <f>IF(B132=D132,"V",(C132-E132)/(B132-D132))</f>
        <v>-0.15077442367271252</v>
      </c>
      <c r="I132" s="4">
        <f>IF(H132="V",0,(-1*B132*H132)+C132)</f>
        <v>-9.1017233024049311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1.6246672406095946</v>
      </c>
      <c r="C133" s="4">
        <f t="shared" si="50"/>
        <v>-9.3466815692677798</v>
      </c>
      <c r="D133" s="4">
        <f t="shared" si="47"/>
        <v>2.5192032100973938</v>
      </c>
      <c r="E133" s="4">
        <f t="shared" si="47"/>
        <v>-3.4137391795851935</v>
      </c>
      <c r="F133" s="4">
        <f t="shared" si="48"/>
        <v>-648.43842604559302</v>
      </c>
      <c r="G133" s="4">
        <f t="shared" si="49"/>
        <v>-264.07565272351189</v>
      </c>
      <c r="H133" s="4">
        <f t="shared" ref="H133:H139" si="51">IF(B133=D133,"V",(C133-E133)/(B133-D133))</f>
        <v>6.6324246224327004</v>
      </c>
      <c r="I133" s="4">
        <f t="shared" ref="I133:I139" si="52">IF(H133="V",0,(-1*B133*H133)+C133)</f>
        <v>-20.122164579146649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2.5192032100973938</v>
      </c>
      <c r="C134" s="4">
        <f t="shared" si="50"/>
        <v>-3.4137391795851935</v>
      </c>
      <c r="D134" s="4">
        <f t="shared" si="47"/>
        <v>8.4521455997799819</v>
      </c>
      <c r="E134" s="4">
        <f t="shared" si="47"/>
        <v>-4.3082751490729922</v>
      </c>
      <c r="F134" s="4">
        <f t="shared" si="48"/>
        <v>-264.07565272351189</v>
      </c>
      <c r="G134" s="4">
        <f t="shared" si="49"/>
        <v>-322.02772835239421</v>
      </c>
      <c r="H134" s="4">
        <f t="shared" si="51"/>
        <v>-0.15077442367271265</v>
      </c>
      <c r="I134" s="4">
        <f t="shared" si="52"/>
        <v>-3.0339077674683113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8.4521455997799819</v>
      </c>
      <c r="C135" s="4">
        <f t="shared" si="50"/>
        <v>-4.3082751490729922</v>
      </c>
      <c r="D135" s="4">
        <f t="shared" si="47"/>
        <v>9.3466815692677798</v>
      </c>
      <c r="E135" s="4">
        <f t="shared" si="47"/>
        <v>1.6246672406095946</v>
      </c>
      <c r="F135" s="4">
        <f t="shared" si="48"/>
        <v>-322.02772835239421</v>
      </c>
      <c r="G135" s="4">
        <f t="shared" si="49"/>
        <v>62.335044969686919</v>
      </c>
      <c r="H135" s="4">
        <f t="shared" si="51"/>
        <v>6.632424622432711</v>
      </c>
      <c r="I135" s="4">
        <f t="shared" si="52"/>
        <v>-60.366493737440038</v>
      </c>
      <c r="J135" s="4">
        <f t="shared" si="53"/>
        <v>9.2016078426863057</v>
      </c>
      <c r="K135" s="4">
        <f t="shared" si="54"/>
        <v>0.66247668436256069</v>
      </c>
      <c r="L135" s="4">
        <f t="shared" si="55"/>
        <v>9.3466815692677798</v>
      </c>
      <c r="M135" s="4">
        <f t="shared" si="56"/>
        <v>1.6246672406095946</v>
      </c>
      <c r="N135" s="4">
        <f t="shared" si="57"/>
        <v>0</v>
      </c>
      <c r="O135" s="4">
        <f t="shared" si="57"/>
        <v>62.335044969686919</v>
      </c>
      <c r="P135" s="4">
        <f t="shared" si="58"/>
        <v>278.84831899912786</v>
      </c>
      <c r="Q135" s="4">
        <f t="shared" si="59"/>
        <v>363.83321897639235</v>
      </c>
      <c r="R135" s="4">
        <f t="shared" si="60"/>
        <v>-1296.4284933874796</v>
      </c>
    </row>
    <row r="136" spans="1:18" x14ac:dyDescent="0.25">
      <c r="A136" t="s">
        <v>73</v>
      </c>
      <c r="B136" s="4">
        <f t="shared" si="50"/>
        <v>9.3466815692677798</v>
      </c>
      <c r="C136" s="4">
        <f t="shared" si="50"/>
        <v>1.6246672406095946</v>
      </c>
      <c r="D136" s="4">
        <f t="shared" si="47"/>
        <v>-2.5192032100973938</v>
      </c>
      <c r="E136" s="4">
        <f t="shared" si="47"/>
        <v>3.4137391795851935</v>
      </c>
      <c r="F136" s="4">
        <f t="shared" si="48"/>
        <v>62.335044969686919</v>
      </c>
      <c r="G136" s="4">
        <f t="shared" si="49"/>
        <v>178.23919622745157</v>
      </c>
      <c r="H136" s="4">
        <f t="shared" si="51"/>
        <v>-0.15077442367271279</v>
      </c>
      <c r="I136" s="4">
        <f t="shared" si="52"/>
        <v>3.0339077674683108</v>
      </c>
      <c r="J136" s="4">
        <f t="shared" si="53"/>
        <v>9.3466815692677798</v>
      </c>
      <c r="K136" s="4">
        <f t="shared" si="54"/>
        <v>1.6246672406095946</v>
      </c>
      <c r="L136" s="4">
        <f t="shared" si="55"/>
        <v>-2.5192032100973938</v>
      </c>
      <c r="M136" s="4">
        <f t="shared" si="56"/>
        <v>3.4137391795851935</v>
      </c>
      <c r="N136" s="4">
        <f t="shared" si="57"/>
        <v>62.335044969686919</v>
      </c>
      <c r="O136" s="4">
        <f t="shared" si="57"/>
        <v>178.23919622745157</v>
      </c>
      <c r="P136" s="4">
        <f t="shared" si="58"/>
        <v>529.6012203451221</v>
      </c>
      <c r="Q136" s="4">
        <f t="shared" si="59"/>
        <v>1059.0004223169781</v>
      </c>
      <c r="R136" s="4">
        <f t="shared" si="60"/>
        <v>-1816.4912204798484</v>
      </c>
    </row>
    <row r="137" spans="1:18" x14ac:dyDescent="0.25">
      <c r="A137" t="s">
        <v>74</v>
      </c>
      <c r="B137" s="4">
        <f t="shared" si="50"/>
        <v>-2.5192032100973938</v>
      </c>
      <c r="C137" s="4">
        <f t="shared" si="50"/>
        <v>3.4137391795851935</v>
      </c>
      <c r="D137" s="4">
        <f t="shared" si="47"/>
        <v>-4.3082751490729922</v>
      </c>
      <c r="E137" s="4">
        <f t="shared" si="47"/>
        <v>-8.4521455997799819</v>
      </c>
      <c r="F137" s="4">
        <f t="shared" si="48"/>
        <v>178.23919622745157</v>
      </c>
      <c r="G137" s="4">
        <f t="shared" si="49"/>
        <v>-590.48635041671082</v>
      </c>
      <c r="H137" s="4">
        <f t="shared" si="51"/>
        <v>6.6324246224327013</v>
      </c>
      <c r="I137" s="4">
        <f t="shared" si="52"/>
        <v>20.122164579146649</v>
      </c>
      <c r="J137" s="4">
        <f t="shared" si="53"/>
        <v>-2.5192032100973938</v>
      </c>
      <c r="K137" s="4">
        <f t="shared" si="54"/>
        <v>3.4137391795851935</v>
      </c>
      <c r="L137" s="4">
        <f t="shared" si="55"/>
        <v>-2.9340232271869358</v>
      </c>
      <c r="M137" s="4">
        <f t="shared" si="56"/>
        <v>0.66247668436256069</v>
      </c>
      <c r="N137" s="4">
        <f t="shared" si="57"/>
        <v>178.23919622745157</v>
      </c>
      <c r="O137" s="4">
        <f t="shared" si="57"/>
        <v>0</v>
      </c>
      <c r="P137" s="4">
        <f t="shared" si="58"/>
        <v>651.59041648754896</v>
      </c>
      <c r="Q137" s="4">
        <f t="shared" si="59"/>
        <v>1611.2481007189019</v>
      </c>
      <c r="R137" s="4">
        <f t="shared" si="60"/>
        <v>866.96511100492046</v>
      </c>
    </row>
    <row r="138" spans="1:18" x14ac:dyDescent="0.25">
      <c r="A138" t="s">
        <v>75</v>
      </c>
      <c r="B138" s="4">
        <f t="shared" si="50"/>
        <v>-4.3082751490729922</v>
      </c>
      <c r="C138" s="4">
        <f t="shared" si="50"/>
        <v>-8.4521455997799819</v>
      </c>
      <c r="D138" s="4">
        <f t="shared" si="47"/>
        <v>-4.3082751490729922</v>
      </c>
      <c r="E138" s="4">
        <f t="shared" si="47"/>
        <v>-8.4521455997799819</v>
      </c>
      <c r="F138" s="4">
        <f t="shared" si="48"/>
        <v>-590.48635041671082</v>
      </c>
      <c r="G138" s="4">
        <f t="shared" si="49"/>
        <v>-590.48635041671082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-4.3082751490729922</v>
      </c>
      <c r="C139" s="4">
        <f>E138</f>
        <v>-8.4521455997799819</v>
      </c>
      <c r="D139" s="4">
        <f t="shared" si="47"/>
        <v>-4.3082751490729922</v>
      </c>
      <c r="E139" s="4">
        <f t="shared" si="47"/>
        <v>-8.4521455997799819</v>
      </c>
      <c r="F139" s="4">
        <f t="shared" si="48"/>
        <v>-590.48635041671082</v>
      </c>
      <c r="G139" s="4">
        <f t="shared" si="49"/>
        <v>-590.48635041671082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1460.039955831799</v>
      </c>
      <c r="Q140" s="4">
        <f>SUM(Q132:Q139)</f>
        <v>3034.0817420122721</v>
      </c>
      <c r="R140" s="4">
        <f>SUM(R132:R139)</f>
        <v>-2245.9546028624077</v>
      </c>
    </row>
    <row r="142" spans="1:18" x14ac:dyDescent="0.25">
      <c r="O142" t="s">
        <v>96</v>
      </c>
      <c r="P142" s="1">
        <f>-1*R140/P140</f>
        <v>1.5382829722511706</v>
      </c>
    </row>
    <row r="143" spans="1:18" x14ac:dyDescent="0.25">
      <c r="O143" t="s">
        <v>97</v>
      </c>
      <c r="P143" s="1">
        <f>Q140/P140</f>
        <v>2.0780813085924938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-4.3082751490729922</v>
      </c>
      <c r="C146" s="9">
        <f>J84</f>
        <v>-8.4521455997799819</v>
      </c>
      <c r="D146" s="9">
        <f t="shared" ref="D146:E153" si="61">I85</f>
        <v>-4.3082751490729922</v>
      </c>
      <c r="E146">
        <f t="shared" si="61"/>
        <v>-8.4521455997799819</v>
      </c>
      <c r="F146" s="4">
        <f>($B$66/$B$65)*(C146-$B$125)</f>
        <v>-590.48635041671082</v>
      </c>
      <c r="G146" s="4">
        <f>($B$66/$B$65)*(E146-$B$125)</f>
        <v>-590.48635041671082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-4.3082751490729922</v>
      </c>
      <c r="C147">
        <f t="shared" si="62"/>
        <v>-8.4521455997799819</v>
      </c>
      <c r="D147" s="9">
        <f t="shared" si="61"/>
        <v>-4.3082751490729922</v>
      </c>
      <c r="E147">
        <f t="shared" si="61"/>
        <v>-8.4521455997799819</v>
      </c>
      <c r="F147" s="4">
        <f t="shared" ref="F147:F153" si="63">($B$66/$B$65)*(C147-$B$125)</f>
        <v>-590.48635041671082</v>
      </c>
      <c r="G147" s="4">
        <f t="shared" ref="G147:G153" si="64">($B$66/$B$65)*(E147-$B$125)</f>
        <v>-590.48635041671082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-4.3082751490729922</v>
      </c>
      <c r="C148">
        <f t="shared" si="62"/>
        <v>-8.4521455997799819</v>
      </c>
      <c r="D148" s="9">
        <f t="shared" si="61"/>
        <v>-4.3082751490729922</v>
      </c>
      <c r="E148">
        <f t="shared" si="61"/>
        <v>-8.4521455997799819</v>
      </c>
      <c r="F148" s="4">
        <f t="shared" si="63"/>
        <v>-590.48635041671082</v>
      </c>
      <c r="G148" s="4">
        <f t="shared" si="64"/>
        <v>-590.48635041671082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-4.3082751490729922</v>
      </c>
      <c r="C149">
        <f t="shared" si="62"/>
        <v>-8.4521455997799819</v>
      </c>
      <c r="D149" s="9">
        <f t="shared" si="61"/>
        <v>-4.3082751490729922</v>
      </c>
      <c r="E149">
        <f t="shared" si="61"/>
        <v>-8.4521455997799819</v>
      </c>
      <c r="F149" s="4">
        <f t="shared" si="63"/>
        <v>-590.48635041671082</v>
      </c>
      <c r="G149" s="4">
        <f t="shared" si="64"/>
        <v>-590.48635041671082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-4.3082751490729922</v>
      </c>
      <c r="C150">
        <f t="shared" si="62"/>
        <v>-8.4521455997799819</v>
      </c>
      <c r="D150" s="9">
        <f t="shared" si="61"/>
        <v>-4.3082751490729922</v>
      </c>
      <c r="E150">
        <f t="shared" si="61"/>
        <v>-8.4521455997799819</v>
      </c>
      <c r="F150" s="4">
        <f t="shared" si="63"/>
        <v>-590.48635041671082</v>
      </c>
      <c r="G150" s="4">
        <f t="shared" si="64"/>
        <v>-590.48635041671082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-4.3082751490729922</v>
      </c>
      <c r="C151">
        <f t="shared" si="62"/>
        <v>-8.4521455997799819</v>
      </c>
      <c r="D151" s="9">
        <f t="shared" si="61"/>
        <v>-4.3082751490729922</v>
      </c>
      <c r="E151">
        <f t="shared" si="61"/>
        <v>-8.4521455997799819</v>
      </c>
      <c r="F151" s="4">
        <f t="shared" si="63"/>
        <v>-590.48635041671082</v>
      </c>
      <c r="G151" s="4">
        <f t="shared" si="64"/>
        <v>-590.48635041671082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-4.3082751490729922</v>
      </c>
      <c r="C152">
        <f t="shared" si="62"/>
        <v>-8.4521455997799819</v>
      </c>
      <c r="D152" s="9">
        <f t="shared" si="61"/>
        <v>-3.4137391795851935</v>
      </c>
      <c r="E152">
        <f t="shared" si="61"/>
        <v>-2.5192032100973951</v>
      </c>
      <c r="F152" s="4">
        <f t="shared" si="63"/>
        <v>-590.48635041671082</v>
      </c>
      <c r="G152" s="4">
        <f t="shared" si="64"/>
        <v>-206.12357709462967</v>
      </c>
      <c r="H152" s="4">
        <f t="shared" si="65"/>
        <v>6.6324246224327048</v>
      </c>
      <c r="I152" s="4">
        <f t="shared" si="66"/>
        <v>20.122164579146663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-3.4137391795851935</v>
      </c>
      <c r="C153">
        <f t="shared" si="62"/>
        <v>-2.5192032100973951</v>
      </c>
      <c r="D153" s="9">
        <f t="shared" si="61"/>
        <v>-4.3082751490729922</v>
      </c>
      <c r="E153">
        <f t="shared" si="61"/>
        <v>-8.4521455997799819</v>
      </c>
      <c r="F153" s="4">
        <f t="shared" si="63"/>
        <v>-206.12357709462967</v>
      </c>
      <c r="G153" s="4">
        <f t="shared" si="64"/>
        <v>-590.48635041671082</v>
      </c>
      <c r="H153" s="4">
        <f t="shared" si="65"/>
        <v>6.6324246224327048</v>
      </c>
      <c r="I153" s="4">
        <f t="shared" si="66"/>
        <v>20.122164579146663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99.99925937175567</v>
      </c>
      <c r="C159" t="s">
        <v>36</v>
      </c>
    </row>
    <row r="160" spans="1:18" x14ac:dyDescent="0.25">
      <c r="A160" s="1" t="s">
        <v>106</v>
      </c>
      <c r="B160" s="4">
        <f>Q140+I122+Q154-O122</f>
        <v>11883.774525048371</v>
      </c>
      <c r="C160" t="s">
        <v>102</v>
      </c>
    </row>
    <row r="161" spans="1:9" x14ac:dyDescent="0.25">
      <c r="A161" s="1" t="s">
        <v>107</v>
      </c>
      <c r="B161" s="4">
        <f>R140+J122+R154-P122</f>
        <v>-1670.4092229363202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99.99925937175567</v>
      </c>
      <c r="C164" t="s">
        <v>36</v>
      </c>
      <c r="E164" s="8">
        <f>B2-B164</f>
        <v>7.4062824432985508E-4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11999.998460461706</v>
      </c>
      <c r="C165" t="s">
        <v>102</v>
      </c>
      <c r="E165" s="8">
        <f>B3+B165</f>
        <v>-1.5395382943097502E-3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120.00367984381865</v>
      </c>
      <c r="C166" t="s">
        <v>102</v>
      </c>
      <c r="E166" s="8">
        <f>B4+B166</f>
        <v>3.6798438186451676E-3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178.23919622745157</v>
      </c>
      <c r="B169" s="1">
        <f ca="1">IF(E122=0,0,(MIN(H110:H121)*B65)/(B55*B56*E122))</f>
        <v>-178.23919059414212</v>
      </c>
      <c r="C169" s="3">
        <f ca="1">A169+B169</f>
        <v>5.6333094562432962E-6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-9.0975071409462674E-8</v>
      </c>
      <c r="C175" s="27">
        <f>B65*SQRT(I175)</f>
        <v>4.0807817509346258E-8</v>
      </c>
      <c r="D175" s="27">
        <f>B66*SQRT(I175)</f>
        <v>2.6437145148063467E-6</v>
      </c>
      <c r="E175" s="27">
        <f>B67*SQRT(I175)</f>
        <v>8.4934657228659421E-6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-6.1335381541594076</v>
      </c>
      <c r="C176" s="3">
        <f>B65+C175</f>
        <v>2.7512625360304503</v>
      </c>
      <c r="D176" s="3">
        <f>D175+B66</f>
        <v>178.23919887116608</v>
      </c>
      <c r="E176" s="3">
        <f>B67+E175</f>
        <v>572.62935071271374</v>
      </c>
      <c r="F176" s="16" t="s">
        <v>125</v>
      </c>
    </row>
    <row r="177" spans="1:13" x14ac:dyDescent="0.25">
      <c r="B177" s="27">
        <f>B176-B64</f>
        <v>-9.097507103206226E-8</v>
      </c>
      <c r="C177" s="27">
        <f>C176-B65</f>
        <v>4.0807817569543658E-8</v>
      </c>
      <c r="D177" s="27">
        <f>D176-B66</f>
        <v>2.6437145095314918E-6</v>
      </c>
      <c r="E177" s="27">
        <f>E176-B67</f>
        <v>8.4934657706980943E-6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-8.1914675888450379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-9.3466816027781405</v>
      </c>
      <c r="B181" s="25">
        <f>(d_alpha_p!E136-d_alpha_m!E136)/(2*B177)</f>
        <v>2.5192035739861662</v>
      </c>
      <c r="C181" s="25">
        <f>(d_alpha_p!E137-d_alpha_m!E137)/(2*B177)</f>
        <v>4.308274456026167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-7.4062824432985508E-4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1.5395382943097502E-3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-3.6798438186451676E-3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-5.6333094562432962E-6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-8.1914675888450379</v>
      </c>
      <c r="B190" s="25">
        <f>A181</f>
        <v>-9.3466816027781405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2.5192035739861662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4.308274456026167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-8.1914675888450379</v>
      </c>
      <c r="B201" s="25">
        <f t="shared" ref="B201:C201" si="77">B190</f>
        <v>-9.3466816027781405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2.5192035739861662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4.308274456026167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-12000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-47.61904761904762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-3.131592986903128</v>
      </c>
      <c r="C5" t="s">
        <v>19</v>
      </c>
      <c r="I5">
        <f>SUM(I2:I4)</f>
        <v>-47.06349206349207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-47.61904761904762</v>
      </c>
      <c r="AB14">
        <f>$B$4/Z14</f>
        <v>-0.12345679012345678</v>
      </c>
      <c r="AC14">
        <f>$I$2+AA14+AB14</f>
        <v>-46.816578483245152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-15.873015873015873</v>
      </c>
      <c r="AB15">
        <f t="shared" ref="AB15:AB21" si="11">$B$4/Z15</f>
        <v>-0.12345679012345678</v>
      </c>
      <c r="AC15">
        <f t="shared" ref="AC15:AC20" si="12">$I$2+AA15+AB15</f>
        <v>-15.070546737213405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-15.873015873015873</v>
      </c>
      <c r="AB16">
        <f t="shared" si="11"/>
        <v>-0.37037037037037035</v>
      </c>
      <c r="AC16">
        <f t="shared" si="12"/>
        <v>-15.317460317460318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15.873015873015873</v>
      </c>
      <c r="AB17">
        <f t="shared" si="11"/>
        <v>-0.37037037037037035</v>
      </c>
      <c r="AC17">
        <f t="shared" si="12"/>
        <v>16.428571428571431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15.873015873015873</v>
      </c>
      <c r="AB18">
        <f t="shared" si="11"/>
        <v>0.12345679012345678</v>
      </c>
      <c r="AC18">
        <f t="shared" si="12"/>
        <v>16.922398589065256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-47.61904761904762</v>
      </c>
      <c r="AB19">
        <f t="shared" si="11"/>
        <v>0.12345679012345678</v>
      </c>
      <c r="AC19">
        <f t="shared" si="12"/>
        <v>-46.569664902998241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-47.61904761904762</v>
      </c>
      <c r="AB20">
        <f t="shared" si="11"/>
        <v>0.12345679012345678</v>
      </c>
      <c r="AC20">
        <f t="shared" si="12"/>
        <v>-46.569664902998241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5.9999999999999982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-6.1335381541594094</v>
      </c>
      <c r="C64" t="s">
        <v>19</v>
      </c>
      <c r="D64" t="s">
        <v>34</v>
      </c>
      <c r="H64" s="17">
        <f>DEGREES(B64)</f>
        <v>-351.42584971579544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2.7512625360304503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178.23919622745157</v>
      </c>
      <c r="C66" t="s">
        <v>11</v>
      </c>
      <c r="D66">
        <f>B66/B53</f>
        <v>4.6113810964629097E-2</v>
      </c>
      <c r="I66" s="20"/>
    </row>
    <row r="67" spans="1:18" x14ac:dyDescent="0.25">
      <c r="A67" s="1" t="s">
        <v>37</v>
      </c>
      <c r="B67" s="17">
        <f>'Rigid Bearing Plate Analysis'!B67</f>
        <v>572.62934221924797</v>
      </c>
      <c r="C67" t="s">
        <v>36</v>
      </c>
      <c r="D67" t="s">
        <v>122</v>
      </c>
      <c r="G67" s="20">
        <f ca="1">($B$56*$B$66*$B$55*$E$122)/$B$65</f>
        <v>572.62933091116645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-10.34668142146352</v>
      </c>
      <c r="R76">
        <f>Q76</f>
        <v>-10.34668142146352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10.34668142146352</v>
      </c>
      <c r="R77">
        <f>Q77</f>
        <v>10.34668142146352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-3.0000000000000018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-4.3082743801384131</v>
      </c>
      <c r="C84" s="1">
        <f t="shared" ref="C84:C92" si="23">(-1*B73*SIN($B$64))+(C73*COS($B$64))</f>
        <v>-8.4521459917255921</v>
      </c>
      <c r="H84" s="1">
        <f t="shared" ref="H84:H92" si="24">H73</f>
        <v>1</v>
      </c>
      <c r="I84" s="4">
        <f>(I73*COS($B$64))+(J73*SIN($B$64))</f>
        <v>-4.3082743801384131</v>
      </c>
      <c r="J84" s="1">
        <f>(-1*I73*SIN($B$64))+(J73*COS($B$64))</f>
        <v>-8.4521459917255921</v>
      </c>
    </row>
    <row r="85" spans="1:10" x14ac:dyDescent="0.25">
      <c r="A85" s="1">
        <f t="shared" si="21"/>
        <v>2</v>
      </c>
      <c r="B85" s="4">
        <f t="shared" si="22"/>
        <v>1.6246680909246241</v>
      </c>
      <c r="C85" s="1">
        <f t="shared" si="23"/>
        <v>-9.3466814214635203</v>
      </c>
      <c r="H85" s="1">
        <f t="shared" si="24"/>
        <v>2</v>
      </c>
      <c r="I85" s="4">
        <f t="shared" ref="I85:I92" si="25">(I74*COS($B$64))+(J74*SIN($B$64))</f>
        <v>-4.3082743801384131</v>
      </c>
      <c r="J85" s="1">
        <f t="shared" ref="J85:J92" si="26">(-1*I74*SIN($B$64))+(J74*COS($B$64))</f>
        <v>-8.4521459917255921</v>
      </c>
    </row>
    <row r="86" spans="1:10" x14ac:dyDescent="0.25">
      <c r="A86" s="1">
        <f t="shared" si="21"/>
        <v>3</v>
      </c>
      <c r="B86" s="4">
        <f t="shared" si="22"/>
        <v>2.5192035206625536</v>
      </c>
      <c r="C86" s="1">
        <f t="shared" si="23"/>
        <v>-3.4137389504004836</v>
      </c>
      <c r="H86" s="1">
        <f t="shared" si="24"/>
        <v>3</v>
      </c>
      <c r="I86" s="4">
        <f t="shared" si="25"/>
        <v>-4.3082743801384131</v>
      </c>
      <c r="J86" s="1">
        <f t="shared" si="26"/>
        <v>-8.4521459917255921</v>
      </c>
    </row>
    <row r="87" spans="1:10" x14ac:dyDescent="0.25">
      <c r="A87" s="1">
        <f t="shared" si="21"/>
        <v>4</v>
      </c>
      <c r="B87" s="4">
        <f t="shared" si="22"/>
        <v>8.4521459917255921</v>
      </c>
      <c r="C87" s="1">
        <f t="shared" si="23"/>
        <v>-4.3082743801384131</v>
      </c>
      <c r="H87" s="1">
        <f t="shared" si="24"/>
        <v>4</v>
      </c>
      <c r="I87" s="4">
        <f t="shared" si="25"/>
        <v>-4.3082743801384131</v>
      </c>
      <c r="J87" s="1">
        <f t="shared" si="26"/>
        <v>-8.4521459917255921</v>
      </c>
    </row>
    <row r="88" spans="1:10" x14ac:dyDescent="0.25">
      <c r="A88" s="1">
        <f t="shared" si="21"/>
        <v>5</v>
      </c>
      <c r="B88" s="4">
        <f t="shared" si="22"/>
        <v>9.3466814214635203</v>
      </c>
      <c r="C88" s="1">
        <f t="shared" si="23"/>
        <v>1.6246680909246241</v>
      </c>
      <c r="H88" s="1">
        <f t="shared" si="24"/>
        <v>5</v>
      </c>
      <c r="I88" s="4">
        <f t="shared" si="25"/>
        <v>-4.3082743801384131</v>
      </c>
      <c r="J88" s="1">
        <f t="shared" si="26"/>
        <v>-8.4521459917255921</v>
      </c>
    </row>
    <row r="89" spans="1:10" x14ac:dyDescent="0.25">
      <c r="A89" s="1">
        <f t="shared" si="21"/>
        <v>6</v>
      </c>
      <c r="B89" s="4">
        <f t="shared" si="22"/>
        <v>-2.5192035206625536</v>
      </c>
      <c r="C89" s="1">
        <f t="shared" si="23"/>
        <v>3.4137389504004836</v>
      </c>
      <c r="H89" s="1">
        <f t="shared" si="24"/>
        <v>6</v>
      </c>
      <c r="I89" s="4">
        <f t="shared" si="25"/>
        <v>-4.3082743801384131</v>
      </c>
      <c r="J89" s="1">
        <f t="shared" si="26"/>
        <v>-8.4521459917255921</v>
      </c>
    </row>
    <row r="90" spans="1:10" x14ac:dyDescent="0.25">
      <c r="A90" s="1">
        <f t="shared" si="21"/>
        <v>7</v>
      </c>
      <c r="B90" s="4">
        <f t="shared" si="22"/>
        <v>-4.3082743801384131</v>
      </c>
      <c r="C90" s="1">
        <f t="shared" si="23"/>
        <v>-8.4521459917255921</v>
      </c>
      <c r="H90" s="1">
        <f t="shared" si="24"/>
        <v>7</v>
      </c>
      <c r="I90" s="4">
        <f t="shared" si="25"/>
        <v>-4.3082743801384131</v>
      </c>
      <c r="J90" s="1">
        <f t="shared" si="26"/>
        <v>-8.4521459917255921</v>
      </c>
    </row>
    <row r="91" spans="1:10" x14ac:dyDescent="0.25">
      <c r="A91" s="1">
        <f t="shared" si="21"/>
        <v>8</v>
      </c>
      <c r="B91" s="4">
        <f t="shared" si="22"/>
        <v>-4.3082743801384131</v>
      </c>
      <c r="C91" s="1">
        <f t="shared" si="23"/>
        <v>-8.4521459917255921</v>
      </c>
      <c r="H91" s="1">
        <f t="shared" si="24"/>
        <v>8</v>
      </c>
      <c r="I91" s="4">
        <f t="shared" si="25"/>
        <v>-3.4137389504004836</v>
      </c>
      <c r="J91" s="1">
        <f t="shared" si="26"/>
        <v>-2.5192035206625554</v>
      </c>
    </row>
    <row r="92" spans="1:10" x14ac:dyDescent="0.25">
      <c r="A92" s="1">
        <f t="shared" si="21"/>
        <v>9</v>
      </c>
      <c r="B92" s="4">
        <f t="shared" si="22"/>
        <v>-4.3082743801384131</v>
      </c>
      <c r="C92" s="1">
        <f t="shared" si="23"/>
        <v>-8.4521459917255921</v>
      </c>
      <c r="H92" s="1">
        <f t="shared" si="24"/>
        <v>9</v>
      </c>
      <c r="I92" s="4">
        <f t="shared" si="25"/>
        <v>-4.3082743801384131</v>
      </c>
      <c r="J92" s="1">
        <f t="shared" si="26"/>
        <v>-8.4521459917255921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-2.6014049049381711</v>
      </c>
      <c r="C110" s="1">
        <f>(-1*B95*SIN($B$64))+(C95*COS($B$64))</f>
        <v>-7.1925442313943142</v>
      </c>
      <c r="D110" t="str">
        <f t="shared" ref="D110" si="31">D95</f>
        <v>y</v>
      </c>
      <c r="E110" s="4">
        <f t="shared" ref="E110:E121" si="32">IF($D110="y",$B$125-C110,0)</f>
        <v>7.8550206457643474</v>
      </c>
      <c r="F110" s="1">
        <f>IF($D110="y",B110,NA())</f>
        <v>-2.6014049049381711</v>
      </c>
      <c r="G110" s="1">
        <f>IF($D110="y",C110,NA())</f>
        <v>-7.1925442313943142</v>
      </c>
      <c r="H110">
        <f t="shared" ref="H110:H121" si="33">IF($E$122=0,0,-1*MAX(($B$67/$E$122)*(E110),0))</f>
        <v>-541.78018277837009</v>
      </c>
      <c r="I110">
        <f>H110*C110</f>
        <v>3896.777928326323</v>
      </c>
      <c r="J110">
        <f>H110*B110*-1</f>
        <v>-1409.3896248779508</v>
      </c>
      <c r="K110">
        <f ca="1">H110/$B$55</f>
        <v>-3818.0737927230616</v>
      </c>
      <c r="L110">
        <f ca="1">K110/$B$54</f>
        <v>-0.1316577169904504</v>
      </c>
      <c r="M110">
        <f t="shared" ref="M110:M121" si="34">IFERROR(($D$66/$B$65)*(G110-$B$125),0)</f>
        <v>-0.1316577143905204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0.36506633059334725</v>
      </c>
      <c r="C111" s="1">
        <f t="shared" ref="C111:C121" si="37">(-1*B96*SIN($B$64))+(C96*COS($B$64))</f>
        <v>-7.6398119462632783</v>
      </c>
      <c r="D111" t="str">
        <f t="shared" si="35"/>
        <v>y</v>
      </c>
      <c r="E111" s="4">
        <f t="shared" si="32"/>
        <v>8.3022883606333124</v>
      </c>
      <c r="F111" s="1">
        <f t="shared" ref="F111:G121" si="38">IF($D111="y",B111,NA())</f>
        <v>0.36506633059334725</v>
      </c>
      <c r="G111" s="1">
        <f t="shared" si="38"/>
        <v>-7.6398119462632783</v>
      </c>
      <c r="H111">
        <f t="shared" si="33"/>
        <v>-572.62934221924797</v>
      </c>
      <c r="I111">
        <f t="shared" ref="I111:I121" si="39">H111*C111</f>
        <v>4374.7804894674937</v>
      </c>
      <c r="J111">
        <f t="shared" ref="J111:J121" si="40">H111*B111*-1</f>
        <v>209.04769275406295</v>
      </c>
      <c r="K111">
        <f ca="1">H111/$B$55</f>
        <v>-4035.4762945730304</v>
      </c>
      <c r="L111">
        <f t="shared" ref="L111:L121" ca="1" si="41">K111/$B$54</f>
        <v>-0.1391543549852769</v>
      </c>
      <c r="M111">
        <f t="shared" si="34"/>
        <v>-0.13915435223730596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7.1925442313943142</v>
      </c>
      <c r="C112" s="1">
        <f t="shared" si="37"/>
        <v>-2.6014049049381711</v>
      </c>
      <c r="D112" t="str">
        <f t="shared" si="35"/>
        <v>y</v>
      </c>
      <c r="E112" s="4">
        <f t="shared" si="32"/>
        <v>3.2638813193082044</v>
      </c>
      <c r="F112" s="1">
        <f t="shared" si="38"/>
        <v>7.1925442313943142</v>
      </c>
      <c r="G112" s="1">
        <f t="shared" si="38"/>
        <v>-2.6014049049381711</v>
      </c>
      <c r="H112">
        <f t="shared" si="33"/>
        <v>-225.11795926280956</v>
      </c>
      <c r="I112">
        <f t="shared" si="39"/>
        <v>585.62296341594424</v>
      </c>
      <c r="J112">
        <f t="shared" si="40"/>
        <v>1619.1708792789811</v>
      </c>
      <c r="K112">
        <f t="shared" ref="K112:K121" ca="1" si="45">H112/$B$55</f>
        <v>-1586.4681061696192</v>
      </c>
      <c r="L112">
        <f t="shared" ca="1" si="41"/>
        <v>-5.4705796764469627E-2</v>
      </c>
      <c r="M112">
        <f t="shared" si="34"/>
        <v>-5.4705795684158925E-2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7.6398119462632783</v>
      </c>
      <c r="C113" s="1">
        <f t="shared" si="37"/>
        <v>0.36506633059334725</v>
      </c>
      <c r="D113" t="str">
        <f t="shared" si="35"/>
        <v>y</v>
      </c>
      <c r="E113" s="4">
        <f t="shared" si="32"/>
        <v>0.29741008377668599</v>
      </c>
      <c r="F113" s="1">
        <f t="shared" si="38"/>
        <v>7.6398119462632783</v>
      </c>
      <c r="G113" s="1">
        <f t="shared" si="38"/>
        <v>0.36506633059334725</v>
      </c>
      <c r="H113">
        <f t="shared" si="33"/>
        <v>-20.513108343712588</v>
      </c>
      <c r="I113">
        <f t="shared" si="39"/>
        <v>-7.48864519210293</v>
      </c>
      <c r="J113">
        <f t="shared" si="40"/>
        <v>156.71629017928836</v>
      </c>
      <c r="K113">
        <f t="shared" ca="1" si="45"/>
        <v>-144.56151011794566</v>
      </c>
      <c r="L113">
        <f t="shared" ca="1" si="41"/>
        <v>-4.9848796592395052E-3</v>
      </c>
      <c r="M113">
        <f t="shared" si="34"/>
        <v>-4.9848795607998668E-3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-4.3082743801384131</v>
      </c>
      <c r="C114" s="1">
        <f t="shared" si="37"/>
        <v>-8.4521459917255921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-4.3082743801384131</v>
      </c>
      <c r="C115" s="1">
        <f t="shared" si="37"/>
        <v>-8.4521459917255921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-4.3082743801384131</v>
      </c>
      <c r="C116" s="1">
        <f t="shared" si="37"/>
        <v>-8.4521459917255921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-4.3082743801384131</v>
      </c>
      <c r="C117" s="1">
        <f t="shared" si="37"/>
        <v>-8.4521459917255921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-4.3082743801384131</v>
      </c>
      <c r="C118" s="1">
        <f t="shared" si="37"/>
        <v>-8.4521459917255921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-4.3082743801384131</v>
      </c>
      <c r="C119" s="1">
        <f t="shared" si="37"/>
        <v>-8.4521459917255921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-4.3082743801384131</v>
      </c>
      <c r="C120" s="1">
        <f t="shared" si="37"/>
        <v>-8.4521459917255921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-4.3082743801384131</v>
      </c>
      <c r="C121" s="1">
        <f t="shared" si="37"/>
        <v>-8.4521459917255921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8.3022883606333124</v>
      </c>
      <c r="H122">
        <f>SUM(H110:H121)</f>
        <v>-1360.0405926041403</v>
      </c>
      <c r="I122">
        <f t="shared" ref="I122:J122" si="46">SUM(I110:I121)</f>
        <v>8849.6927360176578</v>
      </c>
      <c r="J122">
        <f t="shared" si="46"/>
        <v>575.54523733438145</v>
      </c>
      <c r="L122">
        <f ca="1">MIN(L110:L121)</f>
        <v>-0.1391543549852769</v>
      </c>
      <c r="M122">
        <f>MIN(M110:M121)</f>
        <v>-0.13915435223730596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0.66247641437003324</v>
      </c>
      <c r="F125" s="1" t="s">
        <v>27</v>
      </c>
      <c r="G125" s="1" t="s">
        <v>28</v>
      </c>
    </row>
    <row r="126" spans="1:16" x14ac:dyDescent="0.25">
      <c r="F126" s="4">
        <f>MIN(B84:B90)-1</f>
        <v>-5.3082743801384131</v>
      </c>
      <c r="G126" s="4">
        <f>B125</f>
        <v>0.66247641437003324</v>
      </c>
    </row>
    <row r="127" spans="1:16" x14ac:dyDescent="0.25">
      <c r="F127" s="4">
        <f>MAX(B84:B90)+1</f>
        <v>10.34668142146352</v>
      </c>
      <c r="G127" s="4">
        <f>G126</f>
        <v>0.66247641437003324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-4.3082743801384131</v>
      </c>
      <c r="C132" s="4">
        <f>C84</f>
        <v>-8.4521459917255921</v>
      </c>
      <c r="D132" s="4">
        <f t="shared" ref="D132:E139" si="47">B85</f>
        <v>1.6246680909246241</v>
      </c>
      <c r="E132" s="4">
        <f t="shared" si="47"/>
        <v>-9.3466814214635203</v>
      </c>
      <c r="F132" s="4">
        <f t="shared" ref="F132:F139" si="48">($B$66/$B$65)*(C132-$B$125)</f>
        <v>-590.48634955905368</v>
      </c>
      <c r="G132" s="4">
        <f t="shared" ref="G132:G139" si="49">($B$66/$B$65)*(E132-$B$125)</f>
        <v>-648.43838936093675</v>
      </c>
      <c r="H132" s="4">
        <f>IF(B132=D132,"V",(C132-E132)/(B132-D132))</f>
        <v>-0.15077433062951132</v>
      </c>
      <c r="I132" s="4">
        <f>IF(H132="V",0,(-1*B132*H132)+C132)</f>
        <v>-9.1017231775592347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1.6246680909246241</v>
      </c>
      <c r="C133" s="4">
        <f t="shared" si="50"/>
        <v>-9.3466814214635203</v>
      </c>
      <c r="D133" s="4">
        <f t="shared" si="47"/>
        <v>2.5192035206625536</v>
      </c>
      <c r="E133" s="4">
        <f t="shared" si="47"/>
        <v>-3.4137389504004836</v>
      </c>
      <c r="F133" s="4">
        <f t="shared" si="48"/>
        <v>-648.43838936093675</v>
      </c>
      <c r="G133" s="4">
        <f t="shared" si="49"/>
        <v>-264.0756164676842</v>
      </c>
      <c r="H133" s="4">
        <f t="shared" ref="H133:H139" si="51">IF(B133=D133,"V",(C133-E133)/(B133-D133))</f>
        <v>6.6324287153178494</v>
      </c>
      <c r="I133" s="4">
        <f t="shared" ref="I133:I139" si="52">IF(H133="V",0,(-1*B133*H133)+C133)</f>
        <v>-20.122176720572625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2.5192035206625536</v>
      </c>
      <c r="C134" s="4">
        <f t="shared" si="50"/>
        <v>-3.4137389504004836</v>
      </c>
      <c r="D134" s="4">
        <f t="shared" si="47"/>
        <v>8.4521459917255921</v>
      </c>
      <c r="E134" s="4">
        <f t="shared" si="47"/>
        <v>-4.3082743801384131</v>
      </c>
      <c r="F134" s="4">
        <f t="shared" si="48"/>
        <v>-264.0756164676842</v>
      </c>
      <c r="G134" s="4">
        <f t="shared" si="49"/>
        <v>-322.02765626956727</v>
      </c>
      <c r="H134" s="4">
        <f t="shared" si="51"/>
        <v>-0.15077433062951151</v>
      </c>
      <c r="I134" s="4">
        <f t="shared" si="52"/>
        <v>-3.0339077258530782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8.4521459917255921</v>
      </c>
      <c r="C135" s="4">
        <f t="shared" si="50"/>
        <v>-4.3082743801384131</v>
      </c>
      <c r="D135" s="4">
        <f t="shared" si="47"/>
        <v>9.3466814214635203</v>
      </c>
      <c r="E135" s="4">
        <f t="shared" si="47"/>
        <v>1.6246680909246241</v>
      </c>
      <c r="F135" s="4">
        <f t="shared" si="48"/>
        <v>-322.02765626956727</v>
      </c>
      <c r="G135" s="4">
        <f t="shared" si="49"/>
        <v>62.335116623685316</v>
      </c>
      <c r="H135" s="4">
        <f t="shared" si="51"/>
        <v>6.63242871531786</v>
      </c>
      <c r="I135" s="4">
        <f t="shared" si="52"/>
        <v>-60.366530161717982</v>
      </c>
      <c r="J135" s="4">
        <f t="shared" si="53"/>
        <v>9.2016076154937139</v>
      </c>
      <c r="K135" s="4">
        <f t="shared" si="54"/>
        <v>0.66247641437003324</v>
      </c>
      <c r="L135" s="4">
        <f t="shared" si="55"/>
        <v>9.3466814214635203</v>
      </c>
      <c r="M135" s="4">
        <f t="shared" si="56"/>
        <v>1.6246680909246241</v>
      </c>
      <c r="N135" s="4">
        <f t="shared" si="57"/>
        <v>0</v>
      </c>
      <c r="O135" s="4">
        <f t="shared" si="57"/>
        <v>62.335116623685316</v>
      </c>
      <c r="P135" s="4">
        <f t="shared" si="58"/>
        <v>278.84895898044221</v>
      </c>
      <c r="Q135" s="4">
        <f t="shared" si="59"/>
        <v>363.83418738516235</v>
      </c>
      <c r="R135" s="4">
        <f t="shared" si="60"/>
        <v>-1296.4314445268426</v>
      </c>
    </row>
    <row r="136" spans="1:18" x14ac:dyDescent="0.25">
      <c r="A136" t="s">
        <v>73</v>
      </c>
      <c r="B136" s="4">
        <f t="shared" si="50"/>
        <v>9.3466814214635203</v>
      </c>
      <c r="C136" s="4">
        <f t="shared" si="50"/>
        <v>1.6246680909246241</v>
      </c>
      <c r="D136" s="4">
        <f t="shared" si="47"/>
        <v>-2.5192035206625536</v>
      </c>
      <c r="E136" s="4">
        <f t="shared" si="47"/>
        <v>3.4137389504004836</v>
      </c>
      <c r="F136" s="4">
        <f t="shared" si="48"/>
        <v>62.335116623685316</v>
      </c>
      <c r="G136" s="4">
        <f t="shared" si="49"/>
        <v>178.2391962274516</v>
      </c>
      <c r="H136" s="4">
        <f t="shared" si="51"/>
        <v>-0.15077433062951157</v>
      </c>
      <c r="I136" s="4">
        <f t="shared" si="52"/>
        <v>3.0339077258530782</v>
      </c>
      <c r="J136" s="4">
        <f t="shared" si="53"/>
        <v>9.3466814214635203</v>
      </c>
      <c r="K136" s="4">
        <f t="shared" si="54"/>
        <v>1.6246680909246241</v>
      </c>
      <c r="L136" s="4">
        <f t="shared" si="55"/>
        <v>-2.5192035206625536</v>
      </c>
      <c r="M136" s="4">
        <f t="shared" si="56"/>
        <v>3.4137389504004836</v>
      </c>
      <c r="N136" s="4">
        <f t="shared" si="57"/>
        <v>62.335116623685316</v>
      </c>
      <c r="O136" s="4">
        <f t="shared" si="57"/>
        <v>178.2391962274516</v>
      </c>
      <c r="P136" s="4">
        <f t="shared" si="58"/>
        <v>529.60119422986747</v>
      </c>
      <c r="Q136" s="4">
        <f t="shared" si="59"/>
        <v>1059.0006621287271</v>
      </c>
      <c r="R136" s="4">
        <f t="shared" si="60"/>
        <v>-1816.4912103382585</v>
      </c>
    </row>
    <row r="137" spans="1:18" x14ac:dyDescent="0.25">
      <c r="A137" t="s">
        <v>74</v>
      </c>
      <c r="B137" s="4">
        <f t="shared" si="50"/>
        <v>-2.5192035206625536</v>
      </c>
      <c r="C137" s="4">
        <f t="shared" si="50"/>
        <v>3.4137389504004836</v>
      </c>
      <c r="D137" s="4">
        <f t="shared" si="47"/>
        <v>-4.3082743801384131</v>
      </c>
      <c r="E137" s="4">
        <f t="shared" si="47"/>
        <v>-8.4521459917255921</v>
      </c>
      <c r="F137" s="4">
        <f t="shared" si="48"/>
        <v>178.2391962274516</v>
      </c>
      <c r="G137" s="4">
        <f t="shared" si="49"/>
        <v>-590.48634955905368</v>
      </c>
      <c r="H137" s="4">
        <f t="shared" si="51"/>
        <v>6.6324287153178494</v>
      </c>
      <c r="I137" s="4">
        <f t="shared" si="52"/>
        <v>20.122176720572625</v>
      </c>
      <c r="J137" s="4">
        <f t="shared" si="53"/>
        <v>-2.5192035206625536</v>
      </c>
      <c r="K137" s="4">
        <f t="shared" si="54"/>
        <v>3.4137389504004836</v>
      </c>
      <c r="L137" s="4">
        <f t="shared" si="55"/>
        <v>-2.9340232879185968</v>
      </c>
      <c r="M137" s="4">
        <f t="shared" si="56"/>
        <v>0.66247641437003324</v>
      </c>
      <c r="N137" s="4">
        <f t="shared" si="57"/>
        <v>178.2391962274516</v>
      </c>
      <c r="O137" s="4">
        <f t="shared" si="57"/>
        <v>0</v>
      </c>
      <c r="P137" s="4">
        <f t="shared" si="58"/>
        <v>651.59048188109728</v>
      </c>
      <c r="Q137" s="4">
        <f t="shared" si="59"/>
        <v>1611.2481146877444</v>
      </c>
      <c r="R137" s="4">
        <f t="shared" si="60"/>
        <v>866.96527055064189</v>
      </c>
    </row>
    <row r="138" spans="1:18" x14ac:dyDescent="0.25">
      <c r="A138" t="s">
        <v>75</v>
      </c>
      <c r="B138" s="4">
        <f t="shared" si="50"/>
        <v>-4.3082743801384131</v>
      </c>
      <c r="C138" s="4">
        <f t="shared" si="50"/>
        <v>-8.4521459917255921</v>
      </c>
      <c r="D138" s="4">
        <f t="shared" si="47"/>
        <v>-4.3082743801384131</v>
      </c>
      <c r="E138" s="4">
        <f t="shared" si="47"/>
        <v>-8.4521459917255921</v>
      </c>
      <c r="F138" s="4">
        <f t="shared" si="48"/>
        <v>-590.48634955905368</v>
      </c>
      <c r="G138" s="4">
        <f t="shared" si="49"/>
        <v>-590.48634955905368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-4.3082743801384131</v>
      </c>
      <c r="C139" s="4">
        <f>E138</f>
        <v>-8.4521459917255921</v>
      </c>
      <c r="D139" s="4">
        <f t="shared" si="47"/>
        <v>-4.3082743801384131</v>
      </c>
      <c r="E139" s="4">
        <f t="shared" si="47"/>
        <v>-8.4521459917255921</v>
      </c>
      <c r="F139" s="4">
        <f t="shared" si="48"/>
        <v>-590.48634955905368</v>
      </c>
      <c r="G139" s="4">
        <f t="shared" si="49"/>
        <v>-590.48634955905368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1460.040635091407</v>
      </c>
      <c r="Q140" s="4">
        <f>SUM(Q132:Q139)</f>
        <v>3034.0829642016338</v>
      </c>
      <c r="R140" s="4">
        <f>SUM(R132:R139)</f>
        <v>-2245.9573843144594</v>
      </c>
    </row>
    <row r="142" spans="1:18" x14ac:dyDescent="0.25">
      <c r="O142" t="s">
        <v>96</v>
      </c>
      <c r="P142" s="1">
        <f>-1*R140/P140</f>
        <v>1.5382841616417404</v>
      </c>
    </row>
    <row r="143" spans="1:18" x14ac:dyDescent="0.25">
      <c r="O143" t="s">
        <v>97</v>
      </c>
      <c r="P143" s="1">
        <f>Q140/P140</f>
        <v>2.0780811788924507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-4.3082743801384131</v>
      </c>
      <c r="C146" s="9">
        <f>J84</f>
        <v>-8.4521459917255921</v>
      </c>
      <c r="D146" s="9">
        <f t="shared" ref="D146:E153" si="61">I85</f>
        <v>-4.3082743801384131</v>
      </c>
      <c r="E146">
        <f t="shared" si="61"/>
        <v>-8.4521459917255921</v>
      </c>
      <c r="F146" s="4">
        <f>($B$66/$B$65)*(C146-$B$125)</f>
        <v>-590.48634955905368</v>
      </c>
      <c r="G146" s="4">
        <f>($B$66/$B$65)*(E146-$B$125)</f>
        <v>-590.48634955905368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-4.3082743801384131</v>
      </c>
      <c r="C147">
        <f t="shared" si="62"/>
        <v>-8.4521459917255921</v>
      </c>
      <c r="D147" s="9">
        <f t="shared" si="61"/>
        <v>-4.3082743801384131</v>
      </c>
      <c r="E147">
        <f t="shared" si="61"/>
        <v>-8.4521459917255921</v>
      </c>
      <c r="F147" s="4">
        <f t="shared" ref="F147:F153" si="63">($B$66/$B$65)*(C147-$B$125)</f>
        <v>-590.48634955905368</v>
      </c>
      <c r="G147" s="4">
        <f t="shared" ref="G147:G153" si="64">($B$66/$B$65)*(E147-$B$125)</f>
        <v>-590.48634955905368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-4.3082743801384131</v>
      </c>
      <c r="C148">
        <f t="shared" si="62"/>
        <v>-8.4521459917255921</v>
      </c>
      <c r="D148" s="9">
        <f t="shared" si="61"/>
        <v>-4.3082743801384131</v>
      </c>
      <c r="E148">
        <f t="shared" si="61"/>
        <v>-8.4521459917255921</v>
      </c>
      <c r="F148" s="4">
        <f t="shared" si="63"/>
        <v>-590.48634955905368</v>
      </c>
      <c r="G148" s="4">
        <f t="shared" si="64"/>
        <v>-590.48634955905368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-4.3082743801384131</v>
      </c>
      <c r="C149">
        <f t="shared" si="62"/>
        <v>-8.4521459917255921</v>
      </c>
      <c r="D149" s="9">
        <f t="shared" si="61"/>
        <v>-4.3082743801384131</v>
      </c>
      <c r="E149">
        <f t="shared" si="61"/>
        <v>-8.4521459917255921</v>
      </c>
      <c r="F149" s="4">
        <f t="shared" si="63"/>
        <v>-590.48634955905368</v>
      </c>
      <c r="G149" s="4">
        <f t="shared" si="64"/>
        <v>-590.48634955905368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-4.3082743801384131</v>
      </c>
      <c r="C150">
        <f t="shared" si="62"/>
        <v>-8.4521459917255921</v>
      </c>
      <c r="D150" s="9">
        <f t="shared" si="61"/>
        <v>-4.3082743801384131</v>
      </c>
      <c r="E150">
        <f t="shared" si="61"/>
        <v>-8.4521459917255921</v>
      </c>
      <c r="F150" s="4">
        <f t="shared" si="63"/>
        <v>-590.48634955905368</v>
      </c>
      <c r="G150" s="4">
        <f t="shared" si="64"/>
        <v>-590.48634955905368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-4.3082743801384131</v>
      </c>
      <c r="C151">
        <f t="shared" si="62"/>
        <v>-8.4521459917255921</v>
      </c>
      <c r="D151" s="9">
        <f t="shared" si="61"/>
        <v>-4.3082743801384131</v>
      </c>
      <c r="E151">
        <f t="shared" si="61"/>
        <v>-8.4521459917255921</v>
      </c>
      <c r="F151" s="4">
        <f t="shared" si="63"/>
        <v>-590.48634955905368</v>
      </c>
      <c r="G151" s="4">
        <f t="shared" si="64"/>
        <v>-590.48634955905368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-4.3082743801384131</v>
      </c>
      <c r="C152">
        <f t="shared" si="62"/>
        <v>-8.4521459917255921</v>
      </c>
      <c r="D152" s="9">
        <f t="shared" si="61"/>
        <v>-3.4137389504004836</v>
      </c>
      <c r="E152">
        <f t="shared" si="61"/>
        <v>-2.5192035206625554</v>
      </c>
      <c r="F152" s="4">
        <f t="shared" si="63"/>
        <v>-590.48634955905368</v>
      </c>
      <c r="G152" s="4">
        <f t="shared" si="64"/>
        <v>-206.12357666580112</v>
      </c>
      <c r="H152" s="4">
        <f t="shared" si="65"/>
        <v>6.6324287153178494</v>
      </c>
      <c r="I152" s="4">
        <f t="shared" si="66"/>
        <v>20.122176720572625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-3.4137389504004836</v>
      </c>
      <c r="C153">
        <f t="shared" si="62"/>
        <v>-2.5192035206625554</v>
      </c>
      <c r="D153" s="9">
        <f t="shared" si="61"/>
        <v>-4.3082743801384131</v>
      </c>
      <c r="E153">
        <f t="shared" si="61"/>
        <v>-8.4521459917255921</v>
      </c>
      <c r="F153" s="4">
        <f t="shared" si="63"/>
        <v>-206.12357666580112</v>
      </c>
      <c r="G153" s="4">
        <f t="shared" si="64"/>
        <v>-590.48634955905368</v>
      </c>
      <c r="H153" s="4">
        <f t="shared" si="65"/>
        <v>6.6324287153178494</v>
      </c>
      <c r="I153" s="4">
        <f t="shared" si="66"/>
        <v>20.122176720572629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100.00004248726668</v>
      </c>
      <c r="C159" t="s">
        <v>36</v>
      </c>
    </row>
    <row r="160" spans="1:18" x14ac:dyDescent="0.25">
      <c r="A160" s="1" t="s">
        <v>106</v>
      </c>
      <c r="B160" s="4">
        <f>Q140+I122+Q154-O122</f>
        <v>11883.775700219292</v>
      </c>
      <c r="C160" t="s">
        <v>102</v>
      </c>
    </row>
    <row r="161" spans="1:9" x14ac:dyDescent="0.25">
      <c r="A161" s="1" t="s">
        <v>107</v>
      </c>
      <c r="B161" s="4">
        <f>R140+J122+R154-P122</f>
        <v>-1670.412146980078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100.00004248726668</v>
      </c>
      <c r="C164" t="s">
        <v>36</v>
      </c>
      <c r="E164" s="8">
        <f>B2-B164</f>
        <v>-4.24872666826559E-5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12000.000069359367</v>
      </c>
      <c r="C165" t="s">
        <v>102</v>
      </c>
      <c r="E165" s="8">
        <f>B3+B165</f>
        <v>6.9359366534627043E-5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119.99987198452231</v>
      </c>
      <c r="C166" t="s">
        <v>102</v>
      </c>
      <c r="E166" s="8">
        <f>B4+B166</f>
        <v>-1.2801547768503951E-4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178.23919622745157</v>
      </c>
      <c r="B169" s="1">
        <f ca="1">IF(E122=0,0,(MIN(H110:H121)*B65)/(B55*B56*E122))</f>
        <v>-178.23919974725618</v>
      </c>
      <c r="C169" s="3">
        <f ca="1">A169+B169</f>
        <v>-3.5198046077766776E-6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-9.097507275884107E-8</v>
      </c>
      <c r="C175" s="27">
        <f>B65*SQRT(I175)</f>
        <v>4.0807818114624004E-8</v>
      </c>
      <c r="D175" s="27">
        <f>B66*SQRT(I175)</f>
        <v>2.6437145148063467E-6</v>
      </c>
      <c r="E175" s="27">
        <f>B67*SQRT(I175)</f>
        <v>8.4934657228659421E-6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-6.1335382451344822</v>
      </c>
      <c r="C176" s="3">
        <f>B65+C175</f>
        <v>2.7512625768382684</v>
      </c>
      <c r="D176" s="3">
        <f>D175+B66</f>
        <v>178.23919887116608</v>
      </c>
      <c r="E176" s="3">
        <f>B67+E175</f>
        <v>572.62935071271374</v>
      </c>
      <c r="F176" s="16" t="s">
        <v>125</v>
      </c>
    </row>
    <row r="177" spans="1:13" x14ac:dyDescent="0.25">
      <c r="B177" s="27">
        <f>B176-B64</f>
        <v>-9.09750728084191E-8</v>
      </c>
      <c r="C177" s="27">
        <f>C176-B65</f>
        <v>4.0807818013632868E-8</v>
      </c>
      <c r="D177" s="27">
        <f>D176-B66</f>
        <v>2.6437145095314918E-6</v>
      </c>
      <c r="E177" s="27">
        <f>E176-B67</f>
        <v>8.4934657706980943E-6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-8.1914675888450379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-9.3466814202771396</v>
      </c>
      <c r="B181" s="25">
        <f>(d_alpha_p!E136-d_alpha_m!E136)/(2*B177)</f>
        <v>2.5192035247968185</v>
      </c>
      <c r="C181" s="25">
        <f>(d_alpha_p!E137-d_alpha_m!E137)/(2*B177)</f>
        <v>4.3082743719038623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4.24872666826559E-5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-6.9359366534627043E-5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1.2801547768503951E-4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3.5198046077766776E-6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-8.1914675888450379</v>
      </c>
      <c r="B190" s="25">
        <f>A181</f>
        <v>-9.3466814202771396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2.5192035247968185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4.3082743719038623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-8.1914675888450379</v>
      </c>
      <c r="B201" s="25">
        <f t="shared" ref="B201:C201" si="77">B190</f>
        <v>-9.3466814202771396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2.5192035247968185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4.3082743719038623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-12000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-47.61904761904762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-3.131592986903128</v>
      </c>
      <c r="C5" t="s">
        <v>19</v>
      </c>
      <c r="I5">
        <f>SUM(I2:I4)</f>
        <v>-47.06349206349207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-47.61904761904762</v>
      </c>
      <c r="AB14">
        <f>$B$4/Z14</f>
        <v>-0.12345679012345678</v>
      </c>
      <c r="AC14">
        <f>$I$2+AA14+AB14</f>
        <v>-46.816578483245152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-15.873015873015873</v>
      </c>
      <c r="AB15">
        <f t="shared" ref="AB15:AB21" si="11">$B$4/Z15</f>
        <v>-0.12345679012345678</v>
      </c>
      <c r="AC15">
        <f t="shared" ref="AC15:AC20" si="12">$I$2+AA15+AB15</f>
        <v>-15.070546737213405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-15.873015873015873</v>
      </c>
      <c r="AB16">
        <f t="shared" si="11"/>
        <v>-0.37037037037037035</v>
      </c>
      <c r="AC16">
        <f t="shared" si="12"/>
        <v>-15.317460317460318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15.873015873015873</v>
      </c>
      <c r="AB17">
        <f t="shared" si="11"/>
        <v>-0.37037037037037035</v>
      </c>
      <c r="AC17">
        <f t="shared" si="12"/>
        <v>16.428571428571431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15.873015873015873</v>
      </c>
      <c r="AB18">
        <f t="shared" si="11"/>
        <v>0.12345679012345678</v>
      </c>
      <c r="AC18">
        <f t="shared" si="12"/>
        <v>16.922398589065256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-47.61904761904762</v>
      </c>
      <c r="AB19">
        <f t="shared" si="11"/>
        <v>0.12345679012345678</v>
      </c>
      <c r="AC19">
        <f t="shared" si="12"/>
        <v>-46.569664902998241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-47.61904761904762</v>
      </c>
      <c r="AB20">
        <f t="shared" si="11"/>
        <v>0.12345679012345678</v>
      </c>
      <c r="AC20">
        <f t="shared" si="12"/>
        <v>-46.569664902998241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5.9999999999999982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-6.1335381541594094</v>
      </c>
      <c r="C64" t="s">
        <v>19</v>
      </c>
      <c r="D64" t="s">
        <v>34</v>
      </c>
      <c r="H64" s="17">
        <f>DEGREES(B64)</f>
        <v>-351.42584971579544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2.7512624544148152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178.23919622745157</v>
      </c>
      <c r="C66" t="s">
        <v>11</v>
      </c>
      <c r="D66">
        <f>B66/B53</f>
        <v>4.6113810964629097E-2</v>
      </c>
      <c r="I66" s="20"/>
    </row>
    <row r="67" spans="1:18" x14ac:dyDescent="0.25">
      <c r="A67" s="1" t="s">
        <v>37</v>
      </c>
      <c r="B67" s="17">
        <f>'Rigid Bearing Plate Analysis'!B67</f>
        <v>572.62934221924797</v>
      </c>
      <c r="C67" t="s">
        <v>36</v>
      </c>
      <c r="D67" t="s">
        <v>122</v>
      </c>
      <c r="G67" s="20">
        <f ca="1">($B$56*$B$66*$B$55*$E$122)/$B$65</f>
        <v>572.62935352732984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-10.34668142146352</v>
      </c>
      <c r="R76">
        <f>Q76</f>
        <v>-10.34668142146352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10.34668142146352</v>
      </c>
      <c r="R77">
        <f>Q77</f>
        <v>10.34668142146352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-3.0000000000000018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-4.3082743801384131</v>
      </c>
      <c r="C84" s="1">
        <f t="shared" ref="C84:C92" si="23">(-1*B73*SIN($B$64))+(C73*COS($B$64))</f>
        <v>-8.4521459917255921</v>
      </c>
      <c r="H84" s="1">
        <f t="shared" ref="H84:H92" si="24">H73</f>
        <v>1</v>
      </c>
      <c r="I84" s="4">
        <f>(I73*COS($B$64))+(J73*SIN($B$64))</f>
        <v>-4.3082743801384131</v>
      </c>
      <c r="J84" s="1">
        <f>(-1*I73*SIN($B$64))+(J73*COS($B$64))</f>
        <v>-8.4521459917255921</v>
      </c>
    </row>
    <row r="85" spans="1:10" x14ac:dyDescent="0.25">
      <c r="A85" s="1">
        <f t="shared" si="21"/>
        <v>2</v>
      </c>
      <c r="B85" s="4">
        <f t="shared" si="22"/>
        <v>1.6246680909246241</v>
      </c>
      <c r="C85" s="1">
        <f t="shared" si="23"/>
        <v>-9.3466814214635203</v>
      </c>
      <c r="H85" s="1">
        <f t="shared" si="24"/>
        <v>2</v>
      </c>
      <c r="I85" s="4">
        <f t="shared" ref="I85:I92" si="25">(I74*COS($B$64))+(J74*SIN($B$64))</f>
        <v>-4.3082743801384131</v>
      </c>
      <c r="J85" s="1">
        <f t="shared" ref="J85:J92" si="26">(-1*I74*SIN($B$64))+(J74*COS($B$64))</f>
        <v>-8.4521459917255921</v>
      </c>
    </row>
    <row r="86" spans="1:10" x14ac:dyDescent="0.25">
      <c r="A86" s="1">
        <f t="shared" si="21"/>
        <v>3</v>
      </c>
      <c r="B86" s="4">
        <f t="shared" si="22"/>
        <v>2.5192035206625536</v>
      </c>
      <c r="C86" s="1">
        <f t="shared" si="23"/>
        <v>-3.4137389504004836</v>
      </c>
      <c r="H86" s="1">
        <f t="shared" si="24"/>
        <v>3</v>
      </c>
      <c r="I86" s="4">
        <f t="shared" si="25"/>
        <v>-4.3082743801384131</v>
      </c>
      <c r="J86" s="1">
        <f t="shared" si="26"/>
        <v>-8.4521459917255921</v>
      </c>
    </row>
    <row r="87" spans="1:10" x14ac:dyDescent="0.25">
      <c r="A87" s="1">
        <f t="shared" si="21"/>
        <v>4</v>
      </c>
      <c r="B87" s="4">
        <f t="shared" si="22"/>
        <v>8.4521459917255921</v>
      </c>
      <c r="C87" s="1">
        <f t="shared" si="23"/>
        <v>-4.3082743801384131</v>
      </c>
      <c r="H87" s="1">
        <f t="shared" si="24"/>
        <v>4</v>
      </c>
      <c r="I87" s="4">
        <f t="shared" si="25"/>
        <v>-4.3082743801384131</v>
      </c>
      <c r="J87" s="1">
        <f t="shared" si="26"/>
        <v>-8.4521459917255921</v>
      </c>
    </row>
    <row r="88" spans="1:10" x14ac:dyDescent="0.25">
      <c r="A88" s="1">
        <f t="shared" si="21"/>
        <v>5</v>
      </c>
      <c r="B88" s="4">
        <f t="shared" si="22"/>
        <v>9.3466814214635203</v>
      </c>
      <c r="C88" s="1">
        <f t="shared" si="23"/>
        <v>1.6246680909246241</v>
      </c>
      <c r="H88" s="1">
        <f t="shared" si="24"/>
        <v>5</v>
      </c>
      <c r="I88" s="4">
        <f t="shared" si="25"/>
        <v>-4.3082743801384131</v>
      </c>
      <c r="J88" s="1">
        <f t="shared" si="26"/>
        <v>-8.4521459917255921</v>
      </c>
    </row>
    <row r="89" spans="1:10" x14ac:dyDescent="0.25">
      <c r="A89" s="1">
        <f t="shared" si="21"/>
        <v>6</v>
      </c>
      <c r="B89" s="4">
        <f t="shared" si="22"/>
        <v>-2.5192035206625536</v>
      </c>
      <c r="C89" s="1">
        <f t="shared" si="23"/>
        <v>3.4137389504004836</v>
      </c>
      <c r="H89" s="1">
        <f t="shared" si="24"/>
        <v>6</v>
      </c>
      <c r="I89" s="4">
        <f t="shared" si="25"/>
        <v>-4.3082743801384131</v>
      </c>
      <c r="J89" s="1">
        <f t="shared" si="26"/>
        <v>-8.4521459917255921</v>
      </c>
    </row>
    <row r="90" spans="1:10" x14ac:dyDescent="0.25">
      <c r="A90" s="1">
        <f t="shared" si="21"/>
        <v>7</v>
      </c>
      <c r="B90" s="4">
        <f t="shared" si="22"/>
        <v>-4.3082743801384131</v>
      </c>
      <c r="C90" s="1">
        <f t="shared" si="23"/>
        <v>-8.4521459917255921</v>
      </c>
      <c r="H90" s="1">
        <f t="shared" si="24"/>
        <v>7</v>
      </c>
      <c r="I90" s="4">
        <f t="shared" si="25"/>
        <v>-4.3082743801384131</v>
      </c>
      <c r="J90" s="1">
        <f t="shared" si="26"/>
        <v>-8.4521459917255921</v>
      </c>
    </row>
    <row r="91" spans="1:10" x14ac:dyDescent="0.25">
      <c r="A91" s="1">
        <f t="shared" si="21"/>
        <v>8</v>
      </c>
      <c r="B91" s="4">
        <f t="shared" si="22"/>
        <v>-4.3082743801384131</v>
      </c>
      <c r="C91" s="1">
        <f t="shared" si="23"/>
        <v>-8.4521459917255921</v>
      </c>
      <c r="H91" s="1">
        <f t="shared" si="24"/>
        <v>8</v>
      </c>
      <c r="I91" s="4">
        <f t="shared" si="25"/>
        <v>-3.4137389504004836</v>
      </c>
      <c r="J91" s="1">
        <f t="shared" si="26"/>
        <v>-2.5192035206625554</v>
      </c>
    </row>
    <row r="92" spans="1:10" x14ac:dyDescent="0.25">
      <c r="A92" s="1">
        <f t="shared" si="21"/>
        <v>9</v>
      </c>
      <c r="B92" s="4">
        <f t="shared" si="22"/>
        <v>-4.3082743801384131</v>
      </c>
      <c r="C92" s="1">
        <f t="shared" si="23"/>
        <v>-8.4521459917255921</v>
      </c>
      <c r="H92" s="1">
        <f t="shared" si="24"/>
        <v>9</v>
      </c>
      <c r="I92" s="4">
        <f t="shared" si="25"/>
        <v>-4.3082743801384131</v>
      </c>
      <c r="J92" s="1">
        <f t="shared" si="26"/>
        <v>-8.4521459917255921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-2.6014049049381711</v>
      </c>
      <c r="C110" s="1">
        <f>(-1*B95*SIN($B$64))+(C95*COS($B$64))</f>
        <v>-7.1925442313943142</v>
      </c>
      <c r="D110" t="str">
        <f t="shared" ref="D110" si="31">D95</f>
        <v>y</v>
      </c>
      <c r="E110" s="4">
        <f t="shared" ref="E110:E121" si="32">IF($D110="y",$B$125-C110,0)</f>
        <v>7.8550207273799826</v>
      </c>
      <c r="F110" s="1">
        <f>IF($D110="y",B110,NA())</f>
        <v>-2.6014049049381711</v>
      </c>
      <c r="G110" s="1">
        <f>IF($D110="y",C110,NA())</f>
        <v>-7.1925442313943142</v>
      </c>
      <c r="H110">
        <f t="shared" ref="H110:H121" si="33">IF($E$122=0,0,-1*MAX(($B$67/$E$122)*(E110),0))</f>
        <v>-541.7801830816328</v>
      </c>
      <c r="I110">
        <f>H110*C110</f>
        <v>3896.7779305075533</v>
      </c>
      <c r="J110">
        <f>H110*B110*-1</f>
        <v>-1409.38962566686</v>
      </c>
      <c r="K110">
        <f ca="1">H110/$B$55</f>
        <v>-3818.0737948602373</v>
      </c>
      <c r="L110">
        <f ca="1">K110/$B$54</f>
        <v>-0.13165771706414611</v>
      </c>
      <c r="M110">
        <f t="shared" ref="M110:M121" si="34">IFERROR(($D$66/$B$65)*(G110-$B$125),0)</f>
        <v>-0.13165771966407619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0.36506633059334725</v>
      </c>
      <c r="C111" s="1">
        <f t="shared" ref="C111:C121" si="37">(-1*B96*SIN($B$64))+(C96*COS($B$64))</f>
        <v>-7.6398119462632783</v>
      </c>
      <c r="D111" t="str">
        <f t="shared" si="35"/>
        <v>y</v>
      </c>
      <c r="E111" s="4">
        <f t="shared" si="32"/>
        <v>8.3022884422489476</v>
      </c>
      <c r="F111" s="1">
        <f t="shared" ref="F111:G121" si="38">IF($D111="y",B111,NA())</f>
        <v>0.36506633059334725</v>
      </c>
      <c r="G111" s="1">
        <f t="shared" si="38"/>
        <v>-7.6398119462632783</v>
      </c>
      <c r="H111">
        <f t="shared" si="33"/>
        <v>-572.62934221924797</v>
      </c>
      <c r="I111">
        <f t="shared" ref="I111:I121" si="39">H111*C111</f>
        <v>4374.7804894674937</v>
      </c>
      <c r="J111">
        <f t="shared" ref="J111:J121" si="40">H111*B111*-1</f>
        <v>209.04769275406295</v>
      </c>
      <c r="K111">
        <f ca="1">H111/$B$55</f>
        <v>-4035.4762945730304</v>
      </c>
      <c r="L111">
        <f t="shared" ref="L111:L121" ca="1" si="41">K111/$B$54</f>
        <v>-0.1391543549852769</v>
      </c>
      <c r="M111">
        <f t="shared" si="34"/>
        <v>-0.13915435773324794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7.1925442313943142</v>
      </c>
      <c r="C112" s="1">
        <f t="shared" si="37"/>
        <v>-2.6014049049381711</v>
      </c>
      <c r="D112" t="str">
        <f t="shared" si="35"/>
        <v>y</v>
      </c>
      <c r="E112" s="4">
        <f t="shared" si="32"/>
        <v>3.2638814009238395</v>
      </c>
      <c r="F112" s="1">
        <f t="shared" si="38"/>
        <v>7.1925442313943142</v>
      </c>
      <c r="G112" s="1">
        <f t="shared" si="38"/>
        <v>-2.6014049049381711</v>
      </c>
      <c r="H112">
        <f t="shared" si="33"/>
        <v>-225.11796267901977</v>
      </c>
      <c r="I112">
        <f t="shared" si="39"/>
        <v>585.62297230289016</v>
      </c>
      <c r="J112">
        <f t="shared" si="40"/>
        <v>1619.1709038502242</v>
      </c>
      <c r="K112">
        <f t="shared" ref="K112:K121" ca="1" si="45">H112/$B$55</f>
        <v>-1586.4681302445911</v>
      </c>
      <c r="L112">
        <f t="shared" ca="1" si="41"/>
        <v>-5.4705797594641073E-2</v>
      </c>
      <c r="M112">
        <f t="shared" si="34"/>
        <v>-5.4705798674951837E-2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7.6398119462632783</v>
      </c>
      <c r="C113" s="1">
        <f t="shared" si="37"/>
        <v>0.36506633059334725</v>
      </c>
      <c r="D113" t="str">
        <f t="shared" si="35"/>
        <v>y</v>
      </c>
      <c r="E113" s="4">
        <f t="shared" si="32"/>
        <v>0.29741016539232112</v>
      </c>
      <c r="F113" s="1">
        <f t="shared" si="38"/>
        <v>7.6398119462632783</v>
      </c>
      <c r="G113" s="1">
        <f t="shared" si="38"/>
        <v>0.36506633059334725</v>
      </c>
      <c r="H113">
        <f t="shared" si="33"/>
        <v>-20.51311377129047</v>
      </c>
      <c r="I113">
        <f t="shared" si="39"/>
        <v>-7.4886471735288707</v>
      </c>
      <c r="J113">
        <f t="shared" si="40"/>
        <v>156.71633164496271</v>
      </c>
      <c r="K113">
        <f t="shared" ca="1" si="45"/>
        <v>-144.56154836757813</v>
      </c>
      <c r="L113">
        <f t="shared" ca="1" si="41"/>
        <v>-4.9848809781923489E-3</v>
      </c>
      <c r="M113">
        <f t="shared" si="34"/>
        <v>-4.9848810766320176E-3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-4.3082743801384131</v>
      </c>
      <c r="C114" s="1">
        <f t="shared" si="37"/>
        <v>-8.4521459917255921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-4.3082743801384131</v>
      </c>
      <c r="C115" s="1">
        <f t="shared" si="37"/>
        <v>-8.4521459917255921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-4.3082743801384131</v>
      </c>
      <c r="C116" s="1">
        <f t="shared" si="37"/>
        <v>-8.4521459917255921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-4.3082743801384131</v>
      </c>
      <c r="C117" s="1">
        <f t="shared" si="37"/>
        <v>-8.4521459917255921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-4.3082743801384131</v>
      </c>
      <c r="C118" s="1">
        <f t="shared" si="37"/>
        <v>-8.4521459917255921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-4.3082743801384131</v>
      </c>
      <c r="C119" s="1">
        <f t="shared" si="37"/>
        <v>-8.4521459917255921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-4.3082743801384131</v>
      </c>
      <c r="C120" s="1">
        <f t="shared" si="37"/>
        <v>-8.4521459917255921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-4.3082743801384131</v>
      </c>
      <c r="C121" s="1">
        <f t="shared" si="37"/>
        <v>-8.4521459917255921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8.3022884422489476</v>
      </c>
      <c r="H122">
        <f>SUM(H110:H121)</f>
        <v>-1360.0406017511909</v>
      </c>
      <c r="I122">
        <f t="shared" ref="I122:J122" si="46">SUM(I110:I121)</f>
        <v>8849.6927451044085</v>
      </c>
      <c r="J122">
        <f t="shared" si="46"/>
        <v>575.54530258239004</v>
      </c>
      <c r="L122">
        <f ca="1">MIN(L110:L121)</f>
        <v>-0.1391543549852769</v>
      </c>
      <c r="M122">
        <f>MIN(M110:M121)</f>
        <v>-0.13915435773324794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0.66247649598566838</v>
      </c>
      <c r="F125" s="1" t="s">
        <v>27</v>
      </c>
      <c r="G125" s="1" t="s">
        <v>28</v>
      </c>
    </row>
    <row r="126" spans="1:16" x14ac:dyDescent="0.25">
      <c r="F126" s="4">
        <f>MIN(B84:B90)-1</f>
        <v>-5.3082743801384131</v>
      </c>
      <c r="G126" s="4">
        <f>B125</f>
        <v>0.66247649598566838</v>
      </c>
    </row>
    <row r="127" spans="1:16" x14ac:dyDescent="0.25">
      <c r="F127" s="4">
        <f>MAX(B84:B90)+1</f>
        <v>10.34668142146352</v>
      </c>
      <c r="G127" s="4">
        <f>G126</f>
        <v>0.66247649598566838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-4.3082743801384131</v>
      </c>
      <c r="C132" s="4">
        <f>C84</f>
        <v>-8.4521459917255921</v>
      </c>
      <c r="D132" s="4">
        <f t="shared" ref="D132:E139" si="47">B85</f>
        <v>1.6246680909246241</v>
      </c>
      <c r="E132" s="4">
        <f t="shared" si="47"/>
        <v>-9.3466814214635203</v>
      </c>
      <c r="F132" s="4">
        <f t="shared" ref="F132:F139" si="48">($B$66/$B$65)*(C132-$B$125)</f>
        <v>-590.48637236313891</v>
      </c>
      <c r="G132" s="4">
        <f t="shared" ref="G132:G139" si="49">($B$66/$B$65)*(E132-$B$125)</f>
        <v>-648.43841388415728</v>
      </c>
      <c r="H132" s="4">
        <f>IF(B132=D132,"V",(C132-E132)/(B132-D132))</f>
        <v>-0.15077433062951132</v>
      </c>
      <c r="I132" s="4">
        <f>IF(H132="V",0,(-1*B132*H132)+C132)</f>
        <v>-9.1017231775592347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1.6246680909246241</v>
      </c>
      <c r="C133" s="4">
        <f t="shared" si="50"/>
        <v>-9.3466814214635203</v>
      </c>
      <c r="D133" s="4">
        <f t="shared" si="47"/>
        <v>2.5192035206625536</v>
      </c>
      <c r="E133" s="4">
        <f t="shared" si="47"/>
        <v>-3.4137389504004836</v>
      </c>
      <c r="F133" s="4">
        <f t="shared" si="48"/>
        <v>-648.43841388415728</v>
      </c>
      <c r="G133" s="4">
        <f t="shared" si="49"/>
        <v>-264.07562958886217</v>
      </c>
      <c r="H133" s="4">
        <f t="shared" ref="H133:H139" si="51">IF(B133=D133,"V",(C133-E133)/(B133-D133))</f>
        <v>6.6324287153178494</v>
      </c>
      <c r="I133" s="4">
        <f t="shared" ref="I133:I139" si="52">IF(H133="V",0,(-1*B133*H133)+C133)</f>
        <v>-20.122176720572625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2.5192035206625536</v>
      </c>
      <c r="C134" s="4">
        <f t="shared" si="50"/>
        <v>-3.4137389504004836</v>
      </c>
      <c r="D134" s="4">
        <f t="shared" si="47"/>
        <v>8.4521459917255921</v>
      </c>
      <c r="E134" s="4">
        <f t="shared" si="47"/>
        <v>-4.3082743801384131</v>
      </c>
      <c r="F134" s="4">
        <f t="shared" si="48"/>
        <v>-264.07562958886217</v>
      </c>
      <c r="G134" s="4">
        <f t="shared" si="49"/>
        <v>-322.0276711098806</v>
      </c>
      <c r="H134" s="4">
        <f t="shared" si="51"/>
        <v>-0.15077433062951151</v>
      </c>
      <c r="I134" s="4">
        <f t="shared" si="52"/>
        <v>-3.0339077258530782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8.4521459917255921</v>
      </c>
      <c r="C135" s="4">
        <f t="shared" si="50"/>
        <v>-4.3082743801384131</v>
      </c>
      <c r="D135" s="4">
        <f t="shared" si="47"/>
        <v>9.3466814214635203</v>
      </c>
      <c r="E135" s="4">
        <f t="shared" si="47"/>
        <v>1.6246680909246241</v>
      </c>
      <c r="F135" s="4">
        <f t="shared" si="48"/>
        <v>-322.0276711098806</v>
      </c>
      <c r="G135" s="4">
        <f t="shared" si="49"/>
        <v>62.335113185414613</v>
      </c>
      <c r="H135" s="4">
        <f t="shared" si="51"/>
        <v>6.63242871531786</v>
      </c>
      <c r="I135" s="4">
        <f t="shared" si="52"/>
        <v>-60.366530161717982</v>
      </c>
      <c r="J135" s="4">
        <f t="shared" si="53"/>
        <v>9.2016076277992571</v>
      </c>
      <c r="K135" s="4">
        <f t="shared" si="54"/>
        <v>0.66247649598566838</v>
      </c>
      <c r="L135" s="4">
        <f t="shared" si="55"/>
        <v>9.3466814214635203</v>
      </c>
      <c r="M135" s="4">
        <f t="shared" si="56"/>
        <v>1.6246680909246241</v>
      </c>
      <c r="N135" s="4">
        <f t="shared" si="57"/>
        <v>0</v>
      </c>
      <c r="O135" s="4">
        <f t="shared" si="57"/>
        <v>62.335113185414613</v>
      </c>
      <c r="P135" s="4">
        <f t="shared" si="58"/>
        <v>278.84892007004294</v>
      </c>
      <c r="Q135" s="4">
        <f t="shared" si="59"/>
        <v>363.83414416256829</v>
      </c>
      <c r="R135" s="4">
        <f t="shared" si="60"/>
        <v>-1296.4312641925719</v>
      </c>
    </row>
    <row r="136" spans="1:18" x14ac:dyDescent="0.25">
      <c r="A136" t="s">
        <v>73</v>
      </c>
      <c r="B136" s="4">
        <f t="shared" si="50"/>
        <v>9.3466814214635203</v>
      </c>
      <c r="C136" s="4">
        <f t="shared" si="50"/>
        <v>1.6246680909246241</v>
      </c>
      <c r="D136" s="4">
        <f t="shared" si="47"/>
        <v>-2.5192035206625536</v>
      </c>
      <c r="E136" s="4">
        <f t="shared" si="47"/>
        <v>3.4137389504004836</v>
      </c>
      <c r="F136" s="4">
        <f t="shared" si="48"/>
        <v>62.335113185414613</v>
      </c>
      <c r="G136" s="4">
        <f t="shared" si="49"/>
        <v>178.23919622745157</v>
      </c>
      <c r="H136" s="4">
        <f t="shared" si="51"/>
        <v>-0.15077433062951157</v>
      </c>
      <c r="I136" s="4">
        <f t="shared" si="52"/>
        <v>3.0339077258530782</v>
      </c>
      <c r="J136" s="4">
        <f t="shared" si="53"/>
        <v>9.3466814214635203</v>
      </c>
      <c r="K136" s="4">
        <f t="shared" si="54"/>
        <v>1.6246680909246241</v>
      </c>
      <c r="L136" s="4">
        <f t="shared" si="55"/>
        <v>-2.5192035206625536</v>
      </c>
      <c r="M136" s="4">
        <f t="shared" si="56"/>
        <v>3.4137389504004836</v>
      </c>
      <c r="N136" s="4">
        <f t="shared" si="57"/>
        <v>62.335113185414613</v>
      </c>
      <c r="O136" s="4">
        <f t="shared" si="57"/>
        <v>178.23919622745157</v>
      </c>
      <c r="P136" s="4">
        <f t="shared" si="58"/>
        <v>529.60117764782296</v>
      </c>
      <c r="Q136" s="4">
        <f t="shared" si="59"/>
        <v>1059.0006289269686</v>
      </c>
      <c r="R136" s="4">
        <f t="shared" si="60"/>
        <v>-1816.4911536089912</v>
      </c>
    </row>
    <row r="137" spans="1:18" x14ac:dyDescent="0.25">
      <c r="A137" t="s">
        <v>74</v>
      </c>
      <c r="B137" s="4">
        <f t="shared" si="50"/>
        <v>-2.5192035206625536</v>
      </c>
      <c r="C137" s="4">
        <f t="shared" si="50"/>
        <v>3.4137389504004836</v>
      </c>
      <c r="D137" s="4">
        <f t="shared" si="47"/>
        <v>-4.3082743801384131</v>
      </c>
      <c r="E137" s="4">
        <f t="shared" si="47"/>
        <v>-8.4521459917255921</v>
      </c>
      <c r="F137" s="4">
        <f t="shared" si="48"/>
        <v>178.23919622745157</v>
      </c>
      <c r="G137" s="4">
        <f t="shared" si="49"/>
        <v>-590.48637236313891</v>
      </c>
      <c r="H137" s="4">
        <f t="shared" si="51"/>
        <v>6.6324287153178494</v>
      </c>
      <c r="I137" s="4">
        <f t="shared" si="52"/>
        <v>20.122176720572625</v>
      </c>
      <c r="J137" s="4">
        <f t="shared" si="53"/>
        <v>-2.5192035206625536</v>
      </c>
      <c r="K137" s="4">
        <f t="shared" si="54"/>
        <v>3.4137389504004836</v>
      </c>
      <c r="L137" s="4">
        <f t="shared" si="55"/>
        <v>-2.934023275613054</v>
      </c>
      <c r="M137" s="4">
        <f t="shared" si="56"/>
        <v>0.66247649598566838</v>
      </c>
      <c r="N137" s="4">
        <f t="shared" si="57"/>
        <v>178.23919622745157</v>
      </c>
      <c r="O137" s="4">
        <f t="shared" si="57"/>
        <v>0</v>
      </c>
      <c r="P137" s="4">
        <f t="shared" si="58"/>
        <v>651.59046154606233</v>
      </c>
      <c r="Q137" s="4">
        <f t="shared" si="59"/>
        <v>1611.2480830284305</v>
      </c>
      <c r="R137" s="4">
        <f t="shared" si="60"/>
        <v>866.96524209003792</v>
      </c>
    </row>
    <row r="138" spans="1:18" x14ac:dyDescent="0.25">
      <c r="A138" t="s">
        <v>75</v>
      </c>
      <c r="B138" s="4">
        <f t="shared" si="50"/>
        <v>-4.3082743801384131</v>
      </c>
      <c r="C138" s="4">
        <f t="shared" si="50"/>
        <v>-8.4521459917255921</v>
      </c>
      <c r="D138" s="4">
        <f t="shared" si="47"/>
        <v>-4.3082743801384131</v>
      </c>
      <c r="E138" s="4">
        <f t="shared" si="47"/>
        <v>-8.4521459917255921</v>
      </c>
      <c r="F138" s="4">
        <f t="shared" si="48"/>
        <v>-590.48637236313891</v>
      </c>
      <c r="G138" s="4">
        <f t="shared" si="49"/>
        <v>-590.48637236313891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-4.3082743801384131</v>
      </c>
      <c r="C139" s="4">
        <f>E138</f>
        <v>-8.4521459917255921</v>
      </c>
      <c r="D139" s="4">
        <f t="shared" si="47"/>
        <v>-4.3082743801384131</v>
      </c>
      <c r="E139" s="4">
        <f t="shared" si="47"/>
        <v>-8.4521459917255921</v>
      </c>
      <c r="F139" s="4">
        <f t="shared" si="48"/>
        <v>-590.48637236313891</v>
      </c>
      <c r="G139" s="4">
        <f t="shared" si="49"/>
        <v>-590.48637236313891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1460.0405592639281</v>
      </c>
      <c r="Q140" s="4">
        <f>SUM(Q132:Q139)</f>
        <v>3034.0828561179674</v>
      </c>
      <c r="R140" s="4">
        <f>SUM(R132:R139)</f>
        <v>-2245.957175711525</v>
      </c>
    </row>
    <row r="142" spans="1:18" x14ac:dyDescent="0.25">
      <c r="O142" t="s">
        <v>96</v>
      </c>
      <c r="P142" s="1">
        <f>-1*R140/P140</f>
        <v>1.5382840986580624</v>
      </c>
    </row>
    <row r="143" spans="1:18" x14ac:dyDescent="0.25">
      <c r="O143" t="s">
        <v>97</v>
      </c>
      <c r="P143" s="1">
        <f>Q140/P140</f>
        <v>2.0780812127901327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-4.3082743801384131</v>
      </c>
      <c r="C146" s="9">
        <f>J84</f>
        <v>-8.4521459917255921</v>
      </c>
      <c r="D146" s="9">
        <f t="shared" ref="D146:E153" si="61">I85</f>
        <v>-4.3082743801384131</v>
      </c>
      <c r="E146">
        <f t="shared" si="61"/>
        <v>-8.4521459917255921</v>
      </c>
      <c r="F146" s="4">
        <f>($B$66/$B$65)*(C146-$B$125)</f>
        <v>-590.48637236313891</v>
      </c>
      <c r="G146" s="4">
        <f>($B$66/$B$65)*(E146-$B$125)</f>
        <v>-590.48637236313891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-4.3082743801384131</v>
      </c>
      <c r="C147">
        <f t="shared" si="62"/>
        <v>-8.4521459917255921</v>
      </c>
      <c r="D147" s="9">
        <f t="shared" si="61"/>
        <v>-4.3082743801384131</v>
      </c>
      <c r="E147">
        <f t="shared" si="61"/>
        <v>-8.4521459917255921</v>
      </c>
      <c r="F147" s="4">
        <f t="shared" ref="F147:F153" si="63">($B$66/$B$65)*(C147-$B$125)</f>
        <v>-590.48637236313891</v>
      </c>
      <c r="G147" s="4">
        <f t="shared" ref="G147:G153" si="64">($B$66/$B$65)*(E147-$B$125)</f>
        <v>-590.48637236313891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-4.3082743801384131</v>
      </c>
      <c r="C148">
        <f t="shared" si="62"/>
        <v>-8.4521459917255921</v>
      </c>
      <c r="D148" s="9">
        <f t="shared" si="61"/>
        <v>-4.3082743801384131</v>
      </c>
      <c r="E148">
        <f t="shared" si="61"/>
        <v>-8.4521459917255921</v>
      </c>
      <c r="F148" s="4">
        <f t="shared" si="63"/>
        <v>-590.48637236313891</v>
      </c>
      <c r="G148" s="4">
        <f t="shared" si="64"/>
        <v>-590.48637236313891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-4.3082743801384131</v>
      </c>
      <c r="C149">
        <f t="shared" si="62"/>
        <v>-8.4521459917255921</v>
      </c>
      <c r="D149" s="9">
        <f t="shared" si="61"/>
        <v>-4.3082743801384131</v>
      </c>
      <c r="E149">
        <f t="shared" si="61"/>
        <v>-8.4521459917255921</v>
      </c>
      <c r="F149" s="4">
        <f t="shared" si="63"/>
        <v>-590.48637236313891</v>
      </c>
      <c r="G149" s="4">
        <f t="shared" si="64"/>
        <v>-590.48637236313891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-4.3082743801384131</v>
      </c>
      <c r="C150">
        <f t="shared" si="62"/>
        <v>-8.4521459917255921</v>
      </c>
      <c r="D150" s="9">
        <f t="shared" si="61"/>
        <v>-4.3082743801384131</v>
      </c>
      <c r="E150">
        <f t="shared" si="61"/>
        <v>-8.4521459917255921</v>
      </c>
      <c r="F150" s="4">
        <f t="shared" si="63"/>
        <v>-590.48637236313891</v>
      </c>
      <c r="G150" s="4">
        <f t="shared" si="64"/>
        <v>-590.48637236313891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-4.3082743801384131</v>
      </c>
      <c r="C151">
        <f t="shared" si="62"/>
        <v>-8.4521459917255921</v>
      </c>
      <c r="D151" s="9">
        <f t="shared" si="61"/>
        <v>-4.3082743801384131</v>
      </c>
      <c r="E151">
        <f t="shared" si="61"/>
        <v>-8.4521459917255921</v>
      </c>
      <c r="F151" s="4">
        <f t="shared" si="63"/>
        <v>-590.48637236313891</v>
      </c>
      <c r="G151" s="4">
        <f t="shared" si="64"/>
        <v>-590.48637236313891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-4.3082743801384131</v>
      </c>
      <c r="C152">
        <f t="shared" si="62"/>
        <v>-8.4521459917255921</v>
      </c>
      <c r="D152" s="9">
        <f t="shared" si="61"/>
        <v>-3.4137389504004836</v>
      </c>
      <c r="E152">
        <f t="shared" si="61"/>
        <v>-2.5192035206625554</v>
      </c>
      <c r="F152" s="4">
        <f t="shared" si="63"/>
        <v>-590.48637236313891</v>
      </c>
      <c r="G152" s="4">
        <f t="shared" si="64"/>
        <v>-206.12358806784377</v>
      </c>
      <c r="H152" s="4">
        <f t="shared" si="65"/>
        <v>6.6324287153178494</v>
      </c>
      <c r="I152" s="4">
        <f t="shared" si="66"/>
        <v>20.122176720572625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-3.4137389504004836</v>
      </c>
      <c r="C153">
        <f t="shared" si="62"/>
        <v>-2.5192035206625554</v>
      </c>
      <c r="D153" s="9">
        <f t="shared" si="61"/>
        <v>-4.3082743801384131</v>
      </c>
      <c r="E153">
        <f t="shared" si="61"/>
        <v>-8.4521459917255921</v>
      </c>
      <c r="F153" s="4">
        <f t="shared" si="63"/>
        <v>-206.12358806784377</v>
      </c>
      <c r="G153" s="4">
        <f t="shared" si="64"/>
        <v>-590.48637236313891</v>
      </c>
      <c r="H153" s="4">
        <f t="shared" si="65"/>
        <v>6.6324287153178494</v>
      </c>
      <c r="I153" s="4">
        <f t="shared" si="66"/>
        <v>20.122176720572629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99.999957512737183</v>
      </c>
      <c r="C159" t="s">
        <v>36</v>
      </c>
    </row>
    <row r="160" spans="1:18" x14ac:dyDescent="0.25">
      <c r="A160" s="1" t="s">
        <v>106</v>
      </c>
      <c r="B160" s="4">
        <f>Q140+I122+Q154-O122</f>
        <v>11883.775601222376</v>
      </c>
      <c r="C160" t="s">
        <v>102</v>
      </c>
    </row>
    <row r="161" spans="1:9" x14ac:dyDescent="0.25">
      <c r="A161" s="1" t="s">
        <v>107</v>
      </c>
      <c r="B161" s="4">
        <f>R140+J122+R154-P122</f>
        <v>-1670.4118731291351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99.999957512737183</v>
      </c>
      <c r="C164" t="s">
        <v>36</v>
      </c>
      <c r="E164" s="8">
        <f>B2-B164</f>
        <v>4.2487262817303417E-5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11999.999930640637</v>
      </c>
      <c r="C165" t="s">
        <v>102</v>
      </c>
      <c r="E165" s="8">
        <f>B3+B165</f>
        <v>-6.9359362896648236E-5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120.00012801546245</v>
      </c>
      <c r="C166" t="s">
        <v>102</v>
      </c>
      <c r="E166" s="8">
        <f>B4+B166</f>
        <v>1.2801546245100326E-4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178.23919622745157</v>
      </c>
      <c r="B169" s="1">
        <f ca="1">IF(E122=0,0,(MIN(H110:H121)*B65)/(B55*B56*E122))</f>
        <v>-178.23919270764696</v>
      </c>
      <c r="C169" s="3">
        <f ca="1">A169+B169</f>
        <v>3.5198046077766776E-6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-9.097507275884107E-8</v>
      </c>
      <c r="C175" s="27">
        <f>B65*SQRT(I175)</f>
        <v>4.0807816904068504E-8</v>
      </c>
      <c r="D175" s="27">
        <f>B66*SQRT(I175)</f>
        <v>2.6437145148063467E-6</v>
      </c>
      <c r="E175" s="27">
        <f>B67*SQRT(I175)</f>
        <v>8.4934657228659421E-6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-6.1335382451344822</v>
      </c>
      <c r="C176" s="3">
        <f>B65+C175</f>
        <v>2.7512624952226323</v>
      </c>
      <c r="D176" s="3">
        <f>D175+B66</f>
        <v>178.23919887116608</v>
      </c>
      <c r="E176" s="3">
        <f>B67+E175</f>
        <v>572.62935071271374</v>
      </c>
      <c r="F176" s="16" t="s">
        <v>125</v>
      </c>
    </row>
    <row r="177" spans="1:13" x14ac:dyDescent="0.25">
      <c r="B177" s="27">
        <f>B176-B64</f>
        <v>-9.09750728084191E-8</v>
      </c>
      <c r="C177" s="27">
        <f>C176-B65</f>
        <v>4.0807817125454449E-8</v>
      </c>
      <c r="D177" s="27">
        <f>D176-B66</f>
        <v>2.6437145095314918E-6</v>
      </c>
      <c r="E177" s="27">
        <f>E176-B67</f>
        <v>8.4934657706980943E-6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-8.1914675888450379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-9.3466814202771396</v>
      </c>
      <c r="B181" s="25">
        <f>(d_alpha_p!E136-d_alpha_m!E136)/(2*B177)</f>
        <v>2.5192035247968185</v>
      </c>
      <c r="C181" s="25">
        <f>(d_alpha_p!E137-d_alpha_m!E137)/(2*B177)</f>
        <v>4.3082743719038623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-4.2487262817303417E-5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6.9359362896648236E-5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-1.2801546245100326E-4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-3.5198046077766776E-6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-8.1914675888450379</v>
      </c>
      <c r="B190" s="25">
        <f>A181</f>
        <v>-9.3466814202771396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2.5192035247968185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4.3082743719038623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-8.1914675888450379</v>
      </c>
      <c r="B201" s="25">
        <f t="shared" ref="B201:C201" si="77">B190</f>
        <v>-9.3466814202771396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2.5192035247968185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4.3082743719038623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-12000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-47.61904761904762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-3.131592986903128</v>
      </c>
      <c r="C5" t="s">
        <v>19</v>
      </c>
      <c r="I5">
        <f>SUM(I2:I4)</f>
        <v>-47.06349206349207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-47.61904761904762</v>
      </c>
      <c r="AB14">
        <f>$B$4/Z14</f>
        <v>-0.12345679012345678</v>
      </c>
      <c r="AC14">
        <f>$I$2+AA14+AB14</f>
        <v>-46.816578483245152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-15.873015873015873</v>
      </c>
      <c r="AB15">
        <f t="shared" ref="AB15:AB21" si="11">$B$4/Z15</f>
        <v>-0.12345679012345678</v>
      </c>
      <c r="AC15">
        <f t="shared" ref="AC15:AC20" si="12">$I$2+AA15+AB15</f>
        <v>-15.070546737213405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-15.873015873015873</v>
      </c>
      <c r="AB16">
        <f t="shared" si="11"/>
        <v>-0.37037037037037035</v>
      </c>
      <c r="AC16">
        <f t="shared" si="12"/>
        <v>-15.317460317460318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15.873015873015873</v>
      </c>
      <c r="AB17">
        <f t="shared" si="11"/>
        <v>-0.37037037037037035</v>
      </c>
      <c r="AC17">
        <f t="shared" si="12"/>
        <v>16.428571428571431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15.873015873015873</v>
      </c>
      <c r="AB18">
        <f t="shared" si="11"/>
        <v>0.12345679012345678</v>
      </c>
      <c r="AC18">
        <f t="shared" si="12"/>
        <v>16.922398589065256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-47.61904761904762</v>
      </c>
      <c r="AB19">
        <f t="shared" si="11"/>
        <v>0.12345679012345678</v>
      </c>
      <c r="AC19">
        <f t="shared" si="12"/>
        <v>-46.569664902998241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-47.61904761904762</v>
      </c>
      <c r="AB20">
        <f t="shared" si="11"/>
        <v>0.12345679012345678</v>
      </c>
      <c r="AC20">
        <f t="shared" si="12"/>
        <v>-46.569664902998241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5.9999999999999982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-6.1335381541594094</v>
      </c>
      <c r="C64" t="s">
        <v>19</v>
      </c>
      <c r="D64" t="s">
        <v>34</v>
      </c>
      <c r="H64" s="17">
        <f>DEGREES(B64)</f>
        <v>-351.42584971579544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2.7512624952226328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178.23919622745157</v>
      </c>
      <c r="C66" t="s">
        <v>11</v>
      </c>
      <c r="D66">
        <f>B66/B53</f>
        <v>4.6113810964629097E-2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572.62935071271374</v>
      </c>
      <c r="C67" t="s">
        <v>36</v>
      </c>
      <c r="D67" t="s">
        <v>122</v>
      </c>
      <c r="G67" s="20">
        <f ca="1">($B$56*$B$66*$B$55*$E$122)/$B$65</f>
        <v>572.62934221924786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-10.34668142146352</v>
      </c>
      <c r="R76">
        <f>Q76</f>
        <v>-10.34668142146352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10.34668142146352</v>
      </c>
      <c r="R77">
        <f>Q77</f>
        <v>10.34668142146352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-3.0000000000000018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-4.3082743801384131</v>
      </c>
      <c r="C84" s="1">
        <f t="shared" ref="C84:C92" si="23">(-1*B73*SIN($B$64))+(C73*COS($B$64))</f>
        <v>-8.4521459917255921</v>
      </c>
      <c r="H84" s="1">
        <f t="shared" ref="H84:H92" si="24">H73</f>
        <v>1</v>
      </c>
      <c r="I84" s="4">
        <f>(I73*COS($B$64))+(J73*SIN($B$64))</f>
        <v>-4.3082743801384131</v>
      </c>
      <c r="J84" s="1">
        <f>(-1*I73*SIN($B$64))+(J73*COS($B$64))</f>
        <v>-8.4521459917255921</v>
      </c>
    </row>
    <row r="85" spans="1:10" x14ac:dyDescent="0.25">
      <c r="A85" s="1">
        <f t="shared" si="21"/>
        <v>2</v>
      </c>
      <c r="B85" s="4">
        <f t="shared" si="22"/>
        <v>1.6246680909246241</v>
      </c>
      <c r="C85" s="1">
        <f t="shared" si="23"/>
        <v>-9.3466814214635203</v>
      </c>
      <c r="H85" s="1">
        <f t="shared" si="24"/>
        <v>2</v>
      </c>
      <c r="I85" s="4">
        <f t="shared" ref="I85:I92" si="25">(I74*COS($B$64))+(J74*SIN($B$64))</f>
        <v>-4.3082743801384131</v>
      </c>
      <c r="J85" s="1">
        <f t="shared" ref="J85:J92" si="26">(-1*I74*SIN($B$64))+(J74*COS($B$64))</f>
        <v>-8.4521459917255921</v>
      </c>
    </row>
    <row r="86" spans="1:10" x14ac:dyDescent="0.25">
      <c r="A86" s="1">
        <f t="shared" si="21"/>
        <v>3</v>
      </c>
      <c r="B86" s="4">
        <f t="shared" si="22"/>
        <v>2.5192035206625536</v>
      </c>
      <c r="C86" s="1">
        <f t="shared" si="23"/>
        <v>-3.4137389504004836</v>
      </c>
      <c r="H86" s="1">
        <f t="shared" si="24"/>
        <v>3</v>
      </c>
      <c r="I86" s="4">
        <f t="shared" si="25"/>
        <v>-4.3082743801384131</v>
      </c>
      <c r="J86" s="1">
        <f t="shared" si="26"/>
        <v>-8.4521459917255921</v>
      </c>
    </row>
    <row r="87" spans="1:10" x14ac:dyDescent="0.25">
      <c r="A87" s="1">
        <f t="shared" si="21"/>
        <v>4</v>
      </c>
      <c r="B87" s="4">
        <f t="shared" si="22"/>
        <v>8.4521459917255921</v>
      </c>
      <c r="C87" s="1">
        <f t="shared" si="23"/>
        <v>-4.3082743801384131</v>
      </c>
      <c r="H87" s="1">
        <f t="shared" si="24"/>
        <v>4</v>
      </c>
      <c r="I87" s="4">
        <f t="shared" si="25"/>
        <v>-4.3082743801384131</v>
      </c>
      <c r="J87" s="1">
        <f t="shared" si="26"/>
        <v>-8.4521459917255921</v>
      </c>
    </row>
    <row r="88" spans="1:10" x14ac:dyDescent="0.25">
      <c r="A88" s="1">
        <f t="shared" si="21"/>
        <v>5</v>
      </c>
      <c r="B88" s="4">
        <f t="shared" si="22"/>
        <v>9.3466814214635203</v>
      </c>
      <c r="C88" s="1">
        <f t="shared" si="23"/>
        <v>1.6246680909246241</v>
      </c>
      <c r="H88" s="1">
        <f t="shared" si="24"/>
        <v>5</v>
      </c>
      <c r="I88" s="4">
        <f t="shared" si="25"/>
        <v>-4.3082743801384131</v>
      </c>
      <c r="J88" s="1">
        <f t="shared" si="26"/>
        <v>-8.4521459917255921</v>
      </c>
    </row>
    <row r="89" spans="1:10" x14ac:dyDescent="0.25">
      <c r="A89" s="1">
        <f t="shared" si="21"/>
        <v>6</v>
      </c>
      <c r="B89" s="4">
        <f t="shared" si="22"/>
        <v>-2.5192035206625536</v>
      </c>
      <c r="C89" s="1">
        <f t="shared" si="23"/>
        <v>3.4137389504004836</v>
      </c>
      <c r="H89" s="1">
        <f t="shared" si="24"/>
        <v>6</v>
      </c>
      <c r="I89" s="4">
        <f t="shared" si="25"/>
        <v>-4.3082743801384131</v>
      </c>
      <c r="J89" s="1">
        <f t="shared" si="26"/>
        <v>-8.4521459917255921</v>
      </c>
    </row>
    <row r="90" spans="1:10" x14ac:dyDescent="0.25">
      <c r="A90" s="1">
        <f t="shared" si="21"/>
        <v>7</v>
      </c>
      <c r="B90" s="4">
        <f t="shared" si="22"/>
        <v>-4.3082743801384131</v>
      </c>
      <c r="C90" s="1">
        <f t="shared" si="23"/>
        <v>-8.4521459917255921</v>
      </c>
      <c r="H90" s="1">
        <f t="shared" si="24"/>
        <v>7</v>
      </c>
      <c r="I90" s="4">
        <f t="shared" si="25"/>
        <v>-4.3082743801384131</v>
      </c>
      <c r="J90" s="1">
        <f t="shared" si="26"/>
        <v>-8.4521459917255921</v>
      </c>
    </row>
    <row r="91" spans="1:10" x14ac:dyDescent="0.25">
      <c r="A91" s="1">
        <f t="shared" si="21"/>
        <v>8</v>
      </c>
      <c r="B91" s="4">
        <f t="shared" si="22"/>
        <v>-4.3082743801384131</v>
      </c>
      <c r="C91" s="1">
        <f t="shared" si="23"/>
        <v>-8.4521459917255921</v>
      </c>
      <c r="H91" s="1">
        <f t="shared" si="24"/>
        <v>8</v>
      </c>
      <c r="I91" s="4">
        <f t="shared" si="25"/>
        <v>-3.4137389504004836</v>
      </c>
      <c r="J91" s="1">
        <f t="shared" si="26"/>
        <v>-2.5192035206625554</v>
      </c>
    </row>
    <row r="92" spans="1:10" x14ac:dyDescent="0.25">
      <c r="A92" s="1">
        <f t="shared" si="21"/>
        <v>9</v>
      </c>
      <c r="B92" s="4">
        <f t="shared" si="22"/>
        <v>-4.3082743801384131</v>
      </c>
      <c r="C92" s="1">
        <f t="shared" si="23"/>
        <v>-8.4521459917255921</v>
      </c>
      <c r="H92" s="1">
        <f t="shared" si="24"/>
        <v>9</v>
      </c>
      <c r="I92" s="4">
        <f t="shared" si="25"/>
        <v>-4.3082743801384131</v>
      </c>
      <c r="J92" s="1">
        <f t="shared" si="26"/>
        <v>-8.4521459917255921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-2.6014049049381711</v>
      </c>
      <c r="C110" s="1">
        <f>(-1*B95*SIN($B$64))+(C95*COS($B$64))</f>
        <v>-7.1925442313943142</v>
      </c>
      <c r="D110" t="str">
        <f t="shared" ref="D110" si="31">D95</f>
        <v>y</v>
      </c>
      <c r="E110" s="4">
        <f t="shared" ref="E110:E121" si="32">IF($D110="y",$B$125-C110,0)</f>
        <v>7.855020686572165</v>
      </c>
      <c r="F110" s="1">
        <f>IF($D110="y",B110,NA())</f>
        <v>-2.6014049049381711</v>
      </c>
      <c r="G110" s="1">
        <f>IF($D110="y",C110,NA())</f>
        <v>-7.1925442313943142</v>
      </c>
      <c r="H110">
        <f t="shared" ref="H110:H121" si="33">IF($E$122=0,0,-1*MAX(($B$67/$E$122)*(E110),0))</f>
        <v>-541.78019096590037</v>
      </c>
      <c r="I110">
        <f>H110*C110</f>
        <v>3896.7779872154965</v>
      </c>
      <c r="J110">
        <f>H110*B110*-1</f>
        <v>-1409.3896461770323</v>
      </c>
      <c r="K110">
        <f ca="1">H110/$B$55</f>
        <v>-3818.073850422837</v>
      </c>
      <c r="L110">
        <f ca="1">K110/$B$54</f>
        <v>-0.13165771898009782</v>
      </c>
      <c r="M110">
        <f t="shared" ref="M110:M121" si="34">IFERROR(($D$66/$B$65)*(G110-$B$125),0)</f>
        <v>-0.13165771702729823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0.36506633059334725</v>
      </c>
      <c r="C111" s="1">
        <f t="shared" ref="C111:C121" si="37">(-1*B96*SIN($B$64))+(C96*COS($B$64))</f>
        <v>-7.6398119462632783</v>
      </c>
      <c r="D111" t="str">
        <f t="shared" si="35"/>
        <v>y</v>
      </c>
      <c r="E111" s="4">
        <f t="shared" si="32"/>
        <v>8.3022884014411282</v>
      </c>
      <c r="F111" s="1">
        <f t="shared" ref="F111:G121" si="38">IF($D111="y",B111,NA())</f>
        <v>0.36506633059334725</v>
      </c>
      <c r="G111" s="1">
        <f t="shared" si="38"/>
        <v>-7.6398119462632783</v>
      </c>
      <c r="H111">
        <f t="shared" si="33"/>
        <v>-572.62935071271374</v>
      </c>
      <c r="I111">
        <f t="shared" ref="I111:I121" si="39">H111*C111</f>
        <v>4374.7805543559753</v>
      </c>
      <c r="J111">
        <f t="shared" ref="J111:J121" si="40">H111*B111*-1</f>
        <v>209.04769585474133</v>
      </c>
      <c r="K111">
        <f ca="1">H111/$B$55</f>
        <v>-4035.4763544288171</v>
      </c>
      <c r="L111">
        <f t="shared" ref="L111:L121" ca="1" si="41">K111/$B$54</f>
        <v>-0.13915435704926957</v>
      </c>
      <c r="M111">
        <f t="shared" si="34"/>
        <v>-0.13915435498527687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7.1925442313943142</v>
      </c>
      <c r="C112" s="1">
        <f t="shared" si="37"/>
        <v>-2.6014049049381711</v>
      </c>
      <c r="D112" t="str">
        <f t="shared" si="35"/>
        <v>y</v>
      </c>
      <c r="E112" s="4">
        <f t="shared" si="32"/>
        <v>3.2638813601160219</v>
      </c>
      <c r="F112" s="1">
        <f t="shared" si="38"/>
        <v>7.1925442313943142</v>
      </c>
      <c r="G112" s="1">
        <f t="shared" si="38"/>
        <v>-2.6014049049381711</v>
      </c>
      <c r="H112">
        <f t="shared" si="33"/>
        <v>-225.11796430995375</v>
      </c>
      <c r="I112">
        <f t="shared" si="39"/>
        <v>585.62297654560984</v>
      </c>
      <c r="J112">
        <f t="shared" si="40"/>
        <v>1619.1709155807889</v>
      </c>
      <c r="K112">
        <f t="shared" ref="K112:K121" ca="1" si="45">H112/$B$55</f>
        <v>-1586.468141738231</v>
      </c>
      <c r="L112">
        <f t="shared" ca="1" si="41"/>
        <v>-5.4705797990973484E-2</v>
      </c>
      <c r="M112">
        <f t="shared" si="34"/>
        <v>-5.470579717955535E-2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7.6398119462632783</v>
      </c>
      <c r="C113" s="1">
        <f t="shared" si="37"/>
        <v>0.36506633059334725</v>
      </c>
      <c r="D113" t="str">
        <f t="shared" si="35"/>
        <v>y</v>
      </c>
      <c r="E113" s="4">
        <f t="shared" si="32"/>
        <v>0.29741012458450355</v>
      </c>
      <c r="F113" s="1">
        <f t="shared" si="38"/>
        <v>7.6398119462632783</v>
      </c>
      <c r="G113" s="1">
        <f t="shared" si="38"/>
        <v>0.36506633059334725</v>
      </c>
      <c r="H113">
        <f t="shared" si="33"/>
        <v>-20.513111361760156</v>
      </c>
      <c r="I113">
        <f t="shared" si="39"/>
        <v>-7.488646293890481</v>
      </c>
      <c r="J113">
        <f t="shared" si="40"/>
        <v>156.71631323660424</v>
      </c>
      <c r="K113">
        <f t="shared" ca="1" si="45"/>
        <v>-144.56153138695603</v>
      </c>
      <c r="L113">
        <f t="shared" ca="1" si="41"/>
        <v>-4.9848803926536567E-3</v>
      </c>
      <c r="M113">
        <f t="shared" si="34"/>
        <v>-4.9848803187159309E-3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-4.3082743801384131</v>
      </c>
      <c r="C114" s="1">
        <f t="shared" si="37"/>
        <v>-8.4521459917255921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-4.3082743801384131</v>
      </c>
      <c r="C115" s="1">
        <f t="shared" si="37"/>
        <v>-8.4521459917255921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-4.3082743801384131</v>
      </c>
      <c r="C116" s="1">
        <f t="shared" si="37"/>
        <v>-8.4521459917255921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-4.3082743801384131</v>
      </c>
      <c r="C117" s="1">
        <f t="shared" si="37"/>
        <v>-8.4521459917255921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-4.3082743801384131</v>
      </c>
      <c r="C118" s="1">
        <f t="shared" si="37"/>
        <v>-8.4521459917255921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-4.3082743801384131</v>
      </c>
      <c r="C119" s="1">
        <f t="shared" si="37"/>
        <v>-8.4521459917255921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-4.3082743801384131</v>
      </c>
      <c r="C120" s="1">
        <f t="shared" si="37"/>
        <v>-8.4521459917255921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-4.3082743801384131</v>
      </c>
      <c r="C121" s="1">
        <f t="shared" si="37"/>
        <v>-8.4521459917255921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8.3022884014411282</v>
      </c>
      <c r="H122">
        <f>SUM(H110:H121)</f>
        <v>-1360.0406173503279</v>
      </c>
      <c r="I122">
        <f t="shared" ref="I122:J122" si="46">SUM(I110:I121)</f>
        <v>8849.692871823192</v>
      </c>
      <c r="J122">
        <f t="shared" si="46"/>
        <v>575.54527849510214</v>
      </c>
      <c r="L122">
        <f ca="1">MIN(L110:L121)</f>
        <v>-0.13915435704926957</v>
      </c>
      <c r="M122">
        <f>MIN(M110:M121)</f>
        <v>-0.13915435498527687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0.66247645517785081</v>
      </c>
      <c r="F125" s="1" t="s">
        <v>27</v>
      </c>
      <c r="G125" s="1" t="s">
        <v>28</v>
      </c>
    </row>
    <row r="126" spans="1:16" x14ac:dyDescent="0.25">
      <c r="F126" s="4">
        <f>MIN(B84:B90)-1</f>
        <v>-5.3082743801384131</v>
      </c>
      <c r="G126" s="4">
        <f>B125</f>
        <v>0.66247645517785081</v>
      </c>
    </row>
    <row r="127" spans="1:16" x14ac:dyDescent="0.25">
      <c r="F127" s="4">
        <f>MAX(B84:B90)+1</f>
        <v>10.34668142146352</v>
      </c>
      <c r="G127" s="4">
        <f>G126</f>
        <v>0.66247645517785081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-4.3082743801384131</v>
      </c>
      <c r="C132" s="4">
        <f>C84</f>
        <v>-8.4521459917255921</v>
      </c>
      <c r="D132" s="4">
        <f t="shared" ref="D132:E139" si="47">B85</f>
        <v>1.6246680909246241</v>
      </c>
      <c r="E132" s="4">
        <f t="shared" si="47"/>
        <v>-9.3466814214635203</v>
      </c>
      <c r="F132" s="4">
        <f t="shared" ref="F132:F139" si="48">($B$66/$B$65)*(C132-$B$125)</f>
        <v>-590.48636096109612</v>
      </c>
      <c r="G132" s="4">
        <f t="shared" ref="G132:G139" si="49">($B$66/$B$65)*(E132-$B$125)</f>
        <v>-648.43840162254685</v>
      </c>
      <c r="H132" s="4">
        <f>IF(B132=D132,"V",(C132-E132)/(B132-D132))</f>
        <v>-0.15077433062951132</v>
      </c>
      <c r="I132" s="4">
        <f>IF(H132="V",0,(-1*B132*H132)+C132)</f>
        <v>-9.1017231775592347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1.6246680909246241</v>
      </c>
      <c r="C133" s="4">
        <f t="shared" si="50"/>
        <v>-9.3466814214635203</v>
      </c>
      <c r="D133" s="4">
        <f t="shared" si="47"/>
        <v>2.5192035206625536</v>
      </c>
      <c r="E133" s="4">
        <f t="shared" si="47"/>
        <v>-3.4137389504004836</v>
      </c>
      <c r="F133" s="4">
        <f t="shared" si="48"/>
        <v>-648.43840162254685</v>
      </c>
      <c r="G133" s="4">
        <f t="shared" si="49"/>
        <v>-264.07562302827307</v>
      </c>
      <c r="H133" s="4">
        <f t="shared" ref="H133:H139" si="51">IF(B133=D133,"V",(C133-E133)/(B133-D133))</f>
        <v>6.6324287153178494</v>
      </c>
      <c r="I133" s="4">
        <f t="shared" ref="I133:I139" si="52">IF(H133="V",0,(-1*B133*H133)+C133)</f>
        <v>-20.122176720572625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2.5192035206625536</v>
      </c>
      <c r="C134" s="4">
        <f t="shared" si="50"/>
        <v>-3.4137389504004836</v>
      </c>
      <c r="D134" s="4">
        <f t="shared" si="47"/>
        <v>8.4521459917255921</v>
      </c>
      <c r="E134" s="4">
        <f t="shared" si="47"/>
        <v>-4.3082743801384131</v>
      </c>
      <c r="F134" s="4">
        <f t="shared" si="48"/>
        <v>-264.07562302827307</v>
      </c>
      <c r="G134" s="4">
        <f t="shared" si="49"/>
        <v>-322.02766368972385</v>
      </c>
      <c r="H134" s="4">
        <f t="shared" si="51"/>
        <v>-0.15077433062951151</v>
      </c>
      <c r="I134" s="4">
        <f t="shared" si="52"/>
        <v>-3.0339077258530782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8.4521459917255921</v>
      </c>
      <c r="C135" s="4">
        <f t="shared" si="50"/>
        <v>-4.3082743801384131</v>
      </c>
      <c r="D135" s="4">
        <f t="shared" si="47"/>
        <v>9.3466814214635203</v>
      </c>
      <c r="E135" s="4">
        <f t="shared" si="47"/>
        <v>1.6246680909246241</v>
      </c>
      <c r="F135" s="4">
        <f t="shared" si="48"/>
        <v>-322.02766368972385</v>
      </c>
      <c r="G135" s="4">
        <f t="shared" si="49"/>
        <v>62.335114904549989</v>
      </c>
      <c r="H135" s="4">
        <f t="shared" si="51"/>
        <v>6.63242871531786</v>
      </c>
      <c r="I135" s="4">
        <f t="shared" si="52"/>
        <v>-60.366530161717982</v>
      </c>
      <c r="J135" s="4">
        <f t="shared" si="53"/>
        <v>9.2016076216464864</v>
      </c>
      <c r="K135" s="4">
        <f t="shared" si="54"/>
        <v>0.66247645517785081</v>
      </c>
      <c r="L135" s="4">
        <f t="shared" si="55"/>
        <v>9.3466814214635203</v>
      </c>
      <c r="M135" s="4">
        <f t="shared" si="56"/>
        <v>1.6246680909246241</v>
      </c>
      <c r="N135" s="4">
        <f t="shared" si="57"/>
        <v>0</v>
      </c>
      <c r="O135" s="4">
        <f t="shared" si="57"/>
        <v>62.335114904549989</v>
      </c>
      <c r="P135" s="4">
        <f t="shared" si="58"/>
        <v>278.84893952524237</v>
      </c>
      <c r="Q135" s="4">
        <f t="shared" si="59"/>
        <v>363.83416577386532</v>
      </c>
      <c r="R135" s="4">
        <f t="shared" si="60"/>
        <v>-1296.4313543597066</v>
      </c>
    </row>
    <row r="136" spans="1:18" x14ac:dyDescent="0.25">
      <c r="A136" t="s">
        <v>73</v>
      </c>
      <c r="B136" s="4">
        <f t="shared" si="50"/>
        <v>9.3466814214635203</v>
      </c>
      <c r="C136" s="4">
        <f t="shared" si="50"/>
        <v>1.6246680909246241</v>
      </c>
      <c r="D136" s="4">
        <f t="shared" si="47"/>
        <v>-2.5192035206625536</v>
      </c>
      <c r="E136" s="4">
        <f t="shared" si="47"/>
        <v>3.4137389504004836</v>
      </c>
      <c r="F136" s="4">
        <f t="shared" si="48"/>
        <v>62.335114904549989</v>
      </c>
      <c r="G136" s="4">
        <f t="shared" si="49"/>
        <v>178.23919622745157</v>
      </c>
      <c r="H136" s="4">
        <f t="shared" si="51"/>
        <v>-0.15077433062951157</v>
      </c>
      <c r="I136" s="4">
        <f t="shared" si="52"/>
        <v>3.0339077258530782</v>
      </c>
      <c r="J136" s="4">
        <f t="shared" si="53"/>
        <v>9.3466814214635203</v>
      </c>
      <c r="K136" s="4">
        <f t="shared" si="54"/>
        <v>1.6246680909246241</v>
      </c>
      <c r="L136" s="4">
        <f t="shared" si="55"/>
        <v>-2.5192035206625536</v>
      </c>
      <c r="M136" s="4">
        <f t="shared" si="56"/>
        <v>3.4137389504004836</v>
      </c>
      <c r="N136" s="4">
        <f t="shared" si="57"/>
        <v>62.335114904549989</v>
      </c>
      <c r="O136" s="4">
        <f t="shared" si="57"/>
        <v>178.23919622745157</v>
      </c>
      <c r="P136" s="4">
        <f t="shared" si="58"/>
        <v>529.60118593884533</v>
      </c>
      <c r="Q136" s="4">
        <f t="shared" si="59"/>
        <v>1059.0006455278483</v>
      </c>
      <c r="R136" s="4">
        <f t="shared" si="60"/>
        <v>-1816.4911819736253</v>
      </c>
    </row>
    <row r="137" spans="1:18" x14ac:dyDescent="0.25">
      <c r="A137" t="s">
        <v>74</v>
      </c>
      <c r="B137" s="4">
        <f t="shared" si="50"/>
        <v>-2.5192035206625536</v>
      </c>
      <c r="C137" s="4">
        <f t="shared" si="50"/>
        <v>3.4137389504004836</v>
      </c>
      <c r="D137" s="4">
        <f t="shared" si="47"/>
        <v>-4.3082743801384131</v>
      </c>
      <c r="E137" s="4">
        <f t="shared" si="47"/>
        <v>-8.4521459917255921</v>
      </c>
      <c r="F137" s="4">
        <f t="shared" si="48"/>
        <v>178.23919622745157</v>
      </c>
      <c r="G137" s="4">
        <f t="shared" si="49"/>
        <v>-590.48636096109612</v>
      </c>
      <c r="H137" s="4">
        <f t="shared" si="51"/>
        <v>6.6324287153178494</v>
      </c>
      <c r="I137" s="4">
        <f t="shared" si="52"/>
        <v>20.122176720572625</v>
      </c>
      <c r="J137" s="4">
        <f t="shared" si="53"/>
        <v>-2.5192035206625536</v>
      </c>
      <c r="K137" s="4">
        <f t="shared" si="54"/>
        <v>3.4137389504004836</v>
      </c>
      <c r="L137" s="4">
        <f t="shared" si="55"/>
        <v>-2.9340232817658252</v>
      </c>
      <c r="M137" s="4">
        <f t="shared" si="56"/>
        <v>0.66247645517785081</v>
      </c>
      <c r="N137" s="4">
        <f t="shared" si="57"/>
        <v>178.23919622745157</v>
      </c>
      <c r="O137" s="4">
        <f t="shared" si="57"/>
        <v>0</v>
      </c>
      <c r="P137" s="4">
        <f t="shared" si="58"/>
        <v>651.59047171357975</v>
      </c>
      <c r="Q137" s="4">
        <f t="shared" si="59"/>
        <v>1611.2480988580874</v>
      </c>
      <c r="R137" s="4">
        <f t="shared" si="60"/>
        <v>866.96525632033979</v>
      </c>
    </row>
    <row r="138" spans="1:18" x14ac:dyDescent="0.25">
      <c r="A138" t="s">
        <v>75</v>
      </c>
      <c r="B138" s="4">
        <f t="shared" si="50"/>
        <v>-4.3082743801384131</v>
      </c>
      <c r="C138" s="4">
        <f t="shared" si="50"/>
        <v>-8.4521459917255921</v>
      </c>
      <c r="D138" s="4">
        <f t="shared" si="47"/>
        <v>-4.3082743801384131</v>
      </c>
      <c r="E138" s="4">
        <f t="shared" si="47"/>
        <v>-8.4521459917255921</v>
      </c>
      <c r="F138" s="4">
        <f t="shared" si="48"/>
        <v>-590.48636096109612</v>
      </c>
      <c r="G138" s="4">
        <f t="shared" si="49"/>
        <v>-590.48636096109612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-4.3082743801384131</v>
      </c>
      <c r="C139" s="4">
        <f>E138</f>
        <v>-8.4521459917255921</v>
      </c>
      <c r="D139" s="4">
        <f t="shared" si="47"/>
        <v>-4.3082743801384131</v>
      </c>
      <c r="E139" s="4">
        <f t="shared" si="47"/>
        <v>-8.4521459917255921</v>
      </c>
      <c r="F139" s="4">
        <f t="shared" si="48"/>
        <v>-590.48636096109612</v>
      </c>
      <c r="G139" s="4">
        <f t="shared" si="49"/>
        <v>-590.48636096109612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1460.0405971776675</v>
      </c>
      <c r="Q140" s="4">
        <f>SUM(Q132:Q139)</f>
        <v>3034.082910159801</v>
      </c>
      <c r="R140" s="4">
        <f>SUM(R132:R139)</f>
        <v>-2245.9572800129918</v>
      </c>
    </row>
    <row r="142" spans="1:18" x14ac:dyDescent="0.25">
      <c r="O142" t="s">
        <v>96</v>
      </c>
      <c r="P142" s="1">
        <f>-1*R140/P140</f>
        <v>1.5382841301499022</v>
      </c>
    </row>
    <row r="143" spans="1:18" x14ac:dyDescent="0.25">
      <c r="O143" t="s">
        <v>97</v>
      </c>
      <c r="P143" s="1">
        <f>Q140/P140</f>
        <v>2.0780811958412917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-4.3082743801384131</v>
      </c>
      <c r="C146" s="9">
        <f>J84</f>
        <v>-8.4521459917255921</v>
      </c>
      <c r="D146" s="9">
        <f t="shared" ref="D146:E153" si="61">I85</f>
        <v>-4.3082743801384131</v>
      </c>
      <c r="E146">
        <f t="shared" si="61"/>
        <v>-8.4521459917255921</v>
      </c>
      <c r="F146" s="4">
        <f>($B$66/$B$65)*(C146-$B$125)</f>
        <v>-590.48636096109612</v>
      </c>
      <c r="G146" s="4">
        <f>($B$66/$B$65)*(E146-$B$125)</f>
        <v>-590.48636096109612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-4.3082743801384131</v>
      </c>
      <c r="C147">
        <f t="shared" si="62"/>
        <v>-8.4521459917255921</v>
      </c>
      <c r="D147" s="9">
        <f t="shared" si="61"/>
        <v>-4.3082743801384131</v>
      </c>
      <c r="E147">
        <f t="shared" si="61"/>
        <v>-8.4521459917255921</v>
      </c>
      <c r="F147" s="4">
        <f t="shared" ref="F147:F153" si="63">($B$66/$B$65)*(C147-$B$125)</f>
        <v>-590.48636096109612</v>
      </c>
      <c r="G147" s="4">
        <f t="shared" ref="G147:G153" si="64">($B$66/$B$65)*(E147-$B$125)</f>
        <v>-590.48636096109612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-4.3082743801384131</v>
      </c>
      <c r="C148">
        <f t="shared" si="62"/>
        <v>-8.4521459917255921</v>
      </c>
      <c r="D148" s="9">
        <f t="shared" si="61"/>
        <v>-4.3082743801384131</v>
      </c>
      <c r="E148">
        <f t="shared" si="61"/>
        <v>-8.4521459917255921</v>
      </c>
      <c r="F148" s="4">
        <f t="shared" si="63"/>
        <v>-590.48636096109612</v>
      </c>
      <c r="G148" s="4">
        <f t="shared" si="64"/>
        <v>-590.48636096109612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-4.3082743801384131</v>
      </c>
      <c r="C149">
        <f t="shared" si="62"/>
        <v>-8.4521459917255921</v>
      </c>
      <c r="D149" s="9">
        <f t="shared" si="61"/>
        <v>-4.3082743801384131</v>
      </c>
      <c r="E149">
        <f t="shared" si="61"/>
        <v>-8.4521459917255921</v>
      </c>
      <c r="F149" s="4">
        <f t="shared" si="63"/>
        <v>-590.48636096109612</v>
      </c>
      <c r="G149" s="4">
        <f t="shared" si="64"/>
        <v>-590.48636096109612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-4.3082743801384131</v>
      </c>
      <c r="C150">
        <f t="shared" si="62"/>
        <v>-8.4521459917255921</v>
      </c>
      <c r="D150" s="9">
        <f t="shared" si="61"/>
        <v>-4.3082743801384131</v>
      </c>
      <c r="E150">
        <f t="shared" si="61"/>
        <v>-8.4521459917255921</v>
      </c>
      <c r="F150" s="4">
        <f t="shared" si="63"/>
        <v>-590.48636096109612</v>
      </c>
      <c r="G150" s="4">
        <f t="shared" si="64"/>
        <v>-590.48636096109612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-4.3082743801384131</v>
      </c>
      <c r="C151">
        <f t="shared" si="62"/>
        <v>-8.4521459917255921</v>
      </c>
      <c r="D151" s="9">
        <f t="shared" si="61"/>
        <v>-4.3082743801384131</v>
      </c>
      <c r="E151">
        <f t="shared" si="61"/>
        <v>-8.4521459917255921</v>
      </c>
      <c r="F151" s="4">
        <f t="shared" si="63"/>
        <v>-590.48636096109612</v>
      </c>
      <c r="G151" s="4">
        <f t="shared" si="64"/>
        <v>-590.48636096109612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-4.3082743801384131</v>
      </c>
      <c r="C152">
        <f t="shared" si="62"/>
        <v>-8.4521459917255921</v>
      </c>
      <c r="D152" s="9">
        <f t="shared" si="61"/>
        <v>-3.4137389504004836</v>
      </c>
      <c r="E152">
        <f t="shared" si="61"/>
        <v>-2.5192035206625554</v>
      </c>
      <c r="F152" s="4">
        <f t="shared" si="63"/>
        <v>-590.48636096109612</v>
      </c>
      <c r="G152" s="4">
        <f t="shared" si="64"/>
        <v>-206.12358236682238</v>
      </c>
      <c r="H152" s="4">
        <f t="shared" si="65"/>
        <v>6.6324287153178494</v>
      </c>
      <c r="I152" s="4">
        <f t="shared" si="66"/>
        <v>20.122176720572625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-3.4137389504004836</v>
      </c>
      <c r="C153">
        <f t="shared" si="62"/>
        <v>-2.5192035206625554</v>
      </c>
      <c r="D153" s="9">
        <f t="shared" si="61"/>
        <v>-4.3082743801384131</v>
      </c>
      <c r="E153">
        <f t="shared" si="61"/>
        <v>-8.4521459917255921</v>
      </c>
      <c r="F153" s="4">
        <f t="shared" si="63"/>
        <v>-206.12358236682238</v>
      </c>
      <c r="G153" s="4">
        <f t="shared" si="64"/>
        <v>-590.48636096109612</v>
      </c>
      <c r="H153" s="4">
        <f t="shared" si="65"/>
        <v>6.6324287153178494</v>
      </c>
      <c r="I153" s="4">
        <f t="shared" si="66"/>
        <v>20.122176720572629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99.99997982733953</v>
      </c>
      <c r="C159" t="s">
        <v>36</v>
      </c>
    </row>
    <row r="160" spans="1:18" x14ac:dyDescent="0.25">
      <c r="A160" s="1" t="s">
        <v>106</v>
      </c>
      <c r="B160" s="4">
        <f>Q140+I122+Q154-O122</f>
        <v>11883.775781982993</v>
      </c>
      <c r="C160" t="s">
        <v>102</v>
      </c>
    </row>
    <row r="161" spans="1:9" x14ac:dyDescent="0.25">
      <c r="A161" s="1" t="s">
        <v>107</v>
      </c>
      <c r="B161" s="4">
        <f>R140+J122+R154-P122</f>
        <v>-1670.4120015178896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99.99997982733953</v>
      </c>
      <c r="C164" t="s">
        <v>36</v>
      </c>
      <c r="E164" s="8">
        <f>B2-B164</f>
        <v>2.0172660470052506E-5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12000.00012852241</v>
      </c>
      <c r="C165" t="s">
        <v>102</v>
      </c>
      <c r="E165" s="8">
        <f>B3+B165</f>
        <v>1.2852240979555063E-4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120.00002801107598</v>
      </c>
      <c r="C166" t="s">
        <v>102</v>
      </c>
      <c r="E166" s="8">
        <f>B4+B166</f>
        <v>2.8011075983158662E-5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178.23919622745157</v>
      </c>
      <c r="B169" s="1">
        <f ca="1">IF(E122=0,0,(MIN(H110:H121)*B65)/(B55*B56*E122))</f>
        <v>-178.23919887116617</v>
      </c>
      <c r="C169" s="3">
        <f ca="1">A169+B169</f>
        <v>-2.6437145947966201E-6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-9.097507275884107E-8</v>
      </c>
      <c r="C175" s="27">
        <f>B65*SQRT(I175)</f>
        <v>4.0807817509346258E-8</v>
      </c>
      <c r="D175" s="27">
        <f>B66*SQRT(I175)</f>
        <v>2.6437145148063467E-6</v>
      </c>
      <c r="E175" s="27">
        <f>B67*SQRT(I175)</f>
        <v>8.4934658488443985E-6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-6.1335382451344822</v>
      </c>
      <c r="C176" s="3">
        <f>B65+C175</f>
        <v>2.7512625360304503</v>
      </c>
      <c r="D176" s="3">
        <f>D175+B66</f>
        <v>178.23919887116608</v>
      </c>
      <c r="E176" s="3">
        <f>B67+E175</f>
        <v>572.62935920617963</v>
      </c>
      <c r="F176" s="16" t="s">
        <v>125</v>
      </c>
    </row>
    <row r="177" spans="1:13" x14ac:dyDescent="0.25">
      <c r="B177" s="27">
        <f>B176-B64</f>
        <v>-9.09750728084191E-8</v>
      </c>
      <c r="C177" s="27">
        <f>C176-B65</f>
        <v>4.0807817569543658E-8</v>
      </c>
      <c r="D177" s="27">
        <f>D176-B66</f>
        <v>2.6437145095314918E-6</v>
      </c>
      <c r="E177" s="27">
        <f>E176-B67</f>
        <v>8.493465884384932E-6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-8.1914675888450379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-9.3466814202771396</v>
      </c>
      <c r="B181" s="25">
        <f>(d_alpha_p!E136-d_alpha_m!E136)/(2*B177)</f>
        <v>2.5192035247968185</v>
      </c>
      <c r="C181" s="25">
        <f>(d_alpha_p!E137-d_alpha_m!E137)/(2*B177)</f>
        <v>4.3082743719038623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-2.0172660470052506E-5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-1.2852240979555063E-4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-2.8011075983158662E-5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2.6437145947966201E-6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-8.1914675888450379</v>
      </c>
      <c r="B190" s="25">
        <f>A181</f>
        <v>-9.3466814202771396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2.5192035247968185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4.3082743719038623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-8.1914675888450379</v>
      </c>
      <c r="B201" s="25">
        <f t="shared" ref="B201:C201" si="77">B190</f>
        <v>-9.3466814202771396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2.5192035247968185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4.3082743719038623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45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-12000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-47.61904761904762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-3.131592986903128</v>
      </c>
      <c r="C5" t="s">
        <v>19</v>
      </c>
      <c r="I5">
        <f>SUM(I2:I4)</f>
        <v>-47.06349206349207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-47.61904761904762</v>
      </c>
      <c r="AB14">
        <f>$B$4/Z14</f>
        <v>-0.12345679012345678</v>
      </c>
      <c r="AC14">
        <f>$I$2+AA14+AB14</f>
        <v>-46.816578483245152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-15.873015873015873</v>
      </c>
      <c r="AB15">
        <f t="shared" ref="AB15:AB21" si="11">$B$4/Z15</f>
        <v>-0.12345679012345678</v>
      </c>
      <c r="AC15">
        <f t="shared" ref="AC15:AC20" si="12">$I$2+AA15+AB15</f>
        <v>-15.070546737213405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-15.873015873015873</v>
      </c>
      <c r="AB16">
        <f t="shared" si="11"/>
        <v>-0.37037037037037035</v>
      </c>
      <c r="AC16">
        <f t="shared" si="12"/>
        <v>-15.317460317460318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15.873015873015873</v>
      </c>
      <c r="AB17">
        <f t="shared" si="11"/>
        <v>-0.37037037037037035</v>
      </c>
      <c r="AC17">
        <f t="shared" si="12"/>
        <v>16.428571428571431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15.873015873015873</v>
      </c>
      <c r="AB18">
        <f t="shared" si="11"/>
        <v>0.12345679012345678</v>
      </c>
      <c r="AC18">
        <f t="shared" si="12"/>
        <v>16.922398589065256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-47.61904761904762</v>
      </c>
      <c r="AB19">
        <f t="shared" si="11"/>
        <v>0.12345679012345678</v>
      </c>
      <c r="AC19">
        <f t="shared" si="12"/>
        <v>-46.569664902998241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-47.61904761904762</v>
      </c>
      <c r="AB20">
        <f t="shared" si="11"/>
        <v>0.12345679012345678</v>
      </c>
      <c r="AC20">
        <f t="shared" si="12"/>
        <v>-46.569664902998241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5.9999999999999982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-6.1335381541594094</v>
      </c>
      <c r="C64" t="s">
        <v>19</v>
      </c>
      <c r="D64" t="s">
        <v>34</v>
      </c>
      <c r="H64" s="17">
        <f>DEGREES(B64)</f>
        <v>-351.42584971579544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2.7512624952226328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178.23919622745157</v>
      </c>
      <c r="C66" t="s">
        <v>11</v>
      </c>
      <c r="D66">
        <f>B66/B53</f>
        <v>4.6113810964629097E-2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572.6293337257822</v>
      </c>
      <c r="C67" t="s">
        <v>36</v>
      </c>
      <c r="D67" t="s">
        <v>122</v>
      </c>
      <c r="G67" s="20">
        <f ca="1">($B$56*$B$66*$B$55*$E$122)/$B$65</f>
        <v>572.62934221924786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-10.34668142146352</v>
      </c>
      <c r="R76">
        <f>Q76</f>
        <v>-10.34668142146352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10.34668142146352</v>
      </c>
      <c r="R77">
        <f>Q77</f>
        <v>10.34668142146352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-3.0000000000000018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-4.3082743801384131</v>
      </c>
      <c r="C84" s="1">
        <f t="shared" ref="C84:C92" si="23">(-1*B73*SIN($B$64))+(C73*COS($B$64))</f>
        <v>-8.4521459917255921</v>
      </c>
      <c r="H84" s="1">
        <f t="shared" ref="H84:H92" si="24">H73</f>
        <v>1</v>
      </c>
      <c r="I84" s="4">
        <f>(I73*COS($B$64))+(J73*SIN($B$64))</f>
        <v>-4.3082743801384131</v>
      </c>
      <c r="J84" s="1">
        <f>(-1*I73*SIN($B$64))+(J73*COS($B$64))</f>
        <v>-8.4521459917255921</v>
      </c>
    </row>
    <row r="85" spans="1:10" x14ac:dyDescent="0.25">
      <c r="A85" s="1">
        <f t="shared" si="21"/>
        <v>2</v>
      </c>
      <c r="B85" s="4">
        <f t="shared" si="22"/>
        <v>1.6246680909246241</v>
      </c>
      <c r="C85" s="1">
        <f t="shared" si="23"/>
        <v>-9.3466814214635203</v>
      </c>
      <c r="H85" s="1">
        <f t="shared" si="24"/>
        <v>2</v>
      </c>
      <c r="I85" s="4">
        <f t="shared" ref="I85:I92" si="25">(I74*COS($B$64))+(J74*SIN($B$64))</f>
        <v>-4.3082743801384131</v>
      </c>
      <c r="J85" s="1">
        <f t="shared" ref="J85:J92" si="26">(-1*I74*SIN($B$64))+(J74*COS($B$64))</f>
        <v>-8.4521459917255921</v>
      </c>
    </row>
    <row r="86" spans="1:10" x14ac:dyDescent="0.25">
      <c r="A86" s="1">
        <f t="shared" si="21"/>
        <v>3</v>
      </c>
      <c r="B86" s="4">
        <f t="shared" si="22"/>
        <v>2.5192035206625536</v>
      </c>
      <c r="C86" s="1">
        <f t="shared" si="23"/>
        <v>-3.4137389504004836</v>
      </c>
      <c r="H86" s="1">
        <f t="shared" si="24"/>
        <v>3</v>
      </c>
      <c r="I86" s="4">
        <f t="shared" si="25"/>
        <v>-4.3082743801384131</v>
      </c>
      <c r="J86" s="1">
        <f t="shared" si="26"/>
        <v>-8.4521459917255921</v>
      </c>
    </row>
    <row r="87" spans="1:10" x14ac:dyDescent="0.25">
      <c r="A87" s="1">
        <f t="shared" si="21"/>
        <v>4</v>
      </c>
      <c r="B87" s="4">
        <f t="shared" si="22"/>
        <v>8.4521459917255921</v>
      </c>
      <c r="C87" s="1">
        <f t="shared" si="23"/>
        <v>-4.3082743801384131</v>
      </c>
      <c r="H87" s="1">
        <f t="shared" si="24"/>
        <v>4</v>
      </c>
      <c r="I87" s="4">
        <f t="shared" si="25"/>
        <v>-4.3082743801384131</v>
      </c>
      <c r="J87" s="1">
        <f t="shared" si="26"/>
        <v>-8.4521459917255921</v>
      </c>
    </row>
    <row r="88" spans="1:10" x14ac:dyDescent="0.25">
      <c r="A88" s="1">
        <f t="shared" si="21"/>
        <v>5</v>
      </c>
      <c r="B88" s="4">
        <f t="shared" si="22"/>
        <v>9.3466814214635203</v>
      </c>
      <c r="C88" s="1">
        <f t="shared" si="23"/>
        <v>1.6246680909246241</v>
      </c>
      <c r="H88" s="1">
        <f t="shared" si="24"/>
        <v>5</v>
      </c>
      <c r="I88" s="4">
        <f t="shared" si="25"/>
        <v>-4.3082743801384131</v>
      </c>
      <c r="J88" s="1">
        <f t="shared" si="26"/>
        <v>-8.4521459917255921</v>
      </c>
    </row>
    <row r="89" spans="1:10" x14ac:dyDescent="0.25">
      <c r="A89" s="1">
        <f t="shared" si="21"/>
        <v>6</v>
      </c>
      <c r="B89" s="4">
        <f t="shared" si="22"/>
        <v>-2.5192035206625536</v>
      </c>
      <c r="C89" s="1">
        <f t="shared" si="23"/>
        <v>3.4137389504004836</v>
      </c>
      <c r="H89" s="1">
        <f t="shared" si="24"/>
        <v>6</v>
      </c>
      <c r="I89" s="4">
        <f t="shared" si="25"/>
        <v>-4.3082743801384131</v>
      </c>
      <c r="J89" s="1">
        <f t="shared" si="26"/>
        <v>-8.4521459917255921</v>
      </c>
    </row>
    <row r="90" spans="1:10" x14ac:dyDescent="0.25">
      <c r="A90" s="1">
        <f t="shared" si="21"/>
        <v>7</v>
      </c>
      <c r="B90" s="4">
        <f t="shared" si="22"/>
        <v>-4.3082743801384131</v>
      </c>
      <c r="C90" s="1">
        <f t="shared" si="23"/>
        <v>-8.4521459917255921</v>
      </c>
      <c r="H90" s="1">
        <f t="shared" si="24"/>
        <v>7</v>
      </c>
      <c r="I90" s="4">
        <f t="shared" si="25"/>
        <v>-4.3082743801384131</v>
      </c>
      <c r="J90" s="1">
        <f t="shared" si="26"/>
        <v>-8.4521459917255921</v>
      </c>
    </row>
    <row r="91" spans="1:10" x14ac:dyDescent="0.25">
      <c r="A91" s="1">
        <f t="shared" si="21"/>
        <v>8</v>
      </c>
      <c r="B91" s="4">
        <f t="shared" si="22"/>
        <v>-4.3082743801384131</v>
      </c>
      <c r="C91" s="1">
        <f t="shared" si="23"/>
        <v>-8.4521459917255921</v>
      </c>
      <c r="H91" s="1">
        <f t="shared" si="24"/>
        <v>8</v>
      </c>
      <c r="I91" s="4">
        <f t="shared" si="25"/>
        <v>-3.4137389504004836</v>
      </c>
      <c r="J91" s="1">
        <f t="shared" si="26"/>
        <v>-2.5192035206625554</v>
      </c>
    </row>
    <row r="92" spans="1:10" x14ac:dyDescent="0.25">
      <c r="A92" s="1">
        <f t="shared" si="21"/>
        <v>9</v>
      </c>
      <c r="B92" s="4">
        <f t="shared" si="22"/>
        <v>-4.3082743801384131</v>
      </c>
      <c r="C92" s="1">
        <f t="shared" si="23"/>
        <v>-8.4521459917255921</v>
      </c>
      <c r="H92" s="1">
        <f t="shared" si="24"/>
        <v>9</v>
      </c>
      <c r="I92" s="4">
        <f t="shared" si="25"/>
        <v>-4.3082743801384131</v>
      </c>
      <c r="J92" s="1">
        <f t="shared" si="26"/>
        <v>-8.4521459917255921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-2.6014049049381711</v>
      </c>
      <c r="C110" s="1">
        <f>(-1*B95*SIN($B$64))+(C95*COS($B$64))</f>
        <v>-7.1925442313943142</v>
      </c>
      <c r="D110" t="str">
        <f t="shared" ref="D110" si="31">D95</f>
        <v>y</v>
      </c>
      <c r="E110" s="4">
        <f t="shared" ref="E110:E121" si="32">IF($D110="y",$B$125-C110,0)</f>
        <v>7.855020686572165</v>
      </c>
      <c r="F110" s="1">
        <f>IF($D110="y",B110,NA())</f>
        <v>-2.6014049049381711</v>
      </c>
      <c r="G110" s="1">
        <f>IF($D110="y",C110,NA())</f>
        <v>-7.1925442313943142</v>
      </c>
      <c r="H110">
        <f t="shared" ref="H110:H121" si="33">IF($E$122=0,0,-1*MAX(($B$67/$E$122)*(E110),0))</f>
        <v>-541.78017489410274</v>
      </c>
      <c r="I110">
        <f>H110*C110</f>
        <v>3896.7778716183811</v>
      </c>
      <c r="J110">
        <f>H110*B110*-1</f>
        <v>-1409.3896043677792</v>
      </c>
      <c r="K110">
        <f ca="1">H110/$B$55</f>
        <v>-3818.0737371604637</v>
      </c>
      <c r="L110">
        <f ca="1">K110/$B$54</f>
        <v>-0.13165771507449875</v>
      </c>
      <c r="M110">
        <f t="shared" ref="M110:M121" si="34">IFERROR(($D$66/$B$65)*(G110-$B$125),0)</f>
        <v>-0.13165771702729823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0.36506633059334725</v>
      </c>
      <c r="C111" s="1">
        <f t="shared" ref="C111:C121" si="37">(-1*B96*SIN($B$64))+(C96*COS($B$64))</f>
        <v>-7.6398119462632783</v>
      </c>
      <c r="D111" t="str">
        <f t="shared" si="35"/>
        <v>y</v>
      </c>
      <c r="E111" s="4">
        <f t="shared" si="32"/>
        <v>8.3022884014411282</v>
      </c>
      <c r="F111" s="1">
        <f t="shared" ref="F111:G121" si="38">IF($D111="y",B111,NA())</f>
        <v>0.36506633059334725</v>
      </c>
      <c r="G111" s="1">
        <f t="shared" si="38"/>
        <v>-7.6398119462632783</v>
      </c>
      <c r="H111">
        <f t="shared" si="33"/>
        <v>-572.6293337257822</v>
      </c>
      <c r="I111">
        <f t="shared" ref="I111:I121" si="39">H111*C111</f>
        <v>4374.7804245790121</v>
      </c>
      <c r="J111">
        <f t="shared" ref="J111:J121" si="40">H111*B111*-1</f>
        <v>209.04768965338457</v>
      </c>
      <c r="K111">
        <f ca="1">H111/$B$55</f>
        <v>-4035.4762347172436</v>
      </c>
      <c r="L111">
        <f t="shared" ref="L111:L121" ca="1" si="41">K111/$B$54</f>
        <v>-0.13915435292128425</v>
      </c>
      <c r="M111">
        <f t="shared" si="34"/>
        <v>-0.13915435498527687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7.1925442313943142</v>
      </c>
      <c r="C112" s="1">
        <f t="shared" si="37"/>
        <v>-2.6014049049381711</v>
      </c>
      <c r="D112" t="str">
        <f t="shared" si="35"/>
        <v>y</v>
      </c>
      <c r="E112" s="4">
        <f t="shared" si="32"/>
        <v>3.2638813601160219</v>
      </c>
      <c r="F112" s="1">
        <f t="shared" si="38"/>
        <v>7.1925442313943142</v>
      </c>
      <c r="G112" s="1">
        <f t="shared" si="38"/>
        <v>-2.6014049049381711</v>
      </c>
      <c r="H112">
        <f t="shared" si="33"/>
        <v>-225.11795763187573</v>
      </c>
      <c r="I112">
        <f t="shared" si="39"/>
        <v>585.6229591732249</v>
      </c>
      <c r="J112">
        <f t="shared" si="40"/>
        <v>1619.1708675484174</v>
      </c>
      <c r="K112">
        <f t="shared" ref="K112:K121" ca="1" si="45">H112/$B$55</f>
        <v>-1586.4680946759804</v>
      </c>
      <c r="L112">
        <f t="shared" ca="1" si="41"/>
        <v>-5.4705796368137258E-2</v>
      </c>
      <c r="M112">
        <f t="shared" si="34"/>
        <v>-5.470579717955535E-2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7.6398119462632783</v>
      </c>
      <c r="C113" s="1">
        <f t="shared" si="37"/>
        <v>0.36506633059334725</v>
      </c>
      <c r="D113" t="str">
        <f t="shared" si="35"/>
        <v>y</v>
      </c>
      <c r="E113" s="4">
        <f t="shared" si="32"/>
        <v>0.29741012458450355</v>
      </c>
      <c r="F113" s="1">
        <f t="shared" si="38"/>
        <v>7.6398119462632783</v>
      </c>
      <c r="G113" s="1">
        <f t="shared" si="38"/>
        <v>0.36506633059334725</v>
      </c>
      <c r="H113">
        <f t="shared" si="33"/>
        <v>-20.513110753242938</v>
      </c>
      <c r="I113">
        <f t="shared" si="39"/>
        <v>-7.488646071741333</v>
      </c>
      <c r="J113">
        <f t="shared" si="40"/>
        <v>156.71630858764712</v>
      </c>
      <c r="K113">
        <f t="shared" ca="1" si="45"/>
        <v>-144.56152709856801</v>
      </c>
      <c r="L113">
        <f t="shared" ca="1" si="41"/>
        <v>-4.9848802447782069E-3</v>
      </c>
      <c r="M113">
        <f t="shared" si="34"/>
        <v>-4.9848803187159309E-3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-4.3082743801384131</v>
      </c>
      <c r="C114" s="1">
        <f t="shared" si="37"/>
        <v>-8.4521459917255921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-4.3082743801384131</v>
      </c>
      <c r="C115" s="1">
        <f t="shared" si="37"/>
        <v>-8.4521459917255921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-4.3082743801384131</v>
      </c>
      <c r="C116" s="1">
        <f t="shared" si="37"/>
        <v>-8.4521459917255921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-4.3082743801384131</v>
      </c>
      <c r="C117" s="1">
        <f t="shared" si="37"/>
        <v>-8.4521459917255921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-4.3082743801384131</v>
      </c>
      <c r="C118" s="1">
        <f t="shared" si="37"/>
        <v>-8.4521459917255921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-4.3082743801384131</v>
      </c>
      <c r="C119" s="1">
        <f t="shared" si="37"/>
        <v>-8.4521459917255921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-4.3082743801384131</v>
      </c>
      <c r="C120" s="1">
        <f t="shared" si="37"/>
        <v>-8.4521459917255921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-4.3082743801384131</v>
      </c>
      <c r="C121" s="1">
        <f t="shared" si="37"/>
        <v>-8.4521459917255921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8.3022884014411282</v>
      </c>
      <c r="H122">
        <f>SUM(H110:H121)</f>
        <v>-1360.0405770050036</v>
      </c>
      <c r="I122">
        <f t="shared" ref="I122:J122" si="46">SUM(I110:I121)</f>
        <v>8849.6926092988761</v>
      </c>
      <c r="J122">
        <f t="shared" si="46"/>
        <v>575.54526142166992</v>
      </c>
      <c r="L122">
        <f ca="1">MIN(L110:L121)</f>
        <v>-0.13915435292128425</v>
      </c>
      <c r="M122">
        <f>MIN(M110:M121)</f>
        <v>-0.13915435498527687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0.66247645517785081</v>
      </c>
      <c r="F125" s="1" t="s">
        <v>27</v>
      </c>
      <c r="G125" s="1" t="s">
        <v>28</v>
      </c>
    </row>
    <row r="126" spans="1:16" x14ac:dyDescent="0.25">
      <c r="F126" s="4">
        <f>MIN(B84:B90)-1</f>
        <v>-5.3082743801384131</v>
      </c>
      <c r="G126" s="4">
        <f>B125</f>
        <v>0.66247645517785081</v>
      </c>
    </row>
    <row r="127" spans="1:16" x14ac:dyDescent="0.25">
      <c r="F127" s="4">
        <f>MAX(B84:B90)+1</f>
        <v>10.34668142146352</v>
      </c>
      <c r="G127" s="4">
        <f>G126</f>
        <v>0.66247645517785081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-4.3082743801384131</v>
      </c>
      <c r="C132" s="4">
        <f>C84</f>
        <v>-8.4521459917255921</v>
      </c>
      <c r="D132" s="4">
        <f t="shared" ref="D132:E139" si="47">B85</f>
        <v>1.6246680909246241</v>
      </c>
      <c r="E132" s="4">
        <f t="shared" si="47"/>
        <v>-9.3466814214635203</v>
      </c>
      <c r="F132" s="4">
        <f t="shared" ref="F132:F139" si="48">($B$66/$B$65)*(C132-$B$125)</f>
        <v>-590.48636096109612</v>
      </c>
      <c r="G132" s="4">
        <f t="shared" ref="G132:G139" si="49">($B$66/$B$65)*(E132-$B$125)</f>
        <v>-648.43840162254685</v>
      </c>
      <c r="H132" s="4">
        <f>IF(B132=D132,"V",(C132-E132)/(B132-D132))</f>
        <v>-0.15077433062951132</v>
      </c>
      <c r="I132" s="4">
        <f>IF(H132="V",0,(-1*B132*H132)+C132)</f>
        <v>-9.1017231775592347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1.6246680909246241</v>
      </c>
      <c r="C133" s="4">
        <f t="shared" si="50"/>
        <v>-9.3466814214635203</v>
      </c>
      <c r="D133" s="4">
        <f t="shared" si="47"/>
        <v>2.5192035206625536</v>
      </c>
      <c r="E133" s="4">
        <f t="shared" si="47"/>
        <v>-3.4137389504004836</v>
      </c>
      <c r="F133" s="4">
        <f t="shared" si="48"/>
        <v>-648.43840162254685</v>
      </c>
      <c r="G133" s="4">
        <f t="shared" si="49"/>
        <v>-264.07562302827307</v>
      </c>
      <c r="H133" s="4">
        <f t="shared" ref="H133:H139" si="51">IF(B133=D133,"V",(C133-E133)/(B133-D133))</f>
        <v>6.6324287153178494</v>
      </c>
      <c r="I133" s="4">
        <f t="shared" ref="I133:I139" si="52">IF(H133="V",0,(-1*B133*H133)+C133)</f>
        <v>-20.122176720572625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2.5192035206625536</v>
      </c>
      <c r="C134" s="4">
        <f t="shared" si="50"/>
        <v>-3.4137389504004836</v>
      </c>
      <c r="D134" s="4">
        <f t="shared" si="47"/>
        <v>8.4521459917255921</v>
      </c>
      <c r="E134" s="4">
        <f t="shared" si="47"/>
        <v>-4.3082743801384131</v>
      </c>
      <c r="F134" s="4">
        <f t="shared" si="48"/>
        <v>-264.07562302827307</v>
      </c>
      <c r="G134" s="4">
        <f t="shared" si="49"/>
        <v>-322.02766368972385</v>
      </c>
      <c r="H134" s="4">
        <f t="shared" si="51"/>
        <v>-0.15077433062951151</v>
      </c>
      <c r="I134" s="4">
        <f t="shared" si="52"/>
        <v>-3.0339077258530782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8.4521459917255921</v>
      </c>
      <c r="C135" s="4">
        <f t="shared" si="50"/>
        <v>-4.3082743801384131</v>
      </c>
      <c r="D135" s="4">
        <f t="shared" si="47"/>
        <v>9.3466814214635203</v>
      </c>
      <c r="E135" s="4">
        <f t="shared" si="47"/>
        <v>1.6246680909246241</v>
      </c>
      <c r="F135" s="4">
        <f t="shared" si="48"/>
        <v>-322.02766368972385</v>
      </c>
      <c r="G135" s="4">
        <f t="shared" si="49"/>
        <v>62.335114904549989</v>
      </c>
      <c r="H135" s="4">
        <f t="shared" si="51"/>
        <v>6.63242871531786</v>
      </c>
      <c r="I135" s="4">
        <f t="shared" si="52"/>
        <v>-60.366530161717982</v>
      </c>
      <c r="J135" s="4">
        <f t="shared" si="53"/>
        <v>9.2016076216464864</v>
      </c>
      <c r="K135" s="4">
        <f t="shared" si="54"/>
        <v>0.66247645517785081</v>
      </c>
      <c r="L135" s="4">
        <f t="shared" si="55"/>
        <v>9.3466814214635203</v>
      </c>
      <c r="M135" s="4">
        <f t="shared" si="56"/>
        <v>1.6246680909246241</v>
      </c>
      <c r="N135" s="4">
        <f t="shared" si="57"/>
        <v>0</v>
      </c>
      <c r="O135" s="4">
        <f t="shared" si="57"/>
        <v>62.335114904549989</v>
      </c>
      <c r="P135" s="4">
        <f t="shared" si="58"/>
        <v>278.84893952524237</v>
      </c>
      <c r="Q135" s="4">
        <f t="shared" si="59"/>
        <v>363.83416577386532</v>
      </c>
      <c r="R135" s="4">
        <f t="shared" si="60"/>
        <v>-1296.4313543597066</v>
      </c>
    </row>
    <row r="136" spans="1:18" x14ac:dyDescent="0.25">
      <c r="A136" t="s">
        <v>73</v>
      </c>
      <c r="B136" s="4">
        <f t="shared" si="50"/>
        <v>9.3466814214635203</v>
      </c>
      <c r="C136" s="4">
        <f t="shared" si="50"/>
        <v>1.6246680909246241</v>
      </c>
      <c r="D136" s="4">
        <f t="shared" si="47"/>
        <v>-2.5192035206625536</v>
      </c>
      <c r="E136" s="4">
        <f t="shared" si="47"/>
        <v>3.4137389504004836</v>
      </c>
      <c r="F136" s="4">
        <f t="shared" si="48"/>
        <v>62.335114904549989</v>
      </c>
      <c r="G136" s="4">
        <f t="shared" si="49"/>
        <v>178.23919622745157</v>
      </c>
      <c r="H136" s="4">
        <f t="shared" si="51"/>
        <v>-0.15077433062951157</v>
      </c>
      <c r="I136" s="4">
        <f t="shared" si="52"/>
        <v>3.0339077258530782</v>
      </c>
      <c r="J136" s="4">
        <f t="shared" si="53"/>
        <v>9.3466814214635203</v>
      </c>
      <c r="K136" s="4">
        <f t="shared" si="54"/>
        <v>1.6246680909246241</v>
      </c>
      <c r="L136" s="4">
        <f t="shared" si="55"/>
        <v>-2.5192035206625536</v>
      </c>
      <c r="M136" s="4">
        <f t="shared" si="56"/>
        <v>3.4137389504004836</v>
      </c>
      <c r="N136" s="4">
        <f t="shared" si="57"/>
        <v>62.335114904549989</v>
      </c>
      <c r="O136" s="4">
        <f t="shared" si="57"/>
        <v>178.23919622745157</v>
      </c>
      <c r="P136" s="4">
        <f t="shared" si="58"/>
        <v>529.60118593884533</v>
      </c>
      <c r="Q136" s="4">
        <f t="shared" si="59"/>
        <v>1059.0006455278483</v>
      </c>
      <c r="R136" s="4">
        <f t="shared" si="60"/>
        <v>-1816.4911819736253</v>
      </c>
    </row>
    <row r="137" spans="1:18" x14ac:dyDescent="0.25">
      <c r="A137" t="s">
        <v>74</v>
      </c>
      <c r="B137" s="4">
        <f t="shared" si="50"/>
        <v>-2.5192035206625536</v>
      </c>
      <c r="C137" s="4">
        <f t="shared" si="50"/>
        <v>3.4137389504004836</v>
      </c>
      <c r="D137" s="4">
        <f t="shared" si="47"/>
        <v>-4.3082743801384131</v>
      </c>
      <c r="E137" s="4">
        <f t="shared" si="47"/>
        <v>-8.4521459917255921</v>
      </c>
      <c r="F137" s="4">
        <f t="shared" si="48"/>
        <v>178.23919622745157</v>
      </c>
      <c r="G137" s="4">
        <f t="shared" si="49"/>
        <v>-590.48636096109612</v>
      </c>
      <c r="H137" s="4">
        <f t="shared" si="51"/>
        <v>6.6324287153178494</v>
      </c>
      <c r="I137" s="4">
        <f t="shared" si="52"/>
        <v>20.122176720572625</v>
      </c>
      <c r="J137" s="4">
        <f t="shared" si="53"/>
        <v>-2.5192035206625536</v>
      </c>
      <c r="K137" s="4">
        <f t="shared" si="54"/>
        <v>3.4137389504004836</v>
      </c>
      <c r="L137" s="4">
        <f t="shared" si="55"/>
        <v>-2.9340232817658252</v>
      </c>
      <c r="M137" s="4">
        <f t="shared" si="56"/>
        <v>0.66247645517785081</v>
      </c>
      <c r="N137" s="4">
        <f t="shared" si="57"/>
        <v>178.23919622745157</v>
      </c>
      <c r="O137" s="4">
        <f t="shared" si="57"/>
        <v>0</v>
      </c>
      <c r="P137" s="4">
        <f t="shared" si="58"/>
        <v>651.59047171357975</v>
      </c>
      <c r="Q137" s="4">
        <f t="shared" si="59"/>
        <v>1611.2480988580874</v>
      </c>
      <c r="R137" s="4">
        <f t="shared" si="60"/>
        <v>866.96525632033979</v>
      </c>
    </row>
    <row r="138" spans="1:18" x14ac:dyDescent="0.25">
      <c r="A138" t="s">
        <v>75</v>
      </c>
      <c r="B138" s="4">
        <f t="shared" si="50"/>
        <v>-4.3082743801384131</v>
      </c>
      <c r="C138" s="4">
        <f t="shared" si="50"/>
        <v>-8.4521459917255921</v>
      </c>
      <c r="D138" s="4">
        <f t="shared" si="47"/>
        <v>-4.3082743801384131</v>
      </c>
      <c r="E138" s="4">
        <f t="shared" si="47"/>
        <v>-8.4521459917255921</v>
      </c>
      <c r="F138" s="4">
        <f t="shared" si="48"/>
        <v>-590.48636096109612</v>
      </c>
      <c r="G138" s="4">
        <f t="shared" si="49"/>
        <v>-590.48636096109612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-4.3082743801384131</v>
      </c>
      <c r="C139" s="4">
        <f>E138</f>
        <v>-8.4521459917255921</v>
      </c>
      <c r="D139" s="4">
        <f t="shared" si="47"/>
        <v>-4.3082743801384131</v>
      </c>
      <c r="E139" s="4">
        <f t="shared" si="47"/>
        <v>-8.4521459917255921</v>
      </c>
      <c r="F139" s="4">
        <f t="shared" si="48"/>
        <v>-590.48636096109612</v>
      </c>
      <c r="G139" s="4">
        <f t="shared" si="49"/>
        <v>-590.48636096109612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1460.0405971776675</v>
      </c>
      <c r="Q140" s="4">
        <f>SUM(Q132:Q139)</f>
        <v>3034.082910159801</v>
      </c>
      <c r="R140" s="4">
        <f>SUM(R132:R139)</f>
        <v>-2245.9572800129918</v>
      </c>
    </row>
    <row r="142" spans="1:18" x14ac:dyDescent="0.25">
      <c r="O142" t="s">
        <v>96</v>
      </c>
      <c r="P142" s="1">
        <f>-1*R140/P140</f>
        <v>1.5382841301499022</v>
      </c>
    </row>
    <row r="143" spans="1:18" x14ac:dyDescent="0.25">
      <c r="O143" t="s">
        <v>97</v>
      </c>
      <c r="P143" s="1">
        <f>Q140/P140</f>
        <v>2.0780811958412917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-4.3082743801384131</v>
      </c>
      <c r="C146" s="9">
        <f>J84</f>
        <v>-8.4521459917255921</v>
      </c>
      <c r="D146" s="9">
        <f t="shared" ref="D146:E153" si="61">I85</f>
        <v>-4.3082743801384131</v>
      </c>
      <c r="E146">
        <f t="shared" si="61"/>
        <v>-8.4521459917255921</v>
      </c>
      <c r="F146" s="4">
        <f>($B$66/$B$65)*(C146-$B$125)</f>
        <v>-590.48636096109612</v>
      </c>
      <c r="G146" s="4">
        <f>($B$66/$B$65)*(E146-$B$125)</f>
        <v>-590.48636096109612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-4.3082743801384131</v>
      </c>
      <c r="C147">
        <f t="shared" si="62"/>
        <v>-8.4521459917255921</v>
      </c>
      <c r="D147" s="9">
        <f t="shared" si="61"/>
        <v>-4.3082743801384131</v>
      </c>
      <c r="E147">
        <f t="shared" si="61"/>
        <v>-8.4521459917255921</v>
      </c>
      <c r="F147" s="4">
        <f t="shared" ref="F147:F153" si="63">($B$66/$B$65)*(C147-$B$125)</f>
        <v>-590.48636096109612</v>
      </c>
      <c r="G147" s="4">
        <f t="shared" ref="G147:G153" si="64">($B$66/$B$65)*(E147-$B$125)</f>
        <v>-590.48636096109612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-4.3082743801384131</v>
      </c>
      <c r="C148">
        <f t="shared" si="62"/>
        <v>-8.4521459917255921</v>
      </c>
      <c r="D148" s="9">
        <f t="shared" si="61"/>
        <v>-4.3082743801384131</v>
      </c>
      <c r="E148">
        <f t="shared" si="61"/>
        <v>-8.4521459917255921</v>
      </c>
      <c r="F148" s="4">
        <f t="shared" si="63"/>
        <v>-590.48636096109612</v>
      </c>
      <c r="G148" s="4">
        <f t="shared" si="64"/>
        <v>-590.48636096109612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-4.3082743801384131</v>
      </c>
      <c r="C149">
        <f t="shared" si="62"/>
        <v>-8.4521459917255921</v>
      </c>
      <c r="D149" s="9">
        <f t="shared" si="61"/>
        <v>-4.3082743801384131</v>
      </c>
      <c r="E149">
        <f t="shared" si="61"/>
        <v>-8.4521459917255921</v>
      </c>
      <c r="F149" s="4">
        <f t="shared" si="63"/>
        <v>-590.48636096109612</v>
      </c>
      <c r="G149" s="4">
        <f t="shared" si="64"/>
        <v>-590.48636096109612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-4.3082743801384131</v>
      </c>
      <c r="C150">
        <f t="shared" si="62"/>
        <v>-8.4521459917255921</v>
      </c>
      <c r="D150" s="9">
        <f t="shared" si="61"/>
        <v>-4.3082743801384131</v>
      </c>
      <c r="E150">
        <f t="shared" si="61"/>
        <v>-8.4521459917255921</v>
      </c>
      <c r="F150" s="4">
        <f t="shared" si="63"/>
        <v>-590.48636096109612</v>
      </c>
      <c r="G150" s="4">
        <f t="shared" si="64"/>
        <v>-590.48636096109612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-4.3082743801384131</v>
      </c>
      <c r="C151">
        <f t="shared" si="62"/>
        <v>-8.4521459917255921</v>
      </c>
      <c r="D151" s="9">
        <f t="shared" si="61"/>
        <v>-4.3082743801384131</v>
      </c>
      <c r="E151">
        <f t="shared" si="61"/>
        <v>-8.4521459917255921</v>
      </c>
      <c r="F151" s="4">
        <f t="shared" si="63"/>
        <v>-590.48636096109612</v>
      </c>
      <c r="G151" s="4">
        <f t="shared" si="64"/>
        <v>-590.48636096109612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-4.3082743801384131</v>
      </c>
      <c r="C152">
        <f t="shared" si="62"/>
        <v>-8.4521459917255921</v>
      </c>
      <c r="D152" s="9">
        <f t="shared" si="61"/>
        <v>-3.4137389504004836</v>
      </c>
      <c r="E152">
        <f t="shared" si="61"/>
        <v>-2.5192035206625554</v>
      </c>
      <c r="F152" s="4">
        <f t="shared" si="63"/>
        <v>-590.48636096109612</v>
      </c>
      <c r="G152" s="4">
        <f t="shared" si="64"/>
        <v>-206.12358236682238</v>
      </c>
      <c r="H152" s="4">
        <f t="shared" si="65"/>
        <v>6.6324287153178494</v>
      </c>
      <c r="I152" s="4">
        <f t="shared" si="66"/>
        <v>20.122176720572625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-3.4137389504004836</v>
      </c>
      <c r="C153">
        <f t="shared" si="62"/>
        <v>-2.5192035206625554</v>
      </c>
      <c r="D153" s="9">
        <f t="shared" si="61"/>
        <v>-4.3082743801384131</v>
      </c>
      <c r="E153">
        <f t="shared" si="61"/>
        <v>-8.4521459917255921</v>
      </c>
      <c r="F153" s="4">
        <f t="shared" si="63"/>
        <v>-206.12358236682238</v>
      </c>
      <c r="G153" s="4">
        <f t="shared" si="64"/>
        <v>-590.48636096109612</v>
      </c>
      <c r="H153" s="4">
        <f t="shared" si="65"/>
        <v>6.6324287153178494</v>
      </c>
      <c r="I153" s="4">
        <f t="shared" si="66"/>
        <v>20.122176720572629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100.00002017266388</v>
      </c>
      <c r="C159" t="s">
        <v>36</v>
      </c>
    </row>
    <row r="160" spans="1:18" x14ac:dyDescent="0.25">
      <c r="A160" s="1" t="s">
        <v>106</v>
      </c>
      <c r="B160" s="4">
        <f>Q140+I122+Q154-O122</f>
        <v>11883.775519458677</v>
      </c>
      <c r="C160" t="s">
        <v>102</v>
      </c>
    </row>
    <row r="161" spans="1:9" x14ac:dyDescent="0.25">
      <c r="A161" s="1" t="s">
        <v>107</v>
      </c>
      <c r="B161" s="4">
        <f>R140+J122+R154-P122</f>
        <v>-1670.4120185913218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100.00002017266388</v>
      </c>
      <c r="C164" t="s">
        <v>36</v>
      </c>
      <c r="E164" s="8">
        <f>B2-B164</f>
        <v>-2.0172663880657637E-5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11999.999871477597</v>
      </c>
      <c r="C165" t="s">
        <v>102</v>
      </c>
      <c r="E165" s="8">
        <f>B3+B165</f>
        <v>-1.2852240251959302E-4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119.9999719889106</v>
      </c>
      <c r="C166" t="s">
        <v>102</v>
      </c>
      <c r="E166" s="8">
        <f>B4+B166</f>
        <v>-2.8011089398205513E-5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178.23919622745157</v>
      </c>
      <c r="B169" s="1">
        <f ca="1">IF(E122=0,0,(MIN(H110:H121)*B65)/(B55*B56*E122))</f>
        <v>-178.23919358373709</v>
      </c>
      <c r="C169" s="3">
        <f ca="1">A169+B169</f>
        <v>2.6437144811097824E-6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-9.097507275884107E-8</v>
      </c>
      <c r="C175" s="27">
        <f>B65*SQRT(I175)</f>
        <v>4.0807817509346258E-8</v>
      </c>
      <c r="D175" s="27">
        <f>B66*SQRT(I175)</f>
        <v>2.6437145148063467E-6</v>
      </c>
      <c r="E175" s="27">
        <f>B67*SQRT(I175)</f>
        <v>8.4934655968874875E-6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-6.1335382451344822</v>
      </c>
      <c r="C176" s="3">
        <f>B65+C175</f>
        <v>2.7512625360304503</v>
      </c>
      <c r="D176" s="3">
        <f>D175+B66</f>
        <v>178.23919887116608</v>
      </c>
      <c r="E176" s="3">
        <f>B67+E175</f>
        <v>572.62934221924775</v>
      </c>
      <c r="F176" s="16" t="s">
        <v>125</v>
      </c>
    </row>
    <row r="177" spans="1:13" x14ac:dyDescent="0.25">
      <c r="B177" s="27">
        <f>B176-B64</f>
        <v>-9.09750728084191E-8</v>
      </c>
      <c r="C177" s="27">
        <f>C176-B65</f>
        <v>4.0807817569543658E-8</v>
      </c>
      <c r="D177" s="27">
        <f>D176-B66</f>
        <v>2.6437145095314918E-6</v>
      </c>
      <c r="E177" s="27">
        <f>E176-B67</f>
        <v>8.4934655433244188E-6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-8.1914675888450379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-9.3466814202771396</v>
      </c>
      <c r="B181" s="25">
        <f>(d_alpha_p!E136-d_alpha_m!E136)/(2*B177)</f>
        <v>2.5192035247968185</v>
      </c>
      <c r="C181" s="25">
        <f>(d_alpha_p!E137-d_alpha_m!E137)/(2*B177)</f>
        <v>4.3082743719038623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2.0172663880657637E-5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1.2852240251959302E-4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2.8011089398205513E-5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-2.6437144811097824E-6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-8.1914675888450379</v>
      </c>
      <c r="B190" s="25">
        <f>A181</f>
        <v>-9.3466814202771396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2.5192035247968185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4.3082743719038623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-8.1914675888450379</v>
      </c>
      <c r="B201" s="25">
        <f t="shared" ref="B201:C201" si="77">B190</f>
        <v>-9.3466814202771396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2.5192035247968185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4.3082743719038623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2020-11-01T23:07:05Z</dcterms:modified>
</cp:coreProperties>
</file>