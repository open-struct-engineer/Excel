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303B7922-CD65-4CA3-8E8C-90D20FB56C4E}" xr6:coauthVersionLast="45" xr6:coauthVersionMax="45" xr10:uidLastSave="{00000000-0000-0000-0000-000000000000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Q39" i="7" l="1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E119" i="4" l="1"/>
  <c r="D33" i="6"/>
  <c r="E119" i="6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C139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E135" i="6"/>
  <c r="D22" i="8" l="1"/>
  <c r="J19" i="3"/>
  <c r="G22" i="3"/>
  <c r="J19" i="5"/>
  <c r="D22" i="2"/>
  <c r="O13" i="2" s="1"/>
  <c r="W13" i="2" s="1"/>
  <c r="B89" i="8"/>
  <c r="F126" i="8" s="1"/>
  <c r="I22" i="8"/>
  <c r="D22" i="3"/>
  <c r="I2" i="3" s="1"/>
  <c r="J19" i="8"/>
  <c r="J22" i="8" s="1"/>
  <c r="M13" i="8" s="1"/>
  <c r="B89" i="3"/>
  <c r="D136" i="3" s="1"/>
  <c r="G22" i="8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O13" i="8"/>
  <c r="W13" i="8" s="1"/>
  <c r="F22" i="8"/>
  <c r="E22" i="8"/>
  <c r="I2" i="8"/>
  <c r="L13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F22" i="2" l="1"/>
  <c r="R19" i="2" s="1"/>
  <c r="P13" i="8"/>
  <c r="N13" i="8"/>
  <c r="I2" i="2"/>
  <c r="E22" i="2"/>
  <c r="K17" i="2" s="1"/>
  <c r="L13" i="2"/>
  <c r="M13" i="2"/>
  <c r="P13" i="2"/>
  <c r="F22" i="3"/>
  <c r="R19" i="3" s="1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E22" i="7"/>
  <c r="I2" i="4"/>
  <c r="J22" i="4"/>
  <c r="M13" i="4" s="1"/>
  <c r="P13" i="4"/>
  <c r="K15" i="8"/>
  <c r="L13" i="4"/>
  <c r="R19" i="8"/>
  <c r="J22" i="9"/>
  <c r="M13" i="9" s="1"/>
  <c r="M13" i="6"/>
  <c r="K21" i="9"/>
  <c r="K18" i="9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K14" i="2" l="1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AC16" i="3" s="1"/>
  <c r="H136" i="8"/>
  <c r="I136" i="8" s="1"/>
  <c r="R76" i="8"/>
  <c r="R76" i="9"/>
  <c r="Q13" i="9"/>
  <c r="T13" i="9" s="1"/>
  <c r="Z14" i="9"/>
  <c r="AB14" i="9" s="1"/>
  <c r="AC14" i="9" s="1"/>
  <c r="AC17" i="2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H136" i="4"/>
  <c r="I136" i="4" s="1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8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N19" i="2" l="1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AA17" i="1" s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AI14" i="1" s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5" i="1"/>
  <c r="B132" i="1"/>
  <c r="Q13" i="1"/>
  <c r="T13" i="1" s="1"/>
  <c r="R13" i="1"/>
  <c r="AI21" i="1" l="1"/>
  <c r="AI20" i="1"/>
  <c r="AM20" i="1"/>
  <c r="AM21" i="1"/>
  <c r="AM16" i="1"/>
  <c r="AM18" i="1"/>
  <c r="AM19" i="1"/>
  <c r="AM17" i="1"/>
  <c r="AM15" i="1"/>
  <c r="AJ21" i="1"/>
  <c r="AK21" i="1" s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K20" i="1" l="1"/>
  <c r="AG21" i="1"/>
  <c r="AK18" i="1"/>
  <c r="AK15" i="1"/>
  <c r="AC21" i="1"/>
  <c r="AN21" i="1" s="1"/>
  <c r="AK19" i="1"/>
  <c r="AK17" i="1"/>
  <c r="AG20" i="1"/>
  <c r="AC20" i="1" s="1"/>
  <c r="AN20" i="1" s="1"/>
  <c r="AK16" i="1"/>
  <c r="AG15" i="1"/>
  <c r="AG14" i="1"/>
  <c r="AC14" i="1" s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C18" i="1" l="1"/>
  <c r="AN18" i="1" s="1"/>
  <c r="AN14" i="1"/>
  <c r="AC19" i="1"/>
  <c r="AN19" i="1" s="1"/>
  <c r="AC15" i="1"/>
  <c r="AN15" i="1" s="1"/>
  <c r="AC17" i="1"/>
  <c r="AN17" i="1" s="1"/>
  <c r="AC16" i="1"/>
  <c r="AN16" i="1" s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J66" i="1" l="1"/>
  <c r="AC27" i="1"/>
  <c r="AD27" i="1" s="1"/>
  <c r="AC26" i="1"/>
  <c r="AD26" i="1" s="1"/>
  <c r="F126" i="1"/>
  <c r="F127" i="1"/>
  <c r="AC23" i="1"/>
  <c r="AC24" i="1"/>
  <c r="AC22" i="1"/>
  <c r="Q66" i="1"/>
  <c r="E132" i="1"/>
  <c r="C133" i="1" s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AE26" i="1" l="1"/>
  <c r="AE27" i="1"/>
  <c r="B65" i="7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AF26" i="1" l="1"/>
  <c r="AF27" i="1"/>
  <c r="AG29" i="1"/>
  <c r="G127" i="1"/>
  <c r="J127" i="1" s="1"/>
  <c r="J126" i="1"/>
  <c r="I127" i="1"/>
  <c r="I126" i="1"/>
  <c r="B65" i="4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R80" i="1" l="1"/>
  <c r="R83" i="1" s="1"/>
  <c r="AH29" i="1"/>
  <c r="R79" i="1"/>
  <c r="R82" i="1" s="1"/>
  <c r="AE29" i="1"/>
  <c r="AE30" i="1" s="1"/>
  <c r="Q79" i="1"/>
  <c r="Q82" i="1" s="1"/>
  <c r="Q80" i="1"/>
  <c r="Q83" i="1" s="1"/>
  <c r="W151" i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AE32" i="1" l="1"/>
  <c r="J65" i="1" s="1"/>
  <c r="AK29" i="1"/>
  <c r="AJ29" i="1"/>
  <c r="I67" i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AE34" i="1" l="1"/>
  <c r="AE36" i="1" s="1"/>
  <c r="AJ31" i="1"/>
  <c r="Q65" i="1"/>
  <c r="AF36" i="1"/>
  <c r="K148" i="4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AJ32" i="1" l="1"/>
  <c r="J64" i="1" s="1"/>
  <c r="AJ33" i="1"/>
  <c r="AK36" i="1"/>
  <c r="Q64" i="1"/>
  <c r="AJ37" i="1"/>
  <c r="AJ36" i="1"/>
  <c r="P137" i="4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AK37" i="1" l="1"/>
  <c r="Q140" i="4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24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<sst xmlns="http://schemas.openxmlformats.org/spreadsheetml/2006/main" count="2378" uniqueCount="203">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</sst>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DCD8722-0B34-4E02-98AA-3D8FFD1AA8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82F105-AECF-4DEC-AC21-12E776B7F9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AB8996-3F6C-4348-98E8-9F7C0D188A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215B2D-97B5-4CCE-82B3-A602B72FEE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F6717D-436B-49A1-BBE4-681801728A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0650CC-B57E-4C4F-B805-8A8320ECA6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70FC92-A6E8-4BB6-A235-D860E0AE57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DA44FE-67E2-487A-8913-9400D2D81A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11</c:v>
                </c:pt>
                <c:pt idx="3">
                  <c:v>11</c:v>
                </c:pt>
                <c:pt idx="4">
                  <c:v>5.5</c:v>
                </c:pt>
                <c:pt idx="5">
                  <c:v>5.5</c:v>
                </c:pt>
                <c:pt idx="6">
                  <c:v>8.5</c:v>
                </c:pt>
                <c:pt idx="7">
                  <c:v>8.5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16.7911 kips</c:v>
                  </c:pt>
                  <c:pt idx="2">
                    <c:v>
52.5619 kips</c:v>
                  </c:pt>
                  <c:pt idx="3">
                    <c:v>
25.3661 kips</c:v>
                  </c:pt>
                  <c:pt idx="4">
                    <c:v>
27.9695 kips</c:v>
                  </c:pt>
                  <c:pt idx="5">
                    <c:v>
0.7737 kips</c:v>
                  </c:pt>
                  <c:pt idx="6">
                    <c:v>
41.3835 kips</c:v>
                  </c:pt>
                  <c:pt idx="7">
                    <c:v>
14.1878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48096846278904082"/>
                  <c:y val="-0.37691393654030947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CC71EA0D-1A12-4DE9-955A-6FCB37811AA5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733289001255292"/>
                      <c:h val="0.14297370828508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5.525 ksi &lt; 14.2891 ksi
NG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17.875767446421566</c:v>
                </c:pt>
                <c:pt idx="1">
                  <c:v>0.66672517988968849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10.554463085398824</c:v>
                </c:pt>
                <c:pt idx="1">
                  <c:v>-2.5292263813524087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5F0E4F-A221-4B3C-B251-0DBA98A886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11.498357325822319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1.9019487196779439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181.2997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11</c:v>
                </c:pt>
                <c:pt idx="3">
                  <c:v>11</c:v>
                </c:pt>
                <c:pt idx="4">
                  <c:v>5.5</c:v>
                </c:pt>
                <c:pt idx="5">
                  <c:v>5.5</c:v>
                </c:pt>
                <c:pt idx="6">
                  <c:v>8.5</c:v>
                </c:pt>
                <c:pt idx="7">
                  <c:v>8.5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0F67C9-46F9-4BEC-AF77-C272E27A8B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B82E01-B996-471D-93F7-28A8B2B6C6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3.9934293032892763</c:v>
                </c:pt>
                <c:pt idx="1">
                  <c:v>14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 ksi</c:v>
                  </c:pt>
                  <c:pt idx="1">
                    <c:v>14.2891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006C7C-A74F-4236-9E23-E2A2190141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14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7.607794878711772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1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6616A2-5182-4F62-8B66-64FAD9434A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7F992D-C1B2-479F-B095-6AD06C1121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81E7EE-577B-4942-9B20-62452D3EBB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C01597-E556-4DD9-B4BD-CDA8E64A27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E98D08-56BB-4A09-98D3-522520FC9E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EF1CC1-3A73-450B-AF1A-7455455F4D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EA6250-7B32-4CF6-BEFA-6A8E041C2E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3DDB86-D636-4985-A130-334476D6D9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11</c:v>
                </c:pt>
                <c:pt idx="3">
                  <c:v>11</c:v>
                </c:pt>
                <c:pt idx="4">
                  <c:v>5.5</c:v>
                </c:pt>
                <c:pt idx="5">
                  <c:v>5.5</c:v>
                </c:pt>
                <c:pt idx="6">
                  <c:v>8.5</c:v>
                </c:pt>
                <c:pt idx="7">
                  <c:v>8.5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71D263-18D6-4A14-ABD9-D2D731582B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5.525 ksi &lt; 14.2891 ksi
NG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17.875767446421566</c:v>
                </c:pt>
                <c:pt idx="1">
                  <c:v>0.66672517988968849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10.554463085398824</c:v>
                </c:pt>
                <c:pt idx="1">
                  <c:v>-2.5292263813524087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11.498357325822319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1.9019487196779439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3</c:v>
                </c:pt>
                <c:pt idx="1">
                  <c:v>#N/A</c:v>
                </c:pt>
                <c:pt idx="2">
                  <c:v>11</c:v>
                </c:pt>
                <c:pt idx="3">
                  <c:v>11</c:v>
                </c:pt>
                <c:pt idx="4">
                  <c:v>5.5</c:v>
                </c:pt>
                <c:pt idx="5">
                  <c:v>5.5</c:v>
                </c:pt>
                <c:pt idx="6">
                  <c:v>8.5</c:v>
                </c:pt>
                <c:pt idx="7">
                  <c:v>8.5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9.8089553819235675</c:v>
                </c:pt>
                <c:pt idx="1">
                  <c:v>-1.3358122306045388</c:v>
                </c:pt>
                <c:pt idx="2">
                  <c:v>-9.8089553819235675</c:v>
                </c:pt>
                <c:pt idx="3">
                  <c:v>1.3358122306045388</c:v>
                </c:pt>
                <c:pt idx="4">
                  <c:v>9.8089553819235675</c:v>
                </c:pt>
                <c:pt idx="5">
                  <c:v>9.8089553819235675</c:v>
                </c:pt>
                <c:pt idx="6">
                  <c:v>9.8089553819235675</c:v>
                </c:pt>
                <c:pt idx="7">
                  <c:v>9.8089553819235675</c:v>
                </c:pt>
                <c:pt idx="8">
                  <c:v>9.8089553819235675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1.3358122306045388</c:v>
                </c:pt>
                <c:pt idx="1">
                  <c:v>9.8089553819235675</c:v>
                </c:pt>
                <c:pt idx="2">
                  <c:v>-1.3358122306045388</c:v>
                </c:pt>
                <c:pt idx="3">
                  <c:v>-9.8089553819235675</c:v>
                </c:pt>
                <c:pt idx="4">
                  <c:v>1.3358122306045388</c:v>
                </c:pt>
                <c:pt idx="5">
                  <c:v>1.3358122306045388</c:v>
                </c:pt>
                <c:pt idx="6">
                  <c:v>1.3358122306045388</c:v>
                </c:pt>
                <c:pt idx="7">
                  <c:v>1.3358122306045388</c:v>
                </c:pt>
                <c:pt idx="8">
                  <c:v>1.3358122306045388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5.6051173610991816</c:v>
                </c:pt>
                <c:pt idx="1">
                  <c:v>-0.76332127463116528</c:v>
                </c:pt>
                <c:pt idx="2">
                  <c:v>0.76332127463116528</c:v>
                </c:pt>
                <c:pt idx="3">
                  <c:v>-5.6051173610991816</c:v>
                </c:pt>
                <c:pt idx="4">
                  <c:v>4.0920560840779263</c:v>
                </c:pt>
                <c:pt idx="5">
                  <c:v>-2.2763825516524205</c:v>
                </c:pt>
                <c:pt idx="6">
                  <c:v>2.2763825516524205</c:v>
                </c:pt>
                <c:pt idx="7">
                  <c:v>-4.0920560840779263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0.76332127463116528</c:v>
                </c:pt>
                <c:pt idx="1">
                  <c:v>5.6051173610991816</c:v>
                </c:pt>
                <c:pt idx="2">
                  <c:v>-5.6051173610991816</c:v>
                </c:pt>
                <c:pt idx="3">
                  <c:v>-0.76332127463116528</c:v>
                </c:pt>
                <c:pt idx="4">
                  <c:v>-1.2268157990345681</c:v>
                </c:pt>
                <c:pt idx="5">
                  <c:v>3.6149802874334482</c:v>
                </c:pt>
                <c:pt idx="6">
                  <c:v>-3.6149802874334482</c:v>
                </c:pt>
                <c:pt idx="7">
                  <c:v>1.2268157990345681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-10.808955381923568</c:v>
                </c:pt>
                <c:pt idx="1">
                  <c:v>10.808955381923568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3.7527335271361277</c:v>
                </c:pt>
                <c:pt idx="1">
                  <c:v>3.7527335271361277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6.629966698907924</c:v>
                </c:pt>
                <c:pt idx="1">
                  <c:v>-1.3358122306045388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3.7527335271361277</c:v>
                </c:pt>
                <c:pt idx="1">
                  <c:v>9.8089553819235675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-1.3358122306045388</c:v>
                </c:pt>
                <c:pt idx="1">
                  <c:v>-5.9402361644042987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9.8089553819235675</c:v>
                </c:pt>
                <c:pt idx="1">
                  <c:v>3.7527335271361277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-0.49547348167636324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6.7808444545298476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-10.808955381923568</c:v>
                </c:pt>
                <c:pt idx="1">
                  <c:v>10.808955381923568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-10.808955381923568</c:v>
                </c:pt>
                <c:pt idx="1">
                  <c:v>10.808955381923568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9.8089553819235675</c:v>
                </c:pt>
                <c:pt idx="1">
                  <c:v>9.8089553819235675</c:v>
                </c:pt>
                <c:pt idx="2">
                  <c:v>9.8089553819235675</c:v>
                </c:pt>
                <c:pt idx="3">
                  <c:v>9.8089553819235675</c:v>
                </c:pt>
                <c:pt idx="4">
                  <c:v>9.8089553819235675</c:v>
                </c:pt>
                <c:pt idx="5">
                  <c:v>9.8089553819235675</c:v>
                </c:pt>
                <c:pt idx="6">
                  <c:v>9.8089553819235675</c:v>
                </c:pt>
                <c:pt idx="7">
                  <c:v>9.8089553819235675</c:v>
                </c:pt>
                <c:pt idx="8">
                  <c:v>9.8089553819235675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1.3358122306045388</c:v>
                </c:pt>
                <c:pt idx="1">
                  <c:v>1.3358122306045388</c:v>
                </c:pt>
                <c:pt idx="2">
                  <c:v>1.3358122306045388</c:v>
                </c:pt>
                <c:pt idx="3">
                  <c:v>1.3358122306045388</c:v>
                </c:pt>
                <c:pt idx="4">
                  <c:v>1.3358122306045388</c:v>
                </c:pt>
                <c:pt idx="5">
                  <c:v>1.3358122306045388</c:v>
                </c:pt>
                <c:pt idx="6">
                  <c:v>1.3358122306045388</c:v>
                </c:pt>
                <c:pt idx="7">
                  <c:v>1.3358122306045388</c:v>
                </c:pt>
                <c:pt idx="8">
                  <c:v>1.3358122306045388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5.6051173610991816</c:v>
                </c:pt>
                <c:pt idx="1">
                  <c:v>#N/A</c:v>
                </c:pt>
                <c:pt idx="2">
                  <c:v>0.76332127463116528</c:v>
                </c:pt>
                <c:pt idx="3">
                  <c:v>-5.6051173610991816</c:v>
                </c:pt>
                <c:pt idx="4">
                  <c:v>4.0920560840779263</c:v>
                </c:pt>
                <c:pt idx="5">
                  <c:v>-2.2763825516524205</c:v>
                </c:pt>
                <c:pt idx="6">
                  <c:v>2.2763825516524205</c:v>
                </c:pt>
                <c:pt idx="7">
                  <c:v>-4.0920560840779263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0.76332127463116528</c:v>
                </c:pt>
                <c:pt idx="1">
                  <c:v>#N/A</c:v>
                </c:pt>
                <c:pt idx="2">
                  <c:v>-5.6051173610991816</c:v>
                </c:pt>
                <c:pt idx="3">
                  <c:v>-0.76332127463116528</c:v>
                </c:pt>
                <c:pt idx="4">
                  <c:v>-1.2268157990345681</c:v>
                </c:pt>
                <c:pt idx="5">
                  <c:v>3.6149802874334482</c:v>
                </c:pt>
                <c:pt idx="6">
                  <c:v>-3.6149802874334482</c:v>
                </c:pt>
                <c:pt idx="7">
                  <c:v>1.2268157990345681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16.899494936611667</c:v>
                </c:pt>
                <c:pt idx="1">
                  <c:v>-2.8994949366116671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16.899494936611664</c:v>
                </c:pt>
                <c:pt idx="1">
                  <c:v>-2.8994949366116636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274544</xdr:colOff>
      <xdr:row>37</xdr:row>
      <xdr:rowOff>73958</xdr:rowOff>
    </xdr:from>
    <xdr:to>
      <xdr:col>36</xdr:col>
      <xdr:colOff>593913</xdr:colOff>
      <xdr:row>56</xdr:row>
      <xdr:rowOff>112059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22" zoomScale="85" zoomScaleNormal="85" workbookViewId="0">
      <selection activeCell="M70" sqref="M70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0</v>
      </c>
      <c r="C2" t="s">
        <v>36</v>
      </c>
      <c r="D2" t="s">
        <v>103</v>
      </c>
      <c r="H2" s="10" t="s">
        <v>187</v>
      </c>
      <c r="I2">
        <f>B2/D22</f>
        <v>0</v>
      </c>
      <c r="J2" t="s">
        <v>11</v>
      </c>
      <c r="N2" t="s">
        <v>189</v>
      </c>
    </row>
    <row r="3" spans="1:40" x14ac:dyDescent="0.25">
      <c r="A3" s="10" t="s">
        <v>79</v>
      </c>
      <c r="B3" s="2">
        <v>1200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0</v>
      </c>
      <c r="J3" t="s">
        <v>22</v>
      </c>
      <c r="K3" t="s">
        <v>180</v>
      </c>
      <c r="L3" s="4">
        <f>B2*I3</f>
        <v>0</v>
      </c>
      <c r="M3" t="str">
        <f>"+My"</f>
        <v>+My</v>
      </c>
      <c r="N3" s="4">
        <f>L3+B4</f>
        <v>1200</v>
      </c>
      <c r="O3" t="s">
        <v>102</v>
      </c>
    </row>
    <row r="4" spans="1:40" x14ac:dyDescent="0.25">
      <c r="A4" s="10" t="s">
        <v>80</v>
      </c>
      <c r="B4" s="2">
        <v>1200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0</v>
      </c>
      <c r="J4" t="s">
        <v>22</v>
      </c>
      <c r="K4" t="s">
        <v>181</v>
      </c>
      <c r="L4" s="4">
        <f>B2*I4*-1</f>
        <v>0</v>
      </c>
      <c r="M4" t="str">
        <f>"+Mx"</f>
        <v>+Mx</v>
      </c>
      <c r="N4" s="4">
        <f>B3+L4</f>
        <v>1200</v>
      </c>
      <c r="O4" t="s">
        <v>102</v>
      </c>
    </row>
    <row r="5" spans="1:40" x14ac:dyDescent="0.25">
      <c r="A5" s="10" t="s">
        <v>104</v>
      </c>
      <c r="B5" s="20">
        <f>IF(AND(B3=0,B4=0),0,ATAN2(B3,B4))</f>
        <v>0.78539816339744828</v>
      </c>
      <c r="C5" t="s">
        <v>19</v>
      </c>
      <c r="M5" s="10" t="s">
        <v>104</v>
      </c>
      <c r="N5" s="20">
        <f>IF(AND(N4=0,N3=0),0,ATAN2(N4,N3))</f>
        <v>0.78539816339744828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v>7</v>
      </c>
      <c r="C9" s="2">
        <v>7</v>
      </c>
      <c r="D9" t="s">
        <v>21</v>
      </c>
    </row>
    <row r="11" spans="1:40" x14ac:dyDescent="0.25">
      <c r="A11" t="s">
        <v>0</v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G22-(D22*F22*F22)</f>
        <v>3201.3333333333339</v>
      </c>
      <c r="O13" s="19">
        <f>H22-(D22*E22*E22)</f>
        <v>3201.3333333333339</v>
      </c>
      <c r="P13" s="19">
        <f>I22-(D22*E22*F22)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N13/(MAX(C13:C20)-F22)</f>
        <v>457.33333333333343</v>
      </c>
      <c r="V13" s="19">
        <f>N13/(MIN(C13:C20)-F22)</f>
        <v>-457.33333333333343</v>
      </c>
      <c r="W13" s="19">
        <f>O13/(MIN(B13:B20)-E22)</f>
        <v>-457.33333333333343</v>
      </c>
      <c r="X13" s="19">
        <f>O13/(MAX(B13:B20)-E22)</f>
        <v>457.33333333333343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L14">
        <f>IF(AND(B14=B15,C14=C15),0,1)</f>
        <v>1</v>
      </c>
      <c r="Y14" s="1">
        <f>$N$13/(C14-$F$22)</f>
        <v>-457.33333333333343</v>
      </c>
      <c r="Z14">
        <f>$O$13/(B14-$E$22)</f>
        <v>457.33333333333343</v>
      </c>
      <c r="AA14">
        <f>-1*$B$3/Y14</f>
        <v>2.6239067055393579</v>
      </c>
      <c r="AB14">
        <f>$B$4/Z14</f>
        <v>2.6239067055393579</v>
      </c>
      <c r="AC14">
        <f>$I$2+AG14+AK14</f>
        <v>5.2478134110787158</v>
      </c>
      <c r="AD14" s="9">
        <f>C14-$F$22</f>
        <v>-7</v>
      </c>
      <c r="AE14">
        <f>(AD14*$N$4*$O$13)/(($N$13*$O$13)-($P$13*$P$13))</f>
        <v>-2.6239067055393579</v>
      </c>
      <c r="AF14">
        <f>(AD14*$N$3*$P$13)/(($N$13*$O$13)-($P$13*$P$13))</f>
        <v>0</v>
      </c>
      <c r="AG14">
        <f>(AE14+AF14)*-1</f>
        <v>2.6239067055393579</v>
      </c>
      <c r="AH14" s="9">
        <f>B14-$E$22</f>
        <v>7</v>
      </c>
      <c r="AI14">
        <f>(-1*AH14*$N$3*$N$13)/(($N$13*$O$13)-($P$13*$P$13))</f>
        <v>-2.6239067055393579</v>
      </c>
      <c r="AJ14">
        <f>(-1*AH14*$N$4*$P$13)/(($N$13*$O$13)-($P$13*$P$13))</f>
        <v>0</v>
      </c>
      <c r="AK14">
        <f>(AI14+AJ14)*-1</f>
        <v>2.6239067055393579</v>
      </c>
      <c r="AM14">
        <f>AA14+AB14+$I$2</f>
        <v>5.2478134110787158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14</v>
      </c>
      <c r="D15" s="5">
        <f t="shared" ref="D15:D18" si="0">((B14*C15)-(B15*C14))*0.5</f>
        <v>98</v>
      </c>
      <c r="E15" s="5">
        <f t="shared" ref="E15:E18" si="1">(B15+B14)*((B14*C15)-(B15*C14))*(1/6)</f>
        <v>914.66666666666663</v>
      </c>
      <c r="F15" s="5">
        <f t="shared" ref="F15:F18" si="2">(C15+C14)*((B14*C15)-(B15*C14))*(1/6)</f>
        <v>457.33333333333331</v>
      </c>
      <c r="G15" s="5">
        <f t="shared" ref="G15:G18" si="3">(((C14*C14)+(C14*C15)+(C15*C15))*((B14*C15)-(B15*C14)))/12</f>
        <v>3201.3333333333335</v>
      </c>
      <c r="H15" s="5">
        <f t="shared" ref="H15:H18" si="4">(((B14*B14)+(B14*B15)+(B15*B15))*((B14*C15)-(B15*C14)))/12</f>
        <v>9604</v>
      </c>
      <c r="I15" s="5">
        <f t="shared" ref="I15:I18" si="5">(((B14*C15)+(2*B14*C14)+(2*B15*C15)+(B15*C14))*((B14*C15)-(B15*C14)))/24</f>
        <v>4802</v>
      </c>
      <c r="J15" s="5">
        <f t="shared" ref="J15:J18" si="6">G15+H15</f>
        <v>12805.333333333334</v>
      </c>
      <c r="K15">
        <f t="shared" ref="K15:K21" si="7">ATAN2((B15-$E$22),(C15-$F$22))</f>
        <v>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457.33333333333343</v>
      </c>
      <c r="Z15">
        <f t="shared" ref="Z15:Z21" si="10">$O$13/(B15-$E$22)</f>
        <v>457.33333333333343</v>
      </c>
      <c r="AA15">
        <f t="shared" ref="AA15:AA21" si="11">-1*$B$3/Y15</f>
        <v>-2.6239067055393579</v>
      </c>
      <c r="AB15">
        <f t="shared" ref="AB15:AB21" si="12">$B$4/Z15</f>
        <v>2.6239067055393579</v>
      </c>
      <c r="AC15">
        <f t="shared" ref="AC15:AC21" si="13">$I$2+AG15+AK15</f>
        <v>0</v>
      </c>
      <c r="AD15" s="9">
        <f t="shared" ref="AD15:AD21" si="14">C15-$F$22</f>
        <v>7</v>
      </c>
      <c r="AE15">
        <f t="shared" ref="AE15:AE21" si="15">(AD15*$N$4*$O$13)/(($N$13*$O$13)-($P$13*$P$13))</f>
        <v>2.6239067055393579</v>
      </c>
      <c r="AF15">
        <f t="shared" ref="AF15:AF21" si="16">(AD15*$N$3*$P$13)/(($N$13*$O$13)-($P$13*$P$13))</f>
        <v>0</v>
      </c>
      <c r="AG15">
        <f t="shared" ref="AG15:AG21" si="17">(AE15+AF15)*-1</f>
        <v>-2.6239067055393579</v>
      </c>
      <c r="AH15" s="9">
        <f t="shared" ref="AH15:AH21" si="18">B15-$E$22</f>
        <v>7</v>
      </c>
      <c r="AI15">
        <f t="shared" ref="AI15:AI21" si="19">(-1*AH15*$N$3*$N$13)/(($N$13*$O$13)-($P$13*$P$13))</f>
        <v>-2.6239067055393579</v>
      </c>
      <c r="AJ15">
        <f t="shared" ref="AJ15:AJ21" si="20">(-1*AH15*$N$4*$P$13)/(($N$13*$O$13)-($P$13*$P$13))</f>
        <v>0</v>
      </c>
      <c r="AK15">
        <f t="shared" ref="AK15:AK21" si="21">(AI15+AJ15)*-1</f>
        <v>2.6239067055393579</v>
      </c>
      <c r="AM15">
        <f t="shared" ref="AM15:AM21" si="22">AA15+AB15+$I$2</f>
        <v>0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457.33333333333343</v>
      </c>
      <c r="Z16">
        <f t="shared" si="10"/>
        <v>-457.33333333333343</v>
      </c>
      <c r="AA16">
        <f t="shared" si="11"/>
        <v>-2.6239067055393579</v>
      </c>
      <c r="AB16">
        <f t="shared" si="12"/>
        <v>-2.6239067055393579</v>
      </c>
      <c r="AC16">
        <f t="shared" si="13"/>
        <v>-5.2478134110787158</v>
      </c>
      <c r="AD16" s="9">
        <f t="shared" si="14"/>
        <v>7</v>
      </c>
      <c r="AE16">
        <f t="shared" si="15"/>
        <v>2.6239067055393579</v>
      </c>
      <c r="AF16">
        <f t="shared" si="16"/>
        <v>0</v>
      </c>
      <c r="AG16">
        <f t="shared" si="17"/>
        <v>-2.6239067055393579</v>
      </c>
      <c r="AH16" s="9">
        <f t="shared" si="18"/>
        <v>-7</v>
      </c>
      <c r="AI16">
        <f t="shared" si="19"/>
        <v>2.6239067055393579</v>
      </c>
      <c r="AJ16">
        <f t="shared" si="20"/>
        <v>0</v>
      </c>
      <c r="AK16">
        <f t="shared" si="21"/>
        <v>-2.6239067055393579</v>
      </c>
      <c r="AM16">
        <f t="shared" si="22"/>
        <v>-5.2478134110787158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L17">
        <f t="shared" si="8"/>
        <v>0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9"/>
        <v>-457.33333333333343</v>
      </c>
      <c r="Z17">
        <f t="shared" si="10"/>
        <v>-457.33333333333343</v>
      </c>
      <c r="AA17">
        <f t="shared" si="11"/>
        <v>2.6239067055393579</v>
      </c>
      <c r="AB17">
        <f t="shared" si="12"/>
        <v>-2.6239067055393579</v>
      </c>
      <c r="AC17">
        <f t="shared" si="13"/>
        <v>0</v>
      </c>
      <c r="AD17" s="9">
        <f t="shared" si="14"/>
        <v>-7</v>
      </c>
      <c r="AE17">
        <f t="shared" si="15"/>
        <v>-2.6239067055393579</v>
      </c>
      <c r="AF17">
        <f t="shared" si="16"/>
        <v>0</v>
      </c>
      <c r="AG17">
        <f t="shared" si="17"/>
        <v>2.6239067055393579</v>
      </c>
      <c r="AH17" s="9">
        <f t="shared" si="18"/>
        <v>-7</v>
      </c>
      <c r="AI17">
        <f t="shared" si="19"/>
        <v>2.6239067055393579</v>
      </c>
      <c r="AJ17">
        <f t="shared" si="20"/>
        <v>0</v>
      </c>
      <c r="AK17">
        <f t="shared" si="21"/>
        <v>-2.6239067055393579</v>
      </c>
      <c r="AM17">
        <f t="shared" si="22"/>
        <v>0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-457.33333333333343</v>
      </c>
      <c r="Z18">
        <f t="shared" si="10"/>
        <v>-457.33333333333343</v>
      </c>
      <c r="AA18">
        <f t="shared" si="11"/>
        <v>2.6239067055393579</v>
      </c>
      <c r="AB18">
        <f t="shared" si="12"/>
        <v>-2.6239067055393579</v>
      </c>
      <c r="AC18">
        <f t="shared" si="13"/>
        <v>0</v>
      </c>
      <c r="AD18" s="9">
        <f t="shared" si="14"/>
        <v>-7</v>
      </c>
      <c r="AE18">
        <f t="shared" si="15"/>
        <v>-2.6239067055393579</v>
      </c>
      <c r="AF18">
        <f t="shared" si="16"/>
        <v>0</v>
      </c>
      <c r="AG18">
        <f t="shared" si="17"/>
        <v>2.6239067055393579</v>
      </c>
      <c r="AH18" s="9">
        <f t="shared" si="18"/>
        <v>-7</v>
      </c>
      <c r="AI18">
        <f t="shared" si="19"/>
        <v>2.6239067055393579</v>
      </c>
      <c r="AJ18">
        <f t="shared" si="20"/>
        <v>0</v>
      </c>
      <c r="AK18">
        <f t="shared" si="21"/>
        <v>-2.6239067055393579</v>
      </c>
      <c r="AM18">
        <f t="shared" si="22"/>
        <v>0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-2.3561944901923448</v>
      </c>
      <c r="L19">
        <f t="shared" si="8"/>
        <v>0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9"/>
        <v>-457.33333333333343</v>
      </c>
      <c r="Z19">
        <f t="shared" si="10"/>
        <v>-457.33333333333343</v>
      </c>
      <c r="AA19">
        <f t="shared" si="11"/>
        <v>2.6239067055393579</v>
      </c>
      <c r="AB19">
        <f t="shared" si="12"/>
        <v>-2.6239067055393579</v>
      </c>
      <c r="AC19">
        <f t="shared" si="13"/>
        <v>0</v>
      </c>
      <c r="AD19" s="9">
        <f t="shared" si="14"/>
        <v>-7</v>
      </c>
      <c r="AE19">
        <f t="shared" si="15"/>
        <v>-2.6239067055393579</v>
      </c>
      <c r="AF19">
        <f t="shared" si="16"/>
        <v>0</v>
      </c>
      <c r="AG19">
        <f t="shared" si="17"/>
        <v>2.6239067055393579</v>
      </c>
      <c r="AH19" s="9">
        <f t="shared" si="18"/>
        <v>-7</v>
      </c>
      <c r="AI19">
        <f t="shared" si="19"/>
        <v>2.6239067055393579</v>
      </c>
      <c r="AJ19">
        <f t="shared" si="20"/>
        <v>0</v>
      </c>
      <c r="AK19">
        <f t="shared" si="21"/>
        <v>-2.6239067055393579</v>
      </c>
      <c r="AM19">
        <f t="shared" si="22"/>
        <v>0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-2.3561944901923448</v>
      </c>
      <c r="L20">
        <f t="shared" si="8"/>
        <v>0</v>
      </c>
      <c r="Y20" s="1">
        <f t="shared" si="9"/>
        <v>-457.33333333333343</v>
      </c>
      <c r="Z20">
        <f t="shared" si="10"/>
        <v>-457.33333333333343</v>
      </c>
      <c r="AA20">
        <f t="shared" si="11"/>
        <v>2.6239067055393579</v>
      </c>
      <c r="AB20">
        <f t="shared" si="12"/>
        <v>-2.6239067055393579</v>
      </c>
      <c r="AC20">
        <f t="shared" si="13"/>
        <v>0</v>
      </c>
      <c r="AD20" s="9">
        <f t="shared" si="14"/>
        <v>-7</v>
      </c>
      <c r="AE20">
        <f t="shared" si="15"/>
        <v>-2.6239067055393579</v>
      </c>
      <c r="AF20">
        <f t="shared" si="16"/>
        <v>0</v>
      </c>
      <c r="AG20">
        <f t="shared" si="17"/>
        <v>2.6239067055393579</v>
      </c>
      <c r="AH20" s="9">
        <f t="shared" si="18"/>
        <v>-7</v>
      </c>
      <c r="AI20">
        <f t="shared" si="19"/>
        <v>2.6239067055393579</v>
      </c>
      <c r="AJ20">
        <f t="shared" si="20"/>
        <v>0</v>
      </c>
      <c r="AK20">
        <f t="shared" si="21"/>
        <v>-2.6239067055393579</v>
      </c>
      <c r="AM20">
        <f t="shared" si="22"/>
        <v>0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-2.3561944901923448</v>
      </c>
      <c r="L21">
        <v>1</v>
      </c>
      <c r="Y21" s="1">
        <f t="shared" si="9"/>
        <v>-457.33333333333343</v>
      </c>
      <c r="Z21">
        <f t="shared" si="10"/>
        <v>-457.33333333333343</v>
      </c>
      <c r="AA21">
        <f t="shared" si="11"/>
        <v>2.6239067055393579</v>
      </c>
      <c r="AB21">
        <f t="shared" si="12"/>
        <v>-2.6239067055393579</v>
      </c>
      <c r="AC21">
        <f t="shared" si="13"/>
        <v>0</v>
      </c>
      <c r="AD21" s="9">
        <f t="shared" si="14"/>
        <v>-7</v>
      </c>
      <c r="AE21">
        <f t="shared" si="15"/>
        <v>-2.6239067055393579</v>
      </c>
      <c r="AF21">
        <f t="shared" si="16"/>
        <v>0</v>
      </c>
      <c r="AG21">
        <f t="shared" si="17"/>
        <v>2.6239067055393579</v>
      </c>
      <c r="AH21" s="9">
        <f t="shared" si="18"/>
        <v>-7</v>
      </c>
      <c r="AI21">
        <f t="shared" si="19"/>
        <v>2.6239067055393579</v>
      </c>
      <c r="AJ21">
        <f t="shared" si="20"/>
        <v>0</v>
      </c>
      <c r="AK21">
        <f t="shared" si="21"/>
        <v>-2.6239067055393579</v>
      </c>
      <c r="AM21">
        <f t="shared" si="22"/>
        <v>0</v>
      </c>
      <c r="AN21" t="b">
        <f t="shared" si="23"/>
        <v>1</v>
      </c>
    </row>
    <row r="22" spans="1:40" x14ac:dyDescent="0.25">
      <c r="D22" s="5">
        <f>SUM(D13:D21)</f>
        <v>196</v>
      </c>
      <c r="E22" s="3">
        <f>SUM(E14:E21)/D22</f>
        <v>7</v>
      </c>
      <c r="F22" s="3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  <c r="AC22">
        <f>COUNTIF(AC14:AC21,"&gt;0")</f>
        <v>1</v>
      </c>
    </row>
    <row r="23" spans="1:40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1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 ca="1">A61&amp;"= 0.65*0.85*F'c*√A2/A1"&amp;CHAR(10)&amp;"= "&amp;ROUND(B61,4)&amp;" "&amp;C61&amp;IF(B66&lt;=B61," &gt; "&amp;ROUND(B66,4)&amp;" "&amp;C66," &lt; "&amp;ROUND(B66,4)&amp;" "&amp;C66)&amp;CHAR(10)&amp;IF(B66&lt;=B61,"OK"&amp;CHAR(10)&amp;M57,"NG"&amp;CHAR(10)&amp;M57)</f>
        <v>φfp,max= 0.65*0.85*F'c*√A2/A1
= 5.525 ksi &lt; 14.2891 ksi
NG
SOLUTION FOUND</v>
      </c>
      <c r="AC24">
        <f>COUNTIF(AC14:AC21,"=0")</f>
        <v>6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5.2478134110787158</v>
      </c>
      <c r="AD26">
        <f>COUNTIFS(AC14:AC21,AC26,L14:L21,1)</f>
        <v>1</v>
      </c>
      <c r="AE26">
        <f>SUMIF(AC14:AC21,AC26,B14:B21)/AD26</f>
        <v>14</v>
      </c>
      <c r="AF26">
        <f>SUMIF(AC14:AC21,AC26,C14:C21)/AD26</f>
        <v>0</v>
      </c>
      <c r="AG26" t="s">
        <v>202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AC27">
        <f>MIN(AC14:AC21)</f>
        <v>-5.2478134110787158</v>
      </c>
      <c r="AD27">
        <f>COUNTIFS(AC14:AC21,AC27,L14:L21,1)</f>
        <v>1</v>
      </c>
      <c r="AE27">
        <f>SUMIF(AC14:AC21,AC27,B14:B21)/AD27</f>
        <v>0</v>
      </c>
      <c r="AF27">
        <f>SUMIF(AC14:AC21,AC27,C14:C21)/AD27</f>
        <v>14</v>
      </c>
      <c r="AG27" t="s">
        <v>201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194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198</v>
      </c>
      <c r="AE29">
        <f>SQRT(POWER(AE27-AE26,2)+POWER(AF27-AF26,2))</f>
        <v>19.798989873223331</v>
      </c>
      <c r="AG29">
        <f>(AE27-AE26)</f>
        <v>-14</v>
      </c>
      <c r="AH29">
        <f>AF27-AF26</f>
        <v>14</v>
      </c>
      <c r="AJ29">
        <f>AG29/AE29</f>
        <v>-0.70710678118654757</v>
      </c>
      <c r="AK29">
        <f>AH29/AE29</f>
        <v>0.70710678118654757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AD30" t="s">
        <v>199</v>
      </c>
      <c r="AE30">
        <f>(AC27-AC26)/AE29</f>
        <v>-0.53010920705363818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2.3561944901923448</v>
      </c>
      <c r="AK31" t="s">
        <v>195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191</v>
      </c>
      <c r="AE32">
        <f>IF(AND(AG29=0,AH29=0),0,(-1*AC26/AE30))</f>
        <v>9.8994949366116654</v>
      </c>
      <c r="AF32" t="s">
        <v>197</v>
      </c>
      <c r="AJ32">
        <f>AJ31+(PI()/2)</f>
        <v>3.9269908169872414</v>
      </c>
      <c r="AK32" t="s">
        <v>196</v>
      </c>
    </row>
    <row r="33" spans="1:37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AJ33">
        <f>AJ31-(PI()/2)</f>
        <v>0.78539816339744828</v>
      </c>
    </row>
    <row r="34" spans="1:37" x14ac:dyDescent="0.25">
      <c r="D34" s="5">
        <f>SUM(D25:D33)</f>
        <v>0</v>
      </c>
      <c r="E34" s="5"/>
      <c r="F34" s="5"/>
      <c r="G34" s="5"/>
      <c r="H34" s="5"/>
      <c r="I34" s="5"/>
      <c r="J34" s="5"/>
      <c r="AD34" t="s">
        <v>200</v>
      </c>
      <c r="AE34">
        <f>AE32/AE29</f>
        <v>0.5</v>
      </c>
    </row>
    <row r="35" spans="1:37" x14ac:dyDescent="0.25">
      <c r="A35" t="s">
        <v>4</v>
      </c>
      <c r="Q35" t="s">
        <v>25</v>
      </c>
      <c r="T35" t="s">
        <v>14</v>
      </c>
      <c r="AE35" t="s">
        <v>192</v>
      </c>
      <c r="AF35" t="s">
        <v>193</v>
      </c>
    </row>
    <row r="36" spans="1:37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  <c r="AE36">
        <f>AE26+(AE34*(AE27-AE26))</f>
        <v>7</v>
      </c>
      <c r="AF36">
        <f>AF26+(AE34*(AF27-AF26))</f>
        <v>7</v>
      </c>
      <c r="AI36">
        <f>MAX(B13:C21)*-1</f>
        <v>-14</v>
      </c>
      <c r="AJ36">
        <f>AE36+(AI36*COS(AJ32))</f>
        <v>16.899494936611667</v>
      </c>
      <c r="AK36">
        <f>AF36+(AI36*SIN(AJ32))</f>
        <v>16.899494936611664</v>
      </c>
    </row>
    <row r="37" spans="1:37" x14ac:dyDescent="0.25">
      <c r="A37">
        <v>1</v>
      </c>
      <c r="B37" s="7">
        <v>3</v>
      </c>
      <c r="C37" s="7">
        <v>3</v>
      </c>
      <c r="D37" s="13" t="s">
        <v>2</v>
      </c>
      <c r="Q37" s="12">
        <f>IF($D37="y",B37,NA())</f>
        <v>3</v>
      </c>
      <c r="R37" s="12">
        <f>IF($D37="y",C37,NA())</f>
        <v>3</v>
      </c>
      <c r="T37" s="4">
        <f>MAX(MAX(B13:B20),MAX(C13:C20))</f>
        <v>14</v>
      </c>
      <c r="U37" s="1">
        <f>T37</f>
        <v>14</v>
      </c>
      <c r="AI37">
        <f>-1*AI36</f>
        <v>14</v>
      </c>
      <c r="AJ37">
        <f>AE36+(AI37*COS(AJ32))</f>
        <v>-2.8994949366116671</v>
      </c>
      <c r="AK37">
        <f>AF36+(AI37*SIN(AJ32))</f>
        <v>-2.8994949366116636</v>
      </c>
    </row>
    <row r="38" spans="1:37" x14ac:dyDescent="0.25">
      <c r="A38">
        <v>2</v>
      </c>
      <c r="B38" s="7">
        <v>11</v>
      </c>
      <c r="C38" s="7">
        <v>3</v>
      </c>
      <c r="D38" s="13" t="s">
        <v>2</v>
      </c>
      <c r="Q38" s="12">
        <f t="shared" ref="Q38:Q48" si="46">IF($D38="y",B38,NA())</f>
        <v>11</v>
      </c>
      <c r="R38" s="12">
        <f t="shared" ref="R38:R48" si="47">IF($D38="y",C38,NA())</f>
        <v>3</v>
      </c>
    </row>
    <row r="39" spans="1:37" x14ac:dyDescent="0.25">
      <c r="A39">
        <v>3</v>
      </c>
      <c r="B39" s="7">
        <v>3</v>
      </c>
      <c r="C39" s="7">
        <v>11</v>
      </c>
      <c r="D39" s="13" t="s">
        <v>2</v>
      </c>
      <c r="Q39" s="12">
        <f t="shared" si="46"/>
        <v>3</v>
      </c>
      <c r="R39" s="12">
        <f t="shared" si="47"/>
        <v>11</v>
      </c>
    </row>
    <row r="40" spans="1:37" x14ac:dyDescent="0.25">
      <c r="A40">
        <v>4</v>
      </c>
      <c r="B40" s="7">
        <v>11</v>
      </c>
      <c r="C40" s="7">
        <v>11</v>
      </c>
      <c r="D40" s="13" t="s">
        <v>2</v>
      </c>
      <c r="Q40" s="12">
        <f t="shared" si="46"/>
        <v>11</v>
      </c>
      <c r="R40" s="12">
        <f t="shared" si="47"/>
        <v>11</v>
      </c>
    </row>
    <row r="41" spans="1:37" x14ac:dyDescent="0.25">
      <c r="A41">
        <v>5</v>
      </c>
      <c r="B41" s="7">
        <v>3</v>
      </c>
      <c r="C41" s="7">
        <v>5.5</v>
      </c>
      <c r="D41" s="13" t="s">
        <v>2</v>
      </c>
      <c r="Q41" s="12">
        <f t="shared" si="46"/>
        <v>3</v>
      </c>
      <c r="R41" s="12">
        <f t="shared" si="47"/>
        <v>5.5</v>
      </c>
    </row>
    <row r="42" spans="1:37" x14ac:dyDescent="0.25">
      <c r="A42">
        <v>6</v>
      </c>
      <c r="B42" s="7">
        <v>11</v>
      </c>
      <c r="C42" s="7">
        <v>5.5</v>
      </c>
      <c r="D42" s="13" t="s">
        <v>2</v>
      </c>
      <c r="Q42" s="12">
        <f t="shared" si="46"/>
        <v>11</v>
      </c>
      <c r="R42" s="12">
        <f t="shared" si="47"/>
        <v>5.5</v>
      </c>
    </row>
    <row r="43" spans="1:37" x14ac:dyDescent="0.25">
      <c r="A43">
        <v>7</v>
      </c>
      <c r="B43" s="7">
        <v>3</v>
      </c>
      <c r="C43" s="7">
        <v>8.5</v>
      </c>
      <c r="D43" s="13" t="s">
        <v>2</v>
      </c>
      <c r="Q43" s="12">
        <f t="shared" si="46"/>
        <v>3</v>
      </c>
      <c r="R43" s="12">
        <f t="shared" si="47"/>
        <v>8.5</v>
      </c>
    </row>
    <row r="44" spans="1:37" x14ac:dyDescent="0.25">
      <c r="A44">
        <v>8</v>
      </c>
      <c r="B44" s="7">
        <v>11</v>
      </c>
      <c r="C44" s="7">
        <v>8.5</v>
      </c>
      <c r="D44" s="13" t="s">
        <v>2</v>
      </c>
      <c r="Q44" s="12">
        <f t="shared" si="46"/>
        <v>11</v>
      </c>
      <c r="R44" s="12">
        <f t="shared" si="47"/>
        <v>8.5</v>
      </c>
    </row>
    <row r="45" spans="1:37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</row>
    <row r="46" spans="1:37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</row>
    <row r="47" spans="1:37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</row>
    <row r="48" spans="1:37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0.75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0.33446070888845997</v>
      </c>
      <c r="C55" t="s">
        <v>67</v>
      </c>
      <c r="D55" s="54" t="s">
        <v>165</v>
      </c>
      <c r="E55" s="1">
        <f ca="1">OFFSET(X52,MATCH(E54,X53:X73,0),1)</f>
        <v>10</v>
      </c>
      <c r="F55" s="7">
        <v>0</v>
      </c>
      <c r="G55" t="s">
        <v>175</v>
      </c>
      <c r="H55" s="48" t="s">
        <v>160</v>
      </c>
      <c r="I55" s="55">
        <f>E164</f>
        <v>1.1990408665951691E-13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7.1178208426024669</v>
      </c>
      <c r="D56" s="54" t="s">
        <v>154</v>
      </c>
      <c r="E56" s="46">
        <f ca="1">IF(F55=0,0.7854*POWER(E54-(0.9743/E55),2),0.7854*POWER(E54-(0.9743/F55),2))</f>
        <v>0.33446070888845997</v>
      </c>
      <c r="F56" t="s">
        <v>67</v>
      </c>
      <c r="H56" s="50" t="s">
        <v>161</v>
      </c>
      <c r="I56" s="56">
        <f t="shared" ref="I56:J57" si="48">E165</f>
        <v>0</v>
      </c>
      <c r="J56" s="51" t="str">
        <f t="shared" si="48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8"/>
        <v>0</v>
      </c>
      <c r="J57" s="53" t="str">
        <f t="shared" si="48"/>
        <v>kip-in</v>
      </c>
      <c r="L57" s="1">
        <f>SQRT(POWER(I57,2)+POWER(I56,2)+POWER(I55,2))</f>
        <v>1.1990408665951691E-13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0.8125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0.51848550630534673</v>
      </c>
      <c r="F59" t="s">
        <v>67</v>
      </c>
      <c r="H59" s="10" t="s">
        <v>169</v>
      </c>
      <c r="I59" s="2">
        <v>200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7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>required stress greater than allowed, upsize plate</v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3.791640520115716</v>
      </c>
      <c r="C64" t="s">
        <v>19</v>
      </c>
      <c r="D64" t="s">
        <v>34</v>
      </c>
      <c r="H64" s="17">
        <f>DEGREES(B64)</f>
        <v>217.24499923341884</v>
      </c>
      <c r="I64" t="s">
        <v>41</v>
      </c>
      <c r="J64" s="3">
        <f>AJ32</f>
        <v>3.9269908169872414</v>
      </c>
      <c r="Q64" s="8">
        <f>J64</f>
        <v>3.9269908169872414</v>
      </c>
      <c r="X64">
        <v>1.75</v>
      </c>
      <c r="Y64">
        <v>5</v>
      </c>
    </row>
    <row r="65" spans="1:25" x14ac:dyDescent="0.25">
      <c r="A65" s="1" t="s">
        <v>40</v>
      </c>
      <c r="B65" s="24">
        <v>6.0562218547874398</v>
      </c>
      <c r="C65" t="s">
        <v>22</v>
      </c>
      <c r="D65" t="s">
        <v>29</v>
      </c>
      <c r="J65" s="1">
        <f>AE32</f>
        <v>9.8994949366116654</v>
      </c>
      <c r="Q65">
        <f>AE32</f>
        <v>9.8994949366116654</v>
      </c>
      <c r="X65">
        <v>2</v>
      </c>
      <c r="Y65">
        <v>4.5</v>
      </c>
    </row>
    <row r="66" spans="1:25" x14ac:dyDescent="0.25">
      <c r="A66" s="11" t="s">
        <v>42</v>
      </c>
      <c r="B66" s="24">
        <v>14.289076517167354</v>
      </c>
      <c r="C66" t="s">
        <v>11</v>
      </c>
      <c r="D66">
        <f>B66/B53</f>
        <v>3.5071409191529401E-3</v>
      </c>
      <c r="I66" s="20"/>
      <c r="J66" s="4">
        <f>MAX(AC14:AC21)*2</f>
        <v>10.495626822157432</v>
      </c>
      <c r="Q66">
        <f>MAX(AC14:AC21)</f>
        <v>5.2478134110787158</v>
      </c>
      <c r="X66">
        <v>2.25</v>
      </c>
      <c r="Y66">
        <v>4.5</v>
      </c>
    </row>
    <row r="67" spans="1:25" x14ac:dyDescent="0.25">
      <c r="A67" s="1" t="s">
        <v>37</v>
      </c>
      <c r="B67" s="24">
        <v>52.561852704534139</v>
      </c>
      <c r="C67" t="s">
        <v>36</v>
      </c>
      <c r="D67" t="s">
        <v>122</v>
      </c>
      <c r="G67" s="20">
        <f ca="1">($B$56*$B$66*$B$55*$E$122)/$B$65</f>
        <v>52.561852704534139</v>
      </c>
      <c r="H67" t="s">
        <v>36</v>
      </c>
      <c r="I67">
        <f ca="1">IF(B67=0,0,1-G67/B67)</f>
        <v>0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9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9"/>
        <v>1</v>
      </c>
      <c r="B73" s="4">
        <f t="shared" ref="B73:B81" si="50">B13-$B$9</f>
        <v>-7</v>
      </c>
      <c r="C73" s="4">
        <f t="shared" ref="C73:C81" si="51">C13-$C$9</f>
        <v>-7</v>
      </c>
      <c r="E73" s="1">
        <v>0</v>
      </c>
      <c r="F73" s="1">
        <v>0</v>
      </c>
      <c r="H73" s="1">
        <f t="shared" ref="H73:H81" si="52">A25</f>
        <v>1</v>
      </c>
      <c r="I73" s="4">
        <f>B25-$B$9</f>
        <v>-7</v>
      </c>
      <c r="J73" s="4">
        <f>C25-$C$9</f>
        <v>-7</v>
      </c>
      <c r="Q73" cm="1">
        <f t="array" ref="Q73">(-1*MAX(ABS(B84:C91)))-1</f>
        <v>-10.808955381923568</v>
      </c>
      <c r="R73">
        <f>Q73</f>
        <v>-10.808955381923568</v>
      </c>
      <c r="X73">
        <v>4</v>
      </c>
      <c r="Y73">
        <v>4</v>
      </c>
    </row>
    <row r="74" spans="1:25" x14ac:dyDescent="0.25">
      <c r="A74" s="1">
        <f t="shared" si="49"/>
        <v>2</v>
      </c>
      <c r="B74" s="4">
        <f t="shared" si="50"/>
        <v>7</v>
      </c>
      <c r="C74" s="4">
        <f t="shared" si="51"/>
        <v>-7</v>
      </c>
      <c r="H74" s="1">
        <f t="shared" si="52"/>
        <v>2</v>
      </c>
      <c r="I74" s="4">
        <f t="shared" ref="I74:I81" si="53">B26-$B$9</f>
        <v>-7</v>
      </c>
      <c r="J74" s="4">
        <f t="shared" ref="J74:J81" si="54">C26-$C$9</f>
        <v>-7</v>
      </c>
      <c r="Q74">
        <f>-1*Q73</f>
        <v>10.808955381923568</v>
      </c>
      <c r="R74">
        <f>Q74</f>
        <v>10.808955381923568</v>
      </c>
    </row>
    <row r="75" spans="1:25" x14ac:dyDescent="0.25">
      <c r="A75" s="1">
        <f t="shared" si="49"/>
        <v>3</v>
      </c>
      <c r="B75" s="4">
        <f t="shared" si="50"/>
        <v>7</v>
      </c>
      <c r="C75" s="4">
        <f t="shared" si="51"/>
        <v>7</v>
      </c>
      <c r="H75" s="1">
        <f t="shared" si="52"/>
        <v>3</v>
      </c>
      <c r="I75" s="4">
        <f t="shared" si="53"/>
        <v>-7</v>
      </c>
      <c r="J75" s="4">
        <f t="shared" si="54"/>
        <v>-7</v>
      </c>
    </row>
    <row r="76" spans="1:25" x14ac:dyDescent="0.25">
      <c r="A76" s="1">
        <f t="shared" si="49"/>
        <v>4</v>
      </c>
      <c r="B76" s="4">
        <f t="shared" si="50"/>
        <v>-7</v>
      </c>
      <c r="C76" s="4">
        <f t="shared" si="51"/>
        <v>7</v>
      </c>
      <c r="H76" s="1">
        <f t="shared" si="52"/>
        <v>4</v>
      </c>
      <c r="I76" s="4">
        <f t="shared" si="53"/>
        <v>-7</v>
      </c>
      <c r="J76" s="4">
        <f t="shared" si="54"/>
        <v>-7</v>
      </c>
    </row>
    <row r="77" spans="1:25" x14ac:dyDescent="0.25">
      <c r="A77" s="1">
        <f t="shared" si="49"/>
        <v>5</v>
      </c>
      <c r="B77" s="4">
        <f t="shared" si="50"/>
        <v>-7</v>
      </c>
      <c r="C77" s="4">
        <f t="shared" si="51"/>
        <v>-7</v>
      </c>
      <c r="H77" s="1">
        <f t="shared" si="52"/>
        <v>5</v>
      </c>
      <c r="I77" s="4">
        <f t="shared" si="53"/>
        <v>-7</v>
      </c>
      <c r="J77" s="4">
        <f t="shared" si="54"/>
        <v>-7</v>
      </c>
      <c r="Q77" t="s">
        <v>148</v>
      </c>
    </row>
    <row r="78" spans="1:25" x14ac:dyDescent="0.25">
      <c r="A78" s="1">
        <f t="shared" si="49"/>
        <v>6</v>
      </c>
      <c r="B78" s="4">
        <f t="shared" si="50"/>
        <v>-7</v>
      </c>
      <c r="C78" s="4">
        <f t="shared" si="51"/>
        <v>-7</v>
      </c>
      <c r="H78" s="1">
        <f t="shared" si="52"/>
        <v>6</v>
      </c>
      <c r="I78" s="4">
        <f t="shared" si="53"/>
        <v>-7</v>
      </c>
      <c r="J78" s="4">
        <f t="shared" si="54"/>
        <v>-7</v>
      </c>
      <c r="Q78" t="s">
        <v>27</v>
      </c>
      <c r="R78" t="s">
        <v>28</v>
      </c>
    </row>
    <row r="79" spans="1:25" x14ac:dyDescent="0.25">
      <c r="A79" s="1">
        <f t="shared" si="49"/>
        <v>7</v>
      </c>
      <c r="B79" s="4">
        <f t="shared" si="50"/>
        <v>-7</v>
      </c>
      <c r="C79" s="4">
        <f t="shared" si="51"/>
        <v>-7</v>
      </c>
      <c r="H79" s="1">
        <f t="shared" si="52"/>
        <v>7</v>
      </c>
      <c r="I79" s="4">
        <f t="shared" si="53"/>
        <v>-7</v>
      </c>
      <c r="J79" s="4">
        <f t="shared" si="54"/>
        <v>-7</v>
      </c>
      <c r="Q79">
        <f>(I126*COS(-1*$B$64))+(J126*SIN(-1*$B$64))</f>
        <v>10.875767446421566</v>
      </c>
      <c r="R79">
        <f>(-1*I126*SIN(-1*$B$64))+(J126*COS(-1*$B$64))</f>
        <v>3.5544630853988246</v>
      </c>
    </row>
    <row r="80" spans="1:25" x14ac:dyDescent="0.25">
      <c r="A80" s="1">
        <f t="shared" si="49"/>
        <v>8</v>
      </c>
      <c r="B80" s="4">
        <f t="shared" si="50"/>
        <v>-7</v>
      </c>
      <c r="C80" s="4">
        <f t="shared" si="51"/>
        <v>-7</v>
      </c>
      <c r="H80" s="1">
        <f t="shared" si="52"/>
        <v>8</v>
      </c>
      <c r="I80" s="4">
        <f t="shared" si="53"/>
        <v>-7</v>
      </c>
      <c r="J80" s="4">
        <f t="shared" si="54"/>
        <v>-7</v>
      </c>
      <c r="Q80">
        <f>(I127*COS(-1*$B$64))+(J127*SIN(-1*$B$64))</f>
        <v>-6.3332748201103115</v>
      </c>
      <c r="R80">
        <f>(-1*I127*SIN(-1*$B$64))+(J127*COS(-1*$B$64))</f>
        <v>-9.5292263813524087</v>
      </c>
    </row>
    <row r="81" spans="1:18" x14ac:dyDescent="0.25">
      <c r="A81" s="1">
        <f t="shared" si="49"/>
        <v>9</v>
      </c>
      <c r="B81" s="4">
        <f t="shared" si="50"/>
        <v>-7</v>
      </c>
      <c r="C81" s="4">
        <f t="shared" si="51"/>
        <v>-7</v>
      </c>
      <c r="H81" s="1">
        <f t="shared" si="52"/>
        <v>9</v>
      </c>
      <c r="I81" s="4">
        <f t="shared" si="53"/>
        <v>-7</v>
      </c>
      <c r="J81" s="4">
        <f t="shared" si="54"/>
        <v>-7</v>
      </c>
    </row>
    <row r="82" spans="1:18" x14ac:dyDescent="0.25">
      <c r="A82" t="s">
        <v>30</v>
      </c>
      <c r="B82" s="9"/>
      <c r="H82" t="s">
        <v>139</v>
      </c>
      <c r="Q82" s="4">
        <f>Q79+$B$9</f>
        <v>17.875767446421566</v>
      </c>
      <c r="R82" s="4">
        <f>R79+$C$9</f>
        <v>10.554463085398824</v>
      </c>
    </row>
    <row r="83" spans="1:18" x14ac:dyDescent="0.25">
      <c r="A83" s="1" t="str">
        <f t="shared" ref="A83:A92" si="55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0.66672517988968849</v>
      </c>
      <c r="R83" s="4">
        <f>R80+$C$9</f>
        <v>-2.5292263813524087</v>
      </c>
    </row>
    <row r="84" spans="1:18" x14ac:dyDescent="0.25">
      <c r="A84" s="1">
        <f t="shared" si="55"/>
        <v>1</v>
      </c>
      <c r="B84" s="4">
        <f t="shared" ref="B84:B92" si="56">(B73*COS($B$64))+(C73*SIN($B$64))</f>
        <v>9.8089553819235675</v>
      </c>
      <c r="C84" s="1">
        <f t="shared" ref="C84:C92" si="57">(-1*B73*SIN($B$64))+(C73*COS($B$64))</f>
        <v>1.3358122306045388</v>
      </c>
      <c r="H84" s="1">
        <f t="shared" ref="H84:H92" si="58">H73</f>
        <v>1</v>
      </c>
      <c r="I84" s="4">
        <f>(I73*COS($B$64))+(J73*SIN($B$64))</f>
        <v>9.8089553819235675</v>
      </c>
      <c r="J84" s="1">
        <f>(-1*I73*SIN($B$64))+(J73*COS($B$64))</f>
        <v>1.3358122306045388</v>
      </c>
    </row>
    <row r="85" spans="1:18" x14ac:dyDescent="0.25">
      <c r="A85" s="1">
        <f t="shared" si="55"/>
        <v>2</v>
      </c>
      <c r="B85" s="4">
        <f t="shared" si="56"/>
        <v>-1.3358122306045388</v>
      </c>
      <c r="C85" s="1">
        <f t="shared" si="57"/>
        <v>9.8089553819235675</v>
      </c>
      <c r="H85" s="1">
        <f t="shared" si="58"/>
        <v>2</v>
      </c>
      <c r="I85" s="4">
        <f t="shared" ref="I85:I92" si="59">(I74*COS($B$64))+(J74*SIN($B$64))</f>
        <v>9.8089553819235675</v>
      </c>
      <c r="J85" s="1">
        <f t="shared" ref="J85:J92" si="60">(-1*I74*SIN($B$64))+(J74*COS($B$64))</f>
        <v>1.3358122306045388</v>
      </c>
      <c r="Q85" t="s">
        <v>149</v>
      </c>
    </row>
    <row r="86" spans="1:18" x14ac:dyDescent="0.25">
      <c r="A86" s="1">
        <f t="shared" si="55"/>
        <v>3</v>
      </c>
      <c r="B86" s="4">
        <f t="shared" si="56"/>
        <v>-9.8089553819235675</v>
      </c>
      <c r="C86" s="1">
        <f t="shared" si="57"/>
        <v>-1.3358122306045388</v>
      </c>
      <c r="H86" s="1">
        <f t="shared" si="58"/>
        <v>3</v>
      </c>
      <c r="I86" s="4">
        <f t="shared" si="59"/>
        <v>9.8089553819235675</v>
      </c>
      <c r="J86" s="1">
        <f t="shared" si="60"/>
        <v>1.3358122306045388</v>
      </c>
      <c r="Q86" t="s">
        <v>27</v>
      </c>
      <c r="R86" t="s">
        <v>28</v>
      </c>
    </row>
    <row r="87" spans="1:18" x14ac:dyDescent="0.25">
      <c r="A87" s="1">
        <f t="shared" si="55"/>
        <v>4</v>
      </c>
      <c r="B87" s="4">
        <f t="shared" si="56"/>
        <v>1.3358122306045388</v>
      </c>
      <c r="C87" s="1">
        <f t="shared" si="57"/>
        <v>-9.8089553819235675</v>
      </c>
      <c r="H87" s="1">
        <f t="shared" si="58"/>
        <v>4</v>
      </c>
      <c r="I87" s="4">
        <f t="shared" si="59"/>
        <v>9.8089553819235675</v>
      </c>
      <c r="J87" s="1">
        <f t="shared" si="60"/>
        <v>1.3358122306045388</v>
      </c>
      <c r="Q87">
        <f>(P142*COS(-1*$B$64))+(P143*SIN(-1*$B$64))</f>
        <v>4.4983573258223188</v>
      </c>
      <c r="R87">
        <f>(-1*P142*SIN(-1*$B$64))+(P143*COS(-1*$B$64))</f>
        <v>-5.0980512803220561</v>
      </c>
    </row>
    <row r="88" spans="1:18" x14ac:dyDescent="0.25">
      <c r="A88" s="1">
        <f t="shared" si="55"/>
        <v>5</v>
      </c>
      <c r="B88" s="4">
        <f t="shared" si="56"/>
        <v>9.8089553819235675</v>
      </c>
      <c r="C88" s="1">
        <f t="shared" si="57"/>
        <v>1.3358122306045388</v>
      </c>
      <c r="H88" s="1">
        <f t="shared" si="58"/>
        <v>5</v>
      </c>
      <c r="I88" s="4">
        <f t="shared" si="59"/>
        <v>9.8089553819235675</v>
      </c>
      <c r="J88" s="1">
        <f t="shared" si="60"/>
        <v>1.3358122306045388</v>
      </c>
    </row>
    <row r="89" spans="1:18" x14ac:dyDescent="0.25">
      <c r="A89" s="1">
        <f t="shared" si="55"/>
        <v>6</v>
      </c>
      <c r="B89" s="4">
        <f t="shared" si="56"/>
        <v>9.8089553819235675</v>
      </c>
      <c r="C89" s="1">
        <f t="shared" si="57"/>
        <v>1.3358122306045388</v>
      </c>
      <c r="H89" s="1">
        <f t="shared" si="58"/>
        <v>6</v>
      </c>
      <c r="I89" s="4">
        <f t="shared" si="59"/>
        <v>9.8089553819235675</v>
      </c>
      <c r="J89" s="1">
        <f t="shared" si="60"/>
        <v>1.3358122306045388</v>
      </c>
    </row>
    <row r="90" spans="1:18" x14ac:dyDescent="0.25">
      <c r="A90" s="1">
        <f t="shared" si="55"/>
        <v>7</v>
      </c>
      <c r="B90" s="4">
        <f t="shared" si="56"/>
        <v>9.8089553819235675</v>
      </c>
      <c r="C90" s="1">
        <f t="shared" si="57"/>
        <v>1.3358122306045388</v>
      </c>
      <c r="H90" s="1">
        <f t="shared" si="58"/>
        <v>7</v>
      </c>
      <c r="I90" s="4">
        <f t="shared" si="59"/>
        <v>9.8089553819235675</v>
      </c>
      <c r="J90" s="1">
        <f t="shared" si="60"/>
        <v>1.3358122306045388</v>
      </c>
      <c r="Q90" s="4">
        <f>Q87+$B$9</f>
        <v>11.498357325822319</v>
      </c>
      <c r="R90" s="4">
        <f>R87+$C$9</f>
        <v>1.9019487196779439</v>
      </c>
    </row>
    <row r="91" spans="1:18" x14ac:dyDescent="0.25">
      <c r="A91" s="1">
        <f t="shared" si="55"/>
        <v>8</v>
      </c>
      <c r="B91" s="4">
        <f t="shared" si="56"/>
        <v>9.8089553819235675</v>
      </c>
      <c r="C91" s="1">
        <f t="shared" si="57"/>
        <v>1.3358122306045388</v>
      </c>
      <c r="H91" s="1">
        <f t="shared" si="58"/>
        <v>8</v>
      </c>
      <c r="I91" s="4">
        <f t="shared" si="59"/>
        <v>9.8089553819235675</v>
      </c>
      <c r="J91" s="1">
        <f t="shared" si="60"/>
        <v>1.3358122306045388</v>
      </c>
    </row>
    <row r="92" spans="1:18" x14ac:dyDescent="0.25">
      <c r="A92" s="1">
        <f t="shared" si="55"/>
        <v>9</v>
      </c>
      <c r="B92" s="4">
        <f t="shared" si="56"/>
        <v>9.8089553819235675</v>
      </c>
      <c r="C92" s="1">
        <f t="shared" si="57"/>
        <v>1.3358122306045388</v>
      </c>
      <c r="H92" s="1">
        <f t="shared" si="58"/>
        <v>9</v>
      </c>
      <c r="I92" s="4">
        <f t="shared" si="59"/>
        <v>9.8089553819235675</v>
      </c>
      <c r="J92" s="1">
        <f t="shared" si="60"/>
        <v>1.3358122306045388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1">A37</f>
        <v>1</v>
      </c>
      <c r="B95" s="4">
        <f t="shared" ref="B95:B106" si="62">B37-$B$9</f>
        <v>-4</v>
      </c>
      <c r="C95" s="4">
        <f t="shared" ref="C95:C106" si="63">C37-$C$9</f>
        <v>-4</v>
      </c>
      <c r="D95" t="str">
        <f t="shared" ref="D95:D106" si="64">D37</f>
        <v>y</v>
      </c>
    </row>
    <row r="96" spans="1:18" x14ac:dyDescent="0.25">
      <c r="A96">
        <f t="shared" si="61"/>
        <v>2</v>
      </c>
      <c r="B96" s="4">
        <f t="shared" si="62"/>
        <v>4</v>
      </c>
      <c r="C96" s="4">
        <f t="shared" si="63"/>
        <v>-4</v>
      </c>
      <c r="D96" t="str">
        <f t="shared" si="64"/>
        <v>y</v>
      </c>
    </row>
    <row r="97" spans="1:28" x14ac:dyDescent="0.25">
      <c r="A97">
        <f t="shared" si="61"/>
        <v>3</v>
      </c>
      <c r="B97" s="4">
        <f t="shared" si="62"/>
        <v>-4</v>
      </c>
      <c r="C97" s="4">
        <f t="shared" si="63"/>
        <v>4</v>
      </c>
      <c r="D97" t="str">
        <f t="shared" si="64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1"/>
        <v>4</v>
      </c>
      <c r="B98" s="4">
        <f t="shared" si="62"/>
        <v>4</v>
      </c>
      <c r="C98" s="4">
        <f t="shared" si="63"/>
        <v>4</v>
      </c>
      <c r="D98" t="str">
        <f t="shared" si="64"/>
        <v>y</v>
      </c>
    </row>
    <row r="99" spans="1:28" x14ac:dyDescent="0.25">
      <c r="A99">
        <f t="shared" si="61"/>
        <v>5</v>
      </c>
      <c r="B99" s="4">
        <f t="shared" si="62"/>
        <v>-4</v>
      </c>
      <c r="C99" s="4">
        <f t="shared" si="63"/>
        <v>-1.5</v>
      </c>
      <c r="D99" t="str">
        <f t="shared" si="64"/>
        <v>y</v>
      </c>
    </row>
    <row r="100" spans="1:28" x14ac:dyDescent="0.25">
      <c r="A100">
        <f t="shared" si="61"/>
        <v>6</v>
      </c>
      <c r="B100" s="4">
        <f t="shared" si="62"/>
        <v>4</v>
      </c>
      <c r="C100" s="4">
        <f t="shared" si="63"/>
        <v>-1.5</v>
      </c>
      <c r="D100" t="str">
        <f t="shared" si="64"/>
        <v>y</v>
      </c>
    </row>
    <row r="101" spans="1:28" x14ac:dyDescent="0.25">
      <c r="A101">
        <f t="shared" si="61"/>
        <v>7</v>
      </c>
      <c r="B101" s="4">
        <f t="shared" si="62"/>
        <v>-4</v>
      </c>
      <c r="C101" s="4">
        <f t="shared" si="63"/>
        <v>1.5</v>
      </c>
      <c r="D101" t="str">
        <f t="shared" si="64"/>
        <v>y</v>
      </c>
    </row>
    <row r="102" spans="1:28" x14ac:dyDescent="0.25">
      <c r="A102">
        <f t="shared" si="61"/>
        <v>8</v>
      </c>
      <c r="B102" s="4">
        <f t="shared" si="62"/>
        <v>4</v>
      </c>
      <c r="C102" s="4">
        <f t="shared" si="63"/>
        <v>1.5</v>
      </c>
      <c r="D102" t="str">
        <f t="shared" si="64"/>
        <v>y</v>
      </c>
    </row>
    <row r="103" spans="1:28" x14ac:dyDescent="0.25">
      <c r="A103">
        <f t="shared" si="61"/>
        <v>9</v>
      </c>
      <c r="B103" s="4">
        <f t="shared" si="62"/>
        <v>-7</v>
      </c>
      <c r="C103" s="4">
        <f t="shared" si="63"/>
        <v>-7</v>
      </c>
      <c r="D103" t="str">
        <f t="shared" si="64"/>
        <v>n</v>
      </c>
    </row>
    <row r="104" spans="1:28" x14ac:dyDescent="0.25">
      <c r="A104">
        <f t="shared" si="61"/>
        <v>10</v>
      </c>
      <c r="B104" s="4">
        <f t="shared" si="62"/>
        <v>-7</v>
      </c>
      <c r="C104" s="4">
        <f t="shared" si="63"/>
        <v>-7</v>
      </c>
      <c r="D104" t="str">
        <f t="shared" si="64"/>
        <v>n</v>
      </c>
    </row>
    <row r="105" spans="1:28" x14ac:dyDescent="0.25">
      <c r="A105">
        <f t="shared" si="61"/>
        <v>11</v>
      </c>
      <c r="B105" s="4">
        <f t="shared" si="62"/>
        <v>-7</v>
      </c>
      <c r="C105" s="4">
        <f t="shared" si="63"/>
        <v>-7</v>
      </c>
      <c r="D105" t="str">
        <f t="shared" si="64"/>
        <v>n</v>
      </c>
    </row>
    <row r="106" spans="1:28" x14ac:dyDescent="0.25">
      <c r="A106">
        <f t="shared" si="61"/>
        <v>12</v>
      </c>
      <c r="B106" s="4">
        <f t="shared" si="62"/>
        <v>-7</v>
      </c>
      <c r="C106" s="4">
        <f t="shared" si="63"/>
        <v>-7</v>
      </c>
      <c r="D106" t="str">
        <f t="shared" si="64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5.6051173610991816</v>
      </c>
      <c r="C110" s="1">
        <f>(-1*B95*SIN($B$64))+(C95*COS($B$64))</f>
        <v>0.76332127463116528</v>
      </c>
      <c r="D110" t="str">
        <f t="shared" ref="D110" si="65">D95</f>
        <v>y</v>
      </c>
      <c r="E110" s="4">
        <f t="shared" ref="E110:E121" si="66">IF($D110="y",$B$125-C110,0)</f>
        <v>2.9894122525049625</v>
      </c>
      <c r="F110" s="1">
        <f>IF($D110="y",B110,NA())</f>
        <v>5.6051173610991816</v>
      </c>
      <c r="G110" s="1">
        <f>IF($D110="y",C110,NA())</f>
        <v>0.76332127463116528</v>
      </c>
      <c r="H110">
        <f t="shared" ref="H110:H121" si="67">IF($E$122=0,0,-1*MAX(($B$67/$E$122)*(E110),0))</f>
        <v>-16.791146638897413</v>
      </c>
      <c r="I110">
        <f>H110*C110</f>
        <v>-12.81703945492198</v>
      </c>
      <c r="J110">
        <f>H110*B110*-1</f>
        <v>94.116347538446064</v>
      </c>
      <c r="K110">
        <f ca="1">H110/$B$55</f>
        <v>-50.203644830810688</v>
      </c>
      <c r="L110">
        <f ca="1">K110/$B$54</f>
        <v>-1.7311601665796789E-3</v>
      </c>
      <c r="M110">
        <f t="shared" ref="M110:M121" si="68">IFERROR(($D$66/$B$65)*(G110-$B$125),0)</f>
        <v>-1.7311601665796787E-3</v>
      </c>
      <c r="N110">
        <f t="shared" ref="N110:N121" si="69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5.6051173610991816</v>
      </c>
      <c r="R110">
        <f>IF($H110&lt;0,G110,NA())</f>
        <v>0.76332127463116528</v>
      </c>
      <c r="T110">
        <f>(Q110*COS(-1*$B$64))+(R110*SIN(-1*$B$64))</f>
        <v>-4</v>
      </c>
      <c r="U110">
        <f>(-1*Q110*SIN(-1*$B$64))+(R110*COS(-1*$B$64))</f>
        <v>-4</v>
      </c>
      <c r="W110" s="4">
        <f>T110+$B$9</f>
        <v>3</v>
      </c>
      <c r="X110" s="4">
        <f>U110+$C$9</f>
        <v>3</v>
      </c>
      <c r="Y110">
        <f t="shared" ref="Y110:Y121" si="70">IF(AND($E$60="n",M110&gt;0,D110="y"),M110*$B$53*$E$59,0)</f>
        <v>0</v>
      </c>
      <c r="AB110" t="str">
        <f t="shared" ref="AB110:AB121" si="71">IF(H110&lt;&gt;0,CHAR(10)&amp;CHAR(10)&amp;ROUND(ABS(H110),4)&amp;" kips",IF(AND($E$60="n",D110="y"),CHAR(10)&amp;CHAR(10)&amp;ROUND(ABS(Y110),4)&amp;" kips",""))</f>
        <v xml:space="preserve">
16.7911 kips</v>
      </c>
    </row>
    <row r="111" spans="1:28" x14ac:dyDescent="0.25">
      <c r="A111">
        <f t="shared" ref="A111:D111" si="72">A96</f>
        <v>2</v>
      </c>
      <c r="B111" s="1">
        <f t="shared" ref="B111:B121" si="73">(B96*COS($B$64))+(C96*SIN($B$64))</f>
        <v>-0.76332127463116528</v>
      </c>
      <c r="C111" s="1">
        <f t="shared" ref="C111:C121" si="74">(-1*B96*SIN($B$64))+(C96*COS($B$64))</f>
        <v>5.6051173610991816</v>
      </c>
      <c r="D111" t="str">
        <f t="shared" si="72"/>
        <v>y</v>
      </c>
      <c r="E111" s="4">
        <f t="shared" si="66"/>
        <v>-1.8523838339630538</v>
      </c>
      <c r="F111" s="1">
        <f t="shared" ref="F111:F121" si="75">IF($D111="y",B111,NA())</f>
        <v>-0.76332127463116528</v>
      </c>
      <c r="G111" s="1">
        <f t="shared" ref="G111:G121" si="76">IF($D111="y",C111,NA())</f>
        <v>5.6051173610991816</v>
      </c>
      <c r="H111">
        <f t="shared" si="67"/>
        <v>0</v>
      </c>
      <c r="I111">
        <f t="shared" ref="I111:I121" si="77">H111*C111</f>
        <v>0</v>
      </c>
      <c r="J111">
        <f t="shared" ref="J111:J121" si="78">H111*B111*-1</f>
        <v>0</v>
      </c>
      <c r="K111">
        <f ca="1">H111/$B$55</f>
        <v>0</v>
      </c>
      <c r="L111">
        <f t="shared" ref="L111:L121" ca="1" si="79">K111/$B$54</f>
        <v>0</v>
      </c>
      <c r="M111">
        <f t="shared" si="68"/>
        <v>1.072710230543106E-3</v>
      </c>
      <c r="N111">
        <f t="shared" si="69"/>
        <v>2.2660526107260983</v>
      </c>
      <c r="O111">
        <f t="shared" ref="O111:O121" si="80">N111*C111</f>
        <v>12.70149082954498</v>
      </c>
      <c r="P111">
        <f t="shared" ref="P111:P121" si="81">N111*B111*-1</f>
        <v>1.7297261672007251</v>
      </c>
      <c r="Q111" t="e">
        <f t="shared" ref="Q111:Q121" si="82">IF($H111&lt;0,F111,NA())</f>
        <v>#N/A</v>
      </c>
      <c r="R111" t="e">
        <f t="shared" ref="R111:R121" si="83">IF($H111&lt;0,G111,NA())</f>
        <v>#N/A</v>
      </c>
      <c r="T111" t="e">
        <f t="shared" ref="T111:T121" si="84">(Q111*COS(-1*$B$64))+(R111*SIN(-1*$B$64))</f>
        <v>#N/A</v>
      </c>
      <c r="U111" t="e">
        <f t="shared" ref="U111:U121" si="85">(-1*Q111*SIN(-1*$B$64))+(R111*COS(-1*$B$64))</f>
        <v>#N/A</v>
      </c>
      <c r="W111" s="4" t="e">
        <f t="shared" ref="W111:W121" si="86">T111+$B$9</f>
        <v>#N/A</v>
      </c>
      <c r="X111" s="4" t="e">
        <f t="shared" ref="X111:X121" si="87">U111+$C$9</f>
        <v>#N/A</v>
      </c>
      <c r="Y111">
        <f t="shared" si="70"/>
        <v>0</v>
      </c>
      <c r="AB111" t="str">
        <f t="shared" si="71"/>
        <v/>
      </c>
    </row>
    <row r="112" spans="1:28" x14ac:dyDescent="0.25">
      <c r="A112">
        <f t="shared" ref="A112:D112" si="88">A97</f>
        <v>3</v>
      </c>
      <c r="B112" s="1">
        <f t="shared" si="73"/>
        <v>0.76332127463116528</v>
      </c>
      <c r="C112" s="1">
        <f t="shared" si="74"/>
        <v>-5.6051173610991816</v>
      </c>
      <c r="D112" t="str">
        <f t="shared" si="88"/>
        <v>y</v>
      </c>
      <c r="E112" s="4">
        <f t="shared" si="66"/>
        <v>9.3578508882353084</v>
      </c>
      <c r="F112" s="1">
        <f t="shared" si="75"/>
        <v>0.76332127463116528</v>
      </c>
      <c r="G112" s="1">
        <f t="shared" si="76"/>
        <v>-5.6051173610991816</v>
      </c>
      <c r="H112">
        <f t="shared" si="67"/>
        <v>-52.561852704534139</v>
      </c>
      <c r="I112">
        <f t="shared" si="77"/>
        <v>294.61535312572227</v>
      </c>
      <c r="J112">
        <f t="shared" si="78"/>
        <v>40.121580403400564</v>
      </c>
      <c r="K112">
        <f t="shared" ref="K112:K121" ca="1" si="89">H112/$B$55</f>
        <v>-157.15404323341045</v>
      </c>
      <c r="L112">
        <f t="shared" ca="1" si="79"/>
        <v>-5.4191049390831187E-3</v>
      </c>
      <c r="M112">
        <f t="shared" si="68"/>
        <v>-5.4191049390831178E-3</v>
      </c>
      <c r="N112">
        <f t="shared" si="69"/>
        <v>0</v>
      </c>
      <c r="O112">
        <f t="shared" si="80"/>
        <v>0</v>
      </c>
      <c r="P112">
        <f t="shared" si="81"/>
        <v>0</v>
      </c>
      <c r="Q112">
        <f t="shared" si="82"/>
        <v>0.76332127463116528</v>
      </c>
      <c r="R112">
        <f t="shared" si="83"/>
        <v>-5.6051173610991816</v>
      </c>
      <c r="T112">
        <f t="shared" si="84"/>
        <v>-4</v>
      </c>
      <c r="U112">
        <f t="shared" si="85"/>
        <v>4</v>
      </c>
      <c r="W112" s="4">
        <f t="shared" si="86"/>
        <v>3</v>
      </c>
      <c r="X112" s="4">
        <f t="shared" si="87"/>
        <v>11</v>
      </c>
      <c r="Y112">
        <f t="shared" si="70"/>
        <v>0</v>
      </c>
      <c r="AB112" t="str">
        <f t="shared" si="71"/>
        <v xml:space="preserve">
52.5619 kips</v>
      </c>
    </row>
    <row r="113" spans="1:28" x14ac:dyDescent="0.25">
      <c r="A113">
        <f t="shared" ref="A113:D113" si="90">A98</f>
        <v>4</v>
      </c>
      <c r="B113" s="1">
        <f t="shared" si="73"/>
        <v>-5.6051173610991816</v>
      </c>
      <c r="C113" s="1">
        <f t="shared" si="74"/>
        <v>-0.76332127463116528</v>
      </c>
      <c r="D113" t="str">
        <f t="shared" si="90"/>
        <v>y</v>
      </c>
      <c r="E113" s="4">
        <f t="shared" si="66"/>
        <v>4.516054801767293</v>
      </c>
      <c r="F113" s="1">
        <f t="shared" si="75"/>
        <v>-5.6051173610991816</v>
      </c>
      <c r="G113" s="1">
        <f t="shared" si="76"/>
        <v>-0.76332127463116528</v>
      </c>
      <c r="H113">
        <f t="shared" si="67"/>
        <v>-25.366102765595567</v>
      </c>
      <c r="I113">
        <f t="shared" si="77"/>
        <v>19.362485895459535</v>
      </c>
      <c r="J113">
        <f t="shared" si="78"/>
        <v>-142.17998299486567</v>
      </c>
      <c r="K113">
        <f t="shared" ca="1" si="89"/>
        <v>-75.841801716849687</v>
      </c>
      <c r="L113">
        <f t="shared" ca="1" si="79"/>
        <v>-2.615234541960334E-3</v>
      </c>
      <c r="M113">
        <f t="shared" si="68"/>
        <v>-2.6152345419603335E-3</v>
      </c>
      <c r="N113">
        <f t="shared" si="69"/>
        <v>0</v>
      </c>
      <c r="O113">
        <f t="shared" si="80"/>
        <v>0</v>
      </c>
      <c r="P113">
        <f t="shared" si="81"/>
        <v>0</v>
      </c>
      <c r="Q113">
        <f t="shared" si="82"/>
        <v>-5.6051173610991816</v>
      </c>
      <c r="R113">
        <f t="shared" si="83"/>
        <v>-0.76332127463116528</v>
      </c>
      <c r="T113">
        <f t="shared" si="84"/>
        <v>4</v>
      </c>
      <c r="U113">
        <f t="shared" si="85"/>
        <v>4</v>
      </c>
      <c r="W113" s="4">
        <f t="shared" si="86"/>
        <v>11</v>
      </c>
      <c r="X113" s="4">
        <f t="shared" si="87"/>
        <v>11</v>
      </c>
      <c r="Y113">
        <f t="shared" si="70"/>
        <v>0</v>
      </c>
      <c r="AB113" t="str">
        <f t="shared" si="71"/>
        <v xml:space="preserve">
25.3661 kips</v>
      </c>
    </row>
    <row r="114" spans="1:28" x14ac:dyDescent="0.25">
      <c r="A114">
        <f t="shared" ref="A114:D114" si="91">A99</f>
        <v>5</v>
      </c>
      <c r="B114" s="1">
        <f t="shared" si="73"/>
        <v>4.0920560840779263</v>
      </c>
      <c r="C114" s="1">
        <f t="shared" si="74"/>
        <v>-1.2268157990345681</v>
      </c>
      <c r="D114" t="str">
        <f t="shared" si="91"/>
        <v>y</v>
      </c>
      <c r="E114" s="4">
        <f t="shared" si="66"/>
        <v>4.9795493261706962</v>
      </c>
      <c r="F114" s="1">
        <f t="shared" si="75"/>
        <v>4.0920560840779263</v>
      </c>
      <c r="G114" s="1">
        <f t="shared" si="76"/>
        <v>-1.2268157990345681</v>
      </c>
      <c r="H114">
        <f t="shared" si="67"/>
        <v>-27.969492284408894</v>
      </c>
      <c r="I114">
        <f t="shared" si="77"/>
        <v>34.313415025488283</v>
      </c>
      <c r="J114">
        <f t="shared" si="78"/>
        <v>114.45273107098603</v>
      </c>
      <c r="K114">
        <f t="shared" ca="1" si="89"/>
        <v>-83.625644331623121</v>
      </c>
      <c r="L114">
        <f t="shared" ca="1" si="79"/>
        <v>-2.8836429079870042E-3</v>
      </c>
      <c r="M114">
        <f t="shared" si="68"/>
        <v>-2.8836429079870038E-3</v>
      </c>
      <c r="N114">
        <f t="shared" si="69"/>
        <v>0</v>
      </c>
      <c r="O114">
        <f t="shared" si="80"/>
        <v>0</v>
      </c>
      <c r="P114">
        <f t="shared" si="81"/>
        <v>0</v>
      </c>
      <c r="Q114">
        <f t="shared" si="82"/>
        <v>4.0920560840779263</v>
      </c>
      <c r="R114">
        <f t="shared" si="83"/>
        <v>-1.2268157990345681</v>
      </c>
      <c r="T114">
        <f t="shared" si="84"/>
        <v>-4</v>
      </c>
      <c r="U114">
        <f t="shared" si="85"/>
        <v>-1.5</v>
      </c>
      <c r="W114" s="4">
        <f t="shared" si="86"/>
        <v>3</v>
      </c>
      <c r="X114" s="4">
        <f t="shared" si="87"/>
        <v>5.5</v>
      </c>
      <c r="Y114">
        <f t="shared" si="70"/>
        <v>0</v>
      </c>
      <c r="AB114" t="str">
        <f t="shared" si="71"/>
        <v xml:space="preserve">
27.9695 kips</v>
      </c>
    </row>
    <row r="115" spans="1:28" x14ac:dyDescent="0.25">
      <c r="A115">
        <f t="shared" ref="A115:D115" si="92">A100</f>
        <v>6</v>
      </c>
      <c r="B115" s="1">
        <f t="shared" si="73"/>
        <v>-2.2763825516524205</v>
      </c>
      <c r="C115" s="1">
        <f t="shared" si="74"/>
        <v>3.6149802874334482</v>
      </c>
      <c r="D115" t="str">
        <f t="shared" si="92"/>
        <v>y</v>
      </c>
      <c r="E115" s="4">
        <f t="shared" si="66"/>
        <v>0.1377532397026795</v>
      </c>
      <c r="F115" s="1">
        <f t="shared" si="75"/>
        <v>-2.2763825516524205</v>
      </c>
      <c r="G115" s="1">
        <f t="shared" si="76"/>
        <v>3.6149802874334482</v>
      </c>
      <c r="H115">
        <f t="shared" si="67"/>
        <v>-0.7737423454703114</v>
      </c>
      <c r="I115">
        <f t="shared" si="77"/>
        <v>-2.7970633264276965</v>
      </c>
      <c r="J115">
        <f t="shared" si="78"/>
        <v>-1.7613335747032361</v>
      </c>
      <c r="K115">
        <f t="shared" ca="1" si="89"/>
        <v>-2.3134028150623469</v>
      </c>
      <c r="L115">
        <f t="shared" ca="1" si="79"/>
        <v>-7.9772510864218856E-5</v>
      </c>
      <c r="M115">
        <f t="shared" si="68"/>
        <v>-7.9772510864218842E-5</v>
      </c>
      <c r="N115">
        <f t="shared" si="69"/>
        <v>0</v>
      </c>
      <c r="O115">
        <f t="shared" si="80"/>
        <v>0</v>
      </c>
      <c r="P115">
        <f t="shared" si="81"/>
        <v>0</v>
      </c>
      <c r="Q115">
        <f t="shared" si="82"/>
        <v>-2.2763825516524205</v>
      </c>
      <c r="R115">
        <f t="shared" si="83"/>
        <v>3.6149802874334482</v>
      </c>
      <c r="T115">
        <f t="shared" si="84"/>
        <v>4</v>
      </c>
      <c r="U115">
        <f t="shared" si="85"/>
        <v>-1.4999999999999998</v>
      </c>
      <c r="W115" s="4">
        <f t="shared" si="86"/>
        <v>11</v>
      </c>
      <c r="X115" s="4">
        <f t="shared" si="87"/>
        <v>5.5</v>
      </c>
      <c r="Y115">
        <f t="shared" si="70"/>
        <v>0</v>
      </c>
      <c r="AB115" t="str">
        <f t="shared" si="71"/>
        <v xml:space="preserve">
0.7737 kips</v>
      </c>
    </row>
    <row r="116" spans="1:28" x14ac:dyDescent="0.25">
      <c r="A116">
        <f t="shared" ref="A116:D116" si="93">A101</f>
        <v>7</v>
      </c>
      <c r="B116" s="1">
        <f t="shared" si="73"/>
        <v>2.2763825516524205</v>
      </c>
      <c r="C116" s="1">
        <f t="shared" si="74"/>
        <v>-3.6149802874334482</v>
      </c>
      <c r="D116" t="str">
        <f t="shared" si="93"/>
        <v>y</v>
      </c>
      <c r="E116" s="4">
        <f t="shared" si="66"/>
        <v>7.3677138145695764</v>
      </c>
      <c r="F116" s="1">
        <f t="shared" si="75"/>
        <v>2.2763825516524205</v>
      </c>
      <c r="G116" s="1">
        <f t="shared" si="76"/>
        <v>-3.6149802874334482</v>
      </c>
      <c r="H116">
        <f t="shared" si="67"/>
        <v>-41.383507059022669</v>
      </c>
      <c r="I116">
        <f t="shared" si="77"/>
        <v>149.60056224322992</v>
      </c>
      <c r="J116">
        <f t="shared" si="78"/>
        <v>94.20469339534398</v>
      </c>
      <c r="K116">
        <f t="shared" ca="1" si="89"/>
        <v>-123.73204373259803</v>
      </c>
      <c r="L116">
        <f t="shared" ca="1" si="79"/>
        <v>-4.2666221976757944E-3</v>
      </c>
      <c r="M116">
        <f t="shared" si="68"/>
        <v>-4.2666221976757936E-3</v>
      </c>
      <c r="N116">
        <f t="shared" si="69"/>
        <v>0</v>
      </c>
      <c r="O116">
        <f t="shared" si="80"/>
        <v>0</v>
      </c>
      <c r="P116">
        <f t="shared" si="81"/>
        <v>0</v>
      </c>
      <c r="Q116">
        <f t="shared" si="82"/>
        <v>2.2763825516524205</v>
      </c>
      <c r="R116">
        <f t="shared" si="83"/>
        <v>-3.6149802874334482</v>
      </c>
      <c r="T116">
        <f t="shared" si="84"/>
        <v>-4</v>
      </c>
      <c r="U116">
        <f t="shared" si="85"/>
        <v>1.4999999999999998</v>
      </c>
      <c r="W116" s="4">
        <f t="shared" si="86"/>
        <v>3</v>
      </c>
      <c r="X116" s="4">
        <f t="shared" si="87"/>
        <v>8.5</v>
      </c>
      <c r="Y116">
        <f t="shared" si="70"/>
        <v>0</v>
      </c>
      <c r="AB116" t="str">
        <f t="shared" si="71"/>
        <v xml:space="preserve">
41.3835 kips</v>
      </c>
    </row>
    <row r="117" spans="1:28" x14ac:dyDescent="0.25">
      <c r="A117">
        <f t="shared" ref="A117:D117" si="94">A102</f>
        <v>8</v>
      </c>
      <c r="B117" s="1">
        <f t="shared" si="73"/>
        <v>-4.0920560840779263</v>
      </c>
      <c r="C117" s="1">
        <f t="shared" si="74"/>
        <v>1.2268157990345681</v>
      </c>
      <c r="D117" t="str">
        <f t="shared" si="94"/>
        <v>y</v>
      </c>
      <c r="E117" s="4">
        <f t="shared" si="66"/>
        <v>2.5259177281015597</v>
      </c>
      <c r="F117" s="1">
        <f t="shared" si="75"/>
        <v>-4.0920560840779263</v>
      </c>
      <c r="G117" s="1">
        <f t="shared" si="76"/>
        <v>1.2268157990345681</v>
      </c>
      <c r="H117">
        <f t="shared" si="67"/>
        <v>-14.187757120084088</v>
      </c>
      <c r="I117">
        <f t="shared" si="77"/>
        <v>-17.405764587784343</v>
      </c>
      <c r="J117">
        <f t="shared" si="78"/>
        <v>-58.057097842660013</v>
      </c>
      <c r="K117">
        <f t="shared" ca="1" si="89"/>
        <v>-42.419802216037262</v>
      </c>
      <c r="L117">
        <f t="shared" ca="1" si="79"/>
        <v>-1.4627518005530091E-3</v>
      </c>
      <c r="M117">
        <f t="shared" si="68"/>
        <v>-1.4627518005530086E-3</v>
      </c>
      <c r="N117">
        <f t="shared" si="69"/>
        <v>0</v>
      </c>
      <c r="O117">
        <f t="shared" si="80"/>
        <v>0</v>
      </c>
      <c r="P117">
        <f t="shared" si="81"/>
        <v>0</v>
      </c>
      <c r="Q117">
        <f t="shared" si="82"/>
        <v>-4.0920560840779263</v>
      </c>
      <c r="R117">
        <f t="shared" si="83"/>
        <v>1.2268157990345681</v>
      </c>
      <c r="T117">
        <f t="shared" si="84"/>
        <v>4</v>
      </c>
      <c r="U117">
        <f t="shared" si="85"/>
        <v>1.5</v>
      </c>
      <c r="W117" s="4">
        <f t="shared" si="86"/>
        <v>11</v>
      </c>
      <c r="X117" s="4">
        <f t="shared" si="87"/>
        <v>8.5</v>
      </c>
      <c r="Y117">
        <f t="shared" si="70"/>
        <v>0</v>
      </c>
      <c r="AB117" t="str">
        <f t="shared" si="71"/>
        <v xml:space="preserve">
14.1878 kips</v>
      </c>
    </row>
    <row r="118" spans="1:28" x14ac:dyDescent="0.25">
      <c r="A118">
        <f t="shared" ref="A118:D118" si="95">A103</f>
        <v>9</v>
      </c>
      <c r="B118" s="1">
        <f t="shared" si="73"/>
        <v>9.8089553819235675</v>
      </c>
      <c r="C118" s="1">
        <f t="shared" si="74"/>
        <v>1.3358122306045388</v>
      </c>
      <c r="D118" t="str">
        <f t="shared" si="95"/>
        <v>n</v>
      </c>
      <c r="E118" s="4">
        <f t="shared" si="66"/>
        <v>0</v>
      </c>
      <c r="F118" s="1" t="e">
        <f t="shared" si="75"/>
        <v>#N/A</v>
      </c>
      <c r="G118" s="1" t="e">
        <f t="shared" si="76"/>
        <v>#N/A</v>
      </c>
      <c r="H118">
        <f t="shared" si="67"/>
        <v>0</v>
      </c>
      <c r="I118">
        <f t="shared" si="77"/>
        <v>0</v>
      </c>
      <c r="J118">
        <f t="shared" si="78"/>
        <v>0</v>
      </c>
      <c r="K118">
        <f t="shared" ca="1" si="89"/>
        <v>0</v>
      </c>
      <c r="L118">
        <f t="shared" ca="1" si="79"/>
        <v>0</v>
      </c>
      <c r="M118">
        <f t="shared" si="68"/>
        <v>0</v>
      </c>
      <c r="N118">
        <f t="shared" si="69"/>
        <v>0</v>
      </c>
      <c r="O118">
        <f t="shared" si="80"/>
        <v>0</v>
      </c>
      <c r="P118">
        <f t="shared" si="81"/>
        <v>0</v>
      </c>
      <c r="Q118" t="e">
        <f t="shared" si="82"/>
        <v>#N/A</v>
      </c>
      <c r="R118" t="e">
        <f t="shared" si="83"/>
        <v>#N/A</v>
      </c>
      <c r="T118" t="e">
        <f t="shared" si="84"/>
        <v>#N/A</v>
      </c>
      <c r="U118" t="e">
        <f t="shared" si="85"/>
        <v>#N/A</v>
      </c>
      <c r="W118" s="4" t="e">
        <f t="shared" si="86"/>
        <v>#N/A</v>
      </c>
      <c r="X118" s="4" t="e">
        <f t="shared" si="87"/>
        <v>#N/A</v>
      </c>
      <c r="Y118">
        <f t="shared" si="70"/>
        <v>0</v>
      </c>
      <c r="AB118" t="str">
        <f t="shared" si="71"/>
        <v/>
      </c>
    </row>
    <row r="119" spans="1:28" x14ac:dyDescent="0.25">
      <c r="A119">
        <f t="shared" ref="A119:D119" si="96">A104</f>
        <v>10</v>
      </c>
      <c r="B119" s="1">
        <f t="shared" si="73"/>
        <v>9.8089553819235675</v>
      </c>
      <c r="C119" s="1">
        <f t="shared" si="74"/>
        <v>1.3358122306045388</v>
      </c>
      <c r="D119" t="str">
        <f t="shared" si="96"/>
        <v>n</v>
      </c>
      <c r="E119" s="4">
        <f t="shared" si="66"/>
        <v>0</v>
      </c>
      <c r="F119" s="1" t="e">
        <f t="shared" si="75"/>
        <v>#N/A</v>
      </c>
      <c r="G119" s="1" t="e">
        <f t="shared" si="76"/>
        <v>#N/A</v>
      </c>
      <c r="H119">
        <f t="shared" si="67"/>
        <v>0</v>
      </c>
      <c r="I119">
        <f t="shared" si="77"/>
        <v>0</v>
      </c>
      <c r="J119">
        <f t="shared" si="78"/>
        <v>0</v>
      </c>
      <c r="K119">
        <f t="shared" ca="1" si="89"/>
        <v>0</v>
      </c>
      <c r="L119">
        <f t="shared" ca="1" si="79"/>
        <v>0</v>
      </c>
      <c r="M119">
        <f t="shared" si="68"/>
        <v>0</v>
      </c>
      <c r="N119">
        <f t="shared" si="69"/>
        <v>0</v>
      </c>
      <c r="O119">
        <f t="shared" si="80"/>
        <v>0</v>
      </c>
      <c r="P119">
        <f t="shared" si="81"/>
        <v>0</v>
      </c>
      <c r="Q119" t="e">
        <f t="shared" si="82"/>
        <v>#N/A</v>
      </c>
      <c r="R119" t="e">
        <f t="shared" si="83"/>
        <v>#N/A</v>
      </c>
      <c r="T119" t="e">
        <f t="shared" si="84"/>
        <v>#N/A</v>
      </c>
      <c r="U119" t="e">
        <f t="shared" si="85"/>
        <v>#N/A</v>
      </c>
      <c r="W119" s="4" t="e">
        <f t="shared" si="86"/>
        <v>#N/A</v>
      </c>
      <c r="X119" s="4" t="e">
        <f t="shared" si="87"/>
        <v>#N/A</v>
      </c>
      <c r="Y119">
        <f t="shared" si="70"/>
        <v>0</v>
      </c>
      <c r="AB119" t="str">
        <f t="shared" si="71"/>
        <v/>
      </c>
    </row>
    <row r="120" spans="1:28" x14ac:dyDescent="0.25">
      <c r="A120">
        <f t="shared" ref="A120:D120" si="97">A105</f>
        <v>11</v>
      </c>
      <c r="B120" s="1">
        <f t="shared" si="73"/>
        <v>9.8089553819235675</v>
      </c>
      <c r="C120" s="1">
        <f t="shared" si="74"/>
        <v>1.3358122306045388</v>
      </c>
      <c r="D120" t="str">
        <f t="shared" si="97"/>
        <v>n</v>
      </c>
      <c r="E120" s="4">
        <f t="shared" si="66"/>
        <v>0</v>
      </c>
      <c r="F120" s="1" t="e">
        <f t="shared" si="75"/>
        <v>#N/A</v>
      </c>
      <c r="G120" s="1" t="e">
        <f t="shared" si="76"/>
        <v>#N/A</v>
      </c>
      <c r="H120">
        <f t="shared" si="67"/>
        <v>0</v>
      </c>
      <c r="I120">
        <f t="shared" si="77"/>
        <v>0</v>
      </c>
      <c r="J120">
        <f t="shared" si="78"/>
        <v>0</v>
      </c>
      <c r="K120">
        <f t="shared" ca="1" si="89"/>
        <v>0</v>
      </c>
      <c r="L120">
        <f t="shared" ca="1" si="79"/>
        <v>0</v>
      </c>
      <c r="M120">
        <f t="shared" si="68"/>
        <v>0</v>
      </c>
      <c r="N120">
        <f t="shared" si="69"/>
        <v>0</v>
      </c>
      <c r="O120">
        <f t="shared" si="80"/>
        <v>0</v>
      </c>
      <c r="P120">
        <f t="shared" si="81"/>
        <v>0</v>
      </c>
      <c r="Q120" t="e">
        <f t="shared" si="82"/>
        <v>#N/A</v>
      </c>
      <c r="R120" t="e">
        <f t="shared" si="83"/>
        <v>#N/A</v>
      </c>
      <c r="T120" t="e">
        <f t="shared" si="84"/>
        <v>#N/A</v>
      </c>
      <c r="U120" t="e">
        <f t="shared" si="85"/>
        <v>#N/A</v>
      </c>
      <c r="W120" s="4" t="e">
        <f t="shared" si="86"/>
        <v>#N/A</v>
      </c>
      <c r="X120" s="4" t="e">
        <f t="shared" si="87"/>
        <v>#N/A</v>
      </c>
      <c r="Y120">
        <f t="shared" si="70"/>
        <v>0</v>
      </c>
      <c r="AB120" t="str">
        <f t="shared" si="71"/>
        <v/>
      </c>
    </row>
    <row r="121" spans="1:28" ht="15.75" thickBot="1" x14ac:dyDescent="0.3">
      <c r="A121">
        <f t="shared" ref="A121:D121" si="98">A106</f>
        <v>12</v>
      </c>
      <c r="B121" s="1">
        <f t="shared" si="73"/>
        <v>9.8089553819235675</v>
      </c>
      <c r="C121" s="1">
        <f t="shared" si="74"/>
        <v>1.3358122306045388</v>
      </c>
      <c r="D121" t="str">
        <f t="shared" si="98"/>
        <v>n</v>
      </c>
      <c r="E121" s="4">
        <f t="shared" si="66"/>
        <v>0</v>
      </c>
      <c r="F121" s="1" t="e">
        <f t="shared" si="75"/>
        <v>#N/A</v>
      </c>
      <c r="G121" s="1" t="e">
        <f t="shared" si="76"/>
        <v>#N/A</v>
      </c>
      <c r="H121" s="23">
        <f t="shared" si="67"/>
        <v>0</v>
      </c>
      <c r="I121" s="23">
        <f t="shared" si="77"/>
        <v>0</v>
      </c>
      <c r="J121" s="23">
        <f t="shared" si="78"/>
        <v>0</v>
      </c>
      <c r="K121">
        <f t="shared" ca="1" si="89"/>
        <v>0</v>
      </c>
      <c r="L121">
        <f t="shared" ca="1" si="79"/>
        <v>0</v>
      </c>
      <c r="M121">
        <f t="shared" si="68"/>
        <v>0</v>
      </c>
      <c r="N121" s="23">
        <f t="shared" si="69"/>
        <v>0</v>
      </c>
      <c r="O121" s="23">
        <f t="shared" si="80"/>
        <v>0</v>
      </c>
      <c r="P121" s="23">
        <f t="shared" si="81"/>
        <v>0</v>
      </c>
      <c r="Q121" t="e">
        <f t="shared" si="82"/>
        <v>#N/A</v>
      </c>
      <c r="R121" t="e">
        <f t="shared" si="83"/>
        <v>#N/A</v>
      </c>
      <c r="T121" t="e">
        <f t="shared" si="84"/>
        <v>#N/A</v>
      </c>
      <c r="U121" t="e">
        <f t="shared" si="85"/>
        <v>#N/A</v>
      </c>
      <c r="W121" s="4" t="e">
        <f t="shared" si="86"/>
        <v>#N/A</v>
      </c>
      <c r="X121" s="4" t="e">
        <f t="shared" si="87"/>
        <v>#N/A</v>
      </c>
      <c r="Y121">
        <f t="shared" si="70"/>
        <v>0</v>
      </c>
      <c r="AB121" t="str">
        <f t="shared" si="71"/>
        <v/>
      </c>
    </row>
    <row r="122" spans="1:28" ht="15.75" thickTop="1" x14ac:dyDescent="0.25">
      <c r="D122" s="10" t="s">
        <v>44</v>
      </c>
      <c r="E122" s="4">
        <f>MAX(E110:E121)</f>
        <v>9.3578508882353084</v>
      </c>
      <c r="H122">
        <f>SUM(H110:H121)</f>
        <v>-179.03360091801306</v>
      </c>
      <c r="I122">
        <f t="shared" ref="I122:J122" si="99">SUM(I110:I121)</f>
        <v>464.87194892076593</v>
      </c>
      <c r="J122">
        <f t="shared" si="99"/>
        <v>140.89693799594772</v>
      </c>
      <c r="L122">
        <f ca="1">MIN(L110:L121)</f>
        <v>-5.4191049390831187E-3</v>
      </c>
      <c r="M122">
        <f>MIN(M110:M121)</f>
        <v>-5.4191049390831178E-3</v>
      </c>
      <c r="N122">
        <f>SUM(N110:N121)</f>
        <v>2.2660526107260983</v>
      </c>
      <c r="O122">
        <f>SUM(O110:O121)</f>
        <v>12.70149082954498</v>
      </c>
      <c r="P122">
        <f>SUM(P110:P121)</f>
        <v>1.7297261672007251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3.7527335271361277</v>
      </c>
      <c r="F125" s="1" t="s">
        <v>27</v>
      </c>
      <c r="G125" s="1" t="s">
        <v>28</v>
      </c>
    </row>
    <row r="126" spans="1:28" x14ac:dyDescent="0.25">
      <c r="F126" s="4">
        <f>MIN(B84:B92)-1</f>
        <v>-10.808955381923568</v>
      </c>
      <c r="G126" s="4">
        <f>B125</f>
        <v>3.7527335271361277</v>
      </c>
      <c r="I126">
        <f>IF(OR($G$126&gt;MAX($C$84:$C$92)+5,$G$126&lt;MIN($C$84:$C$92)-5),NA(),F126)</f>
        <v>-10.808955381923568</v>
      </c>
      <c r="J126">
        <f>IF(OR($G$126&gt;MAX($C$84:$C$92)+5,$G$126&lt;MIN($C$84:$C$92)-5),NA(),G126)</f>
        <v>3.7527335271361277</v>
      </c>
    </row>
    <row r="127" spans="1:28" x14ac:dyDescent="0.25">
      <c r="F127" s="4">
        <f>MAX(B84:B92)+1</f>
        <v>10.808955381923568</v>
      </c>
      <c r="G127" s="4">
        <f>G126</f>
        <v>3.7527335271361277</v>
      </c>
      <c r="I127">
        <f>IF(OR($G$126&gt;MAX($C$84:$C$92)+5,$G$126&lt;MIN($C$84:$C$92)-5),NA(),F127)</f>
        <v>10.808955381923568</v>
      </c>
      <c r="J127">
        <f>IF(OR($G$126&gt;MAX($C$84:$C$92)+5,$G$126&lt;MIN($C$84:$C$92)-5),NA(),G127)</f>
        <v>3.7527335271361277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9.8089553819235675</v>
      </c>
      <c r="C132" s="4">
        <f>C84</f>
        <v>1.3358122306045388</v>
      </c>
      <c r="D132" s="4">
        <f t="shared" ref="D132:E139" si="100">B85</f>
        <v>-1.3358122306045388</v>
      </c>
      <c r="E132" s="4">
        <f t="shared" si="100"/>
        <v>9.8089553819235675</v>
      </c>
      <c r="F132" s="4">
        <f t="shared" ref="F132:F139" si="101">($B$66/$B$65)*(C132-$B$125)</f>
        <v>-5.7024947517090787</v>
      </c>
      <c r="G132" s="4">
        <f t="shared" ref="G132:G139" si="102">($B$66/$B$65)*(E132-$B$125)</f>
        <v>14.289076517167352</v>
      </c>
      <c r="H132" s="4">
        <f>IF(B132=D132,"V",(C132-E132)/(B132-D132))</f>
        <v>-0.76027993098700064</v>
      </c>
      <c r="I132" s="4">
        <f>IF(H132="V",0,(-1*B132*H132)+C132)</f>
        <v>8.7933641514279568</v>
      </c>
      <c r="J132" s="4">
        <f>IF($F132&gt;=0,B132,IF(AND($F132&lt;0,$G132&gt;=0),IF(H132="V",B132,($B$125-I132)/H132),0))</f>
        <v>6.629966698907924</v>
      </c>
      <c r="K132" s="4">
        <f>IF($F132&gt;=0,C132,IF(AND($F132&lt;0,$G132&gt;=0),$B$125,0))</f>
        <v>3.7527335271361277</v>
      </c>
      <c r="L132" s="4">
        <f>IF($G132&gt;=0,D132,IF(AND($G132&lt;0,$F132&gt;=0),IF(H132="V",D132,($B$125-I132)/H132),0))</f>
        <v>-1.3358122306045388</v>
      </c>
      <c r="M132" s="4">
        <f>IF($G132&gt;=0,E132,IF(AND($G132&lt;0,$F132&gt;=0),$B$125,0))</f>
        <v>9.8089553819235675</v>
      </c>
      <c r="N132" s="4">
        <f>IF(F132&lt;0,0,F132)</f>
        <v>0</v>
      </c>
      <c r="O132" s="4">
        <f>IF(G132&lt;0,0,G132)</f>
        <v>14.289076517167352</v>
      </c>
      <c r="P132" s="4">
        <f>(1/6)*(M132-K132)*((N132*((2*J132)+L132))+(O132*(J132+(2*L132))))</f>
        <v>57.091049686836648</v>
      </c>
      <c r="Q132" s="4">
        <f>((1/12)*(M132-K132)*(N132*J132*((3*K132)+M132)+N132*L132*(K132+M132)+O132*J132*(K132+M132)+O132*L132*(K132+(3*M132))))</f>
        <v>328.78479438118592</v>
      </c>
      <c r="R132" s="4">
        <f>((-1/24)*(M132-K132)*(J132*J132*((3*N132)+O132)+2*J132*L132*(N132+O132)+L132*L132*(N132+(3*O132))))</f>
        <v>-113.93013825679809</v>
      </c>
      <c r="U132">
        <f>IF(AND(J132=0,K132=0,L132=0,M132=0),NA(),J132)</f>
        <v>6.629966698907924</v>
      </c>
      <c r="V132">
        <f>IF(AND(J132=0,K132=0,L132=0,M132=0),NA(),K132)</f>
        <v>3.7527335271361277</v>
      </c>
      <c r="W132" s="9" t="str">
        <f>IF(AND(J132=0,K132=0,L132=0,M132=0),"",ROUND(N132,4)&amp;" ksi")</f>
        <v>0 ksi</v>
      </c>
      <c r="X132">
        <f>(U132*COS(-1*$B$64))+(V132*SIN(-1*$B$64))</f>
        <v>-3.0065706967107237</v>
      </c>
      <c r="Y132">
        <f>(-1*U132*SIN(-1*$B$64))+(V132*COS(-1*$B$64))</f>
        <v>-7</v>
      </c>
      <c r="AA132" s="4">
        <f>X132+$B$9</f>
        <v>3.9934293032892763</v>
      </c>
      <c r="AB132" s="4">
        <f>Y132+$C$9</f>
        <v>0</v>
      </c>
      <c r="AD132">
        <f>IF(AND(J132=0,K132=0,L132=0,M132=0),NA(),L132)</f>
        <v>-1.3358122306045388</v>
      </c>
      <c r="AE132">
        <f>IF(AND(J132=0,K132=0,L132=0,M132=0),NA(),M132)</f>
        <v>9.8089553819235675</v>
      </c>
      <c r="AF132" s="9" t="str">
        <f>IF(AND(J132=0,K132=0,L132=0,M132=0),"",ROUND(O132,4)&amp;" ksi")</f>
        <v>14.2891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3">D132</f>
        <v>-1.3358122306045388</v>
      </c>
      <c r="C133" s="4">
        <f t="shared" si="103"/>
        <v>9.8089553819235675</v>
      </c>
      <c r="D133" s="4">
        <f t="shared" si="100"/>
        <v>-9.8089553819235675</v>
      </c>
      <c r="E133" s="4">
        <f t="shared" si="100"/>
        <v>-1.3358122306045388</v>
      </c>
      <c r="F133" s="4">
        <f t="shared" si="101"/>
        <v>14.289076517167352</v>
      </c>
      <c r="G133" s="4">
        <f t="shared" si="102"/>
        <v>-12.005937271929033</v>
      </c>
      <c r="H133" s="4">
        <f t="shared" ref="H133:H139" si="104">IF(B133=D133,"V",(C133-E133)/(B133-D133))</f>
        <v>1.315305007067322</v>
      </c>
      <c r="I133" s="4">
        <f t="shared" ref="I133:I139" si="105">IF(H133="V",0,(-1*B133*H133)+C133)</f>
        <v>11.565955897339485</v>
      </c>
      <c r="J133" s="4">
        <f t="shared" ref="J133:J139" si="106">IF($F133&gt;=0,B133,IF(AND($F133&lt;0,$G133&gt;=0),IF(H133="V",B133,($B$125-I133)/H133),0))</f>
        <v>-1.3358122306045388</v>
      </c>
      <c r="K133" s="4">
        <f t="shared" ref="K133:K139" si="107">IF($F133&gt;=0,C133,IF(AND($F133&lt;0,$G133&gt;=0),$B$125,0))</f>
        <v>9.8089553819235675</v>
      </c>
      <c r="L133" s="4">
        <f t="shared" ref="L133:L139" si="108">IF($G133&gt;=0,D133,IF(AND($G133&lt;0,$F133&gt;=0),IF(H133="V",D133,($B$125-I133)/H133),0))</f>
        <v>-5.9402361644042987</v>
      </c>
      <c r="M133" s="4">
        <f t="shared" ref="M133:M139" si="109">IF($G133&gt;=0,E133,IF(AND($G133&lt;0,$F133&gt;=0),$B$125,0))</f>
        <v>3.7527335271361277</v>
      </c>
      <c r="N133" s="4">
        <f t="shared" ref="N133:N139" si="110">IF(F133&lt;0,0,F133)</f>
        <v>14.289076517167352</v>
      </c>
      <c r="O133" s="4">
        <f t="shared" ref="O133:O139" si="111">IF(G133&lt;0,0,G133)</f>
        <v>0</v>
      </c>
      <c r="P133" s="4">
        <f t="shared" ref="P133:P139" si="112">(1/6)*(M133-K133)*((N133*((2*J133)+L133))+(O133*(J133+(2*L133))))</f>
        <v>124.20860384190239</v>
      </c>
      <c r="Q133" s="4">
        <f t="shared" ref="Q133:Q139" si="113">((1/12)*(M133-K133)*(N133*J133*((3*K133)+M133)+N133*L133*(K133+M133)+O133*J133*(K133+M133)+O133*L133*(K133+(3*M133))))</f>
        <v>900.57995585734693</v>
      </c>
      <c r="R133" s="4">
        <f t="shared" ref="R133:R139" si="114">((-1/24)*(M133-K133)*(J133*J133*((3*N133)+O133)+2*J133*L133*(N133+O133)+L133*L133*(N133+(3*O133))))</f>
        <v>203.75930881740078</v>
      </c>
      <c r="U133">
        <f t="shared" ref="U133:U153" si="115">IF(AND(J133=0,K133=0,L133=0,M133=0),NA(),J133)</f>
        <v>-1.3358122306045388</v>
      </c>
      <c r="V133">
        <f t="shared" ref="V133:V153" si="116">IF(AND(J133=0,K133=0,L133=0,M133=0),NA(),K133)</f>
        <v>9.8089553819235675</v>
      </c>
      <c r="W133" s="9" t="str">
        <f t="shared" ref="W133:W144" si="117">IF(AND(J133=0,K133=0,L133=0,M133=0),"",ROUND(N133,4)&amp;" ksi")</f>
        <v>14.2891 ksi</v>
      </c>
      <c r="X133">
        <f t="shared" ref="X133:X139" si="118">(U133*COS(-1*$B$64))+(V133*SIN(-1*$B$64))</f>
        <v>7</v>
      </c>
      <c r="Y133">
        <f t="shared" ref="Y133:Y139" si="119">(-1*U133*SIN(-1*$B$64))+(V133*COS(-1*$B$64))</f>
        <v>-7</v>
      </c>
      <c r="AA133" s="4">
        <f t="shared" ref="AA133:AA139" si="120">X133+$B$9</f>
        <v>14</v>
      </c>
      <c r="AB133" s="4">
        <f t="shared" ref="AB133:AB139" si="121">Y133+$C$9</f>
        <v>0</v>
      </c>
      <c r="AD133">
        <f t="shared" ref="AD133:AD139" si="122">IF(AND(J133=0,K133=0,L133=0,M133=0),NA(),L133)</f>
        <v>-5.9402361644042987</v>
      </c>
      <c r="AE133">
        <f t="shared" ref="AE133:AE139" si="123">IF(AND(J133=0,K133=0,L133=0,M133=0),NA(),M133)</f>
        <v>3.7527335271361277</v>
      </c>
      <c r="AF133" s="9" t="str">
        <f t="shared" ref="AF133:AF139" si="124">IF(AND(J133=0,K133=0,L133=0,M133=0),"",ROUND(O133,4)&amp;" ksi")</f>
        <v>0 ksi</v>
      </c>
      <c r="AG133">
        <f t="shared" ref="AG133:AG139" si="125">IF(COUNTIF($U$132:$U$139,AD133)&gt;0,NA(),AD133)</f>
        <v>-5.9402361644042987</v>
      </c>
      <c r="AH133">
        <f t="shared" ref="AH133:AH139" si="126">IF(AND(COUNTIF($V$132:$V$139,AE133)&gt;0,AF133&lt;&gt;"0 ksi"),NA(),AE133)</f>
        <v>3.7527335271361277</v>
      </c>
      <c r="AI133" t="str">
        <f t="shared" ref="AI133:AI139" si="127">IF(COUNTIF($U$132:$U$139,AD133)&gt;0,"",AF133)</f>
        <v>0 ksi</v>
      </c>
      <c r="AJ133">
        <f t="shared" ref="AJ133:AJ139" si="128">(AG133*COS(-1*$B$64))+(AH133*SIN(-1*$B$64))</f>
        <v>7</v>
      </c>
      <c r="AK133">
        <f t="shared" ref="AK133:AK139" si="129">(-1*AG133*SIN(-1*$B$64))+(AH133*COS(-1*$B$64))</f>
        <v>0.6077948787117724</v>
      </c>
      <c r="AM133" s="4">
        <f t="shared" ref="AM133:AM139" si="130">AJ133+$B$9</f>
        <v>14</v>
      </c>
      <c r="AN133" s="4">
        <f t="shared" ref="AN133:AN139" si="131">AK133+$C$9</f>
        <v>7.607794878711772</v>
      </c>
    </row>
    <row r="134" spans="1:40" x14ac:dyDescent="0.25">
      <c r="A134" t="s">
        <v>71</v>
      </c>
      <c r="B134" s="4">
        <f t="shared" si="103"/>
        <v>-9.8089553819235675</v>
      </c>
      <c r="C134" s="4">
        <f t="shared" si="103"/>
        <v>-1.3358122306045388</v>
      </c>
      <c r="D134" s="4">
        <f t="shared" si="100"/>
        <v>1.3358122306045388</v>
      </c>
      <c r="E134" s="4">
        <f t="shared" si="100"/>
        <v>-9.8089553819235675</v>
      </c>
      <c r="F134" s="4">
        <f t="shared" si="101"/>
        <v>-12.005937271929033</v>
      </c>
      <c r="G134" s="4">
        <f t="shared" si="102"/>
        <v>-31.997508540805466</v>
      </c>
      <c r="H134" s="4">
        <f t="shared" si="104"/>
        <v>-0.76027993098700064</v>
      </c>
      <c r="I134" s="4">
        <f t="shared" si="105"/>
        <v>-8.7933641514279568</v>
      </c>
      <c r="J134" s="4">
        <f t="shared" si="106"/>
        <v>0</v>
      </c>
      <c r="K134" s="4">
        <f t="shared" si="107"/>
        <v>0</v>
      </c>
      <c r="L134" s="4">
        <f t="shared" si="108"/>
        <v>0</v>
      </c>
      <c r="M134" s="4">
        <f t="shared" si="109"/>
        <v>0</v>
      </c>
      <c r="N134" s="4">
        <f t="shared" si="110"/>
        <v>0</v>
      </c>
      <c r="O134" s="4">
        <f t="shared" si="111"/>
        <v>0</v>
      </c>
      <c r="P134" s="4">
        <f t="shared" si="112"/>
        <v>0</v>
      </c>
      <c r="Q134" s="4">
        <f t="shared" si="113"/>
        <v>0</v>
      </c>
      <c r="R134" s="4">
        <f t="shared" si="114"/>
        <v>0</v>
      </c>
      <c r="U134" t="e">
        <f t="shared" si="115"/>
        <v>#N/A</v>
      </c>
      <c r="V134" t="e">
        <f t="shared" si="116"/>
        <v>#N/A</v>
      </c>
      <c r="W134" s="9" t="str">
        <f t="shared" si="117"/>
        <v/>
      </c>
      <c r="X134" t="e">
        <f t="shared" si="118"/>
        <v>#N/A</v>
      </c>
      <c r="Y134" t="e">
        <f t="shared" si="119"/>
        <v>#N/A</v>
      </c>
      <c r="AA134" s="4" t="e">
        <f t="shared" si="120"/>
        <v>#N/A</v>
      </c>
      <c r="AB134" s="4" t="e">
        <f t="shared" si="121"/>
        <v>#N/A</v>
      </c>
      <c r="AD134" t="e">
        <f t="shared" si="122"/>
        <v>#N/A</v>
      </c>
      <c r="AE134" t="e">
        <f t="shared" si="123"/>
        <v>#N/A</v>
      </c>
      <c r="AF134" s="9" t="str">
        <f t="shared" si="124"/>
        <v/>
      </c>
      <c r="AG134" t="e">
        <f t="shared" si="125"/>
        <v>#N/A</v>
      </c>
      <c r="AH134" t="e">
        <f t="shared" si="126"/>
        <v>#N/A</v>
      </c>
      <c r="AI134" t="str">
        <f t="shared" si="127"/>
        <v/>
      </c>
      <c r="AJ134" t="e">
        <f t="shared" si="128"/>
        <v>#N/A</v>
      </c>
      <c r="AK134" t="e">
        <f t="shared" si="129"/>
        <v>#N/A</v>
      </c>
      <c r="AM134" s="4" t="e">
        <f t="shared" si="130"/>
        <v>#N/A</v>
      </c>
      <c r="AN134" s="4" t="e">
        <f t="shared" si="131"/>
        <v>#N/A</v>
      </c>
    </row>
    <row r="135" spans="1:40" x14ac:dyDescent="0.25">
      <c r="A135" t="s">
        <v>72</v>
      </c>
      <c r="B135" s="4">
        <f t="shared" si="103"/>
        <v>1.3358122306045388</v>
      </c>
      <c r="C135" s="4">
        <f t="shared" si="103"/>
        <v>-9.8089553819235675</v>
      </c>
      <c r="D135" s="4">
        <f t="shared" si="100"/>
        <v>9.8089553819235675</v>
      </c>
      <c r="E135" s="4">
        <f t="shared" si="100"/>
        <v>1.3358122306045388</v>
      </c>
      <c r="F135" s="4">
        <f t="shared" si="101"/>
        <v>-31.997508540805466</v>
      </c>
      <c r="G135" s="4">
        <f t="shared" si="102"/>
        <v>-5.7024947517090787</v>
      </c>
      <c r="H135" s="4">
        <f t="shared" si="104"/>
        <v>1.315305007067322</v>
      </c>
      <c r="I135" s="4">
        <f t="shared" si="105"/>
        <v>-11.565955897339485</v>
      </c>
      <c r="J135" s="4">
        <f t="shared" si="106"/>
        <v>0</v>
      </c>
      <c r="K135" s="4">
        <f t="shared" si="107"/>
        <v>0</v>
      </c>
      <c r="L135" s="4">
        <f t="shared" si="108"/>
        <v>0</v>
      </c>
      <c r="M135" s="4">
        <f t="shared" si="109"/>
        <v>0</v>
      </c>
      <c r="N135" s="4">
        <f t="shared" si="110"/>
        <v>0</v>
      </c>
      <c r="O135" s="4">
        <f t="shared" si="111"/>
        <v>0</v>
      </c>
      <c r="P135" s="4">
        <f t="shared" si="112"/>
        <v>0</v>
      </c>
      <c r="Q135" s="4">
        <f t="shared" si="113"/>
        <v>0</v>
      </c>
      <c r="R135" s="4">
        <f t="shared" si="114"/>
        <v>0</v>
      </c>
      <c r="U135" t="e">
        <f t="shared" si="115"/>
        <v>#N/A</v>
      </c>
      <c r="V135" t="e">
        <f t="shared" si="116"/>
        <v>#N/A</v>
      </c>
      <c r="W135" s="9" t="str">
        <f t="shared" si="117"/>
        <v/>
      </c>
      <c r="X135" t="e">
        <f t="shared" si="118"/>
        <v>#N/A</v>
      </c>
      <c r="Y135" t="e">
        <f t="shared" si="119"/>
        <v>#N/A</v>
      </c>
      <c r="AA135" s="4" t="e">
        <f t="shared" si="120"/>
        <v>#N/A</v>
      </c>
      <c r="AB135" s="4" t="e">
        <f t="shared" si="121"/>
        <v>#N/A</v>
      </c>
      <c r="AD135" t="e">
        <f t="shared" si="122"/>
        <v>#N/A</v>
      </c>
      <c r="AE135" t="e">
        <f t="shared" si="123"/>
        <v>#N/A</v>
      </c>
      <c r="AF135" s="9" t="str">
        <f t="shared" si="124"/>
        <v/>
      </c>
      <c r="AG135" t="e">
        <f t="shared" si="125"/>
        <v>#N/A</v>
      </c>
      <c r="AH135" t="e">
        <f t="shared" si="126"/>
        <v>#N/A</v>
      </c>
      <c r="AI135" t="str">
        <f t="shared" si="127"/>
        <v/>
      </c>
      <c r="AJ135" t="e">
        <f t="shared" si="128"/>
        <v>#N/A</v>
      </c>
      <c r="AK135" t="e">
        <f t="shared" si="129"/>
        <v>#N/A</v>
      </c>
      <c r="AM135" s="4" t="e">
        <f t="shared" si="130"/>
        <v>#N/A</v>
      </c>
      <c r="AN135" s="4" t="e">
        <f t="shared" si="131"/>
        <v>#N/A</v>
      </c>
    </row>
    <row r="136" spans="1:40" x14ac:dyDescent="0.25">
      <c r="A136" t="s">
        <v>73</v>
      </c>
      <c r="B136" s="4">
        <f t="shared" si="103"/>
        <v>9.8089553819235675</v>
      </c>
      <c r="C136" s="4">
        <f t="shared" si="103"/>
        <v>1.3358122306045388</v>
      </c>
      <c r="D136" s="4">
        <f t="shared" si="100"/>
        <v>9.8089553819235675</v>
      </c>
      <c r="E136" s="4">
        <f t="shared" si="100"/>
        <v>1.3358122306045388</v>
      </c>
      <c r="F136" s="4">
        <f t="shared" si="101"/>
        <v>-5.7024947517090787</v>
      </c>
      <c r="G136" s="4">
        <f t="shared" si="102"/>
        <v>-5.7024947517090787</v>
      </c>
      <c r="H136" s="4" t="str">
        <f t="shared" si="104"/>
        <v>V</v>
      </c>
      <c r="I136" s="4">
        <f t="shared" si="105"/>
        <v>0</v>
      </c>
      <c r="J136" s="4">
        <f t="shared" si="106"/>
        <v>0</v>
      </c>
      <c r="K136" s="4">
        <f t="shared" si="107"/>
        <v>0</v>
      </c>
      <c r="L136" s="4">
        <f t="shared" si="108"/>
        <v>0</v>
      </c>
      <c r="M136" s="4">
        <f t="shared" si="109"/>
        <v>0</v>
      </c>
      <c r="N136" s="4">
        <f t="shared" si="110"/>
        <v>0</v>
      </c>
      <c r="O136" s="4">
        <f t="shared" si="111"/>
        <v>0</v>
      </c>
      <c r="P136" s="4">
        <f t="shared" si="112"/>
        <v>0</v>
      </c>
      <c r="Q136" s="4">
        <f t="shared" si="113"/>
        <v>0</v>
      </c>
      <c r="R136" s="4">
        <f t="shared" si="114"/>
        <v>0</v>
      </c>
      <c r="U136" t="e">
        <f t="shared" si="115"/>
        <v>#N/A</v>
      </c>
      <c r="V136" t="e">
        <f t="shared" si="116"/>
        <v>#N/A</v>
      </c>
      <c r="W136" s="9" t="str">
        <f t="shared" si="117"/>
        <v/>
      </c>
      <c r="X136" t="e">
        <f t="shared" si="118"/>
        <v>#N/A</v>
      </c>
      <c r="Y136" t="e">
        <f t="shared" si="119"/>
        <v>#N/A</v>
      </c>
      <c r="AA136" s="4" t="e">
        <f t="shared" si="120"/>
        <v>#N/A</v>
      </c>
      <c r="AB136" s="4" t="e">
        <f t="shared" si="121"/>
        <v>#N/A</v>
      </c>
      <c r="AD136" t="e">
        <f t="shared" si="122"/>
        <v>#N/A</v>
      </c>
      <c r="AE136" t="e">
        <f t="shared" si="123"/>
        <v>#N/A</v>
      </c>
      <c r="AF136" s="9" t="str">
        <f t="shared" si="124"/>
        <v/>
      </c>
      <c r="AG136" t="e">
        <f t="shared" si="125"/>
        <v>#N/A</v>
      </c>
      <c r="AH136" t="e">
        <f t="shared" si="126"/>
        <v>#N/A</v>
      </c>
      <c r="AI136" t="str">
        <f t="shared" si="127"/>
        <v/>
      </c>
      <c r="AJ136" t="e">
        <f t="shared" si="128"/>
        <v>#N/A</v>
      </c>
      <c r="AK136" t="e">
        <f t="shared" si="129"/>
        <v>#N/A</v>
      </c>
      <c r="AM136" s="4" t="e">
        <f t="shared" si="130"/>
        <v>#N/A</v>
      </c>
      <c r="AN136" s="4" t="e">
        <f t="shared" si="131"/>
        <v>#N/A</v>
      </c>
    </row>
    <row r="137" spans="1:40" x14ac:dyDescent="0.25">
      <c r="A137" t="s">
        <v>74</v>
      </c>
      <c r="B137" s="4">
        <f t="shared" si="103"/>
        <v>9.8089553819235675</v>
      </c>
      <c r="C137" s="4">
        <f t="shared" si="103"/>
        <v>1.3358122306045388</v>
      </c>
      <c r="D137" s="4">
        <f t="shared" si="100"/>
        <v>9.8089553819235675</v>
      </c>
      <c r="E137" s="4">
        <f t="shared" si="100"/>
        <v>1.3358122306045388</v>
      </c>
      <c r="F137" s="4">
        <f t="shared" si="101"/>
        <v>-5.7024947517090787</v>
      </c>
      <c r="G137" s="4">
        <f t="shared" si="102"/>
        <v>-5.7024947517090787</v>
      </c>
      <c r="H137" s="4" t="str">
        <f t="shared" si="104"/>
        <v>V</v>
      </c>
      <c r="I137" s="4">
        <f t="shared" si="105"/>
        <v>0</v>
      </c>
      <c r="J137" s="4">
        <f t="shared" si="106"/>
        <v>0</v>
      </c>
      <c r="K137" s="4">
        <f t="shared" si="107"/>
        <v>0</v>
      </c>
      <c r="L137" s="4">
        <f t="shared" si="108"/>
        <v>0</v>
      </c>
      <c r="M137" s="4">
        <f t="shared" si="109"/>
        <v>0</v>
      </c>
      <c r="N137" s="4">
        <f t="shared" si="110"/>
        <v>0</v>
      </c>
      <c r="O137" s="4">
        <f t="shared" si="111"/>
        <v>0</v>
      </c>
      <c r="P137" s="4">
        <f t="shared" si="112"/>
        <v>0</v>
      </c>
      <c r="Q137" s="4">
        <f t="shared" si="113"/>
        <v>0</v>
      </c>
      <c r="R137" s="4">
        <f t="shared" si="114"/>
        <v>0</v>
      </c>
      <c r="U137" t="e">
        <f t="shared" si="115"/>
        <v>#N/A</v>
      </c>
      <c r="V137" t="e">
        <f t="shared" si="116"/>
        <v>#N/A</v>
      </c>
      <c r="W137" s="9" t="str">
        <f t="shared" si="117"/>
        <v/>
      </c>
      <c r="X137" t="e">
        <f t="shared" si="118"/>
        <v>#N/A</v>
      </c>
      <c r="Y137" t="e">
        <f t="shared" si="119"/>
        <v>#N/A</v>
      </c>
      <c r="AA137" s="4" t="e">
        <f t="shared" si="120"/>
        <v>#N/A</v>
      </c>
      <c r="AB137" s="4" t="e">
        <f t="shared" si="121"/>
        <v>#N/A</v>
      </c>
      <c r="AD137" t="e">
        <f t="shared" si="122"/>
        <v>#N/A</v>
      </c>
      <c r="AE137" t="e">
        <f t="shared" si="123"/>
        <v>#N/A</v>
      </c>
      <c r="AF137" s="9" t="str">
        <f t="shared" si="124"/>
        <v/>
      </c>
      <c r="AG137" t="e">
        <f t="shared" si="125"/>
        <v>#N/A</v>
      </c>
      <c r="AH137" t="e">
        <f t="shared" si="126"/>
        <v>#N/A</v>
      </c>
      <c r="AI137" t="str">
        <f t="shared" si="127"/>
        <v/>
      </c>
      <c r="AJ137" t="e">
        <f t="shared" si="128"/>
        <v>#N/A</v>
      </c>
      <c r="AK137" t="e">
        <f t="shared" si="129"/>
        <v>#N/A</v>
      </c>
      <c r="AM137" s="4" t="e">
        <f t="shared" si="130"/>
        <v>#N/A</v>
      </c>
      <c r="AN137" s="4" t="e">
        <f t="shared" si="131"/>
        <v>#N/A</v>
      </c>
    </row>
    <row r="138" spans="1:40" x14ac:dyDescent="0.25">
      <c r="A138" t="s">
        <v>75</v>
      </c>
      <c r="B138" s="4">
        <f t="shared" si="103"/>
        <v>9.8089553819235675</v>
      </c>
      <c r="C138" s="4">
        <f t="shared" si="103"/>
        <v>1.3358122306045388</v>
      </c>
      <c r="D138" s="4">
        <f t="shared" si="100"/>
        <v>9.8089553819235675</v>
      </c>
      <c r="E138" s="4">
        <f t="shared" si="100"/>
        <v>1.3358122306045388</v>
      </c>
      <c r="F138" s="4">
        <f t="shared" si="101"/>
        <v>-5.7024947517090787</v>
      </c>
      <c r="G138" s="4">
        <f t="shared" si="102"/>
        <v>-5.7024947517090787</v>
      </c>
      <c r="H138" s="4" t="str">
        <f t="shared" si="104"/>
        <v>V</v>
      </c>
      <c r="I138" s="4">
        <f t="shared" si="105"/>
        <v>0</v>
      </c>
      <c r="J138" s="4">
        <f t="shared" si="106"/>
        <v>0</v>
      </c>
      <c r="K138" s="4">
        <f t="shared" si="107"/>
        <v>0</v>
      </c>
      <c r="L138" s="4">
        <f t="shared" si="108"/>
        <v>0</v>
      </c>
      <c r="M138" s="4">
        <f t="shared" si="109"/>
        <v>0</v>
      </c>
      <c r="N138" s="4">
        <f t="shared" si="110"/>
        <v>0</v>
      </c>
      <c r="O138" s="4">
        <f t="shared" si="111"/>
        <v>0</v>
      </c>
      <c r="P138" s="30">
        <f t="shared" si="112"/>
        <v>0</v>
      </c>
      <c r="Q138" s="30">
        <f t="shared" si="113"/>
        <v>0</v>
      </c>
      <c r="R138" s="30">
        <f t="shared" si="114"/>
        <v>0</v>
      </c>
      <c r="U138" t="e">
        <f t="shared" si="115"/>
        <v>#N/A</v>
      </c>
      <c r="V138" t="e">
        <f t="shared" si="116"/>
        <v>#N/A</v>
      </c>
      <c r="W138" s="9" t="str">
        <f t="shared" si="117"/>
        <v/>
      </c>
      <c r="X138" t="e">
        <f t="shared" si="118"/>
        <v>#N/A</v>
      </c>
      <c r="Y138" t="e">
        <f t="shared" si="119"/>
        <v>#N/A</v>
      </c>
      <c r="AA138" s="4" t="e">
        <f t="shared" si="120"/>
        <v>#N/A</v>
      </c>
      <c r="AB138" s="4" t="e">
        <f t="shared" si="121"/>
        <v>#N/A</v>
      </c>
      <c r="AD138" t="e">
        <f t="shared" si="122"/>
        <v>#N/A</v>
      </c>
      <c r="AE138" t="e">
        <f t="shared" si="123"/>
        <v>#N/A</v>
      </c>
      <c r="AF138" s="9" t="str">
        <f t="shared" si="124"/>
        <v/>
      </c>
      <c r="AG138" t="e">
        <f t="shared" si="125"/>
        <v>#N/A</v>
      </c>
      <c r="AH138" t="e">
        <f t="shared" si="126"/>
        <v>#N/A</v>
      </c>
      <c r="AI138" t="str">
        <f t="shared" si="127"/>
        <v/>
      </c>
      <c r="AJ138" t="e">
        <f t="shared" si="128"/>
        <v>#N/A</v>
      </c>
      <c r="AK138" t="e">
        <f t="shared" si="129"/>
        <v>#N/A</v>
      </c>
      <c r="AM138" s="4" t="e">
        <f t="shared" si="130"/>
        <v>#N/A</v>
      </c>
      <c r="AN138" s="4" t="e">
        <f t="shared" si="131"/>
        <v>#N/A</v>
      </c>
    </row>
    <row r="139" spans="1:40" ht="15.75" thickBot="1" x14ac:dyDescent="0.3">
      <c r="A139" t="s">
        <v>134</v>
      </c>
      <c r="B139" s="4">
        <f>D138</f>
        <v>9.8089553819235675</v>
      </c>
      <c r="C139" s="4">
        <f>E138</f>
        <v>1.3358122306045388</v>
      </c>
      <c r="D139" s="4">
        <f t="shared" si="100"/>
        <v>9.8089553819235675</v>
      </c>
      <c r="E139" s="4">
        <f t="shared" si="100"/>
        <v>1.3358122306045388</v>
      </c>
      <c r="F139" s="4">
        <f t="shared" si="101"/>
        <v>-5.7024947517090787</v>
      </c>
      <c r="G139" s="4">
        <f t="shared" si="102"/>
        <v>-5.7024947517090787</v>
      </c>
      <c r="H139" s="4" t="str">
        <f t="shared" si="104"/>
        <v>V</v>
      </c>
      <c r="I139" s="4">
        <f t="shared" si="105"/>
        <v>0</v>
      </c>
      <c r="J139" s="4">
        <f t="shared" si="106"/>
        <v>0</v>
      </c>
      <c r="K139" s="4">
        <f t="shared" si="107"/>
        <v>0</v>
      </c>
      <c r="L139" s="4">
        <f t="shared" si="108"/>
        <v>0</v>
      </c>
      <c r="M139" s="4">
        <f t="shared" si="109"/>
        <v>0</v>
      </c>
      <c r="N139" s="4">
        <f t="shared" si="110"/>
        <v>0</v>
      </c>
      <c r="O139" s="4">
        <f t="shared" si="111"/>
        <v>0</v>
      </c>
      <c r="P139" s="31">
        <f t="shared" si="112"/>
        <v>0</v>
      </c>
      <c r="Q139" s="31">
        <f t="shared" si="113"/>
        <v>0</v>
      </c>
      <c r="R139" s="31">
        <f t="shared" si="114"/>
        <v>0</v>
      </c>
      <c r="U139" t="e">
        <f t="shared" si="115"/>
        <v>#N/A</v>
      </c>
      <c r="V139" t="e">
        <f t="shared" si="116"/>
        <v>#N/A</v>
      </c>
      <c r="W139" s="9" t="str">
        <f t="shared" si="117"/>
        <v/>
      </c>
      <c r="X139" t="e">
        <f t="shared" si="118"/>
        <v>#N/A</v>
      </c>
      <c r="Y139" t="e">
        <f t="shared" si="119"/>
        <v>#N/A</v>
      </c>
      <c r="AA139" s="4" t="e">
        <f t="shared" si="120"/>
        <v>#N/A</v>
      </c>
      <c r="AB139" s="4" t="e">
        <f t="shared" si="121"/>
        <v>#N/A</v>
      </c>
      <c r="AD139" t="e">
        <f t="shared" si="122"/>
        <v>#N/A</v>
      </c>
      <c r="AE139" t="e">
        <f t="shared" si="123"/>
        <v>#N/A</v>
      </c>
      <c r="AF139" s="9" t="str">
        <f t="shared" si="124"/>
        <v/>
      </c>
      <c r="AG139" t="e">
        <f t="shared" si="125"/>
        <v>#N/A</v>
      </c>
      <c r="AH139" t="e">
        <f t="shared" si="126"/>
        <v>#N/A</v>
      </c>
      <c r="AI139" t="str">
        <f t="shared" si="127"/>
        <v/>
      </c>
      <c r="AJ139" t="e">
        <f t="shared" si="128"/>
        <v>#N/A</v>
      </c>
      <c r="AK139" t="e">
        <f t="shared" si="129"/>
        <v>#N/A</v>
      </c>
      <c r="AM139" s="4" t="e">
        <f t="shared" si="130"/>
        <v>#N/A</v>
      </c>
      <c r="AN139" s="4" t="e">
        <f t="shared" si="131"/>
        <v>#N/A</v>
      </c>
    </row>
    <row r="140" spans="1:40" ht="15.75" thickTop="1" x14ac:dyDescent="0.25">
      <c r="P140" s="4">
        <f>SUM(P132:P139)</f>
        <v>181.29965352873904</v>
      </c>
      <c r="Q140" s="4">
        <f>SUM(Q132:Q139)</f>
        <v>1229.3647502385329</v>
      </c>
      <c r="R140" s="4">
        <f>SUM(R132:R139)</f>
        <v>89.829170560602691</v>
      </c>
      <c r="T140" t="str">
        <f>ROUND(P140,4)&amp;" kips"</f>
        <v>181.2997 kips</v>
      </c>
      <c r="W140" s="9" t="str">
        <f t="shared" si="117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7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-0.49547348167636324</v>
      </c>
      <c r="W142" s="9" t="str">
        <f t="shared" si="117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6.7808444545298476</v>
      </c>
      <c r="W143" s="9" t="str">
        <f t="shared" si="117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7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5"/>
        <v>xi' (in)</v>
      </c>
      <c r="V145" t="str">
        <f t="shared" si="116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9.8089553819235675</v>
      </c>
      <c r="C146" s="9">
        <f>J84</f>
        <v>1.3358122306045388</v>
      </c>
      <c r="D146" s="9">
        <f t="shared" ref="D146:E153" si="132">I85</f>
        <v>9.8089553819235675</v>
      </c>
      <c r="E146">
        <f t="shared" si="132"/>
        <v>1.3358122306045388</v>
      </c>
      <c r="F146" s="4">
        <f>($B$66/$B$65)*(C146-$B$125)</f>
        <v>-5.7024947517090787</v>
      </c>
      <c r="G146" s="4">
        <f>($B$66/$B$65)*(E146-$B$125)</f>
        <v>-5.7024947517090787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15"/>
        <v>#N/A</v>
      </c>
      <c r="V146" t="e">
        <f t="shared" si="116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3">(U146*COS(-1*$B$64))+(V146*SIN(-1*$B$64))</f>
        <v>#N/A</v>
      </c>
      <c r="Y146" t="e">
        <f t="shared" ref="Y146:Y153" si="134">(-1*U146*SIN(-1*$B$64))+(V146*COS(-1*$B$64))</f>
        <v>#N/A</v>
      </c>
      <c r="AA146" s="4" t="e">
        <f t="shared" ref="AA146:AA153" si="135">X146+$B$9</f>
        <v>#N/A</v>
      </c>
      <c r="AB146" s="4" t="e">
        <f t="shared" ref="AB146:AB153" si="136">Y146+$C$9</f>
        <v>#N/A</v>
      </c>
      <c r="AD146" t="e">
        <f t="shared" ref="AD146:AD153" si="137">IF(AND(J146=0,K146=0,L146=0,M146=0),NA(),L146)</f>
        <v>#N/A</v>
      </c>
      <c r="AE146" t="e">
        <f t="shared" ref="AE146:AE153" si="138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9">(AG146*COS(-1*$B$64))+(AH146*SIN(-1*$B$64))</f>
        <v>#N/A</v>
      </c>
      <c r="AK146" t="e">
        <f t="shared" ref="AK146:AK153" si="140">(-1*AG146*SIN(-1*$B$64))+(AH146*COS(-1*$B$64))</f>
        <v>#N/A</v>
      </c>
      <c r="AM146" s="4" t="e">
        <f t="shared" ref="AM146:AM153" si="141">AJ146+$B$9</f>
        <v>#N/A</v>
      </c>
      <c r="AN146" s="4" t="e">
        <f t="shared" ref="AN146:AN153" si="142">AK146+$C$9</f>
        <v>#N/A</v>
      </c>
    </row>
    <row r="147" spans="1:40" x14ac:dyDescent="0.25">
      <c r="A147" t="s">
        <v>70</v>
      </c>
      <c r="B147" s="9">
        <f t="shared" ref="B147:C153" si="143">D146</f>
        <v>9.8089553819235675</v>
      </c>
      <c r="C147">
        <f t="shared" si="143"/>
        <v>1.3358122306045388</v>
      </c>
      <c r="D147" s="9">
        <f t="shared" si="132"/>
        <v>9.8089553819235675</v>
      </c>
      <c r="E147">
        <f t="shared" si="132"/>
        <v>1.3358122306045388</v>
      </c>
      <c r="F147" s="4">
        <f t="shared" ref="F147:F153" si="144">($B$66/$B$65)*(C147-$B$125)</f>
        <v>-5.7024947517090787</v>
      </c>
      <c r="G147" s="4">
        <f t="shared" ref="G147:G153" si="145">($B$66/$B$65)*(E147-$B$125)</f>
        <v>-5.7024947517090787</v>
      </c>
      <c r="H147" s="4" t="str">
        <f t="shared" ref="H147:H153" si="146">IF(B147=D147,"V",(C147-E147)/(B147-D147))</f>
        <v>V</v>
      </c>
      <c r="I147" s="4">
        <f t="shared" ref="I147:I153" si="147">IF(H147="V",0,(-1*B147*H147)+C147)</f>
        <v>0</v>
      </c>
      <c r="J147" s="4">
        <f t="shared" ref="J147:J153" si="148">IF($F147&gt;=0,B147,IF(AND($F147&lt;0,$G147&gt;=0),IF(H147="V",B147,($B$125-I147)/H147),0))</f>
        <v>0</v>
      </c>
      <c r="K147" s="4">
        <f t="shared" ref="K147:K153" si="149">IF($F147&gt;=0,C147,IF(AND($F147&lt;0,$G147&gt;=0),$B$125,0))</f>
        <v>0</v>
      </c>
      <c r="L147" s="4">
        <f t="shared" ref="L147:L153" si="150">IF($G147&gt;=0,D147,IF(AND($G147&lt;0,$F147&gt;=0),IF(H147="V",D147,($B$125-I147)/H147),0))</f>
        <v>0</v>
      </c>
      <c r="M147" s="4">
        <f t="shared" ref="M147:M153" si="151">IF($G147&gt;=0,E147,IF(AND($G147&lt;0,$F147&gt;=0),$B$125,0))</f>
        <v>0</v>
      </c>
      <c r="N147" s="4">
        <f t="shared" ref="N147:N153" si="152">IF(F147&lt;0,0,F147)</f>
        <v>0</v>
      </c>
      <c r="O147" s="4">
        <f t="shared" ref="O147:O153" si="153">IF(G147&lt;0,0,G147)</f>
        <v>0</v>
      </c>
      <c r="P147" s="4">
        <f t="shared" ref="P147:P153" si="154">(1/6)*(M147-K147)*((N147*((2*J147)+L147))+(O147*(J147+(2*L147))))</f>
        <v>0</v>
      </c>
      <c r="Q147" s="4">
        <f t="shared" ref="Q147:Q153" si="155">((1/12)*(M147-K147)*(N147*J147*((3*K147)+M147)+N147*L147*(K147+M147)+O147*J147*(K147+M147)+O147*L147*(K147+(3*M147))))</f>
        <v>0</v>
      </c>
      <c r="R147" s="4">
        <f t="shared" ref="R147:R153" si="156">((-1/24)*(M147-K147)*(J147*J147*((3*N147)+O147)+2*J147*L147*(N147+O147)+L147*L147*(N147+(3*O147))))</f>
        <v>0</v>
      </c>
      <c r="U147" t="e">
        <f t="shared" si="115"/>
        <v>#N/A</v>
      </c>
      <c r="V147" t="e">
        <f t="shared" si="116"/>
        <v>#N/A</v>
      </c>
      <c r="W147" s="9" t="str">
        <f t="shared" ref="W147:W153" si="157">IF($D$34=0,"",IF(AND(J147=0,K147=0,L147=0,M147=0),"",CHAR(10)&amp;CHAR(10)&amp;-1*ROUND(N147,4)&amp;" ksi"))</f>
        <v/>
      </c>
      <c r="X147" t="e">
        <f t="shared" si="133"/>
        <v>#N/A</v>
      </c>
      <c r="Y147" t="e">
        <f t="shared" si="134"/>
        <v>#N/A</v>
      </c>
      <c r="AA147" s="4" t="e">
        <f t="shared" si="135"/>
        <v>#N/A</v>
      </c>
      <c r="AB147" s="4" t="e">
        <f t="shared" si="136"/>
        <v>#N/A</v>
      </c>
      <c r="AD147" t="e">
        <f t="shared" si="137"/>
        <v>#N/A</v>
      </c>
      <c r="AE147" t="e">
        <f t="shared" si="138"/>
        <v>#N/A</v>
      </c>
      <c r="AF147" s="9" t="str">
        <f t="shared" ref="AF147:AF153" si="158">IF(AND(J147=0,K147=0,L147=0,M147=0),"",CHAR(10)&amp;CHAR(10)&amp;-1*ROUND(O147,4)&amp;" ksi")</f>
        <v/>
      </c>
      <c r="AG147" t="e">
        <f t="shared" ref="AG147:AG153" si="159">IF(COUNTIF($U$146:$U$153,AD147)&gt;0,NA(),AD147)</f>
        <v>#N/A</v>
      </c>
      <c r="AH147" t="e">
        <f t="shared" ref="AH147:AH153" si="160">IF(AND(COUNTIF($V$146:$V$153,AE147)&gt;0,AF147&lt;&gt;CHAR(10)&amp;CHAR(10)&amp;"0 ksi"),NA(),AE147)</f>
        <v>#N/A</v>
      </c>
      <c r="AI147" t="str">
        <f t="shared" ref="AI147:AI153" si="161">IF(COUNTIF($U$146:$U$153,AD147)&gt;0,"",AF147)</f>
        <v/>
      </c>
      <c r="AJ147" t="e">
        <f t="shared" si="139"/>
        <v>#N/A</v>
      </c>
      <c r="AK147" t="e">
        <f t="shared" si="140"/>
        <v>#N/A</v>
      </c>
      <c r="AM147" s="4" t="e">
        <f t="shared" si="141"/>
        <v>#N/A</v>
      </c>
      <c r="AN147" s="4" t="e">
        <f t="shared" si="142"/>
        <v>#N/A</v>
      </c>
    </row>
    <row r="148" spans="1:40" x14ac:dyDescent="0.25">
      <c r="A148" t="s">
        <v>71</v>
      </c>
      <c r="B148" s="9">
        <f t="shared" si="143"/>
        <v>9.8089553819235675</v>
      </c>
      <c r="C148">
        <f t="shared" si="143"/>
        <v>1.3358122306045388</v>
      </c>
      <c r="D148" s="9">
        <f t="shared" si="132"/>
        <v>9.8089553819235675</v>
      </c>
      <c r="E148">
        <f t="shared" si="132"/>
        <v>1.3358122306045388</v>
      </c>
      <c r="F148" s="4">
        <f t="shared" si="144"/>
        <v>-5.7024947517090787</v>
      </c>
      <c r="G148" s="4">
        <f t="shared" si="145"/>
        <v>-5.7024947517090787</v>
      </c>
      <c r="H148" s="4" t="str">
        <f t="shared" si="146"/>
        <v>V</v>
      </c>
      <c r="I148" s="4">
        <f t="shared" si="147"/>
        <v>0</v>
      </c>
      <c r="J148" s="4">
        <f t="shared" si="148"/>
        <v>0</v>
      </c>
      <c r="K148" s="4">
        <f t="shared" si="149"/>
        <v>0</v>
      </c>
      <c r="L148" s="4">
        <f t="shared" si="150"/>
        <v>0</v>
      </c>
      <c r="M148" s="4">
        <f t="shared" si="151"/>
        <v>0</v>
      </c>
      <c r="N148" s="4">
        <f t="shared" si="152"/>
        <v>0</v>
      </c>
      <c r="O148" s="4">
        <f t="shared" si="153"/>
        <v>0</v>
      </c>
      <c r="P148" s="4">
        <f t="shared" si="154"/>
        <v>0</v>
      </c>
      <c r="Q148" s="4">
        <f t="shared" si="155"/>
        <v>0</v>
      </c>
      <c r="R148" s="4">
        <f t="shared" si="156"/>
        <v>0</v>
      </c>
      <c r="U148" t="e">
        <f t="shared" si="115"/>
        <v>#N/A</v>
      </c>
      <c r="V148" t="e">
        <f t="shared" si="116"/>
        <v>#N/A</v>
      </c>
      <c r="W148" s="9" t="str">
        <f t="shared" si="157"/>
        <v/>
      </c>
      <c r="X148" t="e">
        <f t="shared" si="133"/>
        <v>#N/A</v>
      </c>
      <c r="Y148" t="e">
        <f t="shared" si="134"/>
        <v>#N/A</v>
      </c>
      <c r="AA148" s="4" t="e">
        <f t="shared" si="135"/>
        <v>#N/A</v>
      </c>
      <c r="AB148" s="4" t="e">
        <f t="shared" si="136"/>
        <v>#N/A</v>
      </c>
      <c r="AD148" t="e">
        <f t="shared" si="137"/>
        <v>#N/A</v>
      </c>
      <c r="AE148" t="e">
        <f t="shared" si="138"/>
        <v>#N/A</v>
      </c>
      <c r="AF148" s="9" t="str">
        <f t="shared" si="158"/>
        <v/>
      </c>
      <c r="AG148" t="e">
        <f t="shared" si="159"/>
        <v>#N/A</v>
      </c>
      <c r="AH148" t="e">
        <f t="shared" si="160"/>
        <v>#N/A</v>
      </c>
      <c r="AI148" t="str">
        <f t="shared" si="161"/>
        <v/>
      </c>
      <c r="AJ148" t="e">
        <f t="shared" si="139"/>
        <v>#N/A</v>
      </c>
      <c r="AK148" t="e">
        <f t="shared" si="140"/>
        <v>#N/A</v>
      </c>
      <c r="AM148" s="4" t="e">
        <f t="shared" si="141"/>
        <v>#N/A</v>
      </c>
      <c r="AN148" s="4" t="e">
        <f t="shared" si="142"/>
        <v>#N/A</v>
      </c>
    </row>
    <row r="149" spans="1:40" x14ac:dyDescent="0.25">
      <c r="A149" t="s">
        <v>72</v>
      </c>
      <c r="B149" s="9">
        <f t="shared" si="143"/>
        <v>9.8089553819235675</v>
      </c>
      <c r="C149">
        <f t="shared" si="143"/>
        <v>1.3358122306045388</v>
      </c>
      <c r="D149" s="9">
        <f t="shared" si="132"/>
        <v>9.8089553819235675</v>
      </c>
      <c r="E149">
        <f t="shared" si="132"/>
        <v>1.3358122306045388</v>
      </c>
      <c r="F149" s="4">
        <f t="shared" si="144"/>
        <v>-5.7024947517090787</v>
      </c>
      <c r="G149" s="4">
        <f t="shared" si="145"/>
        <v>-5.7024947517090787</v>
      </c>
      <c r="H149" s="4" t="str">
        <f t="shared" si="146"/>
        <v>V</v>
      </c>
      <c r="I149" s="4">
        <f t="shared" si="147"/>
        <v>0</v>
      </c>
      <c r="J149" s="4">
        <f t="shared" si="148"/>
        <v>0</v>
      </c>
      <c r="K149" s="4">
        <f t="shared" si="149"/>
        <v>0</v>
      </c>
      <c r="L149" s="4">
        <f t="shared" si="150"/>
        <v>0</v>
      </c>
      <c r="M149" s="4">
        <f t="shared" si="151"/>
        <v>0</v>
      </c>
      <c r="N149" s="4">
        <f t="shared" si="152"/>
        <v>0</v>
      </c>
      <c r="O149" s="4">
        <f t="shared" si="153"/>
        <v>0</v>
      </c>
      <c r="P149" s="4">
        <f t="shared" si="154"/>
        <v>0</v>
      </c>
      <c r="Q149" s="4">
        <f t="shared" si="155"/>
        <v>0</v>
      </c>
      <c r="R149" s="4">
        <f t="shared" si="156"/>
        <v>0</v>
      </c>
      <c r="U149" t="e">
        <f t="shared" si="115"/>
        <v>#N/A</v>
      </c>
      <c r="V149" t="e">
        <f t="shared" si="116"/>
        <v>#N/A</v>
      </c>
      <c r="W149" s="9" t="str">
        <f t="shared" si="157"/>
        <v/>
      </c>
      <c r="X149" t="e">
        <f t="shared" si="133"/>
        <v>#N/A</v>
      </c>
      <c r="Y149" t="e">
        <f t="shared" si="134"/>
        <v>#N/A</v>
      </c>
      <c r="AA149" s="4" t="e">
        <f t="shared" si="135"/>
        <v>#N/A</v>
      </c>
      <c r="AB149" s="4" t="e">
        <f t="shared" si="136"/>
        <v>#N/A</v>
      </c>
      <c r="AD149" t="e">
        <f t="shared" si="137"/>
        <v>#N/A</v>
      </c>
      <c r="AE149" t="e">
        <f t="shared" si="138"/>
        <v>#N/A</v>
      </c>
      <c r="AF149" s="9" t="str">
        <f t="shared" si="158"/>
        <v/>
      </c>
      <c r="AG149" t="e">
        <f t="shared" si="159"/>
        <v>#N/A</v>
      </c>
      <c r="AH149" t="e">
        <f t="shared" si="160"/>
        <v>#N/A</v>
      </c>
      <c r="AI149" t="str">
        <f t="shared" si="161"/>
        <v/>
      </c>
      <c r="AJ149" t="e">
        <f t="shared" si="139"/>
        <v>#N/A</v>
      </c>
      <c r="AK149" t="e">
        <f t="shared" si="140"/>
        <v>#N/A</v>
      </c>
      <c r="AM149" s="4" t="e">
        <f t="shared" si="141"/>
        <v>#N/A</v>
      </c>
      <c r="AN149" s="4" t="e">
        <f t="shared" si="142"/>
        <v>#N/A</v>
      </c>
    </row>
    <row r="150" spans="1:40" x14ac:dyDescent="0.25">
      <c r="A150" t="s">
        <v>73</v>
      </c>
      <c r="B150" s="9">
        <f t="shared" si="143"/>
        <v>9.8089553819235675</v>
      </c>
      <c r="C150">
        <f t="shared" si="143"/>
        <v>1.3358122306045388</v>
      </c>
      <c r="D150" s="9">
        <f t="shared" si="132"/>
        <v>9.8089553819235675</v>
      </c>
      <c r="E150">
        <f t="shared" si="132"/>
        <v>1.3358122306045388</v>
      </c>
      <c r="F150" s="4">
        <f t="shared" si="144"/>
        <v>-5.7024947517090787</v>
      </c>
      <c r="G150" s="4">
        <f t="shared" si="145"/>
        <v>-5.7024947517090787</v>
      </c>
      <c r="H150" s="4" t="str">
        <f t="shared" si="146"/>
        <v>V</v>
      </c>
      <c r="I150" s="4">
        <f t="shared" si="147"/>
        <v>0</v>
      </c>
      <c r="J150" s="4">
        <f t="shared" si="148"/>
        <v>0</v>
      </c>
      <c r="K150" s="4">
        <f t="shared" si="149"/>
        <v>0</v>
      </c>
      <c r="L150" s="4">
        <f t="shared" si="150"/>
        <v>0</v>
      </c>
      <c r="M150" s="4">
        <f t="shared" si="151"/>
        <v>0</v>
      </c>
      <c r="N150" s="4">
        <f t="shared" si="152"/>
        <v>0</v>
      </c>
      <c r="O150" s="4">
        <f t="shared" si="153"/>
        <v>0</v>
      </c>
      <c r="P150" s="4">
        <f t="shared" si="154"/>
        <v>0</v>
      </c>
      <c r="Q150" s="4">
        <f t="shared" si="155"/>
        <v>0</v>
      </c>
      <c r="R150" s="4">
        <f t="shared" si="156"/>
        <v>0</v>
      </c>
      <c r="U150" t="e">
        <f t="shared" si="115"/>
        <v>#N/A</v>
      </c>
      <c r="V150" t="e">
        <f t="shared" si="116"/>
        <v>#N/A</v>
      </c>
      <c r="W150" s="9" t="str">
        <f t="shared" si="157"/>
        <v/>
      </c>
      <c r="X150" t="e">
        <f t="shared" si="133"/>
        <v>#N/A</v>
      </c>
      <c r="Y150" t="e">
        <f t="shared" si="134"/>
        <v>#N/A</v>
      </c>
      <c r="AA150" s="4" t="e">
        <f t="shared" si="135"/>
        <v>#N/A</v>
      </c>
      <c r="AB150" s="4" t="e">
        <f t="shared" si="136"/>
        <v>#N/A</v>
      </c>
      <c r="AD150" t="e">
        <f t="shared" si="137"/>
        <v>#N/A</v>
      </c>
      <c r="AE150" t="e">
        <f t="shared" si="138"/>
        <v>#N/A</v>
      </c>
      <c r="AF150" s="9" t="str">
        <f t="shared" si="158"/>
        <v/>
      </c>
      <c r="AG150" t="e">
        <f t="shared" si="159"/>
        <v>#N/A</v>
      </c>
      <c r="AH150" t="e">
        <f t="shared" si="160"/>
        <v>#N/A</v>
      </c>
      <c r="AI150" t="str">
        <f t="shared" si="161"/>
        <v/>
      </c>
      <c r="AJ150" t="e">
        <f t="shared" si="139"/>
        <v>#N/A</v>
      </c>
      <c r="AK150" t="e">
        <f t="shared" si="140"/>
        <v>#N/A</v>
      </c>
      <c r="AM150" s="4" t="e">
        <f t="shared" si="141"/>
        <v>#N/A</v>
      </c>
      <c r="AN150" s="4" t="e">
        <f t="shared" si="142"/>
        <v>#N/A</v>
      </c>
    </row>
    <row r="151" spans="1:40" x14ac:dyDescent="0.25">
      <c r="A151" t="s">
        <v>74</v>
      </c>
      <c r="B151" s="9">
        <f t="shared" si="143"/>
        <v>9.8089553819235675</v>
      </c>
      <c r="C151">
        <f t="shared" si="143"/>
        <v>1.3358122306045388</v>
      </c>
      <c r="D151" s="9">
        <f t="shared" si="132"/>
        <v>9.8089553819235675</v>
      </c>
      <c r="E151">
        <f t="shared" si="132"/>
        <v>1.3358122306045388</v>
      </c>
      <c r="F151" s="4">
        <f t="shared" si="144"/>
        <v>-5.7024947517090787</v>
      </c>
      <c r="G151" s="4">
        <f t="shared" si="145"/>
        <v>-5.7024947517090787</v>
      </c>
      <c r="H151" s="4" t="str">
        <f t="shared" si="146"/>
        <v>V</v>
      </c>
      <c r="I151" s="4">
        <f t="shared" si="147"/>
        <v>0</v>
      </c>
      <c r="J151" s="4">
        <f t="shared" si="148"/>
        <v>0</v>
      </c>
      <c r="K151" s="4">
        <f t="shared" si="149"/>
        <v>0</v>
      </c>
      <c r="L151" s="4">
        <f t="shared" si="150"/>
        <v>0</v>
      </c>
      <c r="M151" s="4">
        <f t="shared" si="151"/>
        <v>0</v>
      </c>
      <c r="N151" s="4">
        <f t="shared" si="152"/>
        <v>0</v>
      </c>
      <c r="O151" s="4">
        <f t="shared" si="153"/>
        <v>0</v>
      </c>
      <c r="P151" s="4">
        <f t="shared" si="154"/>
        <v>0</v>
      </c>
      <c r="Q151" s="4">
        <f t="shared" si="155"/>
        <v>0</v>
      </c>
      <c r="R151" s="4">
        <f t="shared" si="156"/>
        <v>0</v>
      </c>
      <c r="U151" t="e">
        <f t="shared" si="115"/>
        <v>#N/A</v>
      </c>
      <c r="V151" t="e">
        <f t="shared" si="116"/>
        <v>#N/A</v>
      </c>
      <c r="W151" s="9" t="str">
        <f t="shared" si="157"/>
        <v/>
      </c>
      <c r="X151" t="e">
        <f t="shared" si="133"/>
        <v>#N/A</v>
      </c>
      <c r="Y151" t="e">
        <f t="shared" si="134"/>
        <v>#N/A</v>
      </c>
      <c r="AA151" s="4" t="e">
        <f t="shared" si="135"/>
        <v>#N/A</v>
      </c>
      <c r="AB151" s="4" t="e">
        <f t="shared" si="136"/>
        <v>#N/A</v>
      </c>
      <c r="AD151" t="e">
        <f t="shared" si="137"/>
        <v>#N/A</v>
      </c>
      <c r="AE151" t="e">
        <f t="shared" si="138"/>
        <v>#N/A</v>
      </c>
      <c r="AF151" s="9" t="str">
        <f t="shared" si="158"/>
        <v/>
      </c>
      <c r="AG151" t="e">
        <f t="shared" si="159"/>
        <v>#N/A</v>
      </c>
      <c r="AH151" t="e">
        <f t="shared" si="160"/>
        <v>#N/A</v>
      </c>
      <c r="AI151" t="str">
        <f t="shared" si="161"/>
        <v/>
      </c>
      <c r="AJ151" t="e">
        <f t="shared" si="139"/>
        <v>#N/A</v>
      </c>
      <c r="AK151" t="e">
        <f t="shared" si="140"/>
        <v>#N/A</v>
      </c>
      <c r="AM151" s="4" t="e">
        <f t="shared" si="141"/>
        <v>#N/A</v>
      </c>
      <c r="AN151" s="4" t="e">
        <f t="shared" si="142"/>
        <v>#N/A</v>
      </c>
    </row>
    <row r="152" spans="1:40" x14ac:dyDescent="0.25">
      <c r="A152" t="s">
        <v>75</v>
      </c>
      <c r="B152" s="9">
        <f t="shared" si="143"/>
        <v>9.8089553819235675</v>
      </c>
      <c r="C152">
        <f t="shared" si="143"/>
        <v>1.3358122306045388</v>
      </c>
      <c r="D152" s="9">
        <f t="shared" si="132"/>
        <v>9.8089553819235675</v>
      </c>
      <c r="E152">
        <f t="shared" si="132"/>
        <v>1.3358122306045388</v>
      </c>
      <c r="F152" s="4">
        <f t="shared" si="144"/>
        <v>-5.7024947517090787</v>
      </c>
      <c r="G152" s="4">
        <f t="shared" si="145"/>
        <v>-5.7024947517090787</v>
      </c>
      <c r="H152" s="4" t="str">
        <f t="shared" si="146"/>
        <v>V</v>
      </c>
      <c r="I152" s="4">
        <f t="shared" si="147"/>
        <v>0</v>
      </c>
      <c r="J152" s="4">
        <f t="shared" si="148"/>
        <v>0</v>
      </c>
      <c r="K152" s="4">
        <f t="shared" si="149"/>
        <v>0</v>
      </c>
      <c r="L152" s="4">
        <f t="shared" si="150"/>
        <v>0</v>
      </c>
      <c r="M152" s="4">
        <f t="shared" si="151"/>
        <v>0</v>
      </c>
      <c r="N152" s="4">
        <f t="shared" si="152"/>
        <v>0</v>
      </c>
      <c r="O152" s="4">
        <f t="shared" si="153"/>
        <v>0</v>
      </c>
      <c r="P152" s="4">
        <f t="shared" si="154"/>
        <v>0</v>
      </c>
      <c r="Q152" s="4">
        <f t="shared" si="155"/>
        <v>0</v>
      </c>
      <c r="R152" s="4">
        <f t="shared" si="156"/>
        <v>0</v>
      </c>
      <c r="U152" t="e">
        <f t="shared" si="115"/>
        <v>#N/A</v>
      </c>
      <c r="V152" t="e">
        <f t="shared" si="116"/>
        <v>#N/A</v>
      </c>
      <c r="W152" s="9" t="str">
        <f t="shared" si="157"/>
        <v/>
      </c>
      <c r="X152" t="e">
        <f t="shared" si="133"/>
        <v>#N/A</v>
      </c>
      <c r="Y152" t="e">
        <f t="shared" si="134"/>
        <v>#N/A</v>
      </c>
      <c r="AA152" s="4" t="e">
        <f t="shared" si="135"/>
        <v>#N/A</v>
      </c>
      <c r="AB152" s="4" t="e">
        <f t="shared" si="136"/>
        <v>#N/A</v>
      </c>
      <c r="AD152" t="e">
        <f t="shared" si="137"/>
        <v>#N/A</v>
      </c>
      <c r="AE152" t="e">
        <f t="shared" si="138"/>
        <v>#N/A</v>
      </c>
      <c r="AF152" s="9" t="str">
        <f t="shared" si="158"/>
        <v/>
      </c>
      <c r="AG152" t="e">
        <f t="shared" si="159"/>
        <v>#N/A</v>
      </c>
      <c r="AH152" t="e">
        <f t="shared" si="160"/>
        <v>#N/A</v>
      </c>
      <c r="AI152" t="str">
        <f t="shared" si="161"/>
        <v/>
      </c>
      <c r="AJ152" t="e">
        <f t="shared" si="139"/>
        <v>#N/A</v>
      </c>
      <c r="AK152" t="e">
        <f t="shared" si="140"/>
        <v>#N/A</v>
      </c>
      <c r="AM152" s="4" t="e">
        <f t="shared" si="141"/>
        <v>#N/A</v>
      </c>
      <c r="AN152" s="4" t="e">
        <f t="shared" si="142"/>
        <v>#N/A</v>
      </c>
    </row>
    <row r="153" spans="1:40" ht="15.75" thickBot="1" x14ac:dyDescent="0.3">
      <c r="A153" t="s">
        <v>134</v>
      </c>
      <c r="B153" s="9">
        <f t="shared" si="143"/>
        <v>9.8089553819235675</v>
      </c>
      <c r="C153">
        <f t="shared" si="143"/>
        <v>1.3358122306045388</v>
      </c>
      <c r="D153" s="9">
        <f t="shared" si="132"/>
        <v>9.8089553819235675</v>
      </c>
      <c r="E153">
        <f t="shared" si="132"/>
        <v>1.3358122306045388</v>
      </c>
      <c r="F153" s="4">
        <f t="shared" si="144"/>
        <v>-5.7024947517090787</v>
      </c>
      <c r="G153" s="4">
        <f t="shared" si="145"/>
        <v>-5.7024947517090787</v>
      </c>
      <c r="H153" s="4" t="str">
        <f t="shared" si="146"/>
        <v>V</v>
      </c>
      <c r="I153" s="4">
        <f t="shared" si="147"/>
        <v>0</v>
      </c>
      <c r="J153" s="4">
        <f t="shared" si="148"/>
        <v>0</v>
      </c>
      <c r="K153" s="4">
        <f t="shared" si="149"/>
        <v>0</v>
      </c>
      <c r="L153" s="4">
        <f t="shared" si="150"/>
        <v>0</v>
      </c>
      <c r="M153" s="4">
        <f t="shared" si="151"/>
        <v>0</v>
      </c>
      <c r="N153" s="4">
        <f t="shared" si="152"/>
        <v>0</v>
      </c>
      <c r="O153" s="4">
        <f t="shared" si="153"/>
        <v>0</v>
      </c>
      <c r="P153" s="22">
        <f t="shared" si="154"/>
        <v>0</v>
      </c>
      <c r="Q153" s="22">
        <f t="shared" si="155"/>
        <v>0</v>
      </c>
      <c r="R153" s="22">
        <f t="shared" si="156"/>
        <v>0</v>
      </c>
      <c r="U153" t="e">
        <f t="shared" si="115"/>
        <v>#N/A</v>
      </c>
      <c r="V153" t="e">
        <f t="shared" si="116"/>
        <v>#N/A</v>
      </c>
      <c r="W153" s="9" t="str">
        <f t="shared" si="157"/>
        <v/>
      </c>
      <c r="X153" t="e">
        <f t="shared" si="133"/>
        <v>#N/A</v>
      </c>
      <c r="Y153" t="e">
        <f t="shared" si="134"/>
        <v>#N/A</v>
      </c>
      <c r="AA153" s="4" t="e">
        <f t="shared" si="135"/>
        <v>#N/A</v>
      </c>
      <c r="AB153" s="4" t="e">
        <f t="shared" si="136"/>
        <v>#N/A</v>
      </c>
      <c r="AD153" t="e">
        <f t="shared" si="137"/>
        <v>#N/A</v>
      </c>
      <c r="AE153" t="e">
        <f t="shared" si="138"/>
        <v>#N/A</v>
      </c>
      <c r="AF153" s="9" t="str">
        <f t="shared" si="158"/>
        <v/>
      </c>
      <c r="AG153" t="e">
        <f t="shared" si="159"/>
        <v>#N/A</v>
      </c>
      <c r="AH153" t="e">
        <f t="shared" si="160"/>
        <v>#N/A</v>
      </c>
      <c r="AI153" t="str">
        <f t="shared" si="161"/>
        <v/>
      </c>
      <c r="AJ153" t="e">
        <f t="shared" si="139"/>
        <v>#N/A</v>
      </c>
      <c r="AK153" t="e">
        <f t="shared" si="140"/>
        <v>#N/A</v>
      </c>
      <c r="AM153" s="4" t="e">
        <f t="shared" si="141"/>
        <v>#N/A</v>
      </c>
      <c r="AN153" s="4" t="e">
        <f t="shared" si="142"/>
        <v>#N/A</v>
      </c>
    </row>
    <row r="154" spans="1:40" ht="15.75" thickTop="1" x14ac:dyDescent="0.25">
      <c r="P154" s="4">
        <f>SUM(P146:P153)</f>
        <v>0</v>
      </c>
      <c r="Q154" s="4">
        <f t="shared" ref="Q154:R154" si="162">SUM(Q146:Q153)</f>
        <v>0</v>
      </c>
      <c r="R154" s="4">
        <f t="shared" si="162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-1.1990408665951691E-13</v>
      </c>
      <c r="C159" t="s">
        <v>36</v>
      </c>
    </row>
    <row r="160" spans="1:40" x14ac:dyDescent="0.25">
      <c r="A160" s="1" t="s">
        <v>106</v>
      </c>
      <c r="B160" s="4">
        <f>Q140+I122+Q154-O122</f>
        <v>1681.5352083297539</v>
      </c>
      <c r="C160" t="s">
        <v>102</v>
      </c>
    </row>
    <row r="161" spans="1:9" x14ac:dyDescent="0.25">
      <c r="A161" s="1" t="s">
        <v>107</v>
      </c>
      <c r="B161" s="4">
        <f>R140+J122+R154-P122</f>
        <v>228.99638238934966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-1.1990408665951691E-13</v>
      </c>
      <c r="C164" t="s">
        <v>36</v>
      </c>
      <c r="E164" s="8">
        <f>B2-B164</f>
        <v>1.1990408665951691E-13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-1199.9999999999995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-1199.9999999999995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14.289076517167354</v>
      </c>
      <c r="B169" s="1">
        <f ca="1">IF(E122=0,0,(MIN(H110:H121)*B65)/(B55*B56*E122))</f>
        <v>-14.289076517167354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5.6239117377785568E-8</v>
      </c>
      <c r="C175" s="27">
        <f>B65*SQRT(I175)</f>
        <v>8.9828286713980596E-8</v>
      </c>
      <c r="D175" s="27">
        <f>B66*SQRT(I175)</f>
        <v>2.1194125529722138E-7</v>
      </c>
      <c r="E175" s="27">
        <f>IF(B67=0,SQRT(I175),B67*SQRT(I175))</f>
        <v>7.7961826501262227E-7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3.7916405763548333</v>
      </c>
      <c r="C176" s="3">
        <f>B65+C175</f>
        <v>6.0562219446157268</v>
      </c>
      <c r="D176" s="3">
        <f>D175+B66</f>
        <v>14.28907672910861</v>
      </c>
      <c r="E176" s="3">
        <f>B67+E175</f>
        <v>52.561853484152401</v>
      </c>
      <c r="F176" s="16" t="s">
        <v>125</v>
      </c>
    </row>
    <row r="177" spans="1:14" x14ac:dyDescent="0.25">
      <c r="B177" s="27">
        <f>B176-B64</f>
        <v>5.6239117363077185E-8</v>
      </c>
      <c r="C177" s="27">
        <f>C176-B65</f>
        <v>8.9828287030968568E-8</v>
      </c>
      <c r="D177" s="27">
        <f>D176-B66</f>
        <v>2.1194125565671129E-7</v>
      </c>
      <c r="E177" s="27">
        <f>E176-B67</f>
        <v>7.7961826150385605E-7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3">C177=C175</f>
        <v>0</v>
      </c>
      <c r="D178" t="b">
        <f t="shared" si="163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-12.529403080503338</v>
      </c>
      <c r="B180" s="25">
        <f>(d_sigma_p!E165-d_sigma_m!E165)/(2*'Rigid Bearing Plate Analysis'!D177)</f>
        <v>-64.049675607682431</v>
      </c>
      <c r="C180" s="25">
        <f>(d_sigma_p!E166-d_sigma_m!E166)/(2*'Rigid Bearing Plate Analysis'!D177)</f>
        <v>-56.440764809535175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116.57415767375851</v>
      </c>
      <c r="B181" s="25">
        <f>(d_alpha_p!E165-d_alpha_m!E165)/(2*B177)</f>
        <v>1071.53826252613</v>
      </c>
      <c r="C181" s="25">
        <f>(d_alpha_p!E166-d_alpha_m!E166)/(2*B177)</f>
        <v>-643.62446765905111</v>
      </c>
      <c r="D181" s="25">
        <f ca="1">(d_alpha_p!C169-d_alpha_m!C169)/(2*B177)</f>
        <v>3.2052957142807732</v>
      </c>
    </row>
    <row r="182" spans="1:14" x14ac:dyDescent="0.25">
      <c r="A182" s="25">
        <f>(d_Y_p!E164-d_Y_m!E164)/(2*C177)</f>
        <v>-79.209240430320421</v>
      </c>
      <c r="B182" s="25">
        <f>(d_Y_p!E165-d_Y_m!E165)/(2*C177)</f>
        <v>-252.86371861876179</v>
      </c>
      <c r="C182" s="25">
        <f>(d_Y_p!E166-d_Y_m!E166)/(2*C177)</f>
        <v>-210.6247397062578</v>
      </c>
      <c r="D182" s="25">
        <f ca="1">(d_Y_p!C169-d_Y_m!C169)/(2*C177)</f>
        <v>-3.886365741505192</v>
      </c>
    </row>
    <row r="183" spans="1:14" x14ac:dyDescent="0.25">
      <c r="A183" s="25">
        <f>(d_T_p!E164-d_T_m!E164)/(2*E177)</f>
        <v>3.4061508592353027</v>
      </c>
      <c r="B183" s="25">
        <f>(d_T_p!E165-d_T_m!E165)/(2*E177)</f>
        <v>-5.4181742075091268</v>
      </c>
      <c r="C183" s="25">
        <f>(d_T_p!E166-d_T_m!E166)/(2*E177)</f>
        <v>-7.4866764327244626</v>
      </c>
      <c r="D183" s="25">
        <f ca="1">(d_T_p!C169-d_T_m!C169)/(2*E177)</f>
        <v>-0.27185260204570999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1.3121194421080487E-2</v>
      </c>
      <c r="B185" s="25">
        <f ca="1"/>
        <v>-3.3994681313080161E-4</v>
      </c>
      <c r="C185" s="25">
        <f ca="1"/>
        <v>-8.2349963384666641E-3</v>
      </c>
      <c r="D185" s="25">
        <f ca="1"/>
        <v>0.16198400043896641</v>
      </c>
      <c r="F185" s="8">
        <f>-1*E164</f>
        <v>-1.1990408665951691E-13</v>
      </c>
      <c r="H185">
        <f t="array" aca="1" ref="H185:H188" ca="1">MMULT(A185:D188,F185:F188)</f>
        <v>-1.5732848329416044E-15</v>
      </c>
      <c r="J185" s="8">
        <f ca="1">$B$66+H185</f>
        <v>14.289076517167352</v>
      </c>
      <c r="K185" s="11" t="s">
        <v>115</v>
      </c>
      <c r="L185" s="8">
        <f ca="1">J186</f>
        <v>3.7916405201157168</v>
      </c>
      <c r="M185" s="11" t="s">
        <v>116</v>
      </c>
      <c r="N185" t="s">
        <v>143</v>
      </c>
    </row>
    <row r="186" spans="1:14" x14ac:dyDescent="0.25">
      <c r="A186" s="25">
        <f ca="1"/>
        <v>-6.1921998397453885E-3</v>
      </c>
      <c r="B186" s="25">
        <f ca="1"/>
        <v>6.054902105223092E-4</v>
      </c>
      <c r="C186" s="25">
        <f ca="1"/>
        <v>7.4197792972711929E-4</v>
      </c>
      <c r="D186" s="25">
        <f ca="1"/>
        <v>-2.6245922298599109E-2</v>
      </c>
      <c r="F186" s="8">
        <f>-1*E165</f>
        <v>0</v>
      </c>
      <c r="H186">
        <f ca="1"/>
        <v>7.4247006619787779E-16</v>
      </c>
      <c r="J186" s="8">
        <f ca="1">$B$64+H186</f>
        <v>3.7916405201157168</v>
      </c>
      <c r="K186" s="11" t="s">
        <v>116</v>
      </c>
      <c r="L186" s="8">
        <f ca="1">J187</f>
        <v>6.0562218547874407</v>
      </c>
      <c r="M186" s="1" t="s">
        <v>117</v>
      </c>
    </row>
    <row r="187" spans="1:14" x14ac:dyDescent="0.25">
      <c r="A187" s="25">
        <f ca="1"/>
        <v>-5.7153639793989684E-3</v>
      </c>
      <c r="B187" s="25">
        <f ca="1"/>
        <v>-6.0549021027516249E-4</v>
      </c>
      <c r="C187" s="25">
        <f ca="1"/>
        <v>-7.4197793960245823E-4</v>
      </c>
      <c r="D187" s="25">
        <f ca="1"/>
        <v>-1.7555621958721734E-2</v>
      </c>
      <c r="F187" s="8">
        <f>-1*E166</f>
        <v>0</v>
      </c>
      <c r="H187">
        <f ca="1"/>
        <v>6.8529549787653528E-16</v>
      </c>
      <c r="J187" s="8">
        <f ca="1">$B$65+H187</f>
        <v>6.0562218547874407</v>
      </c>
      <c r="K187" s="1" t="s">
        <v>117</v>
      </c>
      <c r="L187" s="8">
        <f ca="1">J185</f>
        <v>14.289076517167352</v>
      </c>
      <c r="M187" s="11" t="s">
        <v>115</v>
      </c>
    </row>
    <row r="188" spans="1:14" x14ac:dyDescent="0.25">
      <c r="A188" s="25">
        <f ca="1"/>
        <v>0.44521282860358763</v>
      </c>
      <c r="B188" s="25">
        <f ca="1"/>
        <v>3.477903673164533E-4</v>
      </c>
      <c r="C188" s="25">
        <f ca="1"/>
        <v>-9.7533945167001965E-2</v>
      </c>
      <c r="D188" s="25">
        <f ca="1"/>
        <v>-0.64233270521479635</v>
      </c>
      <c r="F188">
        <f ca="1">-1*C169</f>
        <v>0</v>
      </c>
      <c r="H188">
        <f ca="1"/>
        <v>-5.3382837582813216E-14</v>
      </c>
      <c r="J188" s="8">
        <f ca="1">$B$67+H188</f>
        <v>52.561852704534083</v>
      </c>
      <c r="K188" s="1" t="s">
        <v>118</v>
      </c>
      <c r="L188" s="8">
        <f ca="1">J188</f>
        <v>52.561852704534083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-12.529403080503338</v>
      </c>
      <c r="B190" s="25">
        <f>A181</f>
        <v>116.57415767375851</v>
      </c>
      <c r="C190" s="25">
        <f>A182</f>
        <v>-79.209240430320421</v>
      </c>
      <c r="D190" s="25">
        <f>A183</f>
        <v>3.4061508592353027</v>
      </c>
      <c r="F190" t="s">
        <v>119</v>
      </c>
    </row>
    <row r="191" spans="1:14" x14ac:dyDescent="0.25">
      <c r="A191" s="25">
        <f>B180</f>
        <v>-64.049675607682431</v>
      </c>
      <c r="B191" s="25">
        <f>B181</f>
        <v>1071.53826252613</v>
      </c>
      <c r="C191" s="25">
        <f>B182</f>
        <v>-252.86371861876179</v>
      </c>
      <c r="D191" s="25">
        <f>B183</f>
        <v>-5.4181742075091268</v>
      </c>
      <c r="F191" t="s">
        <v>120</v>
      </c>
    </row>
    <row r="192" spans="1:14" x14ac:dyDescent="0.25">
      <c r="A192" s="25">
        <f>C180</f>
        <v>-56.440764809535175</v>
      </c>
      <c r="B192" s="25">
        <f>C181</f>
        <v>-643.62446765905111</v>
      </c>
      <c r="C192" s="25">
        <f>C182</f>
        <v>-210.6247397062578</v>
      </c>
      <c r="D192" s="25">
        <f>C183</f>
        <v>-7.4866764327244626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3.2052957142807732</v>
      </c>
      <c r="C193" s="25">
        <f ca="1">D182</f>
        <v>-3.886365741505192</v>
      </c>
      <c r="D193" s="25">
        <f ca="1">D183</f>
        <v>-0.27185260204570999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1.3121194421080498E-2</v>
      </c>
      <c r="B195" s="25">
        <f ca="1"/>
        <v>-6.1921998397453919E-3</v>
      </c>
      <c r="C195" s="25">
        <f ca="1"/>
        <v>-5.7153639793989719E-3</v>
      </c>
      <c r="D195" s="25">
        <f ca="1"/>
        <v>0.44521282860358757</v>
      </c>
      <c r="H195">
        <f t="array" aca="1" ref="H195:H198" ca="1">MMULT(A195:D198,F185:F188)</f>
        <v>-1.5732848329416058E-15</v>
      </c>
      <c r="J195" s="8">
        <f ca="1">$B$66+H195</f>
        <v>14.289076517167352</v>
      </c>
      <c r="K195" s="11" t="s">
        <v>115</v>
      </c>
      <c r="L195" s="36">
        <f ca="1">J196</f>
        <v>3.791640520115716</v>
      </c>
      <c r="M195" s="37" t="s">
        <v>116</v>
      </c>
      <c r="N195" t="s">
        <v>146</v>
      </c>
    </row>
    <row r="196" spans="1:14" x14ac:dyDescent="0.25">
      <c r="A196" s="25">
        <f ca="1"/>
        <v>-3.3994681313080064E-4</v>
      </c>
      <c r="B196" s="25">
        <f ca="1"/>
        <v>6.0549021052230909E-4</v>
      </c>
      <c r="C196" s="25">
        <f ca="1"/>
        <v>-6.0549021027516239E-4</v>
      </c>
      <c r="D196" s="25">
        <f ca="1"/>
        <v>3.4779036731645579E-4</v>
      </c>
      <c r="H196">
        <f ca="1"/>
        <v>4.0761012141262118E-17</v>
      </c>
      <c r="J196" s="8">
        <f ca="1">$B$64+H196</f>
        <v>3.791640520115716</v>
      </c>
      <c r="K196" s="11" t="s">
        <v>116</v>
      </c>
      <c r="L196" s="38">
        <f ca="1">J197</f>
        <v>6.0562218547874407</v>
      </c>
      <c r="M196" s="39" t="s">
        <v>117</v>
      </c>
    </row>
    <row r="197" spans="1:14" x14ac:dyDescent="0.25">
      <c r="A197" s="25">
        <f ca="1"/>
        <v>-8.2349963384666571E-3</v>
      </c>
      <c r="B197" s="25">
        <f ca="1"/>
        <v>7.4197792972711897E-4</v>
      </c>
      <c r="C197" s="25">
        <f ca="1"/>
        <v>-7.4197793960245801E-4</v>
      </c>
      <c r="D197" s="25">
        <f ca="1"/>
        <v>-9.7533945167001965E-2</v>
      </c>
      <c r="H197">
        <f ca="1"/>
        <v>9.874097146083105E-16</v>
      </c>
      <c r="J197" s="8">
        <f ca="1">$B$65+H197</f>
        <v>6.0562218547874407</v>
      </c>
      <c r="K197" s="1" t="s">
        <v>117</v>
      </c>
      <c r="L197" s="38">
        <f ca="1">J195</f>
        <v>14.289076517167352</v>
      </c>
      <c r="M197" s="43" t="s">
        <v>115</v>
      </c>
    </row>
    <row r="198" spans="1:14" ht="15.75" thickBot="1" x14ac:dyDescent="0.3">
      <c r="A198" s="25">
        <f ca="1"/>
        <v>0.16198400043896644</v>
      </c>
      <c r="B198" s="25">
        <f ca="1"/>
        <v>-2.6245922298599112E-2</v>
      </c>
      <c r="C198" s="25">
        <f ca="1"/>
        <v>-1.7555621958721731E-2</v>
      </c>
      <c r="D198" s="25">
        <f ca="1"/>
        <v>-0.6423327052147968</v>
      </c>
      <c r="H198">
        <f ca="1"/>
        <v>-1.9422543626089057E-14</v>
      </c>
      <c r="J198" s="8">
        <f ca="1">$B$67+H198</f>
        <v>52.561852704534118</v>
      </c>
      <c r="K198" s="1" t="s">
        <v>118</v>
      </c>
      <c r="L198" s="41">
        <f ca="1">J198</f>
        <v>52.561852704534118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-12.529403080503338</v>
      </c>
      <c r="B201" s="25">
        <f t="shared" ref="B201:C201" si="164">B190</f>
        <v>116.57415767375851</v>
      </c>
      <c r="C201" s="25">
        <f t="shared" si="164"/>
        <v>-79.209240430320421</v>
      </c>
      <c r="D201" s="25"/>
    </row>
    <row r="202" spans="1:14" x14ac:dyDescent="0.25">
      <c r="A202" s="25">
        <f t="shared" ref="A202:C202" si="165">A191</f>
        <v>-64.049675607682431</v>
      </c>
      <c r="B202" s="25">
        <f t="shared" si="165"/>
        <v>1071.53826252613</v>
      </c>
      <c r="C202" s="25">
        <f t="shared" si="165"/>
        <v>-252.86371861876179</v>
      </c>
      <c r="D202" s="25"/>
    </row>
    <row r="203" spans="1:14" x14ac:dyDescent="0.25">
      <c r="A203" s="25">
        <f t="shared" ref="A203:C203" si="166">A192</f>
        <v>-56.440764809535175</v>
      </c>
      <c r="B203" s="25">
        <f t="shared" si="166"/>
        <v>-643.62446765905111</v>
      </c>
      <c r="C203" s="25">
        <f t="shared" si="166"/>
        <v>-210.6247397062578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0.1253953390169732</v>
      </c>
      <c r="B205" s="25">
        <v>-2.4383740159900507E-2</v>
      </c>
      <c r="C205" s="25">
        <v>-1.7883494368344501E-2</v>
      </c>
      <c r="D205" s="25"/>
      <c r="H205">
        <f t="array" ref="H205:H207">MMULT(A205:C207,F185:F187)</f>
        <v>-1.5035413596190654E-14</v>
      </c>
      <c r="J205" s="8">
        <f>$B$66+H205</f>
        <v>14.28907651716734</v>
      </c>
      <c r="K205" s="11" t="s">
        <v>115</v>
      </c>
      <c r="L205" s="8">
        <f>J206</f>
        <v>3.791640520115716</v>
      </c>
      <c r="M205" s="11" t="s">
        <v>116</v>
      </c>
      <c r="N205" t="s">
        <v>145</v>
      </c>
    </row>
    <row r="206" spans="1:14" x14ac:dyDescent="0.25">
      <c r="A206" s="25">
        <v>-2.5224074654772336E-4</v>
      </c>
      <c r="B206" s="25">
        <v>5.9127938351212831E-4</v>
      </c>
      <c r="C206" s="25">
        <v>-6.1499568331105728E-4</v>
      </c>
      <c r="D206" s="25"/>
      <c r="H206">
        <v>3.0244696333119461E-17</v>
      </c>
      <c r="J206" s="8">
        <f>$B$64+H206</f>
        <v>3.791640520115716</v>
      </c>
      <c r="K206" s="11" t="s">
        <v>116</v>
      </c>
      <c r="L206" s="8">
        <f>J207</f>
        <v>6.0562218547874433</v>
      </c>
      <c r="M206" s="1" t="s">
        <v>117</v>
      </c>
      <c r="N206" t="s">
        <v>147</v>
      </c>
    </row>
    <row r="207" spans="1:14" x14ac:dyDescent="0.25">
      <c r="A207" s="25">
        <v>-3.2831188449629033E-2</v>
      </c>
      <c r="B207" s="25">
        <v>4.7272465071272638E-3</v>
      </c>
      <c r="C207" s="25">
        <v>1.9237263840190463E-3</v>
      </c>
      <c r="D207" s="25"/>
      <c r="H207">
        <v>3.9365936649992503E-15</v>
      </c>
      <c r="J207" s="8">
        <f>$B$65+H207</f>
        <v>6.0562218547874433</v>
      </c>
      <c r="K207" s="1" t="s">
        <v>117</v>
      </c>
      <c r="L207" s="8">
        <f>J205</f>
        <v>14.28907651716734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116.57415767375851</v>
      </c>
      <c r="B212" s="25">
        <f>A182</f>
        <v>-79.209240430320421</v>
      </c>
      <c r="C212" s="25">
        <f>A183</f>
        <v>3.4061508592353027</v>
      </c>
    </row>
    <row r="213" spans="1:14" x14ac:dyDescent="0.25">
      <c r="A213" s="25">
        <f>B181</f>
        <v>1071.53826252613</v>
      </c>
      <c r="B213" s="25">
        <f>B182</f>
        <v>-252.86371861876179</v>
      </c>
      <c r="C213" s="25">
        <f>B183</f>
        <v>-5.4181742075091268</v>
      </c>
    </row>
    <row r="214" spans="1:14" x14ac:dyDescent="0.25">
      <c r="A214" s="25">
        <f>C181</f>
        <v>-643.62446765905111</v>
      </c>
      <c r="B214" s="25">
        <f>C182</f>
        <v>-210.6247397062578</v>
      </c>
      <c r="C214" s="25">
        <f>C183</f>
        <v>-7.4866764327244626</v>
      </c>
    </row>
    <row r="215" spans="1:14" ht="15.75" thickBot="1" x14ac:dyDescent="0.3"/>
    <row r="216" spans="1:14" x14ac:dyDescent="0.25">
      <c r="A216">
        <f t="array" ref="A216:C218">MINVERSE(A212:C214)</f>
        <v>-3.5019679860774986E-4</v>
      </c>
      <c r="B216">
        <v>6.1032741942196431E-4</v>
      </c>
      <c r="C216">
        <v>-6.0102549495243238E-4</v>
      </c>
      <c r="H216" cm="1">
        <f t="array" ref="H216:H218">MMULT(A216:C218,F185:F187)</f>
        <v>4.1990027288149025E-17</v>
      </c>
      <c r="J216" s="8">
        <f>$B$64+H216</f>
        <v>3.791640520115716</v>
      </c>
      <c r="K216" s="11" t="s">
        <v>116</v>
      </c>
      <c r="L216" s="36">
        <f>J216</f>
        <v>3.791640520115716</v>
      </c>
      <c r="M216" s="37" t="s">
        <v>116</v>
      </c>
      <c r="N216" t="s">
        <v>144</v>
      </c>
    </row>
    <row r="217" spans="1:14" x14ac:dyDescent="0.25">
      <c r="A217">
        <v>-5.3605017709915529E-3</v>
      </c>
      <c r="B217">
        <v>-6.1456357319214082E-4</v>
      </c>
      <c r="C217">
        <v>-1.9940577566296925E-3</v>
      </c>
      <c r="H217">
        <v>6.4274606888746499E-16</v>
      </c>
      <c r="J217" s="8">
        <f>$B$65+H217</f>
        <v>6.0562218547874407</v>
      </c>
      <c r="K217" s="1" t="s">
        <v>117</v>
      </c>
      <c r="L217" s="38">
        <f>J217</f>
        <v>6.0562218547874407</v>
      </c>
      <c r="M217" s="39" t="s">
        <v>117</v>
      </c>
    </row>
    <row r="218" spans="1:14" x14ac:dyDescent="0.25">
      <c r="A218">
        <v>0.18091465959040406</v>
      </c>
      <c r="B218">
        <v>-3.5179744998114729E-2</v>
      </c>
      <c r="C218">
        <v>-2.5801487689251501E-2</v>
      </c>
      <c r="H218">
        <v>-2.1692407021504811E-14</v>
      </c>
      <c r="J218" s="8">
        <f>$B$67+H218</f>
        <v>52.561852704534118</v>
      </c>
      <c r="K218" s="1" t="s">
        <v>118</v>
      </c>
      <c r="L218" s="38">
        <f>B66</f>
        <v>14.289076517167354</v>
      </c>
      <c r="M218" s="40"/>
    </row>
    <row r="219" spans="1:14" ht="15.75" thickBot="1" x14ac:dyDescent="0.3">
      <c r="L219" s="41">
        <f>J218</f>
        <v>52.561852704534118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3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2.6239067055393579</v>
      </c>
      <c r="J3" t="s">
        <v>11</v>
      </c>
    </row>
    <row r="4" spans="1:29" x14ac:dyDescent="0.25">
      <c r="A4" s="10" t="s">
        <v>80</v>
      </c>
      <c r="B4" s="17">
        <f>'Rigid Bearing Plate Analysis'!B4</f>
        <v>1200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2.6239067055393579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5.2478134110787158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-2.6239067055393579</v>
      </c>
      <c r="AB14">
        <f>$B$4/Z14</f>
        <v>2.6239067055393579</v>
      </c>
      <c r="AC14">
        <f>$I$2+AA14+AB14</f>
        <v>0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2.6239067055393579</v>
      </c>
      <c r="AB15">
        <f t="shared" ref="AB15:AB21" si="11">$B$4/Z15</f>
        <v>2.6239067055393579</v>
      </c>
      <c r="AC15">
        <f t="shared" ref="AC15:AC20" si="12">$I$2+AA15+AB15</f>
        <v>5.2478134110787158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2.6239067055393579</v>
      </c>
      <c r="AB16">
        <f t="shared" si="11"/>
        <v>-2.6239067055393579</v>
      </c>
      <c r="AC16">
        <f t="shared" si="12"/>
        <v>0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-2.6239067055393579</v>
      </c>
      <c r="AB17">
        <f t="shared" si="11"/>
        <v>-2.6239067055393579</v>
      </c>
      <c r="AC17">
        <f t="shared" si="12"/>
        <v>-5.2478134110787158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-2.6239067055393579</v>
      </c>
      <c r="AB18">
        <f t="shared" si="11"/>
        <v>-2.6239067055393579</v>
      </c>
      <c r="AC18">
        <f t="shared" si="12"/>
        <v>-5.2478134110787158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-2.6239067055393579</v>
      </c>
      <c r="AB19">
        <f t="shared" si="11"/>
        <v>-2.6239067055393579</v>
      </c>
      <c r="AC19">
        <f t="shared" si="12"/>
        <v>-5.2478134110787158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-2.6239067055393579</v>
      </c>
      <c r="AB20">
        <f t="shared" si="11"/>
        <v>-2.6239067055393579</v>
      </c>
      <c r="AC20">
        <f t="shared" si="12"/>
        <v>-5.2478134110787158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-2.6239067055393579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3.791640520115716</v>
      </c>
      <c r="C64" t="s">
        <v>19</v>
      </c>
      <c r="D64" t="s">
        <v>34</v>
      </c>
      <c r="H64" s="17">
        <f>DEGREES(B64)</f>
        <v>217.24499923341884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6.0562218547874398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14.28907672910861</v>
      </c>
      <c r="C66" t="s">
        <v>11</v>
      </c>
      <c r="D66">
        <f>B66/B53</f>
        <v>3.5071409711722465E-3</v>
      </c>
      <c r="I66" s="20"/>
    </row>
    <row r="67" spans="1:18" x14ac:dyDescent="0.25">
      <c r="A67" s="1" t="s">
        <v>37</v>
      </c>
      <c r="B67" s="17">
        <f>'Rigid Bearing Plate Analysis'!B67</f>
        <v>52.561852704534139</v>
      </c>
      <c r="C67" t="s">
        <v>36</v>
      </c>
      <c r="D67" t="s">
        <v>122</v>
      </c>
      <c r="G67" s="20">
        <f ca="1">($B$56*$B$66*$B$55*$E$122)/$B$65</f>
        <v>52.561853484152408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-10.808955381923568</v>
      </c>
      <c r="R76">
        <f>Q76</f>
        <v>-10.808955381923568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10.808955381923568</v>
      </c>
      <c r="R77">
        <f>Q77</f>
        <v>10.808955381923568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9.8089553819235675</v>
      </c>
      <c r="C84" s="1">
        <f t="shared" ref="C84:C92" si="23">(-1*B73*SIN($B$64))+(C73*COS($B$64))</f>
        <v>1.3358122306045388</v>
      </c>
      <c r="H84" s="1">
        <f t="shared" ref="H84:H92" si="24">H73</f>
        <v>1</v>
      </c>
      <c r="I84" s="4">
        <f>(I73*COS($B$64))+(J73*SIN($B$64))</f>
        <v>9.8089553819235675</v>
      </c>
      <c r="J84" s="1">
        <f>(-1*I73*SIN($B$64))+(J73*COS($B$64))</f>
        <v>1.3358122306045388</v>
      </c>
    </row>
    <row r="85" spans="1:10" x14ac:dyDescent="0.25">
      <c r="A85" s="1">
        <f t="shared" si="21"/>
        <v>2</v>
      </c>
      <c r="B85" s="4">
        <f t="shared" si="22"/>
        <v>-1.3358122306045388</v>
      </c>
      <c r="C85" s="1">
        <f t="shared" si="23"/>
        <v>9.8089553819235675</v>
      </c>
      <c r="H85" s="1">
        <f t="shared" si="24"/>
        <v>2</v>
      </c>
      <c r="I85" s="4">
        <f t="shared" ref="I85:I92" si="25">(I74*COS($B$64))+(J74*SIN($B$64))</f>
        <v>9.8089553819235675</v>
      </c>
      <c r="J85" s="1">
        <f t="shared" ref="J85:J92" si="26">(-1*I74*SIN($B$64))+(J74*COS($B$64))</f>
        <v>1.3358122306045388</v>
      </c>
    </row>
    <row r="86" spans="1:10" x14ac:dyDescent="0.25">
      <c r="A86" s="1">
        <f t="shared" si="21"/>
        <v>3</v>
      </c>
      <c r="B86" s="4">
        <f t="shared" si="22"/>
        <v>-9.8089553819235675</v>
      </c>
      <c r="C86" s="1">
        <f t="shared" si="23"/>
        <v>-1.3358122306045388</v>
      </c>
      <c r="H86" s="1">
        <f t="shared" si="24"/>
        <v>3</v>
      </c>
      <c r="I86" s="4">
        <f t="shared" si="25"/>
        <v>9.8089553819235675</v>
      </c>
      <c r="J86" s="1">
        <f t="shared" si="26"/>
        <v>1.3358122306045388</v>
      </c>
    </row>
    <row r="87" spans="1:10" x14ac:dyDescent="0.25">
      <c r="A87" s="1">
        <f t="shared" si="21"/>
        <v>4</v>
      </c>
      <c r="B87" s="4">
        <f t="shared" si="22"/>
        <v>1.3358122306045388</v>
      </c>
      <c r="C87" s="1">
        <f t="shared" si="23"/>
        <v>-9.8089553819235675</v>
      </c>
      <c r="H87" s="1">
        <f t="shared" si="24"/>
        <v>4</v>
      </c>
      <c r="I87" s="4">
        <f t="shared" si="25"/>
        <v>9.8089553819235675</v>
      </c>
      <c r="J87" s="1">
        <f t="shared" si="26"/>
        <v>1.3358122306045388</v>
      </c>
    </row>
    <row r="88" spans="1:10" x14ac:dyDescent="0.25">
      <c r="A88" s="1">
        <f t="shared" si="21"/>
        <v>5</v>
      </c>
      <c r="B88" s="4">
        <f t="shared" si="22"/>
        <v>9.8089553819235675</v>
      </c>
      <c r="C88" s="1">
        <f t="shared" si="23"/>
        <v>1.3358122306045388</v>
      </c>
      <c r="H88" s="1">
        <f t="shared" si="24"/>
        <v>5</v>
      </c>
      <c r="I88" s="4">
        <f t="shared" si="25"/>
        <v>9.8089553819235675</v>
      </c>
      <c r="J88" s="1">
        <f t="shared" si="26"/>
        <v>1.3358122306045388</v>
      </c>
    </row>
    <row r="89" spans="1:10" x14ac:dyDescent="0.25">
      <c r="A89" s="1">
        <f t="shared" si="21"/>
        <v>6</v>
      </c>
      <c r="B89" s="4">
        <f t="shared" si="22"/>
        <v>9.8089553819235675</v>
      </c>
      <c r="C89" s="1">
        <f t="shared" si="23"/>
        <v>1.3358122306045388</v>
      </c>
      <c r="H89" s="1">
        <f t="shared" si="24"/>
        <v>6</v>
      </c>
      <c r="I89" s="4">
        <f t="shared" si="25"/>
        <v>9.8089553819235675</v>
      </c>
      <c r="J89" s="1">
        <f t="shared" si="26"/>
        <v>1.3358122306045388</v>
      </c>
    </row>
    <row r="90" spans="1:10" x14ac:dyDescent="0.25">
      <c r="A90" s="1">
        <f t="shared" si="21"/>
        <v>7</v>
      </c>
      <c r="B90" s="4">
        <f t="shared" si="22"/>
        <v>9.8089553819235675</v>
      </c>
      <c r="C90" s="1">
        <f t="shared" si="23"/>
        <v>1.3358122306045388</v>
      </c>
      <c r="H90" s="1">
        <f t="shared" si="24"/>
        <v>7</v>
      </c>
      <c r="I90" s="4">
        <f t="shared" si="25"/>
        <v>9.8089553819235675</v>
      </c>
      <c r="J90" s="1">
        <f t="shared" si="26"/>
        <v>1.3358122306045388</v>
      </c>
    </row>
    <row r="91" spans="1:10" x14ac:dyDescent="0.25">
      <c r="A91" s="1">
        <f t="shared" si="21"/>
        <v>8</v>
      </c>
      <c r="B91" s="4">
        <f t="shared" si="22"/>
        <v>9.8089553819235675</v>
      </c>
      <c r="C91" s="1">
        <f t="shared" si="23"/>
        <v>1.3358122306045388</v>
      </c>
      <c r="H91" s="1">
        <f t="shared" si="24"/>
        <v>8</v>
      </c>
      <c r="I91" s="4">
        <f t="shared" si="25"/>
        <v>9.8089553819235675</v>
      </c>
      <c r="J91" s="1">
        <f t="shared" si="26"/>
        <v>1.3358122306045388</v>
      </c>
    </row>
    <row r="92" spans="1:10" x14ac:dyDescent="0.25">
      <c r="A92" s="1">
        <f t="shared" si="21"/>
        <v>9</v>
      </c>
      <c r="B92" s="4">
        <f t="shared" si="22"/>
        <v>9.8089553819235675</v>
      </c>
      <c r="C92" s="1">
        <f t="shared" si="23"/>
        <v>1.3358122306045388</v>
      </c>
      <c r="H92" s="1">
        <f t="shared" si="24"/>
        <v>9</v>
      </c>
      <c r="I92" s="4">
        <f t="shared" si="25"/>
        <v>9.8089553819235675</v>
      </c>
      <c r="J92" s="1">
        <f t="shared" si="26"/>
        <v>1.3358122306045388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5.6051173610991816</v>
      </c>
      <c r="C110" s="1">
        <f>(-1*B95*SIN($B$64))+(C95*COS($B$64))</f>
        <v>0.76332127463116528</v>
      </c>
      <c r="D110" t="str">
        <f t="shared" ref="D110" si="31">D95</f>
        <v>y</v>
      </c>
      <c r="E110" s="4">
        <f t="shared" ref="E110:E121" si="32">IF($D110="y",$B$125-C110,0)</f>
        <v>2.9894122525049625</v>
      </c>
      <c r="F110" s="1">
        <f>IF($D110="y",B110,NA())</f>
        <v>5.6051173610991816</v>
      </c>
      <c r="G110" s="1">
        <f>IF($D110="y",C110,NA())</f>
        <v>0.76332127463116528</v>
      </c>
      <c r="H110">
        <f t="shared" ref="H110:H121" si="33">IF($E$122=0,0,-1*MAX(($B$67/$E$122)*(E110),0))</f>
        <v>-16.791146638897413</v>
      </c>
      <c r="I110">
        <f>H110*C110</f>
        <v>-12.81703945492198</v>
      </c>
      <c r="J110">
        <f>H110*B110*-1</f>
        <v>94.116347538446064</v>
      </c>
      <c r="K110">
        <f ca="1">H110/$B$55</f>
        <v>-50.203644830810688</v>
      </c>
      <c r="L110">
        <f ca="1">K110/$B$54</f>
        <v>-1.7311601665796789E-3</v>
      </c>
      <c r="M110">
        <f t="shared" ref="M110:M121" si="34">IFERROR(($D$66/$B$65)*(G110-$B$125),0)</f>
        <v>-1.7311601922569337E-3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-0.76332127463116528</v>
      </c>
      <c r="C111" s="1">
        <f t="shared" ref="C111:C121" si="37">(-1*B96*SIN($B$64))+(C96*COS($B$64))</f>
        <v>5.6051173610991816</v>
      </c>
      <c r="D111" t="str">
        <f t="shared" si="35"/>
        <v>y</v>
      </c>
      <c r="E111" s="4">
        <f t="shared" si="32"/>
        <v>-1.8523838339630538</v>
      </c>
      <c r="F111" s="1">
        <f t="shared" ref="F111:G121" si="38">IF($D111="y",B111,NA())</f>
        <v>-0.76332127463116528</v>
      </c>
      <c r="G111" s="1">
        <f t="shared" si="38"/>
        <v>5.6051173610991816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1.07271024645397E-3</v>
      </c>
      <c r="N111">
        <f t="shared" ref="N111:N121" si="42">IF(AND(M111&gt;0,D111="y",$E$60="y"),$B$53*M111*$E$59,0)</f>
        <v>2.2660526443370901</v>
      </c>
      <c r="O111">
        <f t="shared" ref="O111:O121" si="43">N111*C111</f>
        <v>12.701491017938533</v>
      </c>
      <c r="P111">
        <f t="shared" ref="P111:P121" si="44">N111*B111*-1</f>
        <v>1.7297261928567103</v>
      </c>
    </row>
    <row r="112" spans="1:16" x14ac:dyDescent="0.25">
      <c r="A112">
        <f t="shared" si="35"/>
        <v>3</v>
      </c>
      <c r="B112" s="1">
        <f t="shared" si="36"/>
        <v>0.76332127463116528</v>
      </c>
      <c r="C112" s="1">
        <f t="shared" si="37"/>
        <v>-5.6051173610991816</v>
      </c>
      <c r="D112" t="str">
        <f t="shared" si="35"/>
        <v>y</v>
      </c>
      <c r="E112" s="4">
        <f t="shared" si="32"/>
        <v>9.3578508882353084</v>
      </c>
      <c r="F112" s="1">
        <f t="shared" si="38"/>
        <v>0.76332127463116528</v>
      </c>
      <c r="G112" s="1">
        <f t="shared" si="38"/>
        <v>-5.6051173610991816</v>
      </c>
      <c r="H112">
        <f t="shared" si="33"/>
        <v>-52.561852704534139</v>
      </c>
      <c r="I112">
        <f t="shared" si="39"/>
        <v>294.61535312572227</v>
      </c>
      <c r="J112">
        <f t="shared" si="40"/>
        <v>40.121580403400564</v>
      </c>
      <c r="K112">
        <f t="shared" ref="K112:K121" ca="1" si="45">H112/$B$55</f>
        <v>-157.15404323341045</v>
      </c>
      <c r="L112">
        <f t="shared" ca="1" si="41"/>
        <v>-5.4191049390831187E-3</v>
      </c>
      <c r="M112">
        <f t="shared" si="34"/>
        <v>-5.4191050194614338E-3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-5.6051173610991816</v>
      </c>
      <c r="C113" s="1">
        <f t="shared" si="37"/>
        <v>-0.76332127463116528</v>
      </c>
      <c r="D113" t="str">
        <f t="shared" si="35"/>
        <v>y</v>
      </c>
      <c r="E113" s="4">
        <f t="shared" si="32"/>
        <v>4.516054801767293</v>
      </c>
      <c r="F113" s="1">
        <f t="shared" si="38"/>
        <v>-5.6051173610991816</v>
      </c>
      <c r="G113" s="1">
        <f t="shared" si="38"/>
        <v>-0.76332127463116528</v>
      </c>
      <c r="H113">
        <f t="shared" si="33"/>
        <v>-25.366102765595567</v>
      </c>
      <c r="I113">
        <f t="shared" si="39"/>
        <v>19.362485895459535</v>
      </c>
      <c r="J113">
        <f t="shared" si="40"/>
        <v>-142.17998299486567</v>
      </c>
      <c r="K113">
        <f t="shared" ca="1" si="45"/>
        <v>-75.841801716849687</v>
      </c>
      <c r="L113">
        <f t="shared" ca="1" si="41"/>
        <v>-2.615234541960334E-3</v>
      </c>
      <c r="M113">
        <f t="shared" si="34"/>
        <v>-2.6152345807505307E-3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4.0920560840779263</v>
      </c>
      <c r="C114" s="1">
        <f t="shared" si="37"/>
        <v>-1.2268157990345681</v>
      </c>
      <c r="D114" t="str">
        <f t="shared" si="35"/>
        <v>y</v>
      </c>
      <c r="E114" s="4">
        <f t="shared" si="32"/>
        <v>4.9795493261706962</v>
      </c>
      <c r="F114" s="1">
        <f t="shared" si="38"/>
        <v>4.0920560840779263</v>
      </c>
      <c r="G114" s="1">
        <f t="shared" si="38"/>
        <v>-1.2268157990345681</v>
      </c>
      <c r="H114">
        <f t="shared" si="33"/>
        <v>-27.969492284408894</v>
      </c>
      <c r="I114">
        <f t="shared" si="39"/>
        <v>34.313415025488283</v>
      </c>
      <c r="J114">
        <f t="shared" si="40"/>
        <v>114.45273107098603</v>
      </c>
      <c r="K114">
        <f t="shared" ca="1" si="45"/>
        <v>-83.625644331623121</v>
      </c>
      <c r="L114">
        <f t="shared" ca="1" si="41"/>
        <v>-2.8836429079870042E-3</v>
      </c>
      <c r="M114">
        <f t="shared" si="34"/>
        <v>-2.8836429507583406E-3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-2.2763825516524205</v>
      </c>
      <c r="C115" s="1">
        <f t="shared" si="37"/>
        <v>3.6149802874334482</v>
      </c>
      <c r="D115" t="str">
        <f t="shared" si="35"/>
        <v>y</v>
      </c>
      <c r="E115" s="4">
        <f t="shared" si="32"/>
        <v>0.1377532397026795</v>
      </c>
      <c r="F115" s="1">
        <f t="shared" si="38"/>
        <v>-2.2763825516524205</v>
      </c>
      <c r="G115" s="1">
        <f t="shared" si="38"/>
        <v>3.6149802874334482</v>
      </c>
      <c r="H115">
        <f t="shared" si="33"/>
        <v>-0.7737423454703114</v>
      </c>
      <c r="I115">
        <f t="shared" si="39"/>
        <v>-2.7970633264276965</v>
      </c>
      <c r="J115">
        <f t="shared" si="40"/>
        <v>-1.7613335747032361</v>
      </c>
      <c r="K115">
        <f t="shared" ca="1" si="45"/>
        <v>-2.3134028150623469</v>
      </c>
      <c r="L115">
        <f t="shared" ca="1" si="41"/>
        <v>-7.9772510864218856E-5</v>
      </c>
      <c r="M115">
        <f t="shared" si="34"/>
        <v>-7.9772512047436402E-5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2.2763825516524205</v>
      </c>
      <c r="C116" s="1">
        <f t="shared" si="37"/>
        <v>-3.6149802874334482</v>
      </c>
      <c r="D116" t="str">
        <f t="shared" si="35"/>
        <v>y</v>
      </c>
      <c r="E116" s="4">
        <f t="shared" si="32"/>
        <v>7.3677138145695764</v>
      </c>
      <c r="F116" s="1">
        <f t="shared" si="38"/>
        <v>2.2763825516524205</v>
      </c>
      <c r="G116" s="1">
        <f t="shared" si="38"/>
        <v>-3.6149802874334482</v>
      </c>
      <c r="H116">
        <f t="shared" si="33"/>
        <v>-41.383507059022669</v>
      </c>
      <c r="I116">
        <f t="shared" si="39"/>
        <v>149.60056224322992</v>
      </c>
      <c r="J116">
        <f t="shared" si="40"/>
        <v>94.20469339534398</v>
      </c>
      <c r="K116">
        <f t="shared" ca="1" si="45"/>
        <v>-123.73204373259803</v>
      </c>
      <c r="L116">
        <f t="shared" ca="1" si="41"/>
        <v>-4.2666221976757944E-3</v>
      </c>
      <c r="M116">
        <f t="shared" si="34"/>
        <v>-4.2666222609600282E-3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-4.0920560840779263</v>
      </c>
      <c r="C117" s="1">
        <f t="shared" si="37"/>
        <v>1.2268157990345681</v>
      </c>
      <c r="D117" t="str">
        <f t="shared" si="35"/>
        <v>y</v>
      </c>
      <c r="E117" s="4">
        <f t="shared" si="32"/>
        <v>2.5259177281015597</v>
      </c>
      <c r="F117" s="1">
        <f t="shared" si="38"/>
        <v>-4.0920560840779263</v>
      </c>
      <c r="G117" s="1">
        <f t="shared" si="38"/>
        <v>1.2268157990345681</v>
      </c>
      <c r="H117">
        <f t="shared" si="33"/>
        <v>-14.187757120084088</v>
      </c>
      <c r="I117">
        <f t="shared" si="39"/>
        <v>-17.405764587784343</v>
      </c>
      <c r="J117">
        <f t="shared" si="40"/>
        <v>-58.057097842660013</v>
      </c>
      <c r="K117">
        <f t="shared" ca="1" si="45"/>
        <v>-42.419802216037262</v>
      </c>
      <c r="L117">
        <f t="shared" ca="1" si="41"/>
        <v>-1.4627518005530091E-3</v>
      </c>
      <c r="M117">
        <f t="shared" si="34"/>
        <v>-1.4627518222491242E-3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9.8089553819235675</v>
      </c>
      <c r="C118" s="1">
        <f t="shared" si="37"/>
        <v>1.3358122306045388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9.8089553819235675</v>
      </c>
      <c r="C119" s="1">
        <f t="shared" si="37"/>
        <v>1.3358122306045388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9.8089553819235675</v>
      </c>
      <c r="C120" s="1">
        <f t="shared" si="37"/>
        <v>1.3358122306045388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9.8089553819235675</v>
      </c>
      <c r="C121" s="1">
        <f t="shared" si="37"/>
        <v>1.3358122306045388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9.3578508882353084</v>
      </c>
      <c r="H122">
        <f>SUM(H110:H121)</f>
        <v>-179.03360091801306</v>
      </c>
      <c r="I122">
        <f t="shared" ref="I122:J122" si="46">SUM(I110:I121)</f>
        <v>464.87194892076593</v>
      </c>
      <c r="J122">
        <f t="shared" si="46"/>
        <v>140.89693799594772</v>
      </c>
      <c r="L122">
        <f ca="1">MIN(L110:L121)</f>
        <v>-5.4191049390831187E-3</v>
      </c>
      <c r="M122">
        <f>MIN(M110:M121)</f>
        <v>-5.4191050194614338E-3</v>
      </c>
      <c r="N122">
        <f>SUM(N110:N121)</f>
        <v>2.2660526443370901</v>
      </c>
      <c r="O122">
        <f>SUM(O110:O121)</f>
        <v>12.701491017938533</v>
      </c>
      <c r="P122">
        <f>SUM(P110:P121)</f>
        <v>1.7297261928567103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3.7527335271361277</v>
      </c>
      <c r="F125" s="1" t="s">
        <v>27</v>
      </c>
      <c r="G125" s="1" t="s">
        <v>28</v>
      </c>
    </row>
    <row r="126" spans="1:16" x14ac:dyDescent="0.25">
      <c r="F126" s="4">
        <f>MIN(B84:B90)-1</f>
        <v>-10.808955381923568</v>
      </c>
      <c r="G126" s="4">
        <f>B125</f>
        <v>3.7527335271361277</v>
      </c>
    </row>
    <row r="127" spans="1:16" x14ac:dyDescent="0.25">
      <c r="F127" s="4">
        <f>MAX(B84:B90)+1</f>
        <v>10.808955381923568</v>
      </c>
      <c r="G127" s="4">
        <f>G126</f>
        <v>3.7527335271361277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9.8089553819235675</v>
      </c>
      <c r="C132" s="4">
        <f>C84</f>
        <v>1.3358122306045388</v>
      </c>
      <c r="D132" s="4">
        <f t="shared" ref="D132:E139" si="47">B85</f>
        <v>-1.3358122306045388</v>
      </c>
      <c r="E132" s="4">
        <f t="shared" si="47"/>
        <v>9.8089553819235675</v>
      </c>
      <c r="F132" s="4">
        <f t="shared" ref="F132:F139" si="48">($B$66/$B$65)*(C132-$B$125)</f>
        <v>-5.7024948362907448</v>
      </c>
      <c r="G132" s="4">
        <f t="shared" ref="G132:G139" si="49">($B$66/$B$65)*(E132-$B$125)</f>
        <v>14.289076729108608</v>
      </c>
      <c r="H132" s="4">
        <f>IF(B132=D132,"V",(C132-E132)/(B132-D132))</f>
        <v>-0.76027993098700064</v>
      </c>
      <c r="I132" s="4">
        <f>IF(H132="V",0,(-1*B132*H132)+C132)</f>
        <v>8.7933641514279568</v>
      </c>
      <c r="J132" s="4">
        <f>IF($F132&gt;=0,B132,IF(AND($F132&lt;0,$G132&gt;=0),IF(H132="V",B132,($B$125-I132)/H132),0))</f>
        <v>6.629966698907924</v>
      </c>
      <c r="K132" s="4">
        <f>IF($F132&gt;=0,C132,IF(AND($F132&lt;0,$G132&gt;=0),$B$125,0))</f>
        <v>3.7527335271361277</v>
      </c>
      <c r="L132" s="4">
        <f>IF($G132&gt;=0,D132,IF(AND($G132&lt;0,$F132&gt;=0),IF(H132="V",D132,($B$125-I132)/H132),0))</f>
        <v>-1.3358122306045388</v>
      </c>
      <c r="M132" s="4">
        <f>IF($G132&gt;=0,E132,IF(AND($G132&lt;0,$F132&gt;=0),$B$125,0))</f>
        <v>9.8089553819235675</v>
      </c>
      <c r="N132" s="4">
        <f>IF(F132&lt;0,0,F132)</f>
        <v>0</v>
      </c>
      <c r="O132" s="4">
        <f>IF(G132&lt;0,0,G132)</f>
        <v>14.289076729108608</v>
      </c>
      <c r="P132" s="4">
        <f>(1/6)*(M132-K132)*((N132*((2*J132)+L132))+(O132*(J132+(2*L132))))</f>
        <v>57.091050533633762</v>
      </c>
      <c r="Q132" s="4">
        <f>((1/12)*(M132-K132)*(N132*J132*((3*K132)+M132)+N132*L132*(K132+M132)+O132*J132*(K132+M132)+O132*L132*(K132+(3*M132))))</f>
        <v>328.78479925785251</v>
      </c>
      <c r="R132" s="4">
        <f>((-1/24)*(M132-K132)*(J132*J132*((3*N132)+O132)+2*J132*L132*(N132+O132)+L132*L132*(N132+(3*O132))))</f>
        <v>-113.93013994665515</v>
      </c>
    </row>
    <row r="133" spans="1:18" x14ac:dyDescent="0.25">
      <c r="A133" t="s">
        <v>70</v>
      </c>
      <c r="B133" s="4">
        <f t="shared" ref="B133:C138" si="50">D132</f>
        <v>-1.3358122306045388</v>
      </c>
      <c r="C133" s="4">
        <f t="shared" si="50"/>
        <v>9.8089553819235675</v>
      </c>
      <c r="D133" s="4">
        <f t="shared" si="47"/>
        <v>-9.8089553819235675</v>
      </c>
      <c r="E133" s="4">
        <f t="shared" si="47"/>
        <v>-1.3358122306045388</v>
      </c>
      <c r="F133" s="4">
        <f t="shared" si="48"/>
        <v>14.289076729108608</v>
      </c>
      <c r="G133" s="4">
        <f t="shared" si="49"/>
        <v>-12.005937450005863</v>
      </c>
      <c r="H133" s="4">
        <f t="shared" ref="H133:H139" si="51">IF(B133=D133,"V",(C133-E133)/(B133-D133))</f>
        <v>1.315305007067322</v>
      </c>
      <c r="I133" s="4">
        <f t="shared" ref="I133:I139" si="52">IF(H133="V",0,(-1*B133*H133)+C133)</f>
        <v>11.565955897339485</v>
      </c>
      <c r="J133" s="4">
        <f t="shared" ref="J133:J139" si="53">IF($F133&gt;=0,B133,IF(AND($F133&lt;0,$G133&gt;=0),IF(H133="V",B133,($B$125-I133)/H133),0))</f>
        <v>-1.3358122306045388</v>
      </c>
      <c r="K133" s="4">
        <f t="shared" ref="K133:K139" si="54">IF($F133&gt;=0,C133,IF(AND($F133&lt;0,$G133&gt;=0),$B$125,0))</f>
        <v>9.8089553819235675</v>
      </c>
      <c r="L133" s="4">
        <f t="shared" ref="L133:L139" si="55">IF($G133&gt;=0,D133,IF(AND($G133&lt;0,$F133&gt;=0),IF(H133="V",D133,($B$125-I133)/H133),0))</f>
        <v>-5.9402361644042987</v>
      </c>
      <c r="M133" s="4">
        <f t="shared" ref="M133:M139" si="56">IF($G133&gt;=0,E133,IF(AND($G133&lt;0,$F133&gt;=0),$B$125,0))</f>
        <v>3.7527335271361277</v>
      </c>
      <c r="N133" s="4">
        <f t="shared" ref="N133:O139" si="57">IF(F133&lt;0,0,F133)</f>
        <v>14.289076729108608</v>
      </c>
      <c r="O133" s="4">
        <f t="shared" si="57"/>
        <v>0</v>
      </c>
      <c r="P133" s="4">
        <f t="shared" ref="P133:P139" si="58">(1/6)*(M133-K133)*((N133*((2*J133)+L133))+(O133*(J133+(2*L133))))</f>
        <v>124.20860568421371</v>
      </c>
      <c r="Q133" s="4">
        <f t="shared" ref="Q133:Q139" si="59">((1/12)*(M133-K133)*(N133*J133*((3*K133)+M133)+N133*L133*(K133+M133)+O133*J133*(K133+M133)+O133*L133*(K133+(3*M133))))</f>
        <v>900.57996921510653</v>
      </c>
      <c r="R133" s="4">
        <f t="shared" ref="R133:R139" si="60">((-1/24)*(M133-K133)*(J133*J133*((3*N133)+O133)+2*J133*L133*(N133+O133)+L133*L133*(N133+(3*O133))))</f>
        <v>203.75931183963971</v>
      </c>
    </row>
    <row r="134" spans="1:18" x14ac:dyDescent="0.25">
      <c r="A134" t="s">
        <v>71</v>
      </c>
      <c r="B134" s="4">
        <f t="shared" si="50"/>
        <v>-9.8089553819235675</v>
      </c>
      <c r="C134" s="4">
        <f t="shared" si="50"/>
        <v>-1.3358122306045388</v>
      </c>
      <c r="D134" s="4">
        <f t="shared" si="47"/>
        <v>1.3358122306045388</v>
      </c>
      <c r="E134" s="4">
        <f t="shared" si="47"/>
        <v>-9.8089553819235675</v>
      </c>
      <c r="F134" s="4">
        <f t="shared" si="48"/>
        <v>-12.005937450005863</v>
      </c>
      <c r="G134" s="4">
        <f t="shared" si="49"/>
        <v>-31.997509015405218</v>
      </c>
      <c r="H134" s="4">
        <f t="shared" si="51"/>
        <v>-0.76027993098700064</v>
      </c>
      <c r="I134" s="4">
        <f t="shared" si="52"/>
        <v>-8.7933641514279568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1.3358122306045388</v>
      </c>
      <c r="C135" s="4">
        <f t="shared" si="50"/>
        <v>-9.8089553819235675</v>
      </c>
      <c r="D135" s="4">
        <f t="shared" si="47"/>
        <v>9.8089553819235675</v>
      </c>
      <c r="E135" s="4">
        <f t="shared" si="47"/>
        <v>1.3358122306045388</v>
      </c>
      <c r="F135" s="4">
        <f t="shared" si="48"/>
        <v>-31.997509015405218</v>
      </c>
      <c r="G135" s="4">
        <f t="shared" si="49"/>
        <v>-5.7024948362907448</v>
      </c>
      <c r="H135" s="4">
        <f t="shared" si="51"/>
        <v>1.315305007067322</v>
      </c>
      <c r="I135" s="4">
        <f t="shared" si="52"/>
        <v>-11.565955897339485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9.8089553819235675</v>
      </c>
      <c r="C136" s="4">
        <f t="shared" si="50"/>
        <v>1.3358122306045388</v>
      </c>
      <c r="D136" s="4">
        <f t="shared" si="47"/>
        <v>9.8089553819235675</v>
      </c>
      <c r="E136" s="4">
        <f t="shared" si="47"/>
        <v>1.3358122306045388</v>
      </c>
      <c r="F136" s="4">
        <f t="shared" si="48"/>
        <v>-5.7024948362907448</v>
      </c>
      <c r="G136" s="4">
        <f t="shared" si="49"/>
        <v>-5.7024948362907448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9.8089553819235675</v>
      </c>
      <c r="C137" s="4">
        <f t="shared" si="50"/>
        <v>1.3358122306045388</v>
      </c>
      <c r="D137" s="4">
        <f t="shared" si="47"/>
        <v>9.8089553819235675</v>
      </c>
      <c r="E137" s="4">
        <f t="shared" si="47"/>
        <v>1.3358122306045388</v>
      </c>
      <c r="F137" s="4">
        <f t="shared" si="48"/>
        <v>-5.7024948362907448</v>
      </c>
      <c r="G137" s="4">
        <f t="shared" si="49"/>
        <v>-5.7024948362907448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9.8089553819235675</v>
      </c>
      <c r="C138" s="4">
        <f t="shared" si="50"/>
        <v>1.3358122306045388</v>
      </c>
      <c r="D138" s="4">
        <f t="shared" si="47"/>
        <v>9.8089553819235675</v>
      </c>
      <c r="E138" s="4">
        <f t="shared" si="47"/>
        <v>1.3358122306045388</v>
      </c>
      <c r="F138" s="4">
        <f t="shared" si="48"/>
        <v>-5.7024948362907448</v>
      </c>
      <c r="G138" s="4">
        <f t="shared" si="49"/>
        <v>-5.7024948362907448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9.8089553819235675</v>
      </c>
      <c r="C139" s="4">
        <f>E138</f>
        <v>1.3358122306045388</v>
      </c>
      <c r="D139" s="4">
        <f t="shared" si="47"/>
        <v>9.8089553819235675</v>
      </c>
      <c r="E139" s="4">
        <f t="shared" si="47"/>
        <v>1.3358122306045388</v>
      </c>
      <c r="F139" s="4">
        <f t="shared" si="48"/>
        <v>-5.7024948362907448</v>
      </c>
      <c r="G139" s="4">
        <f t="shared" si="49"/>
        <v>-5.7024948362907448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181.29965621784748</v>
      </c>
      <c r="Q140" s="4">
        <f>SUM(Q132:Q139)</f>
        <v>1229.364768472959</v>
      </c>
      <c r="R140" s="4">
        <f>SUM(R132:R139)</f>
        <v>89.829171892984562</v>
      </c>
    </row>
    <row r="142" spans="1:18" x14ac:dyDescent="0.25">
      <c r="O142" t="s">
        <v>96</v>
      </c>
      <c r="P142" s="1">
        <f>-1*R140/P140</f>
        <v>-0.49547348167636296</v>
      </c>
    </row>
    <row r="143" spans="1:18" x14ac:dyDescent="0.25">
      <c r="O143" t="s">
        <v>97</v>
      </c>
      <c r="P143" s="1">
        <f>Q140/P140</f>
        <v>6.7808444545298476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9.8089553819235675</v>
      </c>
      <c r="C146" s="9">
        <f>J84</f>
        <v>1.3358122306045388</v>
      </c>
      <c r="D146" s="9">
        <f t="shared" ref="D146:E153" si="61">I85</f>
        <v>9.8089553819235675</v>
      </c>
      <c r="E146">
        <f t="shared" si="61"/>
        <v>1.3358122306045388</v>
      </c>
      <c r="F146" s="4">
        <f>($B$66/$B$65)*(C146-$B$125)</f>
        <v>-5.7024948362907448</v>
      </c>
      <c r="G146" s="4">
        <f>($B$66/$B$65)*(E146-$B$125)</f>
        <v>-5.7024948362907448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9.8089553819235675</v>
      </c>
      <c r="C147">
        <f t="shared" si="62"/>
        <v>1.3358122306045388</v>
      </c>
      <c r="D147" s="9">
        <f t="shared" si="61"/>
        <v>9.8089553819235675</v>
      </c>
      <c r="E147">
        <f t="shared" si="61"/>
        <v>1.3358122306045388</v>
      </c>
      <c r="F147" s="4">
        <f t="shared" ref="F147:F153" si="63">($B$66/$B$65)*(C147-$B$125)</f>
        <v>-5.7024948362907448</v>
      </c>
      <c r="G147" s="4">
        <f t="shared" ref="G147:G153" si="64">($B$66/$B$65)*(E147-$B$125)</f>
        <v>-5.7024948362907448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9.8089553819235675</v>
      </c>
      <c r="C148">
        <f t="shared" si="62"/>
        <v>1.3358122306045388</v>
      </c>
      <c r="D148" s="9">
        <f t="shared" si="61"/>
        <v>9.8089553819235675</v>
      </c>
      <c r="E148">
        <f t="shared" si="61"/>
        <v>1.3358122306045388</v>
      </c>
      <c r="F148" s="4">
        <f t="shared" si="63"/>
        <v>-5.7024948362907448</v>
      </c>
      <c r="G148" s="4">
        <f t="shared" si="64"/>
        <v>-5.7024948362907448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9.8089553819235675</v>
      </c>
      <c r="C149">
        <f t="shared" si="62"/>
        <v>1.3358122306045388</v>
      </c>
      <c r="D149" s="9">
        <f t="shared" si="61"/>
        <v>9.8089553819235675</v>
      </c>
      <c r="E149">
        <f t="shared" si="61"/>
        <v>1.3358122306045388</v>
      </c>
      <c r="F149" s="4">
        <f t="shared" si="63"/>
        <v>-5.7024948362907448</v>
      </c>
      <c r="G149" s="4">
        <f t="shared" si="64"/>
        <v>-5.7024948362907448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9.8089553819235675</v>
      </c>
      <c r="C150">
        <f t="shared" si="62"/>
        <v>1.3358122306045388</v>
      </c>
      <c r="D150" s="9">
        <f t="shared" si="61"/>
        <v>9.8089553819235675</v>
      </c>
      <c r="E150">
        <f t="shared" si="61"/>
        <v>1.3358122306045388</v>
      </c>
      <c r="F150" s="4">
        <f t="shared" si="63"/>
        <v>-5.7024948362907448</v>
      </c>
      <c r="G150" s="4">
        <f t="shared" si="64"/>
        <v>-5.7024948362907448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9.8089553819235675</v>
      </c>
      <c r="C151">
        <f t="shared" si="62"/>
        <v>1.3358122306045388</v>
      </c>
      <c r="D151" s="9">
        <f t="shared" si="61"/>
        <v>9.8089553819235675</v>
      </c>
      <c r="E151">
        <f t="shared" si="61"/>
        <v>1.3358122306045388</v>
      </c>
      <c r="F151" s="4">
        <f t="shared" si="63"/>
        <v>-5.7024948362907448</v>
      </c>
      <c r="G151" s="4">
        <f t="shared" si="64"/>
        <v>-5.7024948362907448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9.8089553819235675</v>
      </c>
      <c r="C152">
        <f t="shared" si="62"/>
        <v>1.3358122306045388</v>
      </c>
      <c r="D152" s="9">
        <f t="shared" si="61"/>
        <v>9.8089553819235675</v>
      </c>
      <c r="E152">
        <f t="shared" si="61"/>
        <v>1.3358122306045388</v>
      </c>
      <c r="F152" s="4">
        <f t="shared" si="63"/>
        <v>-5.7024948362907448</v>
      </c>
      <c r="G152" s="4">
        <f t="shared" si="64"/>
        <v>-5.7024948362907448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9.8089553819235675</v>
      </c>
      <c r="C153">
        <f t="shared" si="62"/>
        <v>1.3358122306045388</v>
      </c>
      <c r="D153" s="9">
        <f t="shared" si="61"/>
        <v>9.8089553819235675</v>
      </c>
      <c r="E153">
        <f t="shared" si="61"/>
        <v>1.3358122306045388</v>
      </c>
      <c r="F153" s="4">
        <f t="shared" si="63"/>
        <v>-5.7024948362907448</v>
      </c>
      <c r="G153" s="4">
        <f t="shared" si="64"/>
        <v>-5.7024948362907448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2.6554973300285667E-6</v>
      </c>
      <c r="C159" t="s">
        <v>36</v>
      </c>
    </row>
    <row r="160" spans="1:18" x14ac:dyDescent="0.25">
      <c r="A160" s="1" t="s">
        <v>106</v>
      </c>
      <c r="B160" s="4">
        <f>Q140+I122+Q154-O122</f>
        <v>1681.5352263757866</v>
      </c>
      <c r="C160" t="s">
        <v>102</v>
      </c>
    </row>
    <row r="161" spans="1:9" x14ac:dyDescent="0.25">
      <c r="A161" s="1" t="s">
        <v>107</v>
      </c>
      <c r="B161" s="4">
        <f>R140+J122+R154-P122</f>
        <v>228.99638369607558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2.6554973300285667E-6</v>
      </c>
      <c r="C164" t="s">
        <v>36</v>
      </c>
      <c r="E164" s="8">
        <f>B2-B164</f>
        <v>-2.6554973300285667E-6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-1200.0000135747684</v>
      </c>
      <c r="C165" t="s">
        <v>102</v>
      </c>
      <c r="E165" s="8">
        <f>B3+B165</f>
        <v>-1.3574768445323571E-5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-1200.0000119621263</v>
      </c>
      <c r="C166" t="s">
        <v>102</v>
      </c>
      <c r="E166" s="8">
        <f>B4+B166</f>
        <v>-1.1962126336584333E-5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14.28907672910861</v>
      </c>
      <c r="B169" s="1">
        <f ca="1">IF(E122=0,0,(MIN(H110:H121)*B65)/(B55*B56*E122))</f>
        <v>-14.289076517167354</v>
      </c>
      <c r="C169" s="3">
        <f ca="1">A169+B169</f>
        <v>2.1194125565671129E-7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5.6239117377785568E-8</v>
      </c>
      <c r="C175" s="27">
        <f>B65*SQRT(I175)</f>
        <v>8.9828286713980596E-8</v>
      </c>
      <c r="D175" s="27">
        <f>B66*SQRT(I175)</f>
        <v>2.1194125844081822E-7</v>
      </c>
      <c r="E175" s="27">
        <f>B67*SQRT(I175)</f>
        <v>7.7961826501262227E-7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3.7916405763548333</v>
      </c>
      <c r="C176" s="3">
        <f>B65+C175</f>
        <v>6.0562219446157268</v>
      </c>
      <c r="D176" s="3">
        <f>D175+B66</f>
        <v>14.289076941049869</v>
      </c>
      <c r="E176" s="3">
        <f>B67+E175</f>
        <v>52.561853484152401</v>
      </c>
      <c r="F176" s="16" t="s">
        <v>125</v>
      </c>
    </row>
    <row r="177" spans="1:13" x14ac:dyDescent="0.25">
      <c r="B177" s="27">
        <f>B176-B64</f>
        <v>5.6239117363077185E-8</v>
      </c>
      <c r="C177" s="27">
        <f>C176-B65</f>
        <v>8.9828287030968568E-8</v>
      </c>
      <c r="D177" s="27">
        <f>D176-B66</f>
        <v>2.1194125920942497E-7</v>
      </c>
      <c r="E177" s="27">
        <f>E176-B67</f>
        <v>7.7961826150385605E-7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-9.8089553826581106</v>
      </c>
      <c r="B181" s="25">
        <f>(d_alpha_p!E136-d_alpha_m!E136)/(2*B177)</f>
        <v>-9.8089553826581106</v>
      </c>
      <c r="C181" s="25">
        <f>(d_alpha_p!E137-d_alpha_m!E137)/(2*B177)</f>
        <v>-9.8089553826581106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2.6554973300285667E-6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1.3574768445323571E-5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1.1962126336584333E-5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-2.1194125565671129E-7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-9.8089553826581106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-9.8089553826581106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-9.8089553826581106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-9.8089553826581106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-9.8089553826581106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-9.8089553826581106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2.6239067055393579</v>
      </c>
      <c r="J3" t="s">
        <v>11</v>
      </c>
    </row>
    <row r="4" spans="1:29" x14ac:dyDescent="0.25">
      <c r="A4" s="10" t="s">
        <v>80</v>
      </c>
      <c r="B4" s="17">
        <f>'Rigid Bearing Plate Analysis'!B4</f>
        <v>1200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2.6239067055393579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5.2478134110787158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-2.6239067055393579</v>
      </c>
      <c r="AB14">
        <f>$B$4/Z14</f>
        <v>2.6239067055393579</v>
      </c>
      <c r="AC14">
        <f>$I$2+AA14+AB14</f>
        <v>0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2.6239067055393579</v>
      </c>
      <c r="AB15">
        <f t="shared" ref="AB15:AB21" si="11">$B$4/Z15</f>
        <v>2.6239067055393579</v>
      </c>
      <c r="AC15">
        <f t="shared" ref="AC15:AC20" si="12">$I$2+AA15+AB15</f>
        <v>5.2478134110787158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2.6239067055393579</v>
      </c>
      <c r="AB16">
        <f t="shared" si="11"/>
        <v>-2.6239067055393579</v>
      </c>
      <c r="AC16">
        <f t="shared" si="12"/>
        <v>0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-2.6239067055393579</v>
      </c>
      <c r="AB17">
        <f t="shared" si="11"/>
        <v>-2.6239067055393579</v>
      </c>
      <c r="AC17">
        <f t="shared" si="12"/>
        <v>-5.2478134110787158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-2.6239067055393579</v>
      </c>
      <c r="AB18">
        <f t="shared" si="11"/>
        <v>-2.6239067055393579</v>
      </c>
      <c r="AC18">
        <f t="shared" si="12"/>
        <v>-5.2478134110787158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-2.6239067055393579</v>
      </c>
      <c r="AB19">
        <f t="shared" si="11"/>
        <v>-2.6239067055393579</v>
      </c>
      <c r="AC19">
        <f t="shared" si="12"/>
        <v>-5.2478134110787158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-2.6239067055393579</v>
      </c>
      <c r="AB20">
        <f t="shared" si="11"/>
        <v>-2.6239067055393579</v>
      </c>
      <c r="AC20">
        <f t="shared" si="12"/>
        <v>-5.2478134110787158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-2.6239067055393579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3.791640520115716</v>
      </c>
      <c r="C64" t="s">
        <v>19</v>
      </c>
      <c r="D64" t="s">
        <v>34</v>
      </c>
      <c r="H64" s="17">
        <f>DEGREES(B64)</f>
        <v>217.24499923341884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6.0562218547874398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14.289076305226098</v>
      </c>
      <c r="C66" t="s">
        <v>11</v>
      </c>
      <c r="D66">
        <f>B66/B53</f>
        <v>3.5071408671336337E-3</v>
      </c>
      <c r="I66" s="20"/>
    </row>
    <row r="67" spans="1:18" x14ac:dyDescent="0.25">
      <c r="A67" s="1" t="s">
        <v>37</v>
      </c>
      <c r="B67" s="17">
        <f>'Rigid Bearing Plate Analysis'!B67</f>
        <v>52.561852704534139</v>
      </c>
      <c r="C67" t="s">
        <v>36</v>
      </c>
      <c r="D67" t="s">
        <v>122</v>
      </c>
      <c r="G67" s="20">
        <f ca="1">($B$56*$B$66*$B$55*$E$122)/$B$65</f>
        <v>52.561851924915871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-10.808955381923568</v>
      </c>
      <c r="R76">
        <f>Q76</f>
        <v>-10.808955381923568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10.808955381923568</v>
      </c>
      <c r="R77">
        <f>Q77</f>
        <v>10.808955381923568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9.8089553819235675</v>
      </c>
      <c r="C84" s="1">
        <f t="shared" ref="C84:C92" si="23">(-1*B73*SIN($B$64))+(C73*COS($B$64))</f>
        <v>1.3358122306045388</v>
      </c>
      <c r="H84" s="1">
        <f t="shared" ref="H84:H92" si="24">H73</f>
        <v>1</v>
      </c>
      <c r="I84" s="4">
        <f>(I73*COS($B$64))+(J73*SIN($B$64))</f>
        <v>9.8089553819235675</v>
      </c>
      <c r="J84" s="1">
        <f>(-1*I73*SIN($B$64))+(J73*COS($B$64))</f>
        <v>1.3358122306045388</v>
      </c>
    </row>
    <row r="85" spans="1:10" x14ac:dyDescent="0.25">
      <c r="A85" s="1">
        <f t="shared" si="21"/>
        <v>2</v>
      </c>
      <c r="B85" s="4">
        <f t="shared" si="22"/>
        <v>-1.3358122306045388</v>
      </c>
      <c r="C85" s="1">
        <f t="shared" si="23"/>
        <v>9.8089553819235675</v>
      </c>
      <c r="H85" s="1">
        <f t="shared" si="24"/>
        <v>2</v>
      </c>
      <c r="I85" s="4">
        <f t="shared" ref="I85:I92" si="25">(I74*COS($B$64))+(J74*SIN($B$64))</f>
        <v>9.8089553819235675</v>
      </c>
      <c r="J85" s="1">
        <f t="shared" ref="J85:J92" si="26">(-1*I74*SIN($B$64))+(J74*COS($B$64))</f>
        <v>1.3358122306045388</v>
      </c>
    </row>
    <row r="86" spans="1:10" x14ac:dyDescent="0.25">
      <c r="A86" s="1">
        <f t="shared" si="21"/>
        <v>3</v>
      </c>
      <c r="B86" s="4">
        <f t="shared" si="22"/>
        <v>-9.8089553819235675</v>
      </c>
      <c r="C86" s="1">
        <f t="shared" si="23"/>
        <v>-1.3358122306045388</v>
      </c>
      <c r="H86" s="1">
        <f t="shared" si="24"/>
        <v>3</v>
      </c>
      <c r="I86" s="4">
        <f t="shared" si="25"/>
        <v>9.8089553819235675</v>
      </c>
      <c r="J86" s="1">
        <f t="shared" si="26"/>
        <v>1.3358122306045388</v>
      </c>
    </row>
    <row r="87" spans="1:10" x14ac:dyDescent="0.25">
      <c r="A87" s="1">
        <f t="shared" si="21"/>
        <v>4</v>
      </c>
      <c r="B87" s="4">
        <f t="shared" si="22"/>
        <v>1.3358122306045388</v>
      </c>
      <c r="C87" s="1">
        <f t="shared" si="23"/>
        <v>-9.8089553819235675</v>
      </c>
      <c r="H87" s="1">
        <f t="shared" si="24"/>
        <v>4</v>
      </c>
      <c r="I87" s="4">
        <f t="shared" si="25"/>
        <v>9.8089553819235675</v>
      </c>
      <c r="J87" s="1">
        <f t="shared" si="26"/>
        <v>1.3358122306045388</v>
      </c>
    </row>
    <row r="88" spans="1:10" x14ac:dyDescent="0.25">
      <c r="A88" s="1">
        <f t="shared" si="21"/>
        <v>5</v>
      </c>
      <c r="B88" s="4">
        <f t="shared" si="22"/>
        <v>9.8089553819235675</v>
      </c>
      <c r="C88" s="1">
        <f t="shared" si="23"/>
        <v>1.3358122306045388</v>
      </c>
      <c r="H88" s="1">
        <f t="shared" si="24"/>
        <v>5</v>
      </c>
      <c r="I88" s="4">
        <f t="shared" si="25"/>
        <v>9.8089553819235675</v>
      </c>
      <c r="J88" s="1">
        <f t="shared" si="26"/>
        <v>1.3358122306045388</v>
      </c>
    </row>
    <row r="89" spans="1:10" x14ac:dyDescent="0.25">
      <c r="A89" s="1">
        <f t="shared" si="21"/>
        <v>6</v>
      </c>
      <c r="B89" s="4">
        <f t="shared" si="22"/>
        <v>9.8089553819235675</v>
      </c>
      <c r="C89" s="1">
        <f t="shared" si="23"/>
        <v>1.3358122306045388</v>
      </c>
      <c r="H89" s="1">
        <f t="shared" si="24"/>
        <v>6</v>
      </c>
      <c r="I89" s="4">
        <f t="shared" si="25"/>
        <v>9.8089553819235675</v>
      </c>
      <c r="J89" s="1">
        <f t="shared" si="26"/>
        <v>1.3358122306045388</v>
      </c>
    </row>
    <row r="90" spans="1:10" x14ac:dyDescent="0.25">
      <c r="A90" s="1">
        <f t="shared" si="21"/>
        <v>7</v>
      </c>
      <c r="B90" s="4">
        <f t="shared" si="22"/>
        <v>9.8089553819235675</v>
      </c>
      <c r="C90" s="1">
        <f t="shared" si="23"/>
        <v>1.3358122306045388</v>
      </c>
      <c r="H90" s="1">
        <f t="shared" si="24"/>
        <v>7</v>
      </c>
      <c r="I90" s="4">
        <f t="shared" si="25"/>
        <v>9.8089553819235675</v>
      </c>
      <c r="J90" s="1">
        <f t="shared" si="26"/>
        <v>1.3358122306045388</v>
      </c>
    </row>
    <row r="91" spans="1:10" x14ac:dyDescent="0.25">
      <c r="A91" s="1">
        <f t="shared" si="21"/>
        <v>8</v>
      </c>
      <c r="B91" s="4">
        <f t="shared" si="22"/>
        <v>9.8089553819235675</v>
      </c>
      <c r="C91" s="1">
        <f t="shared" si="23"/>
        <v>1.3358122306045388</v>
      </c>
      <c r="H91" s="1">
        <f t="shared" si="24"/>
        <v>8</v>
      </c>
      <c r="I91" s="4">
        <f t="shared" si="25"/>
        <v>9.8089553819235675</v>
      </c>
      <c r="J91" s="1">
        <f t="shared" si="26"/>
        <v>1.3358122306045388</v>
      </c>
    </row>
    <row r="92" spans="1:10" x14ac:dyDescent="0.25">
      <c r="A92" s="1">
        <f t="shared" si="21"/>
        <v>9</v>
      </c>
      <c r="B92" s="4">
        <f t="shared" si="22"/>
        <v>9.8089553819235675</v>
      </c>
      <c r="C92" s="1">
        <f t="shared" si="23"/>
        <v>1.3358122306045388</v>
      </c>
      <c r="H92" s="1">
        <f t="shared" si="24"/>
        <v>9</v>
      </c>
      <c r="I92" s="4">
        <f t="shared" si="25"/>
        <v>9.8089553819235675</v>
      </c>
      <c r="J92" s="1">
        <f t="shared" si="26"/>
        <v>1.3358122306045388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5.6051173610991816</v>
      </c>
      <c r="C110" s="1">
        <f>(-1*B95*SIN($B$64))+(C95*COS($B$64))</f>
        <v>0.76332127463116528</v>
      </c>
      <c r="D110" t="str">
        <f t="shared" ref="D110" si="31">D95</f>
        <v>y</v>
      </c>
      <c r="E110" s="4">
        <f t="shared" ref="E110:E121" si="32">IF($D110="y",$B$125-C110,0)</f>
        <v>2.9894122525049625</v>
      </c>
      <c r="F110" s="1">
        <f>IF($D110="y",B110,NA())</f>
        <v>5.6051173610991816</v>
      </c>
      <c r="G110" s="1">
        <f>IF($D110="y",C110,NA())</f>
        <v>0.76332127463116528</v>
      </c>
      <c r="H110">
        <f t="shared" ref="H110:H121" si="33">IF($E$122=0,0,-1*MAX(($B$67/$E$122)*(E110),0))</f>
        <v>-16.791146638897413</v>
      </c>
      <c r="I110">
        <f>H110*C110</f>
        <v>-12.81703945492198</v>
      </c>
      <c r="J110">
        <f>H110*B110*-1</f>
        <v>94.116347538446064</v>
      </c>
      <c r="K110">
        <f ca="1">H110/$B$55</f>
        <v>-50.203644830810688</v>
      </c>
      <c r="L110">
        <f ca="1">K110/$B$54</f>
        <v>-1.7311601665796789E-3</v>
      </c>
      <c r="M110">
        <f t="shared" ref="M110:M121" si="34">IFERROR(($D$66/$B$65)*(G110-$B$125),0)</f>
        <v>-1.7311601409024239E-3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-0.76332127463116528</v>
      </c>
      <c r="C111" s="1">
        <f t="shared" ref="C111:C121" si="37">(-1*B96*SIN($B$64))+(C96*COS($B$64))</f>
        <v>5.6051173610991816</v>
      </c>
      <c r="D111" t="str">
        <f t="shared" si="35"/>
        <v>y</v>
      </c>
      <c r="E111" s="4">
        <f t="shared" si="32"/>
        <v>-1.8523838339630538</v>
      </c>
      <c r="F111" s="1">
        <f t="shared" ref="F111:G121" si="38">IF($D111="y",B111,NA())</f>
        <v>-0.76332127463116528</v>
      </c>
      <c r="G111" s="1">
        <f t="shared" si="38"/>
        <v>5.6051173610991816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1.072710214632242E-3</v>
      </c>
      <c r="N111">
        <f t="shared" ref="N111:N121" si="42">IF(AND(M111&gt;0,D111="y",$E$60="y"),$B$53*M111*$E$59,0)</f>
        <v>2.2660525771151065</v>
      </c>
      <c r="O111">
        <f t="shared" ref="O111:O121" si="43">N111*C111</f>
        <v>12.701490641151425</v>
      </c>
      <c r="P111">
        <f t="shared" ref="P111:P121" si="44">N111*B111*-1</f>
        <v>1.72972614154474</v>
      </c>
    </row>
    <row r="112" spans="1:16" x14ac:dyDescent="0.25">
      <c r="A112">
        <f t="shared" si="35"/>
        <v>3</v>
      </c>
      <c r="B112" s="1">
        <f t="shared" si="36"/>
        <v>0.76332127463116528</v>
      </c>
      <c r="C112" s="1">
        <f t="shared" si="37"/>
        <v>-5.6051173610991816</v>
      </c>
      <c r="D112" t="str">
        <f t="shared" si="35"/>
        <v>y</v>
      </c>
      <c r="E112" s="4">
        <f t="shared" si="32"/>
        <v>9.3578508882353084</v>
      </c>
      <c r="F112" s="1">
        <f t="shared" si="38"/>
        <v>0.76332127463116528</v>
      </c>
      <c r="G112" s="1">
        <f t="shared" si="38"/>
        <v>-5.6051173610991816</v>
      </c>
      <c r="H112">
        <f t="shared" si="33"/>
        <v>-52.561852704534139</v>
      </c>
      <c r="I112">
        <f t="shared" si="39"/>
        <v>294.61535312572227</v>
      </c>
      <c r="J112">
        <f t="shared" si="40"/>
        <v>40.121580403400564</v>
      </c>
      <c r="K112">
        <f t="shared" ref="K112:K121" ca="1" si="45">H112/$B$55</f>
        <v>-157.15404323341045</v>
      </c>
      <c r="L112">
        <f t="shared" ca="1" si="41"/>
        <v>-5.4191049390831187E-3</v>
      </c>
      <c r="M112">
        <f t="shared" si="34"/>
        <v>-5.4191048587048018E-3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-5.6051173610991816</v>
      </c>
      <c r="C113" s="1">
        <f t="shared" si="37"/>
        <v>-0.76332127463116528</v>
      </c>
      <c r="D113" t="str">
        <f t="shared" si="35"/>
        <v>y</v>
      </c>
      <c r="E113" s="4">
        <f t="shared" si="32"/>
        <v>4.516054801767293</v>
      </c>
      <c r="F113" s="1">
        <f t="shared" si="38"/>
        <v>-5.6051173610991816</v>
      </c>
      <c r="G113" s="1">
        <f t="shared" si="38"/>
        <v>-0.76332127463116528</v>
      </c>
      <c r="H113">
        <f t="shared" si="33"/>
        <v>-25.366102765595567</v>
      </c>
      <c r="I113">
        <f t="shared" si="39"/>
        <v>19.362485895459535</v>
      </c>
      <c r="J113">
        <f t="shared" si="40"/>
        <v>-142.17998299486567</v>
      </c>
      <c r="K113">
        <f t="shared" ca="1" si="45"/>
        <v>-75.841801716849687</v>
      </c>
      <c r="L113">
        <f t="shared" ca="1" si="41"/>
        <v>-2.615234541960334E-3</v>
      </c>
      <c r="M113">
        <f t="shared" si="34"/>
        <v>-2.6152345031701368E-3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4.0920560840779263</v>
      </c>
      <c r="C114" s="1">
        <f t="shared" si="37"/>
        <v>-1.2268157990345681</v>
      </c>
      <c r="D114" t="str">
        <f t="shared" si="35"/>
        <v>y</v>
      </c>
      <c r="E114" s="4">
        <f t="shared" si="32"/>
        <v>4.9795493261706962</v>
      </c>
      <c r="F114" s="1">
        <f t="shared" si="38"/>
        <v>4.0920560840779263</v>
      </c>
      <c r="G114" s="1">
        <f t="shared" si="38"/>
        <v>-1.2268157990345681</v>
      </c>
      <c r="H114">
        <f t="shared" si="33"/>
        <v>-27.969492284408894</v>
      </c>
      <c r="I114">
        <f t="shared" si="39"/>
        <v>34.313415025488283</v>
      </c>
      <c r="J114">
        <f t="shared" si="40"/>
        <v>114.45273107098603</v>
      </c>
      <c r="K114">
        <f t="shared" ca="1" si="45"/>
        <v>-83.625644331623121</v>
      </c>
      <c r="L114">
        <f t="shared" ca="1" si="41"/>
        <v>-2.8836429079870042E-3</v>
      </c>
      <c r="M114">
        <f t="shared" si="34"/>
        <v>-2.8836428652156674E-3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-2.2763825516524205</v>
      </c>
      <c r="C115" s="1">
        <f t="shared" si="37"/>
        <v>3.6149802874334482</v>
      </c>
      <c r="D115" t="str">
        <f t="shared" si="35"/>
        <v>y</v>
      </c>
      <c r="E115" s="4">
        <f t="shared" si="32"/>
        <v>0.1377532397026795</v>
      </c>
      <c r="F115" s="1">
        <f t="shared" si="38"/>
        <v>-2.2763825516524205</v>
      </c>
      <c r="G115" s="1">
        <f t="shared" si="38"/>
        <v>3.6149802874334482</v>
      </c>
      <c r="H115">
        <f t="shared" si="33"/>
        <v>-0.7737423454703114</v>
      </c>
      <c r="I115">
        <f t="shared" si="39"/>
        <v>-2.7970633264276965</v>
      </c>
      <c r="J115">
        <f t="shared" si="40"/>
        <v>-1.7613335747032361</v>
      </c>
      <c r="K115">
        <f t="shared" ca="1" si="45"/>
        <v>-2.3134028150623469</v>
      </c>
      <c r="L115">
        <f t="shared" ca="1" si="41"/>
        <v>-7.9772510864218856E-5</v>
      </c>
      <c r="M115">
        <f t="shared" si="34"/>
        <v>-7.9772509681001296E-5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2.2763825516524205</v>
      </c>
      <c r="C116" s="1">
        <f t="shared" si="37"/>
        <v>-3.6149802874334482</v>
      </c>
      <c r="D116" t="str">
        <f t="shared" si="35"/>
        <v>y</v>
      </c>
      <c r="E116" s="4">
        <f t="shared" si="32"/>
        <v>7.3677138145695764</v>
      </c>
      <c r="F116" s="1">
        <f t="shared" si="38"/>
        <v>2.2763825516524205</v>
      </c>
      <c r="G116" s="1">
        <f t="shared" si="38"/>
        <v>-3.6149802874334482</v>
      </c>
      <c r="H116">
        <f t="shared" si="33"/>
        <v>-41.383507059022669</v>
      </c>
      <c r="I116">
        <f t="shared" si="39"/>
        <v>149.60056224322992</v>
      </c>
      <c r="J116">
        <f t="shared" si="40"/>
        <v>94.20469339534398</v>
      </c>
      <c r="K116">
        <f t="shared" ca="1" si="45"/>
        <v>-123.73204373259803</v>
      </c>
      <c r="L116">
        <f t="shared" ca="1" si="41"/>
        <v>-4.2666221976757944E-3</v>
      </c>
      <c r="M116">
        <f t="shared" si="34"/>
        <v>-4.2666221343915598E-3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-4.0920560840779263</v>
      </c>
      <c r="C117" s="1">
        <f t="shared" si="37"/>
        <v>1.2268157990345681</v>
      </c>
      <c r="D117" t="str">
        <f t="shared" si="35"/>
        <v>y</v>
      </c>
      <c r="E117" s="4">
        <f t="shared" si="32"/>
        <v>2.5259177281015597</v>
      </c>
      <c r="F117" s="1">
        <f t="shared" si="38"/>
        <v>-4.0920560840779263</v>
      </c>
      <c r="G117" s="1">
        <f t="shared" si="38"/>
        <v>1.2268157990345681</v>
      </c>
      <c r="H117">
        <f t="shared" si="33"/>
        <v>-14.187757120084088</v>
      </c>
      <c r="I117">
        <f t="shared" si="39"/>
        <v>-17.405764587784343</v>
      </c>
      <c r="J117">
        <f t="shared" si="40"/>
        <v>-58.057097842660013</v>
      </c>
      <c r="K117">
        <f t="shared" ca="1" si="45"/>
        <v>-42.419802216037262</v>
      </c>
      <c r="L117">
        <f t="shared" ca="1" si="41"/>
        <v>-1.4627518005530091E-3</v>
      </c>
      <c r="M117">
        <f t="shared" si="34"/>
        <v>-1.4627517788568935E-3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9.8089553819235675</v>
      </c>
      <c r="C118" s="1">
        <f t="shared" si="37"/>
        <v>1.3358122306045388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9.8089553819235675</v>
      </c>
      <c r="C119" s="1">
        <f t="shared" si="37"/>
        <v>1.3358122306045388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9.8089553819235675</v>
      </c>
      <c r="C120" s="1">
        <f t="shared" si="37"/>
        <v>1.3358122306045388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9.8089553819235675</v>
      </c>
      <c r="C121" s="1">
        <f t="shared" si="37"/>
        <v>1.3358122306045388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9.3578508882353084</v>
      </c>
      <c r="H122">
        <f>SUM(H110:H121)</f>
        <v>-179.03360091801306</v>
      </c>
      <c r="I122">
        <f t="shared" ref="I122:J122" si="46">SUM(I110:I121)</f>
        <v>464.87194892076593</v>
      </c>
      <c r="J122">
        <f t="shared" si="46"/>
        <v>140.89693799594772</v>
      </c>
      <c r="L122">
        <f ca="1">MIN(L110:L121)</f>
        <v>-5.4191049390831187E-3</v>
      </c>
      <c r="M122">
        <f>MIN(M110:M121)</f>
        <v>-5.4191048587048018E-3</v>
      </c>
      <c r="N122">
        <f>SUM(N110:N121)</f>
        <v>2.2660525771151065</v>
      </c>
      <c r="O122">
        <f>SUM(O110:O121)</f>
        <v>12.701490641151425</v>
      </c>
      <c r="P122">
        <f>SUM(P110:P121)</f>
        <v>1.72972614154474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3.7527335271361277</v>
      </c>
      <c r="F125" s="1" t="s">
        <v>27</v>
      </c>
      <c r="G125" s="1" t="s">
        <v>28</v>
      </c>
    </row>
    <row r="126" spans="1:16" x14ac:dyDescent="0.25">
      <c r="F126" s="4">
        <f>MIN(B84:B90)-1</f>
        <v>-10.808955381923568</v>
      </c>
      <c r="G126" s="4">
        <f>B125</f>
        <v>3.7527335271361277</v>
      </c>
    </row>
    <row r="127" spans="1:16" x14ac:dyDescent="0.25">
      <c r="F127" s="4">
        <f>MAX(B84:B90)+1</f>
        <v>10.808955381923568</v>
      </c>
      <c r="G127" s="4">
        <f>G126</f>
        <v>3.7527335271361277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9.8089553819235675</v>
      </c>
      <c r="C132" s="4">
        <f>C84</f>
        <v>1.3358122306045388</v>
      </c>
      <c r="D132" s="4">
        <f t="shared" ref="D132:E139" si="47">B85</f>
        <v>-1.3358122306045388</v>
      </c>
      <c r="E132" s="4">
        <f t="shared" si="47"/>
        <v>9.8089553819235675</v>
      </c>
      <c r="F132" s="4">
        <f t="shared" ref="F132:F139" si="48">($B$66/$B$65)*(C132-$B$125)</f>
        <v>-5.7024946671274135</v>
      </c>
      <c r="G132" s="4">
        <f t="shared" ref="G132:G139" si="49">($B$66/$B$65)*(E132-$B$125)</f>
        <v>14.2890763052261</v>
      </c>
      <c r="H132" s="4">
        <f>IF(B132=D132,"V",(C132-E132)/(B132-D132))</f>
        <v>-0.76027993098700064</v>
      </c>
      <c r="I132" s="4">
        <f>IF(H132="V",0,(-1*B132*H132)+C132)</f>
        <v>8.7933641514279568</v>
      </c>
      <c r="J132" s="4">
        <f>IF($F132&gt;=0,B132,IF(AND($F132&lt;0,$G132&gt;=0),IF(H132="V",B132,($B$125-I132)/H132),0))</f>
        <v>6.629966698907924</v>
      </c>
      <c r="K132" s="4">
        <f>IF($F132&gt;=0,C132,IF(AND($F132&lt;0,$G132&gt;=0),$B$125,0))</f>
        <v>3.7527335271361277</v>
      </c>
      <c r="L132" s="4">
        <f>IF($G132&gt;=0,D132,IF(AND($G132&lt;0,$F132&gt;=0),IF(H132="V",D132,($B$125-I132)/H132),0))</f>
        <v>-1.3358122306045388</v>
      </c>
      <c r="M132" s="4">
        <f>IF($G132&gt;=0,E132,IF(AND($G132&lt;0,$F132&gt;=0),$B$125,0))</f>
        <v>9.8089553819235675</v>
      </c>
      <c r="N132" s="4">
        <f>IF(F132&lt;0,0,F132)</f>
        <v>0</v>
      </c>
      <c r="O132" s="4">
        <f>IF(G132&lt;0,0,G132)</f>
        <v>14.2890763052261</v>
      </c>
      <c r="P132" s="4">
        <f>(1/6)*(M132-K132)*((N132*((2*J132)+L132))+(O132*(J132+(2*L132))))</f>
        <v>57.091048840039555</v>
      </c>
      <c r="Q132" s="4">
        <f>((1/12)*(M132-K132)*(N132*J132*((3*K132)+M132)+N132*L132*(K132+M132)+O132*J132*(K132+M132)+O132*L132*(K132+(3*M132))))</f>
        <v>328.78478950451938</v>
      </c>
      <c r="R132" s="4">
        <f>((-1/24)*(M132-K132)*(J132*J132*((3*N132)+O132)+2*J132*L132*(N132+O132)+L132*L132*(N132+(3*O132))))</f>
        <v>-113.93013656694107</v>
      </c>
    </row>
    <row r="133" spans="1:18" x14ac:dyDescent="0.25">
      <c r="A133" t="s">
        <v>70</v>
      </c>
      <c r="B133" s="4">
        <f t="shared" ref="B133:C138" si="50">D132</f>
        <v>-1.3358122306045388</v>
      </c>
      <c r="C133" s="4">
        <f t="shared" si="50"/>
        <v>9.8089553819235675</v>
      </c>
      <c r="D133" s="4">
        <f t="shared" si="47"/>
        <v>-9.8089553819235675</v>
      </c>
      <c r="E133" s="4">
        <f t="shared" si="47"/>
        <v>-1.3358122306045388</v>
      </c>
      <c r="F133" s="4">
        <f t="shared" si="48"/>
        <v>14.2890763052261</v>
      </c>
      <c r="G133" s="4">
        <f t="shared" si="49"/>
        <v>-12.005937093852209</v>
      </c>
      <c r="H133" s="4">
        <f t="shared" ref="H133:H139" si="51">IF(B133=D133,"V",(C133-E133)/(B133-D133))</f>
        <v>1.315305007067322</v>
      </c>
      <c r="I133" s="4">
        <f t="shared" ref="I133:I139" si="52">IF(H133="V",0,(-1*B133*H133)+C133)</f>
        <v>11.565955897339485</v>
      </c>
      <c r="J133" s="4">
        <f t="shared" ref="J133:J139" si="53">IF($F133&gt;=0,B133,IF(AND($F133&lt;0,$G133&gt;=0),IF(H133="V",B133,($B$125-I133)/H133),0))</f>
        <v>-1.3358122306045388</v>
      </c>
      <c r="K133" s="4">
        <f t="shared" ref="K133:K139" si="54">IF($F133&gt;=0,C133,IF(AND($F133&lt;0,$G133&gt;=0),$B$125,0))</f>
        <v>9.8089553819235675</v>
      </c>
      <c r="L133" s="4">
        <f t="shared" ref="L133:L139" si="55">IF($G133&gt;=0,D133,IF(AND($G133&lt;0,$F133&gt;=0),IF(H133="V",D133,($B$125-I133)/H133),0))</f>
        <v>-5.9402361644042987</v>
      </c>
      <c r="M133" s="4">
        <f t="shared" ref="M133:M139" si="56">IF($G133&gt;=0,E133,IF(AND($G133&lt;0,$F133&gt;=0),$B$125,0))</f>
        <v>3.7527335271361277</v>
      </c>
      <c r="N133" s="4">
        <f t="shared" ref="N133:O139" si="57">IF(F133&lt;0,0,F133)</f>
        <v>14.2890763052261</v>
      </c>
      <c r="O133" s="4">
        <f t="shared" si="57"/>
        <v>0</v>
      </c>
      <c r="P133" s="4">
        <f t="shared" ref="P133:P139" si="58">(1/6)*(M133-K133)*((N133*((2*J133)+L133))+(O133*(J133+(2*L133))))</f>
        <v>124.20860199959111</v>
      </c>
      <c r="Q133" s="4">
        <f t="shared" ref="Q133:Q139" si="59">((1/12)*(M133-K133)*(N133*J133*((3*K133)+M133)+N133*L133*(K133+M133)+O133*J133*(K133+M133)+O133*L133*(K133+(3*M133))))</f>
        <v>900.57994249958779</v>
      </c>
      <c r="R133" s="4">
        <f t="shared" ref="R133:R139" si="60">((-1/24)*(M133-K133)*(J133*J133*((3*N133)+O133)+2*J133*L133*(N133+O133)+L133*L133*(N133+(3*O133))))</f>
        <v>203.75930579516182</v>
      </c>
    </row>
    <row r="134" spans="1:18" x14ac:dyDescent="0.25">
      <c r="A134" t="s">
        <v>71</v>
      </c>
      <c r="B134" s="4">
        <f t="shared" si="50"/>
        <v>-9.8089553819235675</v>
      </c>
      <c r="C134" s="4">
        <f t="shared" si="50"/>
        <v>-1.3358122306045388</v>
      </c>
      <c r="D134" s="4">
        <f t="shared" si="47"/>
        <v>1.3358122306045388</v>
      </c>
      <c r="E134" s="4">
        <f t="shared" si="47"/>
        <v>-9.8089553819235675</v>
      </c>
      <c r="F134" s="4">
        <f t="shared" si="48"/>
        <v>-12.005937093852209</v>
      </c>
      <c r="G134" s="4">
        <f t="shared" si="49"/>
        <v>-31.997508066205722</v>
      </c>
      <c r="H134" s="4">
        <f t="shared" si="51"/>
        <v>-0.76027993098700064</v>
      </c>
      <c r="I134" s="4">
        <f t="shared" si="52"/>
        <v>-8.7933641514279568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1.3358122306045388</v>
      </c>
      <c r="C135" s="4">
        <f t="shared" si="50"/>
        <v>-9.8089553819235675</v>
      </c>
      <c r="D135" s="4">
        <f t="shared" si="47"/>
        <v>9.8089553819235675</v>
      </c>
      <c r="E135" s="4">
        <f t="shared" si="47"/>
        <v>1.3358122306045388</v>
      </c>
      <c r="F135" s="4">
        <f t="shared" si="48"/>
        <v>-31.997508066205722</v>
      </c>
      <c r="G135" s="4">
        <f t="shared" si="49"/>
        <v>-5.7024946671274135</v>
      </c>
      <c r="H135" s="4">
        <f t="shared" si="51"/>
        <v>1.315305007067322</v>
      </c>
      <c r="I135" s="4">
        <f t="shared" si="52"/>
        <v>-11.565955897339485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9.8089553819235675</v>
      </c>
      <c r="C136" s="4">
        <f t="shared" si="50"/>
        <v>1.3358122306045388</v>
      </c>
      <c r="D136" s="4">
        <f t="shared" si="47"/>
        <v>9.8089553819235675</v>
      </c>
      <c r="E136" s="4">
        <f t="shared" si="47"/>
        <v>1.3358122306045388</v>
      </c>
      <c r="F136" s="4">
        <f t="shared" si="48"/>
        <v>-5.7024946671274135</v>
      </c>
      <c r="G136" s="4">
        <f t="shared" si="49"/>
        <v>-5.7024946671274135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9.8089553819235675</v>
      </c>
      <c r="C137" s="4">
        <f t="shared" si="50"/>
        <v>1.3358122306045388</v>
      </c>
      <c r="D137" s="4">
        <f t="shared" si="47"/>
        <v>9.8089553819235675</v>
      </c>
      <c r="E137" s="4">
        <f t="shared" si="47"/>
        <v>1.3358122306045388</v>
      </c>
      <c r="F137" s="4">
        <f t="shared" si="48"/>
        <v>-5.7024946671274135</v>
      </c>
      <c r="G137" s="4">
        <f t="shared" si="49"/>
        <v>-5.7024946671274135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9.8089553819235675</v>
      </c>
      <c r="C138" s="4">
        <f t="shared" si="50"/>
        <v>1.3358122306045388</v>
      </c>
      <c r="D138" s="4">
        <f t="shared" si="47"/>
        <v>9.8089553819235675</v>
      </c>
      <c r="E138" s="4">
        <f t="shared" si="47"/>
        <v>1.3358122306045388</v>
      </c>
      <c r="F138" s="4">
        <f t="shared" si="48"/>
        <v>-5.7024946671274135</v>
      </c>
      <c r="G138" s="4">
        <f t="shared" si="49"/>
        <v>-5.7024946671274135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9.8089553819235675</v>
      </c>
      <c r="C139" s="4">
        <f>E138</f>
        <v>1.3358122306045388</v>
      </c>
      <c r="D139" s="4">
        <f t="shared" si="47"/>
        <v>9.8089553819235675</v>
      </c>
      <c r="E139" s="4">
        <f t="shared" si="47"/>
        <v>1.3358122306045388</v>
      </c>
      <c r="F139" s="4">
        <f t="shared" si="48"/>
        <v>-5.7024946671274135</v>
      </c>
      <c r="G139" s="4">
        <f t="shared" si="49"/>
        <v>-5.7024946671274135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181.29965083963066</v>
      </c>
      <c r="Q140" s="4">
        <f>SUM(Q132:Q139)</f>
        <v>1229.3647320041073</v>
      </c>
      <c r="R140" s="4">
        <f>SUM(R132:R139)</f>
        <v>89.829169228220749</v>
      </c>
    </row>
    <row r="142" spans="1:18" x14ac:dyDescent="0.25">
      <c r="O142" t="s">
        <v>96</v>
      </c>
      <c r="P142" s="1">
        <f>-1*R140/P140</f>
        <v>-0.49547348167636301</v>
      </c>
    </row>
    <row r="143" spans="1:18" x14ac:dyDescent="0.25">
      <c r="O143" t="s">
        <v>97</v>
      </c>
      <c r="P143" s="1">
        <f>Q140/P140</f>
        <v>6.7808444545298485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9.8089553819235675</v>
      </c>
      <c r="C146" s="9">
        <f>J84</f>
        <v>1.3358122306045388</v>
      </c>
      <c r="D146" s="9">
        <f t="shared" ref="D146:E153" si="61">I85</f>
        <v>9.8089553819235675</v>
      </c>
      <c r="E146">
        <f t="shared" si="61"/>
        <v>1.3358122306045388</v>
      </c>
      <c r="F146" s="4">
        <f>($B$66/$B$65)*(C146-$B$125)</f>
        <v>-5.7024946671274135</v>
      </c>
      <c r="G146" s="4">
        <f>($B$66/$B$65)*(E146-$B$125)</f>
        <v>-5.7024946671274135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9.8089553819235675</v>
      </c>
      <c r="C147">
        <f t="shared" si="62"/>
        <v>1.3358122306045388</v>
      </c>
      <c r="D147" s="9">
        <f t="shared" si="61"/>
        <v>9.8089553819235675</v>
      </c>
      <c r="E147">
        <f t="shared" si="61"/>
        <v>1.3358122306045388</v>
      </c>
      <c r="F147" s="4">
        <f t="shared" ref="F147:F153" si="63">($B$66/$B$65)*(C147-$B$125)</f>
        <v>-5.7024946671274135</v>
      </c>
      <c r="G147" s="4">
        <f t="shared" ref="G147:G153" si="64">($B$66/$B$65)*(E147-$B$125)</f>
        <v>-5.7024946671274135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9.8089553819235675</v>
      </c>
      <c r="C148">
        <f t="shared" si="62"/>
        <v>1.3358122306045388</v>
      </c>
      <c r="D148" s="9">
        <f t="shared" si="61"/>
        <v>9.8089553819235675</v>
      </c>
      <c r="E148">
        <f t="shared" si="61"/>
        <v>1.3358122306045388</v>
      </c>
      <c r="F148" s="4">
        <f t="shared" si="63"/>
        <v>-5.7024946671274135</v>
      </c>
      <c r="G148" s="4">
        <f t="shared" si="64"/>
        <v>-5.7024946671274135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9.8089553819235675</v>
      </c>
      <c r="C149">
        <f t="shared" si="62"/>
        <v>1.3358122306045388</v>
      </c>
      <c r="D149" s="9">
        <f t="shared" si="61"/>
        <v>9.8089553819235675</v>
      </c>
      <c r="E149">
        <f t="shared" si="61"/>
        <v>1.3358122306045388</v>
      </c>
      <c r="F149" s="4">
        <f t="shared" si="63"/>
        <v>-5.7024946671274135</v>
      </c>
      <c r="G149" s="4">
        <f t="shared" si="64"/>
        <v>-5.7024946671274135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9.8089553819235675</v>
      </c>
      <c r="C150">
        <f t="shared" si="62"/>
        <v>1.3358122306045388</v>
      </c>
      <c r="D150" s="9">
        <f t="shared" si="61"/>
        <v>9.8089553819235675</v>
      </c>
      <c r="E150">
        <f t="shared" si="61"/>
        <v>1.3358122306045388</v>
      </c>
      <c r="F150" s="4">
        <f t="shared" si="63"/>
        <v>-5.7024946671274135</v>
      </c>
      <c r="G150" s="4">
        <f t="shared" si="64"/>
        <v>-5.7024946671274135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9.8089553819235675</v>
      </c>
      <c r="C151">
        <f t="shared" si="62"/>
        <v>1.3358122306045388</v>
      </c>
      <c r="D151" s="9">
        <f t="shared" si="61"/>
        <v>9.8089553819235675</v>
      </c>
      <c r="E151">
        <f t="shared" si="61"/>
        <v>1.3358122306045388</v>
      </c>
      <c r="F151" s="4">
        <f t="shared" si="63"/>
        <v>-5.7024946671274135</v>
      </c>
      <c r="G151" s="4">
        <f t="shared" si="64"/>
        <v>-5.7024946671274135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9.8089553819235675</v>
      </c>
      <c r="C152">
        <f t="shared" si="62"/>
        <v>1.3358122306045388</v>
      </c>
      <c r="D152" s="9">
        <f t="shared" si="61"/>
        <v>9.8089553819235675</v>
      </c>
      <c r="E152">
        <f t="shared" si="61"/>
        <v>1.3358122306045388</v>
      </c>
      <c r="F152" s="4">
        <f t="shared" si="63"/>
        <v>-5.7024946671274135</v>
      </c>
      <c r="G152" s="4">
        <f t="shared" si="64"/>
        <v>-5.7024946671274135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9.8089553819235675</v>
      </c>
      <c r="C153">
        <f t="shared" si="62"/>
        <v>1.3358122306045388</v>
      </c>
      <c r="D153" s="9">
        <f t="shared" si="61"/>
        <v>9.8089553819235675</v>
      </c>
      <c r="E153">
        <f t="shared" si="61"/>
        <v>1.3358122306045388</v>
      </c>
      <c r="F153" s="4">
        <f t="shared" si="63"/>
        <v>-5.7024946671274135</v>
      </c>
      <c r="G153" s="4">
        <f t="shared" si="64"/>
        <v>-5.7024946671274135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-2.6554975129933212E-6</v>
      </c>
      <c r="C159" t="s">
        <v>36</v>
      </c>
    </row>
    <row r="160" spans="1:18" x14ac:dyDescent="0.25">
      <c r="A160" s="1" t="s">
        <v>106</v>
      </c>
      <c r="B160" s="4">
        <f>Q140+I122+Q154-O122</f>
        <v>1681.5351902837219</v>
      </c>
      <c r="C160" t="s">
        <v>102</v>
      </c>
    </row>
    <row r="161" spans="1:9" x14ac:dyDescent="0.25">
      <c r="A161" s="1" t="s">
        <v>107</v>
      </c>
      <c r="B161" s="4">
        <f>R140+J122+R154-P122</f>
        <v>228.99638108262371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-2.6554975129933212E-6</v>
      </c>
      <c r="C164" t="s">
        <v>36</v>
      </c>
      <c r="E164" s="8">
        <f>B2-B164</f>
        <v>2.6554975129933212E-6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-1199.9999864252311</v>
      </c>
      <c r="C165" t="s">
        <v>102</v>
      </c>
      <c r="E165" s="8">
        <f>B3+B165</f>
        <v>1.3574768900070922E-5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-1199.9999880378732</v>
      </c>
      <c r="C166" t="s">
        <v>102</v>
      </c>
      <c r="E166" s="8">
        <f>B4+B166</f>
        <v>1.1962126791331684E-5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14.289076305226098</v>
      </c>
      <c r="B169" s="1">
        <f ca="1">IF(E122=0,0,(MIN(H110:H121)*B65)/(B55*B56*E122))</f>
        <v>-14.289076517167354</v>
      </c>
      <c r="C169" s="3">
        <f ca="1">A169+B169</f>
        <v>-2.1194125565671129E-7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5.6239117377785568E-8</v>
      </c>
      <c r="C175" s="27">
        <f>B65*SQRT(I175)</f>
        <v>8.9828286713980596E-8</v>
      </c>
      <c r="D175" s="27">
        <f>B66*SQRT(I175)</f>
        <v>2.1194125215362456E-7</v>
      </c>
      <c r="E175" s="27">
        <f>B67*SQRT(I175)</f>
        <v>7.7961826501262227E-7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3.7916405763548333</v>
      </c>
      <c r="C176" s="3">
        <f>B65+C175</f>
        <v>6.0562219446157268</v>
      </c>
      <c r="D176" s="3">
        <f>D175+B66</f>
        <v>14.28907651716735</v>
      </c>
      <c r="E176" s="3">
        <f>B67+E175</f>
        <v>52.561853484152401</v>
      </c>
      <c r="F176" s="16" t="s">
        <v>125</v>
      </c>
    </row>
    <row r="177" spans="1:13" x14ac:dyDescent="0.25">
      <c r="B177" s="27">
        <f>B176-B64</f>
        <v>5.6239117363077185E-8</v>
      </c>
      <c r="C177" s="27">
        <f>C176-B65</f>
        <v>8.9828287030968568E-8</v>
      </c>
      <c r="D177" s="27">
        <f>D176-B66</f>
        <v>2.1194125210399761E-7</v>
      </c>
      <c r="E177" s="27">
        <f>E176-B67</f>
        <v>7.7961826150385605E-7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-12.529403080503338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-9.8089553826581106</v>
      </c>
      <c r="B181" s="25">
        <f>(d_alpha_p!E136-d_alpha_m!E136)/(2*B177)</f>
        <v>-9.8089553826581106</v>
      </c>
      <c r="C181" s="25">
        <f>(d_alpha_p!E137-d_alpha_m!E137)/(2*B177)</f>
        <v>-9.8089553826581106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-2.6554975129933212E-6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-1.3574768900070922E-5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-1.1962126791331684E-5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2.1194125565671129E-7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-12.529403080503338</v>
      </c>
      <c r="B190" s="25">
        <f>A181</f>
        <v>-9.8089553826581106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-9.8089553826581106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-9.8089553826581106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-12.529403080503338</v>
      </c>
      <c r="B201" s="25">
        <f t="shared" ref="B201:C201" si="77">B190</f>
        <v>-9.8089553826581106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-9.8089553826581106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-9.8089553826581106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2.6239067055393579</v>
      </c>
      <c r="J3" t="s">
        <v>11</v>
      </c>
    </row>
    <row r="4" spans="1:29" x14ac:dyDescent="0.25">
      <c r="A4" s="10" t="s">
        <v>80</v>
      </c>
      <c r="B4" s="17">
        <f>'Rigid Bearing Plate Analysis'!B4</f>
        <v>1200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2.6239067055393579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5.2478134110787158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-2.6239067055393579</v>
      </c>
      <c r="AB14">
        <f>$B$4/Z14</f>
        <v>2.6239067055393579</v>
      </c>
      <c r="AC14">
        <f>$I$2+AA14+AB14</f>
        <v>0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2.6239067055393579</v>
      </c>
      <c r="AB15">
        <f t="shared" ref="AB15:AB21" si="11">$B$4/Z15</f>
        <v>2.6239067055393579</v>
      </c>
      <c r="AC15">
        <f t="shared" ref="AC15:AC20" si="12">$I$2+AA15+AB15</f>
        <v>5.2478134110787158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2.6239067055393579</v>
      </c>
      <c r="AB16">
        <f t="shared" si="11"/>
        <v>-2.6239067055393579</v>
      </c>
      <c r="AC16">
        <f t="shared" si="12"/>
        <v>0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-2.6239067055393579</v>
      </c>
      <c r="AB17">
        <f t="shared" si="11"/>
        <v>-2.6239067055393579</v>
      </c>
      <c r="AC17">
        <f t="shared" si="12"/>
        <v>-5.2478134110787158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-2.6239067055393579</v>
      </c>
      <c r="AB18">
        <f t="shared" si="11"/>
        <v>-2.6239067055393579</v>
      </c>
      <c r="AC18">
        <f t="shared" si="12"/>
        <v>-5.2478134110787158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-2.6239067055393579</v>
      </c>
      <c r="AB19">
        <f t="shared" si="11"/>
        <v>-2.6239067055393579</v>
      </c>
      <c r="AC19">
        <f t="shared" si="12"/>
        <v>-5.2478134110787158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-2.6239067055393579</v>
      </c>
      <c r="AB20">
        <f t="shared" si="11"/>
        <v>-2.6239067055393579</v>
      </c>
      <c r="AC20">
        <f t="shared" si="12"/>
        <v>-5.2478134110787158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-2.6239067055393579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3.7916405763548333</v>
      </c>
      <c r="C64" t="s">
        <v>19</v>
      </c>
      <c r="D64" t="s">
        <v>34</v>
      </c>
      <c r="H64" s="17">
        <f>DEGREES(B64)</f>
        <v>217.24500245568291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6.0562218547874398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14.289076517167354</v>
      </c>
      <c r="C66" t="s">
        <v>11</v>
      </c>
      <c r="D66">
        <f>B66/B53</f>
        <v>3.5071409191529401E-3</v>
      </c>
      <c r="I66" s="20"/>
    </row>
    <row r="67" spans="1:18" x14ac:dyDescent="0.25">
      <c r="A67" s="1" t="s">
        <v>37</v>
      </c>
      <c r="B67" s="17">
        <f>'Rigid Bearing Plate Analysis'!B67</f>
        <v>52.561852704534139</v>
      </c>
      <c r="C67" t="s">
        <v>36</v>
      </c>
      <c r="D67" t="s">
        <v>122</v>
      </c>
      <c r="G67" s="20">
        <f ca="1">($B$56*$B$66*$B$55*$E$122)/$B$65</f>
        <v>52.561853367624963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-10.808955457048453</v>
      </c>
      <c r="R76">
        <f>Q76</f>
        <v>-10.808955457048453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10.808955457048453</v>
      </c>
      <c r="R77">
        <f>Q77</f>
        <v>10.808955457048453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9.8089554570484534</v>
      </c>
      <c r="C84" s="1">
        <f t="shared" ref="C84:C92" si="23">(-1*B73*SIN($B$64))+(C73*COS($B$64))</f>
        <v>1.335811678957544</v>
      </c>
      <c r="H84" s="1">
        <f t="shared" ref="H84:H92" si="24">H73</f>
        <v>1</v>
      </c>
      <c r="I84" s="4">
        <f>(I73*COS($B$64))+(J73*SIN($B$64))</f>
        <v>9.8089554570484534</v>
      </c>
      <c r="J84" s="1">
        <f>(-1*I73*SIN($B$64))+(J73*COS($B$64))</f>
        <v>1.335811678957544</v>
      </c>
    </row>
    <row r="85" spans="1:10" x14ac:dyDescent="0.25">
      <c r="A85" s="1">
        <f t="shared" si="21"/>
        <v>2</v>
      </c>
      <c r="B85" s="4">
        <f t="shared" si="22"/>
        <v>-1.335811678957544</v>
      </c>
      <c r="C85" s="1">
        <f t="shared" si="23"/>
        <v>9.8089554570484534</v>
      </c>
      <c r="H85" s="1">
        <f t="shared" si="24"/>
        <v>2</v>
      </c>
      <c r="I85" s="4">
        <f t="shared" ref="I85:I92" si="25">(I74*COS($B$64))+(J74*SIN($B$64))</f>
        <v>9.8089554570484534</v>
      </c>
      <c r="J85" s="1">
        <f t="shared" ref="J85:J92" si="26">(-1*I74*SIN($B$64))+(J74*COS($B$64))</f>
        <v>1.335811678957544</v>
      </c>
    </row>
    <row r="86" spans="1:10" x14ac:dyDescent="0.25">
      <c r="A86" s="1">
        <f t="shared" si="21"/>
        <v>3</v>
      </c>
      <c r="B86" s="4">
        <f t="shared" si="22"/>
        <v>-9.8089554570484534</v>
      </c>
      <c r="C86" s="1">
        <f t="shared" si="23"/>
        <v>-1.335811678957544</v>
      </c>
      <c r="H86" s="1">
        <f t="shared" si="24"/>
        <v>3</v>
      </c>
      <c r="I86" s="4">
        <f t="shared" si="25"/>
        <v>9.8089554570484534</v>
      </c>
      <c r="J86" s="1">
        <f t="shared" si="26"/>
        <v>1.335811678957544</v>
      </c>
    </row>
    <row r="87" spans="1:10" x14ac:dyDescent="0.25">
      <c r="A87" s="1">
        <f t="shared" si="21"/>
        <v>4</v>
      </c>
      <c r="B87" s="4">
        <f t="shared" si="22"/>
        <v>1.335811678957544</v>
      </c>
      <c r="C87" s="1">
        <f t="shared" si="23"/>
        <v>-9.8089554570484534</v>
      </c>
      <c r="H87" s="1">
        <f t="shared" si="24"/>
        <v>4</v>
      </c>
      <c r="I87" s="4">
        <f t="shared" si="25"/>
        <v>9.8089554570484534</v>
      </c>
      <c r="J87" s="1">
        <f t="shared" si="26"/>
        <v>1.335811678957544</v>
      </c>
    </row>
    <row r="88" spans="1:10" x14ac:dyDescent="0.25">
      <c r="A88" s="1">
        <f t="shared" si="21"/>
        <v>5</v>
      </c>
      <c r="B88" s="4">
        <f t="shared" si="22"/>
        <v>9.8089554570484534</v>
      </c>
      <c r="C88" s="1">
        <f t="shared" si="23"/>
        <v>1.335811678957544</v>
      </c>
      <c r="H88" s="1">
        <f t="shared" si="24"/>
        <v>5</v>
      </c>
      <c r="I88" s="4">
        <f t="shared" si="25"/>
        <v>9.8089554570484534</v>
      </c>
      <c r="J88" s="1">
        <f t="shared" si="26"/>
        <v>1.335811678957544</v>
      </c>
    </row>
    <row r="89" spans="1:10" x14ac:dyDescent="0.25">
      <c r="A89" s="1">
        <f t="shared" si="21"/>
        <v>6</v>
      </c>
      <c r="B89" s="4">
        <f t="shared" si="22"/>
        <v>9.8089554570484534</v>
      </c>
      <c r="C89" s="1">
        <f t="shared" si="23"/>
        <v>1.335811678957544</v>
      </c>
      <c r="H89" s="1">
        <f t="shared" si="24"/>
        <v>6</v>
      </c>
      <c r="I89" s="4">
        <f t="shared" si="25"/>
        <v>9.8089554570484534</v>
      </c>
      <c r="J89" s="1">
        <f t="shared" si="26"/>
        <v>1.335811678957544</v>
      </c>
    </row>
    <row r="90" spans="1:10" x14ac:dyDescent="0.25">
      <c r="A90" s="1">
        <f t="shared" si="21"/>
        <v>7</v>
      </c>
      <c r="B90" s="4">
        <f t="shared" si="22"/>
        <v>9.8089554570484534</v>
      </c>
      <c r="C90" s="1">
        <f t="shared" si="23"/>
        <v>1.335811678957544</v>
      </c>
      <c r="H90" s="1">
        <f t="shared" si="24"/>
        <v>7</v>
      </c>
      <c r="I90" s="4">
        <f t="shared" si="25"/>
        <v>9.8089554570484534</v>
      </c>
      <c r="J90" s="1">
        <f t="shared" si="26"/>
        <v>1.335811678957544</v>
      </c>
    </row>
    <row r="91" spans="1:10" x14ac:dyDescent="0.25">
      <c r="A91" s="1">
        <f t="shared" si="21"/>
        <v>8</v>
      </c>
      <c r="B91" s="4">
        <f t="shared" si="22"/>
        <v>9.8089554570484534</v>
      </c>
      <c r="C91" s="1">
        <f t="shared" si="23"/>
        <v>1.335811678957544</v>
      </c>
      <c r="H91" s="1">
        <f t="shared" si="24"/>
        <v>8</v>
      </c>
      <c r="I91" s="4">
        <f t="shared" si="25"/>
        <v>9.8089554570484534</v>
      </c>
      <c r="J91" s="1">
        <f t="shared" si="26"/>
        <v>1.335811678957544</v>
      </c>
    </row>
    <row r="92" spans="1:10" x14ac:dyDescent="0.25">
      <c r="A92" s="1">
        <f t="shared" si="21"/>
        <v>9</v>
      </c>
      <c r="B92" s="4">
        <f t="shared" si="22"/>
        <v>9.8089554570484534</v>
      </c>
      <c r="C92" s="1">
        <f t="shared" si="23"/>
        <v>1.335811678957544</v>
      </c>
      <c r="H92" s="1">
        <f t="shared" si="24"/>
        <v>9</v>
      </c>
      <c r="I92" s="4">
        <f t="shared" si="25"/>
        <v>9.8089554570484534</v>
      </c>
      <c r="J92" s="1">
        <f t="shared" si="26"/>
        <v>1.335811678957544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5.6051174040276877</v>
      </c>
      <c r="C110" s="1">
        <f>(-1*B95*SIN($B$64))+(C95*COS($B$64))</f>
        <v>0.76332095940431088</v>
      </c>
      <c r="D110" t="str">
        <f t="shared" ref="D110" si="31">D95</f>
        <v>y</v>
      </c>
      <c r="E110" s="4">
        <f t="shared" ref="E110:E121" si="32">IF($D110="y",$B$125-C110,0)</f>
        <v>2.9894126428567027</v>
      </c>
      <c r="F110" s="1">
        <f>IF($D110="y",B110,NA())</f>
        <v>5.6051174040276877</v>
      </c>
      <c r="G110" s="1">
        <f>IF($D110="y",C110,NA())</f>
        <v>0.76332095940431088</v>
      </c>
      <c r="H110">
        <f t="shared" ref="H110:H121" si="33">IF($E$122=0,0,-1*MAX(($B$67/$E$122)*(E110),0))</f>
        <v>-16.791148619625552</v>
      </c>
      <c r="I110">
        <f>H110*C110</f>
        <v>-12.817035673832947</v>
      </c>
      <c r="J110">
        <f>H110*B110*-1</f>
        <v>94.116359361478672</v>
      </c>
      <c r="K110">
        <f ca="1">H110/$B$55</f>
        <v>-50.203650752965629</v>
      </c>
      <c r="L110">
        <f ca="1">K110/$B$54</f>
        <v>-1.7311603707919183E-3</v>
      </c>
      <c r="M110">
        <f t="shared" ref="M110:M121" si="34">IFERROR(($D$66/$B$65)*(G110-$B$125),0)</f>
        <v>-1.7311603926312656E-3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-0.76332095940431088</v>
      </c>
      <c r="C111" s="1">
        <f t="shared" ref="C111:C121" si="37">(-1*B96*SIN($B$64))+(C96*COS($B$64))</f>
        <v>5.6051174040276877</v>
      </c>
      <c r="D111" t="str">
        <f t="shared" si="35"/>
        <v>y</v>
      </c>
      <c r="E111" s="4">
        <f t="shared" si="32"/>
        <v>-1.8523838017666741</v>
      </c>
      <c r="F111" s="1">
        <f t="shared" ref="F111:G121" si="38">IF($D111="y",B111,NA())</f>
        <v>-0.76332095940431088</v>
      </c>
      <c r="G111" s="1">
        <f t="shared" si="38"/>
        <v>5.6051174040276877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1.0727102118982736E-3</v>
      </c>
      <c r="N111">
        <f t="shared" ref="N111:N121" si="42">IF(AND(M111&gt;0,D111="y",$E$60="y"),$B$53*M111*$E$59,0)</f>
        <v>2.2660525713397202</v>
      </c>
      <c r="O111">
        <f t="shared" ref="O111:O121" si="43">N111*C111</f>
        <v>12.701490706057958</v>
      </c>
      <c r="P111">
        <f t="shared" ref="P111:P121" si="44">N111*B111*-1</f>
        <v>1.7297254228156409</v>
      </c>
    </row>
    <row r="112" spans="1:16" x14ac:dyDescent="0.25">
      <c r="A112">
        <f t="shared" si="35"/>
        <v>3</v>
      </c>
      <c r="B112" s="1">
        <f t="shared" si="36"/>
        <v>0.76332095940431088</v>
      </c>
      <c r="C112" s="1">
        <f t="shared" si="37"/>
        <v>-5.6051174040276877</v>
      </c>
      <c r="D112" t="str">
        <f t="shared" si="35"/>
        <v>y</v>
      </c>
      <c r="E112" s="4">
        <f t="shared" si="32"/>
        <v>9.3578510062887013</v>
      </c>
      <c r="F112" s="1">
        <f t="shared" si="38"/>
        <v>0.76332095940431088</v>
      </c>
      <c r="G112" s="1">
        <f t="shared" si="38"/>
        <v>-5.6051174040276877</v>
      </c>
      <c r="H112">
        <f t="shared" si="33"/>
        <v>-52.561852704534139</v>
      </c>
      <c r="I112">
        <f t="shared" si="39"/>
        <v>294.61535538212411</v>
      </c>
      <c r="J112">
        <f t="shared" si="40"/>
        <v>40.121563834493074</v>
      </c>
      <c r="K112">
        <f t="shared" ref="K112:K121" ca="1" si="45">H112/$B$55</f>
        <v>-157.15404323341045</v>
      </c>
      <c r="L112">
        <f t="shared" ca="1" si="41"/>
        <v>-5.4191049390831187E-3</v>
      </c>
      <c r="M112">
        <f t="shared" si="34"/>
        <v>-5.4191050074475031E-3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-5.6051174040276877</v>
      </c>
      <c r="C113" s="1">
        <f t="shared" si="37"/>
        <v>-0.76332095940431088</v>
      </c>
      <c r="D113" t="str">
        <f t="shared" si="35"/>
        <v>y</v>
      </c>
      <c r="E113" s="4">
        <f t="shared" si="32"/>
        <v>4.5160545616653245</v>
      </c>
      <c r="F113" s="1">
        <f t="shared" si="38"/>
        <v>-5.6051174040276877</v>
      </c>
      <c r="G113" s="1">
        <f t="shared" si="38"/>
        <v>-0.76332095940431088</v>
      </c>
      <c r="H113">
        <f t="shared" si="33"/>
        <v>-25.366101096968997</v>
      </c>
      <c r="I113">
        <f t="shared" si="39"/>
        <v>19.362476625685119</v>
      </c>
      <c r="J113">
        <f t="shared" si="40"/>
        <v>-142.17997473094675</v>
      </c>
      <c r="K113">
        <f t="shared" ca="1" si="45"/>
        <v>-75.84179672784343</v>
      </c>
      <c r="L113">
        <f t="shared" ca="1" si="41"/>
        <v>-2.6152343699256354E-3</v>
      </c>
      <c r="M113">
        <f t="shared" si="34"/>
        <v>-2.6152344029179639E-3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4.092056015082882</v>
      </c>
      <c r="C114" s="1">
        <f t="shared" si="37"/>
        <v>-1.2268160291681887</v>
      </c>
      <c r="D114" t="str">
        <f t="shared" si="35"/>
        <v>y</v>
      </c>
      <c r="E114" s="4">
        <f t="shared" si="32"/>
        <v>4.9795496314292027</v>
      </c>
      <c r="F114" s="1">
        <f t="shared" si="38"/>
        <v>4.092056015082882</v>
      </c>
      <c r="G114" s="1">
        <f t="shared" si="38"/>
        <v>-1.2268160291681887</v>
      </c>
      <c r="H114">
        <f t="shared" si="33"/>
        <v>-27.969493646159489</v>
      </c>
      <c r="I114">
        <f t="shared" si="39"/>
        <v>34.313423132826266</v>
      </c>
      <c r="J114">
        <f t="shared" si="40"/>
        <v>114.45273471358938</v>
      </c>
      <c r="K114">
        <f t="shared" ca="1" si="45"/>
        <v>-83.625648403104634</v>
      </c>
      <c r="L114">
        <f t="shared" ca="1" si="41"/>
        <v>-2.8836430483829183E-3</v>
      </c>
      <c r="M114">
        <f t="shared" si="34"/>
        <v>-2.8836430847613398E-3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-2.2763823483491161</v>
      </c>
      <c r="C115" s="1">
        <f t="shared" si="37"/>
        <v>3.6149804154551881</v>
      </c>
      <c r="D115" t="str">
        <f t="shared" si="35"/>
        <v>y</v>
      </c>
      <c r="E115" s="4">
        <f t="shared" si="32"/>
        <v>0.13775318680582549</v>
      </c>
      <c r="F115" s="1">
        <f t="shared" si="38"/>
        <v>-2.2763823483491161</v>
      </c>
      <c r="G115" s="1">
        <f t="shared" si="38"/>
        <v>3.6149804154551881</v>
      </c>
      <c r="H115">
        <f t="shared" si="33"/>
        <v>-0.77374203859434632</v>
      </c>
      <c r="I115">
        <f t="shared" si="39"/>
        <v>-2.7970623161329344</v>
      </c>
      <c r="J115">
        <f t="shared" si="40"/>
        <v>-1.7613327188318304</v>
      </c>
      <c r="K115">
        <f t="shared" ca="1" si="45"/>
        <v>-2.3134018975376365</v>
      </c>
      <c r="L115">
        <f t="shared" ca="1" si="41"/>
        <v>-7.9772479225435737E-5</v>
      </c>
      <c r="M115">
        <f t="shared" si="34"/>
        <v>-7.9772480231800542E-5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2.2763823483491161</v>
      </c>
      <c r="C116" s="1">
        <f t="shared" si="37"/>
        <v>-3.6149804154551881</v>
      </c>
      <c r="D116" t="str">
        <f t="shared" si="35"/>
        <v>y</v>
      </c>
      <c r="E116" s="4">
        <f t="shared" si="32"/>
        <v>7.3677140177162013</v>
      </c>
      <c r="F116" s="1">
        <f t="shared" si="38"/>
        <v>2.2763823483491161</v>
      </c>
      <c r="G116" s="1">
        <f t="shared" si="38"/>
        <v>-3.6149804154551881</v>
      </c>
      <c r="H116">
        <f t="shared" si="33"/>
        <v>-41.3835076780002</v>
      </c>
      <c r="I116">
        <f t="shared" si="39"/>
        <v>149.60056977881013</v>
      </c>
      <c r="J116">
        <f t="shared" si="40"/>
        <v>94.204686390969769</v>
      </c>
      <c r="K116">
        <f t="shared" ca="1" si="45"/>
        <v>-123.73204558327141</v>
      </c>
      <c r="L116">
        <f t="shared" ca="1" si="41"/>
        <v>-4.2666222614921173E-3</v>
      </c>
      <c r="M116">
        <f t="shared" si="34"/>
        <v>-4.2666223153174287E-3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-4.092056015082882</v>
      </c>
      <c r="C117" s="1">
        <f t="shared" si="37"/>
        <v>1.2268160291681887</v>
      </c>
      <c r="D117" t="str">
        <f t="shared" si="35"/>
        <v>y</v>
      </c>
      <c r="E117" s="4">
        <f t="shared" si="32"/>
        <v>2.5259175730928249</v>
      </c>
      <c r="F117" s="1">
        <f t="shared" si="38"/>
        <v>-4.092056015082882</v>
      </c>
      <c r="G117" s="1">
        <f t="shared" si="38"/>
        <v>1.2268160291681887</v>
      </c>
      <c r="H117">
        <f t="shared" si="33"/>
        <v>-14.187756070435064</v>
      </c>
      <c r="I117">
        <f t="shared" si="39"/>
        <v>-17.405766565138009</v>
      </c>
      <c r="J117">
        <f t="shared" si="40"/>
        <v>-58.057092568552477</v>
      </c>
      <c r="K117">
        <f t="shared" ca="1" si="45"/>
        <v>-42.419799077704432</v>
      </c>
      <c r="L117">
        <f t="shared" ca="1" si="41"/>
        <v>-1.4627516923346356E-3</v>
      </c>
      <c r="M117">
        <f t="shared" si="34"/>
        <v>-1.4627517107878895E-3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9.8089554570484534</v>
      </c>
      <c r="C118" s="1">
        <f t="shared" si="37"/>
        <v>1.335811678957544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9.8089554570484534</v>
      </c>
      <c r="C119" s="1">
        <f t="shared" si="37"/>
        <v>1.335811678957544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9.8089554570484534</v>
      </c>
      <c r="C120" s="1">
        <f t="shared" si="37"/>
        <v>1.335811678957544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9.8089554570484534</v>
      </c>
      <c r="C121" s="1">
        <f t="shared" si="37"/>
        <v>1.335811678957544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9.3578510062887013</v>
      </c>
      <c r="H122">
        <f>SUM(H110:H121)</f>
        <v>-179.03360185431779</v>
      </c>
      <c r="I122">
        <f t="shared" ref="I122:J122" si="46">SUM(I110:I121)</f>
        <v>464.8719603643417</v>
      </c>
      <c r="J122">
        <f t="shared" si="46"/>
        <v>140.89694428219985</v>
      </c>
      <c r="L122">
        <f ca="1">MIN(L110:L121)</f>
        <v>-5.4191049390831187E-3</v>
      </c>
      <c r="M122">
        <f>MIN(M110:M121)</f>
        <v>-5.4191050074475031E-3</v>
      </c>
      <c r="N122">
        <f>SUM(N110:N121)</f>
        <v>2.2660525713397202</v>
      </c>
      <c r="O122">
        <f>SUM(O110:O121)</f>
        <v>12.701490706057958</v>
      </c>
      <c r="P122">
        <f>SUM(P110:P121)</f>
        <v>1.7297254228156409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3.7527336022610136</v>
      </c>
      <c r="F125" s="1" t="s">
        <v>27</v>
      </c>
      <c r="G125" s="1" t="s">
        <v>28</v>
      </c>
    </row>
    <row r="126" spans="1:16" x14ac:dyDescent="0.25">
      <c r="F126" s="4">
        <f>MIN(B84:B90)-1</f>
        <v>-10.808955457048453</v>
      </c>
      <c r="G126" s="4">
        <f>B125</f>
        <v>3.7527336022610136</v>
      </c>
    </row>
    <row r="127" spans="1:16" x14ac:dyDescent="0.25">
      <c r="F127" s="4">
        <f>MAX(B84:B90)+1</f>
        <v>10.808955457048453</v>
      </c>
      <c r="G127" s="4">
        <f>G126</f>
        <v>3.7527336022610136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9.8089554570484534</v>
      </c>
      <c r="C132" s="4">
        <f>C84</f>
        <v>1.335811678957544</v>
      </c>
      <c r="D132" s="4">
        <f t="shared" ref="D132:E139" si="47">B85</f>
        <v>-1.335811678957544</v>
      </c>
      <c r="E132" s="4">
        <f t="shared" si="47"/>
        <v>9.8089554570484534</v>
      </c>
      <c r="F132" s="4">
        <f t="shared" ref="F132:F139" si="48">($B$66/$B$65)*(C132-$B$125)</f>
        <v>-5.7024962305174149</v>
      </c>
      <c r="G132" s="4">
        <f t="shared" ref="G132:G139" si="49">($B$66/$B$65)*(E132-$B$125)</f>
        <v>14.289076517167352</v>
      </c>
      <c r="H132" s="4">
        <f>IF(B132=D132,"V",(C132-E132)/(B132-D132))</f>
        <v>-0.7602800197337698</v>
      </c>
      <c r="I132" s="4">
        <f>IF(H132="V",0,(-1*B132*H132)+C132)</f>
        <v>8.7933645274100112</v>
      </c>
      <c r="J132" s="4">
        <f>IF($F132&gt;=0,B132,IF(AND($F132&lt;0,$G132&gt;=0),IF(H132="V",B132,($B$125-I132)/H132),0))</f>
        <v>6.6299663207170632</v>
      </c>
      <c r="K132" s="4">
        <f>IF($F132&gt;=0,C132,IF(AND($F132&lt;0,$G132&gt;=0),$B$125,0))</f>
        <v>3.7527336022610136</v>
      </c>
      <c r="L132" s="4">
        <f>IF($G132&gt;=0,D132,IF(AND($G132&lt;0,$F132&gt;=0),IF(H132="V",D132,($B$125-I132)/H132),0))</f>
        <v>-1.335811678957544</v>
      </c>
      <c r="M132" s="4">
        <f>IF($G132&gt;=0,E132,IF(AND($G132&lt;0,$F132&gt;=0),$B$125,0))</f>
        <v>9.8089554570484534</v>
      </c>
      <c r="N132" s="4">
        <f>IF(F132&lt;0,0,F132)</f>
        <v>0</v>
      </c>
      <c r="O132" s="4">
        <f>IF(G132&lt;0,0,G132)</f>
        <v>14.289076517167352</v>
      </c>
      <c r="P132" s="4">
        <f>(1/6)*(M132-K132)*((N132*((2*J132)+L132))+(O132*(J132+(2*L132))))</f>
        <v>57.091060144977028</v>
      </c>
      <c r="Q132" s="4">
        <f>((1/12)*(M132-K132)*(N132*J132*((3*K132)+M132)+N132*L132*(K132+M132)+O132*J132*(K132+M132)+O132*L132*(K132+(3*M132))))</f>
        <v>328.78489367799341</v>
      </c>
      <c r="R132" s="4">
        <f>((-1/24)*(M132-K132)*(J132*J132*((3*N132)+O132)+2*J132*L132*(N132+O132)+L132*L132*(N132+(3*O132))))</f>
        <v>-113.93013425089245</v>
      </c>
    </row>
    <row r="133" spans="1:18" x14ac:dyDescent="0.25">
      <c r="A133" t="s">
        <v>70</v>
      </c>
      <c r="B133" s="4">
        <f t="shared" ref="B133:C138" si="50">D132</f>
        <v>-1.335811678957544</v>
      </c>
      <c r="C133" s="4">
        <f t="shared" si="50"/>
        <v>9.8089554570484534</v>
      </c>
      <c r="D133" s="4">
        <f t="shared" si="47"/>
        <v>-9.8089554570484534</v>
      </c>
      <c r="E133" s="4">
        <f t="shared" si="47"/>
        <v>-1.335811678957544</v>
      </c>
      <c r="F133" s="4">
        <f t="shared" si="48"/>
        <v>14.289076517167352</v>
      </c>
      <c r="G133" s="4">
        <f t="shared" si="49"/>
        <v>-12.005936147620671</v>
      </c>
      <c r="H133" s="4">
        <f t="shared" ref="H133:H139" si="51">IF(B133=D133,"V",(C133-E133)/(B133-D133))</f>
        <v>1.3153048535330099</v>
      </c>
      <c r="I133" s="4">
        <f t="shared" ref="I133:I139" si="52">IF(H133="V",0,(-1*B133*H133)+C133)</f>
        <v>11.56595504178739</v>
      </c>
      <c r="J133" s="4">
        <f t="shared" ref="J133:J139" si="53">IF($F133&gt;=0,B133,IF(AND($F133&lt;0,$G133&gt;=0),IF(H133="V",B133,($B$125-I133)/H133),0))</f>
        <v>-1.335811678957544</v>
      </c>
      <c r="K133" s="4">
        <f t="shared" ref="K133:K139" si="54">IF($F133&gt;=0,C133,IF(AND($F133&lt;0,$G133&gt;=0),$B$125,0))</f>
        <v>9.8089554570484534</v>
      </c>
      <c r="L133" s="4">
        <f t="shared" ref="L133:L139" si="55">IF($G133&gt;=0,D133,IF(AND($G133&lt;0,$F133&gt;=0),IF(H133="V",D133,($B$125-I133)/H133),0))</f>
        <v>-5.9402361502274275</v>
      </c>
      <c r="M133" s="4">
        <f t="shared" ref="M133:M139" si="56">IF($G133&gt;=0,E133,IF(AND($G133&lt;0,$F133&gt;=0),$B$125,0))</f>
        <v>3.7527336022610136</v>
      </c>
      <c r="N133" s="4">
        <f t="shared" ref="N133:O139" si="57">IF(F133&lt;0,0,F133)</f>
        <v>14.289076517167352</v>
      </c>
      <c r="O133" s="4">
        <f t="shared" si="57"/>
        <v>0</v>
      </c>
      <c r="P133" s="4">
        <f t="shared" ref="P133:P139" si="58">(1/6)*(M133-K133)*((N133*((2*J133)+L133))+(O133*(J133+(2*L133))))</f>
        <v>124.20858772465417</v>
      </c>
      <c r="Q133" s="4">
        <f t="shared" ref="Q133:Q139" si="59">((1/12)*(M133-K133)*(N133*J133*((3*K133)+M133)+N133*L133*(K133+M133)+O133*J133*(K133+M133)+O133*L133*(K133+(3*M133))))</f>
        <v>900.57983180712461</v>
      </c>
      <c r="R133" s="4">
        <f t="shared" ref="R133:R139" si="60">((-1/24)*(M133-K133)*(J133*J133*((3*N133)+O133)+2*J133*L133*(N133+O133)+L133*L133*(N133+(3*O133))))</f>
        <v>203.75926849975627</v>
      </c>
    </row>
    <row r="134" spans="1:18" x14ac:dyDescent="0.25">
      <c r="A134" t="s">
        <v>71</v>
      </c>
      <c r="B134" s="4">
        <f t="shared" si="50"/>
        <v>-9.8089554570484534</v>
      </c>
      <c r="C134" s="4">
        <f t="shared" si="50"/>
        <v>-1.335811678957544</v>
      </c>
      <c r="D134" s="4">
        <f t="shared" si="47"/>
        <v>1.335811678957544</v>
      </c>
      <c r="E134" s="4">
        <f t="shared" si="47"/>
        <v>-9.8089554570484534</v>
      </c>
      <c r="F134" s="4">
        <f t="shared" si="48"/>
        <v>-12.005936147620671</v>
      </c>
      <c r="G134" s="4">
        <f t="shared" si="49"/>
        <v>-31.99750889530544</v>
      </c>
      <c r="H134" s="4">
        <f t="shared" si="51"/>
        <v>-0.7602800197337698</v>
      </c>
      <c r="I134" s="4">
        <f t="shared" si="52"/>
        <v>-8.7933645274100112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1.335811678957544</v>
      </c>
      <c r="C135" s="4">
        <f t="shared" si="50"/>
        <v>-9.8089554570484534</v>
      </c>
      <c r="D135" s="4">
        <f t="shared" si="47"/>
        <v>9.8089554570484534</v>
      </c>
      <c r="E135" s="4">
        <f t="shared" si="47"/>
        <v>1.335811678957544</v>
      </c>
      <c r="F135" s="4">
        <f t="shared" si="48"/>
        <v>-31.99750889530544</v>
      </c>
      <c r="G135" s="4">
        <f t="shared" si="49"/>
        <v>-5.7024962305174149</v>
      </c>
      <c r="H135" s="4">
        <f t="shared" si="51"/>
        <v>1.3153048535330099</v>
      </c>
      <c r="I135" s="4">
        <f t="shared" si="52"/>
        <v>-11.56595504178739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9.8089554570484534</v>
      </c>
      <c r="C136" s="4">
        <f t="shared" si="50"/>
        <v>1.335811678957544</v>
      </c>
      <c r="D136" s="4">
        <f t="shared" si="47"/>
        <v>9.8089554570484534</v>
      </c>
      <c r="E136" s="4">
        <f t="shared" si="47"/>
        <v>1.335811678957544</v>
      </c>
      <c r="F136" s="4">
        <f t="shared" si="48"/>
        <v>-5.7024962305174149</v>
      </c>
      <c r="G136" s="4">
        <f t="shared" si="49"/>
        <v>-5.7024962305174149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9.8089554570484534</v>
      </c>
      <c r="C137" s="4">
        <f t="shared" si="50"/>
        <v>1.335811678957544</v>
      </c>
      <c r="D137" s="4">
        <f t="shared" si="47"/>
        <v>9.8089554570484534</v>
      </c>
      <c r="E137" s="4">
        <f t="shared" si="47"/>
        <v>1.335811678957544</v>
      </c>
      <c r="F137" s="4">
        <f t="shared" si="48"/>
        <v>-5.7024962305174149</v>
      </c>
      <c r="G137" s="4">
        <f t="shared" si="49"/>
        <v>-5.7024962305174149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9.8089554570484534</v>
      </c>
      <c r="C138" s="4">
        <f t="shared" si="50"/>
        <v>1.335811678957544</v>
      </c>
      <c r="D138" s="4">
        <f t="shared" si="47"/>
        <v>9.8089554570484534</v>
      </c>
      <c r="E138" s="4">
        <f t="shared" si="47"/>
        <v>1.335811678957544</v>
      </c>
      <c r="F138" s="4">
        <f t="shared" si="48"/>
        <v>-5.7024962305174149</v>
      </c>
      <c r="G138" s="4">
        <f t="shared" si="49"/>
        <v>-5.7024962305174149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9.8089554570484534</v>
      </c>
      <c r="C139" s="4">
        <f>E138</f>
        <v>1.335811678957544</v>
      </c>
      <c r="D139" s="4">
        <f t="shared" si="47"/>
        <v>9.8089554570484534</v>
      </c>
      <c r="E139" s="4">
        <f t="shared" si="47"/>
        <v>1.335811678957544</v>
      </c>
      <c r="F139" s="4">
        <f t="shared" si="48"/>
        <v>-5.7024962305174149</v>
      </c>
      <c r="G139" s="4">
        <f t="shared" si="49"/>
        <v>-5.7024962305174149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181.2996478696312</v>
      </c>
      <c r="Q140" s="4">
        <f>SUM(Q132:Q139)</f>
        <v>1229.364725485118</v>
      </c>
      <c r="R140" s="4">
        <f>SUM(R132:R139)</f>
        <v>89.829134248863824</v>
      </c>
    </row>
    <row r="142" spans="1:18" x14ac:dyDescent="0.25">
      <c r="O142" t="s">
        <v>96</v>
      </c>
      <c r="P142" s="1">
        <f>-1*R140/P140</f>
        <v>-0.49547329685636282</v>
      </c>
    </row>
    <row r="143" spans="1:18" x14ac:dyDescent="0.25">
      <c r="O143" t="s">
        <v>97</v>
      </c>
      <c r="P143" s="1">
        <f>Q140/P140</f>
        <v>6.7808445296547326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9.8089554570484534</v>
      </c>
      <c r="C146" s="9">
        <f>J84</f>
        <v>1.335811678957544</v>
      </c>
      <c r="D146" s="9">
        <f t="shared" ref="D146:E153" si="61">I85</f>
        <v>9.8089554570484534</v>
      </c>
      <c r="E146">
        <f t="shared" si="61"/>
        <v>1.335811678957544</v>
      </c>
      <c r="F146" s="4">
        <f>($B$66/$B$65)*(C146-$B$125)</f>
        <v>-5.7024962305174149</v>
      </c>
      <c r="G146" s="4">
        <f>($B$66/$B$65)*(E146-$B$125)</f>
        <v>-5.7024962305174149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9.8089554570484534</v>
      </c>
      <c r="C147">
        <f t="shared" si="62"/>
        <v>1.335811678957544</v>
      </c>
      <c r="D147" s="9">
        <f t="shared" si="61"/>
        <v>9.8089554570484534</v>
      </c>
      <c r="E147">
        <f t="shared" si="61"/>
        <v>1.335811678957544</v>
      </c>
      <c r="F147" s="4">
        <f t="shared" ref="F147:F153" si="63">($B$66/$B$65)*(C147-$B$125)</f>
        <v>-5.7024962305174149</v>
      </c>
      <c r="G147" s="4">
        <f t="shared" ref="G147:G153" si="64">($B$66/$B$65)*(E147-$B$125)</f>
        <v>-5.7024962305174149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9.8089554570484534</v>
      </c>
      <c r="C148">
        <f t="shared" si="62"/>
        <v>1.335811678957544</v>
      </c>
      <c r="D148" s="9">
        <f t="shared" si="61"/>
        <v>9.8089554570484534</v>
      </c>
      <c r="E148">
        <f t="shared" si="61"/>
        <v>1.335811678957544</v>
      </c>
      <c r="F148" s="4">
        <f t="shared" si="63"/>
        <v>-5.7024962305174149</v>
      </c>
      <c r="G148" s="4">
        <f t="shared" si="64"/>
        <v>-5.7024962305174149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9.8089554570484534</v>
      </c>
      <c r="C149">
        <f t="shared" si="62"/>
        <v>1.335811678957544</v>
      </c>
      <c r="D149" s="9">
        <f t="shared" si="61"/>
        <v>9.8089554570484534</v>
      </c>
      <c r="E149">
        <f t="shared" si="61"/>
        <v>1.335811678957544</v>
      </c>
      <c r="F149" s="4">
        <f t="shared" si="63"/>
        <v>-5.7024962305174149</v>
      </c>
      <c r="G149" s="4">
        <f t="shared" si="64"/>
        <v>-5.7024962305174149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9.8089554570484534</v>
      </c>
      <c r="C150">
        <f t="shared" si="62"/>
        <v>1.335811678957544</v>
      </c>
      <c r="D150" s="9">
        <f t="shared" si="61"/>
        <v>9.8089554570484534</v>
      </c>
      <c r="E150">
        <f t="shared" si="61"/>
        <v>1.335811678957544</v>
      </c>
      <c r="F150" s="4">
        <f t="shared" si="63"/>
        <v>-5.7024962305174149</v>
      </c>
      <c r="G150" s="4">
        <f t="shared" si="64"/>
        <v>-5.7024962305174149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9.8089554570484534</v>
      </c>
      <c r="C151">
        <f t="shared" si="62"/>
        <v>1.335811678957544</v>
      </c>
      <c r="D151" s="9">
        <f t="shared" si="61"/>
        <v>9.8089554570484534</v>
      </c>
      <c r="E151">
        <f t="shared" si="61"/>
        <v>1.335811678957544</v>
      </c>
      <c r="F151" s="4">
        <f t="shared" si="63"/>
        <v>-5.7024962305174149</v>
      </c>
      <c r="G151" s="4">
        <f t="shared" si="64"/>
        <v>-5.7024962305174149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9.8089554570484534</v>
      </c>
      <c r="C152">
        <f t="shared" si="62"/>
        <v>1.335811678957544</v>
      </c>
      <c r="D152" s="9">
        <f t="shared" si="61"/>
        <v>9.8089554570484534</v>
      </c>
      <c r="E152">
        <f t="shared" si="61"/>
        <v>1.335811678957544</v>
      </c>
      <c r="F152" s="4">
        <f t="shared" si="63"/>
        <v>-5.7024962305174149</v>
      </c>
      <c r="G152" s="4">
        <f t="shared" si="64"/>
        <v>-5.7024962305174149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9.8089554570484534</v>
      </c>
      <c r="C153">
        <f t="shared" si="62"/>
        <v>1.335811678957544</v>
      </c>
      <c r="D153" s="9">
        <f t="shared" si="61"/>
        <v>9.8089554570484534</v>
      </c>
      <c r="E153">
        <f t="shared" si="61"/>
        <v>1.335811678957544</v>
      </c>
      <c r="F153" s="4">
        <f t="shared" si="63"/>
        <v>-5.7024962305174149</v>
      </c>
      <c r="G153" s="4">
        <f t="shared" si="64"/>
        <v>-5.7024962305174149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-6.5560263133868091E-6</v>
      </c>
      <c r="C159" t="s">
        <v>36</v>
      </c>
    </row>
    <row r="160" spans="1:18" x14ac:dyDescent="0.25">
      <c r="A160" s="1" t="s">
        <v>106</v>
      </c>
      <c r="B160" s="4">
        <f>Q140+I122+Q154-O122</f>
        <v>1681.5351951434018</v>
      </c>
      <c r="C160" t="s">
        <v>102</v>
      </c>
    </row>
    <row r="161" spans="1:9" x14ac:dyDescent="0.25">
      <c r="A161" s="1" t="s">
        <v>107</v>
      </c>
      <c r="B161" s="4">
        <f>R140+J122+R154-P122</f>
        <v>228.99635310824803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-6.5560263133868091E-6</v>
      </c>
      <c r="C164" t="s">
        <v>36</v>
      </c>
      <c r="E164" s="8">
        <f>B2-B164</f>
        <v>6.5560263133868091E-6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-1199.9999397376398</v>
      </c>
      <c r="C165" t="s">
        <v>102</v>
      </c>
      <c r="E165" s="8">
        <f>B3+B165</f>
        <v>6.0262360193519271E-5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-1200.0000361968732</v>
      </c>
      <c r="C166" t="s">
        <v>102</v>
      </c>
      <c r="E166" s="8">
        <f>B4+B166</f>
        <v>-3.6196873224980664E-5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14.289076517167354</v>
      </c>
      <c r="B169" s="1">
        <f ca="1">IF(E122=0,0,(MIN(H110:H121)*B65)/(B55*B56*E122))</f>
        <v>-14.28907633690439</v>
      </c>
      <c r="C169" s="3">
        <f ca="1">A169+B169</f>
        <v>1.8026296366713268E-7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5.6239118211946486E-8</v>
      </c>
      <c r="C175" s="27">
        <f>B65*SQRT(I175)</f>
        <v>8.9828286713980596E-8</v>
      </c>
      <c r="D175" s="27">
        <f>B66*SQRT(I175)</f>
        <v>2.1194125529722138E-7</v>
      </c>
      <c r="E175" s="27">
        <f>B67*SQRT(I175)</f>
        <v>7.7961826501262227E-7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3.7916406325939516</v>
      </c>
      <c r="C176" s="3">
        <f>B65+C175</f>
        <v>6.0562219446157268</v>
      </c>
      <c r="D176" s="3">
        <f>D175+B66</f>
        <v>14.28907672910861</v>
      </c>
      <c r="E176" s="3">
        <f>B67+E175</f>
        <v>52.561853484152401</v>
      </c>
      <c r="F176" s="16" t="s">
        <v>125</v>
      </c>
    </row>
    <row r="177" spans="1:13" x14ac:dyDescent="0.25">
      <c r="B177" s="27">
        <f>B176-B64</f>
        <v>5.6239118251255604E-8</v>
      </c>
      <c r="C177" s="27">
        <f>C176-B65</f>
        <v>8.9828287030968568E-8</v>
      </c>
      <c r="D177" s="27">
        <f>D176-B66</f>
        <v>2.1194125565671129E-7</v>
      </c>
      <c r="E177" s="27">
        <f>E176-B67</f>
        <v>7.7961826150385605E-7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-12.529403080503338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-9.8089552277463206</v>
      </c>
      <c r="B181" s="25">
        <f>(d_alpha_p!E136-d_alpha_m!E136)/(2*B177)</f>
        <v>-9.8089552277463206</v>
      </c>
      <c r="C181" s="25">
        <f>(d_alpha_p!E137-d_alpha_m!E137)/(2*B177)</f>
        <v>-9.8089552277463206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-6.5560263133868091E-6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-6.0262360193519271E-5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3.6196873224980664E-5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-1.8026296366713268E-7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-12.529403080503338</v>
      </c>
      <c r="B190" s="25">
        <f>A181</f>
        <v>-9.8089552277463206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-9.8089552277463206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-9.8089552277463206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-12.529403080503338</v>
      </c>
      <c r="B201" s="25">
        <f t="shared" ref="B201:C201" si="77">B190</f>
        <v>-9.8089552277463206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-9.8089552277463206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-9.8089552277463206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2.6239067055393579</v>
      </c>
      <c r="J3" t="s">
        <v>11</v>
      </c>
    </row>
    <row r="4" spans="1:29" x14ac:dyDescent="0.25">
      <c r="A4" s="10" t="s">
        <v>80</v>
      </c>
      <c r="B4" s="17">
        <f>'Rigid Bearing Plate Analysis'!B4</f>
        <v>1200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2.6239067055393579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5.2478134110787158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-2.6239067055393579</v>
      </c>
      <c r="AB14">
        <f>$B$4/Z14</f>
        <v>2.6239067055393579</v>
      </c>
      <c r="AC14">
        <f>$I$2+AA14+AB14</f>
        <v>0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2.6239067055393579</v>
      </c>
      <c r="AB15">
        <f t="shared" ref="AB15:AB21" si="11">$B$4/Z15</f>
        <v>2.6239067055393579</v>
      </c>
      <c r="AC15">
        <f t="shared" ref="AC15:AC20" si="12">$I$2+AA15+AB15</f>
        <v>5.2478134110787158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2.6239067055393579</v>
      </c>
      <c r="AB16">
        <f t="shared" si="11"/>
        <v>-2.6239067055393579</v>
      </c>
      <c r="AC16">
        <f t="shared" si="12"/>
        <v>0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-2.6239067055393579</v>
      </c>
      <c r="AB17">
        <f t="shared" si="11"/>
        <v>-2.6239067055393579</v>
      </c>
      <c r="AC17">
        <f t="shared" si="12"/>
        <v>-5.2478134110787158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-2.6239067055393579</v>
      </c>
      <c r="AB18">
        <f t="shared" si="11"/>
        <v>-2.6239067055393579</v>
      </c>
      <c r="AC18">
        <f t="shared" si="12"/>
        <v>-5.2478134110787158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-2.6239067055393579</v>
      </c>
      <c r="AB19">
        <f t="shared" si="11"/>
        <v>-2.6239067055393579</v>
      </c>
      <c r="AC19">
        <f t="shared" si="12"/>
        <v>-5.2478134110787158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-2.6239067055393579</v>
      </c>
      <c r="AB20">
        <f t="shared" si="11"/>
        <v>-2.6239067055393579</v>
      </c>
      <c r="AC20">
        <f t="shared" si="12"/>
        <v>-5.2478134110787158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-2.6239067055393579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3.7916404638765986</v>
      </c>
      <c r="C64" t="s">
        <v>19</v>
      </c>
      <c r="D64" t="s">
        <v>34</v>
      </c>
      <c r="H64" s="17">
        <f>DEGREES(B64)</f>
        <v>217.24499601115477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6.0562218547874398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14.289076517167354</v>
      </c>
      <c r="C66" t="s">
        <v>11</v>
      </c>
      <c r="D66">
        <f>B66/B53</f>
        <v>3.5071409191529401E-3</v>
      </c>
      <c r="I66" s="20"/>
    </row>
    <row r="67" spans="1:18" x14ac:dyDescent="0.25">
      <c r="A67" s="1" t="s">
        <v>37</v>
      </c>
      <c r="B67" s="17">
        <f>'Rigid Bearing Plate Analysis'!B67</f>
        <v>52.561852704534139</v>
      </c>
      <c r="C67" t="s">
        <v>36</v>
      </c>
      <c r="D67" t="s">
        <v>122</v>
      </c>
      <c r="G67" s="20">
        <f ca="1">($B$56*$B$66*$B$55*$E$122)/$B$65</f>
        <v>52.561852041443053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-10.808955306798651</v>
      </c>
      <c r="R76">
        <f>Q76</f>
        <v>-10.808955306798651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10.808955306798651</v>
      </c>
      <c r="R77">
        <f>Q77</f>
        <v>10.808955306798651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9.8089553067986515</v>
      </c>
      <c r="C84" s="1">
        <f t="shared" ref="C84:C92" si="23">(-1*B73*SIN($B$64))+(C73*COS($B$64))</f>
        <v>1.33581278225153</v>
      </c>
      <c r="H84" s="1">
        <f t="shared" ref="H84:H92" si="24">H73</f>
        <v>1</v>
      </c>
      <c r="I84" s="4">
        <f>(I73*COS($B$64))+(J73*SIN($B$64))</f>
        <v>9.8089553067986515</v>
      </c>
      <c r="J84" s="1">
        <f>(-1*I73*SIN($B$64))+(J73*COS($B$64))</f>
        <v>1.33581278225153</v>
      </c>
    </row>
    <row r="85" spans="1:10" x14ac:dyDescent="0.25">
      <c r="A85" s="1">
        <f t="shared" si="21"/>
        <v>2</v>
      </c>
      <c r="B85" s="4">
        <f t="shared" si="22"/>
        <v>-1.33581278225153</v>
      </c>
      <c r="C85" s="1">
        <f t="shared" si="23"/>
        <v>9.8089553067986515</v>
      </c>
      <c r="H85" s="1">
        <f t="shared" si="24"/>
        <v>2</v>
      </c>
      <c r="I85" s="4">
        <f t="shared" ref="I85:I92" si="25">(I74*COS($B$64))+(J74*SIN($B$64))</f>
        <v>9.8089553067986515</v>
      </c>
      <c r="J85" s="1">
        <f t="shared" ref="J85:J92" si="26">(-1*I74*SIN($B$64))+(J74*COS($B$64))</f>
        <v>1.33581278225153</v>
      </c>
    </row>
    <row r="86" spans="1:10" x14ac:dyDescent="0.25">
      <c r="A86" s="1">
        <f t="shared" si="21"/>
        <v>3</v>
      </c>
      <c r="B86" s="4">
        <f t="shared" si="22"/>
        <v>-9.8089553067986515</v>
      </c>
      <c r="C86" s="1">
        <f t="shared" si="23"/>
        <v>-1.33581278225153</v>
      </c>
      <c r="H86" s="1">
        <f t="shared" si="24"/>
        <v>3</v>
      </c>
      <c r="I86" s="4">
        <f t="shared" si="25"/>
        <v>9.8089553067986515</v>
      </c>
      <c r="J86" s="1">
        <f t="shared" si="26"/>
        <v>1.33581278225153</v>
      </c>
    </row>
    <row r="87" spans="1:10" x14ac:dyDescent="0.25">
      <c r="A87" s="1">
        <f t="shared" si="21"/>
        <v>4</v>
      </c>
      <c r="B87" s="4">
        <f t="shared" si="22"/>
        <v>1.33581278225153</v>
      </c>
      <c r="C87" s="1">
        <f t="shared" si="23"/>
        <v>-9.8089553067986515</v>
      </c>
      <c r="H87" s="1">
        <f t="shared" si="24"/>
        <v>4</v>
      </c>
      <c r="I87" s="4">
        <f t="shared" si="25"/>
        <v>9.8089553067986515</v>
      </c>
      <c r="J87" s="1">
        <f t="shared" si="26"/>
        <v>1.33581278225153</v>
      </c>
    </row>
    <row r="88" spans="1:10" x14ac:dyDescent="0.25">
      <c r="A88" s="1">
        <f t="shared" si="21"/>
        <v>5</v>
      </c>
      <c r="B88" s="4">
        <f t="shared" si="22"/>
        <v>9.8089553067986515</v>
      </c>
      <c r="C88" s="1">
        <f t="shared" si="23"/>
        <v>1.33581278225153</v>
      </c>
      <c r="H88" s="1">
        <f t="shared" si="24"/>
        <v>5</v>
      </c>
      <c r="I88" s="4">
        <f t="shared" si="25"/>
        <v>9.8089553067986515</v>
      </c>
      <c r="J88" s="1">
        <f t="shared" si="26"/>
        <v>1.33581278225153</v>
      </c>
    </row>
    <row r="89" spans="1:10" x14ac:dyDescent="0.25">
      <c r="A89" s="1">
        <f t="shared" si="21"/>
        <v>6</v>
      </c>
      <c r="B89" s="4">
        <f t="shared" si="22"/>
        <v>9.8089553067986515</v>
      </c>
      <c r="C89" s="1">
        <f t="shared" si="23"/>
        <v>1.33581278225153</v>
      </c>
      <c r="H89" s="1">
        <f t="shared" si="24"/>
        <v>6</v>
      </c>
      <c r="I89" s="4">
        <f t="shared" si="25"/>
        <v>9.8089553067986515</v>
      </c>
      <c r="J89" s="1">
        <f t="shared" si="26"/>
        <v>1.33581278225153</v>
      </c>
    </row>
    <row r="90" spans="1:10" x14ac:dyDescent="0.25">
      <c r="A90" s="1">
        <f t="shared" si="21"/>
        <v>7</v>
      </c>
      <c r="B90" s="4">
        <f t="shared" si="22"/>
        <v>9.8089553067986515</v>
      </c>
      <c r="C90" s="1">
        <f t="shared" si="23"/>
        <v>1.33581278225153</v>
      </c>
      <c r="H90" s="1">
        <f t="shared" si="24"/>
        <v>7</v>
      </c>
      <c r="I90" s="4">
        <f t="shared" si="25"/>
        <v>9.8089553067986515</v>
      </c>
      <c r="J90" s="1">
        <f t="shared" si="26"/>
        <v>1.33581278225153</v>
      </c>
    </row>
    <row r="91" spans="1:10" x14ac:dyDescent="0.25">
      <c r="A91" s="1">
        <f t="shared" si="21"/>
        <v>8</v>
      </c>
      <c r="B91" s="4">
        <f t="shared" si="22"/>
        <v>9.8089553067986515</v>
      </c>
      <c r="C91" s="1">
        <f t="shared" si="23"/>
        <v>1.33581278225153</v>
      </c>
      <c r="H91" s="1">
        <f t="shared" si="24"/>
        <v>8</v>
      </c>
      <c r="I91" s="4">
        <f t="shared" si="25"/>
        <v>9.8089553067986515</v>
      </c>
      <c r="J91" s="1">
        <f t="shared" si="26"/>
        <v>1.33581278225153</v>
      </c>
    </row>
    <row r="92" spans="1:10" x14ac:dyDescent="0.25">
      <c r="A92" s="1">
        <f t="shared" si="21"/>
        <v>9</v>
      </c>
      <c r="B92" s="4">
        <f t="shared" si="22"/>
        <v>9.8089553067986515</v>
      </c>
      <c r="C92" s="1">
        <f t="shared" si="23"/>
        <v>1.33581278225153</v>
      </c>
      <c r="H92" s="1">
        <f t="shared" si="24"/>
        <v>9</v>
      </c>
      <c r="I92" s="4">
        <f t="shared" si="25"/>
        <v>9.8089553067986515</v>
      </c>
      <c r="J92" s="1">
        <f t="shared" si="26"/>
        <v>1.33581278225153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5.6051173181706577</v>
      </c>
      <c r="C110" s="1">
        <f>(-1*B95*SIN($B$64))+(C95*COS($B$64))</f>
        <v>0.76332158985801701</v>
      </c>
      <c r="D110" t="str">
        <f t="shared" ref="D110" si="31">D95</f>
        <v>y</v>
      </c>
      <c r="E110" s="4">
        <f t="shared" ref="E110:E121" si="32">IF($D110="y",$B$125-C110,0)</f>
        <v>2.9894118621531947</v>
      </c>
      <c r="F110" s="1">
        <f>IF($D110="y",B110,NA())</f>
        <v>5.6051173181706577</v>
      </c>
      <c r="G110" s="1">
        <f>IF($D110="y",C110,NA())</f>
        <v>0.76332158985801701</v>
      </c>
      <c r="H110">
        <f t="shared" ref="H110:H121" si="33">IF($E$122=0,0,-1*MAX(($B$67/$E$122)*(E110),0))</f>
        <v>-16.791144658169145</v>
      </c>
      <c r="I110">
        <f>H110*C110</f>
        <v>-12.817043236009621</v>
      </c>
      <c r="J110">
        <f>H110*B110*-1</f>
        <v>94.116335715412603</v>
      </c>
      <c r="K110">
        <f ca="1">H110/$B$55</f>
        <v>-50.203638908655371</v>
      </c>
      <c r="L110">
        <f ca="1">K110/$B$54</f>
        <v>-1.7311599623674265E-3</v>
      </c>
      <c r="M110">
        <f t="shared" ref="M110:M121" si="34">IFERROR(($D$66/$B$65)*(G110-$B$125),0)</f>
        <v>-1.7311599405280757E-3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-0.76332158985801701</v>
      </c>
      <c r="C111" s="1">
        <f t="shared" ref="C111:C121" si="37">(-1*B96*SIN($B$64))+(C96*COS($B$64))</f>
        <v>5.6051173181706577</v>
      </c>
      <c r="D111" t="str">
        <f t="shared" si="35"/>
        <v>y</v>
      </c>
      <c r="E111" s="4">
        <f t="shared" si="32"/>
        <v>-1.8523838661594461</v>
      </c>
      <c r="F111" s="1">
        <f t="shared" ref="F111:G121" si="38">IF($D111="y",B111,NA())</f>
        <v>-0.76332158985801701</v>
      </c>
      <c r="G111" s="1">
        <f t="shared" si="38"/>
        <v>5.6051173181706577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1.0727102491879454E-3</v>
      </c>
      <c r="N111">
        <f t="shared" ref="N111:N121" si="42">IF(AND(M111&gt;0,D111="y",$E$60="y"),$B$53*M111*$E$59,0)</f>
        <v>2.2660526501124916</v>
      </c>
      <c r="O111">
        <f t="shared" ref="O111:O121" si="43">N111*C111</f>
        <v>12.701490953032041</v>
      </c>
      <c r="P111">
        <f t="shared" ref="P111:P121" si="44">N111*B111*-1</f>
        <v>1.7297269115858398</v>
      </c>
    </row>
    <row r="112" spans="1:16" x14ac:dyDescent="0.25">
      <c r="A112">
        <f t="shared" si="35"/>
        <v>3</v>
      </c>
      <c r="B112" s="1">
        <f t="shared" si="36"/>
        <v>0.76332158985801701</v>
      </c>
      <c r="C112" s="1">
        <f t="shared" si="37"/>
        <v>-5.6051173181706577</v>
      </c>
      <c r="D112" t="str">
        <f t="shared" si="35"/>
        <v>y</v>
      </c>
      <c r="E112" s="4">
        <f t="shared" si="32"/>
        <v>9.3578507701818694</v>
      </c>
      <c r="F112" s="1">
        <f t="shared" si="38"/>
        <v>0.76332158985801701</v>
      </c>
      <c r="G112" s="1">
        <f t="shared" si="38"/>
        <v>-5.6051173181706577</v>
      </c>
      <c r="H112">
        <f t="shared" si="33"/>
        <v>-52.561852704534139</v>
      </c>
      <c r="I112">
        <f t="shared" si="39"/>
        <v>294.61535086931951</v>
      </c>
      <c r="J112">
        <f t="shared" si="40"/>
        <v>40.121596972307913</v>
      </c>
      <c r="K112">
        <f t="shared" ref="K112:K121" ca="1" si="45">H112/$B$55</f>
        <v>-157.15404323341045</v>
      </c>
      <c r="L112">
        <f t="shared" ca="1" si="41"/>
        <v>-5.4191049390831187E-3</v>
      </c>
      <c r="M112">
        <f t="shared" si="34"/>
        <v>-5.4191048707187056E-3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-5.6051173181706577</v>
      </c>
      <c r="C113" s="1">
        <f t="shared" si="37"/>
        <v>-0.76332158985801701</v>
      </c>
      <c r="D113" t="str">
        <f t="shared" si="35"/>
        <v>y</v>
      </c>
      <c r="E113" s="4">
        <f t="shared" si="32"/>
        <v>4.5160550418692287</v>
      </c>
      <c r="F113" s="1">
        <f t="shared" si="38"/>
        <v>-5.6051173181706577</v>
      </c>
      <c r="G113" s="1">
        <f t="shared" si="38"/>
        <v>-0.76332158985801701</v>
      </c>
      <c r="H113">
        <f t="shared" si="33"/>
        <v>-25.366104434222112</v>
      </c>
      <c r="I113">
        <f t="shared" si="39"/>
        <v>19.362495165234918</v>
      </c>
      <c r="J113">
        <f t="shared" si="40"/>
        <v>-142.17999125878387</v>
      </c>
      <c r="K113">
        <f t="shared" ca="1" si="45"/>
        <v>-75.841806705855873</v>
      </c>
      <c r="L113">
        <f t="shared" ca="1" si="41"/>
        <v>-2.6152347139950299E-3</v>
      </c>
      <c r="M113">
        <f t="shared" si="34"/>
        <v>-2.6152346810026841E-3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4.0920561530729573</v>
      </c>
      <c r="C114" s="1">
        <f t="shared" si="37"/>
        <v>-1.2268155689009439</v>
      </c>
      <c r="D114" t="str">
        <f t="shared" si="35"/>
        <v>y</v>
      </c>
      <c r="E114" s="4">
        <f t="shared" si="32"/>
        <v>4.979549020912156</v>
      </c>
      <c r="F114" s="1">
        <f t="shared" si="38"/>
        <v>4.0920561530729573</v>
      </c>
      <c r="G114" s="1">
        <f t="shared" si="38"/>
        <v>-1.2268155689009439</v>
      </c>
      <c r="H114">
        <f t="shared" si="33"/>
        <v>-27.96949092265821</v>
      </c>
      <c r="I114">
        <f t="shared" si="39"/>
        <v>34.313406918150719</v>
      </c>
      <c r="J114">
        <f t="shared" si="40"/>
        <v>114.45272742838175</v>
      </c>
      <c r="K114">
        <f t="shared" ca="1" si="45"/>
        <v>-83.625640260141338</v>
      </c>
      <c r="L114">
        <f t="shared" ca="1" si="41"/>
        <v>-2.8836427675910806E-3</v>
      </c>
      <c r="M114">
        <f t="shared" si="34"/>
        <v>-2.8836427312126478E-3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-2.2763827549557174</v>
      </c>
      <c r="C115" s="1">
        <f t="shared" si="37"/>
        <v>3.6149801594116968</v>
      </c>
      <c r="D115" t="str">
        <f t="shared" si="35"/>
        <v>y</v>
      </c>
      <c r="E115" s="4">
        <f t="shared" si="32"/>
        <v>0.13775329259951485</v>
      </c>
      <c r="F115" s="1">
        <f t="shared" si="38"/>
        <v>-2.2763827549557174</v>
      </c>
      <c r="G115" s="1">
        <f t="shared" si="38"/>
        <v>3.6149801594116968</v>
      </c>
      <c r="H115">
        <f t="shared" si="33"/>
        <v>-0.77374265234618311</v>
      </c>
      <c r="I115">
        <f t="shared" si="39"/>
        <v>-2.797064336722034</v>
      </c>
      <c r="J115">
        <f t="shared" si="40"/>
        <v>-1.7613344305745482</v>
      </c>
      <c r="K115">
        <f t="shared" ca="1" si="45"/>
        <v>-2.313403732586778</v>
      </c>
      <c r="L115">
        <f t="shared" ca="1" si="41"/>
        <v>-7.9772542502992339E-5</v>
      </c>
      <c r="M115">
        <f t="shared" si="34"/>
        <v>-7.9772541496626341E-5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2.2763827549557174</v>
      </c>
      <c r="C116" s="1">
        <f t="shared" si="37"/>
        <v>-3.6149801594116968</v>
      </c>
      <c r="D116" t="str">
        <f t="shared" si="35"/>
        <v>y</v>
      </c>
      <c r="E116" s="4">
        <f t="shared" si="32"/>
        <v>7.3677136114229089</v>
      </c>
      <c r="F116" s="1">
        <f t="shared" si="38"/>
        <v>2.2763827549557174</v>
      </c>
      <c r="G116" s="1">
        <f t="shared" si="38"/>
        <v>-3.6149801594116968</v>
      </c>
      <c r="H116">
        <f t="shared" si="33"/>
        <v>-41.383506440045082</v>
      </c>
      <c r="I116">
        <f t="shared" si="39"/>
        <v>149.60055470764914</v>
      </c>
      <c r="J116">
        <f t="shared" si="40"/>
        <v>94.204700399717495</v>
      </c>
      <c r="K116">
        <f t="shared" ca="1" si="45"/>
        <v>-123.73204188192449</v>
      </c>
      <c r="L116">
        <f t="shared" ca="1" si="41"/>
        <v>-4.2666221338594655E-3</v>
      </c>
      <c r="M116">
        <f t="shared" si="34"/>
        <v>-4.2666220800341341E-3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-4.0920561530729573</v>
      </c>
      <c r="C117" s="1">
        <f t="shared" si="37"/>
        <v>1.2268155689009439</v>
      </c>
      <c r="D117" t="str">
        <f t="shared" si="35"/>
        <v>y</v>
      </c>
      <c r="E117" s="4">
        <f t="shared" si="32"/>
        <v>2.5259178831102678</v>
      </c>
      <c r="F117" s="1">
        <f t="shared" si="38"/>
        <v>-4.0920561530729573</v>
      </c>
      <c r="G117" s="1">
        <f t="shared" si="38"/>
        <v>1.2268155689009439</v>
      </c>
      <c r="H117">
        <f t="shared" si="33"/>
        <v>-14.187758169733053</v>
      </c>
      <c r="I117">
        <f t="shared" si="39"/>
        <v>-17.40576261043007</v>
      </c>
      <c r="J117">
        <f t="shared" si="40"/>
        <v>-58.057103116767259</v>
      </c>
      <c r="K117">
        <f t="shared" ca="1" si="45"/>
        <v>-42.41980535436992</v>
      </c>
      <c r="L117">
        <f t="shared" ca="1" si="41"/>
        <v>-1.4627519087713765E-3</v>
      </c>
      <c r="M117">
        <f t="shared" si="34"/>
        <v>-1.4627518903181124E-3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9.8089553067986515</v>
      </c>
      <c r="C118" s="1">
        <f t="shared" si="37"/>
        <v>1.33581278225153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9.8089553067986515</v>
      </c>
      <c r="C119" s="1">
        <f t="shared" si="37"/>
        <v>1.33581278225153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9.8089553067986515</v>
      </c>
      <c r="C120" s="1">
        <f t="shared" si="37"/>
        <v>1.33581278225153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9.8089553067986515</v>
      </c>
      <c r="C121" s="1">
        <f t="shared" si="37"/>
        <v>1.33581278225153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9.3578507701818694</v>
      </c>
      <c r="H122">
        <f>SUM(H110:H121)</f>
        <v>-179.03359998170794</v>
      </c>
      <c r="I122">
        <f t="shared" ref="I122:J122" si="46">SUM(I110:I121)</f>
        <v>464.87193747719255</v>
      </c>
      <c r="J122">
        <f t="shared" si="46"/>
        <v>140.89693170969409</v>
      </c>
      <c r="L122">
        <f ca="1">MIN(L110:L121)</f>
        <v>-5.4191049390831187E-3</v>
      </c>
      <c r="M122">
        <f>MIN(M110:M121)</f>
        <v>-5.4191048707187056E-3</v>
      </c>
      <c r="N122">
        <f>SUM(N110:N121)</f>
        <v>2.2660526501124916</v>
      </c>
      <c r="O122">
        <f>SUM(O110:O121)</f>
        <v>12.701490953032041</v>
      </c>
      <c r="P122">
        <f>SUM(P110:P121)</f>
        <v>1.7297269115858398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3.7527334520112117</v>
      </c>
      <c r="F125" s="1" t="s">
        <v>27</v>
      </c>
      <c r="G125" s="1" t="s">
        <v>28</v>
      </c>
    </row>
    <row r="126" spans="1:16" x14ac:dyDescent="0.25">
      <c r="F126" s="4">
        <f>MIN(B84:B90)-1</f>
        <v>-10.808955306798651</v>
      </c>
      <c r="G126" s="4">
        <f>B125</f>
        <v>3.7527334520112117</v>
      </c>
    </row>
    <row r="127" spans="1:16" x14ac:dyDescent="0.25">
      <c r="F127" s="4">
        <f>MAX(B84:B90)+1</f>
        <v>10.808955306798651</v>
      </c>
      <c r="G127" s="4">
        <f>G126</f>
        <v>3.7527334520112117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9.8089553067986515</v>
      </c>
      <c r="C132" s="4">
        <f>C84</f>
        <v>1.33581278225153</v>
      </c>
      <c r="D132" s="4">
        <f t="shared" ref="D132:E139" si="47">B85</f>
        <v>-1.33581278225153</v>
      </c>
      <c r="E132" s="4">
        <f t="shared" si="47"/>
        <v>9.8089553067986515</v>
      </c>
      <c r="F132" s="4">
        <f t="shared" ref="F132:F139" si="48">($B$66/$B$65)*(C132-$B$125)</f>
        <v>-5.7024932729006803</v>
      </c>
      <c r="G132" s="4">
        <f t="shared" ref="G132:G139" si="49">($B$66/$B$65)*(E132-$B$125)</f>
        <v>14.289076517167352</v>
      </c>
      <c r="H132" s="4">
        <f>IF(B132=D132,"V",(C132-E132)/(B132-D132))</f>
        <v>-0.76027984224023892</v>
      </c>
      <c r="I132" s="4">
        <f>IF(H132="V",0,(-1*B132*H132)+C132)</f>
        <v>8.7933637754459628</v>
      </c>
      <c r="J132" s="4">
        <f>IF($F132&gt;=0,B132,IF(AND($F132&lt;0,$G132&gt;=0),IF(H132="V",B132,($B$125-I132)/H132),0))</f>
        <v>6.6299670770989279</v>
      </c>
      <c r="K132" s="4">
        <f>IF($F132&gt;=0,C132,IF(AND($F132&lt;0,$G132&gt;=0),$B$125,0))</f>
        <v>3.7527334520112117</v>
      </c>
      <c r="L132" s="4">
        <f>IF($G132&gt;=0,D132,IF(AND($G132&lt;0,$F132&gt;=0),IF(H132="V",D132,($B$125-I132)/H132),0))</f>
        <v>-1.33581278225153</v>
      </c>
      <c r="M132" s="4">
        <f>IF($G132&gt;=0,E132,IF(AND($G132&lt;0,$F132&gt;=0),$B$125,0))</f>
        <v>9.8089553067986515</v>
      </c>
      <c r="N132" s="4">
        <f>IF(F132&lt;0,0,F132)</f>
        <v>0</v>
      </c>
      <c r="O132" s="4">
        <f>IF(G132&lt;0,0,G132)</f>
        <v>14.289076517167352</v>
      </c>
      <c r="P132" s="4">
        <f>(1/6)*(M132-K132)*((N132*((2*J132)+L132))+(O132*(J132+(2*L132))))</f>
        <v>57.091039228698449</v>
      </c>
      <c r="Q132" s="4">
        <f>((1/12)*(M132-K132)*(N132*J132*((3*K132)+M132)+N132*L132*(K132+M132)+O132*J132*(K132+M132)+O132*L132*(K132+(3*M132))))</f>
        <v>328.78469508439321</v>
      </c>
      <c r="R132" s="4">
        <f>((-1/24)*(M132-K132)*(J132*J132*((3*N132)+O132)+2*J132*L132*(N132+O132)+L132*L132*(N132+(3*O132))))</f>
        <v>-113.9301422627139</v>
      </c>
    </row>
    <row r="133" spans="1:18" x14ac:dyDescent="0.25">
      <c r="A133" t="s">
        <v>70</v>
      </c>
      <c r="B133" s="4">
        <f t="shared" ref="B133:C138" si="50">D132</f>
        <v>-1.33581278225153</v>
      </c>
      <c r="C133" s="4">
        <f t="shared" si="50"/>
        <v>9.8089553067986515</v>
      </c>
      <c r="D133" s="4">
        <f t="shared" si="47"/>
        <v>-9.8089553067986515</v>
      </c>
      <c r="E133" s="4">
        <f t="shared" si="47"/>
        <v>-1.33581278225153</v>
      </c>
      <c r="F133" s="4">
        <f t="shared" si="48"/>
        <v>14.289076517167352</v>
      </c>
      <c r="G133" s="4">
        <f t="shared" si="49"/>
        <v>-12.005938396237317</v>
      </c>
      <c r="H133" s="4">
        <f t="shared" ref="H133:H139" si="51">IF(B133=D133,"V",(C133-E133)/(B133-D133))</f>
        <v>1.315305160601657</v>
      </c>
      <c r="I133" s="4">
        <f t="shared" ref="I133:I139" si="52">IF(H133="V",0,(-1*B133*H133)+C133)</f>
        <v>11.565956752891747</v>
      </c>
      <c r="J133" s="4">
        <f t="shared" ref="J133:J139" si="53">IF($F133&gt;=0,B133,IF(AND($F133&lt;0,$G133&gt;=0),IF(H133="V",B133,($B$125-I133)/H133),0))</f>
        <v>-1.33581278225153</v>
      </c>
      <c r="K133" s="4">
        <f t="shared" ref="K133:K139" si="54">IF($F133&gt;=0,C133,IF(AND($F133&lt;0,$G133&gt;=0),$B$125,0))</f>
        <v>9.8089553067986515</v>
      </c>
      <c r="L133" s="4">
        <f t="shared" ref="L133:L139" si="55">IF($G133&gt;=0,D133,IF(AND($G133&lt;0,$F133&gt;=0),IF(H133="V",D133,($B$125-I133)/H133),0))</f>
        <v>-5.9402361785812126</v>
      </c>
      <c r="M133" s="4">
        <f t="shared" ref="M133:M139" si="56">IF($G133&gt;=0,E133,IF(AND($G133&lt;0,$F133&gt;=0),$B$125,0))</f>
        <v>3.7527334520112117</v>
      </c>
      <c r="N133" s="4">
        <f t="shared" ref="N133:O139" si="57">IF(F133&lt;0,0,F133)</f>
        <v>14.289076517167352</v>
      </c>
      <c r="O133" s="4">
        <f t="shared" si="57"/>
        <v>0</v>
      </c>
      <c r="P133" s="4">
        <f t="shared" ref="P133:P139" si="58">(1/6)*(M133-K133)*((N133*((2*J133)+L133))+(O133*(J133+(2*L133))))</f>
        <v>124.20861995915114</v>
      </c>
      <c r="Q133" s="4">
        <f t="shared" ref="Q133:Q139" si="59">((1/12)*(M133-K133)*(N133*J133*((3*K133)+M133)+N133*L133*(K133+M133)+O133*J133*(K133+M133)+O133*L133*(K133+(3*M133))))</f>
        <v>900.58007990756641</v>
      </c>
      <c r="R133" s="4">
        <f t="shared" ref="R133:R139" si="60">((-1/24)*(M133-K133)*(J133*J133*((3*N133)+O133)+2*J133*L133*(N133+O133)+L133*L133*(N133+(3*O133))))</f>
        <v>203.7593491350539</v>
      </c>
    </row>
    <row r="134" spans="1:18" x14ac:dyDescent="0.25">
      <c r="A134" t="s">
        <v>71</v>
      </c>
      <c r="B134" s="4">
        <f t="shared" si="50"/>
        <v>-9.8089553067986515</v>
      </c>
      <c r="C134" s="4">
        <f t="shared" si="50"/>
        <v>-1.33581278225153</v>
      </c>
      <c r="D134" s="4">
        <f t="shared" si="47"/>
        <v>1.33581278225153</v>
      </c>
      <c r="E134" s="4">
        <f t="shared" si="47"/>
        <v>-9.8089553067986515</v>
      </c>
      <c r="F134" s="4">
        <f t="shared" si="48"/>
        <v>-12.005938396237317</v>
      </c>
      <c r="G134" s="4">
        <f t="shared" si="49"/>
        <v>-31.99750818630535</v>
      </c>
      <c r="H134" s="4">
        <f t="shared" si="51"/>
        <v>-0.76027984224023892</v>
      </c>
      <c r="I134" s="4">
        <f t="shared" si="52"/>
        <v>-8.7933637754459628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1.33581278225153</v>
      </c>
      <c r="C135" s="4">
        <f t="shared" si="50"/>
        <v>-9.8089553067986515</v>
      </c>
      <c r="D135" s="4">
        <f t="shared" si="47"/>
        <v>9.8089553067986515</v>
      </c>
      <c r="E135" s="4">
        <f t="shared" si="47"/>
        <v>1.33581278225153</v>
      </c>
      <c r="F135" s="4">
        <f t="shared" si="48"/>
        <v>-31.99750818630535</v>
      </c>
      <c r="G135" s="4">
        <f t="shared" si="49"/>
        <v>-5.7024932729006803</v>
      </c>
      <c r="H135" s="4">
        <f t="shared" si="51"/>
        <v>1.315305160601657</v>
      </c>
      <c r="I135" s="4">
        <f t="shared" si="52"/>
        <v>-11.565956752891747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9.8089553067986515</v>
      </c>
      <c r="C136" s="4">
        <f t="shared" si="50"/>
        <v>1.33581278225153</v>
      </c>
      <c r="D136" s="4">
        <f t="shared" si="47"/>
        <v>9.8089553067986515</v>
      </c>
      <c r="E136" s="4">
        <f t="shared" si="47"/>
        <v>1.33581278225153</v>
      </c>
      <c r="F136" s="4">
        <f t="shared" si="48"/>
        <v>-5.7024932729006803</v>
      </c>
      <c r="G136" s="4">
        <f t="shared" si="49"/>
        <v>-5.7024932729006803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9.8089553067986515</v>
      </c>
      <c r="C137" s="4">
        <f t="shared" si="50"/>
        <v>1.33581278225153</v>
      </c>
      <c r="D137" s="4">
        <f t="shared" si="47"/>
        <v>9.8089553067986515</v>
      </c>
      <c r="E137" s="4">
        <f t="shared" si="47"/>
        <v>1.33581278225153</v>
      </c>
      <c r="F137" s="4">
        <f t="shared" si="48"/>
        <v>-5.7024932729006803</v>
      </c>
      <c r="G137" s="4">
        <f t="shared" si="49"/>
        <v>-5.7024932729006803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9.8089553067986515</v>
      </c>
      <c r="C138" s="4">
        <f t="shared" si="50"/>
        <v>1.33581278225153</v>
      </c>
      <c r="D138" s="4">
        <f t="shared" si="47"/>
        <v>9.8089553067986515</v>
      </c>
      <c r="E138" s="4">
        <f t="shared" si="47"/>
        <v>1.33581278225153</v>
      </c>
      <c r="F138" s="4">
        <f t="shared" si="48"/>
        <v>-5.7024932729006803</v>
      </c>
      <c r="G138" s="4">
        <f t="shared" si="49"/>
        <v>-5.7024932729006803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9.8089553067986515</v>
      </c>
      <c r="C139" s="4">
        <f>E138</f>
        <v>1.33581278225153</v>
      </c>
      <c r="D139" s="4">
        <f t="shared" si="47"/>
        <v>9.8089553067986515</v>
      </c>
      <c r="E139" s="4">
        <f t="shared" si="47"/>
        <v>1.33581278225153</v>
      </c>
      <c r="F139" s="4">
        <f t="shared" si="48"/>
        <v>-5.7024932729006803</v>
      </c>
      <c r="G139" s="4">
        <f t="shared" si="49"/>
        <v>-5.7024932729006803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181.29965918784958</v>
      </c>
      <c r="Q140" s="4">
        <f>SUM(Q132:Q139)</f>
        <v>1229.3647749919596</v>
      </c>
      <c r="R140" s="4">
        <f>SUM(R132:R139)</f>
        <v>89.829206872339995</v>
      </c>
    </row>
    <row r="142" spans="1:18" x14ac:dyDescent="0.25">
      <c r="O142" t="s">
        <v>96</v>
      </c>
      <c r="P142" s="1">
        <f>-1*R140/P140</f>
        <v>-0.49547366649633617</v>
      </c>
    </row>
    <row r="143" spans="1:18" x14ac:dyDescent="0.25">
      <c r="O143" t="s">
        <v>97</v>
      </c>
      <c r="P143" s="1">
        <f>Q140/P140</f>
        <v>6.7808443794049325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9.8089553067986515</v>
      </c>
      <c r="C146" s="9">
        <f>J84</f>
        <v>1.33581278225153</v>
      </c>
      <c r="D146" s="9">
        <f t="shared" ref="D146:E153" si="61">I85</f>
        <v>9.8089553067986515</v>
      </c>
      <c r="E146">
        <f t="shared" si="61"/>
        <v>1.33581278225153</v>
      </c>
      <c r="F146" s="4">
        <f>($B$66/$B$65)*(C146-$B$125)</f>
        <v>-5.7024932729006803</v>
      </c>
      <c r="G146" s="4">
        <f>($B$66/$B$65)*(E146-$B$125)</f>
        <v>-5.7024932729006803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9.8089553067986515</v>
      </c>
      <c r="C147">
        <f t="shared" si="62"/>
        <v>1.33581278225153</v>
      </c>
      <c r="D147" s="9">
        <f t="shared" si="61"/>
        <v>9.8089553067986515</v>
      </c>
      <c r="E147">
        <f t="shared" si="61"/>
        <v>1.33581278225153</v>
      </c>
      <c r="F147" s="4">
        <f t="shared" ref="F147:F153" si="63">($B$66/$B$65)*(C147-$B$125)</f>
        <v>-5.7024932729006803</v>
      </c>
      <c r="G147" s="4">
        <f t="shared" ref="G147:G153" si="64">($B$66/$B$65)*(E147-$B$125)</f>
        <v>-5.7024932729006803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9.8089553067986515</v>
      </c>
      <c r="C148">
        <f t="shared" si="62"/>
        <v>1.33581278225153</v>
      </c>
      <c r="D148" s="9">
        <f t="shared" si="61"/>
        <v>9.8089553067986515</v>
      </c>
      <c r="E148">
        <f t="shared" si="61"/>
        <v>1.33581278225153</v>
      </c>
      <c r="F148" s="4">
        <f t="shared" si="63"/>
        <v>-5.7024932729006803</v>
      </c>
      <c r="G148" s="4">
        <f t="shared" si="64"/>
        <v>-5.7024932729006803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9.8089553067986515</v>
      </c>
      <c r="C149">
        <f t="shared" si="62"/>
        <v>1.33581278225153</v>
      </c>
      <c r="D149" s="9">
        <f t="shared" si="61"/>
        <v>9.8089553067986515</v>
      </c>
      <c r="E149">
        <f t="shared" si="61"/>
        <v>1.33581278225153</v>
      </c>
      <c r="F149" s="4">
        <f t="shared" si="63"/>
        <v>-5.7024932729006803</v>
      </c>
      <c r="G149" s="4">
        <f t="shared" si="64"/>
        <v>-5.7024932729006803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9.8089553067986515</v>
      </c>
      <c r="C150">
        <f t="shared" si="62"/>
        <v>1.33581278225153</v>
      </c>
      <c r="D150" s="9">
        <f t="shared" si="61"/>
        <v>9.8089553067986515</v>
      </c>
      <c r="E150">
        <f t="shared" si="61"/>
        <v>1.33581278225153</v>
      </c>
      <c r="F150" s="4">
        <f t="shared" si="63"/>
        <v>-5.7024932729006803</v>
      </c>
      <c r="G150" s="4">
        <f t="shared" si="64"/>
        <v>-5.7024932729006803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9.8089553067986515</v>
      </c>
      <c r="C151">
        <f t="shared" si="62"/>
        <v>1.33581278225153</v>
      </c>
      <c r="D151" s="9">
        <f t="shared" si="61"/>
        <v>9.8089553067986515</v>
      </c>
      <c r="E151">
        <f t="shared" si="61"/>
        <v>1.33581278225153</v>
      </c>
      <c r="F151" s="4">
        <f t="shared" si="63"/>
        <v>-5.7024932729006803</v>
      </c>
      <c r="G151" s="4">
        <f t="shared" si="64"/>
        <v>-5.7024932729006803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9.8089553067986515</v>
      </c>
      <c r="C152">
        <f t="shared" si="62"/>
        <v>1.33581278225153</v>
      </c>
      <c r="D152" s="9">
        <f t="shared" si="61"/>
        <v>9.8089553067986515</v>
      </c>
      <c r="E152">
        <f t="shared" si="61"/>
        <v>1.33581278225153</v>
      </c>
      <c r="F152" s="4">
        <f t="shared" si="63"/>
        <v>-5.7024932729006803</v>
      </c>
      <c r="G152" s="4">
        <f t="shared" si="64"/>
        <v>-5.7024932729006803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9.8089553067986515</v>
      </c>
      <c r="C153">
        <f t="shared" si="62"/>
        <v>1.33581278225153</v>
      </c>
      <c r="D153" s="9">
        <f t="shared" si="61"/>
        <v>9.8089553067986515</v>
      </c>
      <c r="E153">
        <f t="shared" si="61"/>
        <v>1.33581278225153</v>
      </c>
      <c r="F153" s="4">
        <f t="shared" si="63"/>
        <v>-5.7024932729006803</v>
      </c>
      <c r="G153" s="4">
        <f t="shared" si="64"/>
        <v>-5.7024932729006803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6.5560291564459305E-6</v>
      </c>
      <c r="C159" t="s">
        <v>36</v>
      </c>
    </row>
    <row r="160" spans="1:18" x14ac:dyDescent="0.25">
      <c r="A160" s="1" t="s">
        <v>106</v>
      </c>
      <c r="B160" s="4">
        <f>Q140+I122+Q154-O122</f>
        <v>1681.5352215161201</v>
      </c>
      <c r="C160" t="s">
        <v>102</v>
      </c>
    </row>
    <row r="161" spans="1:9" x14ac:dyDescent="0.25">
      <c r="A161" s="1" t="s">
        <v>107</v>
      </c>
      <c r="B161" s="4">
        <f>R140+J122+R154-P122</f>
        <v>228.99641167044825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6.5560291564459305E-6</v>
      </c>
      <c r="C164" t="s">
        <v>36</v>
      </c>
      <c r="E164" s="8">
        <f>B2-B164</f>
        <v>-6.5560291564459305E-6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-1200.000060262372</v>
      </c>
      <c r="C165" t="s">
        <v>102</v>
      </c>
      <c r="E165" s="8">
        <f>B3+B165</f>
        <v>-6.0262372016950394E-5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-1199.9999638031293</v>
      </c>
      <c r="C166" t="s">
        <v>102</v>
      </c>
      <c r="E166" s="8">
        <f>B4+B166</f>
        <v>3.6196870723870234E-5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14.289076517167354</v>
      </c>
      <c r="B169" s="1">
        <f ca="1">IF(E122=0,0,(MIN(H110:H121)*B65)/(B55*B56*E122))</f>
        <v>-14.289076697430394</v>
      </c>
      <c r="C169" s="3">
        <f ca="1">A169+B169</f>
        <v>-1.8026304005047677E-7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5.6239116543624656E-8</v>
      </c>
      <c r="C175" s="27">
        <f>B65*SQRT(I175)</f>
        <v>8.9828286713980596E-8</v>
      </c>
      <c r="D175" s="27">
        <f>B66*SQRT(I175)</f>
        <v>2.1194125529722138E-7</v>
      </c>
      <c r="E175" s="27">
        <f>B67*SQRT(I175)</f>
        <v>7.7961826501262227E-7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3.7916405201157151</v>
      </c>
      <c r="C176" s="3">
        <f>B65+C175</f>
        <v>6.0562219446157268</v>
      </c>
      <c r="D176" s="3">
        <f>D175+B66</f>
        <v>14.28907672910861</v>
      </c>
      <c r="E176" s="3">
        <f>B67+E175</f>
        <v>52.561853484152401</v>
      </c>
      <c r="F176" s="16" t="s">
        <v>125</v>
      </c>
    </row>
    <row r="177" spans="1:13" x14ac:dyDescent="0.25">
      <c r="B177" s="27">
        <f>B176-B64</f>
        <v>5.6239116474898765E-8</v>
      </c>
      <c r="C177" s="27">
        <f>C176-B65</f>
        <v>8.9828287030968568E-8</v>
      </c>
      <c r="D177" s="27">
        <f>D176-B66</f>
        <v>2.1194125565671129E-7</v>
      </c>
      <c r="E177" s="27">
        <f>E176-B67</f>
        <v>7.7961826150385605E-7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-12.529403080503338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-9.808955537569906</v>
      </c>
      <c r="B181" s="25">
        <f>(d_alpha_p!E136-d_alpha_m!E136)/(2*B177)</f>
        <v>-9.808955537569906</v>
      </c>
      <c r="C181" s="25">
        <f>(d_alpha_p!E137-d_alpha_m!E137)/(2*B177)</f>
        <v>-9.808955537569906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6.5560291564459305E-6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6.0262372016950394E-5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-3.6196870723870234E-5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1.8026304005047677E-7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-12.529403080503338</v>
      </c>
      <c r="B190" s="25">
        <f>A181</f>
        <v>-9.808955537569906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-9.808955537569906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-9.808955537569906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-12.529403080503338</v>
      </c>
      <c r="B201" s="25">
        <f t="shared" ref="B201:C201" si="77">B190</f>
        <v>-9.808955537569906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-9.808955537569906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-9.808955537569906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2.6239067055393579</v>
      </c>
      <c r="J3" t="s">
        <v>11</v>
      </c>
    </row>
    <row r="4" spans="1:29" x14ac:dyDescent="0.25">
      <c r="A4" s="10" t="s">
        <v>80</v>
      </c>
      <c r="B4" s="17">
        <f>'Rigid Bearing Plate Analysis'!B4</f>
        <v>1200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2.6239067055393579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5.2478134110787158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-2.6239067055393579</v>
      </c>
      <c r="AB14">
        <f>$B$4/Z14</f>
        <v>2.6239067055393579</v>
      </c>
      <c r="AC14">
        <f>$I$2+AA14+AB14</f>
        <v>0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2.6239067055393579</v>
      </c>
      <c r="AB15">
        <f t="shared" ref="AB15:AB21" si="11">$B$4/Z15</f>
        <v>2.6239067055393579</v>
      </c>
      <c r="AC15">
        <f t="shared" ref="AC15:AC20" si="12">$I$2+AA15+AB15</f>
        <v>5.2478134110787158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2.6239067055393579</v>
      </c>
      <c r="AB16">
        <f t="shared" si="11"/>
        <v>-2.6239067055393579</v>
      </c>
      <c r="AC16">
        <f t="shared" si="12"/>
        <v>0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-2.6239067055393579</v>
      </c>
      <c r="AB17">
        <f t="shared" si="11"/>
        <v>-2.6239067055393579</v>
      </c>
      <c r="AC17">
        <f t="shared" si="12"/>
        <v>-5.2478134110787158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-2.6239067055393579</v>
      </c>
      <c r="AB18">
        <f t="shared" si="11"/>
        <v>-2.6239067055393579</v>
      </c>
      <c r="AC18">
        <f t="shared" si="12"/>
        <v>-5.2478134110787158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-2.6239067055393579</v>
      </c>
      <c r="AB19">
        <f t="shared" si="11"/>
        <v>-2.6239067055393579</v>
      </c>
      <c r="AC19">
        <f t="shared" si="12"/>
        <v>-5.2478134110787158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-2.6239067055393579</v>
      </c>
      <c r="AB20">
        <f t="shared" si="11"/>
        <v>-2.6239067055393579</v>
      </c>
      <c r="AC20">
        <f t="shared" si="12"/>
        <v>-5.2478134110787158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-2.6239067055393579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3.791640520115716</v>
      </c>
      <c r="C64" t="s">
        <v>19</v>
      </c>
      <c r="D64" t="s">
        <v>34</v>
      </c>
      <c r="H64" s="17">
        <f>DEGREES(B64)</f>
        <v>217.24499923341884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6.0562219446157268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14.289076517167354</v>
      </c>
      <c r="C66" t="s">
        <v>11</v>
      </c>
      <c r="D66">
        <f>B66/B53</f>
        <v>3.5071409191529401E-3</v>
      </c>
      <c r="I66" s="20"/>
    </row>
    <row r="67" spans="1:18" x14ac:dyDescent="0.25">
      <c r="A67" s="1" t="s">
        <v>37</v>
      </c>
      <c r="B67" s="17">
        <f>'Rigid Bearing Plate Analysis'!B67</f>
        <v>52.561852704534139</v>
      </c>
      <c r="C67" t="s">
        <v>36</v>
      </c>
      <c r="D67" t="s">
        <v>122</v>
      </c>
      <c r="G67" s="20">
        <f ca="1">($B$56*$B$66*$B$55*$E$122)/$B$65</f>
        <v>52.561851420361876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-10.808955381923568</v>
      </c>
      <c r="R76">
        <f>Q76</f>
        <v>-10.808955381923568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10.808955381923568</v>
      </c>
      <c r="R77">
        <f>Q77</f>
        <v>10.808955381923568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9.8089553819235675</v>
      </c>
      <c r="C84" s="1">
        <f t="shared" ref="C84:C92" si="23">(-1*B73*SIN($B$64))+(C73*COS($B$64))</f>
        <v>1.3358122306045388</v>
      </c>
      <c r="H84" s="1">
        <f t="shared" ref="H84:H92" si="24">H73</f>
        <v>1</v>
      </c>
      <c r="I84" s="4">
        <f>(I73*COS($B$64))+(J73*SIN($B$64))</f>
        <v>9.8089553819235675</v>
      </c>
      <c r="J84" s="1">
        <f>(-1*I73*SIN($B$64))+(J73*COS($B$64))</f>
        <v>1.3358122306045388</v>
      </c>
    </row>
    <row r="85" spans="1:10" x14ac:dyDescent="0.25">
      <c r="A85" s="1">
        <f t="shared" si="21"/>
        <v>2</v>
      </c>
      <c r="B85" s="4">
        <f t="shared" si="22"/>
        <v>-1.3358122306045388</v>
      </c>
      <c r="C85" s="1">
        <f t="shared" si="23"/>
        <v>9.8089553819235675</v>
      </c>
      <c r="H85" s="1">
        <f t="shared" si="24"/>
        <v>2</v>
      </c>
      <c r="I85" s="4">
        <f t="shared" ref="I85:I92" si="25">(I74*COS($B$64))+(J74*SIN($B$64))</f>
        <v>9.8089553819235675</v>
      </c>
      <c r="J85" s="1">
        <f t="shared" ref="J85:J92" si="26">(-1*I74*SIN($B$64))+(J74*COS($B$64))</f>
        <v>1.3358122306045388</v>
      </c>
    </row>
    <row r="86" spans="1:10" x14ac:dyDescent="0.25">
      <c r="A86" s="1">
        <f t="shared" si="21"/>
        <v>3</v>
      </c>
      <c r="B86" s="4">
        <f t="shared" si="22"/>
        <v>-9.8089553819235675</v>
      </c>
      <c r="C86" s="1">
        <f t="shared" si="23"/>
        <v>-1.3358122306045388</v>
      </c>
      <c r="H86" s="1">
        <f t="shared" si="24"/>
        <v>3</v>
      </c>
      <c r="I86" s="4">
        <f t="shared" si="25"/>
        <v>9.8089553819235675</v>
      </c>
      <c r="J86" s="1">
        <f t="shared" si="26"/>
        <v>1.3358122306045388</v>
      </c>
    </row>
    <row r="87" spans="1:10" x14ac:dyDescent="0.25">
      <c r="A87" s="1">
        <f t="shared" si="21"/>
        <v>4</v>
      </c>
      <c r="B87" s="4">
        <f t="shared" si="22"/>
        <v>1.3358122306045388</v>
      </c>
      <c r="C87" s="1">
        <f t="shared" si="23"/>
        <v>-9.8089553819235675</v>
      </c>
      <c r="H87" s="1">
        <f t="shared" si="24"/>
        <v>4</v>
      </c>
      <c r="I87" s="4">
        <f t="shared" si="25"/>
        <v>9.8089553819235675</v>
      </c>
      <c r="J87" s="1">
        <f t="shared" si="26"/>
        <v>1.3358122306045388</v>
      </c>
    </row>
    <row r="88" spans="1:10" x14ac:dyDescent="0.25">
      <c r="A88" s="1">
        <f t="shared" si="21"/>
        <v>5</v>
      </c>
      <c r="B88" s="4">
        <f t="shared" si="22"/>
        <v>9.8089553819235675</v>
      </c>
      <c r="C88" s="1">
        <f t="shared" si="23"/>
        <v>1.3358122306045388</v>
      </c>
      <c r="H88" s="1">
        <f t="shared" si="24"/>
        <v>5</v>
      </c>
      <c r="I88" s="4">
        <f t="shared" si="25"/>
        <v>9.8089553819235675</v>
      </c>
      <c r="J88" s="1">
        <f t="shared" si="26"/>
        <v>1.3358122306045388</v>
      </c>
    </row>
    <row r="89" spans="1:10" x14ac:dyDescent="0.25">
      <c r="A89" s="1">
        <f t="shared" si="21"/>
        <v>6</v>
      </c>
      <c r="B89" s="4">
        <f t="shared" si="22"/>
        <v>9.8089553819235675</v>
      </c>
      <c r="C89" s="1">
        <f t="shared" si="23"/>
        <v>1.3358122306045388</v>
      </c>
      <c r="H89" s="1">
        <f t="shared" si="24"/>
        <v>6</v>
      </c>
      <c r="I89" s="4">
        <f t="shared" si="25"/>
        <v>9.8089553819235675</v>
      </c>
      <c r="J89" s="1">
        <f t="shared" si="26"/>
        <v>1.3358122306045388</v>
      </c>
    </row>
    <row r="90" spans="1:10" x14ac:dyDescent="0.25">
      <c r="A90" s="1">
        <f t="shared" si="21"/>
        <v>7</v>
      </c>
      <c r="B90" s="4">
        <f t="shared" si="22"/>
        <v>9.8089553819235675</v>
      </c>
      <c r="C90" s="1">
        <f t="shared" si="23"/>
        <v>1.3358122306045388</v>
      </c>
      <c r="H90" s="1">
        <f t="shared" si="24"/>
        <v>7</v>
      </c>
      <c r="I90" s="4">
        <f t="shared" si="25"/>
        <v>9.8089553819235675</v>
      </c>
      <c r="J90" s="1">
        <f t="shared" si="26"/>
        <v>1.3358122306045388</v>
      </c>
    </row>
    <row r="91" spans="1:10" x14ac:dyDescent="0.25">
      <c r="A91" s="1">
        <f t="shared" si="21"/>
        <v>8</v>
      </c>
      <c r="B91" s="4">
        <f t="shared" si="22"/>
        <v>9.8089553819235675</v>
      </c>
      <c r="C91" s="1">
        <f t="shared" si="23"/>
        <v>1.3358122306045388</v>
      </c>
      <c r="H91" s="1">
        <f t="shared" si="24"/>
        <v>8</v>
      </c>
      <c r="I91" s="4">
        <f t="shared" si="25"/>
        <v>9.8089553819235675</v>
      </c>
      <c r="J91" s="1">
        <f t="shared" si="26"/>
        <v>1.3358122306045388</v>
      </c>
    </row>
    <row r="92" spans="1:10" x14ac:dyDescent="0.25">
      <c r="A92" s="1">
        <f t="shared" si="21"/>
        <v>9</v>
      </c>
      <c r="B92" s="4">
        <f t="shared" si="22"/>
        <v>9.8089553819235675</v>
      </c>
      <c r="C92" s="1">
        <f t="shared" si="23"/>
        <v>1.3358122306045388</v>
      </c>
      <c r="H92" s="1">
        <f t="shared" si="24"/>
        <v>9</v>
      </c>
      <c r="I92" s="4">
        <f t="shared" si="25"/>
        <v>9.8089553819235675</v>
      </c>
      <c r="J92" s="1">
        <f t="shared" si="26"/>
        <v>1.3358122306045388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5.6051173610991816</v>
      </c>
      <c r="C110" s="1">
        <f>(-1*B95*SIN($B$64))+(C95*COS($B$64))</f>
        <v>0.76332127463116528</v>
      </c>
      <c r="D110" t="str">
        <f t="shared" ref="D110" si="31">D95</f>
        <v>y</v>
      </c>
      <c r="E110" s="4">
        <f t="shared" ref="E110:E121" si="32">IF($D110="y",$B$125-C110,0)</f>
        <v>2.9894121626766754</v>
      </c>
      <c r="F110" s="1">
        <f>IF($D110="y",B110,NA())</f>
        <v>5.6051173610991816</v>
      </c>
      <c r="G110" s="1">
        <f>IF($D110="y",C110,NA())</f>
        <v>0.76332127463116528</v>
      </c>
      <c r="H110">
        <f t="shared" ref="H110:H121" si="33">IF($E$122=0,0,-1*MAX(($B$67/$E$122)*(E110),0))</f>
        <v>-16.791146295525699</v>
      </c>
      <c r="I110">
        <f>H110*C110</f>
        <v>-12.817039192819045</v>
      </c>
      <c r="J110">
        <f>H110*B110*-1</f>
        <v>94.116345613807312</v>
      </c>
      <c r="K110">
        <f ca="1">H110/$B$55</f>
        <v>-50.20364380416779</v>
      </c>
      <c r="L110">
        <f ca="1">K110/$B$54</f>
        <v>-1.7311601311781996E-3</v>
      </c>
      <c r="M110">
        <f t="shared" ref="M110:M121" si="34">IFERROR(($D$66/$B$65)*(G110-$B$125),0)</f>
        <v>-1.7311600888831183E-3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-0.76332127463116528</v>
      </c>
      <c r="C111" s="1">
        <f t="shared" ref="C111:C121" si="37">(-1*B96*SIN($B$64))+(C96*COS($B$64))</f>
        <v>5.6051173610991816</v>
      </c>
      <c r="D111" t="str">
        <f t="shared" si="35"/>
        <v>y</v>
      </c>
      <c r="E111" s="4">
        <f t="shared" si="32"/>
        <v>-1.8523839237913409</v>
      </c>
      <c r="F111" s="1">
        <f t="shared" ref="F111:G121" si="38">IF($D111="y",B111,NA())</f>
        <v>-0.76332127463116528</v>
      </c>
      <c r="G111" s="1">
        <f t="shared" si="38"/>
        <v>5.6051173610991816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1.072710266651548E-3</v>
      </c>
      <c r="N111">
        <f t="shared" ref="N111:N121" si="42">IF(AND(M111&gt;0,D111="y",$E$60="y"),$B$53*M111*$E$59,0)</f>
        <v>2.2660526870035747</v>
      </c>
      <c r="O111">
        <f t="shared" ref="O111:O121" si="43">N111*C111</f>
        <v>12.701491257089186</v>
      </c>
      <c r="P111">
        <f t="shared" ref="P111:P121" si="44">N111*B111*-1</f>
        <v>1.7297262254249457</v>
      </c>
    </row>
    <row r="112" spans="1:16" x14ac:dyDescent="0.25">
      <c r="A112">
        <f t="shared" si="35"/>
        <v>3</v>
      </c>
      <c r="B112" s="1">
        <f t="shared" si="36"/>
        <v>0.76332127463116528</v>
      </c>
      <c r="C112" s="1">
        <f t="shared" si="37"/>
        <v>-5.6051173610991816</v>
      </c>
      <c r="D112" t="str">
        <f t="shared" si="35"/>
        <v>y</v>
      </c>
      <c r="E112" s="4">
        <f t="shared" si="32"/>
        <v>9.3578507984070214</v>
      </c>
      <c r="F112" s="1">
        <f t="shared" si="38"/>
        <v>0.76332127463116528</v>
      </c>
      <c r="G112" s="1">
        <f t="shared" si="38"/>
        <v>-5.6051173610991816</v>
      </c>
      <c r="H112">
        <f t="shared" si="33"/>
        <v>-52.561852704534139</v>
      </c>
      <c r="I112">
        <f t="shared" si="39"/>
        <v>294.61535312572227</v>
      </c>
      <c r="J112">
        <f t="shared" si="40"/>
        <v>40.121580403400564</v>
      </c>
      <c r="K112">
        <f t="shared" ref="K112:K121" ca="1" si="45">H112/$B$55</f>
        <v>-157.15404323341045</v>
      </c>
      <c r="L112">
        <f t="shared" ca="1" si="41"/>
        <v>-5.4191049390831187E-3</v>
      </c>
      <c r="M112">
        <f t="shared" si="34"/>
        <v>-5.4191048066854972E-3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-5.6051173610991816</v>
      </c>
      <c r="C113" s="1">
        <f t="shared" si="37"/>
        <v>-0.76332127463116528</v>
      </c>
      <c r="D113" t="str">
        <f t="shared" si="35"/>
        <v>y</v>
      </c>
      <c r="E113" s="4">
        <f t="shared" si="32"/>
        <v>4.516054711939006</v>
      </c>
      <c r="F113" s="1">
        <f t="shared" si="38"/>
        <v>-5.6051173610991816</v>
      </c>
      <c r="G113" s="1">
        <f t="shared" si="38"/>
        <v>-0.76332127463116528</v>
      </c>
      <c r="H113">
        <f t="shared" si="33"/>
        <v>-25.366102504536943</v>
      </c>
      <c r="I113">
        <f t="shared" si="39"/>
        <v>19.362485696187935</v>
      </c>
      <c r="J113">
        <f t="shared" si="40"/>
        <v>-142.17998153160144</v>
      </c>
      <c r="K113">
        <f t="shared" ca="1" si="45"/>
        <v>-75.841800936313689</v>
      </c>
      <c r="L113">
        <f t="shared" ca="1" si="41"/>
        <v>-2.6152345150452995E-3</v>
      </c>
      <c r="M113">
        <f t="shared" si="34"/>
        <v>-2.6152344511508312E-3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4.0920560840779263</v>
      </c>
      <c r="C114" s="1">
        <f t="shared" si="37"/>
        <v>-1.2268157990345681</v>
      </c>
      <c r="D114" t="str">
        <f t="shared" si="35"/>
        <v>y</v>
      </c>
      <c r="E114" s="4">
        <f t="shared" si="32"/>
        <v>4.9795492363424092</v>
      </c>
      <c r="F114" s="1">
        <f t="shared" si="38"/>
        <v>4.0920560840779263</v>
      </c>
      <c r="G114" s="1">
        <f t="shared" si="38"/>
        <v>-1.2268157990345681</v>
      </c>
      <c r="H114">
        <f t="shared" si="33"/>
        <v>-27.96949204834084</v>
      </c>
      <c r="I114">
        <f t="shared" si="39"/>
        <v>34.313414735876265</v>
      </c>
      <c r="J114">
        <f t="shared" si="40"/>
        <v>114.45273010498231</v>
      </c>
      <c r="K114">
        <f t="shared" ca="1" si="45"/>
        <v>-83.62564362580612</v>
      </c>
      <c r="L114">
        <f t="shared" ca="1" si="41"/>
        <v>-2.8836428836484869E-3</v>
      </c>
      <c r="M114">
        <f t="shared" si="34"/>
        <v>-2.8836428131963623E-3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-2.2763825516524205</v>
      </c>
      <c r="C115" s="1">
        <f t="shared" si="37"/>
        <v>3.6149802874334482</v>
      </c>
      <c r="D115" t="str">
        <f t="shared" si="35"/>
        <v>y</v>
      </c>
      <c r="E115" s="4">
        <f t="shared" si="32"/>
        <v>0.13775314987439247</v>
      </c>
      <c r="F115" s="1">
        <f t="shared" si="38"/>
        <v>-2.2763825516524205</v>
      </c>
      <c r="G115" s="1">
        <f t="shared" si="38"/>
        <v>3.6149802874334482</v>
      </c>
      <c r="H115">
        <f t="shared" si="33"/>
        <v>-0.77374184834363746</v>
      </c>
      <c r="I115">
        <f t="shared" si="39"/>
        <v>-2.7970615293245702</v>
      </c>
      <c r="J115">
        <f t="shared" si="40"/>
        <v>-1.7613324430527497</v>
      </c>
      <c r="K115">
        <f t="shared" ca="1" si="45"/>
        <v>-2.3134013287093591</v>
      </c>
      <c r="L115">
        <f t="shared" ca="1" si="41"/>
        <v>-7.9772459610667553E-5</v>
      </c>
      <c r="M115">
        <f t="shared" si="34"/>
        <v>-7.9772457661695536E-5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2.2763825516524205</v>
      </c>
      <c r="C116" s="1">
        <f t="shared" si="37"/>
        <v>-3.6149802874334482</v>
      </c>
      <c r="D116" t="str">
        <f t="shared" si="35"/>
        <v>y</v>
      </c>
      <c r="E116" s="4">
        <f t="shared" si="32"/>
        <v>7.3677137247412894</v>
      </c>
      <c r="F116" s="1">
        <f t="shared" si="38"/>
        <v>2.2763825516524205</v>
      </c>
      <c r="G116" s="1">
        <f t="shared" si="38"/>
        <v>-3.6149802874334482</v>
      </c>
      <c r="H116">
        <f t="shared" si="33"/>
        <v>-41.383506951719006</v>
      </c>
      <c r="I116">
        <f t="shared" si="39"/>
        <v>149.60056185532929</v>
      </c>
      <c r="J116">
        <f t="shared" si="40"/>
        <v>94.204693151079795</v>
      </c>
      <c r="K116">
        <f t="shared" ca="1" si="45"/>
        <v>-123.73204341177212</v>
      </c>
      <c r="L116">
        <f t="shared" ca="1" si="41"/>
        <v>-4.2666221866128323E-3</v>
      </c>
      <c r="M116">
        <f t="shared" si="34"/>
        <v>-4.2666220823722543E-3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-4.0920560840779263</v>
      </c>
      <c r="C117" s="1">
        <f t="shared" si="37"/>
        <v>1.2268157990345681</v>
      </c>
      <c r="D117" t="str">
        <f t="shared" si="35"/>
        <v>y</v>
      </c>
      <c r="E117" s="4">
        <f t="shared" si="32"/>
        <v>2.5259176382732726</v>
      </c>
      <c r="F117" s="1">
        <f t="shared" si="38"/>
        <v>-4.0920560840779263</v>
      </c>
      <c r="G117" s="1">
        <f t="shared" si="38"/>
        <v>1.2268157990345681</v>
      </c>
      <c r="H117">
        <f t="shared" si="33"/>
        <v>-14.187756751721805</v>
      </c>
      <c r="I117">
        <f t="shared" si="39"/>
        <v>-17.405764135871674</v>
      </c>
      <c r="J117">
        <f t="shared" si="40"/>
        <v>-58.057096335300891</v>
      </c>
      <c r="K117">
        <f t="shared" ca="1" si="45"/>
        <v>-42.419801114675359</v>
      </c>
      <c r="L117">
        <f t="shared" ca="1" si="41"/>
        <v>-1.4627517625750124E-3</v>
      </c>
      <c r="M117">
        <f t="shared" si="34"/>
        <v>-1.4627517268375879E-3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9.8089553819235675</v>
      </c>
      <c r="C118" s="1">
        <f t="shared" si="37"/>
        <v>1.3358122306045388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9.8089553819235675</v>
      </c>
      <c r="C119" s="1">
        <f t="shared" si="37"/>
        <v>1.3358122306045388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9.8089553819235675</v>
      </c>
      <c r="C120" s="1">
        <f t="shared" si="37"/>
        <v>1.3358122306045388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9.8089553819235675</v>
      </c>
      <c r="C121" s="1">
        <f t="shared" si="37"/>
        <v>1.3358122306045388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9.3578507984070214</v>
      </c>
      <c r="H122">
        <f>SUM(H110:H121)</f>
        <v>-179.03359910472204</v>
      </c>
      <c r="I122">
        <f t="shared" ref="I122:J122" si="46">SUM(I110:I121)</f>
        <v>464.87195055510051</v>
      </c>
      <c r="J122">
        <f t="shared" si="46"/>
        <v>140.89693896331491</v>
      </c>
      <c r="L122">
        <f ca="1">MIN(L110:L121)</f>
        <v>-5.4191049390831187E-3</v>
      </c>
      <c r="M122">
        <f>MIN(M110:M121)</f>
        <v>-5.4191048066854972E-3</v>
      </c>
      <c r="N122">
        <f>SUM(N110:N121)</f>
        <v>2.2660526870035747</v>
      </c>
      <c r="O122">
        <f>SUM(O110:O121)</f>
        <v>12.701491257089186</v>
      </c>
      <c r="P122">
        <f>SUM(P110:P121)</f>
        <v>1.7297262254249457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3.7527334373078407</v>
      </c>
      <c r="F125" s="1" t="s">
        <v>27</v>
      </c>
      <c r="G125" s="1" t="s">
        <v>28</v>
      </c>
    </row>
    <row r="126" spans="1:16" x14ac:dyDescent="0.25">
      <c r="F126" s="4">
        <f>MIN(B84:B90)-1</f>
        <v>-10.808955381923568</v>
      </c>
      <c r="G126" s="4">
        <f>B125</f>
        <v>3.7527334373078407</v>
      </c>
    </row>
    <row r="127" spans="1:16" x14ac:dyDescent="0.25">
      <c r="F127" s="4">
        <f>MAX(B84:B90)+1</f>
        <v>10.808955381923568</v>
      </c>
      <c r="G127" s="4">
        <f>G126</f>
        <v>3.7527334373078407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9.8089553819235675</v>
      </c>
      <c r="C132" s="4">
        <f>C84</f>
        <v>1.3358122306045388</v>
      </c>
      <c r="D132" s="4">
        <f t="shared" ref="D132:E139" si="47">B85</f>
        <v>-1.3358122306045388</v>
      </c>
      <c r="E132" s="4">
        <f t="shared" si="47"/>
        <v>9.8089553819235675</v>
      </c>
      <c r="F132" s="4">
        <f t="shared" ref="F132:F139" si="48">($B$66/$B$65)*(C132-$B$125)</f>
        <v>-5.7024944551861623</v>
      </c>
      <c r="G132" s="4">
        <f t="shared" ref="G132:G139" si="49">($B$66/$B$65)*(E132-$B$125)</f>
        <v>14.289076517167356</v>
      </c>
      <c r="H132" s="4">
        <f>IF(B132=D132,"V",(C132-E132)/(B132-D132))</f>
        <v>-0.76027993098700064</v>
      </c>
      <c r="I132" s="4">
        <f>IF(H132="V",0,(-1*B132*H132)+C132)</f>
        <v>8.7933641514279568</v>
      </c>
      <c r="J132" s="4">
        <f>IF($F132&gt;=0,B132,IF(AND($F132&lt;0,$G132&gt;=0),IF(H132="V",B132,($B$125-I132)/H132),0))</f>
        <v>6.6299668170595201</v>
      </c>
      <c r="K132" s="4">
        <f>IF($F132&gt;=0,C132,IF(AND($F132&lt;0,$G132&gt;=0),$B$125,0))</f>
        <v>3.7527334373078407</v>
      </c>
      <c r="L132" s="4">
        <f>IF($G132&gt;=0,D132,IF(AND($G132&lt;0,$F132&gt;=0),IF(H132="V",D132,($B$125-I132)/H132),0))</f>
        <v>-1.3358122306045388</v>
      </c>
      <c r="M132" s="4">
        <f>IF($G132&gt;=0,E132,IF(AND($G132&lt;0,$F132&gt;=0),$B$125,0))</f>
        <v>9.8089553819235675</v>
      </c>
      <c r="N132" s="4">
        <f>IF(F132&lt;0,0,F132)</f>
        <v>0</v>
      </c>
      <c r="O132" s="4">
        <f>IF(G132&lt;0,0,G132)</f>
        <v>14.289076517167356</v>
      </c>
      <c r="P132" s="4">
        <f>(1/6)*(M132-K132)*((N132*((2*J132)+L132))+(O132*(J132+(2*L132))))</f>
        <v>57.091052237730693</v>
      </c>
      <c r="Q132" s="4">
        <f>((1/12)*(M132-K132)*(N132*J132*((3*K132)+M132)+N132*L132*(K132+M132)+O132*J132*(K132+M132)+O132*L132*(K132+(3*M132))))</f>
        <v>328.78480738354</v>
      </c>
      <c r="R132" s="4">
        <f>((-1/24)*(M132-K132)*(J132*J132*((3*N132)+O132)+2*J132*L132*(N132+O132)+L132*L132*(N132+(3*O132))))</f>
        <v>-113.93014445753136</v>
      </c>
    </row>
    <row r="133" spans="1:18" x14ac:dyDescent="0.25">
      <c r="A133" t="s">
        <v>70</v>
      </c>
      <c r="B133" s="4">
        <f t="shared" ref="B133:C138" si="50">D132</f>
        <v>-1.3358122306045388</v>
      </c>
      <c r="C133" s="4">
        <f t="shared" si="50"/>
        <v>9.8089553819235675</v>
      </c>
      <c r="D133" s="4">
        <f t="shared" si="47"/>
        <v>-9.8089553819235675</v>
      </c>
      <c r="E133" s="4">
        <f t="shared" si="47"/>
        <v>-1.3358122306045388</v>
      </c>
      <c r="F133" s="4">
        <f t="shared" si="48"/>
        <v>14.289076517167356</v>
      </c>
      <c r="G133" s="4">
        <f t="shared" si="49"/>
        <v>-12.005936881910957</v>
      </c>
      <c r="H133" s="4">
        <f t="shared" ref="H133:H139" si="51">IF(B133=D133,"V",(C133-E133)/(B133-D133))</f>
        <v>1.315305007067322</v>
      </c>
      <c r="I133" s="4">
        <f t="shared" ref="I133:I139" si="52">IF(H133="V",0,(-1*B133*H133)+C133)</f>
        <v>11.565955897339485</v>
      </c>
      <c r="J133" s="4">
        <f t="shared" ref="J133:J139" si="53">IF($F133&gt;=0,B133,IF(AND($F133&lt;0,$G133&gt;=0),IF(H133="V",B133,($B$125-I133)/H133),0))</f>
        <v>-1.3358122306045388</v>
      </c>
      <c r="K133" s="4">
        <f t="shared" ref="K133:K139" si="54">IF($F133&gt;=0,C133,IF(AND($F133&lt;0,$G133&gt;=0),$B$125,0))</f>
        <v>9.8089553819235675</v>
      </c>
      <c r="L133" s="4">
        <f t="shared" ref="L133:L139" si="55">IF($G133&gt;=0,D133,IF(AND($G133&lt;0,$F133&gt;=0),IF(H133="V",D133,($B$125-I133)/H133),0))</f>
        <v>-5.9402362326989424</v>
      </c>
      <c r="M133" s="4">
        <f t="shared" ref="M133:M139" si="56">IF($G133&gt;=0,E133,IF(AND($G133&lt;0,$F133&gt;=0),$B$125,0))</f>
        <v>3.7527334373078407</v>
      </c>
      <c r="N133" s="4">
        <f t="shared" ref="N133:O139" si="57">IF(F133&lt;0,0,F133)</f>
        <v>14.289076517167356</v>
      </c>
      <c r="O133" s="4">
        <f t="shared" si="57"/>
        <v>0</v>
      </c>
      <c r="P133" s="4">
        <f t="shared" ref="P133:P139" si="58">(1/6)*(M133-K133)*((N133*((2*J133)+L133))+(O133*(J133+(2*L133))))</f>
        <v>124.20860666922536</v>
      </c>
      <c r="Q133" s="4">
        <f t="shared" ref="Q133:Q139" si="59">((1/12)*(M133-K133)*(N133*J133*((3*K133)+M133)+N133*L133*(K133+M133)+O133*J133*(K133+M133)+O133*L133*(K133+(3*M133))))</f>
        <v>900.5799711809268</v>
      </c>
      <c r="R133" s="4">
        <f t="shared" ref="R133:R139" si="60">((-1/24)*(M133-K133)*(J133*J133*((3*N133)+O133)+2*J133*L133*(N133+O133)+L133*L133*(N133+(3*O133))))</f>
        <v>203.75931542313577</v>
      </c>
    </row>
    <row r="134" spans="1:18" x14ac:dyDescent="0.25">
      <c r="A134" t="s">
        <v>71</v>
      </c>
      <c r="B134" s="4">
        <f t="shared" si="50"/>
        <v>-9.8089553819235675</v>
      </c>
      <c r="C134" s="4">
        <f t="shared" si="50"/>
        <v>-1.3358122306045388</v>
      </c>
      <c r="D134" s="4">
        <f t="shared" si="47"/>
        <v>1.3358122306045388</v>
      </c>
      <c r="E134" s="4">
        <f t="shared" si="47"/>
        <v>-9.8089553819235675</v>
      </c>
      <c r="F134" s="4">
        <f t="shared" si="48"/>
        <v>-12.005936881910957</v>
      </c>
      <c r="G134" s="4">
        <f t="shared" si="49"/>
        <v>-31.997507854264473</v>
      </c>
      <c r="H134" s="4">
        <f t="shared" si="51"/>
        <v>-0.76027993098700064</v>
      </c>
      <c r="I134" s="4">
        <f t="shared" si="52"/>
        <v>-8.7933641514279568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1.3358122306045388</v>
      </c>
      <c r="C135" s="4">
        <f t="shared" si="50"/>
        <v>-9.8089553819235675</v>
      </c>
      <c r="D135" s="4">
        <f t="shared" si="47"/>
        <v>9.8089553819235675</v>
      </c>
      <c r="E135" s="4">
        <f t="shared" si="47"/>
        <v>1.3358122306045388</v>
      </c>
      <c r="F135" s="4">
        <f t="shared" si="48"/>
        <v>-31.997507854264473</v>
      </c>
      <c r="G135" s="4">
        <f t="shared" si="49"/>
        <v>-5.7024944551861623</v>
      </c>
      <c r="H135" s="4">
        <f t="shared" si="51"/>
        <v>1.315305007067322</v>
      </c>
      <c r="I135" s="4">
        <f t="shared" si="52"/>
        <v>-11.565955897339485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9.8089553819235675</v>
      </c>
      <c r="C136" s="4">
        <f t="shared" si="50"/>
        <v>1.3358122306045388</v>
      </c>
      <c r="D136" s="4">
        <f t="shared" si="47"/>
        <v>9.8089553819235675</v>
      </c>
      <c r="E136" s="4">
        <f t="shared" si="47"/>
        <v>1.3358122306045388</v>
      </c>
      <c r="F136" s="4">
        <f t="shared" si="48"/>
        <v>-5.7024944551861623</v>
      </c>
      <c r="G136" s="4">
        <f t="shared" si="49"/>
        <v>-5.7024944551861623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9.8089553819235675</v>
      </c>
      <c r="C137" s="4">
        <f t="shared" si="50"/>
        <v>1.3358122306045388</v>
      </c>
      <c r="D137" s="4">
        <f t="shared" si="47"/>
        <v>9.8089553819235675</v>
      </c>
      <c r="E137" s="4">
        <f t="shared" si="47"/>
        <v>1.3358122306045388</v>
      </c>
      <c r="F137" s="4">
        <f t="shared" si="48"/>
        <v>-5.7024944551861623</v>
      </c>
      <c r="G137" s="4">
        <f t="shared" si="49"/>
        <v>-5.7024944551861623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9.8089553819235675</v>
      </c>
      <c r="C138" s="4">
        <f t="shared" si="50"/>
        <v>1.3358122306045388</v>
      </c>
      <c r="D138" s="4">
        <f t="shared" si="47"/>
        <v>9.8089553819235675</v>
      </c>
      <c r="E138" s="4">
        <f t="shared" si="47"/>
        <v>1.3358122306045388</v>
      </c>
      <c r="F138" s="4">
        <f t="shared" si="48"/>
        <v>-5.7024944551861623</v>
      </c>
      <c r="G138" s="4">
        <f t="shared" si="49"/>
        <v>-5.7024944551861623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9.8089553819235675</v>
      </c>
      <c r="C139" s="4">
        <f>E138</f>
        <v>1.3358122306045388</v>
      </c>
      <c r="D139" s="4">
        <f t="shared" si="47"/>
        <v>9.8089553819235675</v>
      </c>
      <c r="E139" s="4">
        <f t="shared" si="47"/>
        <v>1.3358122306045388</v>
      </c>
      <c r="F139" s="4">
        <f t="shared" si="48"/>
        <v>-5.7024944551861623</v>
      </c>
      <c r="G139" s="4">
        <f t="shared" si="49"/>
        <v>-5.7024944551861623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181.29965890695604</v>
      </c>
      <c r="Q140" s="4">
        <f>SUM(Q132:Q139)</f>
        <v>1229.3647785644669</v>
      </c>
      <c r="R140" s="4">
        <f>SUM(R132:R139)</f>
        <v>89.829170965604419</v>
      </c>
    </row>
    <row r="142" spans="1:18" x14ac:dyDescent="0.25">
      <c r="O142" t="s">
        <v>96</v>
      </c>
      <c r="P142" s="1">
        <f>-1*R140/P140</f>
        <v>-0.49547346921212482</v>
      </c>
    </row>
    <row r="143" spans="1:18" x14ac:dyDescent="0.25">
      <c r="O143" t="s">
        <v>97</v>
      </c>
      <c r="P143" s="1">
        <f>Q140/P140</f>
        <v>6.7808444096157041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9.8089553819235675</v>
      </c>
      <c r="C146" s="9">
        <f>J84</f>
        <v>1.3358122306045388</v>
      </c>
      <c r="D146" s="9">
        <f t="shared" ref="D146:E153" si="61">I85</f>
        <v>9.8089553819235675</v>
      </c>
      <c r="E146">
        <f t="shared" si="61"/>
        <v>1.3358122306045388</v>
      </c>
      <c r="F146" s="4">
        <f>($B$66/$B$65)*(C146-$B$125)</f>
        <v>-5.7024944551861623</v>
      </c>
      <c r="G146" s="4">
        <f>($B$66/$B$65)*(E146-$B$125)</f>
        <v>-5.7024944551861623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9.8089553819235675</v>
      </c>
      <c r="C147">
        <f t="shared" si="62"/>
        <v>1.3358122306045388</v>
      </c>
      <c r="D147" s="9">
        <f t="shared" si="61"/>
        <v>9.8089553819235675</v>
      </c>
      <c r="E147">
        <f t="shared" si="61"/>
        <v>1.3358122306045388</v>
      </c>
      <c r="F147" s="4">
        <f t="shared" ref="F147:F153" si="63">($B$66/$B$65)*(C147-$B$125)</f>
        <v>-5.7024944551861623</v>
      </c>
      <c r="G147" s="4">
        <f t="shared" ref="G147:G153" si="64">($B$66/$B$65)*(E147-$B$125)</f>
        <v>-5.7024944551861623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9.8089553819235675</v>
      </c>
      <c r="C148">
        <f t="shared" si="62"/>
        <v>1.3358122306045388</v>
      </c>
      <c r="D148" s="9">
        <f t="shared" si="61"/>
        <v>9.8089553819235675</v>
      </c>
      <c r="E148">
        <f t="shared" si="61"/>
        <v>1.3358122306045388</v>
      </c>
      <c r="F148" s="4">
        <f t="shared" si="63"/>
        <v>-5.7024944551861623</v>
      </c>
      <c r="G148" s="4">
        <f t="shared" si="64"/>
        <v>-5.7024944551861623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9.8089553819235675</v>
      </c>
      <c r="C149">
        <f t="shared" si="62"/>
        <v>1.3358122306045388</v>
      </c>
      <c r="D149" s="9">
        <f t="shared" si="61"/>
        <v>9.8089553819235675</v>
      </c>
      <c r="E149">
        <f t="shared" si="61"/>
        <v>1.3358122306045388</v>
      </c>
      <c r="F149" s="4">
        <f t="shared" si="63"/>
        <v>-5.7024944551861623</v>
      </c>
      <c r="G149" s="4">
        <f t="shared" si="64"/>
        <v>-5.7024944551861623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9.8089553819235675</v>
      </c>
      <c r="C150">
        <f t="shared" si="62"/>
        <v>1.3358122306045388</v>
      </c>
      <c r="D150" s="9">
        <f t="shared" si="61"/>
        <v>9.8089553819235675</v>
      </c>
      <c r="E150">
        <f t="shared" si="61"/>
        <v>1.3358122306045388</v>
      </c>
      <c r="F150" s="4">
        <f t="shared" si="63"/>
        <v>-5.7024944551861623</v>
      </c>
      <c r="G150" s="4">
        <f t="shared" si="64"/>
        <v>-5.7024944551861623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9.8089553819235675</v>
      </c>
      <c r="C151">
        <f t="shared" si="62"/>
        <v>1.3358122306045388</v>
      </c>
      <c r="D151" s="9">
        <f t="shared" si="61"/>
        <v>9.8089553819235675</v>
      </c>
      <c r="E151">
        <f t="shared" si="61"/>
        <v>1.3358122306045388</v>
      </c>
      <c r="F151" s="4">
        <f t="shared" si="63"/>
        <v>-5.7024944551861623</v>
      </c>
      <c r="G151" s="4">
        <f t="shared" si="64"/>
        <v>-5.7024944551861623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9.8089553819235675</v>
      </c>
      <c r="C152">
        <f t="shared" si="62"/>
        <v>1.3358122306045388</v>
      </c>
      <c r="D152" s="9">
        <f t="shared" si="61"/>
        <v>9.8089553819235675</v>
      </c>
      <c r="E152">
        <f t="shared" si="61"/>
        <v>1.3358122306045388</v>
      </c>
      <c r="F152" s="4">
        <f t="shared" si="63"/>
        <v>-5.7024944551861623</v>
      </c>
      <c r="G152" s="4">
        <f t="shared" si="64"/>
        <v>-5.7024944551861623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9.8089553819235675</v>
      </c>
      <c r="C153">
        <f t="shared" si="62"/>
        <v>1.3358122306045388</v>
      </c>
      <c r="D153" s="9">
        <f t="shared" si="61"/>
        <v>9.8089553819235675</v>
      </c>
      <c r="E153">
        <f t="shared" si="61"/>
        <v>1.3358122306045388</v>
      </c>
      <c r="F153" s="4">
        <f t="shared" si="63"/>
        <v>-5.7024944551861623</v>
      </c>
      <c r="G153" s="4">
        <f t="shared" si="64"/>
        <v>-5.7024944551861623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7.1152304221833163E-6</v>
      </c>
      <c r="C159" t="s">
        <v>36</v>
      </c>
    </row>
    <row r="160" spans="1:18" x14ac:dyDescent="0.25">
      <c r="A160" s="1" t="s">
        <v>106</v>
      </c>
      <c r="B160" s="4">
        <f>Q140+I122+Q154-O122</f>
        <v>1681.5352378624782</v>
      </c>
      <c r="C160" t="s">
        <v>102</v>
      </c>
    </row>
    <row r="161" spans="1:9" x14ac:dyDescent="0.25">
      <c r="A161" s="1" t="s">
        <v>107</v>
      </c>
      <c r="B161" s="4">
        <f>R140+J122+R154-P122</f>
        <v>228.99638370349439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7.1152304221833163E-6</v>
      </c>
      <c r="C164" t="s">
        <v>36</v>
      </c>
      <c r="E164" s="8">
        <f>B2-B164</f>
        <v>-7.1152304221833163E-6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-1200.0000227143146</v>
      </c>
      <c r="C165" t="s">
        <v>102</v>
      </c>
      <c r="E165" s="8">
        <f>B3+B165</f>
        <v>-2.2714314582117368E-5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-1200.0000189200596</v>
      </c>
      <c r="C166" t="s">
        <v>102</v>
      </c>
      <c r="E166" s="8">
        <f>B4+B166</f>
        <v>-1.8920059574156767E-5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14.289076517167354</v>
      </c>
      <c r="B169" s="1">
        <f ca="1">IF(E122=0,0,(MIN(H110:H121)*B65)/(B55*B56*E122))</f>
        <v>-14.289076866272936</v>
      </c>
      <c r="C169" s="3">
        <f ca="1">A169+B169</f>
        <v>-3.4910558177614348E-7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5.6239117377785568E-8</v>
      </c>
      <c r="C175" s="27">
        <f>B65*SQRT(I175)</f>
        <v>8.9828288046349406E-8</v>
      </c>
      <c r="D175" s="27">
        <f>B66*SQRT(I175)</f>
        <v>2.1194125529722138E-7</v>
      </c>
      <c r="E175" s="27">
        <f>B67*SQRT(I175)</f>
        <v>7.7961826501262227E-7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3.7916405763548333</v>
      </c>
      <c r="C176" s="3">
        <f>B65+C175</f>
        <v>6.0562220344440147</v>
      </c>
      <c r="D176" s="3">
        <f>D175+B66</f>
        <v>14.28907672910861</v>
      </c>
      <c r="E176" s="3">
        <f>B67+E175</f>
        <v>52.561853484152401</v>
      </c>
      <c r="F176" s="16" t="s">
        <v>125</v>
      </c>
    </row>
    <row r="177" spans="1:13" x14ac:dyDescent="0.25">
      <c r="B177" s="27">
        <f>B176-B64</f>
        <v>5.6239117363077185E-8</v>
      </c>
      <c r="C177" s="27">
        <f>C176-B65</f>
        <v>8.9828287919146987E-8</v>
      </c>
      <c r="D177" s="27">
        <f>D176-B66</f>
        <v>2.1194125565671129E-7</v>
      </c>
      <c r="E177" s="27">
        <f>E176-B67</f>
        <v>7.7961826150385605E-7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-12.529403080503338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-9.8089553826581106</v>
      </c>
      <c r="B181" s="25">
        <f>(d_alpha_p!E136-d_alpha_m!E136)/(2*B177)</f>
        <v>-9.8089553826581106</v>
      </c>
      <c r="C181" s="25">
        <f>(d_alpha_p!E137-d_alpha_m!E137)/(2*B177)</f>
        <v>-9.8089553826581106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7.1152304221833163E-6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2.2714314582117368E-5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1.8920059574156767E-5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3.4910558177614348E-7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-12.529403080503338</v>
      </c>
      <c r="B190" s="25">
        <f>A181</f>
        <v>-9.8089553826581106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-9.8089553826581106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-9.8089553826581106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-12.529403080503338</v>
      </c>
      <c r="B201" s="25">
        <f t="shared" ref="B201:C201" si="77">B190</f>
        <v>-9.8089553826581106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-9.8089553826581106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-9.8089553826581106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2.6239067055393579</v>
      </c>
      <c r="J3" t="s">
        <v>11</v>
      </c>
    </row>
    <row r="4" spans="1:29" x14ac:dyDescent="0.25">
      <c r="A4" s="10" t="s">
        <v>80</v>
      </c>
      <c r="B4" s="17">
        <f>'Rigid Bearing Plate Analysis'!B4</f>
        <v>1200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2.6239067055393579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5.2478134110787158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-2.6239067055393579</v>
      </c>
      <c r="AB14">
        <f>$B$4/Z14</f>
        <v>2.6239067055393579</v>
      </c>
      <c r="AC14">
        <f>$I$2+AA14+AB14</f>
        <v>0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2.6239067055393579</v>
      </c>
      <c r="AB15">
        <f t="shared" ref="AB15:AB21" si="11">$B$4/Z15</f>
        <v>2.6239067055393579</v>
      </c>
      <c r="AC15">
        <f t="shared" ref="AC15:AC20" si="12">$I$2+AA15+AB15</f>
        <v>5.2478134110787158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2.6239067055393579</v>
      </c>
      <c r="AB16">
        <f t="shared" si="11"/>
        <v>-2.6239067055393579</v>
      </c>
      <c r="AC16">
        <f t="shared" si="12"/>
        <v>0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-2.6239067055393579</v>
      </c>
      <c r="AB17">
        <f t="shared" si="11"/>
        <v>-2.6239067055393579</v>
      </c>
      <c r="AC17">
        <f t="shared" si="12"/>
        <v>-5.2478134110787158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-2.6239067055393579</v>
      </c>
      <c r="AB18">
        <f t="shared" si="11"/>
        <v>-2.6239067055393579</v>
      </c>
      <c r="AC18">
        <f t="shared" si="12"/>
        <v>-5.2478134110787158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-2.6239067055393579</v>
      </c>
      <c r="AB19">
        <f t="shared" si="11"/>
        <v>-2.6239067055393579</v>
      </c>
      <c r="AC19">
        <f t="shared" si="12"/>
        <v>-5.2478134110787158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-2.6239067055393579</v>
      </c>
      <c r="AB20">
        <f t="shared" si="11"/>
        <v>-2.6239067055393579</v>
      </c>
      <c r="AC20">
        <f t="shared" si="12"/>
        <v>-5.2478134110787158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-2.6239067055393579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3.791640520115716</v>
      </c>
      <c r="C64" t="s">
        <v>19</v>
      </c>
      <c r="D64" t="s">
        <v>34</v>
      </c>
      <c r="H64" s="17">
        <f>DEGREES(B64)</f>
        <v>217.24499923341884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6.0562217649591528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14.289076517167354</v>
      </c>
      <c r="C66" t="s">
        <v>11</v>
      </c>
      <c r="D66">
        <f>B66/B53</f>
        <v>3.5071409191529401E-3</v>
      </c>
      <c r="I66" s="20"/>
    </row>
    <row r="67" spans="1:18" x14ac:dyDescent="0.25">
      <c r="A67" s="1" t="s">
        <v>37</v>
      </c>
      <c r="B67" s="17">
        <f>'Rigid Bearing Plate Analysis'!B67</f>
        <v>52.561852704534139</v>
      </c>
      <c r="C67" t="s">
        <v>36</v>
      </c>
      <c r="D67" t="s">
        <v>122</v>
      </c>
      <c r="G67" s="20">
        <f ca="1">($B$56*$B$66*$B$55*$E$122)/$B$65</f>
        <v>52.561853988706432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-10.808955381923568</v>
      </c>
      <c r="R76">
        <f>Q76</f>
        <v>-10.808955381923568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10.808955381923568</v>
      </c>
      <c r="R77">
        <f>Q77</f>
        <v>10.808955381923568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9.8089553819235675</v>
      </c>
      <c r="C84" s="1">
        <f t="shared" ref="C84:C92" si="23">(-1*B73*SIN($B$64))+(C73*COS($B$64))</f>
        <v>1.3358122306045388</v>
      </c>
      <c r="H84" s="1">
        <f t="shared" ref="H84:H92" si="24">H73</f>
        <v>1</v>
      </c>
      <c r="I84" s="4">
        <f>(I73*COS($B$64))+(J73*SIN($B$64))</f>
        <v>9.8089553819235675</v>
      </c>
      <c r="J84" s="1">
        <f>(-1*I73*SIN($B$64))+(J73*COS($B$64))</f>
        <v>1.3358122306045388</v>
      </c>
    </row>
    <row r="85" spans="1:10" x14ac:dyDescent="0.25">
      <c r="A85" s="1">
        <f t="shared" si="21"/>
        <v>2</v>
      </c>
      <c r="B85" s="4">
        <f t="shared" si="22"/>
        <v>-1.3358122306045388</v>
      </c>
      <c r="C85" s="1">
        <f t="shared" si="23"/>
        <v>9.8089553819235675</v>
      </c>
      <c r="H85" s="1">
        <f t="shared" si="24"/>
        <v>2</v>
      </c>
      <c r="I85" s="4">
        <f t="shared" ref="I85:I92" si="25">(I74*COS($B$64))+(J74*SIN($B$64))</f>
        <v>9.8089553819235675</v>
      </c>
      <c r="J85" s="1">
        <f t="shared" ref="J85:J92" si="26">(-1*I74*SIN($B$64))+(J74*COS($B$64))</f>
        <v>1.3358122306045388</v>
      </c>
    </row>
    <row r="86" spans="1:10" x14ac:dyDescent="0.25">
      <c r="A86" s="1">
        <f t="shared" si="21"/>
        <v>3</v>
      </c>
      <c r="B86" s="4">
        <f t="shared" si="22"/>
        <v>-9.8089553819235675</v>
      </c>
      <c r="C86" s="1">
        <f t="shared" si="23"/>
        <v>-1.3358122306045388</v>
      </c>
      <c r="H86" s="1">
        <f t="shared" si="24"/>
        <v>3</v>
      </c>
      <c r="I86" s="4">
        <f t="shared" si="25"/>
        <v>9.8089553819235675</v>
      </c>
      <c r="J86" s="1">
        <f t="shared" si="26"/>
        <v>1.3358122306045388</v>
      </c>
    </row>
    <row r="87" spans="1:10" x14ac:dyDescent="0.25">
      <c r="A87" s="1">
        <f t="shared" si="21"/>
        <v>4</v>
      </c>
      <c r="B87" s="4">
        <f t="shared" si="22"/>
        <v>1.3358122306045388</v>
      </c>
      <c r="C87" s="1">
        <f t="shared" si="23"/>
        <v>-9.8089553819235675</v>
      </c>
      <c r="H87" s="1">
        <f t="shared" si="24"/>
        <v>4</v>
      </c>
      <c r="I87" s="4">
        <f t="shared" si="25"/>
        <v>9.8089553819235675</v>
      </c>
      <c r="J87" s="1">
        <f t="shared" si="26"/>
        <v>1.3358122306045388</v>
      </c>
    </row>
    <row r="88" spans="1:10" x14ac:dyDescent="0.25">
      <c r="A88" s="1">
        <f t="shared" si="21"/>
        <v>5</v>
      </c>
      <c r="B88" s="4">
        <f t="shared" si="22"/>
        <v>9.8089553819235675</v>
      </c>
      <c r="C88" s="1">
        <f t="shared" si="23"/>
        <v>1.3358122306045388</v>
      </c>
      <c r="H88" s="1">
        <f t="shared" si="24"/>
        <v>5</v>
      </c>
      <c r="I88" s="4">
        <f t="shared" si="25"/>
        <v>9.8089553819235675</v>
      </c>
      <c r="J88" s="1">
        <f t="shared" si="26"/>
        <v>1.3358122306045388</v>
      </c>
    </row>
    <row r="89" spans="1:10" x14ac:dyDescent="0.25">
      <c r="A89" s="1">
        <f t="shared" si="21"/>
        <v>6</v>
      </c>
      <c r="B89" s="4">
        <f t="shared" si="22"/>
        <v>9.8089553819235675</v>
      </c>
      <c r="C89" s="1">
        <f t="shared" si="23"/>
        <v>1.3358122306045388</v>
      </c>
      <c r="H89" s="1">
        <f t="shared" si="24"/>
        <v>6</v>
      </c>
      <c r="I89" s="4">
        <f t="shared" si="25"/>
        <v>9.8089553819235675</v>
      </c>
      <c r="J89" s="1">
        <f t="shared" si="26"/>
        <v>1.3358122306045388</v>
      </c>
    </row>
    <row r="90" spans="1:10" x14ac:dyDescent="0.25">
      <c r="A90" s="1">
        <f t="shared" si="21"/>
        <v>7</v>
      </c>
      <c r="B90" s="4">
        <f t="shared" si="22"/>
        <v>9.8089553819235675</v>
      </c>
      <c r="C90" s="1">
        <f t="shared" si="23"/>
        <v>1.3358122306045388</v>
      </c>
      <c r="H90" s="1">
        <f t="shared" si="24"/>
        <v>7</v>
      </c>
      <c r="I90" s="4">
        <f t="shared" si="25"/>
        <v>9.8089553819235675</v>
      </c>
      <c r="J90" s="1">
        <f t="shared" si="26"/>
        <v>1.3358122306045388</v>
      </c>
    </row>
    <row r="91" spans="1:10" x14ac:dyDescent="0.25">
      <c r="A91" s="1">
        <f t="shared" si="21"/>
        <v>8</v>
      </c>
      <c r="B91" s="4">
        <f t="shared" si="22"/>
        <v>9.8089553819235675</v>
      </c>
      <c r="C91" s="1">
        <f t="shared" si="23"/>
        <v>1.3358122306045388</v>
      </c>
      <c r="H91" s="1">
        <f t="shared" si="24"/>
        <v>8</v>
      </c>
      <c r="I91" s="4">
        <f t="shared" si="25"/>
        <v>9.8089553819235675</v>
      </c>
      <c r="J91" s="1">
        <f t="shared" si="26"/>
        <v>1.3358122306045388</v>
      </c>
    </row>
    <row r="92" spans="1:10" x14ac:dyDescent="0.25">
      <c r="A92" s="1">
        <f t="shared" si="21"/>
        <v>9</v>
      </c>
      <c r="B92" s="4">
        <f t="shared" si="22"/>
        <v>9.8089553819235675</v>
      </c>
      <c r="C92" s="1">
        <f t="shared" si="23"/>
        <v>1.3358122306045388</v>
      </c>
      <c r="H92" s="1">
        <f t="shared" si="24"/>
        <v>9</v>
      </c>
      <c r="I92" s="4">
        <f t="shared" si="25"/>
        <v>9.8089553819235675</v>
      </c>
      <c r="J92" s="1">
        <f t="shared" si="26"/>
        <v>1.3358122306045388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5.6051173610991816</v>
      </c>
      <c r="C110" s="1">
        <f>(-1*B95*SIN($B$64))+(C95*COS($B$64))</f>
        <v>0.76332127463116528</v>
      </c>
      <c r="D110" t="str">
        <f t="shared" ref="D110" si="31">D95</f>
        <v>y</v>
      </c>
      <c r="E110" s="4">
        <f t="shared" ref="E110:E121" si="32">IF($D110="y",$B$125-C110,0)</f>
        <v>2.9894123423332495</v>
      </c>
      <c r="F110" s="1">
        <f>IF($D110="y",B110,NA())</f>
        <v>5.6051173610991816</v>
      </c>
      <c r="G110" s="1">
        <f>IF($D110="y",C110,NA())</f>
        <v>0.76332127463116528</v>
      </c>
      <c r="H110">
        <f t="shared" ref="H110:H121" si="33">IF($E$122=0,0,-1*MAX(($B$67/$E$122)*(E110),0))</f>
        <v>-16.791146982269115</v>
      </c>
      <c r="I110">
        <f>H110*C110</f>
        <v>-12.817039717024905</v>
      </c>
      <c r="J110">
        <f>H110*B110*-1</f>
        <v>94.116349463084745</v>
      </c>
      <c r="K110">
        <f ca="1">H110/$B$55</f>
        <v>-50.203645857453566</v>
      </c>
      <c r="L110">
        <f ca="1">K110/$B$54</f>
        <v>-1.7311602019811575E-3</v>
      </c>
      <c r="M110">
        <f t="shared" ref="M110:M121" si="34">IFERROR(($D$66/$B$65)*(G110-$B$125),0)</f>
        <v>-1.7311602442762414E-3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-0.76332127463116528</v>
      </c>
      <c r="C111" s="1">
        <f t="shared" ref="C111:C121" si="37">(-1*B96*SIN($B$64))+(C96*COS($B$64))</f>
        <v>5.6051173610991816</v>
      </c>
      <c r="D111" t="str">
        <f t="shared" si="35"/>
        <v>y</v>
      </c>
      <c r="E111" s="4">
        <f t="shared" si="32"/>
        <v>-1.8523837441347668</v>
      </c>
      <c r="F111" s="1">
        <f t="shared" ref="F111:G121" si="38">IF($D111="y",B111,NA())</f>
        <v>-0.76332127463116528</v>
      </c>
      <c r="G111" s="1">
        <f t="shared" si="38"/>
        <v>5.6051173610991816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1.072710194434663E-3</v>
      </c>
      <c r="N111">
        <f t="shared" ref="N111:N121" si="42">IF(AND(M111&gt;0,D111="y",$E$60="y"),$B$53*M111*$E$59,0)</f>
        <v>2.2660525344486202</v>
      </c>
      <c r="O111">
        <f t="shared" ref="O111:O121" si="43">N111*C111</f>
        <v>12.701490402000763</v>
      </c>
      <c r="P111">
        <f t="shared" ref="P111:P121" si="44">N111*B111*-1</f>
        <v>1.7297261089765033</v>
      </c>
    </row>
    <row r="112" spans="1:16" x14ac:dyDescent="0.25">
      <c r="A112">
        <f t="shared" si="35"/>
        <v>3</v>
      </c>
      <c r="B112" s="1">
        <f t="shared" si="36"/>
        <v>0.76332127463116528</v>
      </c>
      <c r="C112" s="1">
        <f t="shared" si="37"/>
        <v>-5.6051173610991816</v>
      </c>
      <c r="D112" t="str">
        <f t="shared" si="35"/>
        <v>y</v>
      </c>
      <c r="E112" s="4">
        <f t="shared" si="32"/>
        <v>9.3578509780635954</v>
      </c>
      <c r="F112" s="1">
        <f t="shared" si="38"/>
        <v>0.76332127463116528</v>
      </c>
      <c r="G112" s="1">
        <f t="shared" si="38"/>
        <v>-5.6051173610991816</v>
      </c>
      <c r="H112">
        <f t="shared" si="33"/>
        <v>-52.561852704534139</v>
      </c>
      <c r="I112">
        <f t="shared" si="39"/>
        <v>294.61535312572227</v>
      </c>
      <c r="J112">
        <f t="shared" si="40"/>
        <v>40.121580403400564</v>
      </c>
      <c r="K112">
        <f t="shared" ref="K112:K121" ca="1" si="45">H112/$B$55</f>
        <v>-157.15404323341045</v>
      </c>
      <c r="L112">
        <f t="shared" ca="1" si="41"/>
        <v>-5.4191049390831187E-3</v>
      </c>
      <c r="M112">
        <f t="shared" si="34"/>
        <v>-5.4191050714807428E-3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-5.6051173610991816</v>
      </c>
      <c r="C113" s="1">
        <f t="shared" si="37"/>
        <v>-0.76332127463116528</v>
      </c>
      <c r="D113" t="str">
        <f t="shared" si="35"/>
        <v>y</v>
      </c>
      <c r="E113" s="4">
        <f t="shared" si="32"/>
        <v>4.51605489159558</v>
      </c>
      <c r="F113" s="1">
        <f t="shared" si="38"/>
        <v>-5.6051173610991816</v>
      </c>
      <c r="G113" s="1">
        <f t="shared" si="38"/>
        <v>-0.76332127463116528</v>
      </c>
      <c r="H113">
        <f t="shared" si="33"/>
        <v>-25.36610302665418</v>
      </c>
      <c r="I113">
        <f t="shared" si="39"/>
        <v>19.362486094731128</v>
      </c>
      <c r="J113">
        <f t="shared" si="40"/>
        <v>-142.17998445812984</v>
      </c>
      <c r="K113">
        <f t="shared" ca="1" si="45"/>
        <v>-75.841802497385657</v>
      </c>
      <c r="L113">
        <f t="shared" ca="1" si="41"/>
        <v>-2.6152345688753675E-3</v>
      </c>
      <c r="M113">
        <f t="shared" si="34"/>
        <v>-2.6152346327698388E-3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4.0920560840779263</v>
      </c>
      <c r="C114" s="1">
        <f t="shared" si="37"/>
        <v>-1.2268157990345681</v>
      </c>
      <c r="D114" t="str">
        <f t="shared" si="35"/>
        <v>y</v>
      </c>
      <c r="E114" s="4">
        <f t="shared" si="32"/>
        <v>4.9795494159989833</v>
      </c>
      <c r="F114" s="1">
        <f t="shared" si="38"/>
        <v>4.0920560840779263</v>
      </c>
      <c r="G114" s="1">
        <f t="shared" si="38"/>
        <v>-1.2268157990345681</v>
      </c>
      <c r="H114">
        <f t="shared" si="33"/>
        <v>-27.96949252047694</v>
      </c>
      <c r="I114">
        <f t="shared" si="39"/>
        <v>34.313415315100293</v>
      </c>
      <c r="J114">
        <f t="shared" si="40"/>
        <v>114.45273203698972</v>
      </c>
      <c r="K114">
        <f t="shared" ca="1" si="45"/>
        <v>-83.625645037440094</v>
      </c>
      <c r="L114">
        <f t="shared" ca="1" si="41"/>
        <v>-2.8836429323255207E-3</v>
      </c>
      <c r="M114">
        <f t="shared" si="34"/>
        <v>-2.8836430027776483E-3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-2.2763825516524205</v>
      </c>
      <c r="C115" s="1">
        <f t="shared" si="37"/>
        <v>3.6149802874334482</v>
      </c>
      <c r="D115" t="str">
        <f t="shared" si="35"/>
        <v>y</v>
      </c>
      <c r="E115" s="4">
        <f t="shared" si="32"/>
        <v>0.13775332953096653</v>
      </c>
      <c r="F115" s="1">
        <f t="shared" si="38"/>
        <v>-2.2763825516524205</v>
      </c>
      <c r="G115" s="1">
        <f t="shared" si="38"/>
        <v>3.6149802874334482</v>
      </c>
      <c r="H115">
        <f t="shared" si="33"/>
        <v>-0.77374284259697568</v>
      </c>
      <c r="I115">
        <f t="shared" si="39"/>
        <v>-2.7970651235307886</v>
      </c>
      <c r="J115">
        <f t="shared" si="40"/>
        <v>-1.7613347063537006</v>
      </c>
      <c r="K115">
        <f t="shared" ca="1" si="45"/>
        <v>-2.3134043014153058</v>
      </c>
      <c r="L115">
        <f t="shared" ca="1" si="41"/>
        <v>-7.9772562117769169E-5</v>
      </c>
      <c r="M115">
        <f t="shared" si="34"/>
        <v>-7.9772564066743734E-5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2.2763825516524205</v>
      </c>
      <c r="C116" s="1">
        <f t="shared" si="37"/>
        <v>-3.6149802874334482</v>
      </c>
      <c r="D116" t="str">
        <f t="shared" si="35"/>
        <v>y</v>
      </c>
      <c r="E116" s="4">
        <f t="shared" si="32"/>
        <v>7.3677139043978634</v>
      </c>
      <c r="F116" s="1">
        <f t="shared" si="38"/>
        <v>2.2763825516524205</v>
      </c>
      <c r="G116" s="1">
        <f t="shared" si="38"/>
        <v>-3.6149802874334482</v>
      </c>
      <c r="H116">
        <f t="shared" si="33"/>
        <v>-41.383507166326325</v>
      </c>
      <c r="I116">
        <f t="shared" si="39"/>
        <v>149.60056263113052</v>
      </c>
      <c r="J116">
        <f t="shared" si="40"/>
        <v>94.204693639608152</v>
      </c>
      <c r="K116">
        <f t="shared" ca="1" si="45"/>
        <v>-123.73204405342393</v>
      </c>
      <c r="L116">
        <f t="shared" ca="1" si="41"/>
        <v>-4.2666222087387566E-3</v>
      </c>
      <c r="M116">
        <f t="shared" si="34"/>
        <v>-4.2666223129793363E-3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-4.0920560840779263</v>
      </c>
      <c r="C117" s="1">
        <f t="shared" si="37"/>
        <v>1.2268157990345681</v>
      </c>
      <c r="D117" t="str">
        <f t="shared" si="35"/>
        <v>y</v>
      </c>
      <c r="E117" s="4">
        <f t="shared" si="32"/>
        <v>2.5259178179298467</v>
      </c>
      <c r="F117" s="1">
        <f t="shared" si="38"/>
        <v>-4.0920560840779263</v>
      </c>
      <c r="G117" s="1">
        <f t="shared" si="38"/>
        <v>1.2268157990345681</v>
      </c>
      <c r="H117">
        <f t="shared" si="33"/>
        <v>-14.18775748844636</v>
      </c>
      <c r="I117">
        <f t="shared" si="39"/>
        <v>-17.405765039696998</v>
      </c>
      <c r="J117">
        <f t="shared" si="40"/>
        <v>-58.057099350019087</v>
      </c>
      <c r="K117">
        <f t="shared" ca="1" si="45"/>
        <v>-42.419803317399136</v>
      </c>
      <c r="L117">
        <f t="shared" ca="1" si="41"/>
        <v>-1.4627518385310046E-3</v>
      </c>
      <c r="M117">
        <f t="shared" si="34"/>
        <v>-1.4627518742684319E-3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9.8089553819235675</v>
      </c>
      <c r="C118" s="1">
        <f t="shared" si="37"/>
        <v>1.3358122306045388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9.8089553819235675</v>
      </c>
      <c r="C119" s="1">
        <f t="shared" si="37"/>
        <v>1.3358122306045388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9.8089553819235675</v>
      </c>
      <c r="C120" s="1">
        <f t="shared" si="37"/>
        <v>1.3358122306045388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9.8089553819235675</v>
      </c>
      <c r="C121" s="1">
        <f t="shared" si="37"/>
        <v>1.3358122306045388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9.3578509780635954</v>
      </c>
      <c r="H122">
        <f>SUM(H110:H121)</f>
        <v>-179.033602731304</v>
      </c>
      <c r="I122">
        <f t="shared" ref="I122:J122" si="46">SUM(I110:I121)</f>
        <v>464.87194728643158</v>
      </c>
      <c r="J122">
        <f t="shared" si="46"/>
        <v>140.89693702858057</v>
      </c>
      <c r="L122">
        <f ca="1">MIN(L110:L121)</f>
        <v>-5.4191049390831187E-3</v>
      </c>
      <c r="M122">
        <f>MIN(M110:M121)</f>
        <v>-5.4191050714807428E-3</v>
      </c>
      <c r="N122">
        <f>SUM(N110:N121)</f>
        <v>2.2660525344486202</v>
      </c>
      <c r="O122">
        <f>SUM(O110:O121)</f>
        <v>12.701490402000763</v>
      </c>
      <c r="P122">
        <f>SUM(P110:P121)</f>
        <v>1.7297261089765033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3.7527336169644148</v>
      </c>
      <c r="F125" s="1" t="s">
        <v>27</v>
      </c>
      <c r="G125" s="1" t="s">
        <v>28</v>
      </c>
    </row>
    <row r="126" spans="1:16" x14ac:dyDescent="0.25">
      <c r="F126" s="4">
        <f>MIN(B84:B90)-1</f>
        <v>-10.808955381923568</v>
      </c>
      <c r="G126" s="4">
        <f>B125</f>
        <v>3.7527336169644148</v>
      </c>
    </row>
    <row r="127" spans="1:16" x14ac:dyDescent="0.25">
      <c r="F127" s="4">
        <f>MAX(B84:B90)+1</f>
        <v>10.808955381923568</v>
      </c>
      <c r="G127" s="4">
        <f>G126</f>
        <v>3.7527336169644148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9.8089553819235675</v>
      </c>
      <c r="C132" s="4">
        <f>C84</f>
        <v>1.3358122306045388</v>
      </c>
      <c r="D132" s="4">
        <f t="shared" ref="D132:E139" si="47">B85</f>
        <v>-1.3358122306045388</v>
      </c>
      <c r="E132" s="4">
        <f t="shared" si="47"/>
        <v>9.8089553819235675</v>
      </c>
      <c r="F132" s="4">
        <f t="shared" ref="F132:F139" si="48">($B$66/$B$65)*(C132-$B$125)</f>
        <v>-5.7024950482320067</v>
      </c>
      <c r="G132" s="4">
        <f t="shared" ref="G132:G139" si="49">($B$66/$B$65)*(E132-$B$125)</f>
        <v>14.289076517167354</v>
      </c>
      <c r="H132" s="4">
        <f>IF(B132=D132,"V",(C132-E132)/(B132-D132))</f>
        <v>-0.76027993098700064</v>
      </c>
      <c r="I132" s="4">
        <f>IF(H132="V",0,(-1*B132*H132)+C132)</f>
        <v>8.7933641514279568</v>
      </c>
      <c r="J132" s="4">
        <f>IF($F132&gt;=0,B132,IF(AND($F132&lt;0,$G132&gt;=0),IF(H132="V",B132,($B$125-I132)/H132),0))</f>
        <v>6.6299665807563288</v>
      </c>
      <c r="K132" s="4">
        <f>IF($F132&gt;=0,C132,IF(AND($F132&lt;0,$G132&gt;=0),$B$125,0))</f>
        <v>3.7527336169644148</v>
      </c>
      <c r="L132" s="4">
        <f>IF($G132&gt;=0,D132,IF(AND($G132&lt;0,$F132&gt;=0),IF(H132="V",D132,($B$125-I132)/H132),0))</f>
        <v>-1.3358122306045388</v>
      </c>
      <c r="M132" s="4">
        <f>IF($G132&gt;=0,E132,IF(AND($G132&lt;0,$F132&gt;=0),$B$125,0))</f>
        <v>9.8089553819235675</v>
      </c>
      <c r="N132" s="4">
        <f>IF(F132&lt;0,0,F132)</f>
        <v>0</v>
      </c>
      <c r="O132" s="4">
        <f>IF(G132&lt;0,0,G132)</f>
        <v>14.289076517167354</v>
      </c>
      <c r="P132" s="4">
        <f>(1/6)*(M132-K132)*((N132*((2*J132)+L132))+(O132*(J132+(2*L132))))</f>
        <v>57.091047135942716</v>
      </c>
      <c r="Q132" s="4">
        <f>((1/12)*(M132-K132)*(N132*J132*((3*K132)+M132)+N132*L132*(K132+M132)+O132*J132*(K132+M132)+O132*L132*(K132+(3*M132))))</f>
        <v>328.78478137883224</v>
      </c>
      <c r="R132" s="4">
        <f>((-1/24)*(M132-K132)*(J132*J132*((3*N132)+O132)+2*J132*L132*(N132+O132)+L132*L132*(N132+(3*O132))))</f>
        <v>-113.93013205606519</v>
      </c>
    </row>
    <row r="133" spans="1:18" x14ac:dyDescent="0.25">
      <c r="A133" t="s">
        <v>70</v>
      </c>
      <c r="B133" s="4">
        <f t="shared" ref="B133:C138" si="50">D132</f>
        <v>-1.3358122306045388</v>
      </c>
      <c r="C133" s="4">
        <f t="shared" si="50"/>
        <v>9.8089553819235675</v>
      </c>
      <c r="D133" s="4">
        <f t="shared" si="47"/>
        <v>-9.8089553819235675</v>
      </c>
      <c r="E133" s="4">
        <f t="shared" si="47"/>
        <v>-1.3358122306045388</v>
      </c>
      <c r="F133" s="4">
        <f t="shared" si="48"/>
        <v>14.289076517167354</v>
      </c>
      <c r="G133" s="4">
        <f t="shared" si="49"/>
        <v>-12.005937661947126</v>
      </c>
      <c r="H133" s="4">
        <f t="shared" ref="H133:H139" si="51">IF(B133=D133,"V",(C133-E133)/(B133-D133))</f>
        <v>1.315305007067322</v>
      </c>
      <c r="I133" s="4">
        <f t="shared" ref="I133:I139" si="52">IF(H133="V",0,(-1*B133*H133)+C133)</f>
        <v>11.565955897339485</v>
      </c>
      <c r="J133" s="4">
        <f t="shared" ref="J133:J139" si="53">IF($F133&gt;=0,B133,IF(AND($F133&lt;0,$G133&gt;=0),IF(H133="V",B133,($B$125-I133)/H133),0))</f>
        <v>-1.3358122306045388</v>
      </c>
      <c r="K133" s="4">
        <f t="shared" ref="K133:K139" si="54">IF($F133&gt;=0,C133,IF(AND($F133&lt;0,$G133&gt;=0),$B$125,0))</f>
        <v>9.8089553819235675</v>
      </c>
      <c r="L133" s="4">
        <f t="shared" ref="L133:L139" si="55">IF($G133&gt;=0,D133,IF(AND($G133&lt;0,$F133&gt;=0),IF(H133="V",D133,($B$125-I133)/H133),0))</f>
        <v>-5.9402360961096541</v>
      </c>
      <c r="M133" s="4">
        <f t="shared" ref="M133:M139" si="56">IF($G133&gt;=0,E133,IF(AND($G133&lt;0,$F133&gt;=0),$B$125,0))</f>
        <v>3.7527336169644148</v>
      </c>
      <c r="N133" s="4">
        <f t="shared" ref="N133:O139" si="57">IF(F133&lt;0,0,F133)</f>
        <v>14.289076517167354</v>
      </c>
      <c r="O133" s="4">
        <f t="shared" si="57"/>
        <v>0</v>
      </c>
      <c r="P133" s="4">
        <f t="shared" ref="P133:P139" si="58">(1/6)*(M133-K133)*((N133*((2*J133)+L133))+(O133*(J133+(2*L133))))</f>
        <v>124.20860101457954</v>
      </c>
      <c r="Q133" s="4">
        <f t="shared" ref="Q133:Q139" si="59">((1/12)*(M133-K133)*(N133*J133*((3*K133)+M133)+N133*L133*(K133+M133)+O133*J133*(K133+M133)+O133*L133*(K133+(3*M133))))</f>
        <v>900.57994053376751</v>
      </c>
      <c r="R133" s="4">
        <f t="shared" ref="R133:R139" si="60">((-1/24)*(M133-K133)*(J133*J133*((3*N133)+O133)+2*J133*L133*(N133+O133)+L133*L133*(N133+(3*O133))))</f>
        <v>203.75930221166595</v>
      </c>
    </row>
    <row r="134" spans="1:18" x14ac:dyDescent="0.25">
      <c r="A134" t="s">
        <v>71</v>
      </c>
      <c r="B134" s="4">
        <f t="shared" si="50"/>
        <v>-9.8089553819235675</v>
      </c>
      <c r="C134" s="4">
        <f t="shared" si="50"/>
        <v>-1.3358122306045388</v>
      </c>
      <c r="D134" s="4">
        <f t="shared" si="47"/>
        <v>1.3358122306045388</v>
      </c>
      <c r="E134" s="4">
        <f t="shared" si="47"/>
        <v>-9.8089553819235675</v>
      </c>
      <c r="F134" s="4">
        <f t="shared" si="48"/>
        <v>-12.005937661947126</v>
      </c>
      <c r="G134" s="4">
        <f t="shared" si="49"/>
        <v>-31.997509227346487</v>
      </c>
      <c r="H134" s="4">
        <f t="shared" si="51"/>
        <v>-0.76027993098700064</v>
      </c>
      <c r="I134" s="4">
        <f t="shared" si="52"/>
        <v>-8.7933641514279568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1.3358122306045388</v>
      </c>
      <c r="C135" s="4">
        <f t="shared" si="50"/>
        <v>-9.8089553819235675</v>
      </c>
      <c r="D135" s="4">
        <f t="shared" si="47"/>
        <v>9.8089553819235675</v>
      </c>
      <c r="E135" s="4">
        <f t="shared" si="47"/>
        <v>1.3358122306045388</v>
      </c>
      <c r="F135" s="4">
        <f t="shared" si="48"/>
        <v>-31.997509227346487</v>
      </c>
      <c r="G135" s="4">
        <f t="shared" si="49"/>
        <v>-5.7024950482320067</v>
      </c>
      <c r="H135" s="4">
        <f t="shared" si="51"/>
        <v>1.315305007067322</v>
      </c>
      <c r="I135" s="4">
        <f t="shared" si="52"/>
        <v>-11.565955897339485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9.8089553819235675</v>
      </c>
      <c r="C136" s="4">
        <f t="shared" si="50"/>
        <v>1.3358122306045388</v>
      </c>
      <c r="D136" s="4">
        <f t="shared" si="47"/>
        <v>9.8089553819235675</v>
      </c>
      <c r="E136" s="4">
        <f t="shared" si="47"/>
        <v>1.3358122306045388</v>
      </c>
      <c r="F136" s="4">
        <f t="shared" si="48"/>
        <v>-5.7024950482320067</v>
      </c>
      <c r="G136" s="4">
        <f t="shared" si="49"/>
        <v>-5.7024950482320067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9.8089553819235675</v>
      </c>
      <c r="C137" s="4">
        <f t="shared" si="50"/>
        <v>1.3358122306045388</v>
      </c>
      <c r="D137" s="4">
        <f t="shared" si="47"/>
        <v>9.8089553819235675</v>
      </c>
      <c r="E137" s="4">
        <f t="shared" si="47"/>
        <v>1.3358122306045388</v>
      </c>
      <c r="F137" s="4">
        <f t="shared" si="48"/>
        <v>-5.7024950482320067</v>
      </c>
      <c r="G137" s="4">
        <f t="shared" si="49"/>
        <v>-5.7024950482320067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9.8089553819235675</v>
      </c>
      <c r="C138" s="4">
        <f t="shared" si="50"/>
        <v>1.3358122306045388</v>
      </c>
      <c r="D138" s="4">
        <f t="shared" si="47"/>
        <v>9.8089553819235675</v>
      </c>
      <c r="E138" s="4">
        <f t="shared" si="47"/>
        <v>1.3358122306045388</v>
      </c>
      <c r="F138" s="4">
        <f t="shared" si="48"/>
        <v>-5.7024950482320067</v>
      </c>
      <c r="G138" s="4">
        <f t="shared" si="49"/>
        <v>-5.7024950482320067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9.8089553819235675</v>
      </c>
      <c r="C139" s="4">
        <f>E138</f>
        <v>1.3358122306045388</v>
      </c>
      <c r="D139" s="4">
        <f t="shared" si="47"/>
        <v>9.8089553819235675</v>
      </c>
      <c r="E139" s="4">
        <f t="shared" si="47"/>
        <v>1.3358122306045388</v>
      </c>
      <c r="F139" s="4">
        <f t="shared" si="48"/>
        <v>-5.7024950482320067</v>
      </c>
      <c r="G139" s="4">
        <f t="shared" si="49"/>
        <v>-5.7024950482320067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181.29964815052227</v>
      </c>
      <c r="Q140" s="4">
        <f>SUM(Q132:Q139)</f>
        <v>1229.3647219125996</v>
      </c>
      <c r="R140" s="4">
        <f>SUM(R132:R139)</f>
        <v>89.829170155600764</v>
      </c>
    </row>
    <row r="142" spans="1:18" x14ac:dyDescent="0.25">
      <c r="O142" t="s">
        <v>96</v>
      </c>
      <c r="P142" s="1">
        <f>-1*R140/P140</f>
        <v>-0.49547349414060071</v>
      </c>
    </row>
    <row r="143" spans="1:18" x14ac:dyDescent="0.25">
      <c r="O143" t="s">
        <v>97</v>
      </c>
      <c r="P143" s="1">
        <f>Q140/P140</f>
        <v>6.7808444994439894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9.8089553819235675</v>
      </c>
      <c r="C146" s="9">
        <f>J84</f>
        <v>1.3358122306045388</v>
      </c>
      <c r="D146" s="9">
        <f t="shared" ref="D146:E153" si="61">I85</f>
        <v>9.8089553819235675</v>
      </c>
      <c r="E146">
        <f t="shared" si="61"/>
        <v>1.3358122306045388</v>
      </c>
      <c r="F146" s="4">
        <f>($B$66/$B$65)*(C146-$B$125)</f>
        <v>-5.7024950482320067</v>
      </c>
      <c r="G146" s="4">
        <f>($B$66/$B$65)*(E146-$B$125)</f>
        <v>-5.7024950482320067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9.8089553819235675</v>
      </c>
      <c r="C147">
        <f t="shared" si="62"/>
        <v>1.3358122306045388</v>
      </c>
      <c r="D147" s="9">
        <f t="shared" si="61"/>
        <v>9.8089553819235675</v>
      </c>
      <c r="E147">
        <f t="shared" si="61"/>
        <v>1.3358122306045388</v>
      </c>
      <c r="F147" s="4">
        <f t="shared" ref="F147:F153" si="63">($B$66/$B$65)*(C147-$B$125)</f>
        <v>-5.7024950482320067</v>
      </c>
      <c r="G147" s="4">
        <f t="shared" ref="G147:G153" si="64">($B$66/$B$65)*(E147-$B$125)</f>
        <v>-5.7024950482320067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9.8089553819235675</v>
      </c>
      <c r="C148">
        <f t="shared" si="62"/>
        <v>1.3358122306045388</v>
      </c>
      <c r="D148" s="9">
        <f t="shared" si="61"/>
        <v>9.8089553819235675</v>
      </c>
      <c r="E148">
        <f t="shared" si="61"/>
        <v>1.3358122306045388</v>
      </c>
      <c r="F148" s="4">
        <f t="shared" si="63"/>
        <v>-5.7024950482320067</v>
      </c>
      <c r="G148" s="4">
        <f t="shared" si="64"/>
        <v>-5.7024950482320067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9.8089553819235675</v>
      </c>
      <c r="C149">
        <f t="shared" si="62"/>
        <v>1.3358122306045388</v>
      </c>
      <c r="D149" s="9">
        <f t="shared" si="61"/>
        <v>9.8089553819235675</v>
      </c>
      <c r="E149">
        <f t="shared" si="61"/>
        <v>1.3358122306045388</v>
      </c>
      <c r="F149" s="4">
        <f t="shared" si="63"/>
        <v>-5.7024950482320067</v>
      </c>
      <c r="G149" s="4">
        <f t="shared" si="64"/>
        <v>-5.7024950482320067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9.8089553819235675</v>
      </c>
      <c r="C150">
        <f t="shared" si="62"/>
        <v>1.3358122306045388</v>
      </c>
      <c r="D150" s="9">
        <f t="shared" si="61"/>
        <v>9.8089553819235675</v>
      </c>
      <c r="E150">
        <f t="shared" si="61"/>
        <v>1.3358122306045388</v>
      </c>
      <c r="F150" s="4">
        <f t="shared" si="63"/>
        <v>-5.7024950482320067</v>
      </c>
      <c r="G150" s="4">
        <f t="shared" si="64"/>
        <v>-5.7024950482320067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9.8089553819235675</v>
      </c>
      <c r="C151">
        <f t="shared" si="62"/>
        <v>1.3358122306045388</v>
      </c>
      <c r="D151" s="9">
        <f t="shared" si="61"/>
        <v>9.8089553819235675</v>
      </c>
      <c r="E151">
        <f t="shared" si="61"/>
        <v>1.3358122306045388</v>
      </c>
      <c r="F151" s="4">
        <f t="shared" si="63"/>
        <v>-5.7024950482320067</v>
      </c>
      <c r="G151" s="4">
        <f t="shared" si="64"/>
        <v>-5.7024950482320067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9.8089553819235675</v>
      </c>
      <c r="C152">
        <f t="shared" si="62"/>
        <v>1.3358122306045388</v>
      </c>
      <c r="D152" s="9">
        <f t="shared" si="61"/>
        <v>9.8089553819235675</v>
      </c>
      <c r="E152">
        <f t="shared" si="61"/>
        <v>1.3358122306045388</v>
      </c>
      <c r="F152" s="4">
        <f t="shared" si="63"/>
        <v>-5.7024950482320067</v>
      </c>
      <c r="G152" s="4">
        <f t="shared" si="64"/>
        <v>-5.7024950482320067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9.8089553819235675</v>
      </c>
      <c r="C153">
        <f t="shared" si="62"/>
        <v>1.3358122306045388</v>
      </c>
      <c r="D153" s="9">
        <f t="shared" si="61"/>
        <v>9.8089553819235675</v>
      </c>
      <c r="E153">
        <f t="shared" si="61"/>
        <v>1.3358122306045388</v>
      </c>
      <c r="F153" s="4">
        <f t="shared" si="63"/>
        <v>-5.7024950482320067</v>
      </c>
      <c r="G153" s="4">
        <f t="shared" si="64"/>
        <v>-5.7024950482320067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-7.115230347576329E-6</v>
      </c>
      <c r="C159" t="s">
        <v>36</v>
      </c>
    </row>
    <row r="160" spans="1:18" x14ac:dyDescent="0.25">
      <c r="A160" s="1" t="s">
        <v>106</v>
      </c>
      <c r="B160" s="4">
        <f>Q140+I122+Q154-O122</f>
        <v>1681.5351787970305</v>
      </c>
      <c r="C160" t="s">
        <v>102</v>
      </c>
    </row>
    <row r="161" spans="1:9" x14ac:dyDescent="0.25">
      <c r="A161" s="1" t="s">
        <v>107</v>
      </c>
      <c r="B161" s="4">
        <f>R140+J122+R154-P122</f>
        <v>228.99638107520482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-7.115230347576329E-6</v>
      </c>
      <c r="C164" t="s">
        <v>36</v>
      </c>
      <c r="E164" s="8">
        <f>B2-B164</f>
        <v>7.115230347576329E-6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-1199.9999772856852</v>
      </c>
      <c r="C165" t="s">
        <v>102</v>
      </c>
      <c r="E165" s="8">
        <f>B3+B165</f>
        <v>2.2714314809491043E-5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-1199.9999810799404</v>
      </c>
      <c r="C166" t="s">
        <v>102</v>
      </c>
      <c r="E166" s="8">
        <f>B4+B166</f>
        <v>1.8920059574156767E-5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14.289076517167354</v>
      </c>
      <c r="B169" s="1">
        <f ca="1">IF(E122=0,0,(MIN(H110:H121)*B65)/(B55*B56*E122))</f>
        <v>-14.289076168061781</v>
      </c>
      <c r="C169" s="3">
        <f ca="1">A169+B169</f>
        <v>3.4910557289435928E-7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5.6239117377785568E-8</v>
      </c>
      <c r="C175" s="27">
        <f>B65*SQRT(I175)</f>
        <v>8.9828285381611785E-8</v>
      </c>
      <c r="D175" s="27">
        <f>B66*SQRT(I175)</f>
        <v>2.1194125529722138E-7</v>
      </c>
      <c r="E175" s="27">
        <f>B67*SQRT(I175)</f>
        <v>7.7961826501262227E-7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3.7916405763548333</v>
      </c>
      <c r="C176" s="3">
        <f>B65+C175</f>
        <v>6.056221854787438</v>
      </c>
      <c r="D176" s="3">
        <f>D175+B66</f>
        <v>14.28907672910861</v>
      </c>
      <c r="E176" s="3">
        <f>B67+E175</f>
        <v>52.561853484152401</v>
      </c>
      <c r="F176" s="16" t="s">
        <v>125</v>
      </c>
    </row>
    <row r="177" spans="1:13" x14ac:dyDescent="0.25">
      <c r="B177" s="27">
        <f>B176-B64</f>
        <v>5.6239117363077185E-8</v>
      </c>
      <c r="C177" s="27">
        <f>C176-B65</f>
        <v>8.9828285254611728E-8</v>
      </c>
      <c r="D177" s="27">
        <f>D176-B66</f>
        <v>2.1194125565671129E-7</v>
      </c>
      <c r="E177" s="27">
        <f>E176-B67</f>
        <v>7.7961826150385605E-7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-12.529403080503338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-9.8089553826581106</v>
      </c>
      <c r="B181" s="25">
        <f>(d_alpha_p!E136-d_alpha_m!E136)/(2*B177)</f>
        <v>-9.8089553826581106</v>
      </c>
      <c r="C181" s="25">
        <f>(d_alpha_p!E137-d_alpha_m!E137)/(2*B177)</f>
        <v>-9.8089553826581106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-7.115230347576329E-6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-2.2714314809491043E-5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-1.8920059574156767E-5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-3.4910557289435928E-7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-12.529403080503338</v>
      </c>
      <c r="B190" s="25">
        <f>A181</f>
        <v>-9.8089553826581106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-9.8089553826581106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-9.8089553826581106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-12.529403080503338</v>
      </c>
      <c r="B201" s="25">
        <f t="shared" ref="B201:C201" si="77">B190</f>
        <v>-9.8089553826581106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-9.8089553826581106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-9.8089553826581106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2.6239067055393579</v>
      </c>
      <c r="J3" t="s">
        <v>11</v>
      </c>
    </row>
    <row r="4" spans="1:29" x14ac:dyDescent="0.25">
      <c r="A4" s="10" t="s">
        <v>80</v>
      </c>
      <c r="B4" s="17">
        <f>'Rigid Bearing Plate Analysis'!B4</f>
        <v>1200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2.6239067055393579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5.2478134110787158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-2.6239067055393579</v>
      </c>
      <c r="AB14">
        <f>$B$4/Z14</f>
        <v>2.6239067055393579</v>
      </c>
      <c r="AC14">
        <f>$I$2+AA14+AB14</f>
        <v>0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2.6239067055393579</v>
      </c>
      <c r="AB15">
        <f t="shared" ref="AB15:AB21" si="11">$B$4/Z15</f>
        <v>2.6239067055393579</v>
      </c>
      <c r="AC15">
        <f t="shared" ref="AC15:AC20" si="12">$I$2+AA15+AB15</f>
        <v>5.2478134110787158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2.6239067055393579</v>
      </c>
      <c r="AB16">
        <f t="shared" si="11"/>
        <v>-2.6239067055393579</v>
      </c>
      <c r="AC16">
        <f t="shared" si="12"/>
        <v>0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-2.6239067055393579</v>
      </c>
      <c r="AB17">
        <f t="shared" si="11"/>
        <v>-2.6239067055393579</v>
      </c>
      <c r="AC17">
        <f t="shared" si="12"/>
        <v>-5.2478134110787158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-2.6239067055393579</v>
      </c>
      <c r="AB18">
        <f t="shared" si="11"/>
        <v>-2.6239067055393579</v>
      </c>
      <c r="AC18">
        <f t="shared" si="12"/>
        <v>-5.2478134110787158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-2.6239067055393579</v>
      </c>
      <c r="AB19">
        <f t="shared" si="11"/>
        <v>-2.6239067055393579</v>
      </c>
      <c r="AC19">
        <f t="shared" si="12"/>
        <v>-5.2478134110787158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-2.6239067055393579</v>
      </c>
      <c r="AB20">
        <f t="shared" si="11"/>
        <v>-2.6239067055393579</v>
      </c>
      <c r="AC20">
        <f t="shared" si="12"/>
        <v>-5.2478134110787158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-2.6239067055393579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3.791640520115716</v>
      </c>
      <c r="C64" t="s">
        <v>19</v>
      </c>
      <c r="D64" t="s">
        <v>34</v>
      </c>
      <c r="H64" s="17">
        <f>DEGREES(B64)</f>
        <v>217.24499923341884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6.0562218547874398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14.289076517167354</v>
      </c>
      <c r="C66" t="s">
        <v>11</v>
      </c>
      <c r="D66">
        <f>B66/B53</f>
        <v>3.5071409191529401E-3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52.561853484152401</v>
      </c>
      <c r="C67" t="s">
        <v>36</v>
      </c>
      <c r="D67" t="s">
        <v>122</v>
      </c>
      <c r="G67" s="20">
        <f ca="1">($B$56*$B$66*$B$55*$E$122)/$B$65</f>
        <v>52.561852704534139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-10.808955381923568</v>
      </c>
      <c r="R76">
        <f>Q76</f>
        <v>-10.808955381923568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10.808955381923568</v>
      </c>
      <c r="R77">
        <f>Q77</f>
        <v>10.808955381923568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9.8089553819235675</v>
      </c>
      <c r="C84" s="1">
        <f t="shared" ref="C84:C92" si="23">(-1*B73*SIN($B$64))+(C73*COS($B$64))</f>
        <v>1.3358122306045388</v>
      </c>
      <c r="H84" s="1">
        <f t="shared" ref="H84:H92" si="24">H73</f>
        <v>1</v>
      </c>
      <c r="I84" s="4">
        <f>(I73*COS($B$64))+(J73*SIN($B$64))</f>
        <v>9.8089553819235675</v>
      </c>
      <c r="J84" s="1">
        <f>(-1*I73*SIN($B$64))+(J73*COS($B$64))</f>
        <v>1.3358122306045388</v>
      </c>
    </row>
    <row r="85" spans="1:10" x14ac:dyDescent="0.25">
      <c r="A85" s="1">
        <f t="shared" si="21"/>
        <v>2</v>
      </c>
      <c r="B85" s="4">
        <f t="shared" si="22"/>
        <v>-1.3358122306045388</v>
      </c>
      <c r="C85" s="1">
        <f t="shared" si="23"/>
        <v>9.8089553819235675</v>
      </c>
      <c r="H85" s="1">
        <f t="shared" si="24"/>
        <v>2</v>
      </c>
      <c r="I85" s="4">
        <f t="shared" ref="I85:I92" si="25">(I74*COS($B$64))+(J74*SIN($B$64))</f>
        <v>9.8089553819235675</v>
      </c>
      <c r="J85" s="1">
        <f t="shared" ref="J85:J92" si="26">(-1*I74*SIN($B$64))+(J74*COS($B$64))</f>
        <v>1.3358122306045388</v>
      </c>
    </row>
    <row r="86" spans="1:10" x14ac:dyDescent="0.25">
      <c r="A86" s="1">
        <f t="shared" si="21"/>
        <v>3</v>
      </c>
      <c r="B86" s="4">
        <f t="shared" si="22"/>
        <v>-9.8089553819235675</v>
      </c>
      <c r="C86" s="1">
        <f t="shared" si="23"/>
        <v>-1.3358122306045388</v>
      </c>
      <c r="H86" s="1">
        <f t="shared" si="24"/>
        <v>3</v>
      </c>
      <c r="I86" s="4">
        <f t="shared" si="25"/>
        <v>9.8089553819235675</v>
      </c>
      <c r="J86" s="1">
        <f t="shared" si="26"/>
        <v>1.3358122306045388</v>
      </c>
    </row>
    <row r="87" spans="1:10" x14ac:dyDescent="0.25">
      <c r="A87" s="1">
        <f t="shared" si="21"/>
        <v>4</v>
      </c>
      <c r="B87" s="4">
        <f t="shared" si="22"/>
        <v>1.3358122306045388</v>
      </c>
      <c r="C87" s="1">
        <f t="shared" si="23"/>
        <v>-9.8089553819235675</v>
      </c>
      <c r="H87" s="1">
        <f t="shared" si="24"/>
        <v>4</v>
      </c>
      <c r="I87" s="4">
        <f t="shared" si="25"/>
        <v>9.8089553819235675</v>
      </c>
      <c r="J87" s="1">
        <f t="shared" si="26"/>
        <v>1.3358122306045388</v>
      </c>
    </row>
    <row r="88" spans="1:10" x14ac:dyDescent="0.25">
      <c r="A88" s="1">
        <f t="shared" si="21"/>
        <v>5</v>
      </c>
      <c r="B88" s="4">
        <f t="shared" si="22"/>
        <v>9.8089553819235675</v>
      </c>
      <c r="C88" s="1">
        <f t="shared" si="23"/>
        <v>1.3358122306045388</v>
      </c>
      <c r="H88" s="1">
        <f t="shared" si="24"/>
        <v>5</v>
      </c>
      <c r="I88" s="4">
        <f t="shared" si="25"/>
        <v>9.8089553819235675</v>
      </c>
      <c r="J88" s="1">
        <f t="shared" si="26"/>
        <v>1.3358122306045388</v>
      </c>
    </row>
    <row r="89" spans="1:10" x14ac:dyDescent="0.25">
      <c r="A89" s="1">
        <f t="shared" si="21"/>
        <v>6</v>
      </c>
      <c r="B89" s="4">
        <f t="shared" si="22"/>
        <v>9.8089553819235675</v>
      </c>
      <c r="C89" s="1">
        <f t="shared" si="23"/>
        <v>1.3358122306045388</v>
      </c>
      <c r="H89" s="1">
        <f t="shared" si="24"/>
        <v>6</v>
      </c>
      <c r="I89" s="4">
        <f t="shared" si="25"/>
        <v>9.8089553819235675</v>
      </c>
      <c r="J89" s="1">
        <f t="shared" si="26"/>
        <v>1.3358122306045388</v>
      </c>
    </row>
    <row r="90" spans="1:10" x14ac:dyDescent="0.25">
      <c r="A90" s="1">
        <f t="shared" si="21"/>
        <v>7</v>
      </c>
      <c r="B90" s="4">
        <f t="shared" si="22"/>
        <v>9.8089553819235675</v>
      </c>
      <c r="C90" s="1">
        <f t="shared" si="23"/>
        <v>1.3358122306045388</v>
      </c>
      <c r="H90" s="1">
        <f t="shared" si="24"/>
        <v>7</v>
      </c>
      <c r="I90" s="4">
        <f t="shared" si="25"/>
        <v>9.8089553819235675</v>
      </c>
      <c r="J90" s="1">
        <f t="shared" si="26"/>
        <v>1.3358122306045388</v>
      </c>
    </row>
    <row r="91" spans="1:10" x14ac:dyDescent="0.25">
      <c r="A91" s="1">
        <f t="shared" si="21"/>
        <v>8</v>
      </c>
      <c r="B91" s="4">
        <f t="shared" si="22"/>
        <v>9.8089553819235675</v>
      </c>
      <c r="C91" s="1">
        <f t="shared" si="23"/>
        <v>1.3358122306045388</v>
      </c>
      <c r="H91" s="1">
        <f t="shared" si="24"/>
        <v>8</v>
      </c>
      <c r="I91" s="4">
        <f t="shared" si="25"/>
        <v>9.8089553819235675</v>
      </c>
      <c r="J91" s="1">
        <f t="shared" si="26"/>
        <v>1.3358122306045388</v>
      </c>
    </row>
    <row r="92" spans="1:10" x14ac:dyDescent="0.25">
      <c r="A92" s="1">
        <f t="shared" si="21"/>
        <v>9</v>
      </c>
      <c r="B92" s="4">
        <f t="shared" si="22"/>
        <v>9.8089553819235675</v>
      </c>
      <c r="C92" s="1">
        <f t="shared" si="23"/>
        <v>1.3358122306045388</v>
      </c>
      <c r="H92" s="1">
        <f t="shared" si="24"/>
        <v>9</v>
      </c>
      <c r="I92" s="4">
        <f t="shared" si="25"/>
        <v>9.8089553819235675</v>
      </c>
      <c r="J92" s="1">
        <f t="shared" si="26"/>
        <v>1.3358122306045388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5.6051173610991816</v>
      </c>
      <c r="C110" s="1">
        <f>(-1*B95*SIN($B$64))+(C95*COS($B$64))</f>
        <v>0.76332127463116528</v>
      </c>
      <c r="D110" t="str">
        <f t="shared" ref="D110" si="31">D95</f>
        <v>y</v>
      </c>
      <c r="E110" s="4">
        <f t="shared" ref="E110:E121" si="32">IF($D110="y",$B$125-C110,0)</f>
        <v>2.9894122525049625</v>
      </c>
      <c r="F110" s="1">
        <f>IF($D110="y",B110,NA())</f>
        <v>5.6051173610991816</v>
      </c>
      <c r="G110" s="1">
        <f>IF($D110="y",C110,NA())</f>
        <v>0.76332127463116528</v>
      </c>
      <c r="H110">
        <f t="shared" ref="H110:H121" si="33">IF($E$122=0,0,-1*MAX(($B$67/$E$122)*(E110),0))</f>
        <v>-16.791146887950362</v>
      </c>
      <c r="I110">
        <f>H110*C110</f>
        <v>-12.817039645029395</v>
      </c>
      <c r="J110">
        <f>H110*B110*-1</f>
        <v>94.116348934417061</v>
      </c>
      <c r="K110">
        <f ca="1">H110/$B$55</f>
        <v>-50.20364557545107</v>
      </c>
      <c r="L110">
        <f ca="1">K110/$B$54</f>
        <v>-1.7311601922569335E-3</v>
      </c>
      <c r="M110">
        <f t="shared" ref="M110:M121" si="34">IFERROR(($D$66/$B$65)*(G110-$B$125),0)</f>
        <v>-1.7311601665796787E-3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-0.76332127463116528</v>
      </c>
      <c r="C111" s="1">
        <f t="shared" ref="C111:C121" si="37">(-1*B96*SIN($B$64))+(C96*COS($B$64))</f>
        <v>5.6051173610991816</v>
      </c>
      <c r="D111" t="str">
        <f t="shared" si="35"/>
        <v>y</v>
      </c>
      <c r="E111" s="4">
        <f t="shared" si="32"/>
        <v>-1.8523838339630538</v>
      </c>
      <c r="F111" s="1">
        <f t="shared" ref="F111:G121" si="38">IF($D111="y",B111,NA())</f>
        <v>-0.76332127463116528</v>
      </c>
      <c r="G111" s="1">
        <f t="shared" si="38"/>
        <v>5.6051173610991816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1.072710230543106E-3</v>
      </c>
      <c r="N111">
        <f t="shared" ref="N111:N121" si="42">IF(AND(M111&gt;0,D111="y",$E$60="y"),$B$53*M111*$E$59,0)</f>
        <v>2.2660526107260983</v>
      </c>
      <c r="O111">
        <f t="shared" ref="O111:O121" si="43">N111*C111</f>
        <v>12.70149082954498</v>
      </c>
      <c r="P111">
        <f t="shared" ref="P111:P121" si="44">N111*B111*-1</f>
        <v>1.7297261672007251</v>
      </c>
    </row>
    <row r="112" spans="1:16" x14ac:dyDescent="0.25">
      <c r="A112">
        <f t="shared" si="35"/>
        <v>3</v>
      </c>
      <c r="B112" s="1">
        <f t="shared" si="36"/>
        <v>0.76332127463116528</v>
      </c>
      <c r="C112" s="1">
        <f t="shared" si="37"/>
        <v>-5.6051173610991816</v>
      </c>
      <c r="D112" t="str">
        <f t="shared" si="35"/>
        <v>y</v>
      </c>
      <c r="E112" s="4">
        <f t="shared" si="32"/>
        <v>9.3578508882353084</v>
      </c>
      <c r="F112" s="1">
        <f t="shared" si="38"/>
        <v>0.76332127463116528</v>
      </c>
      <c r="G112" s="1">
        <f t="shared" si="38"/>
        <v>-5.6051173610991816</v>
      </c>
      <c r="H112">
        <f t="shared" si="33"/>
        <v>-52.561853484152394</v>
      </c>
      <c r="I112">
        <f t="shared" si="39"/>
        <v>294.61535749557407</v>
      </c>
      <c r="J112">
        <f t="shared" si="40"/>
        <v>40.121580998499759</v>
      </c>
      <c r="K112">
        <f t="shared" ref="K112:K121" ca="1" si="45">H112/$B$55</f>
        <v>-157.15404556438156</v>
      </c>
      <c r="L112">
        <f t="shared" ca="1" si="41"/>
        <v>-5.4191050194614329E-3</v>
      </c>
      <c r="M112">
        <f t="shared" si="34"/>
        <v>-5.4191049390831178E-3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-5.6051173610991816</v>
      </c>
      <c r="C113" s="1">
        <f t="shared" si="37"/>
        <v>-0.76332127463116528</v>
      </c>
      <c r="D113" t="str">
        <f t="shared" si="35"/>
        <v>y</v>
      </c>
      <c r="E113" s="4">
        <f t="shared" si="32"/>
        <v>4.516054801767293</v>
      </c>
      <c r="F113" s="1">
        <f t="shared" si="38"/>
        <v>-5.6051173610991816</v>
      </c>
      <c r="G113" s="1">
        <f t="shared" si="38"/>
        <v>-0.76332127463116528</v>
      </c>
      <c r="H113">
        <f t="shared" si="33"/>
        <v>-25.366103141835669</v>
      </c>
      <c r="I113">
        <f t="shared" si="39"/>
        <v>19.362486182651608</v>
      </c>
      <c r="J113">
        <f t="shared" si="40"/>
        <v>-142.17998510373562</v>
      </c>
      <c r="K113">
        <f t="shared" ca="1" si="45"/>
        <v>-75.841802841765386</v>
      </c>
      <c r="L113">
        <f t="shared" ca="1" si="41"/>
        <v>-2.6152345807505307E-3</v>
      </c>
      <c r="M113">
        <f t="shared" si="34"/>
        <v>-2.6152345419603335E-3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4.0920560840779263</v>
      </c>
      <c r="C114" s="1">
        <f t="shared" si="37"/>
        <v>-1.2268157990345681</v>
      </c>
      <c r="D114" t="str">
        <f t="shared" si="35"/>
        <v>y</v>
      </c>
      <c r="E114" s="4">
        <f t="shared" si="32"/>
        <v>4.9795493261706962</v>
      </c>
      <c r="F114" s="1">
        <f t="shared" si="38"/>
        <v>4.0920560840779263</v>
      </c>
      <c r="G114" s="1">
        <f t="shared" si="38"/>
        <v>-1.2268157990345681</v>
      </c>
      <c r="H114">
        <f t="shared" si="33"/>
        <v>-27.969492699263501</v>
      </c>
      <c r="I114">
        <f t="shared" si="39"/>
        <v>34.313415534438469</v>
      </c>
      <c r="J114">
        <f t="shared" si="40"/>
        <v>114.45273276859434</v>
      </c>
      <c r="K114">
        <f t="shared" ca="1" si="45"/>
        <v>-83.625645571991868</v>
      </c>
      <c r="L114">
        <f t="shared" ca="1" si="41"/>
        <v>-2.8836429507583402E-3</v>
      </c>
      <c r="M114">
        <f t="shared" si="34"/>
        <v>-2.8836429079870038E-3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-2.2763825516524205</v>
      </c>
      <c r="C115" s="1">
        <f t="shared" si="37"/>
        <v>3.6149802874334482</v>
      </c>
      <c r="D115" t="str">
        <f t="shared" si="35"/>
        <v>y</v>
      </c>
      <c r="E115" s="4">
        <f t="shared" si="32"/>
        <v>0.1377532397026795</v>
      </c>
      <c r="F115" s="1">
        <f t="shared" si="38"/>
        <v>-2.2763825516524205</v>
      </c>
      <c r="G115" s="1">
        <f t="shared" si="38"/>
        <v>3.6149802874334482</v>
      </c>
      <c r="H115">
        <f t="shared" si="33"/>
        <v>-0.77374235694676485</v>
      </c>
      <c r="I115">
        <f t="shared" si="39"/>
        <v>-2.7970633679148498</v>
      </c>
      <c r="J115">
        <f t="shared" si="40"/>
        <v>-1.7613336008280345</v>
      </c>
      <c r="K115">
        <f t="shared" ca="1" si="45"/>
        <v>-2.3134028493756551</v>
      </c>
      <c r="L115">
        <f t="shared" ca="1" si="41"/>
        <v>-7.9772512047436388E-5</v>
      </c>
      <c r="M115">
        <f t="shared" si="34"/>
        <v>-7.9772510864218842E-5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2.2763825516524205</v>
      </c>
      <c r="C116" s="1">
        <f t="shared" si="37"/>
        <v>-3.6149802874334482</v>
      </c>
      <c r="D116" t="str">
        <f t="shared" si="35"/>
        <v>y</v>
      </c>
      <c r="E116" s="4">
        <f t="shared" si="32"/>
        <v>7.3677138145695764</v>
      </c>
      <c r="F116" s="1">
        <f t="shared" si="38"/>
        <v>2.2763825516524205</v>
      </c>
      <c r="G116" s="1">
        <f t="shared" si="38"/>
        <v>-3.6149802874334482</v>
      </c>
      <c r="H116">
        <f t="shared" si="33"/>
        <v>-41.383507672839265</v>
      </c>
      <c r="I116">
        <f t="shared" si="39"/>
        <v>149.60056446216478</v>
      </c>
      <c r="J116">
        <f t="shared" si="40"/>
        <v>94.204694792625375</v>
      </c>
      <c r="K116">
        <f t="shared" ca="1" si="45"/>
        <v>-123.7320455678408</v>
      </c>
      <c r="L116">
        <f t="shared" ca="1" si="41"/>
        <v>-4.2666222609600273E-3</v>
      </c>
      <c r="M116">
        <f t="shared" si="34"/>
        <v>-4.2666221976757936E-3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-4.0920560840779263</v>
      </c>
      <c r="C117" s="1">
        <f t="shared" si="37"/>
        <v>1.2268157990345681</v>
      </c>
      <c r="D117" t="str">
        <f t="shared" si="35"/>
        <v>y</v>
      </c>
      <c r="E117" s="4">
        <f t="shared" si="32"/>
        <v>2.5259177281015597</v>
      </c>
      <c r="F117" s="1">
        <f t="shared" si="38"/>
        <v>-4.0920560840779263</v>
      </c>
      <c r="G117" s="1">
        <f t="shared" si="38"/>
        <v>1.2268157990345681</v>
      </c>
      <c r="H117">
        <f t="shared" si="33"/>
        <v>-14.187757330522532</v>
      </c>
      <c r="I117">
        <f t="shared" si="39"/>
        <v>-17.405764845953549</v>
      </c>
      <c r="J117">
        <f t="shared" si="40"/>
        <v>-58.057098703785925</v>
      </c>
      <c r="K117">
        <f t="shared" ca="1" si="45"/>
        <v>-42.419802845224602</v>
      </c>
      <c r="L117">
        <f t="shared" ca="1" si="41"/>
        <v>-1.4627518222491242E-3</v>
      </c>
      <c r="M117">
        <f t="shared" si="34"/>
        <v>-1.4627518005530086E-3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9.8089553819235675</v>
      </c>
      <c r="C118" s="1">
        <f t="shared" si="37"/>
        <v>1.3358122306045388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9.8089553819235675</v>
      </c>
      <c r="C119" s="1">
        <f t="shared" si="37"/>
        <v>1.3358122306045388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9.8089553819235675</v>
      </c>
      <c r="C120" s="1">
        <f t="shared" si="37"/>
        <v>1.3358122306045388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9.8089553819235675</v>
      </c>
      <c r="C121" s="1">
        <f t="shared" si="37"/>
        <v>1.3358122306045388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9.3578508882353084</v>
      </c>
      <c r="H122">
        <f>SUM(H110:H121)</f>
        <v>-179.0336035735105</v>
      </c>
      <c r="I122">
        <f t="shared" ref="I122:J122" si="46">SUM(I110:I121)</f>
        <v>464.87195581593113</v>
      </c>
      <c r="J122">
        <f t="shared" si="46"/>
        <v>140.89694008578695</v>
      </c>
      <c r="L122">
        <f ca="1">MIN(L110:L121)</f>
        <v>-5.4191050194614329E-3</v>
      </c>
      <c r="M122">
        <f>MIN(M110:M121)</f>
        <v>-5.4191049390831178E-3</v>
      </c>
      <c r="N122">
        <f>SUM(N110:N121)</f>
        <v>2.2660526107260983</v>
      </c>
      <c r="O122">
        <f>SUM(O110:O121)</f>
        <v>12.70149082954498</v>
      </c>
      <c r="P122">
        <f>SUM(P110:P121)</f>
        <v>1.7297261672007251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3.7527335271361277</v>
      </c>
      <c r="F125" s="1" t="s">
        <v>27</v>
      </c>
      <c r="G125" s="1" t="s">
        <v>28</v>
      </c>
    </row>
    <row r="126" spans="1:16" x14ac:dyDescent="0.25">
      <c r="F126" s="4">
        <f>MIN(B84:B90)-1</f>
        <v>-10.808955381923568</v>
      </c>
      <c r="G126" s="4">
        <f>B125</f>
        <v>3.7527335271361277</v>
      </c>
    </row>
    <row r="127" spans="1:16" x14ac:dyDescent="0.25">
      <c r="F127" s="4">
        <f>MAX(B84:B90)+1</f>
        <v>10.808955381923568</v>
      </c>
      <c r="G127" s="4">
        <f>G126</f>
        <v>3.7527335271361277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9.8089553819235675</v>
      </c>
      <c r="C132" s="4">
        <f>C84</f>
        <v>1.3358122306045388</v>
      </c>
      <c r="D132" s="4">
        <f t="shared" ref="D132:E139" si="47">B85</f>
        <v>-1.3358122306045388</v>
      </c>
      <c r="E132" s="4">
        <f t="shared" si="47"/>
        <v>9.8089553819235675</v>
      </c>
      <c r="F132" s="4">
        <f t="shared" ref="F132:F139" si="48">($B$66/$B$65)*(C132-$B$125)</f>
        <v>-5.7024947517090787</v>
      </c>
      <c r="G132" s="4">
        <f t="shared" ref="G132:G139" si="49">($B$66/$B$65)*(E132-$B$125)</f>
        <v>14.289076517167352</v>
      </c>
      <c r="H132" s="4">
        <f>IF(B132=D132,"V",(C132-E132)/(B132-D132))</f>
        <v>-0.76027993098700064</v>
      </c>
      <c r="I132" s="4">
        <f>IF(H132="V",0,(-1*B132*H132)+C132)</f>
        <v>8.7933641514279568</v>
      </c>
      <c r="J132" s="4">
        <f>IF($F132&gt;=0,B132,IF(AND($F132&lt;0,$G132&gt;=0),IF(H132="V",B132,($B$125-I132)/H132),0))</f>
        <v>6.629966698907924</v>
      </c>
      <c r="K132" s="4">
        <f>IF($F132&gt;=0,C132,IF(AND($F132&lt;0,$G132&gt;=0),$B$125,0))</f>
        <v>3.7527335271361277</v>
      </c>
      <c r="L132" s="4">
        <f>IF($G132&gt;=0,D132,IF(AND($G132&lt;0,$F132&gt;=0),IF(H132="V",D132,($B$125-I132)/H132),0))</f>
        <v>-1.3358122306045388</v>
      </c>
      <c r="M132" s="4">
        <f>IF($G132&gt;=0,E132,IF(AND($G132&lt;0,$F132&gt;=0),$B$125,0))</f>
        <v>9.8089553819235675</v>
      </c>
      <c r="N132" s="4">
        <f>IF(F132&lt;0,0,F132)</f>
        <v>0</v>
      </c>
      <c r="O132" s="4">
        <f>IF(G132&lt;0,0,G132)</f>
        <v>14.289076517167352</v>
      </c>
      <c r="P132" s="4">
        <f>(1/6)*(M132-K132)*((N132*((2*J132)+L132))+(O132*(J132+(2*L132))))</f>
        <v>57.091049686836648</v>
      </c>
      <c r="Q132" s="4">
        <f>((1/12)*(M132-K132)*(N132*J132*((3*K132)+M132)+N132*L132*(K132+M132)+O132*J132*(K132+M132)+O132*L132*(K132+(3*M132))))</f>
        <v>328.78479438118592</v>
      </c>
      <c r="R132" s="4">
        <f>((-1/24)*(M132-K132)*(J132*J132*((3*N132)+O132)+2*J132*L132*(N132+O132)+L132*L132*(N132+(3*O132))))</f>
        <v>-113.93013825679809</v>
      </c>
    </row>
    <row r="133" spans="1:18" x14ac:dyDescent="0.25">
      <c r="A133" t="s">
        <v>70</v>
      </c>
      <c r="B133" s="4">
        <f t="shared" ref="B133:C138" si="50">D132</f>
        <v>-1.3358122306045388</v>
      </c>
      <c r="C133" s="4">
        <f t="shared" si="50"/>
        <v>9.8089553819235675</v>
      </c>
      <c r="D133" s="4">
        <f t="shared" si="47"/>
        <v>-9.8089553819235675</v>
      </c>
      <c r="E133" s="4">
        <f t="shared" si="47"/>
        <v>-1.3358122306045388</v>
      </c>
      <c r="F133" s="4">
        <f t="shared" si="48"/>
        <v>14.289076517167352</v>
      </c>
      <c r="G133" s="4">
        <f t="shared" si="49"/>
        <v>-12.005937271929033</v>
      </c>
      <c r="H133" s="4">
        <f t="shared" ref="H133:H139" si="51">IF(B133=D133,"V",(C133-E133)/(B133-D133))</f>
        <v>1.315305007067322</v>
      </c>
      <c r="I133" s="4">
        <f t="shared" ref="I133:I139" si="52">IF(H133="V",0,(-1*B133*H133)+C133)</f>
        <v>11.565955897339485</v>
      </c>
      <c r="J133" s="4">
        <f t="shared" ref="J133:J139" si="53">IF($F133&gt;=0,B133,IF(AND($F133&lt;0,$G133&gt;=0),IF(H133="V",B133,($B$125-I133)/H133),0))</f>
        <v>-1.3358122306045388</v>
      </c>
      <c r="K133" s="4">
        <f t="shared" ref="K133:K139" si="54">IF($F133&gt;=0,C133,IF(AND($F133&lt;0,$G133&gt;=0),$B$125,0))</f>
        <v>9.8089553819235675</v>
      </c>
      <c r="L133" s="4">
        <f t="shared" ref="L133:L139" si="55">IF($G133&gt;=0,D133,IF(AND($G133&lt;0,$F133&gt;=0),IF(H133="V",D133,($B$125-I133)/H133),0))</f>
        <v>-5.9402361644042987</v>
      </c>
      <c r="M133" s="4">
        <f t="shared" ref="M133:M139" si="56">IF($G133&gt;=0,E133,IF(AND($G133&lt;0,$F133&gt;=0),$B$125,0))</f>
        <v>3.7527335271361277</v>
      </c>
      <c r="N133" s="4">
        <f t="shared" ref="N133:O139" si="57">IF(F133&lt;0,0,F133)</f>
        <v>14.289076517167352</v>
      </c>
      <c r="O133" s="4">
        <f t="shared" si="57"/>
        <v>0</v>
      </c>
      <c r="P133" s="4">
        <f t="shared" ref="P133:P139" si="58">(1/6)*(M133-K133)*((N133*((2*J133)+L133))+(O133*(J133+(2*L133))))</f>
        <v>124.20860384190239</v>
      </c>
      <c r="Q133" s="4">
        <f t="shared" ref="Q133:Q139" si="59">((1/12)*(M133-K133)*(N133*J133*((3*K133)+M133)+N133*L133*(K133+M133)+O133*J133*(K133+M133)+O133*L133*(K133+(3*M133))))</f>
        <v>900.57995585734693</v>
      </c>
      <c r="R133" s="4">
        <f t="shared" ref="R133:R139" si="60">((-1/24)*(M133-K133)*(J133*J133*((3*N133)+O133)+2*J133*L133*(N133+O133)+L133*L133*(N133+(3*O133))))</f>
        <v>203.75930881740078</v>
      </c>
    </row>
    <row r="134" spans="1:18" x14ac:dyDescent="0.25">
      <c r="A134" t="s">
        <v>71</v>
      </c>
      <c r="B134" s="4">
        <f t="shared" si="50"/>
        <v>-9.8089553819235675</v>
      </c>
      <c r="C134" s="4">
        <f t="shared" si="50"/>
        <v>-1.3358122306045388</v>
      </c>
      <c r="D134" s="4">
        <f t="shared" si="47"/>
        <v>1.3358122306045388</v>
      </c>
      <c r="E134" s="4">
        <f t="shared" si="47"/>
        <v>-9.8089553819235675</v>
      </c>
      <c r="F134" s="4">
        <f t="shared" si="48"/>
        <v>-12.005937271929033</v>
      </c>
      <c r="G134" s="4">
        <f t="shared" si="49"/>
        <v>-31.997508540805466</v>
      </c>
      <c r="H134" s="4">
        <f t="shared" si="51"/>
        <v>-0.76027993098700064</v>
      </c>
      <c r="I134" s="4">
        <f t="shared" si="52"/>
        <v>-8.7933641514279568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1.3358122306045388</v>
      </c>
      <c r="C135" s="4">
        <f t="shared" si="50"/>
        <v>-9.8089553819235675</v>
      </c>
      <c r="D135" s="4">
        <f t="shared" si="47"/>
        <v>9.8089553819235675</v>
      </c>
      <c r="E135" s="4">
        <f t="shared" si="47"/>
        <v>1.3358122306045388</v>
      </c>
      <c r="F135" s="4">
        <f t="shared" si="48"/>
        <v>-31.997508540805466</v>
      </c>
      <c r="G135" s="4">
        <f t="shared" si="49"/>
        <v>-5.7024947517090787</v>
      </c>
      <c r="H135" s="4">
        <f t="shared" si="51"/>
        <v>1.315305007067322</v>
      </c>
      <c r="I135" s="4">
        <f t="shared" si="52"/>
        <v>-11.565955897339485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9.8089553819235675</v>
      </c>
      <c r="C136" s="4">
        <f t="shared" si="50"/>
        <v>1.3358122306045388</v>
      </c>
      <c r="D136" s="4">
        <f t="shared" si="47"/>
        <v>9.8089553819235675</v>
      </c>
      <c r="E136" s="4">
        <f t="shared" si="47"/>
        <v>1.3358122306045388</v>
      </c>
      <c r="F136" s="4">
        <f t="shared" si="48"/>
        <v>-5.7024947517090787</v>
      </c>
      <c r="G136" s="4">
        <f t="shared" si="49"/>
        <v>-5.7024947517090787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9.8089553819235675</v>
      </c>
      <c r="C137" s="4">
        <f t="shared" si="50"/>
        <v>1.3358122306045388</v>
      </c>
      <c r="D137" s="4">
        <f t="shared" si="47"/>
        <v>9.8089553819235675</v>
      </c>
      <c r="E137" s="4">
        <f t="shared" si="47"/>
        <v>1.3358122306045388</v>
      </c>
      <c r="F137" s="4">
        <f t="shared" si="48"/>
        <v>-5.7024947517090787</v>
      </c>
      <c r="G137" s="4">
        <f t="shared" si="49"/>
        <v>-5.7024947517090787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9.8089553819235675</v>
      </c>
      <c r="C138" s="4">
        <f t="shared" si="50"/>
        <v>1.3358122306045388</v>
      </c>
      <c r="D138" s="4">
        <f t="shared" si="47"/>
        <v>9.8089553819235675</v>
      </c>
      <c r="E138" s="4">
        <f t="shared" si="47"/>
        <v>1.3358122306045388</v>
      </c>
      <c r="F138" s="4">
        <f t="shared" si="48"/>
        <v>-5.7024947517090787</v>
      </c>
      <c r="G138" s="4">
        <f t="shared" si="49"/>
        <v>-5.7024947517090787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9.8089553819235675</v>
      </c>
      <c r="C139" s="4">
        <f>E138</f>
        <v>1.3358122306045388</v>
      </c>
      <c r="D139" s="4">
        <f t="shared" si="47"/>
        <v>9.8089553819235675</v>
      </c>
      <c r="E139" s="4">
        <f t="shared" si="47"/>
        <v>1.3358122306045388</v>
      </c>
      <c r="F139" s="4">
        <f t="shared" si="48"/>
        <v>-5.7024947517090787</v>
      </c>
      <c r="G139" s="4">
        <f t="shared" si="49"/>
        <v>-5.7024947517090787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181.29965352873904</v>
      </c>
      <c r="Q140" s="4">
        <f>SUM(Q132:Q139)</f>
        <v>1229.3647502385329</v>
      </c>
      <c r="R140" s="4">
        <f>SUM(R132:R139)</f>
        <v>89.829170560602691</v>
      </c>
    </row>
    <row r="142" spans="1:18" x14ac:dyDescent="0.25">
      <c r="O142" t="s">
        <v>96</v>
      </c>
      <c r="P142" s="1">
        <f>-1*R140/P140</f>
        <v>-0.49547348167636324</v>
      </c>
    </row>
    <row r="143" spans="1:18" x14ac:dyDescent="0.25">
      <c r="O143" t="s">
        <v>97</v>
      </c>
      <c r="P143" s="1">
        <f>Q140/P140</f>
        <v>6.7808444545298476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9.8089553819235675</v>
      </c>
      <c r="C146" s="9">
        <f>J84</f>
        <v>1.3358122306045388</v>
      </c>
      <c r="D146" s="9">
        <f t="shared" ref="D146:E153" si="61">I85</f>
        <v>9.8089553819235675</v>
      </c>
      <c r="E146">
        <f t="shared" si="61"/>
        <v>1.3358122306045388</v>
      </c>
      <c r="F146" s="4">
        <f>($B$66/$B$65)*(C146-$B$125)</f>
        <v>-5.7024947517090787</v>
      </c>
      <c r="G146" s="4">
        <f>($B$66/$B$65)*(E146-$B$125)</f>
        <v>-5.7024947517090787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9.8089553819235675</v>
      </c>
      <c r="C147">
        <f t="shared" si="62"/>
        <v>1.3358122306045388</v>
      </c>
      <c r="D147" s="9">
        <f t="shared" si="61"/>
        <v>9.8089553819235675</v>
      </c>
      <c r="E147">
        <f t="shared" si="61"/>
        <v>1.3358122306045388</v>
      </c>
      <c r="F147" s="4">
        <f t="shared" ref="F147:F153" si="63">($B$66/$B$65)*(C147-$B$125)</f>
        <v>-5.7024947517090787</v>
      </c>
      <c r="G147" s="4">
        <f t="shared" ref="G147:G153" si="64">($B$66/$B$65)*(E147-$B$125)</f>
        <v>-5.7024947517090787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9.8089553819235675</v>
      </c>
      <c r="C148">
        <f t="shared" si="62"/>
        <v>1.3358122306045388</v>
      </c>
      <c r="D148" s="9">
        <f t="shared" si="61"/>
        <v>9.8089553819235675</v>
      </c>
      <c r="E148">
        <f t="shared" si="61"/>
        <v>1.3358122306045388</v>
      </c>
      <c r="F148" s="4">
        <f t="shared" si="63"/>
        <v>-5.7024947517090787</v>
      </c>
      <c r="G148" s="4">
        <f t="shared" si="64"/>
        <v>-5.7024947517090787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9.8089553819235675</v>
      </c>
      <c r="C149">
        <f t="shared" si="62"/>
        <v>1.3358122306045388</v>
      </c>
      <c r="D149" s="9">
        <f t="shared" si="61"/>
        <v>9.8089553819235675</v>
      </c>
      <c r="E149">
        <f t="shared" si="61"/>
        <v>1.3358122306045388</v>
      </c>
      <c r="F149" s="4">
        <f t="shared" si="63"/>
        <v>-5.7024947517090787</v>
      </c>
      <c r="G149" s="4">
        <f t="shared" si="64"/>
        <v>-5.7024947517090787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9.8089553819235675</v>
      </c>
      <c r="C150">
        <f t="shared" si="62"/>
        <v>1.3358122306045388</v>
      </c>
      <c r="D150" s="9">
        <f t="shared" si="61"/>
        <v>9.8089553819235675</v>
      </c>
      <c r="E150">
        <f t="shared" si="61"/>
        <v>1.3358122306045388</v>
      </c>
      <c r="F150" s="4">
        <f t="shared" si="63"/>
        <v>-5.7024947517090787</v>
      </c>
      <c r="G150" s="4">
        <f t="shared" si="64"/>
        <v>-5.7024947517090787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9.8089553819235675</v>
      </c>
      <c r="C151">
        <f t="shared" si="62"/>
        <v>1.3358122306045388</v>
      </c>
      <c r="D151" s="9">
        <f t="shared" si="61"/>
        <v>9.8089553819235675</v>
      </c>
      <c r="E151">
        <f t="shared" si="61"/>
        <v>1.3358122306045388</v>
      </c>
      <c r="F151" s="4">
        <f t="shared" si="63"/>
        <v>-5.7024947517090787</v>
      </c>
      <c r="G151" s="4">
        <f t="shared" si="64"/>
        <v>-5.7024947517090787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9.8089553819235675</v>
      </c>
      <c r="C152">
        <f t="shared" si="62"/>
        <v>1.3358122306045388</v>
      </c>
      <c r="D152" s="9">
        <f t="shared" si="61"/>
        <v>9.8089553819235675</v>
      </c>
      <c r="E152">
        <f t="shared" si="61"/>
        <v>1.3358122306045388</v>
      </c>
      <c r="F152" s="4">
        <f t="shared" si="63"/>
        <v>-5.7024947517090787</v>
      </c>
      <c r="G152" s="4">
        <f t="shared" si="64"/>
        <v>-5.7024947517090787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9.8089553819235675</v>
      </c>
      <c r="C153">
        <f t="shared" si="62"/>
        <v>1.3358122306045388</v>
      </c>
      <c r="D153" s="9">
        <f t="shared" si="61"/>
        <v>9.8089553819235675</v>
      </c>
      <c r="E153">
        <f t="shared" si="61"/>
        <v>1.3358122306045388</v>
      </c>
      <c r="F153" s="4">
        <f t="shared" si="63"/>
        <v>-5.7024947517090787</v>
      </c>
      <c r="G153" s="4">
        <f t="shared" si="64"/>
        <v>-5.7024947517090787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-2.6554975596226882E-6</v>
      </c>
      <c r="C159" t="s">
        <v>36</v>
      </c>
    </row>
    <row r="160" spans="1:18" x14ac:dyDescent="0.25">
      <c r="A160" s="1" t="s">
        <v>106</v>
      </c>
      <c r="B160" s="4">
        <f>Q140+I122+Q154-O122</f>
        <v>1681.5352152249191</v>
      </c>
      <c r="C160" t="s">
        <v>102</v>
      </c>
    </row>
    <row r="161" spans="1:9" x14ac:dyDescent="0.25">
      <c r="A161" s="1" t="s">
        <v>107</v>
      </c>
      <c r="B161" s="4">
        <f>R140+J122+R154-P122</f>
        <v>228.99638447918892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-2.6554975596226882E-6</v>
      </c>
      <c r="C164" t="s">
        <v>36</v>
      </c>
      <c r="E164" s="8">
        <f>B2-B164</f>
        <v>2.6554975596226882E-6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-1200.000004224107</v>
      </c>
      <c r="C165" t="s">
        <v>102</v>
      </c>
      <c r="E165" s="8">
        <f>B3+B165</f>
        <v>-4.22410698774911E-6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-1200.0000058367493</v>
      </c>
      <c r="C166" t="s">
        <v>102</v>
      </c>
      <c r="E166" s="8">
        <f>B4+B166</f>
        <v>-5.8367493238620227E-6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14.289076517167354</v>
      </c>
      <c r="B169" s="1">
        <f ca="1">IF(E122=0,0,(MIN(H110:H121)*B65)/(B55*B56*E122))</f>
        <v>-14.289076729108606</v>
      </c>
      <c r="C169" s="3">
        <f ca="1">A169+B169</f>
        <v>-2.1194125210399761E-7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5.6239117377785568E-8</v>
      </c>
      <c r="C175" s="27">
        <f>B65*SQRT(I175)</f>
        <v>8.9828286713980596E-8</v>
      </c>
      <c r="D175" s="27">
        <f>B66*SQRT(I175)</f>
        <v>2.1194125529722138E-7</v>
      </c>
      <c r="E175" s="27">
        <f>B67*SQRT(I175)</f>
        <v>7.7961827657622988E-7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3.7916405763548333</v>
      </c>
      <c r="C176" s="3">
        <f>B65+C175</f>
        <v>6.0562219446157268</v>
      </c>
      <c r="D176" s="3">
        <f>D175+B66</f>
        <v>14.28907672910861</v>
      </c>
      <c r="E176" s="3">
        <f>B67+E175</f>
        <v>52.561854263770677</v>
      </c>
      <c r="F176" s="16" t="s">
        <v>125</v>
      </c>
    </row>
    <row r="177" spans="1:13" x14ac:dyDescent="0.25">
      <c r="B177" s="27">
        <f>B176-B64</f>
        <v>5.6239117363077185E-8</v>
      </c>
      <c r="C177" s="27">
        <f>C176-B65</f>
        <v>8.9828287030968568E-8</v>
      </c>
      <c r="D177" s="27">
        <f>D176-B66</f>
        <v>2.1194125565671129E-7</v>
      </c>
      <c r="E177" s="27">
        <f>E176-B67</f>
        <v>7.7961827571471076E-7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-12.529403080503338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-9.8089553826581106</v>
      </c>
      <c r="B181" s="25">
        <f>(d_alpha_p!E136-d_alpha_m!E136)/(2*B177)</f>
        <v>-9.8089553826581106</v>
      </c>
      <c r="C181" s="25">
        <f>(d_alpha_p!E137-d_alpha_m!E137)/(2*B177)</f>
        <v>-9.8089553826581106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-2.6554975596226882E-6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4.22410698774911E-6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5.8367493238620227E-6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2.1194125210399761E-7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-12.529403080503338</v>
      </c>
      <c r="B190" s="25">
        <f>A181</f>
        <v>-9.8089553826581106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-9.8089553826581106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-9.8089553826581106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-12.529403080503338</v>
      </c>
      <c r="B201" s="25">
        <f t="shared" ref="B201:C201" si="77">B190</f>
        <v>-9.8089553826581106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-9.8089553826581106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-9.8089553826581106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1200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2.6239067055393579</v>
      </c>
      <c r="J3" t="s">
        <v>11</v>
      </c>
    </row>
    <row r="4" spans="1:29" x14ac:dyDescent="0.25">
      <c r="A4" s="10" t="s">
        <v>80</v>
      </c>
      <c r="B4" s="17">
        <f>'Rigid Bearing Plate Analysis'!B4</f>
        <v>1200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2.6239067055393579</v>
      </c>
      <c r="J4" t="s">
        <v>11</v>
      </c>
    </row>
    <row r="5" spans="1:29" x14ac:dyDescent="0.25">
      <c r="A5" s="10" t="s">
        <v>104</v>
      </c>
      <c r="B5" s="20">
        <f>ATAN2(B3,B4)</f>
        <v>0.78539816339744828</v>
      </c>
      <c r="C5" t="s">
        <v>19</v>
      </c>
      <c r="I5">
        <f>SUM(I2:I4)</f>
        <v>5.2478134110787158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-2.6239067055393579</v>
      </c>
      <c r="AB14">
        <f>$B$4/Z14</f>
        <v>2.6239067055393579</v>
      </c>
      <c r="AC14">
        <f>$I$2+AA14+AB14</f>
        <v>0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2.6239067055393579</v>
      </c>
      <c r="AB15">
        <f t="shared" ref="AB15:AB21" si="11">$B$4/Z15</f>
        <v>2.6239067055393579</v>
      </c>
      <c r="AC15">
        <f t="shared" ref="AC15:AC20" si="12">$I$2+AA15+AB15</f>
        <v>5.2478134110787158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2.6239067055393579</v>
      </c>
      <c r="AB16">
        <f t="shared" si="11"/>
        <v>-2.6239067055393579</v>
      </c>
      <c r="AC16">
        <f t="shared" si="12"/>
        <v>0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-2.6239067055393579</v>
      </c>
      <c r="AB17">
        <f t="shared" si="11"/>
        <v>-2.6239067055393579</v>
      </c>
      <c r="AC17">
        <f t="shared" si="12"/>
        <v>-5.2478134110787158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-2.6239067055393579</v>
      </c>
      <c r="AB18">
        <f t="shared" si="11"/>
        <v>-2.6239067055393579</v>
      </c>
      <c r="AC18">
        <f t="shared" si="12"/>
        <v>-5.2478134110787158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-2.6239067055393579</v>
      </c>
      <c r="AB19">
        <f t="shared" si="11"/>
        <v>-2.6239067055393579</v>
      </c>
      <c r="AC19">
        <f t="shared" si="12"/>
        <v>-5.2478134110787158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-2.6239067055393579</v>
      </c>
      <c r="AB20">
        <f t="shared" si="11"/>
        <v>-2.6239067055393579</v>
      </c>
      <c r="AC20">
        <f t="shared" si="12"/>
        <v>-5.2478134110787158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-2.6239067055393579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3.791640520115716</v>
      </c>
      <c r="C64" t="s">
        <v>19</v>
      </c>
      <c r="D64" t="s">
        <v>34</v>
      </c>
      <c r="H64" s="17">
        <f>DEGREES(B64)</f>
        <v>217.24499923341884</v>
      </c>
      <c r="I64" t="s">
        <v>41</v>
      </c>
    </row>
    <row r="65" spans="1:18" x14ac:dyDescent="0.25">
      <c r="A65" s="1" t="s">
        <v>40</v>
      </c>
      <c r="B65" s="17">
        <f>'Rigid Bearing Plate Analysis'!B65</f>
        <v>6.0562218547874398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14.289076517167354</v>
      </c>
      <c r="C66" t="s">
        <v>11</v>
      </c>
      <c r="D66">
        <f>B66/B53</f>
        <v>3.5071409191529401E-3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52.561851924915878</v>
      </c>
      <c r="C67" t="s">
        <v>36</v>
      </c>
      <c r="D67" t="s">
        <v>122</v>
      </c>
      <c r="G67" s="20">
        <f ca="1">($B$56*$B$66*$B$55*$E$122)/$B$65</f>
        <v>52.561852704534139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-7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-7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-7</v>
      </c>
      <c r="J75" s="4">
        <f t="shared" si="20"/>
        <v>-7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-7</v>
      </c>
      <c r="J76" s="4">
        <f t="shared" si="20"/>
        <v>-7</v>
      </c>
      <c r="Q76" cm="1">
        <f t="array" ref="Q76">(-1*MAX(ABS(B84:C91)))-1</f>
        <v>-10.808955381923568</v>
      </c>
      <c r="R76">
        <f>Q76</f>
        <v>-10.808955381923568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-7</v>
      </c>
      <c r="J77" s="4">
        <f t="shared" si="20"/>
        <v>-7</v>
      </c>
      <c r="Q77">
        <f>-1*Q76</f>
        <v>10.808955381923568</v>
      </c>
      <c r="R77">
        <f>Q77</f>
        <v>10.808955381923568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-7</v>
      </c>
      <c r="J78" s="4">
        <f t="shared" si="20"/>
        <v>-7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-7</v>
      </c>
      <c r="J79" s="4">
        <f t="shared" si="20"/>
        <v>-7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-7</v>
      </c>
      <c r="J80" s="4">
        <f t="shared" si="20"/>
        <v>-7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-7</v>
      </c>
      <c r="J81" s="4">
        <f t="shared" si="20"/>
        <v>-7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9.8089553819235675</v>
      </c>
      <c r="C84" s="1">
        <f t="shared" ref="C84:C92" si="23">(-1*B73*SIN($B$64))+(C73*COS($B$64))</f>
        <v>1.3358122306045388</v>
      </c>
      <c r="H84" s="1">
        <f t="shared" ref="H84:H92" si="24">H73</f>
        <v>1</v>
      </c>
      <c r="I84" s="4">
        <f>(I73*COS($B$64))+(J73*SIN($B$64))</f>
        <v>9.8089553819235675</v>
      </c>
      <c r="J84" s="1">
        <f>(-1*I73*SIN($B$64))+(J73*COS($B$64))</f>
        <v>1.3358122306045388</v>
      </c>
    </row>
    <row r="85" spans="1:10" x14ac:dyDescent="0.25">
      <c r="A85" s="1">
        <f t="shared" si="21"/>
        <v>2</v>
      </c>
      <c r="B85" s="4">
        <f t="shared" si="22"/>
        <v>-1.3358122306045388</v>
      </c>
      <c r="C85" s="1">
        <f t="shared" si="23"/>
        <v>9.8089553819235675</v>
      </c>
      <c r="H85" s="1">
        <f t="shared" si="24"/>
        <v>2</v>
      </c>
      <c r="I85" s="4">
        <f t="shared" ref="I85:I92" si="25">(I74*COS($B$64))+(J74*SIN($B$64))</f>
        <v>9.8089553819235675</v>
      </c>
      <c r="J85" s="1">
        <f t="shared" ref="J85:J92" si="26">(-1*I74*SIN($B$64))+(J74*COS($B$64))</f>
        <v>1.3358122306045388</v>
      </c>
    </row>
    <row r="86" spans="1:10" x14ac:dyDescent="0.25">
      <c r="A86" s="1">
        <f t="shared" si="21"/>
        <v>3</v>
      </c>
      <c r="B86" s="4">
        <f t="shared" si="22"/>
        <v>-9.8089553819235675</v>
      </c>
      <c r="C86" s="1">
        <f t="shared" si="23"/>
        <v>-1.3358122306045388</v>
      </c>
      <c r="H86" s="1">
        <f t="shared" si="24"/>
        <v>3</v>
      </c>
      <c r="I86" s="4">
        <f t="shared" si="25"/>
        <v>9.8089553819235675</v>
      </c>
      <c r="J86" s="1">
        <f t="shared" si="26"/>
        <v>1.3358122306045388</v>
      </c>
    </row>
    <row r="87" spans="1:10" x14ac:dyDescent="0.25">
      <c r="A87" s="1">
        <f t="shared" si="21"/>
        <v>4</v>
      </c>
      <c r="B87" s="4">
        <f t="shared" si="22"/>
        <v>1.3358122306045388</v>
      </c>
      <c r="C87" s="1">
        <f t="shared" si="23"/>
        <v>-9.8089553819235675</v>
      </c>
      <c r="H87" s="1">
        <f t="shared" si="24"/>
        <v>4</v>
      </c>
      <c r="I87" s="4">
        <f t="shared" si="25"/>
        <v>9.8089553819235675</v>
      </c>
      <c r="J87" s="1">
        <f t="shared" si="26"/>
        <v>1.3358122306045388</v>
      </c>
    </row>
    <row r="88" spans="1:10" x14ac:dyDescent="0.25">
      <c r="A88" s="1">
        <f t="shared" si="21"/>
        <v>5</v>
      </c>
      <c r="B88" s="4">
        <f t="shared" si="22"/>
        <v>9.8089553819235675</v>
      </c>
      <c r="C88" s="1">
        <f t="shared" si="23"/>
        <v>1.3358122306045388</v>
      </c>
      <c r="H88" s="1">
        <f t="shared" si="24"/>
        <v>5</v>
      </c>
      <c r="I88" s="4">
        <f t="shared" si="25"/>
        <v>9.8089553819235675</v>
      </c>
      <c r="J88" s="1">
        <f t="shared" si="26"/>
        <v>1.3358122306045388</v>
      </c>
    </row>
    <row r="89" spans="1:10" x14ac:dyDescent="0.25">
      <c r="A89" s="1">
        <f t="shared" si="21"/>
        <v>6</v>
      </c>
      <c r="B89" s="4">
        <f t="shared" si="22"/>
        <v>9.8089553819235675</v>
      </c>
      <c r="C89" s="1">
        <f t="shared" si="23"/>
        <v>1.3358122306045388</v>
      </c>
      <c r="H89" s="1">
        <f t="shared" si="24"/>
        <v>6</v>
      </c>
      <c r="I89" s="4">
        <f t="shared" si="25"/>
        <v>9.8089553819235675</v>
      </c>
      <c r="J89" s="1">
        <f t="shared" si="26"/>
        <v>1.3358122306045388</v>
      </c>
    </row>
    <row r="90" spans="1:10" x14ac:dyDescent="0.25">
      <c r="A90" s="1">
        <f t="shared" si="21"/>
        <v>7</v>
      </c>
      <c r="B90" s="4">
        <f t="shared" si="22"/>
        <v>9.8089553819235675</v>
      </c>
      <c r="C90" s="1">
        <f t="shared" si="23"/>
        <v>1.3358122306045388</v>
      </c>
      <c r="H90" s="1">
        <f t="shared" si="24"/>
        <v>7</v>
      </c>
      <c r="I90" s="4">
        <f t="shared" si="25"/>
        <v>9.8089553819235675</v>
      </c>
      <c r="J90" s="1">
        <f t="shared" si="26"/>
        <v>1.3358122306045388</v>
      </c>
    </row>
    <row r="91" spans="1:10" x14ac:dyDescent="0.25">
      <c r="A91" s="1">
        <f t="shared" si="21"/>
        <v>8</v>
      </c>
      <c r="B91" s="4">
        <f t="shared" si="22"/>
        <v>9.8089553819235675</v>
      </c>
      <c r="C91" s="1">
        <f t="shared" si="23"/>
        <v>1.3358122306045388</v>
      </c>
      <c r="H91" s="1">
        <f t="shared" si="24"/>
        <v>8</v>
      </c>
      <c r="I91" s="4">
        <f t="shared" si="25"/>
        <v>9.8089553819235675</v>
      </c>
      <c r="J91" s="1">
        <f t="shared" si="26"/>
        <v>1.3358122306045388</v>
      </c>
    </row>
    <row r="92" spans="1:10" x14ac:dyDescent="0.25">
      <c r="A92" s="1">
        <f t="shared" si="21"/>
        <v>9</v>
      </c>
      <c r="B92" s="4">
        <f t="shared" si="22"/>
        <v>9.8089553819235675</v>
      </c>
      <c r="C92" s="1">
        <f t="shared" si="23"/>
        <v>1.3358122306045388</v>
      </c>
      <c r="H92" s="1">
        <f t="shared" si="24"/>
        <v>9</v>
      </c>
      <c r="I92" s="4">
        <f t="shared" si="25"/>
        <v>9.8089553819235675</v>
      </c>
      <c r="J92" s="1">
        <f t="shared" si="26"/>
        <v>1.3358122306045388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5.6051173610991816</v>
      </c>
      <c r="C110" s="1">
        <f>(-1*B95*SIN($B$64))+(C95*COS($B$64))</f>
        <v>0.76332127463116528</v>
      </c>
      <c r="D110" t="str">
        <f t="shared" ref="D110" si="31">D95</f>
        <v>y</v>
      </c>
      <c r="E110" s="4">
        <f t="shared" ref="E110:E121" si="32">IF($D110="y",$B$125-C110,0)</f>
        <v>2.9894122525049625</v>
      </c>
      <c r="F110" s="1">
        <f>IF($D110="y",B110,NA())</f>
        <v>5.6051173610991816</v>
      </c>
      <c r="G110" s="1">
        <f>IF($D110="y",C110,NA())</f>
        <v>0.76332127463116528</v>
      </c>
      <c r="H110">
        <f t="shared" ref="H110:H121" si="33">IF($E$122=0,0,-1*MAX(($B$67/$E$122)*(E110),0))</f>
        <v>-16.79114638984446</v>
      </c>
      <c r="I110">
        <f>H110*C110</f>
        <v>-12.817039264814563</v>
      </c>
      <c r="J110">
        <f>H110*B110*-1</f>
        <v>94.116346142475024</v>
      </c>
      <c r="K110">
        <f ca="1">H110/$B$55</f>
        <v>-50.2036440861703</v>
      </c>
      <c r="L110">
        <f ca="1">K110/$B$54</f>
        <v>-1.7311601409024241E-3</v>
      </c>
      <c r="M110">
        <f t="shared" ref="M110:M121" si="34">IFERROR(($D$66/$B$65)*(G110-$B$125),0)</f>
        <v>-1.7311601665796787E-3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-0.76332127463116528</v>
      </c>
      <c r="C111" s="1">
        <f t="shared" ref="C111:C121" si="37">(-1*B96*SIN($B$64))+(C96*COS($B$64))</f>
        <v>5.6051173610991816</v>
      </c>
      <c r="D111" t="str">
        <f t="shared" si="35"/>
        <v>y</v>
      </c>
      <c r="E111" s="4">
        <f t="shared" si="32"/>
        <v>-1.8523838339630538</v>
      </c>
      <c r="F111" s="1">
        <f t="shared" ref="F111:G121" si="38">IF($D111="y",B111,NA())</f>
        <v>-0.76332127463116528</v>
      </c>
      <c r="G111" s="1">
        <f t="shared" si="38"/>
        <v>5.6051173610991816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1.072710230543106E-3</v>
      </c>
      <c r="N111">
        <f t="shared" ref="N111:N121" si="42">IF(AND(M111&gt;0,D111="y",$E$60="y"),$B$53*M111*$E$59,0)</f>
        <v>2.2660526107260983</v>
      </c>
      <c r="O111">
        <f t="shared" ref="O111:O121" si="43">N111*C111</f>
        <v>12.70149082954498</v>
      </c>
      <c r="P111">
        <f t="shared" ref="P111:P121" si="44">N111*B111*-1</f>
        <v>1.7297261672007251</v>
      </c>
    </row>
    <row r="112" spans="1:16" x14ac:dyDescent="0.25">
      <c r="A112">
        <f t="shared" si="35"/>
        <v>3</v>
      </c>
      <c r="B112" s="1">
        <f t="shared" si="36"/>
        <v>0.76332127463116528</v>
      </c>
      <c r="C112" s="1">
        <f t="shared" si="37"/>
        <v>-5.6051173610991816</v>
      </c>
      <c r="D112" t="str">
        <f t="shared" si="35"/>
        <v>y</v>
      </c>
      <c r="E112" s="4">
        <f t="shared" si="32"/>
        <v>9.3578508882353084</v>
      </c>
      <c r="F112" s="1">
        <f t="shared" si="38"/>
        <v>0.76332127463116528</v>
      </c>
      <c r="G112" s="1">
        <f t="shared" si="38"/>
        <v>-5.6051173610991816</v>
      </c>
      <c r="H112">
        <f t="shared" si="33"/>
        <v>-52.561851924915878</v>
      </c>
      <c r="I112">
        <f t="shared" si="39"/>
        <v>294.6153487558704</v>
      </c>
      <c r="J112">
        <f t="shared" si="40"/>
        <v>40.121579808301355</v>
      </c>
      <c r="K112">
        <f t="shared" ref="K112:K121" ca="1" si="45">H112/$B$55</f>
        <v>-157.15404090243928</v>
      </c>
      <c r="L112">
        <f t="shared" ca="1" si="41"/>
        <v>-5.4191048587048027E-3</v>
      </c>
      <c r="M112">
        <f t="shared" si="34"/>
        <v>-5.4191049390831178E-3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-5.6051173610991816</v>
      </c>
      <c r="C113" s="1">
        <f t="shared" si="37"/>
        <v>-0.76332127463116528</v>
      </c>
      <c r="D113" t="str">
        <f t="shared" si="35"/>
        <v>y</v>
      </c>
      <c r="E113" s="4">
        <f t="shared" si="32"/>
        <v>4.516054801767293</v>
      </c>
      <c r="F113" s="1">
        <f t="shared" si="38"/>
        <v>-5.6051173610991816</v>
      </c>
      <c r="G113" s="1">
        <f t="shared" si="38"/>
        <v>-0.76332127463116528</v>
      </c>
      <c r="H113">
        <f t="shared" si="33"/>
        <v>-25.366102389355461</v>
      </c>
      <c r="I113">
        <f t="shared" si="39"/>
        <v>19.362485608267459</v>
      </c>
      <c r="J113">
        <f t="shared" si="40"/>
        <v>-142.17998088599572</v>
      </c>
      <c r="K113">
        <f t="shared" ca="1" si="45"/>
        <v>-75.841800591933975</v>
      </c>
      <c r="L113">
        <f t="shared" ca="1" si="41"/>
        <v>-2.6152345031701372E-3</v>
      </c>
      <c r="M113">
        <f t="shared" si="34"/>
        <v>-2.6152345419603335E-3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4.0920560840779263</v>
      </c>
      <c r="C114" s="1">
        <f t="shared" si="37"/>
        <v>-1.2268157990345681</v>
      </c>
      <c r="D114" t="str">
        <f t="shared" si="35"/>
        <v>y</v>
      </c>
      <c r="E114" s="4">
        <f t="shared" si="32"/>
        <v>4.9795493261706962</v>
      </c>
      <c r="F114" s="1">
        <f t="shared" si="38"/>
        <v>4.0920560840779263</v>
      </c>
      <c r="G114" s="1">
        <f t="shared" si="38"/>
        <v>-1.2268157990345681</v>
      </c>
      <c r="H114">
        <f t="shared" si="33"/>
        <v>-27.969491869554282</v>
      </c>
      <c r="I114">
        <f t="shared" si="39"/>
        <v>34.313414516538089</v>
      </c>
      <c r="J114">
        <f t="shared" si="40"/>
        <v>114.45272937337769</v>
      </c>
      <c r="K114">
        <f t="shared" ca="1" si="45"/>
        <v>-83.625643091254375</v>
      </c>
      <c r="L114">
        <f t="shared" ca="1" si="41"/>
        <v>-2.8836428652156683E-3</v>
      </c>
      <c r="M114">
        <f t="shared" si="34"/>
        <v>-2.8836429079870038E-3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-2.2763825516524205</v>
      </c>
      <c r="C115" s="1">
        <f t="shared" si="37"/>
        <v>3.6149802874334482</v>
      </c>
      <c r="D115" t="str">
        <f t="shared" si="35"/>
        <v>y</v>
      </c>
      <c r="E115" s="4">
        <f t="shared" si="32"/>
        <v>0.1377532397026795</v>
      </c>
      <c r="F115" s="1">
        <f t="shared" si="38"/>
        <v>-2.2763825516524205</v>
      </c>
      <c r="G115" s="1">
        <f t="shared" si="38"/>
        <v>3.6149802874334482</v>
      </c>
      <c r="H115">
        <f t="shared" si="33"/>
        <v>-0.77374233399385772</v>
      </c>
      <c r="I115">
        <f t="shared" si="39"/>
        <v>-2.7970632849405428</v>
      </c>
      <c r="J115">
        <f t="shared" si="40"/>
        <v>-1.7613335485784372</v>
      </c>
      <c r="K115">
        <f t="shared" ca="1" si="45"/>
        <v>-2.3134027807490378</v>
      </c>
      <c r="L115">
        <f t="shared" ca="1" si="41"/>
        <v>-7.977250968100131E-5</v>
      </c>
      <c r="M115">
        <f t="shared" si="34"/>
        <v>-7.9772510864218842E-5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2.2763825516524205</v>
      </c>
      <c r="C116" s="1">
        <f t="shared" si="37"/>
        <v>-3.6149802874334482</v>
      </c>
      <c r="D116" t="str">
        <f t="shared" si="35"/>
        <v>y</v>
      </c>
      <c r="E116" s="4">
        <f t="shared" si="32"/>
        <v>7.3677138145695764</v>
      </c>
      <c r="F116" s="1">
        <f t="shared" si="38"/>
        <v>2.2763825516524205</v>
      </c>
      <c r="G116" s="1">
        <f t="shared" si="38"/>
        <v>-3.6149802874334482</v>
      </c>
      <c r="H116">
        <f t="shared" si="33"/>
        <v>-41.383506445206066</v>
      </c>
      <c r="I116">
        <f t="shared" si="39"/>
        <v>149.60056002429499</v>
      </c>
      <c r="J116">
        <f t="shared" si="40"/>
        <v>94.204691998062572</v>
      </c>
      <c r="K116">
        <f t="shared" ca="1" si="45"/>
        <v>-123.73204189735524</v>
      </c>
      <c r="L116">
        <f t="shared" ca="1" si="41"/>
        <v>-4.2666221343915598E-3</v>
      </c>
      <c r="M116">
        <f t="shared" si="34"/>
        <v>-4.2666221976757936E-3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-4.0920560840779263</v>
      </c>
      <c r="C117" s="1">
        <f t="shared" si="37"/>
        <v>1.2268157990345681</v>
      </c>
      <c r="D117" t="str">
        <f t="shared" si="35"/>
        <v>y</v>
      </c>
      <c r="E117" s="4">
        <f t="shared" si="32"/>
        <v>2.5259177281015597</v>
      </c>
      <c r="F117" s="1">
        <f t="shared" si="38"/>
        <v>-4.0920560840779263</v>
      </c>
      <c r="G117" s="1">
        <f t="shared" si="38"/>
        <v>1.2268157990345681</v>
      </c>
      <c r="H117">
        <f t="shared" si="33"/>
        <v>-14.187756909645643</v>
      </c>
      <c r="I117">
        <f t="shared" si="39"/>
        <v>-17.405764329615135</v>
      </c>
      <c r="J117">
        <f t="shared" si="40"/>
        <v>-58.057096981534087</v>
      </c>
      <c r="K117">
        <f t="shared" ca="1" si="45"/>
        <v>-42.419801586849921</v>
      </c>
      <c r="L117">
        <f t="shared" ca="1" si="41"/>
        <v>-1.4627517788568939E-3</v>
      </c>
      <c r="M117">
        <f t="shared" si="34"/>
        <v>-1.4627518005530086E-3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9.8089553819235675</v>
      </c>
      <c r="C118" s="1">
        <f t="shared" si="37"/>
        <v>1.3358122306045388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9.8089553819235675</v>
      </c>
      <c r="C119" s="1">
        <f t="shared" si="37"/>
        <v>1.3358122306045388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9.8089553819235675</v>
      </c>
      <c r="C120" s="1">
        <f t="shared" si="37"/>
        <v>1.3358122306045388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9.8089553819235675</v>
      </c>
      <c r="C121" s="1">
        <f t="shared" si="37"/>
        <v>1.3358122306045388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9.3578508882353084</v>
      </c>
      <c r="H122">
        <f>SUM(H110:H121)</f>
        <v>-179.03359826251568</v>
      </c>
      <c r="I122">
        <f t="shared" ref="I122:J122" si="46">SUM(I110:I121)</f>
        <v>464.87194202560073</v>
      </c>
      <c r="J122">
        <f t="shared" si="46"/>
        <v>140.89693590610841</v>
      </c>
      <c r="L122">
        <f ca="1">MIN(L110:L121)</f>
        <v>-5.4191048587048027E-3</v>
      </c>
      <c r="M122">
        <f>MIN(M110:M121)</f>
        <v>-5.4191049390831178E-3</v>
      </c>
      <c r="N122">
        <f>SUM(N110:N121)</f>
        <v>2.2660526107260983</v>
      </c>
      <c r="O122">
        <f>SUM(O110:O121)</f>
        <v>12.70149082954498</v>
      </c>
      <c r="P122">
        <f>SUM(P110:P121)</f>
        <v>1.7297261672007251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3.7527335271361277</v>
      </c>
      <c r="F125" s="1" t="s">
        <v>27</v>
      </c>
      <c r="G125" s="1" t="s">
        <v>28</v>
      </c>
    </row>
    <row r="126" spans="1:16" x14ac:dyDescent="0.25">
      <c r="F126" s="4">
        <f>MIN(B84:B90)-1</f>
        <v>-10.808955381923568</v>
      </c>
      <c r="G126" s="4">
        <f>B125</f>
        <v>3.7527335271361277</v>
      </c>
    </row>
    <row r="127" spans="1:16" x14ac:dyDescent="0.25">
      <c r="F127" s="4">
        <f>MAX(B84:B90)+1</f>
        <v>10.808955381923568</v>
      </c>
      <c r="G127" s="4">
        <f>G126</f>
        <v>3.7527335271361277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9.8089553819235675</v>
      </c>
      <c r="C132" s="4">
        <f>C84</f>
        <v>1.3358122306045388</v>
      </c>
      <c r="D132" s="4">
        <f t="shared" ref="D132:E139" si="47">B85</f>
        <v>-1.3358122306045388</v>
      </c>
      <c r="E132" s="4">
        <f t="shared" si="47"/>
        <v>9.8089553819235675</v>
      </c>
      <c r="F132" s="4">
        <f t="shared" ref="F132:F139" si="48">($B$66/$B$65)*(C132-$B$125)</f>
        <v>-5.7024947517090787</v>
      </c>
      <c r="G132" s="4">
        <f t="shared" ref="G132:G139" si="49">($B$66/$B$65)*(E132-$B$125)</f>
        <v>14.289076517167352</v>
      </c>
      <c r="H132" s="4">
        <f>IF(B132=D132,"V",(C132-E132)/(B132-D132))</f>
        <v>-0.76027993098700064</v>
      </c>
      <c r="I132" s="4">
        <f>IF(H132="V",0,(-1*B132*H132)+C132)</f>
        <v>8.7933641514279568</v>
      </c>
      <c r="J132" s="4">
        <f>IF($F132&gt;=0,B132,IF(AND($F132&lt;0,$G132&gt;=0),IF(H132="V",B132,($B$125-I132)/H132),0))</f>
        <v>6.629966698907924</v>
      </c>
      <c r="K132" s="4">
        <f>IF($F132&gt;=0,C132,IF(AND($F132&lt;0,$G132&gt;=0),$B$125,0))</f>
        <v>3.7527335271361277</v>
      </c>
      <c r="L132" s="4">
        <f>IF($G132&gt;=0,D132,IF(AND($G132&lt;0,$F132&gt;=0),IF(H132="V",D132,($B$125-I132)/H132),0))</f>
        <v>-1.3358122306045388</v>
      </c>
      <c r="M132" s="4">
        <f>IF($G132&gt;=0,E132,IF(AND($G132&lt;0,$F132&gt;=0),$B$125,0))</f>
        <v>9.8089553819235675</v>
      </c>
      <c r="N132" s="4">
        <f>IF(F132&lt;0,0,F132)</f>
        <v>0</v>
      </c>
      <c r="O132" s="4">
        <f>IF(G132&lt;0,0,G132)</f>
        <v>14.289076517167352</v>
      </c>
      <c r="P132" s="4">
        <f>(1/6)*(M132-K132)*((N132*((2*J132)+L132))+(O132*(J132+(2*L132))))</f>
        <v>57.091049686836648</v>
      </c>
      <c r="Q132" s="4">
        <f>((1/12)*(M132-K132)*(N132*J132*((3*K132)+M132)+N132*L132*(K132+M132)+O132*J132*(K132+M132)+O132*L132*(K132+(3*M132))))</f>
        <v>328.78479438118592</v>
      </c>
      <c r="R132" s="4">
        <f>((-1/24)*(M132-K132)*(J132*J132*((3*N132)+O132)+2*J132*L132*(N132+O132)+L132*L132*(N132+(3*O132))))</f>
        <v>-113.93013825679809</v>
      </c>
    </row>
    <row r="133" spans="1:18" x14ac:dyDescent="0.25">
      <c r="A133" t="s">
        <v>70</v>
      </c>
      <c r="B133" s="4">
        <f t="shared" ref="B133:C138" si="50">D132</f>
        <v>-1.3358122306045388</v>
      </c>
      <c r="C133" s="4">
        <f t="shared" si="50"/>
        <v>9.8089553819235675</v>
      </c>
      <c r="D133" s="4">
        <f t="shared" si="47"/>
        <v>-9.8089553819235675</v>
      </c>
      <c r="E133" s="4">
        <f t="shared" si="47"/>
        <v>-1.3358122306045388</v>
      </c>
      <c r="F133" s="4">
        <f t="shared" si="48"/>
        <v>14.289076517167352</v>
      </c>
      <c r="G133" s="4">
        <f t="shared" si="49"/>
        <v>-12.005937271929033</v>
      </c>
      <c r="H133" s="4">
        <f t="shared" ref="H133:H139" si="51">IF(B133=D133,"V",(C133-E133)/(B133-D133))</f>
        <v>1.315305007067322</v>
      </c>
      <c r="I133" s="4">
        <f t="shared" ref="I133:I139" si="52">IF(H133="V",0,(-1*B133*H133)+C133)</f>
        <v>11.565955897339485</v>
      </c>
      <c r="J133" s="4">
        <f t="shared" ref="J133:J139" si="53">IF($F133&gt;=0,B133,IF(AND($F133&lt;0,$G133&gt;=0),IF(H133="V",B133,($B$125-I133)/H133),0))</f>
        <v>-1.3358122306045388</v>
      </c>
      <c r="K133" s="4">
        <f t="shared" ref="K133:K139" si="54">IF($F133&gt;=0,C133,IF(AND($F133&lt;0,$G133&gt;=0),$B$125,0))</f>
        <v>9.8089553819235675</v>
      </c>
      <c r="L133" s="4">
        <f t="shared" ref="L133:L139" si="55">IF($G133&gt;=0,D133,IF(AND($G133&lt;0,$F133&gt;=0),IF(H133="V",D133,($B$125-I133)/H133),0))</f>
        <v>-5.9402361644042987</v>
      </c>
      <c r="M133" s="4">
        <f t="shared" ref="M133:M139" si="56">IF($G133&gt;=0,E133,IF(AND($G133&lt;0,$F133&gt;=0),$B$125,0))</f>
        <v>3.7527335271361277</v>
      </c>
      <c r="N133" s="4">
        <f t="shared" ref="N133:O139" si="57">IF(F133&lt;0,0,F133)</f>
        <v>14.289076517167352</v>
      </c>
      <c r="O133" s="4">
        <f t="shared" si="57"/>
        <v>0</v>
      </c>
      <c r="P133" s="4">
        <f t="shared" ref="P133:P139" si="58">(1/6)*(M133-K133)*((N133*((2*J133)+L133))+(O133*(J133+(2*L133))))</f>
        <v>124.20860384190239</v>
      </c>
      <c r="Q133" s="4">
        <f t="shared" ref="Q133:Q139" si="59">((1/12)*(M133-K133)*(N133*J133*((3*K133)+M133)+N133*L133*(K133+M133)+O133*J133*(K133+M133)+O133*L133*(K133+(3*M133))))</f>
        <v>900.57995585734693</v>
      </c>
      <c r="R133" s="4">
        <f t="shared" ref="R133:R139" si="60">((-1/24)*(M133-K133)*(J133*J133*((3*N133)+O133)+2*J133*L133*(N133+O133)+L133*L133*(N133+(3*O133))))</f>
        <v>203.75930881740078</v>
      </c>
    </row>
    <row r="134" spans="1:18" x14ac:dyDescent="0.25">
      <c r="A134" t="s">
        <v>71</v>
      </c>
      <c r="B134" s="4">
        <f t="shared" si="50"/>
        <v>-9.8089553819235675</v>
      </c>
      <c r="C134" s="4">
        <f t="shared" si="50"/>
        <v>-1.3358122306045388</v>
      </c>
      <c r="D134" s="4">
        <f t="shared" si="47"/>
        <v>1.3358122306045388</v>
      </c>
      <c r="E134" s="4">
        <f t="shared" si="47"/>
        <v>-9.8089553819235675</v>
      </c>
      <c r="F134" s="4">
        <f t="shared" si="48"/>
        <v>-12.005937271929033</v>
      </c>
      <c r="G134" s="4">
        <f t="shared" si="49"/>
        <v>-31.997508540805466</v>
      </c>
      <c r="H134" s="4">
        <f t="shared" si="51"/>
        <v>-0.76027993098700064</v>
      </c>
      <c r="I134" s="4">
        <f t="shared" si="52"/>
        <v>-8.7933641514279568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1.3358122306045388</v>
      </c>
      <c r="C135" s="4">
        <f t="shared" si="50"/>
        <v>-9.8089553819235675</v>
      </c>
      <c r="D135" s="4">
        <f t="shared" si="47"/>
        <v>9.8089553819235675</v>
      </c>
      <c r="E135" s="4">
        <f t="shared" si="47"/>
        <v>1.3358122306045388</v>
      </c>
      <c r="F135" s="4">
        <f t="shared" si="48"/>
        <v>-31.997508540805466</v>
      </c>
      <c r="G135" s="4">
        <f t="shared" si="49"/>
        <v>-5.7024947517090787</v>
      </c>
      <c r="H135" s="4">
        <f t="shared" si="51"/>
        <v>1.315305007067322</v>
      </c>
      <c r="I135" s="4">
        <f t="shared" si="52"/>
        <v>-11.565955897339485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9.8089553819235675</v>
      </c>
      <c r="C136" s="4">
        <f t="shared" si="50"/>
        <v>1.3358122306045388</v>
      </c>
      <c r="D136" s="4">
        <f t="shared" si="47"/>
        <v>9.8089553819235675</v>
      </c>
      <c r="E136" s="4">
        <f t="shared" si="47"/>
        <v>1.3358122306045388</v>
      </c>
      <c r="F136" s="4">
        <f t="shared" si="48"/>
        <v>-5.7024947517090787</v>
      </c>
      <c r="G136" s="4">
        <f t="shared" si="49"/>
        <v>-5.7024947517090787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9.8089553819235675</v>
      </c>
      <c r="C137" s="4">
        <f t="shared" si="50"/>
        <v>1.3358122306045388</v>
      </c>
      <c r="D137" s="4">
        <f t="shared" si="47"/>
        <v>9.8089553819235675</v>
      </c>
      <c r="E137" s="4">
        <f t="shared" si="47"/>
        <v>1.3358122306045388</v>
      </c>
      <c r="F137" s="4">
        <f t="shared" si="48"/>
        <v>-5.7024947517090787</v>
      </c>
      <c r="G137" s="4">
        <f t="shared" si="49"/>
        <v>-5.7024947517090787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9.8089553819235675</v>
      </c>
      <c r="C138" s="4">
        <f t="shared" si="50"/>
        <v>1.3358122306045388</v>
      </c>
      <c r="D138" s="4">
        <f t="shared" si="47"/>
        <v>9.8089553819235675</v>
      </c>
      <c r="E138" s="4">
        <f t="shared" si="47"/>
        <v>1.3358122306045388</v>
      </c>
      <c r="F138" s="4">
        <f t="shared" si="48"/>
        <v>-5.7024947517090787</v>
      </c>
      <c r="G138" s="4">
        <f t="shared" si="49"/>
        <v>-5.7024947517090787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9.8089553819235675</v>
      </c>
      <c r="C139" s="4">
        <f>E138</f>
        <v>1.3358122306045388</v>
      </c>
      <c r="D139" s="4">
        <f t="shared" si="47"/>
        <v>9.8089553819235675</v>
      </c>
      <c r="E139" s="4">
        <f t="shared" si="47"/>
        <v>1.3358122306045388</v>
      </c>
      <c r="F139" s="4">
        <f t="shared" si="48"/>
        <v>-5.7024947517090787</v>
      </c>
      <c r="G139" s="4">
        <f t="shared" si="49"/>
        <v>-5.7024947517090787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181.29965352873904</v>
      </c>
      <c r="Q140" s="4">
        <f>SUM(Q132:Q139)</f>
        <v>1229.3647502385329</v>
      </c>
      <c r="R140" s="4">
        <f>SUM(R132:R139)</f>
        <v>89.829170560602691</v>
      </c>
    </row>
    <row r="142" spans="1:18" x14ac:dyDescent="0.25">
      <c r="O142" t="s">
        <v>96</v>
      </c>
      <c r="P142" s="1">
        <f>-1*R140/P140</f>
        <v>-0.49547348167636324</v>
      </c>
    </row>
    <row r="143" spans="1:18" x14ac:dyDescent="0.25">
      <c r="O143" t="s">
        <v>97</v>
      </c>
      <c r="P143" s="1">
        <f>Q140/P140</f>
        <v>6.7808444545298476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9.8089553819235675</v>
      </c>
      <c r="C146" s="9">
        <f>J84</f>
        <v>1.3358122306045388</v>
      </c>
      <c r="D146" s="9">
        <f t="shared" ref="D146:E153" si="61">I85</f>
        <v>9.8089553819235675</v>
      </c>
      <c r="E146">
        <f t="shared" si="61"/>
        <v>1.3358122306045388</v>
      </c>
      <c r="F146" s="4">
        <f>($B$66/$B$65)*(C146-$B$125)</f>
        <v>-5.7024947517090787</v>
      </c>
      <c r="G146" s="4">
        <f>($B$66/$B$65)*(E146-$B$125)</f>
        <v>-5.7024947517090787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9.8089553819235675</v>
      </c>
      <c r="C147">
        <f t="shared" si="62"/>
        <v>1.3358122306045388</v>
      </c>
      <c r="D147" s="9">
        <f t="shared" si="61"/>
        <v>9.8089553819235675</v>
      </c>
      <c r="E147">
        <f t="shared" si="61"/>
        <v>1.3358122306045388</v>
      </c>
      <c r="F147" s="4">
        <f t="shared" ref="F147:F153" si="63">($B$66/$B$65)*(C147-$B$125)</f>
        <v>-5.7024947517090787</v>
      </c>
      <c r="G147" s="4">
        <f t="shared" ref="G147:G153" si="64">($B$66/$B$65)*(E147-$B$125)</f>
        <v>-5.7024947517090787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9.8089553819235675</v>
      </c>
      <c r="C148">
        <f t="shared" si="62"/>
        <v>1.3358122306045388</v>
      </c>
      <c r="D148" s="9">
        <f t="shared" si="61"/>
        <v>9.8089553819235675</v>
      </c>
      <c r="E148">
        <f t="shared" si="61"/>
        <v>1.3358122306045388</v>
      </c>
      <c r="F148" s="4">
        <f t="shared" si="63"/>
        <v>-5.7024947517090787</v>
      </c>
      <c r="G148" s="4">
        <f t="shared" si="64"/>
        <v>-5.7024947517090787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9.8089553819235675</v>
      </c>
      <c r="C149">
        <f t="shared" si="62"/>
        <v>1.3358122306045388</v>
      </c>
      <c r="D149" s="9">
        <f t="shared" si="61"/>
        <v>9.8089553819235675</v>
      </c>
      <c r="E149">
        <f t="shared" si="61"/>
        <v>1.3358122306045388</v>
      </c>
      <c r="F149" s="4">
        <f t="shared" si="63"/>
        <v>-5.7024947517090787</v>
      </c>
      <c r="G149" s="4">
        <f t="shared" si="64"/>
        <v>-5.7024947517090787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9.8089553819235675</v>
      </c>
      <c r="C150">
        <f t="shared" si="62"/>
        <v>1.3358122306045388</v>
      </c>
      <c r="D150" s="9">
        <f t="shared" si="61"/>
        <v>9.8089553819235675</v>
      </c>
      <c r="E150">
        <f t="shared" si="61"/>
        <v>1.3358122306045388</v>
      </c>
      <c r="F150" s="4">
        <f t="shared" si="63"/>
        <v>-5.7024947517090787</v>
      </c>
      <c r="G150" s="4">
        <f t="shared" si="64"/>
        <v>-5.7024947517090787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9.8089553819235675</v>
      </c>
      <c r="C151">
        <f t="shared" si="62"/>
        <v>1.3358122306045388</v>
      </c>
      <c r="D151" s="9">
        <f t="shared" si="61"/>
        <v>9.8089553819235675</v>
      </c>
      <c r="E151">
        <f t="shared" si="61"/>
        <v>1.3358122306045388</v>
      </c>
      <c r="F151" s="4">
        <f t="shared" si="63"/>
        <v>-5.7024947517090787</v>
      </c>
      <c r="G151" s="4">
        <f t="shared" si="64"/>
        <v>-5.7024947517090787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9.8089553819235675</v>
      </c>
      <c r="C152">
        <f t="shared" si="62"/>
        <v>1.3358122306045388</v>
      </c>
      <c r="D152" s="9">
        <f t="shared" si="61"/>
        <v>9.8089553819235675</v>
      </c>
      <c r="E152">
        <f t="shared" si="61"/>
        <v>1.3358122306045388</v>
      </c>
      <c r="F152" s="4">
        <f t="shared" si="63"/>
        <v>-5.7024947517090787</v>
      </c>
      <c r="G152" s="4">
        <f t="shared" si="64"/>
        <v>-5.7024947517090787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9.8089553819235675</v>
      </c>
      <c r="C153">
        <f t="shared" si="62"/>
        <v>1.3358122306045388</v>
      </c>
      <c r="D153" s="9">
        <f t="shared" si="61"/>
        <v>9.8089553819235675</v>
      </c>
      <c r="E153">
        <f t="shared" si="61"/>
        <v>1.3358122306045388</v>
      </c>
      <c r="F153" s="4">
        <f t="shared" si="63"/>
        <v>-5.7024947517090787</v>
      </c>
      <c r="G153" s="4">
        <f t="shared" si="64"/>
        <v>-5.7024947517090787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2.655497262971096E-6</v>
      </c>
      <c r="C159" t="s">
        <v>36</v>
      </c>
    </row>
    <row r="160" spans="1:18" x14ac:dyDescent="0.25">
      <c r="A160" s="1" t="s">
        <v>106</v>
      </c>
      <c r="B160" s="4">
        <f>Q140+I122+Q154-O122</f>
        <v>1681.5352014345885</v>
      </c>
      <c r="C160" t="s">
        <v>102</v>
      </c>
    </row>
    <row r="161" spans="1:9" x14ac:dyDescent="0.25">
      <c r="A161" s="1" t="s">
        <v>107</v>
      </c>
      <c r="B161" s="4">
        <f>R140+J122+R154-P122</f>
        <v>228.99638029951035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2.655497262971096E-6</v>
      </c>
      <c r="C164" t="s">
        <v>36</v>
      </c>
      <c r="E164" s="8">
        <f>B2-B164</f>
        <v>-2.655497262971096E-6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-1199.9999957758919</v>
      </c>
      <c r="C165" t="s">
        <v>102</v>
      </c>
      <c r="E165" s="8">
        <f>B3+B165</f>
        <v>4.2241081246174872E-6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-1199.99999416325</v>
      </c>
      <c r="C166" t="s">
        <v>102</v>
      </c>
      <c r="E166" s="8">
        <f>B4+B166</f>
        <v>5.836750005983049E-6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14.289076517167354</v>
      </c>
      <c r="B169" s="1">
        <f ca="1">IF(E122=0,0,(MIN(H110:H121)*B65)/(B55*B56*E122))</f>
        <v>-14.2890763052261</v>
      </c>
      <c r="C169" s="3">
        <f ca="1">A169+B169</f>
        <v>2.1194125388035445E-7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5.6239117377785568E-8</v>
      </c>
      <c r="C175" s="27">
        <f>B65*SQRT(I175)</f>
        <v>8.9828286713980596E-8</v>
      </c>
      <c r="D175" s="27">
        <f>B66*SQRT(I175)</f>
        <v>2.1194125529722138E-7</v>
      </c>
      <c r="E175" s="27">
        <f>B67*SQRT(I175)</f>
        <v>7.7961825344901476E-7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3.7916405763548333</v>
      </c>
      <c r="C176" s="3">
        <f>B65+C175</f>
        <v>6.0562219446157268</v>
      </c>
      <c r="D176" s="3">
        <f>D175+B66</f>
        <v>14.28907672910861</v>
      </c>
      <c r="E176" s="3">
        <f>B67+E175</f>
        <v>52.561852704534132</v>
      </c>
      <c r="F176" s="16" t="s">
        <v>125</v>
      </c>
    </row>
    <row r="177" spans="1:13" x14ac:dyDescent="0.25">
      <c r="B177" s="27">
        <f>B176-B64</f>
        <v>5.6239117363077185E-8</v>
      </c>
      <c r="C177" s="27">
        <f>C176-B65</f>
        <v>8.9828287030968568E-8</v>
      </c>
      <c r="D177" s="27">
        <f>D176-B66</f>
        <v>2.1194125565671129E-7</v>
      </c>
      <c r="E177" s="27">
        <f>E176-B67</f>
        <v>7.7961825439842869E-7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-12.529403080503338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-9.8089553826581106</v>
      </c>
      <c r="B181" s="25">
        <f>(d_alpha_p!E136-d_alpha_m!E136)/(2*B177)</f>
        <v>-9.8089553826581106</v>
      </c>
      <c r="C181" s="25">
        <f>(d_alpha_p!E137-d_alpha_m!E137)/(2*B177)</f>
        <v>-9.8089553826581106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2.655497262971096E-6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-4.2241081246174872E-6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-5.836750005983049E-6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-2.1194125388035445E-7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-12.529403080503338</v>
      </c>
      <c r="B190" s="25">
        <f>A181</f>
        <v>-9.8089553826581106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-9.8089553826581106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-9.8089553826581106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-12.529403080503338</v>
      </c>
      <c r="B201" s="25">
        <f t="shared" ref="B201:C201" si="77">B190</f>
        <v>-9.8089553826581106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-9.8089553826581106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-9.8089553826581106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2020-11-02T22:23:20Z</dcterms:modified>
</cp:coreProperties>
</file>