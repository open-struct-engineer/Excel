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7DC17B36-9CA1-4754-8AB4-E14BBE8AF6DD}" xr6:coauthVersionLast="45" xr6:coauthVersionMax="45" xr10:uidLastSave="{00000000-0000-0000-0000-000000000000}"/>
  <bookViews>
    <workbookView xWindow="-120" yWindow="-120" windowWidth="27930" windowHeight="18240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D27" i="4" l="1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G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20" i="6"/>
  <c r="B74" i="6"/>
  <c r="G121" i="6"/>
  <c r="F121" i="6"/>
  <c r="E121" i="6"/>
  <c r="G120" i="6"/>
  <c r="F118" i="6"/>
  <c r="E118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F120" i="2"/>
  <c r="E120" i="2"/>
  <c r="J81" i="1"/>
  <c r="D32" i="1"/>
  <c r="E119" i="4" l="1"/>
  <c r="D33" i="6"/>
  <c r="E119" i="6"/>
  <c r="F119" i="6"/>
  <c r="F119" i="4"/>
  <c r="G118" i="9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80" i="4"/>
  <c r="B76" i="4"/>
  <c r="B79" i="3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C139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E135" i="6"/>
  <c r="D22" i="8" l="1"/>
  <c r="J19" i="3"/>
  <c r="G22" i="3"/>
  <c r="J19" i="5"/>
  <c r="D22" i="2"/>
  <c r="O13" i="2" s="1"/>
  <c r="W13" i="2" s="1"/>
  <c r="B89" i="8"/>
  <c r="F126" i="8" s="1"/>
  <c r="I22" i="8"/>
  <c r="D22" i="3"/>
  <c r="I2" i="3" s="1"/>
  <c r="J19" i="8"/>
  <c r="J22" i="8" s="1"/>
  <c r="M13" i="8" s="1"/>
  <c r="B89" i="3"/>
  <c r="D136" i="3" s="1"/>
  <c r="G22" i="8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O13" i="8"/>
  <c r="W13" i="8" s="1"/>
  <c r="F22" i="8"/>
  <c r="E22" i="8"/>
  <c r="I2" i="8"/>
  <c r="L13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F22" i="2" l="1"/>
  <c r="R19" i="2" s="1"/>
  <c r="P13" i="8"/>
  <c r="N13" i="8"/>
  <c r="I2" i="2"/>
  <c r="E22" i="2"/>
  <c r="K17" i="2" s="1"/>
  <c r="L13" i="2"/>
  <c r="M13" i="2"/>
  <c r="P13" i="2"/>
  <c r="F22" i="3"/>
  <c r="R19" i="3" s="1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E22" i="7"/>
  <c r="I2" i="4"/>
  <c r="J22" i="4"/>
  <c r="M13" i="4" s="1"/>
  <c r="P13" i="4"/>
  <c r="K15" i="8"/>
  <c r="L13" i="4"/>
  <c r="R19" i="8"/>
  <c r="J22" i="9"/>
  <c r="M13" i="9" s="1"/>
  <c r="M13" i="6"/>
  <c r="K21" i="9"/>
  <c r="K18" i="9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K14" i="2" l="1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AC16" i="3" s="1"/>
  <c r="H136" i="8"/>
  <c r="I136" i="8" s="1"/>
  <c r="R76" i="8"/>
  <c r="R76" i="9"/>
  <c r="Q13" i="9"/>
  <c r="T13" i="9" s="1"/>
  <c r="Z14" i="9"/>
  <c r="AB14" i="9" s="1"/>
  <c r="AC14" i="9" s="1"/>
  <c r="AC17" i="2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H136" i="4"/>
  <c r="I136" i="4" s="1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8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N19" i="2" l="1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3" l="1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Y14" i="1" l="1"/>
  <c r="Y16" i="1"/>
  <c r="V13" i="1"/>
  <c r="Y17" i="1"/>
  <c r="AA17" i="1" s="1"/>
  <c r="U13" i="1"/>
  <c r="Y18" i="1"/>
  <c r="AA18" i="1" s="1"/>
  <c r="Y19" i="1"/>
  <c r="AA19" i="1" s="1"/>
  <c r="Y21" i="1"/>
  <c r="AA21" i="1" s="1"/>
  <c r="Y20" i="1"/>
  <c r="Y15" i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AI14" i="1" s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20" i="1"/>
  <c r="AA14" i="1"/>
  <c r="AA16" i="1"/>
  <c r="AA15" i="1"/>
  <c r="B132" i="1"/>
  <c r="Q13" i="1"/>
  <c r="T13" i="1" s="1"/>
  <c r="R13" i="1"/>
  <c r="AI21" i="1" l="1"/>
  <c r="AI20" i="1"/>
  <c r="AM20" i="1"/>
  <c r="AM21" i="1"/>
  <c r="AM16" i="1"/>
  <c r="AM18" i="1"/>
  <c r="AM19" i="1"/>
  <c r="AM17" i="1"/>
  <c r="AM15" i="1"/>
  <c r="AJ21" i="1"/>
  <c r="AK21" i="1" s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K20" i="1" l="1"/>
  <c r="AG21" i="1"/>
  <c r="AK18" i="1"/>
  <c r="AK15" i="1"/>
  <c r="AC21" i="1"/>
  <c r="AN21" i="1" s="1"/>
  <c r="AK19" i="1"/>
  <c r="AK17" i="1"/>
  <c r="AG20" i="1"/>
  <c r="AC20" i="1" s="1"/>
  <c r="AN20" i="1" s="1"/>
  <c r="AK16" i="1"/>
  <c r="AG15" i="1"/>
  <c r="AG14" i="1"/>
  <c r="AC14" i="1" s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C18" i="1" l="1"/>
  <c r="AN18" i="1" s="1"/>
  <c r="AN14" i="1"/>
  <c r="AC19" i="1"/>
  <c r="AN19" i="1" s="1"/>
  <c r="AC15" i="1"/>
  <c r="AN15" i="1" s="1"/>
  <c r="AC17" i="1"/>
  <c r="AN17" i="1" s="1"/>
  <c r="AC16" i="1"/>
  <c r="AN16" i="1" s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J66" i="1" l="1"/>
  <c r="AC27" i="1"/>
  <c r="AD27" i="1" s="1"/>
  <c r="AC26" i="1"/>
  <c r="AD26" i="1" s="1"/>
  <c r="F126" i="1"/>
  <c r="F127" i="1"/>
  <c r="AC23" i="1"/>
  <c r="AC24" i="1"/>
  <c r="AC22" i="1"/>
  <c r="Q66" i="1"/>
  <c r="E132" i="1"/>
  <c r="C133" i="1" s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AE26" i="1" l="1"/>
  <c r="AE27" i="1"/>
  <c r="B65" i="7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AF26" i="1" l="1"/>
  <c r="AF27" i="1"/>
  <c r="AG29" i="1"/>
  <c r="G127" i="1"/>
  <c r="J127" i="1" s="1"/>
  <c r="J126" i="1"/>
  <c r="I127" i="1"/>
  <c r="I126" i="1"/>
  <c r="B65" i="4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R80" i="1" l="1"/>
  <c r="R83" i="1" s="1"/>
  <c r="AH29" i="1"/>
  <c r="R79" i="1"/>
  <c r="R82" i="1" s="1"/>
  <c r="AE29" i="1"/>
  <c r="AE30" i="1" s="1"/>
  <c r="Q79" i="1"/>
  <c r="Q82" i="1" s="1"/>
  <c r="Q80" i="1"/>
  <c r="Q83" i="1" s="1"/>
  <c r="W151" i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AE32" i="1" l="1"/>
  <c r="J65" i="1" s="1"/>
  <c r="AK29" i="1"/>
  <c r="AJ29" i="1"/>
  <c r="I67" i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AE34" i="1" l="1"/>
  <c r="AE36" i="1" s="1"/>
  <c r="AJ31" i="1"/>
  <c r="Q65" i="1"/>
  <c r="AF36" i="1"/>
  <c r="K148" i="4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AJ32" i="1" l="1"/>
  <c r="J64" i="1" s="1"/>
  <c r="AJ33" i="1"/>
  <c r="AK36" i="1"/>
  <c r="Q64" i="1"/>
  <c r="AJ37" i="1"/>
  <c r="AJ36" i="1"/>
  <c r="P137" i="4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AK37" i="1" l="1"/>
  <c r="Q140" i="4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24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<sst xmlns="http://schemas.openxmlformats.org/spreadsheetml/2006/main" count="2378" uniqueCount="203">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</sst>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2DB01F3-D125-4B0D-AD61-58A46C488E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63B3DF-C25D-4369-BBD9-B017B8847B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F93AFE-E0D9-4341-B7AB-9967B0D1C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78C7CF-79D3-41C6-BC6F-BA73449B15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DB94C9-F166-4481-B980-31E47EDBF7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DEA59B-D14C-4CDF-B18B-963D3711F5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4E8485-42AE-43ED-890E-94D431788B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BD3F51-1FBB-49BF-BD0E-3B74A919A8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11</c:v>
                </c:pt>
                <c:pt idx="3">
                  <c:v>11</c:v>
                </c:pt>
                <c:pt idx="4">
                  <c:v>5.5</c:v>
                </c:pt>
                <c:pt idx="5">
                  <c:v>5.5</c:v>
                </c:pt>
                <c:pt idx="6">
                  <c:v>8.5</c:v>
                </c:pt>
                <c:pt idx="7">
                  <c:v>8.5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34.9687 kips</c:v>
                  </c:pt>
                  <c:pt idx="1">
                    <c:v>
36.691 kips</c:v>
                  </c:pt>
                  <c:pt idx="4">
                    <c:v>
23.4396 kips</c:v>
                  </c:pt>
                  <c:pt idx="5">
                    <c:v>
25.1619 kips</c:v>
                  </c:pt>
                  <c:pt idx="6">
                    <c:v>
9.6046 kips</c:v>
                  </c:pt>
                  <c:pt idx="7">
                    <c:v>
11.327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48096846278904082"/>
                  <c:y val="-0.37691393654030947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64116766-C9F1-4146-9AD4-E2A9D66DF274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733289001255292"/>
                      <c:h val="0.14297370828508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5.525 ksi &lt; 6.8911 ksi
NG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3</c:v>
                </c:pt>
                <c:pt idx="1">
                  <c:v>11</c:v>
                </c:pt>
                <c:pt idx="2">
                  <c:v>11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-1.4853691709396184</c:v>
                </c:pt>
                <c:pt idx="1">
                  <c:v>15.134180408656922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10.373293129378961</c:v>
                </c:pt>
                <c:pt idx="1">
                  <c:v>11.149181314822204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9E26257-09FE-442C-8A77-DF1C7AE70E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6.5295349470503758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12.915823701570032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142.0029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2F1DDBF-5A69-4A8A-BE61-C334DAE2D5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5.9181699700729968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10.906309788244469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  <c:pt idx="0">
                    <c:v>-0.3469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2.9999999999999991</c:v>
                </c:pt>
                <c:pt idx="1">
                  <c:v>11</c:v>
                </c:pt>
                <c:pt idx="2">
                  <c:v>#N/A</c:v>
                </c:pt>
                <c:pt idx="3">
                  <c:v>#N/A</c:v>
                </c:pt>
                <c:pt idx="4">
                  <c:v>3.0000000000000004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2.9999999999999991</c:v>
                </c:pt>
                <c:pt idx="1">
                  <c:v>2.9999999999999991</c:v>
                </c:pt>
                <c:pt idx="2">
                  <c:v>#N/A</c:v>
                </c:pt>
                <c:pt idx="3">
                  <c:v>#N/A</c:v>
                </c:pt>
                <c:pt idx="4">
                  <c:v>5.5</c:v>
                </c:pt>
                <c:pt idx="5">
                  <c:v>5.5</c:v>
                </c:pt>
                <c:pt idx="6">
                  <c:v>8.5</c:v>
                </c:pt>
                <c:pt idx="7">
                  <c:v>8.5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84A661-CB5C-443B-A019-E97D978373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A49339-52A9-4F6B-9A26-A4339F33A2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7354EB-FBF5-4922-83D1-5FAD08F3C5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#N/A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#N/A</c:v>
                </c:pt>
                <c:pt idx="1">
                  <c:v>11.096231794438182</c:v>
                </c:pt>
                <c:pt idx="2">
                  <c:v>14</c:v>
                </c:pt>
                <c:pt idx="3">
                  <c:v>14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1">
                    <c:v>0 ksi</c:v>
                  </c:pt>
                  <c:pt idx="2">
                    <c:v>5.625 ksi</c:v>
                  </c:pt>
                  <c:pt idx="3">
                    <c:v>6.8911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CE7DC6-76A9-4CC4-84D0-7BD5A416AF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10.442637992501398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3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3B18FE8-FBC6-4E42-A918-86EC0BB42E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E459C2-AC97-46E7-B8A4-5A2FCB0E18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2870377-3BC1-4458-8229-815E68FDF2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3.9999999999999996</c:v>
                </c:pt>
                <c:pt idx="1">
                  <c:v>4</c:v>
                </c:pt>
                <c:pt idx="2">
                  <c:v>10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10.62937907876905</c:v>
                </c:pt>
                <c:pt idx="1">
                  <c:v>11</c:v>
                </c:pt>
                <c:pt idx="2">
                  <c:v>11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  <c:pt idx="0">
                    <c:v>
0 ksi</c:v>
                  </c:pt>
                  <c:pt idx="1">
                    <c:v>
-0.7179 ksi</c:v>
                  </c:pt>
                  <c:pt idx="2">
                    <c:v>
-0.1753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F18AED-616C-4C95-866B-46A01BBDA7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10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10.90949070817053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  <c:pt idx="2">
                    <c:v>
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11</c:v>
                </c:pt>
                <c:pt idx="3">
                  <c:v>11</c:v>
                </c:pt>
                <c:pt idx="4">
                  <c:v>5.5</c:v>
                </c:pt>
                <c:pt idx="5">
                  <c:v>5.5</c:v>
                </c:pt>
                <c:pt idx="6">
                  <c:v>8.5</c:v>
                </c:pt>
                <c:pt idx="7">
                  <c:v>8.5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2DFC354-EF65-4265-9C98-81BB732C3D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5.525 ksi &lt; 6.8911 ksi
NG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3</c:v>
                </c:pt>
                <c:pt idx="1">
                  <c:v>11</c:v>
                </c:pt>
                <c:pt idx="2">
                  <c:v>11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-1.4853691709396184</c:v>
                </c:pt>
                <c:pt idx="1">
                  <c:v>15.134180408656922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10.373293129378961</c:v>
                </c:pt>
                <c:pt idx="1">
                  <c:v>11.149181314822204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6.5295349470503758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12.915823701570032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5.9181699700729968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10.906309788244469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2.9999999999999991</c:v>
                </c:pt>
                <c:pt idx="1">
                  <c:v>11</c:v>
                </c:pt>
                <c:pt idx="2">
                  <c:v>#N/A</c:v>
                </c:pt>
                <c:pt idx="3">
                  <c:v>#N/A</c:v>
                </c:pt>
                <c:pt idx="4">
                  <c:v>3.0000000000000004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2.9999999999999991</c:v>
                </c:pt>
                <c:pt idx="1">
                  <c:v>2.9999999999999991</c:v>
                </c:pt>
                <c:pt idx="2">
                  <c:v>#N/A</c:v>
                </c:pt>
                <c:pt idx="3">
                  <c:v>#N/A</c:v>
                </c:pt>
                <c:pt idx="4">
                  <c:v>5.5</c:v>
                </c:pt>
                <c:pt idx="5">
                  <c:v>5.5</c:v>
                </c:pt>
                <c:pt idx="6">
                  <c:v>8.5</c:v>
                </c:pt>
                <c:pt idx="7">
                  <c:v>8.5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-7.3188254986052241</c:v>
                </c:pt>
                <c:pt idx="1">
                  <c:v>6.6659427931063133</c:v>
                </c:pt>
                <c:pt idx="2">
                  <c:v>7.3188254986052241</c:v>
                </c:pt>
                <c:pt idx="3">
                  <c:v>-6.6659427931063133</c:v>
                </c:pt>
                <c:pt idx="4">
                  <c:v>-7.3188254986052241</c:v>
                </c:pt>
                <c:pt idx="5">
                  <c:v>-7.3188254986052241</c:v>
                </c:pt>
                <c:pt idx="6">
                  <c:v>-7.3188254986052241</c:v>
                </c:pt>
                <c:pt idx="7">
                  <c:v>-7.3188254986052241</c:v>
                </c:pt>
                <c:pt idx="8">
                  <c:v>-7.3188254986052241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-6.6659427931063133</c:v>
                </c:pt>
                <c:pt idx="1">
                  <c:v>-7.3188254986052241</c:v>
                </c:pt>
                <c:pt idx="2">
                  <c:v>6.6659427931063133</c:v>
                </c:pt>
                <c:pt idx="3">
                  <c:v>7.3188254986052241</c:v>
                </c:pt>
                <c:pt idx="4">
                  <c:v>-6.6659427931063133</c:v>
                </c:pt>
                <c:pt idx="5">
                  <c:v>-6.6659427931063133</c:v>
                </c:pt>
                <c:pt idx="6">
                  <c:v>-6.6659427931063133</c:v>
                </c:pt>
                <c:pt idx="7">
                  <c:v>-6.6659427931063133</c:v>
                </c:pt>
                <c:pt idx="8">
                  <c:v>-6.6659427931063133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-4.1821859992029848</c:v>
                </c:pt>
                <c:pt idx="1">
                  <c:v>3.8091101674893224</c:v>
                </c:pt>
                <c:pt idx="2">
                  <c:v>-3.8091101674893224</c:v>
                </c:pt>
                <c:pt idx="3">
                  <c:v>4.1821859992029848</c:v>
                </c:pt>
                <c:pt idx="4">
                  <c:v>-4.0655998017924651</c:v>
                </c:pt>
                <c:pt idx="5">
                  <c:v>3.9256963648998418</c:v>
                </c:pt>
                <c:pt idx="6">
                  <c:v>-3.9256963648998418</c:v>
                </c:pt>
                <c:pt idx="7">
                  <c:v>4.0655998017924651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-3.8091101674893224</c:v>
                </c:pt>
                <c:pt idx="1">
                  <c:v>-4.1821859992029848</c:v>
                </c:pt>
                <c:pt idx="2">
                  <c:v>4.1821859992029848</c:v>
                </c:pt>
                <c:pt idx="3">
                  <c:v>3.8091101674893224</c:v>
                </c:pt>
                <c:pt idx="4">
                  <c:v>-1.3118301153979761</c:v>
                </c:pt>
                <c:pt idx="5">
                  <c:v>-1.684905947111639</c:v>
                </c:pt>
                <c:pt idx="6">
                  <c:v>1.684905947111639</c:v>
                </c:pt>
                <c:pt idx="7">
                  <c:v>1.3118301153979761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-8.318825498605225</c:v>
                </c:pt>
                <c:pt idx="1">
                  <c:v>8.318825498605225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3.765333826847669</c:v>
                </c:pt>
                <c:pt idx="1">
                  <c:v>3.765333826847669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0</c:v>
                </c:pt>
                <c:pt idx="1">
                  <c:v>7.1834097813060165</c:v>
                </c:pt>
                <c:pt idx="2">
                  <c:v>7.3188254986052241</c:v>
                </c:pt>
                <c:pt idx="3">
                  <c:v>-6.6659427931063133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0</c:v>
                </c:pt>
                <c:pt idx="1">
                  <c:v>3.765333826847669</c:v>
                </c:pt>
                <c:pt idx="2">
                  <c:v>6.6659427931063133</c:v>
                </c:pt>
                <c:pt idx="3">
                  <c:v>7.3188254986052241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</c:v>
                </c:pt>
                <c:pt idx="1">
                  <c:v>7.3188254986052241</c:v>
                </c:pt>
                <c:pt idx="2">
                  <c:v>-6.6659427931063133</c:v>
                </c:pt>
                <c:pt idx="3">
                  <c:v>-6.8318385168130797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0</c:v>
                </c:pt>
                <c:pt idx="1">
                  <c:v>6.6659427931063133</c:v>
                </c:pt>
                <c:pt idx="2">
                  <c:v>7.3188254986052241</c:v>
                </c:pt>
                <c:pt idx="3">
                  <c:v>3.765333826847669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-0.19407184080804796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5.9313273012631846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-8.318825498605225</c:v>
                </c:pt>
                <c:pt idx="1">
                  <c:v>8.318825498605225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-8.318825498605225</c:v>
                </c:pt>
                <c:pt idx="1">
                  <c:v>8.318825498605225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-3.1832739783664463</c:v>
                </c:pt>
                <c:pt idx="1">
                  <c:v>-2.8101981466527839</c:v>
                </c:pt>
                <c:pt idx="2">
                  <c:v>3.1832739783664463</c:v>
                </c:pt>
                <c:pt idx="3">
                  <c:v>2.8101981466527839</c:v>
                </c:pt>
                <c:pt idx="4">
                  <c:v>-3.1832739783664463</c:v>
                </c:pt>
                <c:pt idx="5">
                  <c:v>-3.1832739783664463</c:v>
                </c:pt>
                <c:pt idx="6">
                  <c:v>-3.1832739783664463</c:v>
                </c:pt>
                <c:pt idx="7">
                  <c:v>-3.1832739783664463</c:v>
                </c:pt>
                <c:pt idx="8">
                  <c:v>-3.1832739783664463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-3.8557446464535299</c:v>
                </c:pt>
                <c:pt idx="1">
                  <c:v>4.1355515202387769</c:v>
                </c:pt>
                <c:pt idx="2">
                  <c:v>3.8557446464535299</c:v>
                </c:pt>
                <c:pt idx="3">
                  <c:v>-4.1355515202387769</c:v>
                </c:pt>
                <c:pt idx="4">
                  <c:v>-3.8557446464535299</c:v>
                </c:pt>
                <c:pt idx="5">
                  <c:v>-3.8557446464535299</c:v>
                </c:pt>
                <c:pt idx="6">
                  <c:v>-3.8557446464535299</c:v>
                </c:pt>
                <c:pt idx="7">
                  <c:v>-3.8557446464535299</c:v>
                </c:pt>
                <c:pt idx="8">
                  <c:v>-3.8557446464535299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-2.8274818602076239</c:v>
                </c:pt>
                <c:pt idx="1">
                  <c:v>-2.8101981466527839</c:v>
                </c:pt>
                <c:pt idx="2">
                  <c:v>3.1832739783664463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3.765333826847669</c:v>
                </c:pt>
                <c:pt idx="1">
                  <c:v>4.1355515202387769</c:v>
                </c:pt>
                <c:pt idx="2">
                  <c:v>3.8557446464535299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-2.8101981466527839</c:v>
                </c:pt>
                <c:pt idx="1">
                  <c:v>3.1832739783664463</c:v>
                </c:pt>
                <c:pt idx="2">
                  <c:v>3.1790531247005589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4.1355515202387769</c:v>
                </c:pt>
                <c:pt idx="1">
                  <c:v>3.8557446464535299</c:v>
                </c:pt>
                <c:pt idx="2">
                  <c:v>3.765333826847669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-0.89848429974846999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3.9525103843623119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-4.1821859992029848</c:v>
                </c:pt>
                <c:pt idx="1">
                  <c:v>3.8091101674893224</c:v>
                </c:pt>
                <c:pt idx="2">
                  <c:v>#N/A</c:v>
                </c:pt>
                <c:pt idx="3">
                  <c:v>#N/A</c:v>
                </c:pt>
                <c:pt idx="4">
                  <c:v>-4.0655998017924651</c:v>
                </c:pt>
                <c:pt idx="5">
                  <c:v>3.9256963648998418</c:v>
                </c:pt>
                <c:pt idx="6">
                  <c:v>-3.9256963648998418</c:v>
                </c:pt>
                <c:pt idx="7">
                  <c:v>4.0655998017924651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-3.8091101674893224</c:v>
                </c:pt>
                <c:pt idx="1">
                  <c:v>-4.1821859992029848</c:v>
                </c:pt>
                <c:pt idx="2">
                  <c:v>#N/A</c:v>
                </c:pt>
                <c:pt idx="3">
                  <c:v>#N/A</c:v>
                </c:pt>
                <c:pt idx="4">
                  <c:v>-1.3118301153979761</c:v>
                </c:pt>
                <c:pt idx="5">
                  <c:v>-1.684905947111639</c:v>
                </c:pt>
                <c:pt idx="6">
                  <c:v>1.684905947111639</c:v>
                </c:pt>
                <c:pt idx="7">
                  <c:v>1.3118301153979761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-2.8994949366116654</c:v>
                </c:pt>
                <c:pt idx="1">
                  <c:v>16.899494936611667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-2.8994949366116636</c:v>
                </c:pt>
                <c:pt idx="1">
                  <c:v>16.899494936611664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274544</xdr:colOff>
      <xdr:row>37</xdr:row>
      <xdr:rowOff>73958</xdr:rowOff>
    </xdr:from>
    <xdr:to>
      <xdr:col>36</xdr:col>
      <xdr:colOff>593913</xdr:colOff>
      <xdr:row>56</xdr:row>
      <xdr:rowOff>112059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19" zoomScale="85" zoomScaleNormal="85" workbookViewId="0">
      <selection activeCell="B4" sqref="B4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0</v>
      </c>
      <c r="C2" t="s">
        <v>36</v>
      </c>
      <c r="D2" t="s">
        <v>103</v>
      </c>
      <c r="H2" s="10" t="s">
        <v>187</v>
      </c>
      <c r="I2">
        <f>B2/D22</f>
        <v>0</v>
      </c>
      <c r="J2" t="s">
        <v>11</v>
      </c>
      <c r="N2" t="s">
        <v>189</v>
      </c>
    </row>
    <row r="3" spans="1:40" x14ac:dyDescent="0.25">
      <c r="A3" s="10" t="s">
        <v>79</v>
      </c>
      <c r="B3" s="2">
        <v>-1165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0</v>
      </c>
      <c r="J3" t="s">
        <v>22</v>
      </c>
      <c r="K3" t="s">
        <v>180</v>
      </c>
      <c r="L3" s="4">
        <f>B2*I3</f>
        <v>0</v>
      </c>
      <c r="M3" t="str">
        <f>"+My"</f>
        <v>+My</v>
      </c>
      <c r="N3" s="4">
        <f>L3+B4</f>
        <v>-85.6</v>
      </c>
      <c r="O3" t="s">
        <v>102</v>
      </c>
    </row>
    <row r="4" spans="1:40" x14ac:dyDescent="0.25">
      <c r="A4" s="10" t="s">
        <v>80</v>
      </c>
      <c r="B4" s="2">
        <v>-85.6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0</v>
      </c>
      <c r="J4" t="s">
        <v>22</v>
      </c>
      <c r="K4" t="s">
        <v>181</v>
      </c>
      <c r="L4" s="4">
        <f>B2*I4*-1</f>
        <v>0</v>
      </c>
      <c r="M4" t="str">
        <f>"+Mx"</f>
        <v>+Mx</v>
      </c>
      <c r="N4" s="4">
        <f>B3+L4</f>
        <v>-1165</v>
      </c>
      <c r="O4" t="s">
        <v>102</v>
      </c>
    </row>
    <row r="5" spans="1:40" x14ac:dyDescent="0.25">
      <c r="A5" s="10" t="s">
        <v>104</v>
      </c>
      <c r="B5" s="20">
        <f>IF(AND(B3=0,B4=0),0,ATAN2(B3,B4))</f>
        <v>-3.0682480597090245</v>
      </c>
      <c r="C5" t="s">
        <v>19</v>
      </c>
      <c r="M5" s="10" t="s">
        <v>104</v>
      </c>
      <c r="N5" s="20">
        <f>IF(AND(N4=0,N3=0),0,ATAN2(N4,N3))</f>
        <v>-3.0682480597090245</v>
      </c>
      <c r="O5" t="s">
        <v>19</v>
      </c>
      <c r="P5" t="s">
        <v>188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v>7</v>
      </c>
      <c r="C9" s="2">
        <v>7</v>
      </c>
      <c r="D9" t="s">
        <v>21</v>
      </c>
    </row>
    <row r="11" spans="1:40" x14ac:dyDescent="0.25">
      <c r="A11" t="s">
        <v>0</v>
      </c>
      <c r="N11" t="s">
        <v>177</v>
      </c>
      <c r="AD11" t="s">
        <v>182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G22-(D22*F22*F22)</f>
        <v>3201.3333333333339</v>
      </c>
      <c r="O13" s="19">
        <f>H22-(D22*E22*E22)</f>
        <v>3201.3333333333339</v>
      </c>
      <c r="P13" s="19">
        <f>I22-(D22*E22*F22)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N13/(MAX(C13:C20)-F22)</f>
        <v>457.33333333333343</v>
      </c>
      <c r="V13" s="19">
        <f>N13/(MIN(C13:C20)-F22)</f>
        <v>-457.33333333333343</v>
      </c>
      <c r="W13" s="19">
        <f>O13/(MIN(B13:B20)-E22)</f>
        <v>-457.33333333333343</v>
      </c>
      <c r="X13" s="19">
        <f>O13/(MAX(B13:B20)-E22)</f>
        <v>457.33333333333343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L14">
        <f>IF(AND(B14=B15,C14=C15),0,1)</f>
        <v>1</v>
      </c>
      <c r="Y14" s="1">
        <f>$N$13/(C14-$F$22)</f>
        <v>-457.33333333333343</v>
      </c>
      <c r="Z14">
        <f>$O$13/(B14-$E$22)</f>
        <v>457.33333333333343</v>
      </c>
      <c r="AA14">
        <f>-1*$B$3/Y14</f>
        <v>-2.54737609329446</v>
      </c>
      <c r="AB14">
        <f>$B$4/Z14</f>
        <v>-0.18717201166180752</v>
      </c>
      <c r="AC14">
        <f>$I$2+AG14+AK14</f>
        <v>-2.7345481049562674</v>
      </c>
      <c r="AD14" s="9">
        <f>C14-$F$22</f>
        <v>-7</v>
      </c>
      <c r="AE14">
        <f>(AD14*$N$4*$O$13)/(($N$13*$O$13)-($P$13*$P$13))</f>
        <v>2.54737609329446</v>
      </c>
      <c r="AF14">
        <f>(AD14*$N$3*$P$13)/(($N$13*$O$13)-($P$13*$P$13))</f>
        <v>0</v>
      </c>
      <c r="AG14">
        <f>(AE14+AF14)*-1</f>
        <v>-2.54737609329446</v>
      </c>
      <c r="AH14" s="9">
        <f>B14-$E$22</f>
        <v>7</v>
      </c>
      <c r="AI14">
        <f>(-1*AH14*$N$3*$N$13)/(($N$13*$O$13)-($P$13*$P$13))</f>
        <v>0.18717201166180752</v>
      </c>
      <c r="AJ14">
        <f>(-1*AH14*$N$4*$P$13)/(($N$13*$O$13)-($P$13*$P$13))</f>
        <v>0</v>
      </c>
      <c r="AK14">
        <f>(AI14+AJ14)*-1</f>
        <v>-0.18717201166180752</v>
      </c>
      <c r="AM14">
        <f>AA14+AB14+$I$2</f>
        <v>-2.7345481049562674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14</v>
      </c>
      <c r="D15" s="5">
        <f t="shared" ref="D15:D18" si="0">((B14*C15)-(B15*C14))*0.5</f>
        <v>98</v>
      </c>
      <c r="E15" s="5">
        <f t="shared" ref="E15:E18" si="1">(B15+B14)*((B14*C15)-(B15*C14))*(1/6)</f>
        <v>914.66666666666663</v>
      </c>
      <c r="F15" s="5">
        <f t="shared" ref="F15:F18" si="2">(C15+C14)*((B14*C15)-(B15*C14))*(1/6)</f>
        <v>457.33333333333331</v>
      </c>
      <c r="G15" s="5">
        <f t="shared" ref="G15:G18" si="3">(((C14*C14)+(C14*C15)+(C15*C15))*((B14*C15)-(B15*C14)))/12</f>
        <v>3201.3333333333335</v>
      </c>
      <c r="H15" s="5">
        <f t="shared" ref="H15:H18" si="4">(((B14*B14)+(B14*B15)+(B15*B15))*((B14*C15)-(B15*C14)))/12</f>
        <v>9604</v>
      </c>
      <c r="I15" s="5">
        <f t="shared" ref="I15:I18" si="5">(((B14*C15)+(2*B14*C14)+(2*B15*C15)+(B15*C14))*((B14*C15)-(B15*C14)))/24</f>
        <v>4802</v>
      </c>
      <c r="J15" s="5">
        <f t="shared" ref="J15:J18" si="6">G15+H15</f>
        <v>12805.333333333334</v>
      </c>
      <c r="K15">
        <f t="shared" ref="K15:K21" si="7">ATAN2((B15-$E$22),(C15-$F$22))</f>
        <v>0.78539816339744828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457.33333333333343</v>
      </c>
      <c r="Z15">
        <f t="shared" ref="Z15:Z21" si="10">$O$13/(B15-$E$22)</f>
        <v>457.33333333333343</v>
      </c>
      <c r="AA15">
        <f t="shared" ref="AA15:AA21" si="11">-1*$B$3/Y15</f>
        <v>2.54737609329446</v>
      </c>
      <c r="AB15">
        <f t="shared" ref="AB15:AB21" si="12">$B$4/Z15</f>
        <v>-0.18717201166180752</v>
      </c>
      <c r="AC15">
        <f t="shared" ref="AC15:AC21" si="13">$I$2+AG15+AK15</f>
        <v>2.3602040816326526</v>
      </c>
      <c r="AD15" s="9">
        <f t="shared" ref="AD15:AD21" si="14">C15-$F$22</f>
        <v>7</v>
      </c>
      <c r="AE15">
        <f t="shared" ref="AE15:AE21" si="15">(AD15*$N$4*$O$13)/(($N$13*$O$13)-($P$13*$P$13))</f>
        <v>-2.54737609329446</v>
      </c>
      <c r="AF15">
        <f t="shared" ref="AF15:AF21" si="16">(AD15*$N$3*$P$13)/(($N$13*$O$13)-($P$13*$P$13))</f>
        <v>0</v>
      </c>
      <c r="AG15">
        <f t="shared" ref="AG15:AG21" si="17">(AE15+AF15)*-1</f>
        <v>2.54737609329446</v>
      </c>
      <c r="AH15" s="9">
        <f t="shared" ref="AH15:AH21" si="18">B15-$E$22</f>
        <v>7</v>
      </c>
      <c r="AI15">
        <f t="shared" ref="AI15:AI21" si="19">(-1*AH15*$N$3*$N$13)/(($N$13*$O$13)-($P$13*$P$13))</f>
        <v>0.18717201166180752</v>
      </c>
      <c r="AJ15">
        <f t="shared" ref="AJ15:AJ21" si="20">(-1*AH15*$N$4*$P$13)/(($N$13*$O$13)-($P$13*$P$13))</f>
        <v>0</v>
      </c>
      <c r="AK15">
        <f t="shared" ref="AK15:AK21" si="21">(AI15+AJ15)*-1</f>
        <v>-0.18717201166180752</v>
      </c>
      <c r="AM15">
        <f t="shared" ref="AM15:AM21" si="22">AA15+AB15+$I$2</f>
        <v>2.3602040816326526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457.33333333333343</v>
      </c>
      <c r="Z16">
        <f t="shared" si="10"/>
        <v>-457.33333333333343</v>
      </c>
      <c r="AA16">
        <f t="shared" si="11"/>
        <v>2.54737609329446</v>
      </c>
      <c r="AB16">
        <f t="shared" si="12"/>
        <v>0.18717201166180752</v>
      </c>
      <c r="AC16">
        <f t="shared" si="13"/>
        <v>2.7345481049562674</v>
      </c>
      <c r="AD16" s="9">
        <f t="shared" si="14"/>
        <v>7</v>
      </c>
      <c r="AE16">
        <f t="shared" si="15"/>
        <v>-2.54737609329446</v>
      </c>
      <c r="AF16">
        <f t="shared" si="16"/>
        <v>0</v>
      </c>
      <c r="AG16">
        <f t="shared" si="17"/>
        <v>2.54737609329446</v>
      </c>
      <c r="AH16" s="9">
        <f t="shared" si="18"/>
        <v>-7</v>
      </c>
      <c r="AI16">
        <f t="shared" si="19"/>
        <v>-0.18717201166180752</v>
      </c>
      <c r="AJ16">
        <f t="shared" si="20"/>
        <v>0</v>
      </c>
      <c r="AK16">
        <f t="shared" si="21"/>
        <v>0.18717201166180752</v>
      </c>
      <c r="AM16">
        <f t="shared" si="22"/>
        <v>2.7345481049562674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L17">
        <f t="shared" si="8"/>
        <v>0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9"/>
        <v>-457.33333333333343</v>
      </c>
      <c r="Z17">
        <f t="shared" si="10"/>
        <v>-457.33333333333343</v>
      </c>
      <c r="AA17">
        <f t="shared" si="11"/>
        <v>-2.54737609329446</v>
      </c>
      <c r="AB17">
        <f t="shared" si="12"/>
        <v>0.18717201166180752</v>
      </c>
      <c r="AC17">
        <f t="shared" si="13"/>
        <v>-2.3602040816326526</v>
      </c>
      <c r="AD17" s="9">
        <f t="shared" si="14"/>
        <v>-7</v>
      </c>
      <c r="AE17">
        <f t="shared" si="15"/>
        <v>2.54737609329446</v>
      </c>
      <c r="AF17">
        <f t="shared" si="16"/>
        <v>0</v>
      </c>
      <c r="AG17">
        <f t="shared" si="17"/>
        <v>-2.54737609329446</v>
      </c>
      <c r="AH17" s="9">
        <f t="shared" si="18"/>
        <v>-7</v>
      </c>
      <c r="AI17">
        <f t="shared" si="19"/>
        <v>-0.18717201166180752</v>
      </c>
      <c r="AJ17">
        <f t="shared" si="20"/>
        <v>0</v>
      </c>
      <c r="AK17">
        <f t="shared" si="21"/>
        <v>0.18717201166180752</v>
      </c>
      <c r="AM17">
        <f t="shared" si="22"/>
        <v>-2.3602040816326526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-457.33333333333343</v>
      </c>
      <c r="Z18">
        <f t="shared" si="10"/>
        <v>-457.33333333333343</v>
      </c>
      <c r="AA18">
        <f t="shared" si="11"/>
        <v>-2.54737609329446</v>
      </c>
      <c r="AB18">
        <f t="shared" si="12"/>
        <v>0.18717201166180752</v>
      </c>
      <c r="AC18">
        <f t="shared" si="13"/>
        <v>-2.3602040816326526</v>
      </c>
      <c r="AD18" s="9">
        <f t="shared" si="14"/>
        <v>-7</v>
      </c>
      <c r="AE18">
        <f t="shared" si="15"/>
        <v>2.54737609329446</v>
      </c>
      <c r="AF18">
        <f t="shared" si="16"/>
        <v>0</v>
      </c>
      <c r="AG18">
        <f t="shared" si="17"/>
        <v>-2.54737609329446</v>
      </c>
      <c r="AH18" s="9">
        <f t="shared" si="18"/>
        <v>-7</v>
      </c>
      <c r="AI18">
        <f t="shared" si="19"/>
        <v>-0.18717201166180752</v>
      </c>
      <c r="AJ18">
        <f t="shared" si="20"/>
        <v>0</v>
      </c>
      <c r="AK18">
        <f t="shared" si="21"/>
        <v>0.18717201166180752</v>
      </c>
      <c r="AM18">
        <f t="shared" si="22"/>
        <v>-2.3602040816326526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-2.3561944901923448</v>
      </c>
      <c r="L19">
        <f t="shared" si="8"/>
        <v>0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9"/>
        <v>-457.33333333333343</v>
      </c>
      <c r="Z19">
        <f t="shared" si="10"/>
        <v>-457.33333333333343</v>
      </c>
      <c r="AA19">
        <f t="shared" si="11"/>
        <v>-2.54737609329446</v>
      </c>
      <c r="AB19">
        <f t="shared" si="12"/>
        <v>0.18717201166180752</v>
      </c>
      <c r="AC19">
        <f t="shared" si="13"/>
        <v>-2.3602040816326526</v>
      </c>
      <c r="AD19" s="9">
        <f t="shared" si="14"/>
        <v>-7</v>
      </c>
      <c r="AE19">
        <f t="shared" si="15"/>
        <v>2.54737609329446</v>
      </c>
      <c r="AF19">
        <f t="shared" si="16"/>
        <v>0</v>
      </c>
      <c r="AG19">
        <f t="shared" si="17"/>
        <v>-2.54737609329446</v>
      </c>
      <c r="AH19" s="9">
        <f t="shared" si="18"/>
        <v>-7</v>
      </c>
      <c r="AI19">
        <f t="shared" si="19"/>
        <v>-0.18717201166180752</v>
      </c>
      <c r="AJ19">
        <f t="shared" si="20"/>
        <v>0</v>
      </c>
      <c r="AK19">
        <f t="shared" si="21"/>
        <v>0.18717201166180752</v>
      </c>
      <c r="AM19">
        <f t="shared" si="22"/>
        <v>-2.3602040816326526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-2.3561944901923448</v>
      </c>
      <c r="L20">
        <f t="shared" si="8"/>
        <v>0</v>
      </c>
      <c r="Y20" s="1">
        <f t="shared" si="9"/>
        <v>-457.33333333333343</v>
      </c>
      <c r="Z20">
        <f t="shared" si="10"/>
        <v>-457.33333333333343</v>
      </c>
      <c r="AA20">
        <f t="shared" si="11"/>
        <v>-2.54737609329446</v>
      </c>
      <c r="AB20">
        <f t="shared" si="12"/>
        <v>0.18717201166180752</v>
      </c>
      <c r="AC20">
        <f t="shared" si="13"/>
        <v>-2.3602040816326526</v>
      </c>
      <c r="AD20" s="9">
        <f t="shared" si="14"/>
        <v>-7</v>
      </c>
      <c r="AE20">
        <f t="shared" si="15"/>
        <v>2.54737609329446</v>
      </c>
      <c r="AF20">
        <f t="shared" si="16"/>
        <v>0</v>
      </c>
      <c r="AG20">
        <f t="shared" si="17"/>
        <v>-2.54737609329446</v>
      </c>
      <c r="AH20" s="9">
        <f t="shared" si="18"/>
        <v>-7</v>
      </c>
      <c r="AI20">
        <f t="shared" si="19"/>
        <v>-0.18717201166180752</v>
      </c>
      <c r="AJ20">
        <f t="shared" si="20"/>
        <v>0</v>
      </c>
      <c r="AK20">
        <f t="shared" si="21"/>
        <v>0.18717201166180752</v>
      </c>
      <c r="AM20">
        <f t="shared" si="22"/>
        <v>-2.3602040816326526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-2.3561944901923448</v>
      </c>
      <c r="L21">
        <v>1</v>
      </c>
      <c r="Y21" s="1">
        <f t="shared" si="9"/>
        <v>-457.33333333333343</v>
      </c>
      <c r="Z21">
        <f t="shared" si="10"/>
        <v>-457.33333333333343</v>
      </c>
      <c r="AA21">
        <f t="shared" si="11"/>
        <v>-2.54737609329446</v>
      </c>
      <c r="AB21">
        <f t="shared" si="12"/>
        <v>0.18717201166180752</v>
      </c>
      <c r="AC21">
        <f t="shared" si="13"/>
        <v>-2.3602040816326526</v>
      </c>
      <c r="AD21" s="9">
        <f t="shared" si="14"/>
        <v>-7</v>
      </c>
      <c r="AE21">
        <f t="shared" si="15"/>
        <v>2.54737609329446</v>
      </c>
      <c r="AF21">
        <f t="shared" si="16"/>
        <v>0</v>
      </c>
      <c r="AG21">
        <f t="shared" si="17"/>
        <v>-2.54737609329446</v>
      </c>
      <c r="AH21" s="9">
        <f t="shared" si="18"/>
        <v>-7</v>
      </c>
      <c r="AI21">
        <f t="shared" si="19"/>
        <v>-0.18717201166180752</v>
      </c>
      <c r="AJ21">
        <f t="shared" si="20"/>
        <v>0</v>
      </c>
      <c r="AK21">
        <f t="shared" si="21"/>
        <v>0.18717201166180752</v>
      </c>
      <c r="AM21">
        <f t="shared" si="22"/>
        <v>-2.3602040816326526</v>
      </c>
      <c r="AN21" t="b">
        <f t="shared" si="23"/>
        <v>1</v>
      </c>
    </row>
    <row r="22" spans="1:40" x14ac:dyDescent="0.25">
      <c r="D22" s="5">
        <f>SUM(D13:D21)</f>
        <v>196</v>
      </c>
      <c r="E22" s="3">
        <f>SUM(E14:E21)/D22</f>
        <v>7</v>
      </c>
      <c r="F22" s="3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  <c r="AC22">
        <f>COUNTIF(AC14:AC21,"&gt;0")</f>
        <v>2</v>
      </c>
    </row>
    <row r="23" spans="1:40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 ca="1">A61&amp;"= 0.65*0.85*F'c*√A2/A1"&amp;CHAR(10)&amp;"= "&amp;ROUND(B61,4)&amp;" "&amp;C61&amp;IF(B66&lt;=B61," &gt; "&amp;ROUND(B66,4)&amp;" "&amp;C66," &lt; "&amp;ROUND(B66,4)&amp;" "&amp;C66)&amp;CHAR(10)&amp;IF(B66&lt;=B61,"OK"&amp;CHAR(10)&amp;M57,"NG"&amp;CHAR(10)&amp;M57)</f>
        <v>φfp,max= 0.65*0.85*F'c*√A2/A1
= 5.525 ksi &lt; 6.8911 ksi
NG
SOLUTION FOUND</v>
      </c>
      <c r="AC24">
        <f>COUNTIF(AC14:AC21,"=0")</f>
        <v>0</v>
      </c>
    </row>
    <row r="25" spans="1:40" x14ac:dyDescent="0.25">
      <c r="A25">
        <v>1</v>
      </c>
      <c r="B25" s="2">
        <v>4</v>
      </c>
      <c r="C25" s="2">
        <v>3</v>
      </c>
      <c r="D25" s="5"/>
      <c r="E25" s="5"/>
      <c r="F25" s="5"/>
      <c r="G25" s="5"/>
      <c r="H25" s="5"/>
      <c r="I25" s="5"/>
      <c r="J25" s="5"/>
    </row>
    <row r="26" spans="1:40" x14ac:dyDescent="0.25">
      <c r="A26">
        <v>2</v>
      </c>
      <c r="B26" s="2">
        <v>4</v>
      </c>
      <c r="C26" s="2">
        <v>11</v>
      </c>
      <c r="D26" s="5">
        <f>((B25*C26)-(B26*C25))*0.5</f>
        <v>16</v>
      </c>
      <c r="E26" s="5"/>
      <c r="F26" s="5"/>
      <c r="G26" s="5"/>
      <c r="H26" s="5"/>
      <c r="I26" s="5"/>
      <c r="J26" s="5"/>
      <c r="AC26">
        <f>MAX(AC14:AC21)</f>
        <v>2.7345481049562674</v>
      </c>
      <c r="AD26">
        <f>COUNTIFS(AC14:AC21,AC26,L14:L21,1)</f>
        <v>1</v>
      </c>
      <c r="AE26">
        <f>SUMIF(AC14:AC21,AC26,B14:B21)/AD26</f>
        <v>0</v>
      </c>
      <c r="AF26">
        <f>SUMIF(AC14:AC21,AC26,C14:C21)/AD26</f>
        <v>14</v>
      </c>
      <c r="AG26" t="s">
        <v>202</v>
      </c>
    </row>
    <row r="27" spans="1:40" x14ac:dyDescent="0.25">
      <c r="A27">
        <v>3</v>
      </c>
      <c r="B27" s="2">
        <v>10</v>
      </c>
      <c r="C27" s="2">
        <v>11</v>
      </c>
      <c r="D27" s="5">
        <f t="shared" ref="D27:D33" si="45">((B26*C27)-(B27*C26))*0.5</f>
        <v>-33</v>
      </c>
      <c r="E27" s="5"/>
      <c r="F27" s="5"/>
      <c r="G27" s="5"/>
      <c r="H27" s="5"/>
      <c r="I27" s="5"/>
      <c r="J27" s="5"/>
      <c r="AC27">
        <f>MIN(AC14:AC21)</f>
        <v>-2.7345481049562674</v>
      </c>
      <c r="AD27">
        <f>COUNTIFS(AC14:AC21,AC27,L14:L21,1)</f>
        <v>1</v>
      </c>
      <c r="AE27">
        <f>SUMIF(AC14:AC21,AC27,B14:B21)/AD27</f>
        <v>14</v>
      </c>
      <c r="AF27">
        <f>SUMIF(AC14:AC21,AC27,C14:C21)/AD27</f>
        <v>0</v>
      </c>
      <c r="AG27" t="s">
        <v>201</v>
      </c>
    </row>
    <row r="28" spans="1:40" x14ac:dyDescent="0.25">
      <c r="A28">
        <v>4</v>
      </c>
      <c r="B28" s="2">
        <v>10</v>
      </c>
      <c r="C28" s="2">
        <v>3</v>
      </c>
      <c r="D28" s="5">
        <f t="shared" si="45"/>
        <v>-40</v>
      </c>
      <c r="E28" s="5"/>
      <c r="F28" s="5"/>
      <c r="G28" s="5"/>
      <c r="H28" s="5"/>
      <c r="I28" s="5"/>
      <c r="J28" s="5"/>
      <c r="AJ28" t="s">
        <v>194</v>
      </c>
    </row>
    <row r="29" spans="1:40" x14ac:dyDescent="0.25">
      <c r="A29">
        <v>5</v>
      </c>
      <c r="B29" s="2">
        <v>4</v>
      </c>
      <c r="C29" s="2">
        <v>3</v>
      </c>
      <c r="D29" s="5">
        <f t="shared" si="45"/>
        <v>9</v>
      </c>
      <c r="E29" s="5"/>
      <c r="F29" s="5"/>
      <c r="G29" s="5"/>
      <c r="H29" s="5"/>
      <c r="I29" s="5"/>
      <c r="J29" s="5"/>
      <c r="AD29" t="s">
        <v>198</v>
      </c>
      <c r="AE29">
        <f>SQRT(POWER(AE27-AE26,2)+POWER(AF27-AF26,2))</f>
        <v>19.798989873223331</v>
      </c>
      <c r="AG29">
        <f>(AE27-AE26)</f>
        <v>14</v>
      </c>
      <c r="AH29">
        <f>AF27-AF26</f>
        <v>-14</v>
      </c>
      <c r="AJ29">
        <f>AG29/AE29</f>
        <v>0.70710678118654757</v>
      </c>
      <c r="AK29">
        <f>AH29/AE29</f>
        <v>-0.70710678118654757</v>
      </c>
    </row>
    <row r="30" spans="1:40" x14ac:dyDescent="0.25">
      <c r="A30">
        <v>6</v>
      </c>
      <c r="B30" s="2">
        <v>4</v>
      </c>
      <c r="C30" s="2">
        <v>3</v>
      </c>
      <c r="D30" s="5">
        <f t="shared" si="45"/>
        <v>0</v>
      </c>
      <c r="E30" s="5"/>
      <c r="F30" s="5"/>
      <c r="G30" s="5"/>
      <c r="H30" s="5"/>
      <c r="I30" s="5"/>
      <c r="J30" s="5"/>
      <c r="AD30" t="s">
        <v>199</v>
      </c>
      <c r="AE30">
        <f>(AC27-AC26)/AE29</f>
        <v>-0.27623107264219993</v>
      </c>
    </row>
    <row r="31" spans="1:40" x14ac:dyDescent="0.25">
      <c r="A31">
        <v>7</v>
      </c>
      <c r="B31" s="2">
        <v>4</v>
      </c>
      <c r="C31" s="2">
        <v>3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-0.78539816339744828</v>
      </c>
      <c r="AK31" t="s">
        <v>195</v>
      </c>
    </row>
    <row r="32" spans="1:40" x14ac:dyDescent="0.25">
      <c r="A32">
        <v>8</v>
      </c>
      <c r="B32" s="2">
        <v>4</v>
      </c>
      <c r="C32" s="2">
        <v>3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191</v>
      </c>
      <c r="AE32">
        <f>IF(AND(AG29=0,AH29=0),0,(-1*AC26/AE30))</f>
        <v>9.8994949366116654</v>
      </c>
      <c r="AF32" t="s">
        <v>197</v>
      </c>
      <c r="AJ32">
        <f>AJ31+(PI()/2)</f>
        <v>0.78539816339744828</v>
      </c>
      <c r="AK32" t="s">
        <v>196</v>
      </c>
    </row>
    <row r="33" spans="1:37" x14ac:dyDescent="0.25">
      <c r="A33">
        <v>9</v>
      </c>
      <c r="B33" s="1">
        <f>B25</f>
        <v>4</v>
      </c>
      <c r="C33" s="1">
        <f>C25</f>
        <v>3</v>
      </c>
      <c r="D33" s="5">
        <f t="shared" si="45"/>
        <v>0</v>
      </c>
      <c r="E33" s="5"/>
      <c r="F33" s="5"/>
      <c r="G33" s="5"/>
      <c r="H33" s="5"/>
      <c r="I33" s="5"/>
      <c r="J33" s="5"/>
      <c r="AJ33">
        <f>AJ31-(PI()/2)</f>
        <v>-2.3561944901923448</v>
      </c>
    </row>
    <row r="34" spans="1:37" x14ac:dyDescent="0.25">
      <c r="D34" s="5">
        <f>SUM(D25:D33)</f>
        <v>-48</v>
      </c>
      <c r="E34" s="5"/>
      <c r="F34" s="5"/>
      <c r="G34" s="5"/>
      <c r="H34" s="5"/>
      <c r="I34" s="5"/>
      <c r="J34" s="5"/>
      <c r="AD34" t="s">
        <v>200</v>
      </c>
      <c r="AE34">
        <f>AE32/AE29</f>
        <v>0.5</v>
      </c>
    </row>
    <row r="35" spans="1:37" x14ac:dyDescent="0.25">
      <c r="A35" t="s">
        <v>4</v>
      </c>
      <c r="Q35" t="s">
        <v>25</v>
      </c>
      <c r="T35" t="s">
        <v>14</v>
      </c>
      <c r="AE35" t="s">
        <v>192</v>
      </c>
      <c r="AF35" t="s">
        <v>193</v>
      </c>
    </row>
    <row r="36" spans="1:37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  <c r="AE36">
        <f>AE26+(AE34*(AE27-AE26))</f>
        <v>7</v>
      </c>
      <c r="AF36">
        <f>AF26+(AE34*(AF27-AF26))</f>
        <v>7</v>
      </c>
      <c r="AI36">
        <f>MAX(B13:C21)*-1</f>
        <v>-14</v>
      </c>
      <c r="AJ36">
        <f>AE36+(AI36*COS(AJ32))</f>
        <v>-2.8994949366116654</v>
      </c>
      <c r="AK36">
        <f>AF36+(AI36*SIN(AJ32))</f>
        <v>-2.8994949366116636</v>
      </c>
    </row>
    <row r="37" spans="1:37" x14ac:dyDescent="0.25">
      <c r="A37">
        <v>1</v>
      </c>
      <c r="B37" s="7">
        <v>3</v>
      </c>
      <c r="C37" s="7">
        <v>3</v>
      </c>
      <c r="D37" s="13" t="s">
        <v>2</v>
      </c>
      <c r="Q37" s="12">
        <f>IF($D37="y",B37,NA())</f>
        <v>3</v>
      </c>
      <c r="R37" s="12">
        <f>IF($D37="y",C37,NA())</f>
        <v>3</v>
      </c>
      <c r="T37" s="4">
        <f>MAX(MAX(B13:B20),MAX(C13:C20))</f>
        <v>14</v>
      </c>
      <c r="U37" s="1">
        <f>T37</f>
        <v>14</v>
      </c>
      <c r="AI37">
        <f>-1*AI36</f>
        <v>14</v>
      </c>
      <c r="AJ37">
        <f>AE36+(AI37*COS(AJ32))</f>
        <v>16.899494936611667</v>
      </c>
      <c r="AK37">
        <f>AF36+(AI37*SIN(AJ32))</f>
        <v>16.899494936611664</v>
      </c>
    </row>
    <row r="38" spans="1:37" x14ac:dyDescent="0.25">
      <c r="A38">
        <v>2</v>
      </c>
      <c r="B38" s="7">
        <v>11</v>
      </c>
      <c r="C38" s="7">
        <v>3</v>
      </c>
      <c r="D38" s="13" t="s">
        <v>2</v>
      </c>
      <c r="Q38" s="12">
        <f t="shared" ref="Q38:Q48" si="46">IF($D38="y",B38,NA())</f>
        <v>11</v>
      </c>
      <c r="R38" s="12">
        <f t="shared" ref="R38:R48" si="47">IF($D38="y",C38,NA())</f>
        <v>3</v>
      </c>
    </row>
    <row r="39" spans="1:37" x14ac:dyDescent="0.25">
      <c r="A39">
        <v>3</v>
      </c>
      <c r="B39" s="7">
        <v>3</v>
      </c>
      <c r="C39" s="7">
        <v>11</v>
      </c>
      <c r="D39" s="13" t="s">
        <v>2</v>
      </c>
      <c r="Q39" s="12">
        <f t="shared" si="46"/>
        <v>3</v>
      </c>
      <c r="R39" s="12">
        <f t="shared" si="47"/>
        <v>11</v>
      </c>
    </row>
    <row r="40" spans="1:37" x14ac:dyDescent="0.25">
      <c r="A40">
        <v>4</v>
      </c>
      <c r="B40" s="7">
        <v>11</v>
      </c>
      <c r="C40" s="7">
        <v>11</v>
      </c>
      <c r="D40" s="13" t="s">
        <v>2</v>
      </c>
      <c r="Q40" s="12">
        <f t="shared" si="46"/>
        <v>11</v>
      </c>
      <c r="R40" s="12">
        <f t="shared" si="47"/>
        <v>11</v>
      </c>
    </row>
    <row r="41" spans="1:37" x14ac:dyDescent="0.25">
      <c r="A41">
        <v>5</v>
      </c>
      <c r="B41" s="7">
        <v>3</v>
      </c>
      <c r="C41" s="7">
        <v>5.5</v>
      </c>
      <c r="D41" s="13" t="s">
        <v>2</v>
      </c>
      <c r="Q41" s="12">
        <f t="shared" si="46"/>
        <v>3</v>
      </c>
      <c r="R41" s="12">
        <f t="shared" si="47"/>
        <v>5.5</v>
      </c>
    </row>
    <row r="42" spans="1:37" x14ac:dyDescent="0.25">
      <c r="A42">
        <v>6</v>
      </c>
      <c r="B42" s="7">
        <v>11</v>
      </c>
      <c r="C42" s="7">
        <v>5.5</v>
      </c>
      <c r="D42" s="13" t="s">
        <v>2</v>
      </c>
      <c r="Q42" s="12">
        <f t="shared" si="46"/>
        <v>11</v>
      </c>
      <c r="R42" s="12">
        <f t="shared" si="47"/>
        <v>5.5</v>
      </c>
    </row>
    <row r="43" spans="1:37" x14ac:dyDescent="0.25">
      <c r="A43">
        <v>7</v>
      </c>
      <c r="B43" s="7">
        <v>3</v>
      </c>
      <c r="C43" s="7">
        <v>8.5</v>
      </c>
      <c r="D43" s="13" t="s">
        <v>2</v>
      </c>
      <c r="Q43" s="12">
        <f t="shared" si="46"/>
        <v>3</v>
      </c>
      <c r="R43" s="12">
        <f t="shared" si="47"/>
        <v>8.5</v>
      </c>
    </row>
    <row r="44" spans="1:37" x14ac:dyDescent="0.25">
      <c r="A44">
        <v>8</v>
      </c>
      <c r="B44" s="7">
        <v>11</v>
      </c>
      <c r="C44" s="7">
        <v>8.5</v>
      </c>
      <c r="D44" s="13" t="s">
        <v>2</v>
      </c>
      <c r="Q44" s="12">
        <f t="shared" si="46"/>
        <v>11</v>
      </c>
      <c r="R44" s="12">
        <f t="shared" si="47"/>
        <v>8.5</v>
      </c>
    </row>
    <row r="45" spans="1:37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</row>
    <row r="46" spans="1:37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</row>
    <row r="47" spans="1:37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</row>
    <row r="48" spans="1:37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</row>
    <row r="50" spans="1:25" x14ac:dyDescent="0.25">
      <c r="A50" t="s">
        <v>176</v>
      </c>
      <c r="B50" s="13" t="s">
        <v>190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0.75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0.33446070888845997</v>
      </c>
      <c r="C55" t="s">
        <v>67</v>
      </c>
      <c r="D55" s="54" t="s">
        <v>165</v>
      </c>
      <c r="E55" s="1">
        <f ca="1">OFFSET(X52,MATCH(E54,X53:X73,0),1)</f>
        <v>10</v>
      </c>
      <c r="F55" s="7">
        <v>0</v>
      </c>
      <c r="G55" t="s">
        <v>175</v>
      </c>
      <c r="H55" s="48" t="s">
        <v>160</v>
      </c>
      <c r="I55" s="55">
        <f>E164</f>
        <v>-6.7224004141053229E-14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7.1178208426024669</v>
      </c>
      <c r="D56" s="54" t="s">
        <v>154</v>
      </c>
      <c r="E56" s="46">
        <f ca="1">IF(F55=0,0.7854*POWER(E54-(0.9743/E55),2),0.7854*POWER(E54-(0.9743/F55),2))</f>
        <v>0.33446070888845997</v>
      </c>
      <c r="F56" t="s">
        <v>67</v>
      </c>
      <c r="H56" s="50" t="s">
        <v>161</v>
      </c>
      <c r="I56" s="56">
        <f t="shared" ref="I56:J57" si="48">E165</f>
        <v>0</v>
      </c>
      <c r="J56" s="51" t="str">
        <f t="shared" si="48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8"/>
        <v>0</v>
      </c>
      <c r="J57" s="53" t="str">
        <f t="shared" si="48"/>
        <v>kip-in</v>
      </c>
      <c r="L57" s="1">
        <f>SQRT(POWER(I57,2)+POWER(I56,2)+POWER(I55,2))</f>
        <v>6.7224004141053229E-14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0.8125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0.51848550630534673</v>
      </c>
      <c r="F59" t="s">
        <v>67</v>
      </c>
      <c r="H59" s="10" t="s">
        <v>169</v>
      </c>
      <c r="I59" s="2">
        <v>200</v>
      </c>
      <c r="K59" t="s">
        <v>171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9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>required stress greater than allowed, upsize plate</v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4.6651398774934738E-2</v>
      </c>
      <c r="C64" t="s">
        <v>19</v>
      </c>
      <c r="D64" t="s">
        <v>34</v>
      </c>
      <c r="H64" s="17">
        <f>DEGREES(B64)</f>
        <v>2.6729282581855394</v>
      </c>
      <c r="I64" t="s">
        <v>41</v>
      </c>
      <c r="J64" s="3">
        <f>AJ32</f>
        <v>0.78539816339744828</v>
      </c>
      <c r="Q64" s="8">
        <f>J64</f>
        <v>0.78539816339744828</v>
      </c>
      <c r="X64">
        <v>1.75</v>
      </c>
      <c r="Y64">
        <v>5</v>
      </c>
    </row>
    <row r="65" spans="1:25" x14ac:dyDescent="0.25">
      <c r="A65" s="1" t="s">
        <v>40</v>
      </c>
      <c r="B65" s="24">
        <v>3.5534916717575551</v>
      </c>
      <c r="C65" t="s">
        <v>22</v>
      </c>
      <c r="D65" t="s">
        <v>29</v>
      </c>
      <c r="J65" s="1">
        <f>AE32</f>
        <v>9.8994949366116654</v>
      </c>
      <c r="Q65">
        <f>AE32</f>
        <v>9.8994949366116654</v>
      </c>
      <c r="X65">
        <v>2</v>
      </c>
      <c r="Y65">
        <v>4.5</v>
      </c>
    </row>
    <row r="66" spans="1:25" x14ac:dyDescent="0.25">
      <c r="A66" s="11" t="s">
        <v>42</v>
      </c>
      <c r="B66" s="24">
        <v>6.8911463341707249</v>
      </c>
      <c r="C66" t="s">
        <v>11</v>
      </c>
      <c r="D66">
        <f>B66/B53</f>
        <v>1.6913774140270336E-3</v>
      </c>
      <c r="I66" s="20"/>
      <c r="J66" s="4">
        <f>MAX(AC14:AC21)*2</f>
        <v>5.4690962099125349</v>
      </c>
      <c r="Q66">
        <f>MAX(AC14:AC21)</f>
        <v>2.7345481049562674</v>
      </c>
      <c r="X66">
        <v>2.25</v>
      </c>
      <c r="Y66">
        <v>4.5</v>
      </c>
    </row>
    <row r="67" spans="1:25" x14ac:dyDescent="0.25">
      <c r="A67" s="1" t="s">
        <v>37</v>
      </c>
      <c r="B67" s="24">
        <v>36.691033820080634</v>
      </c>
      <c r="C67" t="s">
        <v>36</v>
      </c>
      <c r="D67" t="s">
        <v>122</v>
      </c>
      <c r="G67" s="20">
        <f ca="1">($B$56*$B$66*$B$55*$E$122)/$B$65</f>
        <v>36.691033820080612</v>
      </c>
      <c r="H67" t="s">
        <v>36</v>
      </c>
      <c r="I67">
        <f ca="1">IF(B67=0,0,1-G67/B67)</f>
        <v>5.5511151231257827E-16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9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9"/>
        <v>1</v>
      </c>
      <c r="B73" s="4">
        <f t="shared" ref="B73:B81" si="50">B13-$B$9</f>
        <v>-7</v>
      </c>
      <c r="C73" s="4">
        <f t="shared" ref="C73:C81" si="51">C13-$C$9</f>
        <v>-7</v>
      </c>
      <c r="E73" s="1">
        <v>0</v>
      </c>
      <c r="F73" s="1">
        <v>0</v>
      </c>
      <c r="H73" s="1">
        <f t="shared" ref="H73:H81" si="52">A25</f>
        <v>1</v>
      </c>
      <c r="I73" s="4">
        <f>B25-$B$9</f>
        <v>-3</v>
      </c>
      <c r="J73" s="4">
        <f>C25-$C$9</f>
        <v>-4</v>
      </c>
      <c r="Q73" cm="1">
        <f t="array" ref="Q73">(-1*MAX(ABS(B84:C91)))-1</f>
        <v>-8.318825498605225</v>
      </c>
      <c r="R73">
        <f>Q73</f>
        <v>-8.318825498605225</v>
      </c>
      <c r="X73">
        <v>4</v>
      </c>
      <c r="Y73">
        <v>4</v>
      </c>
    </row>
    <row r="74" spans="1:25" x14ac:dyDescent="0.25">
      <c r="A74" s="1">
        <f t="shared" si="49"/>
        <v>2</v>
      </c>
      <c r="B74" s="4">
        <f t="shared" si="50"/>
        <v>7</v>
      </c>
      <c r="C74" s="4">
        <f t="shared" si="51"/>
        <v>-7</v>
      </c>
      <c r="H74" s="1">
        <f t="shared" si="52"/>
        <v>2</v>
      </c>
      <c r="I74" s="4">
        <f t="shared" ref="I74:I81" si="53">B26-$B$9</f>
        <v>-3</v>
      </c>
      <c r="J74" s="4">
        <f t="shared" ref="J74:J81" si="54">C26-$C$9</f>
        <v>4</v>
      </c>
      <c r="Q74">
        <f>-1*Q73</f>
        <v>8.318825498605225</v>
      </c>
      <c r="R74">
        <f>Q74</f>
        <v>8.318825498605225</v>
      </c>
    </row>
    <row r="75" spans="1:25" x14ac:dyDescent="0.25">
      <c r="A75" s="1">
        <f t="shared" si="49"/>
        <v>3</v>
      </c>
      <c r="B75" s="4">
        <f t="shared" si="50"/>
        <v>7</v>
      </c>
      <c r="C75" s="4">
        <f t="shared" si="51"/>
        <v>7</v>
      </c>
      <c r="H75" s="1">
        <f t="shared" si="52"/>
        <v>3</v>
      </c>
      <c r="I75" s="4">
        <f t="shared" si="53"/>
        <v>3</v>
      </c>
      <c r="J75" s="4">
        <f t="shared" si="54"/>
        <v>4</v>
      </c>
    </row>
    <row r="76" spans="1:25" x14ac:dyDescent="0.25">
      <c r="A76" s="1">
        <f t="shared" si="49"/>
        <v>4</v>
      </c>
      <c r="B76" s="4">
        <f t="shared" si="50"/>
        <v>-7</v>
      </c>
      <c r="C76" s="4">
        <f t="shared" si="51"/>
        <v>7</v>
      </c>
      <c r="H76" s="1">
        <f t="shared" si="52"/>
        <v>4</v>
      </c>
      <c r="I76" s="4">
        <f t="shared" si="53"/>
        <v>3</v>
      </c>
      <c r="J76" s="4">
        <f t="shared" si="54"/>
        <v>-4</v>
      </c>
    </row>
    <row r="77" spans="1:25" x14ac:dyDescent="0.25">
      <c r="A77" s="1">
        <f t="shared" si="49"/>
        <v>5</v>
      </c>
      <c r="B77" s="4">
        <f t="shared" si="50"/>
        <v>-7</v>
      </c>
      <c r="C77" s="4">
        <f t="shared" si="51"/>
        <v>-7</v>
      </c>
      <c r="H77" s="1">
        <f t="shared" si="52"/>
        <v>5</v>
      </c>
      <c r="I77" s="4">
        <f t="shared" si="53"/>
        <v>-3</v>
      </c>
      <c r="J77" s="4">
        <f t="shared" si="54"/>
        <v>-4</v>
      </c>
      <c r="Q77" t="s">
        <v>148</v>
      </c>
    </row>
    <row r="78" spans="1:25" x14ac:dyDescent="0.25">
      <c r="A78" s="1">
        <f t="shared" si="49"/>
        <v>6</v>
      </c>
      <c r="B78" s="4">
        <f t="shared" si="50"/>
        <v>-7</v>
      </c>
      <c r="C78" s="4">
        <f t="shared" si="51"/>
        <v>-7</v>
      </c>
      <c r="H78" s="1">
        <f t="shared" si="52"/>
        <v>6</v>
      </c>
      <c r="I78" s="4">
        <f t="shared" si="53"/>
        <v>-3</v>
      </c>
      <c r="J78" s="4">
        <f t="shared" si="54"/>
        <v>-4</v>
      </c>
      <c r="Q78" t="s">
        <v>27</v>
      </c>
      <c r="R78" t="s">
        <v>28</v>
      </c>
    </row>
    <row r="79" spans="1:25" x14ac:dyDescent="0.25">
      <c r="A79" s="1">
        <f t="shared" si="49"/>
        <v>7</v>
      </c>
      <c r="B79" s="4">
        <f t="shared" si="50"/>
        <v>-7</v>
      </c>
      <c r="C79" s="4">
        <f t="shared" si="51"/>
        <v>-7</v>
      </c>
      <c r="H79" s="1">
        <f t="shared" si="52"/>
        <v>7</v>
      </c>
      <c r="I79" s="4">
        <f t="shared" si="53"/>
        <v>-3</v>
      </c>
      <c r="J79" s="4">
        <f t="shared" si="54"/>
        <v>-4</v>
      </c>
      <c r="Q79">
        <f>(I126*COS(-1*$B$64))+(J126*SIN(-1*$B$64))</f>
        <v>-8.4853691709396184</v>
      </c>
      <c r="R79">
        <f>(-1*I126*SIN(-1*$B$64))+(J126*COS(-1*$B$64))</f>
        <v>3.3732931293789603</v>
      </c>
    </row>
    <row r="80" spans="1:25" x14ac:dyDescent="0.25">
      <c r="A80" s="1">
        <f t="shared" si="49"/>
        <v>8</v>
      </c>
      <c r="B80" s="4">
        <f t="shared" si="50"/>
        <v>-7</v>
      </c>
      <c r="C80" s="4">
        <f t="shared" si="51"/>
        <v>-7</v>
      </c>
      <c r="H80" s="1">
        <f t="shared" si="52"/>
        <v>8</v>
      </c>
      <c r="I80" s="4">
        <f t="shared" si="53"/>
        <v>-3</v>
      </c>
      <c r="J80" s="4">
        <f t="shared" si="54"/>
        <v>-4</v>
      </c>
      <c r="Q80">
        <f>(I127*COS(-1*$B$64))+(J127*SIN(-1*$B$64))</f>
        <v>8.1341804086569223</v>
      </c>
      <c r="R80">
        <f>(-1*I127*SIN(-1*$B$64))+(J127*COS(-1*$B$64))</f>
        <v>4.1491813148222034</v>
      </c>
    </row>
    <row r="81" spans="1:18" x14ac:dyDescent="0.25">
      <c r="A81" s="1">
        <f t="shared" si="49"/>
        <v>9</v>
      </c>
      <c r="B81" s="4">
        <f t="shared" si="50"/>
        <v>-7</v>
      </c>
      <c r="C81" s="4">
        <f t="shared" si="51"/>
        <v>-7</v>
      </c>
      <c r="H81" s="1">
        <f t="shared" si="52"/>
        <v>9</v>
      </c>
      <c r="I81" s="4">
        <f t="shared" si="53"/>
        <v>-3</v>
      </c>
      <c r="J81" s="4">
        <f t="shared" si="54"/>
        <v>-4</v>
      </c>
    </row>
    <row r="82" spans="1:18" x14ac:dyDescent="0.25">
      <c r="A82" t="s">
        <v>30</v>
      </c>
      <c r="B82" s="9"/>
      <c r="H82" t="s">
        <v>139</v>
      </c>
      <c r="Q82" s="4">
        <f>Q79+$B$9</f>
        <v>-1.4853691709396184</v>
      </c>
      <c r="R82" s="4">
        <f>R79+$C$9</f>
        <v>10.373293129378961</v>
      </c>
    </row>
    <row r="83" spans="1:18" x14ac:dyDescent="0.25">
      <c r="A83" s="1" t="str">
        <f t="shared" ref="A83:A92" si="55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15.134180408656922</v>
      </c>
      <c r="R83" s="4">
        <f>R80+$C$9</f>
        <v>11.149181314822204</v>
      </c>
    </row>
    <row r="84" spans="1:18" x14ac:dyDescent="0.25">
      <c r="A84" s="1">
        <f t="shared" si="55"/>
        <v>1</v>
      </c>
      <c r="B84" s="4">
        <f t="shared" ref="B84:B92" si="56">(B73*COS($B$64))+(C73*SIN($B$64))</f>
        <v>-7.3188254986052241</v>
      </c>
      <c r="C84" s="1">
        <f t="shared" ref="C84:C92" si="57">(-1*B73*SIN($B$64))+(C73*COS($B$64))</f>
        <v>-6.6659427931063133</v>
      </c>
      <c r="H84" s="1">
        <f t="shared" ref="H84:H92" si="58">H73</f>
        <v>1</v>
      </c>
      <c r="I84" s="4">
        <f>(I73*COS($B$64))+(J73*SIN($B$64))</f>
        <v>-3.1832739783664463</v>
      </c>
      <c r="J84" s="1">
        <f>(-1*I73*SIN($B$64))+(J73*COS($B$64))</f>
        <v>-3.8557446464535299</v>
      </c>
    </row>
    <row r="85" spans="1:18" x14ac:dyDescent="0.25">
      <c r="A85" s="1">
        <f t="shared" si="55"/>
        <v>2</v>
      </c>
      <c r="B85" s="4">
        <f t="shared" si="56"/>
        <v>6.6659427931063133</v>
      </c>
      <c r="C85" s="1">
        <f t="shared" si="57"/>
        <v>-7.3188254986052241</v>
      </c>
      <c r="H85" s="1">
        <f t="shared" si="58"/>
        <v>2</v>
      </c>
      <c r="I85" s="4">
        <f t="shared" ref="I85:I92" si="59">(I74*COS($B$64))+(J74*SIN($B$64))</f>
        <v>-2.8101981466527839</v>
      </c>
      <c r="J85" s="1">
        <f t="shared" ref="J85:J92" si="60">(-1*I74*SIN($B$64))+(J74*COS($B$64))</f>
        <v>4.1355515202387769</v>
      </c>
      <c r="Q85" t="s">
        <v>149</v>
      </c>
    </row>
    <row r="86" spans="1:18" x14ac:dyDescent="0.25">
      <c r="A86" s="1">
        <f t="shared" si="55"/>
        <v>3</v>
      </c>
      <c r="B86" s="4">
        <f t="shared" si="56"/>
        <v>7.3188254986052241</v>
      </c>
      <c r="C86" s="1">
        <f t="shared" si="57"/>
        <v>6.6659427931063133</v>
      </c>
      <c r="H86" s="1">
        <f t="shared" si="58"/>
        <v>3</v>
      </c>
      <c r="I86" s="4">
        <f t="shared" si="59"/>
        <v>3.1832739783664463</v>
      </c>
      <c r="J86" s="1">
        <f t="shared" si="60"/>
        <v>3.8557446464535299</v>
      </c>
      <c r="Q86" t="s">
        <v>27</v>
      </c>
      <c r="R86" t="s">
        <v>28</v>
      </c>
    </row>
    <row r="87" spans="1:18" x14ac:dyDescent="0.25">
      <c r="A87" s="1">
        <f t="shared" si="55"/>
        <v>4</v>
      </c>
      <c r="B87" s="4">
        <f t="shared" si="56"/>
        <v>-6.6659427931063133</v>
      </c>
      <c r="C87" s="1">
        <f t="shared" si="57"/>
        <v>7.3188254986052241</v>
      </c>
      <c r="H87" s="1">
        <f t="shared" si="58"/>
        <v>4</v>
      </c>
      <c r="I87" s="4">
        <f t="shared" si="59"/>
        <v>2.8101981466527839</v>
      </c>
      <c r="J87" s="1">
        <f t="shared" si="60"/>
        <v>-4.1355515202387769</v>
      </c>
      <c r="Q87">
        <f>(P142*COS(-1*$B$64))+(P143*SIN(-1*$B$64))</f>
        <v>-0.47046505294962393</v>
      </c>
      <c r="R87">
        <f>(-1*P142*SIN(-1*$B$64))+(P143*COS(-1*$B$64))</f>
        <v>5.9158237015700319</v>
      </c>
    </row>
    <row r="88" spans="1:18" x14ac:dyDescent="0.25">
      <c r="A88" s="1">
        <f t="shared" si="55"/>
        <v>5</v>
      </c>
      <c r="B88" s="4">
        <f t="shared" si="56"/>
        <v>-7.3188254986052241</v>
      </c>
      <c r="C88" s="1">
        <f t="shared" si="57"/>
        <v>-6.6659427931063133</v>
      </c>
      <c r="H88" s="1">
        <f t="shared" si="58"/>
        <v>5</v>
      </c>
      <c r="I88" s="4">
        <f t="shared" si="59"/>
        <v>-3.1832739783664463</v>
      </c>
      <c r="J88" s="1">
        <f t="shared" si="60"/>
        <v>-3.8557446464535299</v>
      </c>
    </row>
    <row r="89" spans="1:18" x14ac:dyDescent="0.25">
      <c r="A89" s="1">
        <f t="shared" si="55"/>
        <v>6</v>
      </c>
      <c r="B89" s="4">
        <f t="shared" si="56"/>
        <v>-7.3188254986052241</v>
      </c>
      <c r="C89" s="1">
        <f t="shared" si="57"/>
        <v>-6.6659427931063133</v>
      </c>
      <c r="H89" s="1">
        <f t="shared" si="58"/>
        <v>6</v>
      </c>
      <c r="I89" s="4">
        <f t="shared" si="59"/>
        <v>-3.1832739783664463</v>
      </c>
      <c r="J89" s="1">
        <f t="shared" si="60"/>
        <v>-3.8557446464535299</v>
      </c>
    </row>
    <row r="90" spans="1:18" x14ac:dyDescent="0.25">
      <c r="A90" s="1">
        <f t="shared" si="55"/>
        <v>7</v>
      </c>
      <c r="B90" s="4">
        <f t="shared" si="56"/>
        <v>-7.3188254986052241</v>
      </c>
      <c r="C90" s="1">
        <f t="shared" si="57"/>
        <v>-6.6659427931063133</v>
      </c>
      <c r="H90" s="1">
        <f t="shared" si="58"/>
        <v>7</v>
      </c>
      <c r="I90" s="4">
        <f t="shared" si="59"/>
        <v>-3.1832739783664463</v>
      </c>
      <c r="J90" s="1">
        <f t="shared" si="60"/>
        <v>-3.8557446464535299</v>
      </c>
      <c r="Q90" s="4">
        <f>Q87+$B$9</f>
        <v>6.5295349470503758</v>
      </c>
      <c r="R90" s="4">
        <f>R87+$C$9</f>
        <v>12.915823701570032</v>
      </c>
    </row>
    <row r="91" spans="1:18" x14ac:dyDescent="0.25">
      <c r="A91" s="1">
        <f t="shared" si="55"/>
        <v>8</v>
      </c>
      <c r="B91" s="4">
        <f t="shared" si="56"/>
        <v>-7.3188254986052241</v>
      </c>
      <c r="C91" s="1">
        <f t="shared" si="57"/>
        <v>-6.6659427931063133</v>
      </c>
      <c r="H91" s="1">
        <f t="shared" si="58"/>
        <v>8</v>
      </c>
      <c r="I91" s="4">
        <f t="shared" si="59"/>
        <v>-3.1832739783664463</v>
      </c>
      <c r="J91" s="1">
        <f t="shared" si="60"/>
        <v>-3.8557446464535299</v>
      </c>
    </row>
    <row r="92" spans="1:18" x14ac:dyDescent="0.25">
      <c r="A92" s="1">
        <f t="shared" si="55"/>
        <v>9</v>
      </c>
      <c r="B92" s="4">
        <f t="shared" si="56"/>
        <v>-7.3188254986052241</v>
      </c>
      <c r="C92" s="1">
        <f t="shared" si="57"/>
        <v>-6.6659427931063133</v>
      </c>
      <c r="H92" s="1">
        <f t="shared" si="58"/>
        <v>9</v>
      </c>
      <c r="I92" s="4">
        <f t="shared" si="59"/>
        <v>-3.1832739783664463</v>
      </c>
      <c r="J92" s="1">
        <f t="shared" si="60"/>
        <v>-3.8557446464535299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>
        <f>(P156*COS(-1*$B$64))+(P157*SIN(-1*$B$64))</f>
        <v>-1.0818300299270036</v>
      </c>
      <c r="R94">
        <f>(-1*P156*SIN(-1*$B$64))+(P157*COS(-1*$B$64))</f>
        <v>3.9063097882444695</v>
      </c>
    </row>
    <row r="95" spans="1:18" x14ac:dyDescent="0.25">
      <c r="A95">
        <f t="shared" ref="A95:A106" si="61">A37</f>
        <v>1</v>
      </c>
      <c r="B95" s="4">
        <f t="shared" ref="B95:B106" si="62">B37-$B$9</f>
        <v>-4</v>
      </c>
      <c r="C95" s="4">
        <f t="shared" ref="C95:C106" si="63">C37-$C$9</f>
        <v>-4</v>
      </c>
      <c r="D95" t="str">
        <f t="shared" ref="D95:D106" si="64">D37</f>
        <v>y</v>
      </c>
    </row>
    <row r="96" spans="1:18" x14ac:dyDescent="0.25">
      <c r="A96">
        <f t="shared" si="61"/>
        <v>2</v>
      </c>
      <c r="B96" s="4">
        <f t="shared" si="62"/>
        <v>4</v>
      </c>
      <c r="C96" s="4">
        <f t="shared" si="63"/>
        <v>-4</v>
      </c>
      <c r="D96" t="str">
        <f t="shared" si="64"/>
        <v>y</v>
      </c>
    </row>
    <row r="97" spans="1:28" x14ac:dyDescent="0.25">
      <c r="A97">
        <f t="shared" si="61"/>
        <v>3</v>
      </c>
      <c r="B97" s="4">
        <f t="shared" si="62"/>
        <v>-4</v>
      </c>
      <c r="C97" s="4">
        <f t="shared" si="63"/>
        <v>4</v>
      </c>
      <c r="D97" t="str">
        <f t="shared" si="64"/>
        <v>y</v>
      </c>
      <c r="Q97" s="4">
        <f>Q94+$B$9</f>
        <v>5.9181699700729968</v>
      </c>
      <c r="R97" s="4">
        <f>R94+$C$9</f>
        <v>10.906309788244469</v>
      </c>
    </row>
    <row r="98" spans="1:28" x14ac:dyDescent="0.25">
      <c r="A98">
        <f t="shared" si="61"/>
        <v>4</v>
      </c>
      <c r="B98" s="4">
        <f t="shared" si="62"/>
        <v>4</v>
      </c>
      <c r="C98" s="4">
        <f t="shared" si="63"/>
        <v>4</v>
      </c>
      <c r="D98" t="str">
        <f t="shared" si="64"/>
        <v>y</v>
      </c>
    </row>
    <row r="99" spans="1:28" x14ac:dyDescent="0.25">
      <c r="A99">
        <f t="shared" si="61"/>
        <v>5</v>
      </c>
      <c r="B99" s="4">
        <f t="shared" si="62"/>
        <v>-4</v>
      </c>
      <c r="C99" s="4">
        <f t="shared" si="63"/>
        <v>-1.5</v>
      </c>
      <c r="D99" t="str">
        <f t="shared" si="64"/>
        <v>y</v>
      </c>
    </row>
    <row r="100" spans="1:28" x14ac:dyDescent="0.25">
      <c r="A100">
        <f t="shared" si="61"/>
        <v>6</v>
      </c>
      <c r="B100" s="4">
        <f t="shared" si="62"/>
        <v>4</v>
      </c>
      <c r="C100" s="4">
        <f t="shared" si="63"/>
        <v>-1.5</v>
      </c>
      <c r="D100" t="str">
        <f t="shared" si="64"/>
        <v>y</v>
      </c>
    </row>
    <row r="101" spans="1:28" x14ac:dyDescent="0.25">
      <c r="A101">
        <f t="shared" si="61"/>
        <v>7</v>
      </c>
      <c r="B101" s="4">
        <f t="shared" si="62"/>
        <v>-4</v>
      </c>
      <c r="C101" s="4">
        <f t="shared" si="63"/>
        <v>1.5</v>
      </c>
      <c r="D101" t="str">
        <f t="shared" si="64"/>
        <v>y</v>
      </c>
    </row>
    <row r="102" spans="1:28" x14ac:dyDescent="0.25">
      <c r="A102">
        <f t="shared" si="61"/>
        <v>8</v>
      </c>
      <c r="B102" s="4">
        <f t="shared" si="62"/>
        <v>4</v>
      </c>
      <c r="C102" s="4">
        <f t="shared" si="63"/>
        <v>1.5</v>
      </c>
      <c r="D102" t="str">
        <f t="shared" si="64"/>
        <v>y</v>
      </c>
    </row>
    <row r="103" spans="1:28" x14ac:dyDescent="0.25">
      <c r="A103">
        <f t="shared" si="61"/>
        <v>9</v>
      </c>
      <c r="B103" s="4">
        <f t="shared" si="62"/>
        <v>-7</v>
      </c>
      <c r="C103" s="4">
        <f t="shared" si="63"/>
        <v>-7</v>
      </c>
      <c r="D103" t="str">
        <f t="shared" si="64"/>
        <v>n</v>
      </c>
    </row>
    <row r="104" spans="1:28" x14ac:dyDescent="0.25">
      <c r="A104">
        <f t="shared" si="61"/>
        <v>10</v>
      </c>
      <c r="B104" s="4">
        <f t="shared" si="62"/>
        <v>-7</v>
      </c>
      <c r="C104" s="4">
        <f t="shared" si="63"/>
        <v>-7</v>
      </c>
      <c r="D104" t="str">
        <f t="shared" si="64"/>
        <v>n</v>
      </c>
    </row>
    <row r="105" spans="1:28" x14ac:dyDescent="0.25">
      <c r="A105">
        <f t="shared" si="61"/>
        <v>11</v>
      </c>
      <c r="B105" s="4">
        <f t="shared" si="62"/>
        <v>-7</v>
      </c>
      <c r="C105" s="4">
        <f t="shared" si="63"/>
        <v>-7</v>
      </c>
      <c r="D105" t="str">
        <f t="shared" si="64"/>
        <v>n</v>
      </c>
    </row>
    <row r="106" spans="1:28" x14ac:dyDescent="0.25">
      <c r="A106">
        <f t="shared" si="61"/>
        <v>12</v>
      </c>
      <c r="B106" s="4">
        <f t="shared" si="62"/>
        <v>-7</v>
      </c>
      <c r="C106" s="4">
        <f t="shared" si="63"/>
        <v>-7</v>
      </c>
      <c r="D106" t="str">
        <f t="shared" si="64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-4.1821859992029848</v>
      </c>
      <c r="C110" s="1">
        <f>(-1*B95*SIN($B$64))+(C95*COS($B$64))</f>
        <v>-3.8091101674893224</v>
      </c>
      <c r="D110" t="str">
        <f t="shared" ref="D110" si="65">D95</f>
        <v>y</v>
      </c>
      <c r="E110" s="4">
        <f t="shared" ref="E110:E121" si="66">IF($D110="y",$B$125-C110,0)</f>
        <v>7.5744439943369919</v>
      </c>
      <c r="F110" s="1">
        <f>IF($D110="y",B110,NA())</f>
        <v>-4.1821859992029848</v>
      </c>
      <c r="G110" s="1">
        <f>IF($D110="y",C110,NA())</f>
        <v>-3.8091101674893224</v>
      </c>
      <c r="H110">
        <f t="shared" ref="H110:H121" si="67">IF($E$122=0,0,-1*MAX(($B$67/$E$122)*(E110),0))</f>
        <v>-34.968667816790919</v>
      </c>
      <c r="I110">
        <f>H110*C110</f>
        <v>133.19950812449494</v>
      </c>
      <c r="J110">
        <f>H110*B110*-1</f>
        <v>-146.24547295416298</v>
      </c>
      <c r="K110">
        <f ca="1">H110/$B$55</f>
        <v>-104.55239401066</v>
      </c>
      <c r="L110">
        <f ca="1">K110/$B$54</f>
        <v>-3.6052549658848274E-3</v>
      </c>
      <c r="M110">
        <f t="shared" ref="M110:M121" si="68">IFERROR(($D$66/$B$65)*(G110-$B$125),0)</f>
        <v>-3.6052549658848257E-3</v>
      </c>
      <c r="N110">
        <f t="shared" ref="N110:N121" si="69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-4.1821859992029848</v>
      </c>
      <c r="R110">
        <f>IF($H110&lt;0,G110,NA())</f>
        <v>-3.8091101674893224</v>
      </c>
      <c r="T110">
        <f>(Q110*COS(-1*$B$64))+(R110*SIN(-1*$B$64))</f>
        <v>-4.0000000000000009</v>
      </c>
      <c r="U110">
        <f>(-1*Q110*SIN(-1*$B$64))+(R110*COS(-1*$B$64))</f>
        <v>-4.0000000000000009</v>
      </c>
      <c r="W110" s="4">
        <f>T110+$B$9</f>
        <v>2.9999999999999991</v>
      </c>
      <c r="X110" s="4">
        <f>U110+$C$9</f>
        <v>2.9999999999999991</v>
      </c>
      <c r="Y110">
        <f t="shared" ref="Y110:Y121" si="70">IF(AND($E$60="n",M110&gt;0,D110="y"),M110*$B$53*$E$59,0)</f>
        <v>0</v>
      </c>
      <c r="AB110" t="str">
        <f t="shared" ref="AB110:AB121" si="71">IF(H110&lt;&gt;0,CHAR(10)&amp;CHAR(10)&amp;ROUND(ABS(H110),4)&amp;" kips",IF(AND($E$60="n",D110="y"),CHAR(10)&amp;CHAR(10)&amp;ROUND(ABS(Y110),4)&amp;" kips",""))</f>
        <v xml:space="preserve">
34.9687 kips</v>
      </c>
    </row>
    <row r="111" spans="1:28" x14ac:dyDescent="0.25">
      <c r="A111">
        <f t="shared" ref="A111:D111" si="72">A96</f>
        <v>2</v>
      </c>
      <c r="B111" s="1">
        <f t="shared" ref="B111:B121" si="73">(B96*COS($B$64))+(C96*SIN($B$64))</f>
        <v>3.8091101674893224</v>
      </c>
      <c r="C111" s="1">
        <f t="shared" ref="C111:C121" si="74">(-1*B96*SIN($B$64))+(C96*COS($B$64))</f>
        <v>-4.1821859992029848</v>
      </c>
      <c r="D111" t="str">
        <f t="shared" si="72"/>
        <v>y</v>
      </c>
      <c r="E111" s="4">
        <f t="shared" si="66"/>
        <v>7.9475198260506534</v>
      </c>
      <c r="F111" s="1">
        <f t="shared" ref="F111:F121" si="75">IF($D111="y",B111,NA())</f>
        <v>3.8091101674893224</v>
      </c>
      <c r="G111" s="1">
        <f t="shared" ref="G111:G121" si="76">IF($D111="y",C111,NA())</f>
        <v>-4.1821859992029848</v>
      </c>
      <c r="H111">
        <f t="shared" si="67"/>
        <v>-36.691033820080634</v>
      </c>
      <c r="I111">
        <f t="shared" ref="I111:I121" si="77">H111*C111</f>
        <v>153.44872793862444</v>
      </c>
      <c r="J111">
        <f t="shared" ref="J111:J121" si="78">H111*B111*-1</f>
        <v>139.76018997976374</v>
      </c>
      <c r="K111">
        <f ca="1">H111/$B$55</f>
        <v>-109.70207514664094</v>
      </c>
      <c r="L111">
        <f t="shared" ref="L111:L121" ca="1" si="79">K111/$B$54</f>
        <v>-3.782830177470377E-3</v>
      </c>
      <c r="M111">
        <f t="shared" si="68"/>
        <v>-3.7828301774703757E-3</v>
      </c>
      <c r="N111">
        <f t="shared" si="69"/>
        <v>0</v>
      </c>
      <c r="O111">
        <f t="shared" ref="O111:O121" si="80">N111*C111</f>
        <v>0</v>
      </c>
      <c r="P111">
        <f t="shared" ref="P111:P121" si="81">N111*B111*-1</f>
        <v>0</v>
      </c>
      <c r="Q111">
        <f t="shared" ref="Q111:Q121" si="82">IF($H111&lt;0,F111,NA())</f>
        <v>3.8091101674893224</v>
      </c>
      <c r="R111">
        <f t="shared" ref="R111:R121" si="83">IF($H111&lt;0,G111,NA())</f>
        <v>-4.1821859992029848</v>
      </c>
      <c r="T111">
        <f t="shared" ref="T111:T121" si="84">(Q111*COS(-1*$B$64))+(R111*SIN(-1*$B$64))</f>
        <v>4.0000000000000009</v>
      </c>
      <c r="U111">
        <f t="shared" ref="U111:U121" si="85">(-1*Q111*SIN(-1*$B$64))+(R111*COS(-1*$B$64))</f>
        <v>-4.0000000000000009</v>
      </c>
      <c r="W111" s="4">
        <f t="shared" ref="W111:W121" si="86">T111+$B$9</f>
        <v>11</v>
      </c>
      <c r="X111" s="4">
        <f t="shared" ref="X111:X121" si="87">U111+$C$9</f>
        <v>2.9999999999999991</v>
      </c>
      <c r="Y111">
        <f t="shared" si="70"/>
        <v>0</v>
      </c>
      <c r="AB111" t="str">
        <f t="shared" si="71"/>
        <v xml:space="preserve">
36.691 kips</v>
      </c>
    </row>
    <row r="112" spans="1:28" x14ac:dyDescent="0.25">
      <c r="A112">
        <f t="shared" ref="A112:D112" si="88">A97</f>
        <v>3</v>
      </c>
      <c r="B112" s="1">
        <f t="shared" si="73"/>
        <v>-3.8091101674893224</v>
      </c>
      <c r="C112" s="1">
        <f t="shared" si="74"/>
        <v>4.1821859992029848</v>
      </c>
      <c r="D112" t="str">
        <f t="shared" si="88"/>
        <v>y</v>
      </c>
      <c r="E112" s="4">
        <f t="shared" si="66"/>
        <v>-0.4168521723553158</v>
      </c>
      <c r="F112" s="1">
        <f t="shared" si="75"/>
        <v>-3.8091101674893224</v>
      </c>
      <c r="G112" s="1">
        <f t="shared" si="76"/>
        <v>4.1821859992029848</v>
      </c>
      <c r="H112">
        <f t="shared" si="67"/>
        <v>0</v>
      </c>
      <c r="I112">
        <f t="shared" si="77"/>
        <v>0</v>
      </c>
      <c r="J112">
        <f t="shared" si="78"/>
        <v>0</v>
      </c>
      <c r="K112">
        <f t="shared" ref="K112:K121" ca="1" si="89">H112/$B$55</f>
        <v>0</v>
      </c>
      <c r="L112">
        <f t="shared" ca="1" si="79"/>
        <v>0</v>
      </c>
      <c r="M112">
        <f t="shared" si="68"/>
        <v>1.9841170725501259E-4</v>
      </c>
      <c r="N112">
        <f t="shared" si="69"/>
        <v>0.41913589935299528</v>
      </c>
      <c r="O112">
        <f t="shared" si="80"/>
        <v>1.7529042900374483</v>
      </c>
      <c r="P112">
        <f t="shared" si="81"/>
        <v>1.5965348157852757</v>
      </c>
      <c r="Q112" t="e">
        <f t="shared" si="82"/>
        <v>#N/A</v>
      </c>
      <c r="R112" t="e">
        <f t="shared" si="83"/>
        <v>#N/A</v>
      </c>
      <c r="T112" t="e">
        <f t="shared" si="84"/>
        <v>#N/A</v>
      </c>
      <c r="U112" t="e">
        <f t="shared" si="85"/>
        <v>#N/A</v>
      </c>
      <c r="W112" s="4" t="e">
        <f t="shared" si="86"/>
        <v>#N/A</v>
      </c>
      <c r="X112" s="4" t="e">
        <f t="shared" si="87"/>
        <v>#N/A</v>
      </c>
      <c r="Y112">
        <f t="shared" si="70"/>
        <v>0</v>
      </c>
      <c r="AB112" t="str">
        <f t="shared" si="71"/>
        <v/>
      </c>
    </row>
    <row r="113" spans="1:28" x14ac:dyDescent="0.25">
      <c r="A113">
        <f t="shared" ref="A113:D113" si="90">A98</f>
        <v>4</v>
      </c>
      <c r="B113" s="1">
        <f t="shared" si="73"/>
        <v>4.1821859992029848</v>
      </c>
      <c r="C113" s="1">
        <f t="shared" si="74"/>
        <v>3.8091101674893224</v>
      </c>
      <c r="D113" t="str">
        <f t="shared" si="90"/>
        <v>y</v>
      </c>
      <c r="E113" s="4">
        <f t="shared" si="66"/>
        <v>-4.3776340641653366E-2</v>
      </c>
      <c r="F113" s="1">
        <f t="shared" si="75"/>
        <v>4.1821859992029848</v>
      </c>
      <c r="G113" s="1">
        <f t="shared" si="76"/>
        <v>3.8091101674893224</v>
      </c>
      <c r="H113">
        <f t="shared" si="67"/>
        <v>0</v>
      </c>
      <c r="I113">
        <f t="shared" si="77"/>
        <v>0</v>
      </c>
      <c r="J113">
        <f t="shared" si="78"/>
        <v>0</v>
      </c>
      <c r="K113">
        <f t="shared" ca="1" si="89"/>
        <v>0</v>
      </c>
      <c r="L113">
        <f t="shared" ca="1" si="79"/>
        <v>0</v>
      </c>
      <c r="M113">
        <f t="shared" si="68"/>
        <v>2.0836495669462176E-5</v>
      </c>
      <c r="N113">
        <f t="shared" si="69"/>
        <v>4.4016169572897952E-2</v>
      </c>
      <c r="O113">
        <f t="shared" si="80"/>
        <v>0.16766243905405973</v>
      </c>
      <c r="P113">
        <f t="shared" si="81"/>
        <v>-0.18408380812631825</v>
      </c>
      <c r="Q113" t="e">
        <f t="shared" si="82"/>
        <v>#N/A</v>
      </c>
      <c r="R113" t="e">
        <f t="shared" si="83"/>
        <v>#N/A</v>
      </c>
      <c r="T113" t="e">
        <f t="shared" si="84"/>
        <v>#N/A</v>
      </c>
      <c r="U113" t="e">
        <f t="shared" si="85"/>
        <v>#N/A</v>
      </c>
      <c r="W113" s="4" t="e">
        <f t="shared" si="86"/>
        <v>#N/A</v>
      </c>
      <c r="X113" s="4" t="e">
        <f t="shared" si="87"/>
        <v>#N/A</v>
      </c>
      <c r="Y113">
        <f t="shared" si="70"/>
        <v>0</v>
      </c>
      <c r="AB113" t="str">
        <f t="shared" si="71"/>
        <v/>
      </c>
    </row>
    <row r="114" spans="1:28" x14ac:dyDescent="0.25">
      <c r="A114">
        <f t="shared" ref="A114:D114" si="91">A99</f>
        <v>5</v>
      </c>
      <c r="B114" s="1">
        <f t="shared" si="73"/>
        <v>-4.0655998017924651</v>
      </c>
      <c r="C114" s="1">
        <f t="shared" si="74"/>
        <v>-1.3118301153979761</v>
      </c>
      <c r="D114" t="str">
        <f t="shared" si="91"/>
        <v>y</v>
      </c>
      <c r="E114" s="4">
        <f t="shared" si="66"/>
        <v>5.0771639422456456</v>
      </c>
      <c r="F114" s="1">
        <f t="shared" si="75"/>
        <v>-4.0655998017924651</v>
      </c>
      <c r="G114" s="1">
        <f t="shared" si="76"/>
        <v>-1.3118301153979761</v>
      </c>
      <c r="H114">
        <f t="shared" si="67"/>
        <v>-23.439563284184956</v>
      </c>
      <c r="I114">
        <f t="shared" si="77"/>
        <v>30.748725007970513</v>
      </c>
      <c r="J114">
        <f t="shared" si="78"/>
        <v>-95.295883842284297</v>
      </c>
      <c r="K114">
        <f t="shared" ca="1" si="89"/>
        <v>-70.08166478533019</v>
      </c>
      <c r="L114">
        <f t="shared" ca="1" si="79"/>
        <v>-2.4166091305286271E-3</v>
      </c>
      <c r="M114">
        <f t="shared" si="68"/>
        <v>-2.4166091305286262E-3</v>
      </c>
      <c r="N114">
        <f t="shared" si="69"/>
        <v>0</v>
      </c>
      <c r="O114">
        <f t="shared" si="80"/>
        <v>0</v>
      </c>
      <c r="P114">
        <f t="shared" si="81"/>
        <v>0</v>
      </c>
      <c r="Q114">
        <f t="shared" si="82"/>
        <v>-4.0655998017924651</v>
      </c>
      <c r="R114">
        <f t="shared" si="83"/>
        <v>-1.3118301153979761</v>
      </c>
      <c r="T114">
        <f t="shared" si="84"/>
        <v>-3.9999999999999996</v>
      </c>
      <c r="U114">
        <f t="shared" si="85"/>
        <v>-1.5</v>
      </c>
      <c r="W114" s="4">
        <f t="shared" si="86"/>
        <v>3.0000000000000004</v>
      </c>
      <c r="X114" s="4">
        <f t="shared" si="87"/>
        <v>5.5</v>
      </c>
      <c r="Y114">
        <f t="shared" si="70"/>
        <v>0</v>
      </c>
      <c r="AB114" t="str">
        <f t="shared" si="71"/>
        <v xml:space="preserve">
23.4396 kips</v>
      </c>
    </row>
    <row r="115" spans="1:28" x14ac:dyDescent="0.25">
      <c r="A115">
        <f t="shared" ref="A115:D115" si="92">A100</f>
        <v>6</v>
      </c>
      <c r="B115" s="1">
        <f t="shared" si="73"/>
        <v>3.9256963648998418</v>
      </c>
      <c r="C115" s="1">
        <f t="shared" si="74"/>
        <v>-1.684905947111639</v>
      </c>
      <c r="D115" t="str">
        <f t="shared" si="92"/>
        <v>y</v>
      </c>
      <c r="E115" s="4">
        <f t="shared" si="66"/>
        <v>5.450239773959308</v>
      </c>
      <c r="F115" s="1">
        <f t="shared" si="75"/>
        <v>3.9256963648998418</v>
      </c>
      <c r="G115" s="1">
        <f t="shared" si="76"/>
        <v>-1.684905947111639</v>
      </c>
      <c r="H115">
        <f t="shared" si="67"/>
        <v>-25.161929287474681</v>
      </c>
      <c r="I115">
        <f t="shared" si="77"/>
        <v>42.395484297268617</v>
      </c>
      <c r="J115">
        <f t="shared" si="78"/>
        <v>98.778094337706221</v>
      </c>
      <c r="K115">
        <f t="shared" ca="1" si="89"/>
        <v>-75.23134592131116</v>
      </c>
      <c r="L115">
        <f t="shared" ca="1" si="79"/>
        <v>-2.5941843421141779E-3</v>
      </c>
      <c r="M115">
        <f t="shared" si="68"/>
        <v>-2.5941843421141766E-3</v>
      </c>
      <c r="N115">
        <f t="shared" si="69"/>
        <v>0</v>
      </c>
      <c r="O115">
        <f t="shared" si="80"/>
        <v>0</v>
      </c>
      <c r="P115">
        <f t="shared" si="81"/>
        <v>0</v>
      </c>
      <c r="Q115">
        <f t="shared" si="82"/>
        <v>3.9256963648998418</v>
      </c>
      <c r="R115">
        <f t="shared" si="83"/>
        <v>-1.684905947111639</v>
      </c>
      <c r="T115">
        <f t="shared" si="84"/>
        <v>4</v>
      </c>
      <c r="U115">
        <f t="shared" si="85"/>
        <v>-1.5</v>
      </c>
      <c r="W115" s="4">
        <f t="shared" si="86"/>
        <v>11</v>
      </c>
      <c r="X115" s="4">
        <f t="shared" si="87"/>
        <v>5.5</v>
      </c>
      <c r="Y115">
        <f t="shared" si="70"/>
        <v>0</v>
      </c>
      <c r="AB115" t="str">
        <f t="shared" si="71"/>
        <v xml:space="preserve">
25.1619 kips</v>
      </c>
    </row>
    <row r="116" spans="1:28" x14ac:dyDescent="0.25">
      <c r="A116">
        <f t="shared" ref="A116:D116" si="93">A101</f>
        <v>7</v>
      </c>
      <c r="B116" s="1">
        <f t="shared" si="73"/>
        <v>-3.9256963648998418</v>
      </c>
      <c r="C116" s="1">
        <f t="shared" si="74"/>
        <v>1.684905947111639</v>
      </c>
      <c r="D116" t="str">
        <f t="shared" si="93"/>
        <v>y</v>
      </c>
      <c r="E116" s="4">
        <f t="shared" si="66"/>
        <v>2.0804278797360301</v>
      </c>
      <c r="F116" s="1">
        <f t="shared" si="75"/>
        <v>-3.9256963648998418</v>
      </c>
      <c r="G116" s="1">
        <f t="shared" si="76"/>
        <v>1.684905947111639</v>
      </c>
      <c r="H116">
        <f t="shared" si="67"/>
        <v>-9.6046378450578054</v>
      </c>
      <c r="I116">
        <f t="shared" si="77"/>
        <v>-16.182911424991413</v>
      </c>
      <c r="J116">
        <f t="shared" si="78"/>
        <v>-37.704891874522879</v>
      </c>
      <c r="K116">
        <f t="shared" ca="1" si="89"/>
        <v>-28.716789714934428</v>
      </c>
      <c r="L116">
        <f t="shared" ca="1" si="79"/>
        <v>-9.902341281011872E-4</v>
      </c>
      <c r="M116">
        <f t="shared" si="68"/>
        <v>-9.9023412810118677E-4</v>
      </c>
      <c r="N116">
        <f t="shared" si="69"/>
        <v>0</v>
      </c>
      <c r="O116">
        <f t="shared" si="80"/>
        <v>0</v>
      </c>
      <c r="P116">
        <f t="shared" si="81"/>
        <v>0</v>
      </c>
      <c r="Q116">
        <f t="shared" si="82"/>
        <v>-3.9256963648998418</v>
      </c>
      <c r="R116">
        <f t="shared" si="83"/>
        <v>1.684905947111639</v>
      </c>
      <c r="T116">
        <f t="shared" si="84"/>
        <v>-4</v>
      </c>
      <c r="U116">
        <f t="shared" si="85"/>
        <v>1.5</v>
      </c>
      <c r="W116" s="4">
        <f t="shared" si="86"/>
        <v>3</v>
      </c>
      <c r="X116" s="4">
        <f t="shared" si="87"/>
        <v>8.5</v>
      </c>
      <c r="Y116">
        <f t="shared" si="70"/>
        <v>0</v>
      </c>
      <c r="AB116" t="str">
        <f t="shared" si="71"/>
        <v xml:space="preserve">
9.6046 kips</v>
      </c>
    </row>
    <row r="117" spans="1:28" x14ac:dyDescent="0.25">
      <c r="A117">
        <f t="shared" ref="A117:D117" si="94">A102</f>
        <v>8</v>
      </c>
      <c r="B117" s="1">
        <f t="shared" si="73"/>
        <v>4.0655998017924651</v>
      </c>
      <c r="C117" s="1">
        <f t="shared" si="74"/>
        <v>1.3118301153979761</v>
      </c>
      <c r="D117" t="str">
        <f t="shared" si="94"/>
        <v>y</v>
      </c>
      <c r="E117" s="4">
        <f t="shared" si="66"/>
        <v>2.4535037114496929</v>
      </c>
      <c r="F117" s="1">
        <f t="shared" si="75"/>
        <v>4.0655998017924651</v>
      </c>
      <c r="G117" s="1">
        <f t="shared" si="76"/>
        <v>1.3118301153979761</v>
      </c>
      <c r="H117">
        <f t="shared" si="67"/>
        <v>-11.32700384834753</v>
      </c>
      <c r="I117">
        <f t="shared" si="77"/>
        <v>-14.859104765491061</v>
      </c>
      <c r="J117">
        <f t="shared" si="78"/>
        <v>46.051064600744205</v>
      </c>
      <c r="K117">
        <f t="shared" ca="1" si="89"/>
        <v>-33.866470850915398</v>
      </c>
      <c r="L117">
        <f t="shared" ca="1" si="79"/>
        <v>-1.1678093396867378E-3</v>
      </c>
      <c r="M117">
        <f t="shared" si="68"/>
        <v>-1.1678093396867372E-3</v>
      </c>
      <c r="N117">
        <f t="shared" si="69"/>
        <v>0</v>
      </c>
      <c r="O117">
        <f t="shared" si="80"/>
        <v>0</v>
      </c>
      <c r="P117">
        <f t="shared" si="81"/>
        <v>0</v>
      </c>
      <c r="Q117">
        <f t="shared" si="82"/>
        <v>4.0655998017924651</v>
      </c>
      <c r="R117">
        <f t="shared" si="83"/>
        <v>1.3118301153979761</v>
      </c>
      <c r="T117">
        <f t="shared" si="84"/>
        <v>3.9999999999999996</v>
      </c>
      <c r="U117">
        <f t="shared" si="85"/>
        <v>1.5</v>
      </c>
      <c r="W117" s="4">
        <f t="shared" si="86"/>
        <v>11</v>
      </c>
      <c r="X117" s="4">
        <f t="shared" si="87"/>
        <v>8.5</v>
      </c>
      <c r="Y117">
        <f t="shared" si="70"/>
        <v>0</v>
      </c>
      <c r="AB117" t="str">
        <f t="shared" si="71"/>
        <v xml:space="preserve">
11.327 kips</v>
      </c>
    </row>
    <row r="118" spans="1:28" x14ac:dyDescent="0.25">
      <c r="A118">
        <f t="shared" ref="A118:D118" si="95">A103</f>
        <v>9</v>
      </c>
      <c r="B118" s="1">
        <f t="shared" si="73"/>
        <v>-7.3188254986052241</v>
      </c>
      <c r="C118" s="1">
        <f t="shared" si="74"/>
        <v>-6.6659427931063133</v>
      </c>
      <c r="D118" t="str">
        <f t="shared" si="95"/>
        <v>n</v>
      </c>
      <c r="E118" s="4">
        <f t="shared" si="66"/>
        <v>0</v>
      </c>
      <c r="F118" s="1" t="e">
        <f t="shared" si="75"/>
        <v>#N/A</v>
      </c>
      <c r="G118" s="1" t="e">
        <f t="shared" si="76"/>
        <v>#N/A</v>
      </c>
      <c r="H118">
        <f t="shared" si="67"/>
        <v>0</v>
      </c>
      <c r="I118">
        <f t="shared" si="77"/>
        <v>0</v>
      </c>
      <c r="J118">
        <f t="shared" si="78"/>
        <v>0</v>
      </c>
      <c r="K118">
        <f t="shared" ca="1" si="89"/>
        <v>0</v>
      </c>
      <c r="L118">
        <f t="shared" ca="1" si="79"/>
        <v>0</v>
      </c>
      <c r="M118">
        <f t="shared" si="68"/>
        <v>0</v>
      </c>
      <c r="N118">
        <f t="shared" si="69"/>
        <v>0</v>
      </c>
      <c r="O118">
        <f t="shared" si="80"/>
        <v>0</v>
      </c>
      <c r="P118">
        <f t="shared" si="81"/>
        <v>0</v>
      </c>
      <c r="Q118" t="e">
        <f t="shared" si="82"/>
        <v>#N/A</v>
      </c>
      <c r="R118" t="e">
        <f t="shared" si="83"/>
        <v>#N/A</v>
      </c>
      <c r="T118" t="e">
        <f t="shared" si="84"/>
        <v>#N/A</v>
      </c>
      <c r="U118" t="e">
        <f t="shared" si="85"/>
        <v>#N/A</v>
      </c>
      <c r="W118" s="4" t="e">
        <f t="shared" si="86"/>
        <v>#N/A</v>
      </c>
      <c r="X118" s="4" t="e">
        <f t="shared" si="87"/>
        <v>#N/A</v>
      </c>
      <c r="Y118">
        <f t="shared" si="70"/>
        <v>0</v>
      </c>
      <c r="AB118" t="str">
        <f t="shared" si="71"/>
        <v/>
      </c>
    </row>
    <row r="119" spans="1:28" x14ac:dyDescent="0.25">
      <c r="A119">
        <f t="shared" ref="A119:D119" si="96">A104</f>
        <v>10</v>
      </c>
      <c r="B119" s="1">
        <f t="shared" si="73"/>
        <v>-7.3188254986052241</v>
      </c>
      <c r="C119" s="1">
        <f t="shared" si="74"/>
        <v>-6.6659427931063133</v>
      </c>
      <c r="D119" t="str">
        <f t="shared" si="96"/>
        <v>n</v>
      </c>
      <c r="E119" s="4">
        <f t="shared" si="66"/>
        <v>0</v>
      </c>
      <c r="F119" s="1" t="e">
        <f t="shared" si="75"/>
        <v>#N/A</v>
      </c>
      <c r="G119" s="1" t="e">
        <f t="shared" si="76"/>
        <v>#N/A</v>
      </c>
      <c r="H119">
        <f t="shared" si="67"/>
        <v>0</v>
      </c>
      <c r="I119">
        <f t="shared" si="77"/>
        <v>0</v>
      </c>
      <c r="J119">
        <f t="shared" si="78"/>
        <v>0</v>
      </c>
      <c r="K119">
        <f t="shared" ca="1" si="89"/>
        <v>0</v>
      </c>
      <c r="L119">
        <f t="shared" ca="1" si="79"/>
        <v>0</v>
      </c>
      <c r="M119">
        <f t="shared" si="68"/>
        <v>0</v>
      </c>
      <c r="N119">
        <f t="shared" si="69"/>
        <v>0</v>
      </c>
      <c r="O119">
        <f t="shared" si="80"/>
        <v>0</v>
      </c>
      <c r="P119">
        <f t="shared" si="81"/>
        <v>0</v>
      </c>
      <c r="Q119" t="e">
        <f t="shared" si="82"/>
        <v>#N/A</v>
      </c>
      <c r="R119" t="e">
        <f t="shared" si="83"/>
        <v>#N/A</v>
      </c>
      <c r="T119" t="e">
        <f t="shared" si="84"/>
        <v>#N/A</v>
      </c>
      <c r="U119" t="e">
        <f t="shared" si="85"/>
        <v>#N/A</v>
      </c>
      <c r="W119" s="4" t="e">
        <f t="shared" si="86"/>
        <v>#N/A</v>
      </c>
      <c r="X119" s="4" t="e">
        <f t="shared" si="87"/>
        <v>#N/A</v>
      </c>
      <c r="Y119">
        <f t="shared" si="70"/>
        <v>0</v>
      </c>
      <c r="AB119" t="str">
        <f t="shared" si="71"/>
        <v/>
      </c>
    </row>
    <row r="120" spans="1:28" x14ac:dyDescent="0.25">
      <c r="A120">
        <f t="shared" ref="A120:D120" si="97">A105</f>
        <v>11</v>
      </c>
      <c r="B120" s="1">
        <f t="shared" si="73"/>
        <v>-7.3188254986052241</v>
      </c>
      <c r="C120" s="1">
        <f t="shared" si="74"/>
        <v>-6.6659427931063133</v>
      </c>
      <c r="D120" t="str">
        <f t="shared" si="97"/>
        <v>n</v>
      </c>
      <c r="E120" s="4">
        <f t="shared" si="66"/>
        <v>0</v>
      </c>
      <c r="F120" s="1" t="e">
        <f t="shared" si="75"/>
        <v>#N/A</v>
      </c>
      <c r="G120" s="1" t="e">
        <f t="shared" si="76"/>
        <v>#N/A</v>
      </c>
      <c r="H120">
        <f t="shared" si="67"/>
        <v>0</v>
      </c>
      <c r="I120">
        <f t="shared" si="77"/>
        <v>0</v>
      </c>
      <c r="J120">
        <f t="shared" si="78"/>
        <v>0</v>
      </c>
      <c r="K120">
        <f t="shared" ca="1" si="89"/>
        <v>0</v>
      </c>
      <c r="L120">
        <f t="shared" ca="1" si="79"/>
        <v>0</v>
      </c>
      <c r="M120">
        <f t="shared" si="68"/>
        <v>0</v>
      </c>
      <c r="N120">
        <f t="shared" si="69"/>
        <v>0</v>
      </c>
      <c r="O120">
        <f t="shared" si="80"/>
        <v>0</v>
      </c>
      <c r="P120">
        <f t="shared" si="81"/>
        <v>0</v>
      </c>
      <c r="Q120" t="e">
        <f t="shared" si="82"/>
        <v>#N/A</v>
      </c>
      <c r="R120" t="e">
        <f t="shared" si="83"/>
        <v>#N/A</v>
      </c>
      <c r="T120" t="e">
        <f t="shared" si="84"/>
        <v>#N/A</v>
      </c>
      <c r="U120" t="e">
        <f t="shared" si="85"/>
        <v>#N/A</v>
      </c>
      <c r="W120" s="4" t="e">
        <f t="shared" si="86"/>
        <v>#N/A</v>
      </c>
      <c r="X120" s="4" t="e">
        <f t="shared" si="87"/>
        <v>#N/A</v>
      </c>
      <c r="Y120">
        <f t="shared" si="70"/>
        <v>0</v>
      </c>
      <c r="AB120" t="str">
        <f t="shared" si="71"/>
        <v/>
      </c>
    </row>
    <row r="121" spans="1:28" ht="15.75" thickBot="1" x14ac:dyDescent="0.3">
      <c r="A121">
        <f t="shared" ref="A121:D121" si="98">A106</f>
        <v>12</v>
      </c>
      <c r="B121" s="1">
        <f t="shared" si="73"/>
        <v>-7.3188254986052241</v>
      </c>
      <c r="C121" s="1">
        <f t="shared" si="74"/>
        <v>-6.6659427931063133</v>
      </c>
      <c r="D121" t="str">
        <f t="shared" si="98"/>
        <v>n</v>
      </c>
      <c r="E121" s="4">
        <f t="shared" si="66"/>
        <v>0</v>
      </c>
      <c r="F121" s="1" t="e">
        <f t="shared" si="75"/>
        <v>#N/A</v>
      </c>
      <c r="G121" s="1" t="e">
        <f t="shared" si="76"/>
        <v>#N/A</v>
      </c>
      <c r="H121" s="23">
        <f t="shared" si="67"/>
        <v>0</v>
      </c>
      <c r="I121" s="23">
        <f t="shared" si="77"/>
        <v>0</v>
      </c>
      <c r="J121" s="23">
        <f t="shared" si="78"/>
        <v>0</v>
      </c>
      <c r="K121">
        <f t="shared" ca="1" si="89"/>
        <v>0</v>
      </c>
      <c r="L121">
        <f t="shared" ca="1" si="79"/>
        <v>0</v>
      </c>
      <c r="M121">
        <f t="shared" si="68"/>
        <v>0</v>
      </c>
      <c r="N121" s="23">
        <f t="shared" si="69"/>
        <v>0</v>
      </c>
      <c r="O121" s="23">
        <f t="shared" si="80"/>
        <v>0</v>
      </c>
      <c r="P121" s="23">
        <f t="shared" si="81"/>
        <v>0</v>
      </c>
      <c r="Q121" t="e">
        <f t="shared" si="82"/>
        <v>#N/A</v>
      </c>
      <c r="R121" t="e">
        <f t="shared" si="83"/>
        <v>#N/A</v>
      </c>
      <c r="T121" t="e">
        <f t="shared" si="84"/>
        <v>#N/A</v>
      </c>
      <c r="U121" t="e">
        <f t="shared" si="85"/>
        <v>#N/A</v>
      </c>
      <c r="W121" s="4" t="e">
        <f t="shared" si="86"/>
        <v>#N/A</v>
      </c>
      <c r="X121" s="4" t="e">
        <f t="shared" si="87"/>
        <v>#N/A</v>
      </c>
      <c r="Y121">
        <f t="shared" si="70"/>
        <v>0</v>
      </c>
      <c r="AB121" t="str">
        <f t="shared" si="71"/>
        <v/>
      </c>
    </row>
    <row r="122" spans="1:28" ht="15.75" thickTop="1" x14ac:dyDescent="0.25">
      <c r="D122" s="10" t="s">
        <v>44</v>
      </c>
      <c r="E122" s="4">
        <f>MAX(E110:E121)</f>
        <v>7.9475198260506534</v>
      </c>
      <c r="H122">
        <f>SUM(H110:H121)</f>
        <v>-141.19283590193652</v>
      </c>
      <c r="I122">
        <f t="shared" ref="I122:J122" si="99">SUM(I110:I121)</f>
        <v>328.75042917787607</v>
      </c>
      <c r="J122">
        <f t="shared" si="99"/>
        <v>5.3431002472440099</v>
      </c>
      <c r="L122">
        <f ca="1">MIN(L110:L121)</f>
        <v>-3.782830177470377E-3</v>
      </c>
      <c r="M122">
        <f>MIN(M110:M121)</f>
        <v>-3.7828301774703757E-3</v>
      </c>
      <c r="N122">
        <f>SUM(N110:N121)</f>
        <v>0.46315206892589322</v>
      </c>
      <c r="O122">
        <f>SUM(O110:O121)</f>
        <v>1.9205667290915081</v>
      </c>
      <c r="P122">
        <f>SUM(P110:P121)</f>
        <v>1.4124510076589574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3.765333826847669</v>
      </c>
      <c r="F125" s="1" t="s">
        <v>27</v>
      </c>
      <c r="G125" s="1" t="s">
        <v>28</v>
      </c>
    </row>
    <row r="126" spans="1:28" x14ac:dyDescent="0.25">
      <c r="F126" s="4">
        <f>MIN(B84:B92)-1</f>
        <v>-8.318825498605225</v>
      </c>
      <c r="G126" s="4">
        <f>B125</f>
        <v>3.765333826847669</v>
      </c>
      <c r="I126">
        <f>IF(OR($G$126&gt;MAX($C$84:$C$92)+5,$G$126&lt;MIN($C$84:$C$92)-5),NA(),F126)</f>
        <v>-8.318825498605225</v>
      </c>
      <c r="J126">
        <f>IF(OR($G$126&gt;MAX($C$84:$C$92)+5,$G$126&lt;MIN($C$84:$C$92)-5),NA(),G126)</f>
        <v>3.765333826847669</v>
      </c>
    </row>
    <row r="127" spans="1:28" x14ac:dyDescent="0.25">
      <c r="F127" s="4">
        <f>MAX(B84:B92)+1</f>
        <v>8.318825498605225</v>
      </c>
      <c r="G127" s="4">
        <f>G126</f>
        <v>3.765333826847669</v>
      </c>
      <c r="I127">
        <f>IF(OR($G$126&gt;MAX($C$84:$C$92)+5,$G$126&lt;MIN($C$84:$C$92)-5),NA(),F127)</f>
        <v>8.318825498605225</v>
      </c>
      <c r="J127">
        <f>IF(OR($G$126&gt;MAX($C$84:$C$92)+5,$G$126&lt;MIN($C$84:$C$92)-5),NA(),G127)</f>
        <v>3.765333826847669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-7.3188254986052241</v>
      </c>
      <c r="C132" s="4">
        <f>C84</f>
        <v>-6.6659427931063133</v>
      </c>
      <c r="D132" s="4">
        <f t="shared" ref="D132:E139" si="100">B85</f>
        <v>6.6659427931063133</v>
      </c>
      <c r="E132" s="4">
        <f t="shared" si="100"/>
        <v>-7.3188254986052241</v>
      </c>
      <c r="F132" s="4">
        <f t="shared" ref="F132:F139" si="101">($B$66/$B$65)*(C132-$B$125)</f>
        <v>-20.228963588583046</v>
      </c>
      <c r="G132" s="4">
        <f t="shared" ref="G132:G139" si="102">($B$66/$B$65)*(E132-$B$125)</f>
        <v>-21.495073285251344</v>
      </c>
      <c r="H132" s="4">
        <f>IF(B132=D132,"V",(C132-E132)/(B132-D132))</f>
        <v>-4.6685271566913267E-2</v>
      </c>
      <c r="I132" s="4">
        <f>IF(H132="V",0,(-1*B132*H132)+C132)</f>
        <v>-7.0076241490595477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  <c r="U132" t="e">
        <f>IF(AND(J132=0,K132=0,L132=0,M132=0),NA(),J132)</f>
        <v>#N/A</v>
      </c>
      <c r="V132" t="e">
        <f>IF(AND(J132=0,K132=0,L132=0,M132=0),NA(),K132)</f>
        <v>#N/A</v>
      </c>
      <c r="W132" s="9" t="str">
        <f>IF(AND(J132=0,K132=0,L132=0,M132=0),"",ROUND(N132,4)&amp;" ksi")</f>
        <v/>
      </c>
      <c r="X132" t="e">
        <f>(U132*COS(-1*$B$64))+(V132*SIN(-1*$B$64))</f>
        <v>#N/A</v>
      </c>
      <c r="Y132" t="e">
        <f>(-1*U132*SIN(-1*$B$64))+(V132*COS(-1*$B$64))</f>
        <v>#N/A</v>
      </c>
      <c r="AA132" s="4" t="e">
        <f>X132+$B$9</f>
        <v>#N/A</v>
      </c>
      <c r="AB132" s="4" t="e">
        <f>Y132+$C$9</f>
        <v>#N/A</v>
      </c>
      <c r="AD132" t="e">
        <f>IF(AND(J132=0,K132=0,L132=0,M132=0),NA(),L132)</f>
        <v>#N/A</v>
      </c>
      <c r="AE132" t="e">
        <f>IF(AND(J132=0,K132=0,L132=0,M132=0),NA(),M132)</f>
        <v>#N/A</v>
      </c>
      <c r="AF132" s="9" t="str">
        <f>IF(AND(J132=0,K132=0,L132=0,M132=0),"",ROUND(O132,4)&amp;" ksi")</f>
        <v/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3">D132</f>
        <v>6.6659427931063133</v>
      </c>
      <c r="C133" s="4">
        <f t="shared" si="103"/>
        <v>-7.3188254986052241</v>
      </c>
      <c r="D133" s="4">
        <f t="shared" si="100"/>
        <v>7.3188254986052241</v>
      </c>
      <c r="E133" s="4">
        <f t="shared" si="100"/>
        <v>6.6659427931063133</v>
      </c>
      <c r="F133" s="4">
        <f t="shared" si="101"/>
        <v>-21.495073285251344</v>
      </c>
      <c r="G133" s="4">
        <f t="shared" si="102"/>
        <v>5.6250366375024266</v>
      </c>
      <c r="H133" s="4">
        <f t="shared" ref="H133:H139" si="104">IF(B133=D133,"V",(C133-E133)/(B133-D133))</f>
        <v>21.420031766693608</v>
      </c>
      <c r="I133" s="4">
        <f t="shared" ref="I133:I139" si="105">IF(H133="V",0,(-1*B133*H133)+C133)</f>
        <v>-150.10353188190479</v>
      </c>
      <c r="J133" s="4">
        <f t="shared" ref="J133:J139" si="106">IF($F133&gt;=0,B133,IF(AND($F133&lt;0,$G133&gt;=0),IF(H133="V",B133,($B$125-I133)/H133),0))</f>
        <v>7.1834097813060165</v>
      </c>
      <c r="K133" s="4">
        <f t="shared" ref="K133:K139" si="107">IF($F133&gt;=0,C133,IF(AND($F133&lt;0,$G133&gt;=0),$B$125,0))</f>
        <v>3.765333826847669</v>
      </c>
      <c r="L133" s="4">
        <f t="shared" ref="L133:L139" si="108">IF($G133&gt;=0,D133,IF(AND($G133&lt;0,$F133&gt;=0),IF(H133="V",D133,($B$125-I133)/H133),0))</f>
        <v>7.3188254986052241</v>
      </c>
      <c r="M133" s="4">
        <f t="shared" ref="M133:M139" si="109">IF($G133&gt;=0,E133,IF(AND($G133&lt;0,$F133&gt;=0),$B$125,0))</f>
        <v>6.6659427931063133</v>
      </c>
      <c r="N133" s="4">
        <f t="shared" ref="N133:N139" si="110">IF(F133&lt;0,0,F133)</f>
        <v>0</v>
      </c>
      <c r="O133" s="4">
        <f t="shared" ref="O133:O139" si="111">IF(G133&lt;0,0,G133)</f>
        <v>5.6250366375024266</v>
      </c>
      <c r="P133" s="4">
        <f t="shared" ref="P133:P139" si="112">(1/6)*(M133-K133)*((N133*((2*J133)+L133))+(O133*(J133+(2*L133))))</f>
        <v>59.338853254463828</v>
      </c>
      <c r="Q133" s="4">
        <f t="shared" ref="Q133:Q139" si="113">((1/12)*(M133-K133)*(N133*J133*((3*K133)+M133)+N133*L133*(K133+M133)+O133*J133*(K133+M133)+O133*L133*(K133+(3*M133))))</f>
        <v>338.35448521965174</v>
      </c>
      <c r="R133" s="4">
        <f t="shared" ref="R133:R139" si="114">((-1/24)*(M133-K133)*(J133*J133*((3*N133)+O133)+2*J133*L133*(N133+O133)+L133*L133*(N133+(3*O133))))</f>
        <v>-215.81027603592202</v>
      </c>
      <c r="U133">
        <f t="shared" ref="U133:U153" si="115">IF(AND(J133=0,K133=0,L133=0,M133=0),NA(),J133)</f>
        <v>7.1834097813060165</v>
      </c>
      <c r="V133">
        <f t="shared" ref="V133:V153" si="116">IF(AND(J133=0,K133=0,L133=0,M133=0),NA(),K133)</f>
        <v>3.765333826847669</v>
      </c>
      <c r="W133" s="9" t="str">
        <f t="shared" ref="W133:W144" si="117">IF(AND(J133=0,K133=0,L133=0,M133=0),"",ROUND(N133,4)&amp;" ksi")</f>
        <v>0 ksi</v>
      </c>
      <c r="X133">
        <f t="shared" ref="X133:X139" si="118">(U133*COS(-1*$B$64))+(V133*SIN(-1*$B$64))</f>
        <v>7.0000000000000009</v>
      </c>
      <c r="Y133">
        <f t="shared" ref="Y133:Y139" si="119">(-1*U133*SIN(-1*$B$64))+(V133*COS(-1*$B$64))</f>
        <v>4.0962317944381823</v>
      </c>
      <c r="AA133" s="4">
        <f t="shared" ref="AA133:AA139" si="120">X133+$B$9</f>
        <v>14</v>
      </c>
      <c r="AB133" s="4">
        <f t="shared" ref="AB133:AB139" si="121">Y133+$C$9</f>
        <v>11.096231794438182</v>
      </c>
      <c r="AD133">
        <f t="shared" ref="AD133:AD139" si="122">IF(AND(J133=0,K133=0,L133=0,M133=0),NA(),L133)</f>
        <v>7.3188254986052241</v>
      </c>
      <c r="AE133">
        <f t="shared" ref="AE133:AE139" si="123">IF(AND(J133=0,K133=0,L133=0,M133=0),NA(),M133)</f>
        <v>6.6659427931063133</v>
      </c>
      <c r="AF133" s="9" t="str">
        <f t="shared" ref="AF133:AF139" si="124">IF(AND(J133=0,K133=0,L133=0,M133=0),"",ROUND(O133,4)&amp;" ksi")</f>
        <v>5.625 ksi</v>
      </c>
      <c r="AG133" t="e">
        <f t="shared" ref="AG133:AG139" si="125">IF(COUNTIF($U$132:$U$139,AD133)&gt;0,NA(),AD133)</f>
        <v>#N/A</v>
      </c>
      <c r="AH133" t="e">
        <f t="shared" ref="AH133:AH139" si="126">IF(AND(COUNTIF($V$132:$V$139,AE133)&gt;0,AF133&lt;&gt;"0 ksi"),NA(),AE133)</f>
        <v>#N/A</v>
      </c>
      <c r="AI133" t="str">
        <f t="shared" ref="AI133:AI139" si="127">IF(COUNTIF($U$132:$U$139,AD133)&gt;0,"",AF133)</f>
        <v/>
      </c>
      <c r="AJ133" t="e">
        <f t="shared" ref="AJ133:AJ139" si="128">(AG133*COS(-1*$B$64))+(AH133*SIN(-1*$B$64))</f>
        <v>#N/A</v>
      </c>
      <c r="AK133" t="e">
        <f t="shared" ref="AK133:AK139" si="129">(-1*AG133*SIN(-1*$B$64))+(AH133*COS(-1*$B$64))</f>
        <v>#N/A</v>
      </c>
      <c r="AM133" s="4" t="e">
        <f t="shared" ref="AM133:AM139" si="130">AJ133+$B$9</f>
        <v>#N/A</v>
      </c>
      <c r="AN133" s="4" t="e">
        <f t="shared" ref="AN133:AN139" si="131">AK133+$C$9</f>
        <v>#N/A</v>
      </c>
    </row>
    <row r="134" spans="1:40" x14ac:dyDescent="0.25">
      <c r="A134" t="s">
        <v>71</v>
      </c>
      <c r="B134" s="4">
        <f t="shared" si="103"/>
        <v>7.3188254986052241</v>
      </c>
      <c r="C134" s="4">
        <f t="shared" si="103"/>
        <v>6.6659427931063133</v>
      </c>
      <c r="D134" s="4">
        <f t="shared" si="100"/>
        <v>-6.6659427931063133</v>
      </c>
      <c r="E134" s="4">
        <f t="shared" si="100"/>
        <v>7.3188254986052241</v>
      </c>
      <c r="F134" s="4">
        <f t="shared" si="101"/>
        <v>5.6250366375024266</v>
      </c>
      <c r="G134" s="4">
        <f t="shared" si="102"/>
        <v>6.8911463341707249</v>
      </c>
      <c r="H134" s="4">
        <f t="shared" si="104"/>
        <v>-4.6685271566913267E-2</v>
      </c>
      <c r="I134" s="4">
        <f t="shared" si="105"/>
        <v>7.0076241490595477</v>
      </c>
      <c r="J134" s="4">
        <f t="shared" si="106"/>
        <v>7.3188254986052241</v>
      </c>
      <c r="K134" s="4">
        <f t="shared" si="107"/>
        <v>6.6659427931063133</v>
      </c>
      <c r="L134" s="4">
        <f t="shared" si="108"/>
        <v>-6.6659427931063133</v>
      </c>
      <c r="M134" s="4">
        <f t="shared" si="109"/>
        <v>7.3188254986052241</v>
      </c>
      <c r="N134" s="4">
        <f t="shared" si="110"/>
        <v>5.6250366375024266</v>
      </c>
      <c r="O134" s="4">
        <f t="shared" si="111"/>
        <v>6.8911463341707249</v>
      </c>
      <c r="P134" s="4">
        <f t="shared" si="112"/>
        <v>0.3704319073685694</v>
      </c>
      <c r="Q134" s="4">
        <f t="shared" si="113"/>
        <v>-0.50386981451492585</v>
      </c>
      <c r="R134" s="4">
        <f t="shared" si="114"/>
        <v>-33.198022525480326</v>
      </c>
      <c r="U134">
        <f t="shared" si="115"/>
        <v>7.3188254986052241</v>
      </c>
      <c r="V134">
        <f t="shared" si="116"/>
        <v>6.6659427931063133</v>
      </c>
      <c r="W134" s="9" t="str">
        <f t="shared" si="117"/>
        <v>5.625 ksi</v>
      </c>
      <c r="X134">
        <f t="shared" si="118"/>
        <v>7.0000000000000009</v>
      </c>
      <c r="Y134">
        <f t="shared" si="119"/>
        <v>7</v>
      </c>
      <c r="AA134" s="4">
        <f t="shared" si="120"/>
        <v>14</v>
      </c>
      <c r="AB134" s="4">
        <f t="shared" si="121"/>
        <v>14</v>
      </c>
      <c r="AD134">
        <f t="shared" si="122"/>
        <v>-6.6659427931063133</v>
      </c>
      <c r="AE134">
        <f t="shared" si="123"/>
        <v>7.3188254986052241</v>
      </c>
      <c r="AF134" s="9" t="str">
        <f t="shared" si="124"/>
        <v>6.8911 ksi</v>
      </c>
      <c r="AG134" t="e">
        <f t="shared" si="125"/>
        <v>#N/A</v>
      </c>
      <c r="AH134" t="e">
        <f t="shared" si="126"/>
        <v>#N/A</v>
      </c>
      <c r="AI134" t="str">
        <f t="shared" si="127"/>
        <v/>
      </c>
      <c r="AJ134" t="e">
        <f t="shared" si="128"/>
        <v>#N/A</v>
      </c>
      <c r="AK134" t="e">
        <f t="shared" si="129"/>
        <v>#N/A</v>
      </c>
      <c r="AM134" s="4" t="e">
        <f t="shared" si="130"/>
        <v>#N/A</v>
      </c>
      <c r="AN134" s="4" t="e">
        <f t="shared" si="131"/>
        <v>#N/A</v>
      </c>
    </row>
    <row r="135" spans="1:40" x14ac:dyDescent="0.25">
      <c r="A135" t="s">
        <v>72</v>
      </c>
      <c r="B135" s="4">
        <f t="shared" si="103"/>
        <v>-6.6659427931063133</v>
      </c>
      <c r="C135" s="4">
        <f t="shared" si="103"/>
        <v>7.3188254986052241</v>
      </c>
      <c r="D135" s="4">
        <f t="shared" si="100"/>
        <v>-7.3188254986052241</v>
      </c>
      <c r="E135" s="4">
        <f t="shared" si="100"/>
        <v>-6.6659427931063133</v>
      </c>
      <c r="F135" s="4">
        <f t="shared" si="101"/>
        <v>6.8911463341707249</v>
      </c>
      <c r="G135" s="4">
        <f t="shared" si="102"/>
        <v>-20.228963588583046</v>
      </c>
      <c r="H135" s="4">
        <f t="shared" si="104"/>
        <v>21.420031766693608</v>
      </c>
      <c r="I135" s="4">
        <f t="shared" si="105"/>
        <v>150.10353188190479</v>
      </c>
      <c r="J135" s="4">
        <f t="shared" si="106"/>
        <v>-6.6659427931063133</v>
      </c>
      <c r="K135" s="4">
        <f t="shared" si="107"/>
        <v>7.3188254986052241</v>
      </c>
      <c r="L135" s="4">
        <f t="shared" si="108"/>
        <v>-6.8318385168130797</v>
      </c>
      <c r="M135" s="4">
        <f t="shared" si="109"/>
        <v>3.765333826847669</v>
      </c>
      <c r="N135" s="4">
        <f t="shared" si="110"/>
        <v>6.8911463341707249</v>
      </c>
      <c r="O135" s="4">
        <f t="shared" si="111"/>
        <v>0</v>
      </c>
      <c r="P135" s="4">
        <f t="shared" si="112"/>
        <v>82.29363959750647</v>
      </c>
      <c r="Q135" s="4">
        <f t="shared" si="113"/>
        <v>504.41520907915162</v>
      </c>
      <c r="R135" s="4">
        <f t="shared" si="114"/>
        <v>276.56706756957396</v>
      </c>
      <c r="U135">
        <f t="shared" si="115"/>
        <v>-6.6659427931063133</v>
      </c>
      <c r="V135">
        <f t="shared" si="116"/>
        <v>7.3188254986052241</v>
      </c>
      <c r="W135" s="9" t="str">
        <f t="shared" si="117"/>
        <v>6.8911 ksi</v>
      </c>
      <c r="X135">
        <f t="shared" si="118"/>
        <v>-7</v>
      </c>
      <c r="Y135">
        <f t="shared" si="119"/>
        <v>7.0000000000000009</v>
      </c>
      <c r="AA135" s="4">
        <f t="shared" si="120"/>
        <v>0</v>
      </c>
      <c r="AB135" s="4">
        <f t="shared" si="121"/>
        <v>14</v>
      </c>
      <c r="AD135">
        <f t="shared" si="122"/>
        <v>-6.8318385168130797</v>
      </c>
      <c r="AE135">
        <f t="shared" si="123"/>
        <v>3.765333826847669</v>
      </c>
      <c r="AF135" s="9" t="str">
        <f t="shared" si="124"/>
        <v>0 ksi</v>
      </c>
      <c r="AG135">
        <f t="shared" si="125"/>
        <v>-6.8318385168130797</v>
      </c>
      <c r="AH135">
        <f t="shared" si="126"/>
        <v>3.765333826847669</v>
      </c>
      <c r="AI135" t="str">
        <f t="shared" si="127"/>
        <v>0 ksi</v>
      </c>
      <c r="AJ135">
        <f t="shared" si="128"/>
        <v>-7.0000000000000009</v>
      </c>
      <c r="AK135">
        <f t="shared" si="129"/>
        <v>3.4426379925013975</v>
      </c>
      <c r="AM135" s="4">
        <f t="shared" si="130"/>
        <v>0</v>
      </c>
      <c r="AN135" s="4">
        <f t="shared" si="131"/>
        <v>10.442637992501398</v>
      </c>
    </row>
    <row r="136" spans="1:40" x14ac:dyDescent="0.25">
      <c r="A136" t="s">
        <v>73</v>
      </c>
      <c r="B136" s="4">
        <f t="shared" si="103"/>
        <v>-7.3188254986052241</v>
      </c>
      <c r="C136" s="4">
        <f t="shared" si="103"/>
        <v>-6.6659427931063133</v>
      </c>
      <c r="D136" s="4">
        <f t="shared" si="100"/>
        <v>-7.3188254986052241</v>
      </c>
      <c r="E136" s="4">
        <f t="shared" si="100"/>
        <v>-6.6659427931063133</v>
      </c>
      <c r="F136" s="4">
        <f t="shared" si="101"/>
        <v>-20.228963588583046</v>
      </c>
      <c r="G136" s="4">
        <f t="shared" si="102"/>
        <v>-20.228963588583046</v>
      </c>
      <c r="H136" s="4" t="str">
        <f t="shared" si="104"/>
        <v>V</v>
      </c>
      <c r="I136" s="4">
        <f t="shared" si="105"/>
        <v>0</v>
      </c>
      <c r="J136" s="4">
        <f t="shared" si="106"/>
        <v>0</v>
      </c>
      <c r="K136" s="4">
        <f t="shared" si="107"/>
        <v>0</v>
      </c>
      <c r="L136" s="4">
        <f t="shared" si="108"/>
        <v>0</v>
      </c>
      <c r="M136" s="4">
        <f t="shared" si="109"/>
        <v>0</v>
      </c>
      <c r="N136" s="4">
        <f t="shared" si="110"/>
        <v>0</v>
      </c>
      <c r="O136" s="4">
        <f t="shared" si="111"/>
        <v>0</v>
      </c>
      <c r="P136" s="4">
        <f t="shared" si="112"/>
        <v>0</v>
      </c>
      <c r="Q136" s="4">
        <f t="shared" si="113"/>
        <v>0</v>
      </c>
      <c r="R136" s="4">
        <f t="shared" si="114"/>
        <v>0</v>
      </c>
      <c r="U136" t="e">
        <f t="shared" si="115"/>
        <v>#N/A</v>
      </c>
      <c r="V136" t="e">
        <f t="shared" si="116"/>
        <v>#N/A</v>
      </c>
      <c r="W136" s="9" t="str">
        <f t="shared" si="117"/>
        <v/>
      </c>
      <c r="X136" t="e">
        <f t="shared" si="118"/>
        <v>#N/A</v>
      </c>
      <c r="Y136" t="e">
        <f t="shared" si="119"/>
        <v>#N/A</v>
      </c>
      <c r="AA136" s="4" t="e">
        <f t="shared" si="120"/>
        <v>#N/A</v>
      </c>
      <c r="AB136" s="4" t="e">
        <f t="shared" si="121"/>
        <v>#N/A</v>
      </c>
      <c r="AD136" t="e">
        <f t="shared" si="122"/>
        <v>#N/A</v>
      </c>
      <c r="AE136" t="e">
        <f t="shared" si="123"/>
        <v>#N/A</v>
      </c>
      <c r="AF136" s="9" t="str">
        <f t="shared" si="124"/>
        <v/>
      </c>
      <c r="AG136" t="e">
        <f t="shared" si="125"/>
        <v>#N/A</v>
      </c>
      <c r="AH136" t="e">
        <f t="shared" si="126"/>
        <v>#N/A</v>
      </c>
      <c r="AI136" t="str">
        <f t="shared" si="127"/>
        <v/>
      </c>
      <c r="AJ136" t="e">
        <f t="shared" si="128"/>
        <v>#N/A</v>
      </c>
      <c r="AK136" t="e">
        <f t="shared" si="129"/>
        <v>#N/A</v>
      </c>
      <c r="AM136" s="4" t="e">
        <f t="shared" si="130"/>
        <v>#N/A</v>
      </c>
      <c r="AN136" s="4" t="e">
        <f t="shared" si="131"/>
        <v>#N/A</v>
      </c>
    </row>
    <row r="137" spans="1:40" x14ac:dyDescent="0.25">
      <c r="A137" t="s">
        <v>74</v>
      </c>
      <c r="B137" s="4">
        <f t="shared" si="103"/>
        <v>-7.3188254986052241</v>
      </c>
      <c r="C137" s="4">
        <f t="shared" si="103"/>
        <v>-6.6659427931063133</v>
      </c>
      <c r="D137" s="4">
        <f t="shared" si="100"/>
        <v>-7.3188254986052241</v>
      </c>
      <c r="E137" s="4">
        <f t="shared" si="100"/>
        <v>-6.6659427931063133</v>
      </c>
      <c r="F137" s="4">
        <f t="shared" si="101"/>
        <v>-20.228963588583046</v>
      </c>
      <c r="G137" s="4">
        <f t="shared" si="102"/>
        <v>-20.228963588583046</v>
      </c>
      <c r="H137" s="4" t="str">
        <f t="shared" si="104"/>
        <v>V</v>
      </c>
      <c r="I137" s="4">
        <f t="shared" si="105"/>
        <v>0</v>
      </c>
      <c r="J137" s="4">
        <f t="shared" si="106"/>
        <v>0</v>
      </c>
      <c r="K137" s="4">
        <f t="shared" si="107"/>
        <v>0</v>
      </c>
      <c r="L137" s="4">
        <f t="shared" si="108"/>
        <v>0</v>
      </c>
      <c r="M137" s="4">
        <f t="shared" si="109"/>
        <v>0</v>
      </c>
      <c r="N137" s="4">
        <f t="shared" si="110"/>
        <v>0</v>
      </c>
      <c r="O137" s="4">
        <f t="shared" si="111"/>
        <v>0</v>
      </c>
      <c r="P137" s="4">
        <f t="shared" si="112"/>
        <v>0</v>
      </c>
      <c r="Q137" s="4">
        <f t="shared" si="113"/>
        <v>0</v>
      </c>
      <c r="R137" s="4">
        <f t="shared" si="114"/>
        <v>0</v>
      </c>
      <c r="U137" t="e">
        <f t="shared" si="115"/>
        <v>#N/A</v>
      </c>
      <c r="V137" t="e">
        <f t="shared" si="116"/>
        <v>#N/A</v>
      </c>
      <c r="W137" s="9" t="str">
        <f t="shared" si="117"/>
        <v/>
      </c>
      <c r="X137" t="e">
        <f t="shared" si="118"/>
        <v>#N/A</v>
      </c>
      <c r="Y137" t="e">
        <f t="shared" si="119"/>
        <v>#N/A</v>
      </c>
      <c r="AA137" s="4" t="e">
        <f t="shared" si="120"/>
        <v>#N/A</v>
      </c>
      <c r="AB137" s="4" t="e">
        <f t="shared" si="121"/>
        <v>#N/A</v>
      </c>
      <c r="AD137" t="e">
        <f t="shared" si="122"/>
        <v>#N/A</v>
      </c>
      <c r="AE137" t="e">
        <f t="shared" si="123"/>
        <v>#N/A</v>
      </c>
      <c r="AF137" s="9" t="str">
        <f t="shared" si="124"/>
        <v/>
      </c>
      <c r="AG137" t="e">
        <f t="shared" si="125"/>
        <v>#N/A</v>
      </c>
      <c r="AH137" t="e">
        <f t="shared" si="126"/>
        <v>#N/A</v>
      </c>
      <c r="AI137" t="str">
        <f t="shared" si="127"/>
        <v/>
      </c>
      <c r="AJ137" t="e">
        <f t="shared" si="128"/>
        <v>#N/A</v>
      </c>
      <c r="AK137" t="e">
        <f t="shared" si="129"/>
        <v>#N/A</v>
      </c>
      <c r="AM137" s="4" t="e">
        <f t="shared" si="130"/>
        <v>#N/A</v>
      </c>
      <c r="AN137" s="4" t="e">
        <f t="shared" si="131"/>
        <v>#N/A</v>
      </c>
    </row>
    <row r="138" spans="1:40" x14ac:dyDescent="0.25">
      <c r="A138" t="s">
        <v>75</v>
      </c>
      <c r="B138" s="4">
        <f t="shared" si="103"/>
        <v>-7.3188254986052241</v>
      </c>
      <c r="C138" s="4">
        <f t="shared" si="103"/>
        <v>-6.6659427931063133</v>
      </c>
      <c r="D138" s="4">
        <f t="shared" si="100"/>
        <v>-7.3188254986052241</v>
      </c>
      <c r="E138" s="4">
        <f t="shared" si="100"/>
        <v>-6.6659427931063133</v>
      </c>
      <c r="F138" s="4">
        <f t="shared" si="101"/>
        <v>-20.228963588583046</v>
      </c>
      <c r="G138" s="4">
        <f t="shared" si="102"/>
        <v>-20.228963588583046</v>
      </c>
      <c r="H138" s="4" t="str">
        <f t="shared" si="104"/>
        <v>V</v>
      </c>
      <c r="I138" s="4">
        <f t="shared" si="105"/>
        <v>0</v>
      </c>
      <c r="J138" s="4">
        <f t="shared" si="106"/>
        <v>0</v>
      </c>
      <c r="K138" s="4">
        <f t="shared" si="107"/>
        <v>0</v>
      </c>
      <c r="L138" s="4">
        <f t="shared" si="108"/>
        <v>0</v>
      </c>
      <c r="M138" s="4">
        <f t="shared" si="109"/>
        <v>0</v>
      </c>
      <c r="N138" s="4">
        <f t="shared" si="110"/>
        <v>0</v>
      </c>
      <c r="O138" s="4">
        <f t="shared" si="111"/>
        <v>0</v>
      </c>
      <c r="P138" s="30">
        <f t="shared" si="112"/>
        <v>0</v>
      </c>
      <c r="Q138" s="30">
        <f t="shared" si="113"/>
        <v>0</v>
      </c>
      <c r="R138" s="30">
        <f t="shared" si="114"/>
        <v>0</v>
      </c>
      <c r="U138" t="e">
        <f t="shared" si="115"/>
        <v>#N/A</v>
      </c>
      <c r="V138" t="e">
        <f t="shared" si="116"/>
        <v>#N/A</v>
      </c>
      <c r="W138" s="9" t="str">
        <f t="shared" si="117"/>
        <v/>
      </c>
      <c r="X138" t="e">
        <f t="shared" si="118"/>
        <v>#N/A</v>
      </c>
      <c r="Y138" t="e">
        <f t="shared" si="119"/>
        <v>#N/A</v>
      </c>
      <c r="AA138" s="4" t="e">
        <f t="shared" si="120"/>
        <v>#N/A</v>
      </c>
      <c r="AB138" s="4" t="e">
        <f t="shared" si="121"/>
        <v>#N/A</v>
      </c>
      <c r="AD138" t="e">
        <f t="shared" si="122"/>
        <v>#N/A</v>
      </c>
      <c r="AE138" t="e">
        <f t="shared" si="123"/>
        <v>#N/A</v>
      </c>
      <c r="AF138" s="9" t="str">
        <f t="shared" si="124"/>
        <v/>
      </c>
      <c r="AG138" t="e">
        <f t="shared" si="125"/>
        <v>#N/A</v>
      </c>
      <c r="AH138" t="e">
        <f t="shared" si="126"/>
        <v>#N/A</v>
      </c>
      <c r="AI138" t="str">
        <f t="shared" si="127"/>
        <v/>
      </c>
      <c r="AJ138" t="e">
        <f t="shared" si="128"/>
        <v>#N/A</v>
      </c>
      <c r="AK138" t="e">
        <f t="shared" si="129"/>
        <v>#N/A</v>
      </c>
      <c r="AM138" s="4" t="e">
        <f t="shared" si="130"/>
        <v>#N/A</v>
      </c>
      <c r="AN138" s="4" t="e">
        <f t="shared" si="131"/>
        <v>#N/A</v>
      </c>
    </row>
    <row r="139" spans="1:40" ht="15.75" thickBot="1" x14ac:dyDescent="0.3">
      <c r="A139" t="s">
        <v>134</v>
      </c>
      <c r="B139" s="4">
        <f>D138</f>
        <v>-7.3188254986052241</v>
      </c>
      <c r="C139" s="4">
        <f>E138</f>
        <v>-6.6659427931063133</v>
      </c>
      <c r="D139" s="4">
        <f t="shared" si="100"/>
        <v>-7.3188254986052241</v>
      </c>
      <c r="E139" s="4">
        <f t="shared" si="100"/>
        <v>-6.6659427931063133</v>
      </c>
      <c r="F139" s="4">
        <f t="shared" si="101"/>
        <v>-20.228963588583046</v>
      </c>
      <c r="G139" s="4">
        <f t="shared" si="102"/>
        <v>-20.228963588583046</v>
      </c>
      <c r="H139" s="4" t="str">
        <f t="shared" si="104"/>
        <v>V</v>
      </c>
      <c r="I139" s="4">
        <f t="shared" si="105"/>
        <v>0</v>
      </c>
      <c r="J139" s="4">
        <f t="shared" si="106"/>
        <v>0</v>
      </c>
      <c r="K139" s="4">
        <f t="shared" si="107"/>
        <v>0</v>
      </c>
      <c r="L139" s="4">
        <f t="shared" si="108"/>
        <v>0</v>
      </c>
      <c r="M139" s="4">
        <f t="shared" si="109"/>
        <v>0</v>
      </c>
      <c r="N139" s="4">
        <f t="shared" si="110"/>
        <v>0</v>
      </c>
      <c r="O139" s="4">
        <f t="shared" si="111"/>
        <v>0</v>
      </c>
      <c r="P139" s="31">
        <f t="shared" si="112"/>
        <v>0</v>
      </c>
      <c r="Q139" s="31">
        <f t="shared" si="113"/>
        <v>0</v>
      </c>
      <c r="R139" s="31">
        <f t="shared" si="114"/>
        <v>0</v>
      </c>
      <c r="U139" t="e">
        <f t="shared" si="115"/>
        <v>#N/A</v>
      </c>
      <c r="V139" t="e">
        <f t="shared" si="116"/>
        <v>#N/A</v>
      </c>
      <c r="W139" s="9" t="str">
        <f t="shared" si="117"/>
        <v/>
      </c>
      <c r="X139" t="e">
        <f t="shared" si="118"/>
        <v>#N/A</v>
      </c>
      <c r="Y139" t="e">
        <f t="shared" si="119"/>
        <v>#N/A</v>
      </c>
      <c r="AA139" s="4" t="e">
        <f t="shared" si="120"/>
        <v>#N/A</v>
      </c>
      <c r="AB139" s="4" t="e">
        <f t="shared" si="121"/>
        <v>#N/A</v>
      </c>
      <c r="AD139" t="e">
        <f t="shared" si="122"/>
        <v>#N/A</v>
      </c>
      <c r="AE139" t="e">
        <f t="shared" si="123"/>
        <v>#N/A</v>
      </c>
      <c r="AF139" s="9" t="str">
        <f t="shared" si="124"/>
        <v/>
      </c>
      <c r="AG139" t="e">
        <f t="shared" si="125"/>
        <v>#N/A</v>
      </c>
      <c r="AH139" t="e">
        <f t="shared" si="126"/>
        <v>#N/A</v>
      </c>
      <c r="AI139" t="str">
        <f t="shared" si="127"/>
        <v/>
      </c>
      <c r="AJ139" t="e">
        <f t="shared" si="128"/>
        <v>#N/A</v>
      </c>
      <c r="AK139" t="e">
        <f t="shared" si="129"/>
        <v>#N/A</v>
      </c>
      <c r="AM139" s="4" t="e">
        <f t="shared" si="130"/>
        <v>#N/A</v>
      </c>
      <c r="AN139" s="4" t="e">
        <f t="shared" si="131"/>
        <v>#N/A</v>
      </c>
    </row>
    <row r="140" spans="1:40" ht="15.75" thickTop="1" x14ac:dyDescent="0.25">
      <c r="P140" s="4">
        <f>SUM(P132:P139)</f>
        <v>142.00292475933887</v>
      </c>
      <c r="Q140" s="4">
        <f>SUM(Q132:Q139)</f>
        <v>842.26582448428849</v>
      </c>
      <c r="R140" s="4">
        <f>SUM(R132:R139)</f>
        <v>27.558769008171623</v>
      </c>
      <c r="T140" t="str">
        <f>ROUND(P140,4)&amp;" kips"</f>
        <v>142.0029 kips</v>
      </c>
      <c r="W140" s="9" t="str">
        <f t="shared" si="117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7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-0.19407184080804796</v>
      </c>
      <c r="W142" s="9" t="str">
        <f t="shared" si="117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5.9313273012631846</v>
      </c>
      <c r="W143" s="9" t="str">
        <f t="shared" si="117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7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5"/>
        <v>xi' (in)</v>
      </c>
      <c r="V145" t="str">
        <f t="shared" si="116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-3.1832739783664463</v>
      </c>
      <c r="C146" s="9">
        <f>J84</f>
        <v>-3.8557446464535299</v>
      </c>
      <c r="D146" s="9">
        <f t="shared" ref="D146:E153" si="132">I85</f>
        <v>-2.8101981466527839</v>
      </c>
      <c r="E146">
        <f t="shared" si="132"/>
        <v>4.1355515202387769</v>
      </c>
      <c r="F146" s="4">
        <f>($B$66/$B$65)*(C146-$B$125)</f>
        <v>-14.779257089898181</v>
      </c>
      <c r="G146" s="4">
        <f>($B$66/$B$65)*(E146-$B$125)</f>
        <v>0.71794858024683095</v>
      </c>
      <c r="H146" s="4">
        <f>IF(B146=D146,"V",(C146-E146)/(B146-D146))</f>
        <v>21.420031766693658</v>
      </c>
      <c r="I146" s="4">
        <f>IF(H146="V",0,(-1*B146*H146)+C146)</f>
        <v>64.330085092245042</v>
      </c>
      <c r="J146" s="4">
        <f>IF($F146&gt;=0,B146,IF(AND($F146&lt;0,$G146&gt;=0),IF(H146="V",B146,($B$125-I146)/H146),0))</f>
        <v>-2.8274818602076239</v>
      </c>
      <c r="K146" s="4">
        <f>IF($F146&gt;=0,C146,IF(AND($F146&lt;0,$G146&gt;=0),$B$125,0))</f>
        <v>3.765333826847669</v>
      </c>
      <c r="L146" s="4">
        <f>IF($G146&gt;=0,D146,IF(AND($G146&lt;0,$F146&gt;=0),IF(H146="V",D146,($B$125-I146)/H146),0))</f>
        <v>-2.8101981466527839</v>
      </c>
      <c r="M146" s="4">
        <f>IF($G146&gt;=0,E146,IF(AND($G146&lt;0,$F146&gt;=0),$B$125,0))</f>
        <v>4.1355515202387769</v>
      </c>
      <c r="N146" s="4">
        <f>IF(F146&lt;0,0,F146)</f>
        <v>0</v>
      </c>
      <c r="O146" s="4">
        <f>IF(G146&lt;0,0,G146)</f>
        <v>0.71794858024683095</v>
      </c>
      <c r="P146" s="4">
        <f>(1/6)*(M146-K146)*((N146*((2*J146)+L146))+(O146*(J146+(2*L146))))</f>
        <v>-0.37423715468831092</v>
      </c>
      <c r="Q146" s="4">
        <f>((1/12)*(M146-K146)*(N146*J146*((3*K146)+M146)+N146*L146*(K146+M146)+O146*J146*(K146+M146)+O146*L146*(K146+(3*M146))))</f>
        <v>-1.5014467184184923</v>
      </c>
      <c r="R146" s="4">
        <f>((-1/24)*(M146-K146)*(J146*J146*((3*N146)+O146)+2*J146*L146*(N146+O146)+L146*L146*(N146+(3*O146))))</f>
        <v>-0.52691941667565001</v>
      </c>
      <c r="U146">
        <f t="shared" si="115"/>
        <v>-2.8274818602076239</v>
      </c>
      <c r="V146">
        <f t="shared" si="116"/>
        <v>3.765333826847669</v>
      </c>
      <c r="W146" s="9" t="str">
        <f>IF($D$34=0,"",IF(AND(J146=0,K146=0,L146=0,M146=0),"",CHAR(10)&amp;CHAR(10)&amp;-1*ROUND(N146,4)&amp;" ksi"))</f>
        <v xml:space="preserve">
0 ksi</v>
      </c>
      <c r="X146">
        <f t="shared" ref="X146:X153" si="133">(U146*COS(-1*$B$64))+(V146*SIN(-1*$B$64))</f>
        <v>-3.0000000000000004</v>
      </c>
      <c r="Y146">
        <f t="shared" ref="Y146:Y153" si="134">(-1*U146*SIN(-1*$B$64))+(V146*COS(-1*$B$64))</f>
        <v>3.6293790787690501</v>
      </c>
      <c r="AA146" s="4">
        <f t="shared" ref="AA146:AA153" si="135">X146+$B$9</f>
        <v>3.9999999999999996</v>
      </c>
      <c r="AB146" s="4">
        <f t="shared" ref="AB146:AB153" si="136">Y146+$C$9</f>
        <v>10.62937907876905</v>
      </c>
      <c r="AD146">
        <f t="shared" ref="AD146:AD153" si="137">IF(AND(J146=0,K146=0,L146=0,M146=0),NA(),L146)</f>
        <v>-2.8101981466527839</v>
      </c>
      <c r="AE146">
        <f t="shared" ref="AE146:AE153" si="138">IF(AND(J146=0,K146=0,L146=0,M146=0),NA(),M146)</f>
        <v>4.1355515202387769</v>
      </c>
      <c r="AF146" s="9" t="str">
        <f>IF(AND(J146=0,K146=0,L146=0,M146=0),"",CHAR(10)&amp;CHAR(10)&amp;-1*ROUND(O146,4)&amp;" ksi")</f>
        <v xml:space="preserve">
-0.7179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9">(AG146*COS(-1*$B$64))+(AH146*SIN(-1*$B$64))</f>
        <v>#N/A</v>
      </c>
      <c r="AK146" t="e">
        <f t="shared" ref="AK146:AK153" si="140">(-1*AG146*SIN(-1*$B$64))+(AH146*COS(-1*$B$64))</f>
        <v>#N/A</v>
      </c>
      <c r="AM146" s="4" t="e">
        <f t="shared" ref="AM146:AM153" si="141">AJ146+$B$9</f>
        <v>#N/A</v>
      </c>
      <c r="AN146" s="4" t="e">
        <f t="shared" ref="AN146:AN153" si="142">AK146+$C$9</f>
        <v>#N/A</v>
      </c>
    </row>
    <row r="147" spans="1:40" x14ac:dyDescent="0.25">
      <c r="A147" t="s">
        <v>70</v>
      </c>
      <c r="B147" s="9">
        <f t="shared" ref="B147:C153" si="143">D146</f>
        <v>-2.8101981466527839</v>
      </c>
      <c r="C147">
        <f t="shared" si="143"/>
        <v>4.1355515202387769</v>
      </c>
      <c r="D147" s="9">
        <f t="shared" si="132"/>
        <v>3.1832739783664463</v>
      </c>
      <c r="E147">
        <f t="shared" si="132"/>
        <v>3.8557446464535299</v>
      </c>
      <c r="F147" s="4">
        <f t="shared" ref="F147:F153" si="144">($B$66/$B$65)*(C147-$B$125)</f>
        <v>0.71794858024683095</v>
      </c>
      <c r="G147" s="4">
        <f t="shared" ref="G147:G153" si="145">($B$66/$B$65)*(E147-$B$125)</f>
        <v>0.17533013881756088</v>
      </c>
      <c r="H147" s="4">
        <f t="shared" ref="H147:H153" si="146">IF(B147=D147,"V",(C147-E147)/(B147-D147))</f>
        <v>-4.668527156691319E-2</v>
      </c>
      <c r="I147" s="4">
        <f t="shared" ref="I147:I153" si="147">IF(H147="V",0,(-1*B147*H147)+C147)</f>
        <v>4.0043566566054558</v>
      </c>
      <c r="J147" s="4">
        <f t="shared" ref="J147:J153" si="148">IF($F147&gt;=0,B147,IF(AND($F147&lt;0,$G147&gt;=0),IF(H147="V",B147,($B$125-I147)/H147),0))</f>
        <v>-2.8101981466527839</v>
      </c>
      <c r="K147" s="4">
        <f t="shared" ref="K147:K153" si="149">IF($F147&gt;=0,C147,IF(AND($F147&lt;0,$G147&gt;=0),$B$125,0))</f>
        <v>4.1355515202387769</v>
      </c>
      <c r="L147" s="4">
        <f t="shared" ref="L147:L153" si="150">IF($G147&gt;=0,D147,IF(AND($G147&lt;0,$F147&gt;=0),IF(H147="V",D147,($B$125-I147)/H147),0))</f>
        <v>3.1832739783664463</v>
      </c>
      <c r="M147" s="4">
        <f t="shared" ref="M147:M153" si="151">IF($G147&gt;=0,E147,IF(AND($G147&lt;0,$F147&gt;=0),$B$125,0))</f>
        <v>3.8557446464535299</v>
      </c>
      <c r="N147" s="4">
        <f t="shared" ref="N147:N153" si="152">IF(F147&lt;0,0,F147)</f>
        <v>0.71794858024683095</v>
      </c>
      <c r="O147" s="4">
        <f t="shared" ref="O147:O153" si="153">IF(G147&lt;0,0,G147)</f>
        <v>0.17533013881756088</v>
      </c>
      <c r="P147" s="4">
        <f t="shared" ref="P147:P153" si="154">(1/6)*(M147-K147)*((N147*((2*J147)+L147))+(O147*(J147+(2*L147))))</f>
        <v>5.2519433095652303E-2</v>
      </c>
      <c r="Q147" s="4">
        <f t="shared" ref="Q147:Q153" si="155">((1/12)*(M147-K147)*(N147*J147*((3*K147)+M147)+N147*L147*(K147+M147)+O147*J147*(K147+M147)+O147*L147*(K147+(3*M147))))</f>
        <v>0.22665388390476665</v>
      </c>
      <c r="R147" s="4">
        <f t="shared" ref="R147:R153" si="156">((-1/24)*(M147-K147)*(J147*J147*((3*N147)+O147)+2*J147*L147*(N147+O147)+L147*L147*(N147+(3*O147))))</f>
        <v>0.17508029661577554</v>
      </c>
      <c r="U147">
        <f t="shared" si="115"/>
        <v>-2.8101981466527839</v>
      </c>
      <c r="V147">
        <f t="shared" si="116"/>
        <v>4.1355515202387769</v>
      </c>
      <c r="W147" s="9" t="str">
        <f t="shared" ref="W147:W153" si="157">IF($D$34=0,"",IF(AND(J147=0,K147=0,L147=0,M147=0),"",CHAR(10)&amp;CHAR(10)&amp;-1*ROUND(N147,4)&amp;" ksi"))</f>
        <v xml:space="preserve">
-0.7179 ksi</v>
      </c>
      <c r="X147">
        <f t="shared" si="133"/>
        <v>-3</v>
      </c>
      <c r="Y147">
        <f t="shared" si="134"/>
        <v>4</v>
      </c>
      <c r="AA147" s="4">
        <f t="shared" si="135"/>
        <v>4</v>
      </c>
      <c r="AB147" s="4">
        <f t="shared" si="136"/>
        <v>11</v>
      </c>
      <c r="AD147">
        <f t="shared" si="137"/>
        <v>3.1832739783664463</v>
      </c>
      <c r="AE147">
        <f t="shared" si="138"/>
        <v>3.8557446464535299</v>
      </c>
      <c r="AF147" s="9" t="str">
        <f t="shared" ref="AF147:AF153" si="158">IF(AND(J147=0,K147=0,L147=0,M147=0),"",CHAR(10)&amp;CHAR(10)&amp;-1*ROUND(O147,4)&amp;" ksi")</f>
        <v xml:space="preserve">
-0.1753 ksi</v>
      </c>
      <c r="AG147" t="e">
        <f t="shared" ref="AG147:AG153" si="159">IF(COUNTIF($U$146:$U$153,AD147)&gt;0,NA(),AD147)</f>
        <v>#N/A</v>
      </c>
      <c r="AH147" t="e">
        <f t="shared" ref="AH147:AH153" si="160">IF(AND(COUNTIF($V$146:$V$153,AE147)&gt;0,AF147&lt;&gt;CHAR(10)&amp;CHAR(10)&amp;"0 ksi"),NA(),AE147)</f>
        <v>#N/A</v>
      </c>
      <c r="AI147" t="str">
        <f t="shared" ref="AI147:AI153" si="161">IF(COUNTIF($U$146:$U$153,AD147)&gt;0,"",AF147)</f>
        <v/>
      </c>
      <c r="AJ147" t="e">
        <f t="shared" si="139"/>
        <v>#N/A</v>
      </c>
      <c r="AK147" t="e">
        <f t="shared" si="140"/>
        <v>#N/A</v>
      </c>
      <c r="AM147" s="4" t="e">
        <f t="shared" si="141"/>
        <v>#N/A</v>
      </c>
      <c r="AN147" s="4" t="e">
        <f t="shared" si="142"/>
        <v>#N/A</v>
      </c>
    </row>
    <row r="148" spans="1:40" x14ac:dyDescent="0.25">
      <c r="A148" t="s">
        <v>71</v>
      </c>
      <c r="B148" s="9">
        <f t="shared" si="143"/>
        <v>3.1832739783664463</v>
      </c>
      <c r="C148">
        <f t="shared" si="143"/>
        <v>3.8557446464535299</v>
      </c>
      <c r="D148" s="9">
        <f t="shared" si="132"/>
        <v>2.8101981466527839</v>
      </c>
      <c r="E148">
        <f t="shared" si="132"/>
        <v>-4.1355515202387769</v>
      </c>
      <c r="F148" s="4">
        <f t="shared" si="144"/>
        <v>0.17533013881756088</v>
      </c>
      <c r="G148" s="4">
        <f t="shared" si="145"/>
        <v>-15.32187553132745</v>
      </c>
      <c r="H148" s="4">
        <f t="shared" si="146"/>
        <v>21.420031766693658</v>
      </c>
      <c r="I148" s="4">
        <f t="shared" si="147"/>
        <v>-64.330085092245042</v>
      </c>
      <c r="J148" s="4">
        <f t="shared" si="148"/>
        <v>3.1832739783664463</v>
      </c>
      <c r="K148" s="4">
        <f t="shared" si="149"/>
        <v>3.8557446464535299</v>
      </c>
      <c r="L148" s="4">
        <f t="shared" si="150"/>
        <v>3.1790531247005589</v>
      </c>
      <c r="M148" s="4">
        <f t="shared" si="151"/>
        <v>3.765333826847669</v>
      </c>
      <c r="N148" s="4">
        <f t="shared" si="152"/>
        <v>0.17533013881756088</v>
      </c>
      <c r="O148" s="4">
        <f t="shared" si="153"/>
        <v>0</v>
      </c>
      <c r="P148" s="4">
        <f t="shared" si="154"/>
        <v>-2.5219066883729564E-2</v>
      </c>
      <c r="Q148" s="4">
        <f t="shared" si="155"/>
        <v>-9.6478424656509409E-2</v>
      </c>
      <c r="R148" s="4">
        <f t="shared" si="156"/>
        <v>4.0121862608683813E-2</v>
      </c>
      <c r="U148">
        <f t="shared" si="115"/>
        <v>3.1832739783664463</v>
      </c>
      <c r="V148">
        <f t="shared" si="116"/>
        <v>3.8557446464535299</v>
      </c>
      <c r="W148" s="9" t="str">
        <f t="shared" si="157"/>
        <v xml:space="preserve">
-0.1753 ksi</v>
      </c>
      <c r="X148">
        <f t="shared" si="133"/>
        <v>3</v>
      </c>
      <c r="Y148">
        <f t="shared" si="134"/>
        <v>4</v>
      </c>
      <c r="AA148" s="4">
        <f t="shared" si="135"/>
        <v>10</v>
      </c>
      <c r="AB148" s="4">
        <f t="shared" si="136"/>
        <v>11</v>
      </c>
      <c r="AD148">
        <f t="shared" si="137"/>
        <v>3.1790531247005589</v>
      </c>
      <c r="AE148">
        <f t="shared" si="138"/>
        <v>3.765333826847669</v>
      </c>
      <c r="AF148" s="9" t="str">
        <f t="shared" si="158"/>
        <v xml:space="preserve">
0 ksi</v>
      </c>
      <c r="AG148">
        <f t="shared" si="159"/>
        <v>3.1790531247005589</v>
      </c>
      <c r="AH148">
        <f t="shared" si="160"/>
        <v>3.765333826847669</v>
      </c>
      <c r="AI148" t="str">
        <f t="shared" si="161"/>
        <v xml:space="preserve">
0 ksi</v>
      </c>
      <c r="AJ148">
        <f t="shared" si="139"/>
        <v>2.9999999999999991</v>
      </c>
      <c r="AK148">
        <f t="shared" si="140"/>
        <v>3.9094907081705292</v>
      </c>
      <c r="AM148" s="4">
        <f t="shared" si="141"/>
        <v>10</v>
      </c>
      <c r="AN148" s="4">
        <f t="shared" si="142"/>
        <v>10.90949070817053</v>
      </c>
    </row>
    <row r="149" spans="1:40" x14ac:dyDescent="0.25">
      <c r="A149" t="s">
        <v>72</v>
      </c>
      <c r="B149" s="9">
        <f t="shared" si="143"/>
        <v>2.8101981466527839</v>
      </c>
      <c r="C149">
        <f t="shared" si="143"/>
        <v>-4.1355515202387769</v>
      </c>
      <c r="D149" s="9">
        <f t="shared" si="132"/>
        <v>-3.1832739783664463</v>
      </c>
      <c r="E149">
        <f t="shared" si="132"/>
        <v>-3.8557446464535299</v>
      </c>
      <c r="F149" s="4">
        <f t="shared" si="144"/>
        <v>-15.32187553132745</v>
      </c>
      <c r="G149" s="4">
        <f t="shared" si="145"/>
        <v>-14.779257089898181</v>
      </c>
      <c r="H149" s="4">
        <f t="shared" si="146"/>
        <v>-4.668527156691319E-2</v>
      </c>
      <c r="I149" s="4">
        <f t="shared" si="147"/>
        <v>-4.0043566566054558</v>
      </c>
      <c r="J149" s="4">
        <f t="shared" si="148"/>
        <v>0</v>
      </c>
      <c r="K149" s="4">
        <f t="shared" si="149"/>
        <v>0</v>
      </c>
      <c r="L149" s="4">
        <f t="shared" si="150"/>
        <v>0</v>
      </c>
      <c r="M149" s="4">
        <f t="shared" si="151"/>
        <v>0</v>
      </c>
      <c r="N149" s="4">
        <f t="shared" si="152"/>
        <v>0</v>
      </c>
      <c r="O149" s="4">
        <f t="shared" si="153"/>
        <v>0</v>
      </c>
      <c r="P149" s="4">
        <f t="shared" si="154"/>
        <v>0</v>
      </c>
      <c r="Q149" s="4">
        <f t="shared" si="155"/>
        <v>0</v>
      </c>
      <c r="R149" s="4">
        <f t="shared" si="156"/>
        <v>0</v>
      </c>
      <c r="U149" t="e">
        <f t="shared" si="115"/>
        <v>#N/A</v>
      </c>
      <c r="V149" t="e">
        <f t="shared" si="116"/>
        <v>#N/A</v>
      </c>
      <c r="W149" s="9" t="str">
        <f t="shared" si="157"/>
        <v/>
      </c>
      <c r="X149" t="e">
        <f t="shared" si="133"/>
        <v>#N/A</v>
      </c>
      <c r="Y149" t="e">
        <f t="shared" si="134"/>
        <v>#N/A</v>
      </c>
      <c r="AA149" s="4" t="e">
        <f t="shared" si="135"/>
        <v>#N/A</v>
      </c>
      <c r="AB149" s="4" t="e">
        <f t="shared" si="136"/>
        <v>#N/A</v>
      </c>
      <c r="AD149" t="e">
        <f t="shared" si="137"/>
        <v>#N/A</v>
      </c>
      <c r="AE149" t="e">
        <f t="shared" si="138"/>
        <v>#N/A</v>
      </c>
      <c r="AF149" s="9" t="str">
        <f t="shared" si="158"/>
        <v/>
      </c>
      <c r="AG149" t="e">
        <f t="shared" si="159"/>
        <v>#N/A</v>
      </c>
      <c r="AH149" t="e">
        <f t="shared" si="160"/>
        <v>#N/A</v>
      </c>
      <c r="AI149" t="str">
        <f t="shared" si="161"/>
        <v/>
      </c>
      <c r="AJ149" t="e">
        <f t="shared" si="139"/>
        <v>#N/A</v>
      </c>
      <c r="AK149" t="e">
        <f t="shared" si="140"/>
        <v>#N/A</v>
      </c>
      <c r="AM149" s="4" t="e">
        <f t="shared" si="141"/>
        <v>#N/A</v>
      </c>
      <c r="AN149" s="4" t="e">
        <f t="shared" si="142"/>
        <v>#N/A</v>
      </c>
    </row>
    <row r="150" spans="1:40" x14ac:dyDescent="0.25">
      <c r="A150" t="s">
        <v>73</v>
      </c>
      <c r="B150" s="9">
        <f t="shared" si="143"/>
        <v>-3.1832739783664463</v>
      </c>
      <c r="C150">
        <f t="shared" si="143"/>
        <v>-3.8557446464535299</v>
      </c>
      <c r="D150" s="9">
        <f t="shared" si="132"/>
        <v>-3.1832739783664463</v>
      </c>
      <c r="E150">
        <f t="shared" si="132"/>
        <v>-3.8557446464535299</v>
      </c>
      <c r="F150" s="4">
        <f t="shared" si="144"/>
        <v>-14.779257089898181</v>
      </c>
      <c r="G150" s="4">
        <f t="shared" si="145"/>
        <v>-14.779257089898181</v>
      </c>
      <c r="H150" s="4" t="str">
        <f t="shared" si="146"/>
        <v>V</v>
      </c>
      <c r="I150" s="4">
        <f t="shared" si="147"/>
        <v>0</v>
      </c>
      <c r="J150" s="4">
        <f t="shared" si="148"/>
        <v>0</v>
      </c>
      <c r="K150" s="4">
        <f t="shared" si="149"/>
        <v>0</v>
      </c>
      <c r="L150" s="4">
        <f t="shared" si="150"/>
        <v>0</v>
      </c>
      <c r="M150" s="4">
        <f t="shared" si="151"/>
        <v>0</v>
      </c>
      <c r="N150" s="4">
        <f t="shared" si="152"/>
        <v>0</v>
      </c>
      <c r="O150" s="4">
        <f t="shared" si="153"/>
        <v>0</v>
      </c>
      <c r="P150" s="4">
        <f t="shared" si="154"/>
        <v>0</v>
      </c>
      <c r="Q150" s="4">
        <f t="shared" si="155"/>
        <v>0</v>
      </c>
      <c r="R150" s="4">
        <f t="shared" si="156"/>
        <v>0</v>
      </c>
      <c r="U150" t="e">
        <f t="shared" si="115"/>
        <v>#N/A</v>
      </c>
      <c r="V150" t="e">
        <f t="shared" si="116"/>
        <v>#N/A</v>
      </c>
      <c r="W150" s="9" t="str">
        <f t="shared" si="157"/>
        <v/>
      </c>
      <c r="X150" t="e">
        <f t="shared" si="133"/>
        <v>#N/A</v>
      </c>
      <c r="Y150" t="e">
        <f t="shared" si="134"/>
        <v>#N/A</v>
      </c>
      <c r="AA150" s="4" t="e">
        <f t="shared" si="135"/>
        <v>#N/A</v>
      </c>
      <c r="AB150" s="4" t="e">
        <f t="shared" si="136"/>
        <v>#N/A</v>
      </c>
      <c r="AD150" t="e">
        <f t="shared" si="137"/>
        <v>#N/A</v>
      </c>
      <c r="AE150" t="e">
        <f t="shared" si="138"/>
        <v>#N/A</v>
      </c>
      <c r="AF150" s="9" t="str">
        <f t="shared" si="158"/>
        <v/>
      </c>
      <c r="AG150" t="e">
        <f t="shared" si="159"/>
        <v>#N/A</v>
      </c>
      <c r="AH150" t="e">
        <f t="shared" si="160"/>
        <v>#N/A</v>
      </c>
      <c r="AI150" t="str">
        <f t="shared" si="161"/>
        <v/>
      </c>
      <c r="AJ150" t="e">
        <f t="shared" si="139"/>
        <v>#N/A</v>
      </c>
      <c r="AK150" t="e">
        <f t="shared" si="140"/>
        <v>#N/A</v>
      </c>
      <c r="AM150" s="4" t="e">
        <f t="shared" si="141"/>
        <v>#N/A</v>
      </c>
      <c r="AN150" s="4" t="e">
        <f t="shared" si="142"/>
        <v>#N/A</v>
      </c>
    </row>
    <row r="151" spans="1:40" x14ac:dyDescent="0.25">
      <c r="A151" t="s">
        <v>74</v>
      </c>
      <c r="B151" s="9">
        <f t="shared" si="143"/>
        <v>-3.1832739783664463</v>
      </c>
      <c r="C151">
        <f t="shared" si="143"/>
        <v>-3.8557446464535299</v>
      </c>
      <c r="D151" s="9">
        <f t="shared" si="132"/>
        <v>-3.1832739783664463</v>
      </c>
      <c r="E151">
        <f t="shared" si="132"/>
        <v>-3.8557446464535299</v>
      </c>
      <c r="F151" s="4">
        <f t="shared" si="144"/>
        <v>-14.779257089898181</v>
      </c>
      <c r="G151" s="4">
        <f t="shared" si="145"/>
        <v>-14.779257089898181</v>
      </c>
      <c r="H151" s="4" t="str">
        <f t="shared" si="146"/>
        <v>V</v>
      </c>
      <c r="I151" s="4">
        <f t="shared" si="147"/>
        <v>0</v>
      </c>
      <c r="J151" s="4">
        <f t="shared" si="148"/>
        <v>0</v>
      </c>
      <c r="K151" s="4">
        <f t="shared" si="149"/>
        <v>0</v>
      </c>
      <c r="L151" s="4">
        <f t="shared" si="150"/>
        <v>0</v>
      </c>
      <c r="M151" s="4">
        <f t="shared" si="151"/>
        <v>0</v>
      </c>
      <c r="N151" s="4">
        <f t="shared" si="152"/>
        <v>0</v>
      </c>
      <c r="O151" s="4">
        <f t="shared" si="153"/>
        <v>0</v>
      </c>
      <c r="P151" s="4">
        <f t="shared" si="154"/>
        <v>0</v>
      </c>
      <c r="Q151" s="4">
        <f t="shared" si="155"/>
        <v>0</v>
      </c>
      <c r="R151" s="4">
        <f t="shared" si="156"/>
        <v>0</v>
      </c>
      <c r="U151" t="e">
        <f t="shared" si="115"/>
        <v>#N/A</v>
      </c>
      <c r="V151" t="e">
        <f t="shared" si="116"/>
        <v>#N/A</v>
      </c>
      <c r="W151" s="9" t="str">
        <f t="shared" si="157"/>
        <v/>
      </c>
      <c r="X151" t="e">
        <f t="shared" si="133"/>
        <v>#N/A</v>
      </c>
      <c r="Y151" t="e">
        <f t="shared" si="134"/>
        <v>#N/A</v>
      </c>
      <c r="AA151" s="4" t="e">
        <f t="shared" si="135"/>
        <v>#N/A</v>
      </c>
      <c r="AB151" s="4" t="e">
        <f t="shared" si="136"/>
        <v>#N/A</v>
      </c>
      <c r="AD151" t="e">
        <f t="shared" si="137"/>
        <v>#N/A</v>
      </c>
      <c r="AE151" t="e">
        <f t="shared" si="138"/>
        <v>#N/A</v>
      </c>
      <c r="AF151" s="9" t="str">
        <f t="shared" si="158"/>
        <v/>
      </c>
      <c r="AG151" t="e">
        <f t="shared" si="159"/>
        <v>#N/A</v>
      </c>
      <c r="AH151" t="e">
        <f t="shared" si="160"/>
        <v>#N/A</v>
      </c>
      <c r="AI151" t="str">
        <f t="shared" si="161"/>
        <v/>
      </c>
      <c r="AJ151" t="e">
        <f t="shared" si="139"/>
        <v>#N/A</v>
      </c>
      <c r="AK151" t="e">
        <f t="shared" si="140"/>
        <v>#N/A</v>
      </c>
      <c r="AM151" s="4" t="e">
        <f t="shared" si="141"/>
        <v>#N/A</v>
      </c>
      <c r="AN151" s="4" t="e">
        <f t="shared" si="142"/>
        <v>#N/A</v>
      </c>
    </row>
    <row r="152" spans="1:40" x14ac:dyDescent="0.25">
      <c r="A152" t="s">
        <v>75</v>
      </c>
      <c r="B152" s="9">
        <f t="shared" si="143"/>
        <v>-3.1832739783664463</v>
      </c>
      <c r="C152">
        <f t="shared" si="143"/>
        <v>-3.8557446464535299</v>
      </c>
      <c r="D152" s="9">
        <f t="shared" si="132"/>
        <v>-3.1832739783664463</v>
      </c>
      <c r="E152">
        <f t="shared" si="132"/>
        <v>-3.8557446464535299</v>
      </c>
      <c r="F152" s="4">
        <f t="shared" si="144"/>
        <v>-14.779257089898181</v>
      </c>
      <c r="G152" s="4">
        <f t="shared" si="145"/>
        <v>-14.779257089898181</v>
      </c>
      <c r="H152" s="4" t="str">
        <f t="shared" si="146"/>
        <v>V</v>
      </c>
      <c r="I152" s="4">
        <f t="shared" si="147"/>
        <v>0</v>
      </c>
      <c r="J152" s="4">
        <f t="shared" si="148"/>
        <v>0</v>
      </c>
      <c r="K152" s="4">
        <f t="shared" si="149"/>
        <v>0</v>
      </c>
      <c r="L152" s="4">
        <f t="shared" si="150"/>
        <v>0</v>
      </c>
      <c r="M152" s="4">
        <f t="shared" si="151"/>
        <v>0</v>
      </c>
      <c r="N152" s="4">
        <f t="shared" si="152"/>
        <v>0</v>
      </c>
      <c r="O152" s="4">
        <f t="shared" si="153"/>
        <v>0</v>
      </c>
      <c r="P152" s="4">
        <f t="shared" si="154"/>
        <v>0</v>
      </c>
      <c r="Q152" s="4">
        <f t="shared" si="155"/>
        <v>0</v>
      </c>
      <c r="R152" s="4">
        <f t="shared" si="156"/>
        <v>0</v>
      </c>
      <c r="U152" t="e">
        <f t="shared" si="115"/>
        <v>#N/A</v>
      </c>
      <c r="V152" t="e">
        <f t="shared" si="116"/>
        <v>#N/A</v>
      </c>
      <c r="W152" s="9" t="str">
        <f t="shared" si="157"/>
        <v/>
      </c>
      <c r="X152" t="e">
        <f t="shared" si="133"/>
        <v>#N/A</v>
      </c>
      <c r="Y152" t="e">
        <f t="shared" si="134"/>
        <v>#N/A</v>
      </c>
      <c r="AA152" s="4" t="e">
        <f t="shared" si="135"/>
        <v>#N/A</v>
      </c>
      <c r="AB152" s="4" t="e">
        <f t="shared" si="136"/>
        <v>#N/A</v>
      </c>
      <c r="AD152" t="e">
        <f t="shared" si="137"/>
        <v>#N/A</v>
      </c>
      <c r="AE152" t="e">
        <f t="shared" si="138"/>
        <v>#N/A</v>
      </c>
      <c r="AF152" s="9" t="str">
        <f t="shared" si="158"/>
        <v/>
      </c>
      <c r="AG152" t="e">
        <f t="shared" si="159"/>
        <v>#N/A</v>
      </c>
      <c r="AH152" t="e">
        <f t="shared" si="160"/>
        <v>#N/A</v>
      </c>
      <c r="AI152" t="str">
        <f t="shared" si="161"/>
        <v/>
      </c>
      <c r="AJ152" t="e">
        <f t="shared" si="139"/>
        <v>#N/A</v>
      </c>
      <c r="AK152" t="e">
        <f t="shared" si="140"/>
        <v>#N/A</v>
      </c>
      <c r="AM152" s="4" t="e">
        <f t="shared" si="141"/>
        <v>#N/A</v>
      </c>
      <c r="AN152" s="4" t="e">
        <f t="shared" si="142"/>
        <v>#N/A</v>
      </c>
    </row>
    <row r="153" spans="1:40" ht="15.75" thickBot="1" x14ac:dyDescent="0.3">
      <c r="A153" t="s">
        <v>134</v>
      </c>
      <c r="B153" s="9">
        <f t="shared" si="143"/>
        <v>-3.1832739783664463</v>
      </c>
      <c r="C153">
        <f t="shared" si="143"/>
        <v>-3.8557446464535299</v>
      </c>
      <c r="D153" s="9">
        <f t="shared" si="132"/>
        <v>-3.1832739783664463</v>
      </c>
      <c r="E153">
        <f t="shared" si="132"/>
        <v>-3.8557446464535299</v>
      </c>
      <c r="F153" s="4">
        <f t="shared" si="144"/>
        <v>-14.779257089898181</v>
      </c>
      <c r="G153" s="4">
        <f t="shared" si="145"/>
        <v>-14.779257089898181</v>
      </c>
      <c r="H153" s="4" t="str">
        <f t="shared" si="146"/>
        <v>V</v>
      </c>
      <c r="I153" s="4">
        <f t="shared" si="147"/>
        <v>0</v>
      </c>
      <c r="J153" s="4">
        <f t="shared" si="148"/>
        <v>0</v>
      </c>
      <c r="K153" s="4">
        <f t="shared" si="149"/>
        <v>0</v>
      </c>
      <c r="L153" s="4">
        <f t="shared" si="150"/>
        <v>0</v>
      </c>
      <c r="M153" s="4">
        <f t="shared" si="151"/>
        <v>0</v>
      </c>
      <c r="N153" s="4">
        <f t="shared" si="152"/>
        <v>0</v>
      </c>
      <c r="O153" s="4">
        <f t="shared" si="153"/>
        <v>0</v>
      </c>
      <c r="P153" s="22">
        <f t="shared" si="154"/>
        <v>0</v>
      </c>
      <c r="Q153" s="22">
        <f t="shared" si="155"/>
        <v>0</v>
      </c>
      <c r="R153" s="22">
        <f t="shared" si="156"/>
        <v>0</v>
      </c>
      <c r="U153" t="e">
        <f t="shared" si="115"/>
        <v>#N/A</v>
      </c>
      <c r="V153" t="e">
        <f t="shared" si="116"/>
        <v>#N/A</v>
      </c>
      <c r="W153" s="9" t="str">
        <f t="shared" si="157"/>
        <v/>
      </c>
      <c r="X153" t="e">
        <f t="shared" si="133"/>
        <v>#N/A</v>
      </c>
      <c r="Y153" t="e">
        <f t="shared" si="134"/>
        <v>#N/A</v>
      </c>
      <c r="AA153" s="4" t="e">
        <f t="shared" si="135"/>
        <v>#N/A</v>
      </c>
      <c r="AB153" s="4" t="e">
        <f t="shared" si="136"/>
        <v>#N/A</v>
      </c>
      <c r="AD153" t="e">
        <f t="shared" si="137"/>
        <v>#N/A</v>
      </c>
      <c r="AE153" t="e">
        <f t="shared" si="138"/>
        <v>#N/A</v>
      </c>
      <c r="AF153" s="9" t="str">
        <f t="shared" si="158"/>
        <v/>
      </c>
      <c r="AG153" t="e">
        <f t="shared" si="159"/>
        <v>#N/A</v>
      </c>
      <c r="AH153" t="e">
        <f t="shared" si="160"/>
        <v>#N/A</v>
      </c>
      <c r="AI153" t="str">
        <f t="shared" si="161"/>
        <v/>
      </c>
      <c r="AJ153" t="e">
        <f t="shared" si="139"/>
        <v>#N/A</v>
      </c>
      <c r="AK153" t="e">
        <f t="shared" si="140"/>
        <v>#N/A</v>
      </c>
      <c r="AM153" s="4" t="e">
        <f t="shared" si="141"/>
        <v>#N/A</v>
      </c>
      <c r="AN153" s="4" t="e">
        <f t="shared" si="142"/>
        <v>#N/A</v>
      </c>
    </row>
    <row r="154" spans="1:40" ht="15.75" thickTop="1" x14ac:dyDescent="0.25">
      <c r="P154" s="4">
        <f>SUM(P146:P153)</f>
        <v>-0.34693678847638815</v>
      </c>
      <c r="Q154" s="4">
        <f t="shared" ref="Q154:R154" si="162">SUM(Q146:Q153)</f>
        <v>-1.371271259170235</v>
      </c>
      <c r="R154" s="4">
        <f t="shared" si="162"/>
        <v>-0.31171725745119067</v>
      </c>
      <c r="T154" t="str">
        <f>IF(D34=0,"",ROUND(P154,4)&amp;" kips")</f>
        <v>-0.3469 kips</v>
      </c>
    </row>
    <row r="156" spans="1:40" x14ac:dyDescent="0.25">
      <c r="O156" t="s">
        <v>96</v>
      </c>
      <c r="P156" s="1">
        <f>IF($D$34=0,NA(),-1*R154/P154)</f>
        <v>-0.89848429974846999</v>
      </c>
    </row>
    <row r="157" spans="1:40" x14ac:dyDescent="0.25">
      <c r="O157" t="s">
        <v>97</v>
      </c>
      <c r="P157" s="1">
        <f>IF($D$34=0,NA(),Q154/P154)</f>
        <v>3.9525103843623119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6.7224004141053229E-14</v>
      </c>
      <c r="C159" t="s">
        <v>36</v>
      </c>
    </row>
    <row r="160" spans="1:40" x14ac:dyDescent="0.25">
      <c r="A160" s="1" t="s">
        <v>106</v>
      </c>
      <c r="B160" s="4">
        <f>Q140+I122+Q154-O122</f>
        <v>1167.724415673903</v>
      </c>
      <c r="C160" t="s">
        <v>102</v>
      </c>
    </row>
    <row r="161" spans="1:9" x14ac:dyDescent="0.25">
      <c r="A161" s="1" t="s">
        <v>107</v>
      </c>
      <c r="B161" s="4">
        <f>R140+J122+R154-P122</f>
        <v>31.177700990305482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6.7224004141053229E-14</v>
      </c>
      <c r="C164" t="s">
        <v>36</v>
      </c>
      <c r="E164" s="8">
        <f>B2-B164</f>
        <v>-6.7224004141053229E-14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1164.9999999999998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85.599999999999937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6.8911463341707249</v>
      </c>
      <c r="B169" s="1">
        <f ca="1">IF(E122=0,0,(MIN(H110:H121)*B65)/(B55*B56*E122))</f>
        <v>-6.8911463341707284</v>
      </c>
      <c r="C169" s="3">
        <f ca="1">A169+B169</f>
        <v>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6.9195206603113489E-10</v>
      </c>
      <c r="C175" s="27">
        <f>B65*SQRT(I175)</f>
        <v>5.2706799119990835E-8</v>
      </c>
      <c r="D175" s="27">
        <f>B66*SQRT(I175)</f>
        <v>1.022122180356635E-7</v>
      </c>
      <c r="E175" s="27">
        <f>IF(B67=0,SQRT(I175),B67*SQRT(I175))</f>
        <v>5.4421597901291562E-7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4.6651399466886803E-2</v>
      </c>
      <c r="C176" s="3">
        <f>B65+C175</f>
        <v>3.553491724464354</v>
      </c>
      <c r="D176" s="3">
        <f>D175+B66</f>
        <v>6.8911464363829431</v>
      </c>
      <c r="E176" s="3">
        <f>B67+E175</f>
        <v>36.691034364296613</v>
      </c>
      <c r="F176" s="16" t="s">
        <v>125</v>
      </c>
    </row>
    <row r="177" spans="1:14" x14ac:dyDescent="0.25">
      <c r="B177" s="27">
        <f>B176-B64</f>
        <v>6.9195206509053975E-10</v>
      </c>
      <c r="C177" s="27">
        <f>C176-B65</f>
        <v>5.2706798925328258E-8</v>
      </c>
      <c r="D177" s="27">
        <f>D176-B66</f>
        <v>1.0221221824480153E-7</v>
      </c>
      <c r="E177" s="27">
        <f>E176-B67</f>
        <v>5.4421597894815932E-7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3">C177=C175</f>
        <v>0</v>
      </c>
      <c r="D178" t="b">
        <f t="shared" si="163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-20.489020256949715</v>
      </c>
      <c r="B180" s="25">
        <f>(d_sigma_p!E165-d_sigma_m!E165)/(2*'Rigid Bearing Plate Analysis'!D177)</f>
        <v>121.43936184900883</v>
      </c>
      <c r="C180" s="25">
        <f>(d_sigma_p!E166-d_sigma_m!E166)/(2*'Rigid Bearing Plate Analysis'!D177)</f>
        <v>9.4224680384579074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552.29235368564321</v>
      </c>
      <c r="B181" s="25">
        <f>(d_alpha_p!E165-d_alpha_m!E165)/(2*B177)</f>
        <v>-3264.1058866734747</v>
      </c>
      <c r="C181" s="25">
        <f>(d_alpha_p!E166-d_alpha_m!E166)/(2*B177)</f>
        <v>1675.823097531847</v>
      </c>
      <c r="D181" s="25">
        <f ca="1">(d_alpha_p!C169-d_alpha_m!C169)/(2*B177)</f>
        <v>9.0827245452759193</v>
      </c>
    </row>
    <row r="182" spans="1:14" x14ac:dyDescent="0.25">
      <c r="A182" s="25">
        <f>(d_Y_p!E164-d_Y_m!E164)/(2*C177)</f>
        <v>-53.21578556977974</v>
      </c>
      <c r="B182" s="25">
        <f>(d_Y_p!E165-d_Y_m!E165)/(2*C177)</f>
        <v>222.22873518475268</v>
      </c>
      <c r="C182" s="25">
        <f>(d_Y_p!E166-d_Y_m!E166)/(2*C177)</f>
        <v>3.4006757373878926</v>
      </c>
      <c r="D182" s="25">
        <f ca="1">(d_Y_p!C169-d_Y_m!C169)/(2*C177)</f>
        <v>-2.806341963898435</v>
      </c>
    </row>
    <row r="183" spans="1:14" x14ac:dyDescent="0.25">
      <c r="A183" s="25">
        <f>(d_T_p!E164-d_T_m!E164)/(2*E177)</f>
        <v>3.8481563837491817</v>
      </c>
      <c r="B183" s="25">
        <f>(d_T_p!E165-d_T_m!E165)/(2*E177)</f>
        <v>8.9434270263876225</v>
      </c>
      <c r="C183" s="25">
        <f>(d_T_p!E166-d_T_m!E166)/(2*E177)</f>
        <v>0.56330903954337541</v>
      </c>
      <c r="D183" s="25">
        <f ca="1">(d_T_p!C169-d_T_m!C169)/(2*E177)</f>
        <v>-0.18781554051822139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3.9811353359343613E-3</v>
      </c>
      <c r="B185" s="25">
        <f ca="1"/>
        <v>-5.6756257137501948E-5</v>
      </c>
      <c r="C185" s="25">
        <f ca="1"/>
        <v>-9.4107242208576018E-3</v>
      </c>
      <c r="D185" s="25">
        <f ca="1"/>
        <v>0.15906747703288815</v>
      </c>
      <c r="F185" s="8">
        <f>-1*E164</f>
        <v>6.7224004141053229E-14</v>
      </c>
      <c r="H185">
        <f t="array" aca="1" ref="H185:H188" ca="1">MMULT(A185:D188,F185:F188)</f>
        <v>2.6762785830894482E-16</v>
      </c>
      <c r="J185" s="8">
        <f ca="1">$B$66+H185</f>
        <v>6.8911463341707249</v>
      </c>
      <c r="K185" s="11" t="s">
        <v>115</v>
      </c>
      <c r="L185" s="8">
        <f ca="1">J186</f>
        <v>4.6651398774935099E-2</v>
      </c>
      <c r="M185" s="11" t="s">
        <v>116</v>
      </c>
      <c r="N185" t="s">
        <v>143</v>
      </c>
    </row>
    <row r="186" spans="1:14" x14ac:dyDescent="0.25">
      <c r="A186" s="25">
        <f ca="1"/>
        <v>5.3842078840699694E-3</v>
      </c>
      <c r="B186" s="25">
        <f ca="1"/>
        <v>-4.0057991452413935E-5</v>
      </c>
      <c r="C186" s="25">
        <f ca="1"/>
        <v>-2.6715770181851467E-4</v>
      </c>
      <c r="D186" s="25">
        <f ca="1"/>
        <v>3.0722207733937926E-2</v>
      </c>
      <c r="F186" s="8">
        <f>-1*E165</f>
        <v>0</v>
      </c>
      <c r="H186">
        <f ca="1"/>
        <v>3.6194801309501107E-16</v>
      </c>
      <c r="J186" s="8">
        <f ca="1">$B$64+H186</f>
        <v>4.6651398774935099E-2</v>
      </c>
      <c r="K186" s="11" t="s">
        <v>116</v>
      </c>
      <c r="L186" s="8">
        <f ca="1">J187</f>
        <v>3.5534916717575555</v>
      </c>
      <c r="M186" s="1" t="s">
        <v>117</v>
      </c>
    </row>
    <row r="187" spans="1:14" x14ac:dyDescent="0.25">
      <c r="A187" s="25">
        <f ca="1"/>
        <v>7.2259836029538596E-3</v>
      </c>
      <c r="B187" s="25">
        <f ca="1"/>
        <v>5.4518179231927621E-4</v>
      </c>
      <c r="C187" s="25">
        <f ca="1"/>
        <v>3.6359663752105185E-3</v>
      </c>
      <c r="D187" s="25">
        <f ca="1"/>
        <v>1.0510070818240918E-2</v>
      </c>
      <c r="F187" s="8">
        <f>-1*E166</f>
        <v>0</v>
      </c>
      <c r="H187">
        <f ca="1"/>
        <v>4.85759551648153E-16</v>
      </c>
      <c r="J187" s="8">
        <f ca="1">$B$65+H187</f>
        <v>3.5534916717575555</v>
      </c>
      <c r="K187" s="1" t="s">
        <v>117</v>
      </c>
      <c r="L187" s="8">
        <f ca="1">J185</f>
        <v>6.8911463341707249</v>
      </c>
      <c r="M187" s="11" t="s">
        <v>115</v>
      </c>
    </row>
    <row r="188" spans="1:14" x14ac:dyDescent="0.25">
      <c r="A188" s="25">
        <f ca="1"/>
        <v>0.35962819349450476</v>
      </c>
      <c r="B188" s="25">
        <f ca="1"/>
        <v>-1.4352211965423037E-3</v>
      </c>
      <c r="C188" s="25">
        <f ca="1"/>
        <v>-0.19463283533115935</v>
      </c>
      <c r="D188" s="25">
        <f ca="1"/>
        <v>-0.57077934902018101</v>
      </c>
      <c r="F188">
        <f ca="1">-1*C169</f>
        <v>0</v>
      </c>
      <c r="H188">
        <f ca="1"/>
        <v>2.4175647168714078E-14</v>
      </c>
      <c r="J188" s="8">
        <f ca="1">$B$67+H188</f>
        <v>36.691033820080655</v>
      </c>
      <c r="K188" s="1" t="s">
        <v>118</v>
      </c>
      <c r="L188" s="8">
        <f ca="1">J188</f>
        <v>36.691033820080655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-20.489020256949715</v>
      </c>
      <c r="B190" s="25">
        <f>A181</f>
        <v>552.29235368564321</v>
      </c>
      <c r="C190" s="25">
        <f>A182</f>
        <v>-53.21578556977974</v>
      </c>
      <c r="D190" s="25">
        <f>A183</f>
        <v>3.8481563837491817</v>
      </c>
      <c r="F190" t="s">
        <v>119</v>
      </c>
    </row>
    <row r="191" spans="1:14" x14ac:dyDescent="0.25">
      <c r="A191" s="25">
        <f>B180</f>
        <v>121.43936184900883</v>
      </c>
      <c r="B191" s="25">
        <f>B181</f>
        <v>-3264.1058866734747</v>
      </c>
      <c r="C191" s="25">
        <f>B182</f>
        <v>222.22873518475268</v>
      </c>
      <c r="D191" s="25">
        <f>B183</f>
        <v>8.9434270263876225</v>
      </c>
      <c r="F191" t="s">
        <v>120</v>
      </c>
    </row>
    <row r="192" spans="1:14" x14ac:dyDescent="0.25">
      <c r="A192" s="25">
        <f>C180</f>
        <v>9.4224680384579074</v>
      </c>
      <c r="B192" s="25">
        <f>C181</f>
        <v>1675.823097531847</v>
      </c>
      <c r="C192" s="25">
        <f>C182</f>
        <v>3.4006757373878926</v>
      </c>
      <c r="D192" s="25">
        <f>C183</f>
        <v>0.56330903954337541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9.0827245452759193</v>
      </c>
      <c r="C193" s="25">
        <f ca="1">D182</f>
        <v>-2.806341963898435</v>
      </c>
      <c r="D193" s="25">
        <f ca="1">D183</f>
        <v>-0.18781554051822139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3.9811353359343387E-3</v>
      </c>
      <c r="B195" s="25">
        <f ca="1"/>
        <v>5.3842078840699624E-3</v>
      </c>
      <c r="C195" s="25">
        <f ca="1"/>
        <v>7.2259836029538562E-3</v>
      </c>
      <c r="D195" s="25">
        <f ca="1"/>
        <v>0.3596281934945047</v>
      </c>
      <c r="H195">
        <f t="array" aca="1" ref="H195:H198" ca="1">MMULT(A195:D198,F185:F188)</f>
        <v>2.6762785830894334E-16</v>
      </c>
      <c r="J195" s="8">
        <f ca="1">$B$66+H195</f>
        <v>6.8911463341707249</v>
      </c>
      <c r="K195" s="11" t="s">
        <v>115</v>
      </c>
      <c r="L195" s="36">
        <f ca="1">J196</f>
        <v>4.6651398774934731E-2</v>
      </c>
      <c r="M195" s="37" t="s">
        <v>116</v>
      </c>
      <c r="N195" t="s">
        <v>146</v>
      </c>
    </row>
    <row r="196" spans="1:14" x14ac:dyDescent="0.25">
      <c r="A196" s="25">
        <f ca="1"/>
        <v>-5.6756257137501508E-5</v>
      </c>
      <c r="B196" s="25">
        <f ca="1"/>
        <v>-4.005799145241384E-5</v>
      </c>
      <c r="C196" s="25">
        <f ca="1"/>
        <v>5.4518179231927621E-4</v>
      </c>
      <c r="D196" s="25">
        <f ca="1"/>
        <v>-1.4352211965423048E-3</v>
      </c>
      <c r="H196">
        <f ca="1"/>
        <v>-3.8153828648420833E-18</v>
      </c>
      <c r="J196" s="8">
        <f ca="1">$B$64+H196</f>
        <v>4.6651398774934731E-2</v>
      </c>
      <c r="K196" s="11" t="s">
        <v>116</v>
      </c>
      <c r="L196" s="38">
        <f ca="1">J197</f>
        <v>3.5534916717575546</v>
      </c>
      <c r="M196" s="39" t="s">
        <v>117</v>
      </c>
    </row>
    <row r="197" spans="1:14" x14ac:dyDescent="0.25">
      <c r="A197" s="25">
        <f ca="1"/>
        <v>-9.4107242208575984E-3</v>
      </c>
      <c r="B197" s="25">
        <f ca="1"/>
        <v>-2.6715770181851266E-4</v>
      </c>
      <c r="C197" s="25">
        <f ca="1"/>
        <v>3.6359663752105194E-3</v>
      </c>
      <c r="D197" s="25">
        <f ca="1"/>
        <v>-0.19463283533115935</v>
      </c>
      <c r="H197">
        <f ca="1"/>
        <v>-6.3262656399324113E-16</v>
      </c>
      <c r="J197" s="8">
        <f ca="1">$B$65+H197</f>
        <v>3.5534916717575546</v>
      </c>
      <c r="K197" s="1" t="s">
        <v>117</v>
      </c>
      <c r="L197" s="38">
        <f ca="1">J195</f>
        <v>6.8911463341707249</v>
      </c>
      <c r="M197" s="43" t="s">
        <v>115</v>
      </c>
    </row>
    <row r="198" spans="1:14" ht="15.75" thickBot="1" x14ac:dyDescent="0.3">
      <c r="A198" s="25">
        <f ca="1"/>
        <v>0.15906747703288809</v>
      </c>
      <c r="B198" s="25">
        <f ca="1"/>
        <v>3.0722207733937919E-2</v>
      </c>
      <c r="C198" s="25">
        <f ca="1"/>
        <v>1.0510070818240918E-2</v>
      </c>
      <c r="D198" s="25">
        <f ca="1"/>
        <v>-0.57077934902018124</v>
      </c>
      <c r="H198">
        <f ca="1"/>
        <v>1.0693152734765758E-14</v>
      </c>
      <c r="J198" s="8">
        <f ca="1">$B$67+H198</f>
        <v>36.691033820080648</v>
      </c>
      <c r="K198" s="1" t="s">
        <v>118</v>
      </c>
      <c r="L198" s="41">
        <f ca="1">J198</f>
        <v>36.691033820080648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-20.489020256949715</v>
      </c>
      <c r="B201" s="25">
        <f t="shared" ref="B201:C201" si="164">B190</f>
        <v>552.29235368564321</v>
      </c>
      <c r="C201" s="25">
        <f t="shared" si="164"/>
        <v>-53.21578556977974</v>
      </c>
      <c r="D201" s="25"/>
    </row>
    <row r="202" spans="1:14" x14ac:dyDescent="0.25">
      <c r="A202" s="25">
        <f t="shared" ref="A202:C202" si="165">A191</f>
        <v>121.43936184900883</v>
      </c>
      <c r="B202" s="25">
        <f t="shared" si="165"/>
        <v>-3264.1058866734747</v>
      </c>
      <c r="C202" s="25">
        <f t="shared" si="165"/>
        <v>222.22873518475268</v>
      </c>
      <c r="D202" s="25"/>
    </row>
    <row r="203" spans="1:14" x14ac:dyDescent="0.25">
      <c r="A203" s="25">
        <f t="shared" ref="A203:C203" si="166">A192</f>
        <v>9.4224680384579074</v>
      </c>
      <c r="B203" s="25">
        <f t="shared" si="166"/>
        <v>1675.823097531847</v>
      </c>
      <c r="C203" s="25">
        <f t="shared" si="166"/>
        <v>3.4006757373878926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0.1042040139443956</v>
      </c>
      <c r="B205" s="25">
        <v>2.4741201241459891E-2</v>
      </c>
      <c r="C205" s="25">
        <v>1.3848013268798781E-2</v>
      </c>
      <c r="D205" s="25"/>
      <c r="H205">
        <f t="array" ref="H205:H207">MMULT(A205:C207,F185:F187)</f>
        <v>7.0050110649124179E-15</v>
      </c>
      <c r="J205" s="8">
        <f>$B$66+H205</f>
        <v>6.891146334170732</v>
      </c>
      <c r="K205" s="11" t="s">
        <v>115</v>
      </c>
      <c r="L205" s="8">
        <f>J206</f>
        <v>4.665139877493471E-2</v>
      </c>
      <c r="M205" s="11" t="s">
        <v>116</v>
      </c>
      <c r="N205" t="s">
        <v>145</v>
      </c>
    </row>
    <row r="206" spans="1:14" x14ac:dyDescent="0.25">
      <c r="A206" s="25">
        <v>-4.5673045927009345E-4</v>
      </c>
      <c r="B206" s="25">
        <v>-1.17308795673021E-4</v>
      </c>
      <c r="C206" s="25">
        <v>5.1875428326276563E-4</v>
      </c>
      <c r="D206" s="25"/>
      <c r="H206">
        <v>-3.0703250285317904E-17</v>
      </c>
      <c r="J206" s="8">
        <f>$B$64+H206</f>
        <v>4.665139877493471E-2</v>
      </c>
      <c r="K206" s="11" t="s">
        <v>116</v>
      </c>
      <c r="L206" s="8">
        <f>J207</f>
        <v>3.5534916717575507</v>
      </c>
      <c r="M206" s="1" t="s">
        <v>117</v>
      </c>
      <c r="N206" t="s">
        <v>147</v>
      </c>
    </row>
    <row r="207" spans="1:14" x14ac:dyDescent="0.25">
      <c r="A207" s="25">
        <v>-6.3651919381529795E-2</v>
      </c>
      <c r="B207" s="25">
        <v>-1.0743273225538676E-2</v>
      </c>
      <c r="C207" s="25">
        <v>5.2086043174924528E-5</v>
      </c>
      <c r="D207" s="25"/>
      <c r="H207">
        <v>-4.2789368920899448E-15</v>
      </c>
      <c r="J207" s="8">
        <f>$B$65+H207</f>
        <v>3.5534916717575507</v>
      </c>
      <c r="K207" s="1" t="s">
        <v>117</v>
      </c>
      <c r="L207" s="8">
        <f>J205</f>
        <v>6.891146334170732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552.29235368564321</v>
      </c>
      <c r="B212" s="25">
        <f>A182</f>
        <v>-53.21578556977974</v>
      </c>
      <c r="C212" s="25">
        <f>A183</f>
        <v>3.8481563837491817</v>
      </c>
    </row>
    <row r="213" spans="1:14" x14ac:dyDescent="0.25">
      <c r="A213" s="25">
        <f>B181</f>
        <v>-3264.1058866734747</v>
      </c>
      <c r="B213" s="25">
        <f>B182</f>
        <v>222.22873518475268</v>
      </c>
      <c r="C213" s="25">
        <f>B183</f>
        <v>8.9434270263876225</v>
      </c>
    </row>
    <row r="214" spans="1:14" x14ac:dyDescent="0.25">
      <c r="A214" s="25">
        <f>C181</f>
        <v>1675.823097531847</v>
      </c>
      <c r="B214" s="25">
        <f>C182</f>
        <v>3.4006757373878926</v>
      </c>
      <c r="C214" s="25">
        <f>C183</f>
        <v>0.56330903954337541</v>
      </c>
    </row>
    <row r="215" spans="1:14" ht="15.75" thickBot="1" x14ac:dyDescent="0.3"/>
    <row r="216" spans="1:14" x14ac:dyDescent="0.25">
      <c r="A216">
        <f t="array" ref="A216:C218">MINVERSE(A212:C214)</f>
        <v>-4.0868154024907739E-5</v>
      </c>
      <c r="B216">
        <v>-1.8570440082430746E-5</v>
      </c>
      <c r="C216">
        <v>5.740195893007995E-4</v>
      </c>
      <c r="H216" cm="1">
        <f t="array" ref="H216:H218">MMULT(A216:C218,F185:F187)</f>
        <v>-2.7473209554075991E-18</v>
      </c>
      <c r="J216" s="8">
        <f>$B$64+H216</f>
        <v>4.6651398774934738E-2</v>
      </c>
      <c r="K216" s="11" t="s">
        <v>116</v>
      </c>
      <c r="L216" s="36">
        <f>J216</f>
        <v>4.6651398774934738E-2</v>
      </c>
      <c r="M216" s="37" t="s">
        <v>116</v>
      </c>
      <c r="N216" t="s">
        <v>144</v>
      </c>
    </row>
    <row r="217" spans="1:14" x14ac:dyDescent="0.25">
      <c r="A217">
        <v>-7.2561110056347843E-3</v>
      </c>
      <c r="B217">
        <v>2.6468064017909883E-3</v>
      </c>
      <c r="C217">
        <v>7.5467100325229868E-3</v>
      </c>
      <c r="H217">
        <v>-4.8778483629073463E-16</v>
      </c>
      <c r="J217" s="8">
        <f>$B$65+H217</f>
        <v>3.5534916717575546</v>
      </c>
      <c r="K217" s="1" t="s">
        <v>117</v>
      </c>
      <c r="L217" s="38">
        <f>J217</f>
        <v>3.5534916717575546</v>
      </c>
      <c r="M217" s="39" t="s">
        <v>117</v>
      </c>
    </row>
    <row r="218" spans="1:14" x14ac:dyDescent="0.25">
      <c r="A218">
        <v>0.16538608574185901</v>
      </c>
      <c r="B218">
        <v>3.9267685331777435E-2</v>
      </c>
      <c r="C218">
        <v>2.1978699506240401E-2</v>
      </c>
      <c r="H218">
        <v>1.1117914912783313E-14</v>
      </c>
      <c r="J218" s="8">
        <f>$B$67+H218</f>
        <v>36.691033820080648</v>
      </c>
      <c r="K218" s="1" t="s">
        <v>118</v>
      </c>
      <c r="L218" s="38">
        <f>B66</f>
        <v>6.8911463341707249</v>
      </c>
      <c r="M218" s="40"/>
    </row>
    <row r="219" spans="1:14" ht="15.75" thickBot="1" x14ac:dyDescent="0.3">
      <c r="L219" s="41">
        <f>J218</f>
        <v>36.691033820080648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3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-1165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-2.54737609329446</v>
      </c>
      <c r="J3" t="s">
        <v>11</v>
      </c>
    </row>
    <row r="4" spans="1:29" x14ac:dyDescent="0.25">
      <c r="A4" s="10" t="s">
        <v>80</v>
      </c>
      <c r="B4" s="17">
        <f>'Rigid Bearing Plate Analysis'!B4</f>
        <v>-85.6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-0.18717201166180752</v>
      </c>
      <c r="J4" t="s">
        <v>11</v>
      </c>
    </row>
    <row r="5" spans="1:29" x14ac:dyDescent="0.25">
      <c r="A5" s="10" t="s">
        <v>104</v>
      </c>
      <c r="B5" s="20">
        <f>ATAN2(B3,B4)</f>
        <v>-3.0682480597090245</v>
      </c>
      <c r="C5" t="s">
        <v>19</v>
      </c>
      <c r="I5">
        <f>SUM(I2:I4)</f>
        <v>-2.7345481049562674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2.54737609329446</v>
      </c>
      <c r="AB14">
        <f>$B$4/Z14</f>
        <v>-0.18717201166180752</v>
      </c>
      <c r="AC14">
        <f>$I$2+AA14+AB14</f>
        <v>2.3602040816326526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-2.54737609329446</v>
      </c>
      <c r="AB15">
        <f t="shared" ref="AB15:AB21" si="11">$B$4/Z15</f>
        <v>-0.18717201166180752</v>
      </c>
      <c r="AC15">
        <f t="shared" ref="AC15:AC20" si="12">$I$2+AA15+AB15</f>
        <v>-2.7345481049562674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-2.54737609329446</v>
      </c>
      <c r="AB16">
        <f t="shared" si="11"/>
        <v>0.18717201166180752</v>
      </c>
      <c r="AC16">
        <f t="shared" si="12"/>
        <v>-2.3602040816326526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2.54737609329446</v>
      </c>
      <c r="AB17">
        <f t="shared" si="11"/>
        <v>0.18717201166180752</v>
      </c>
      <c r="AC17">
        <f t="shared" si="12"/>
        <v>2.7345481049562674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2.54737609329446</v>
      </c>
      <c r="AB18">
        <f t="shared" si="11"/>
        <v>0.18717201166180752</v>
      </c>
      <c r="AC18">
        <f t="shared" si="12"/>
        <v>2.7345481049562674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2.54737609329446</v>
      </c>
      <c r="AB19">
        <f t="shared" si="11"/>
        <v>0.18717201166180752</v>
      </c>
      <c r="AC19">
        <f t="shared" si="12"/>
        <v>2.7345481049562674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2.54737609329446</v>
      </c>
      <c r="AB20">
        <f t="shared" si="11"/>
        <v>0.18717201166180752</v>
      </c>
      <c r="AC20">
        <f t="shared" si="12"/>
        <v>2.7345481049562674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0.18717201166180752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3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11</v>
      </c>
      <c r="D26" s="5">
        <f>((B25*C26)-(B26*C25))*0.5</f>
        <v>16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11</v>
      </c>
      <c r="D27" s="5">
        <f t="shared" ref="D27:D33" si="13">((B26*C27)-(B27*C26))*0.5</f>
        <v>-33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3</v>
      </c>
      <c r="D28" s="5">
        <f t="shared" si="13"/>
        <v>-40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3</v>
      </c>
      <c r="D29" s="5">
        <f t="shared" si="13"/>
        <v>9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3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3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3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4</v>
      </c>
      <c r="C33" s="17">
        <f>'Rigid Bearing Plate Analysis'!C33</f>
        <v>3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-48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4.6651398774934738E-2</v>
      </c>
      <c r="C64" t="s">
        <v>19</v>
      </c>
      <c r="D64" t="s">
        <v>34</v>
      </c>
      <c r="H64" s="17">
        <f>DEGREES(B64)</f>
        <v>2.6729282581855394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3.5534916717575551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6.8911464363829431</v>
      </c>
      <c r="C66" t="s">
        <v>11</v>
      </c>
      <c r="D66">
        <f>B66/B53</f>
        <v>1.6913774391142148E-3</v>
      </c>
      <c r="I66" s="20"/>
    </row>
    <row r="67" spans="1:18" x14ac:dyDescent="0.25">
      <c r="A67" s="1" t="s">
        <v>37</v>
      </c>
      <c r="B67" s="17">
        <f>'Rigid Bearing Plate Analysis'!B67</f>
        <v>36.691033820080634</v>
      </c>
      <c r="C67" t="s">
        <v>36</v>
      </c>
      <c r="D67" t="s">
        <v>122</v>
      </c>
      <c r="G67" s="20">
        <f ca="1">($B$56*$B$66*$B$55*$E$122)/$B$65</f>
        <v>36.691034364296591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4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4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-4</v>
      </c>
      <c r="Q76" cm="1">
        <f t="array" ref="Q76">(-1*MAX(ABS(B84:C91)))-1</f>
        <v>-8.318825498605225</v>
      </c>
      <c r="R76">
        <f>Q76</f>
        <v>-8.318825498605225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-4</v>
      </c>
      <c r="Q77">
        <f>-1*Q76</f>
        <v>8.318825498605225</v>
      </c>
      <c r="R77">
        <f>Q77</f>
        <v>8.318825498605225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-4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-4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-7.3188254986052241</v>
      </c>
      <c r="C84" s="1">
        <f t="shared" ref="C84:C92" si="23">(-1*B73*SIN($B$64))+(C73*COS($B$64))</f>
        <v>-6.6659427931063133</v>
      </c>
      <c r="H84" s="1">
        <f t="shared" ref="H84:H92" si="24">H73</f>
        <v>1</v>
      </c>
      <c r="I84" s="4">
        <f>(I73*COS($B$64))+(J73*SIN($B$64))</f>
        <v>-3.1832739783664463</v>
      </c>
      <c r="J84" s="1">
        <f>(-1*I73*SIN($B$64))+(J73*COS($B$64))</f>
        <v>-3.8557446464535299</v>
      </c>
    </row>
    <row r="85" spans="1:10" x14ac:dyDescent="0.25">
      <c r="A85" s="1">
        <f t="shared" si="21"/>
        <v>2</v>
      </c>
      <c r="B85" s="4">
        <f t="shared" si="22"/>
        <v>6.6659427931063133</v>
      </c>
      <c r="C85" s="1">
        <f t="shared" si="23"/>
        <v>-7.3188254986052241</v>
      </c>
      <c r="H85" s="1">
        <f t="shared" si="24"/>
        <v>2</v>
      </c>
      <c r="I85" s="4">
        <f t="shared" ref="I85:I92" si="25">(I74*COS($B$64))+(J74*SIN($B$64))</f>
        <v>-2.8101981466527839</v>
      </c>
      <c r="J85" s="1">
        <f t="shared" ref="J85:J92" si="26">(-1*I74*SIN($B$64))+(J74*COS($B$64))</f>
        <v>4.1355515202387769</v>
      </c>
    </row>
    <row r="86" spans="1:10" x14ac:dyDescent="0.25">
      <c r="A86" s="1">
        <f t="shared" si="21"/>
        <v>3</v>
      </c>
      <c r="B86" s="4">
        <f t="shared" si="22"/>
        <v>7.3188254986052241</v>
      </c>
      <c r="C86" s="1">
        <f t="shared" si="23"/>
        <v>6.6659427931063133</v>
      </c>
      <c r="H86" s="1">
        <f t="shared" si="24"/>
        <v>3</v>
      </c>
      <c r="I86" s="4">
        <f t="shared" si="25"/>
        <v>3.1832739783664463</v>
      </c>
      <c r="J86" s="1">
        <f t="shared" si="26"/>
        <v>3.8557446464535299</v>
      </c>
    </row>
    <row r="87" spans="1:10" x14ac:dyDescent="0.25">
      <c r="A87" s="1">
        <f t="shared" si="21"/>
        <v>4</v>
      </c>
      <c r="B87" s="4">
        <f t="shared" si="22"/>
        <v>-6.6659427931063133</v>
      </c>
      <c r="C87" s="1">
        <f t="shared" si="23"/>
        <v>7.3188254986052241</v>
      </c>
      <c r="H87" s="1">
        <f t="shared" si="24"/>
        <v>4</v>
      </c>
      <c r="I87" s="4">
        <f t="shared" si="25"/>
        <v>2.8101981466527839</v>
      </c>
      <c r="J87" s="1">
        <f t="shared" si="26"/>
        <v>-4.1355515202387769</v>
      </c>
    </row>
    <row r="88" spans="1:10" x14ac:dyDescent="0.25">
      <c r="A88" s="1">
        <f t="shared" si="21"/>
        <v>5</v>
      </c>
      <c r="B88" s="4">
        <f t="shared" si="22"/>
        <v>-7.3188254986052241</v>
      </c>
      <c r="C88" s="1">
        <f t="shared" si="23"/>
        <v>-6.6659427931063133</v>
      </c>
      <c r="H88" s="1">
        <f t="shared" si="24"/>
        <v>5</v>
      </c>
      <c r="I88" s="4">
        <f t="shared" si="25"/>
        <v>-3.1832739783664463</v>
      </c>
      <c r="J88" s="1">
        <f t="shared" si="26"/>
        <v>-3.8557446464535299</v>
      </c>
    </row>
    <row r="89" spans="1:10" x14ac:dyDescent="0.25">
      <c r="A89" s="1">
        <f t="shared" si="21"/>
        <v>6</v>
      </c>
      <c r="B89" s="4">
        <f t="shared" si="22"/>
        <v>-7.3188254986052241</v>
      </c>
      <c r="C89" s="1">
        <f t="shared" si="23"/>
        <v>-6.6659427931063133</v>
      </c>
      <c r="H89" s="1">
        <f t="shared" si="24"/>
        <v>6</v>
      </c>
      <c r="I89" s="4">
        <f t="shared" si="25"/>
        <v>-3.1832739783664463</v>
      </c>
      <c r="J89" s="1">
        <f t="shared" si="26"/>
        <v>-3.8557446464535299</v>
      </c>
    </row>
    <row r="90" spans="1:10" x14ac:dyDescent="0.25">
      <c r="A90" s="1">
        <f t="shared" si="21"/>
        <v>7</v>
      </c>
      <c r="B90" s="4">
        <f t="shared" si="22"/>
        <v>-7.3188254986052241</v>
      </c>
      <c r="C90" s="1">
        <f t="shared" si="23"/>
        <v>-6.6659427931063133</v>
      </c>
      <c r="H90" s="1">
        <f t="shared" si="24"/>
        <v>7</v>
      </c>
      <c r="I90" s="4">
        <f t="shared" si="25"/>
        <v>-3.1832739783664463</v>
      </c>
      <c r="J90" s="1">
        <f t="shared" si="26"/>
        <v>-3.8557446464535299</v>
      </c>
    </row>
    <row r="91" spans="1:10" x14ac:dyDescent="0.25">
      <c r="A91" s="1">
        <f t="shared" si="21"/>
        <v>8</v>
      </c>
      <c r="B91" s="4">
        <f t="shared" si="22"/>
        <v>-7.3188254986052241</v>
      </c>
      <c r="C91" s="1">
        <f t="shared" si="23"/>
        <v>-6.6659427931063133</v>
      </c>
      <c r="H91" s="1">
        <f t="shared" si="24"/>
        <v>8</v>
      </c>
      <c r="I91" s="4">
        <f t="shared" si="25"/>
        <v>-3.1832739783664463</v>
      </c>
      <c r="J91" s="1">
        <f t="shared" si="26"/>
        <v>-3.8557446464535299</v>
      </c>
    </row>
    <row r="92" spans="1:10" x14ac:dyDescent="0.25">
      <c r="A92" s="1">
        <f t="shared" si="21"/>
        <v>9</v>
      </c>
      <c r="B92" s="4">
        <f t="shared" si="22"/>
        <v>-7.3188254986052241</v>
      </c>
      <c r="C92" s="1">
        <f t="shared" si="23"/>
        <v>-6.6659427931063133</v>
      </c>
      <c r="H92" s="1">
        <f t="shared" si="24"/>
        <v>9</v>
      </c>
      <c r="I92" s="4">
        <f t="shared" si="25"/>
        <v>-3.1832739783664463</v>
      </c>
      <c r="J92" s="1">
        <f t="shared" si="26"/>
        <v>-3.8557446464535299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-4.1821859992029848</v>
      </c>
      <c r="C110" s="1">
        <f>(-1*B95*SIN($B$64))+(C95*COS($B$64))</f>
        <v>-3.8091101674893224</v>
      </c>
      <c r="D110" t="str">
        <f t="shared" ref="D110" si="31">D95</f>
        <v>y</v>
      </c>
      <c r="E110" s="4">
        <f t="shared" ref="E110:E121" si="32">IF($D110="y",$B$125-C110,0)</f>
        <v>7.5744439943369919</v>
      </c>
      <c r="F110" s="1">
        <f>IF($D110="y",B110,NA())</f>
        <v>-4.1821859992029848</v>
      </c>
      <c r="G110" s="1">
        <f>IF($D110="y",C110,NA())</f>
        <v>-3.8091101674893224</v>
      </c>
      <c r="H110">
        <f t="shared" ref="H110:H121" si="33">IF($E$122=0,0,-1*MAX(($B$67/$E$122)*(E110),0))</f>
        <v>-34.968667816790919</v>
      </c>
      <c r="I110">
        <f>H110*C110</f>
        <v>133.19950812449494</v>
      </c>
      <c r="J110">
        <f>H110*B110*-1</f>
        <v>-146.24547295416298</v>
      </c>
      <c r="K110">
        <f ca="1">H110/$B$55</f>
        <v>-104.55239401066</v>
      </c>
      <c r="L110">
        <f ca="1">K110/$B$54</f>
        <v>-3.6052549658848274E-3</v>
      </c>
      <c r="M110">
        <f t="shared" ref="M110:M121" si="34">IFERROR(($D$66/$B$65)*(G110-$B$125),0)</f>
        <v>-3.6052550193593986E-3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3.8091101674893224</v>
      </c>
      <c r="C111" s="1">
        <f t="shared" ref="C111:C121" si="37">(-1*B96*SIN($B$64))+(C96*COS($B$64))</f>
        <v>-4.1821859992029848</v>
      </c>
      <c r="D111" t="str">
        <f t="shared" si="35"/>
        <v>y</v>
      </c>
      <c r="E111" s="4">
        <f t="shared" si="32"/>
        <v>7.9475198260506534</v>
      </c>
      <c r="F111" s="1">
        <f t="shared" ref="F111:G121" si="38">IF($D111="y",B111,NA())</f>
        <v>3.8091101674893224</v>
      </c>
      <c r="G111" s="1">
        <f t="shared" si="38"/>
        <v>-4.1821859992029848</v>
      </c>
      <c r="H111">
        <f t="shared" si="33"/>
        <v>-36.691033820080634</v>
      </c>
      <c r="I111">
        <f t="shared" ref="I111:I121" si="39">H111*C111</f>
        <v>153.44872793862444</v>
      </c>
      <c r="J111">
        <f t="shared" ref="J111:J121" si="40">H111*B111*-1</f>
        <v>139.76018997976374</v>
      </c>
      <c r="K111">
        <f ca="1">H111/$B$55</f>
        <v>-109.70207514664094</v>
      </c>
      <c r="L111">
        <f t="shared" ref="L111:L121" ca="1" si="41">K111/$B$54</f>
        <v>-3.782830177470377E-3</v>
      </c>
      <c r="M111">
        <f t="shared" si="34"/>
        <v>-3.7828302335788148E-3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-3.8091101674893224</v>
      </c>
      <c r="C112" s="1">
        <f t="shared" si="37"/>
        <v>4.1821859992029848</v>
      </c>
      <c r="D112" t="str">
        <f t="shared" si="35"/>
        <v>y</v>
      </c>
      <c r="E112" s="4">
        <f t="shared" si="32"/>
        <v>-0.4168521723553158</v>
      </c>
      <c r="F112" s="1">
        <f t="shared" si="38"/>
        <v>-3.8091101674893224</v>
      </c>
      <c r="G112" s="1">
        <f t="shared" si="38"/>
        <v>4.1821859992029848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1.9841171019793381E-4</v>
      </c>
      <c r="N112">
        <f t="shared" si="42"/>
        <v>0.41913590556978536</v>
      </c>
      <c r="O112">
        <f t="shared" si="43"/>
        <v>1.7529043160372206</v>
      </c>
      <c r="P112">
        <f t="shared" si="44"/>
        <v>1.596534839465714</v>
      </c>
    </row>
    <row r="113" spans="1:16" x14ac:dyDescent="0.25">
      <c r="A113">
        <f t="shared" si="35"/>
        <v>4</v>
      </c>
      <c r="B113" s="1">
        <f t="shared" si="36"/>
        <v>4.1821859992029848</v>
      </c>
      <c r="C113" s="1">
        <f t="shared" si="37"/>
        <v>3.8091101674893224</v>
      </c>
      <c r="D113" t="str">
        <f t="shared" si="35"/>
        <v>y</v>
      </c>
      <c r="E113" s="4">
        <f t="shared" si="32"/>
        <v>-4.3776340641653366E-2</v>
      </c>
      <c r="F113" s="1">
        <f t="shared" si="38"/>
        <v>4.1821859992029848</v>
      </c>
      <c r="G113" s="1">
        <f t="shared" si="38"/>
        <v>3.8091101674893224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2.0836495978517352E-5</v>
      </c>
      <c r="N113">
        <f t="shared" si="42"/>
        <v>4.4016170225763249E-2</v>
      </c>
      <c r="O113">
        <f t="shared" si="43"/>
        <v>0.16766244154089557</v>
      </c>
      <c r="P113">
        <f t="shared" si="44"/>
        <v>-0.18408381085672235</v>
      </c>
    </row>
    <row r="114" spans="1:16" x14ac:dyDescent="0.25">
      <c r="A114">
        <f t="shared" si="35"/>
        <v>5</v>
      </c>
      <c r="B114" s="1">
        <f t="shared" si="36"/>
        <v>-4.0655998017924651</v>
      </c>
      <c r="C114" s="1">
        <f t="shared" si="37"/>
        <v>-1.3118301153979761</v>
      </c>
      <c r="D114" t="str">
        <f t="shared" si="35"/>
        <v>y</v>
      </c>
      <c r="E114" s="4">
        <f t="shared" si="32"/>
        <v>5.0771639422456456</v>
      </c>
      <c r="F114" s="1">
        <f t="shared" si="38"/>
        <v>-4.0655998017924651</v>
      </c>
      <c r="G114" s="1">
        <f t="shared" si="38"/>
        <v>-1.3118301153979761</v>
      </c>
      <c r="H114">
        <f t="shared" si="33"/>
        <v>-23.439563284184956</v>
      </c>
      <c r="I114">
        <f t="shared" si="39"/>
        <v>30.748725007970513</v>
      </c>
      <c r="J114">
        <f t="shared" si="40"/>
        <v>-95.295883842284297</v>
      </c>
      <c r="K114">
        <f t="shared" ca="1" si="45"/>
        <v>-70.08166478533019</v>
      </c>
      <c r="L114">
        <f t="shared" ca="1" si="41"/>
        <v>-2.4166091305286271E-3</v>
      </c>
      <c r="M114">
        <f t="shared" si="34"/>
        <v>-2.4166091663727321E-3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3.9256963648998418</v>
      </c>
      <c r="C115" s="1">
        <f t="shared" si="37"/>
        <v>-1.684905947111639</v>
      </c>
      <c r="D115" t="str">
        <f t="shared" si="35"/>
        <v>y</v>
      </c>
      <c r="E115" s="4">
        <f t="shared" si="32"/>
        <v>5.450239773959308</v>
      </c>
      <c r="F115" s="1">
        <f t="shared" si="38"/>
        <v>3.9256963648998418</v>
      </c>
      <c r="G115" s="1">
        <f t="shared" si="38"/>
        <v>-1.684905947111639</v>
      </c>
      <c r="H115">
        <f t="shared" si="33"/>
        <v>-25.161929287474681</v>
      </c>
      <c r="I115">
        <f t="shared" si="39"/>
        <v>42.395484297268617</v>
      </c>
      <c r="J115">
        <f t="shared" si="40"/>
        <v>98.778094337706221</v>
      </c>
      <c r="K115">
        <f t="shared" ca="1" si="45"/>
        <v>-75.23134592131116</v>
      </c>
      <c r="L115">
        <f t="shared" ca="1" si="41"/>
        <v>-2.5941843421141779E-3</v>
      </c>
      <c r="M115">
        <f t="shared" si="34"/>
        <v>-2.5941843805921488E-3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-3.9256963648998418</v>
      </c>
      <c r="C116" s="1">
        <f t="shared" si="37"/>
        <v>1.684905947111639</v>
      </c>
      <c r="D116" t="str">
        <f t="shared" si="35"/>
        <v>y</v>
      </c>
      <c r="E116" s="4">
        <f t="shared" si="32"/>
        <v>2.0804278797360301</v>
      </c>
      <c r="F116" s="1">
        <f t="shared" si="38"/>
        <v>-3.9256963648998418</v>
      </c>
      <c r="G116" s="1">
        <f t="shared" si="38"/>
        <v>1.684905947111639</v>
      </c>
      <c r="H116">
        <f t="shared" si="33"/>
        <v>-9.6046378450578054</v>
      </c>
      <c r="I116">
        <f t="shared" si="39"/>
        <v>-16.182911424991413</v>
      </c>
      <c r="J116">
        <f t="shared" si="40"/>
        <v>-37.704891874522879</v>
      </c>
      <c r="K116">
        <f t="shared" ca="1" si="45"/>
        <v>-28.716789714934428</v>
      </c>
      <c r="L116">
        <f t="shared" ca="1" si="41"/>
        <v>-9.902341281011872E-4</v>
      </c>
      <c r="M116">
        <f t="shared" si="34"/>
        <v>-9.9023414278873244E-4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4.0655998017924651</v>
      </c>
      <c r="C117" s="1">
        <f t="shared" si="37"/>
        <v>1.3118301153979761</v>
      </c>
      <c r="D117" t="str">
        <f t="shared" si="35"/>
        <v>y</v>
      </c>
      <c r="E117" s="4">
        <f t="shared" si="32"/>
        <v>2.4535037114496929</v>
      </c>
      <c r="F117" s="1">
        <f t="shared" si="38"/>
        <v>4.0655998017924651</v>
      </c>
      <c r="G117" s="1">
        <f t="shared" si="38"/>
        <v>1.3118301153979761</v>
      </c>
      <c r="H117">
        <f t="shared" si="33"/>
        <v>-11.32700384834753</v>
      </c>
      <c r="I117">
        <f t="shared" si="39"/>
        <v>-14.859104765491061</v>
      </c>
      <c r="J117">
        <f t="shared" si="40"/>
        <v>46.051064600744205</v>
      </c>
      <c r="K117">
        <f t="shared" ca="1" si="45"/>
        <v>-33.866470850915398</v>
      </c>
      <c r="L117">
        <f t="shared" ca="1" si="41"/>
        <v>-1.1678093396867378E-3</v>
      </c>
      <c r="M117">
        <f t="shared" si="34"/>
        <v>-1.1678093570081491E-3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-7.3188254986052241</v>
      </c>
      <c r="C118" s="1">
        <f t="shared" si="37"/>
        <v>-6.6659427931063133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-7.3188254986052241</v>
      </c>
      <c r="C119" s="1">
        <f t="shared" si="37"/>
        <v>-6.6659427931063133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-7.3188254986052241</v>
      </c>
      <c r="C120" s="1">
        <f t="shared" si="37"/>
        <v>-6.6659427931063133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-7.3188254986052241</v>
      </c>
      <c r="C121" s="1">
        <f t="shared" si="37"/>
        <v>-6.6659427931063133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7.9475198260506534</v>
      </c>
      <c r="H122">
        <f>SUM(H110:H121)</f>
        <v>-141.19283590193652</v>
      </c>
      <c r="I122">
        <f t="shared" ref="I122:J122" si="46">SUM(I110:I121)</f>
        <v>328.75042917787607</v>
      </c>
      <c r="J122">
        <f t="shared" si="46"/>
        <v>5.3431002472440099</v>
      </c>
      <c r="L122">
        <f ca="1">MIN(L110:L121)</f>
        <v>-3.782830177470377E-3</v>
      </c>
      <c r="M122">
        <f>MIN(M110:M121)</f>
        <v>-3.7828302335788148E-3</v>
      </c>
      <c r="N122">
        <f>SUM(N110:N121)</f>
        <v>0.46315207579554862</v>
      </c>
      <c r="O122">
        <f>SUM(O110:O121)</f>
        <v>1.9205667575781162</v>
      </c>
      <c r="P122">
        <f>SUM(P110:P121)</f>
        <v>1.4124510286089915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3.765333826847669</v>
      </c>
      <c r="F125" s="1" t="s">
        <v>27</v>
      </c>
      <c r="G125" s="1" t="s">
        <v>28</v>
      </c>
    </row>
    <row r="126" spans="1:16" x14ac:dyDescent="0.25">
      <c r="F126" s="4">
        <f>MIN(B84:B90)-1</f>
        <v>-8.318825498605225</v>
      </c>
      <c r="G126" s="4">
        <f>B125</f>
        <v>3.765333826847669</v>
      </c>
    </row>
    <row r="127" spans="1:16" x14ac:dyDescent="0.25">
      <c r="F127" s="4">
        <f>MAX(B84:B90)+1</f>
        <v>8.318825498605225</v>
      </c>
      <c r="G127" s="4">
        <f>G126</f>
        <v>3.765333826847669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-7.3188254986052241</v>
      </c>
      <c r="C132" s="4">
        <f>C84</f>
        <v>-6.6659427931063133</v>
      </c>
      <c r="D132" s="4">
        <f t="shared" ref="D132:E139" si="47">B85</f>
        <v>6.6659427931063133</v>
      </c>
      <c r="E132" s="4">
        <f t="shared" si="47"/>
        <v>-7.3188254986052241</v>
      </c>
      <c r="F132" s="4">
        <f t="shared" ref="F132:F139" si="48">($B$66/$B$65)*(C132-$B$125)</f>
        <v>-20.228963888627064</v>
      </c>
      <c r="G132" s="4">
        <f t="shared" ref="G132:G139" si="49">($B$66/$B$65)*(E132-$B$125)</f>
        <v>-21.495073604074804</v>
      </c>
      <c r="H132" s="4">
        <f>IF(B132=D132,"V",(C132-E132)/(B132-D132))</f>
        <v>-4.6685271566913267E-2</v>
      </c>
      <c r="I132" s="4">
        <f>IF(H132="V",0,(-1*B132*H132)+C132)</f>
        <v>-7.0076241490595477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6.6659427931063133</v>
      </c>
      <c r="C133" s="4">
        <f t="shared" si="50"/>
        <v>-7.3188254986052241</v>
      </c>
      <c r="D133" s="4">
        <f t="shared" si="47"/>
        <v>7.3188254986052241</v>
      </c>
      <c r="E133" s="4">
        <f t="shared" si="47"/>
        <v>6.6659427931063133</v>
      </c>
      <c r="F133" s="4">
        <f t="shared" si="48"/>
        <v>-21.495073604074804</v>
      </c>
      <c r="G133" s="4">
        <f t="shared" si="49"/>
        <v>5.6250367209352028</v>
      </c>
      <c r="H133" s="4">
        <f t="shared" ref="H133:H139" si="51">IF(B133=D133,"V",(C133-E133)/(B133-D133))</f>
        <v>21.420031766693608</v>
      </c>
      <c r="I133" s="4">
        <f t="shared" ref="I133:I139" si="52">IF(H133="V",0,(-1*B133*H133)+C133)</f>
        <v>-150.10353188190479</v>
      </c>
      <c r="J133" s="4">
        <f t="shared" ref="J133:J139" si="53">IF($F133&gt;=0,B133,IF(AND($F133&lt;0,$G133&gt;=0),IF(H133="V",B133,($B$125-I133)/H133),0))</f>
        <v>7.1834097813060165</v>
      </c>
      <c r="K133" s="4">
        <f t="shared" ref="K133:K139" si="54">IF($F133&gt;=0,C133,IF(AND($F133&lt;0,$G133&gt;=0),$B$125,0))</f>
        <v>3.765333826847669</v>
      </c>
      <c r="L133" s="4">
        <f t="shared" ref="L133:L139" si="55">IF($G133&gt;=0,D133,IF(AND($G133&lt;0,$F133&gt;=0),IF(H133="V",D133,($B$125-I133)/H133),0))</f>
        <v>7.3188254986052241</v>
      </c>
      <c r="M133" s="4">
        <f t="shared" ref="M133:M139" si="56">IF($G133&gt;=0,E133,IF(AND($G133&lt;0,$F133&gt;=0),$B$125,0))</f>
        <v>6.6659427931063133</v>
      </c>
      <c r="N133" s="4">
        <f t="shared" ref="N133:O139" si="57">IF(F133&lt;0,0,F133)</f>
        <v>0</v>
      </c>
      <c r="O133" s="4">
        <f t="shared" si="57"/>
        <v>5.6250367209352028</v>
      </c>
      <c r="P133" s="4">
        <f t="shared" ref="P133:P139" si="58">(1/6)*(M133-K133)*((N133*((2*J133)+L133))+(O133*(J133+(2*L133))))</f>
        <v>59.338854134601249</v>
      </c>
      <c r="Q133" s="4">
        <f t="shared" ref="Q133:Q139" si="59">((1/12)*(M133-K133)*(N133*J133*((3*K133)+M133)+N133*L133*(K133+M133)+O133*J133*(K133+M133)+O133*L133*(K133+(3*M133))))</f>
        <v>338.35449023825976</v>
      </c>
      <c r="R133" s="4">
        <f t="shared" ref="R133:R139" si="60">((-1/24)*(M133-K133)*(J133*J133*((3*N133)+O133)+2*J133*L133*(N133+O133)+L133*L133*(N133+(3*O133))))</f>
        <v>-215.81027923690567</v>
      </c>
    </row>
    <row r="134" spans="1:18" x14ac:dyDescent="0.25">
      <c r="A134" t="s">
        <v>71</v>
      </c>
      <c r="B134" s="4">
        <f t="shared" si="50"/>
        <v>7.3188254986052241</v>
      </c>
      <c r="C134" s="4">
        <f t="shared" si="50"/>
        <v>6.6659427931063133</v>
      </c>
      <c r="D134" s="4">
        <f t="shared" si="47"/>
        <v>-6.6659427931063133</v>
      </c>
      <c r="E134" s="4">
        <f t="shared" si="47"/>
        <v>7.3188254986052241</v>
      </c>
      <c r="F134" s="4">
        <f t="shared" si="48"/>
        <v>5.6250367209352028</v>
      </c>
      <c r="G134" s="4">
        <f t="shared" si="49"/>
        <v>6.8911464363829431</v>
      </c>
      <c r="H134" s="4">
        <f t="shared" si="51"/>
        <v>-4.6685271566913267E-2</v>
      </c>
      <c r="I134" s="4">
        <f t="shared" si="52"/>
        <v>7.0076241490595477</v>
      </c>
      <c r="J134" s="4">
        <f t="shared" si="53"/>
        <v>7.3188254986052241</v>
      </c>
      <c r="K134" s="4">
        <f t="shared" si="54"/>
        <v>6.6659427931063133</v>
      </c>
      <c r="L134" s="4">
        <f t="shared" si="55"/>
        <v>-6.6659427931063133</v>
      </c>
      <c r="M134" s="4">
        <f t="shared" si="56"/>
        <v>7.3188254986052241</v>
      </c>
      <c r="N134" s="4">
        <f t="shared" si="57"/>
        <v>5.6250367209352028</v>
      </c>
      <c r="O134" s="4">
        <f t="shared" si="57"/>
        <v>6.8911464363829431</v>
      </c>
      <c r="P134" s="4">
        <f t="shared" si="58"/>
        <v>0.37043191286296256</v>
      </c>
      <c r="Q134" s="4">
        <f t="shared" si="59"/>
        <v>-0.50386982198852048</v>
      </c>
      <c r="R134" s="4">
        <f t="shared" si="60"/>
        <v>-33.198023017886577</v>
      </c>
    </row>
    <row r="135" spans="1:18" x14ac:dyDescent="0.25">
      <c r="A135" t="s">
        <v>72</v>
      </c>
      <c r="B135" s="4">
        <f t="shared" si="50"/>
        <v>-6.6659427931063133</v>
      </c>
      <c r="C135" s="4">
        <f t="shared" si="50"/>
        <v>7.3188254986052241</v>
      </c>
      <c r="D135" s="4">
        <f t="shared" si="47"/>
        <v>-7.3188254986052241</v>
      </c>
      <c r="E135" s="4">
        <f t="shared" si="47"/>
        <v>-6.6659427931063133</v>
      </c>
      <c r="F135" s="4">
        <f t="shared" si="48"/>
        <v>6.8911464363829431</v>
      </c>
      <c r="G135" s="4">
        <f t="shared" si="49"/>
        <v>-20.228963888627064</v>
      </c>
      <c r="H135" s="4">
        <f t="shared" si="51"/>
        <v>21.420031766693608</v>
      </c>
      <c r="I135" s="4">
        <f t="shared" si="52"/>
        <v>150.10353188190479</v>
      </c>
      <c r="J135" s="4">
        <f t="shared" si="53"/>
        <v>-6.6659427931063133</v>
      </c>
      <c r="K135" s="4">
        <f t="shared" si="54"/>
        <v>7.3188254986052241</v>
      </c>
      <c r="L135" s="4">
        <f t="shared" si="55"/>
        <v>-6.8318385168130797</v>
      </c>
      <c r="M135" s="4">
        <f t="shared" si="56"/>
        <v>3.765333826847669</v>
      </c>
      <c r="N135" s="4">
        <f t="shared" si="57"/>
        <v>6.8911464363829431</v>
      </c>
      <c r="O135" s="4">
        <f t="shared" si="57"/>
        <v>0</v>
      </c>
      <c r="P135" s="4">
        <f t="shared" si="58"/>
        <v>82.293640818118405</v>
      </c>
      <c r="Q135" s="4">
        <f t="shared" si="59"/>
        <v>504.4152165608383</v>
      </c>
      <c r="R135" s="4">
        <f t="shared" si="60"/>
        <v>276.56707167172647</v>
      </c>
    </row>
    <row r="136" spans="1:18" x14ac:dyDescent="0.25">
      <c r="A136" t="s">
        <v>73</v>
      </c>
      <c r="B136" s="4">
        <f t="shared" si="50"/>
        <v>-7.3188254986052241</v>
      </c>
      <c r="C136" s="4">
        <f t="shared" si="50"/>
        <v>-6.6659427931063133</v>
      </c>
      <c r="D136" s="4">
        <f t="shared" si="47"/>
        <v>-7.3188254986052241</v>
      </c>
      <c r="E136" s="4">
        <f t="shared" si="47"/>
        <v>-6.6659427931063133</v>
      </c>
      <c r="F136" s="4">
        <f t="shared" si="48"/>
        <v>-20.228963888627064</v>
      </c>
      <c r="G136" s="4">
        <f t="shared" si="49"/>
        <v>-20.228963888627064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-7.3188254986052241</v>
      </c>
      <c r="C137" s="4">
        <f t="shared" si="50"/>
        <v>-6.6659427931063133</v>
      </c>
      <c r="D137" s="4">
        <f t="shared" si="47"/>
        <v>-7.3188254986052241</v>
      </c>
      <c r="E137" s="4">
        <f t="shared" si="47"/>
        <v>-6.6659427931063133</v>
      </c>
      <c r="F137" s="4">
        <f t="shared" si="48"/>
        <v>-20.228963888627064</v>
      </c>
      <c r="G137" s="4">
        <f t="shared" si="49"/>
        <v>-20.228963888627064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-7.3188254986052241</v>
      </c>
      <c r="C138" s="4">
        <f t="shared" si="50"/>
        <v>-6.6659427931063133</v>
      </c>
      <c r="D138" s="4">
        <f t="shared" si="47"/>
        <v>-7.3188254986052241</v>
      </c>
      <c r="E138" s="4">
        <f t="shared" si="47"/>
        <v>-6.6659427931063133</v>
      </c>
      <c r="F138" s="4">
        <f t="shared" si="48"/>
        <v>-20.228963888627064</v>
      </c>
      <c r="G138" s="4">
        <f t="shared" si="49"/>
        <v>-20.228963888627064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-7.3188254986052241</v>
      </c>
      <c r="C139" s="4">
        <f>E138</f>
        <v>-6.6659427931063133</v>
      </c>
      <c r="D139" s="4">
        <f t="shared" si="47"/>
        <v>-7.3188254986052241</v>
      </c>
      <c r="E139" s="4">
        <f t="shared" si="47"/>
        <v>-6.6659427931063133</v>
      </c>
      <c r="F139" s="4">
        <f t="shared" si="48"/>
        <v>-20.228963888627064</v>
      </c>
      <c r="G139" s="4">
        <f t="shared" si="49"/>
        <v>-20.228963888627064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142.00292686558262</v>
      </c>
      <c r="Q140" s="4">
        <f>SUM(Q132:Q139)</f>
        <v>842.26583697710953</v>
      </c>
      <c r="R140" s="4">
        <f>SUM(R132:R139)</f>
        <v>27.558769416934211</v>
      </c>
    </row>
    <row r="142" spans="1:18" x14ac:dyDescent="0.25">
      <c r="O142" t="s">
        <v>96</v>
      </c>
      <c r="P142" s="1">
        <f>-1*R140/P140</f>
        <v>-0.19407184080804785</v>
      </c>
    </row>
    <row r="143" spans="1:18" x14ac:dyDescent="0.25">
      <c r="O143" t="s">
        <v>97</v>
      </c>
      <c r="P143" s="1">
        <f>Q140/P140</f>
        <v>5.9313273012631846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-3.1832739783664463</v>
      </c>
      <c r="C146" s="9">
        <f>J84</f>
        <v>-3.8557446464535299</v>
      </c>
      <c r="D146" s="9">
        <f t="shared" ref="D146:E153" si="61">I85</f>
        <v>-2.8101981466527839</v>
      </c>
      <c r="E146">
        <f t="shared" si="61"/>
        <v>4.1355515202387769</v>
      </c>
      <c r="F146" s="4">
        <f>($B$66/$B$65)*(C146-$B$125)</f>
        <v>-14.779257309109989</v>
      </c>
      <c r="G146" s="4">
        <f>($B$66/$B$65)*(E146-$B$125)</f>
        <v>0.71794859089572927</v>
      </c>
      <c r="H146" s="4">
        <f>IF(B146=D146,"V",(C146-E146)/(B146-D146))</f>
        <v>21.420031766693658</v>
      </c>
      <c r="I146" s="4">
        <f>IF(H146="V",0,(-1*B146*H146)+C146)</f>
        <v>64.330085092245042</v>
      </c>
      <c r="J146" s="4">
        <f>IF($F146&gt;=0,B146,IF(AND($F146&lt;0,$G146&gt;=0),IF(H146="V",B146,($B$125-I146)/H146),0))</f>
        <v>-2.8274818602076239</v>
      </c>
      <c r="K146" s="4">
        <f>IF($F146&gt;=0,C146,IF(AND($F146&lt;0,$G146&gt;=0),$B$125,0))</f>
        <v>3.765333826847669</v>
      </c>
      <c r="L146" s="4">
        <f>IF($G146&gt;=0,D146,IF(AND($G146&lt;0,$F146&gt;=0),IF(H146="V",D146,($B$125-I146)/H146),0))</f>
        <v>-2.8101981466527839</v>
      </c>
      <c r="M146" s="4">
        <f>IF($G146&gt;=0,E146,IF(AND($G146&lt;0,$F146&gt;=0),$B$125,0))</f>
        <v>4.1355515202387769</v>
      </c>
      <c r="N146" s="4">
        <f>IF(F146&lt;0,0,F146)</f>
        <v>0</v>
      </c>
      <c r="O146" s="4">
        <f>IF(G146&lt;0,0,G146)</f>
        <v>0.71794859089572927</v>
      </c>
      <c r="P146" s="4">
        <f>(1/6)*(M146-K146)*((N146*((2*J146)+L146))+(O146*(J146+(2*L146))))</f>
        <v>-0.37423716023914494</v>
      </c>
      <c r="Q146" s="4">
        <f>((1/12)*(M146-K146)*(N146*J146*((3*K146)+M146)+N146*L146*(K146+M146)+O146*J146*(K146+M146)+O146*L146*(K146+(3*M146))))</f>
        <v>-1.5014467406885461</v>
      </c>
      <c r="R146" s="4">
        <f>((-1/24)*(M146-K146)*(J146*J146*((3*N146)+O146)+2*J146*L146*(N146+O146)+L146*L146*(N146+(3*O146))))</f>
        <v>-0.52691942449112783</v>
      </c>
    </row>
    <row r="147" spans="1:18" x14ac:dyDescent="0.25">
      <c r="A147" t="s">
        <v>70</v>
      </c>
      <c r="B147" s="9">
        <f t="shared" ref="B147:C153" si="62">D146</f>
        <v>-2.8101981466527839</v>
      </c>
      <c r="C147">
        <f t="shared" si="62"/>
        <v>4.1355515202387769</v>
      </c>
      <c r="D147" s="9">
        <f t="shared" si="61"/>
        <v>3.1832739783664463</v>
      </c>
      <c r="E147">
        <f t="shared" si="61"/>
        <v>3.8557446464535299</v>
      </c>
      <c r="F147" s="4">
        <f t="shared" ref="F147:F153" si="63">($B$66/$B$65)*(C147-$B$125)</f>
        <v>0.71794859089572927</v>
      </c>
      <c r="G147" s="4">
        <f t="shared" ref="G147:G153" si="64">($B$66/$B$65)*(E147-$B$125)</f>
        <v>0.17533014141812711</v>
      </c>
      <c r="H147" s="4">
        <f t="shared" ref="H147:H153" si="65">IF(B147=D147,"V",(C147-E147)/(B147-D147))</f>
        <v>-4.668527156691319E-2</v>
      </c>
      <c r="I147" s="4">
        <f t="shared" ref="I147:I153" si="66">IF(H147="V",0,(-1*B147*H147)+C147)</f>
        <v>4.0043566566054558</v>
      </c>
      <c r="J147" s="4">
        <f t="shared" ref="J147:J153" si="67">IF($F147&gt;=0,B147,IF(AND($F147&lt;0,$G147&gt;=0),IF(H147="V",B147,($B$125-I147)/H147),0))</f>
        <v>-2.8101981466527839</v>
      </c>
      <c r="K147" s="4">
        <f t="shared" ref="K147:K153" si="68">IF($F147&gt;=0,C147,IF(AND($F147&lt;0,$G147&gt;=0),$B$125,0))</f>
        <v>4.1355515202387769</v>
      </c>
      <c r="L147" s="4">
        <f t="shared" ref="L147:L153" si="69">IF($G147&gt;=0,D147,IF(AND($G147&lt;0,$F147&gt;=0),IF(H147="V",D147,($B$125-I147)/H147),0))</f>
        <v>3.1832739783664463</v>
      </c>
      <c r="M147" s="4">
        <f t="shared" ref="M147:M153" si="70">IF($G147&gt;=0,E147,IF(AND($G147&lt;0,$F147&gt;=0),$B$125,0))</f>
        <v>3.8557446464535299</v>
      </c>
      <c r="N147" s="4">
        <f t="shared" ref="N147:O153" si="71">IF(F147&lt;0,0,F147)</f>
        <v>0.71794859089572927</v>
      </c>
      <c r="O147" s="4">
        <f t="shared" si="71"/>
        <v>0.17533014141812711</v>
      </c>
      <c r="P147" s="4">
        <f t="shared" ref="P147:P153" si="72">(1/6)*(M147-K147)*((N147*((2*J147)+L147))+(O147*(J147+(2*L147))))</f>
        <v>5.2519433874641391E-2</v>
      </c>
      <c r="Q147" s="4">
        <f t="shared" ref="Q147:Q153" si="73">((1/12)*(M147-K147)*(N147*J147*((3*K147)+M147)+N147*L147*(K147+M147)+O147*J147*(K147+M147)+O147*L147*(K147+(3*M147))))</f>
        <v>0.22665388726658706</v>
      </c>
      <c r="R147" s="4">
        <f t="shared" ref="R147:R153" si="74">((-1/24)*(M147-K147)*(J147*J147*((3*N147)+O147)+2*J147*L147*(N147+O147)+L147*L147*(N147+(3*O147))))</f>
        <v>0.17508029921263601</v>
      </c>
    </row>
    <row r="148" spans="1:18" x14ac:dyDescent="0.25">
      <c r="A148" t="s">
        <v>71</v>
      </c>
      <c r="B148" s="9">
        <f t="shared" si="62"/>
        <v>3.1832739783664463</v>
      </c>
      <c r="C148">
        <f t="shared" si="62"/>
        <v>3.8557446464535299</v>
      </c>
      <c r="D148" s="9">
        <f t="shared" si="61"/>
        <v>2.8101981466527839</v>
      </c>
      <c r="E148">
        <f t="shared" si="61"/>
        <v>-4.1355515202387769</v>
      </c>
      <c r="F148" s="4">
        <f t="shared" si="63"/>
        <v>0.17533014141812711</v>
      </c>
      <c r="G148" s="4">
        <f t="shared" si="64"/>
        <v>-15.32187575858759</v>
      </c>
      <c r="H148" s="4">
        <f t="shared" si="65"/>
        <v>21.420031766693658</v>
      </c>
      <c r="I148" s="4">
        <f t="shared" si="66"/>
        <v>-64.330085092245042</v>
      </c>
      <c r="J148" s="4">
        <f t="shared" si="67"/>
        <v>3.1832739783664463</v>
      </c>
      <c r="K148" s="4">
        <f t="shared" si="68"/>
        <v>3.8557446464535299</v>
      </c>
      <c r="L148" s="4">
        <f t="shared" si="69"/>
        <v>3.1790531247005589</v>
      </c>
      <c r="M148" s="4">
        <f t="shared" si="70"/>
        <v>3.765333826847669</v>
      </c>
      <c r="N148" s="4">
        <f t="shared" si="71"/>
        <v>0.17533014141812711</v>
      </c>
      <c r="O148" s="4">
        <f t="shared" si="71"/>
        <v>0</v>
      </c>
      <c r="P148" s="4">
        <f t="shared" si="72"/>
        <v>-2.5219067257788781E-2</v>
      </c>
      <c r="Q148" s="4">
        <f t="shared" si="73"/>
        <v>-9.6478426087515723E-2</v>
      </c>
      <c r="R148" s="4">
        <f t="shared" si="74"/>
        <v>4.012186320378721E-2</v>
      </c>
    </row>
    <row r="149" spans="1:18" x14ac:dyDescent="0.25">
      <c r="A149" t="s">
        <v>72</v>
      </c>
      <c r="B149" s="9">
        <f t="shared" si="62"/>
        <v>2.8101981466527839</v>
      </c>
      <c r="C149">
        <f t="shared" si="62"/>
        <v>-4.1355515202387769</v>
      </c>
      <c r="D149" s="9">
        <f t="shared" si="61"/>
        <v>-3.1832739783664463</v>
      </c>
      <c r="E149">
        <f t="shared" si="61"/>
        <v>-3.8557446464535299</v>
      </c>
      <c r="F149" s="4">
        <f t="shared" si="63"/>
        <v>-15.32187575858759</v>
      </c>
      <c r="G149" s="4">
        <f t="shared" si="64"/>
        <v>-14.779257309109989</v>
      </c>
      <c r="H149" s="4">
        <f t="shared" si="65"/>
        <v>-4.668527156691319E-2</v>
      </c>
      <c r="I149" s="4">
        <f t="shared" si="66"/>
        <v>-4.0043566566054558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-3.1832739783664463</v>
      </c>
      <c r="C150">
        <f t="shared" si="62"/>
        <v>-3.8557446464535299</v>
      </c>
      <c r="D150" s="9">
        <f t="shared" si="61"/>
        <v>-3.1832739783664463</v>
      </c>
      <c r="E150">
        <f t="shared" si="61"/>
        <v>-3.8557446464535299</v>
      </c>
      <c r="F150" s="4">
        <f t="shared" si="63"/>
        <v>-14.779257309109989</v>
      </c>
      <c r="G150" s="4">
        <f t="shared" si="64"/>
        <v>-14.779257309109989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-3.1832739783664463</v>
      </c>
      <c r="C151">
        <f t="shared" si="62"/>
        <v>-3.8557446464535299</v>
      </c>
      <c r="D151" s="9">
        <f t="shared" si="61"/>
        <v>-3.1832739783664463</v>
      </c>
      <c r="E151">
        <f t="shared" si="61"/>
        <v>-3.8557446464535299</v>
      </c>
      <c r="F151" s="4">
        <f t="shared" si="63"/>
        <v>-14.779257309109989</v>
      </c>
      <c r="G151" s="4">
        <f t="shared" si="64"/>
        <v>-14.779257309109989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-3.1832739783664463</v>
      </c>
      <c r="C152">
        <f t="shared" si="62"/>
        <v>-3.8557446464535299</v>
      </c>
      <c r="D152" s="9">
        <f t="shared" si="61"/>
        <v>-3.1832739783664463</v>
      </c>
      <c r="E152">
        <f t="shared" si="61"/>
        <v>-3.8557446464535299</v>
      </c>
      <c r="F152" s="4">
        <f t="shared" si="63"/>
        <v>-14.779257309109989</v>
      </c>
      <c r="G152" s="4">
        <f t="shared" si="64"/>
        <v>-14.779257309109989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-3.1832739783664463</v>
      </c>
      <c r="C153">
        <f t="shared" si="62"/>
        <v>-3.8557446464535299</v>
      </c>
      <c r="D153" s="9">
        <f t="shared" si="61"/>
        <v>-3.1832739783664463</v>
      </c>
      <c r="E153">
        <f t="shared" si="61"/>
        <v>-3.8557446464535299</v>
      </c>
      <c r="F153" s="4">
        <f t="shared" si="63"/>
        <v>-14.779257309109989</v>
      </c>
      <c r="G153" s="4">
        <f t="shared" si="64"/>
        <v>-14.779257309109989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-0.34693679362229235</v>
      </c>
      <c r="Q154" s="4">
        <f t="shared" ref="Q154:R154" si="75">SUM(Q146:Q153)</f>
        <v>-1.3712712795094748</v>
      </c>
      <c r="R154" s="4">
        <f t="shared" si="75"/>
        <v>-0.31171726207470463</v>
      </c>
    </row>
    <row r="156" spans="1:18" x14ac:dyDescent="0.25">
      <c r="O156" t="s">
        <v>96</v>
      </c>
      <c r="P156" s="1">
        <f>-1*R154/P154</f>
        <v>-0.89848429974846955</v>
      </c>
    </row>
    <row r="157" spans="1:18" x14ac:dyDescent="0.25">
      <c r="O157" t="s">
        <v>97</v>
      </c>
      <c r="P157" s="1">
        <f>Q154/P154</f>
        <v>3.9525103843623119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2.094228263027631E-6</v>
      </c>
      <c r="C159" t="s">
        <v>36</v>
      </c>
    </row>
    <row r="160" spans="1:18" x14ac:dyDescent="0.25">
      <c r="A160" s="1" t="s">
        <v>106</v>
      </c>
      <c r="B160" s="4">
        <f>Q140+I122+Q154-O122</f>
        <v>1167.724428117898</v>
      </c>
      <c r="C160" t="s">
        <v>102</v>
      </c>
    </row>
    <row r="161" spans="1:9" x14ac:dyDescent="0.25">
      <c r="A161" s="1" t="s">
        <v>107</v>
      </c>
      <c r="B161" s="4">
        <f>R140+J122+R154-P122</f>
        <v>31.177701373494529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2.094228263027631E-6</v>
      </c>
      <c r="C164" t="s">
        <v>36</v>
      </c>
      <c r="E164" s="8">
        <f>B2-B164</f>
        <v>-2.094228263027631E-6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1165.0000124125859</v>
      </c>
      <c r="C165" t="s">
        <v>102</v>
      </c>
      <c r="E165" s="8">
        <f>B3+B165</f>
        <v>1.2412585874699289E-5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85.600000963091304</v>
      </c>
      <c r="C166" t="s">
        <v>102</v>
      </c>
      <c r="E166" s="8">
        <f>B4+B166</f>
        <v>9.6309130981353519E-7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6.8911464363829431</v>
      </c>
      <c r="B169" s="1">
        <f ca="1">IF(E122=0,0,(MIN(H110:H121)*B65)/(B55*B56*E122))</f>
        <v>-6.8911463341707284</v>
      </c>
      <c r="C169" s="3">
        <f ca="1">A169+B169</f>
        <v>1.0221221469208785E-7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6.9195206603113489E-10</v>
      </c>
      <c r="C175" s="27">
        <f>B65*SQRT(I175)</f>
        <v>5.2706799119990835E-8</v>
      </c>
      <c r="D175" s="27">
        <f>B66*SQRT(I175)</f>
        <v>1.0221221955171571E-7</v>
      </c>
      <c r="E175" s="27">
        <f>B67*SQRT(I175)</f>
        <v>5.4421597901291562E-7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4.6651399466886803E-2</v>
      </c>
      <c r="C176" s="3">
        <f>B65+C175</f>
        <v>3.553491724464354</v>
      </c>
      <c r="D176" s="3">
        <f>D175+B66</f>
        <v>6.8911465385951622</v>
      </c>
      <c r="E176" s="3">
        <f>B67+E175</f>
        <v>36.691034364296613</v>
      </c>
      <c r="F176" s="16" t="s">
        <v>125</v>
      </c>
    </row>
    <row r="177" spans="1:13" x14ac:dyDescent="0.25">
      <c r="B177" s="27">
        <f>B176-B64</f>
        <v>6.9195206509053975E-10</v>
      </c>
      <c r="C177" s="27">
        <f>C176-B65</f>
        <v>5.2706798925328258E-8</v>
      </c>
      <c r="D177" s="27">
        <f>D176-B66</f>
        <v>1.0221221913297995E-7</v>
      </c>
      <c r="E177" s="27">
        <f>E176-B67</f>
        <v>5.4421597894815932E-7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7.3188256949638255</v>
      </c>
      <c r="B181" s="25">
        <f>(d_alpha_p!E136-d_alpha_m!E136)/(2*B177)</f>
        <v>7.3188256949638255</v>
      </c>
      <c r="C181" s="25">
        <f>(d_alpha_p!E137-d_alpha_m!E137)/(2*B177)</f>
        <v>7.3188256949638255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2.094228263027631E-6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-1.2412585874699289E-5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-9.6309130981353519E-7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-1.0221221469208785E-7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7.3188256949638255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7.3188256949638255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7.3188256949638255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7.3188256949638255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7.3188256949638255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7.3188256949638255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-1165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-2.54737609329446</v>
      </c>
      <c r="J3" t="s">
        <v>11</v>
      </c>
    </row>
    <row r="4" spans="1:29" x14ac:dyDescent="0.25">
      <c r="A4" s="10" t="s">
        <v>80</v>
      </c>
      <c r="B4" s="17">
        <f>'Rigid Bearing Plate Analysis'!B4</f>
        <v>-85.6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-0.18717201166180752</v>
      </c>
      <c r="J4" t="s">
        <v>11</v>
      </c>
    </row>
    <row r="5" spans="1:29" x14ac:dyDescent="0.25">
      <c r="A5" s="10" t="s">
        <v>104</v>
      </c>
      <c r="B5" s="20">
        <f>ATAN2(B3,B4)</f>
        <v>-3.0682480597090245</v>
      </c>
      <c r="C5" t="s">
        <v>19</v>
      </c>
      <c r="I5">
        <f>SUM(I2:I4)</f>
        <v>-2.7345481049562674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2.54737609329446</v>
      </c>
      <c r="AB14">
        <f>$B$4/Z14</f>
        <v>-0.18717201166180752</v>
      </c>
      <c r="AC14">
        <f>$I$2+AA14+AB14</f>
        <v>2.3602040816326526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-2.54737609329446</v>
      </c>
      <c r="AB15">
        <f t="shared" ref="AB15:AB21" si="11">$B$4/Z15</f>
        <v>-0.18717201166180752</v>
      </c>
      <c r="AC15">
        <f t="shared" ref="AC15:AC20" si="12">$I$2+AA15+AB15</f>
        <v>-2.7345481049562674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-2.54737609329446</v>
      </c>
      <c r="AB16">
        <f t="shared" si="11"/>
        <v>0.18717201166180752</v>
      </c>
      <c r="AC16">
        <f t="shared" si="12"/>
        <v>-2.3602040816326526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2.54737609329446</v>
      </c>
      <c r="AB17">
        <f t="shared" si="11"/>
        <v>0.18717201166180752</v>
      </c>
      <c r="AC17">
        <f t="shared" si="12"/>
        <v>2.7345481049562674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2.54737609329446</v>
      </c>
      <c r="AB18">
        <f t="shared" si="11"/>
        <v>0.18717201166180752</v>
      </c>
      <c r="AC18">
        <f t="shared" si="12"/>
        <v>2.7345481049562674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2.54737609329446</v>
      </c>
      <c r="AB19">
        <f t="shared" si="11"/>
        <v>0.18717201166180752</v>
      </c>
      <c r="AC19">
        <f t="shared" si="12"/>
        <v>2.7345481049562674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2.54737609329446</v>
      </c>
      <c r="AB20">
        <f t="shared" si="11"/>
        <v>0.18717201166180752</v>
      </c>
      <c r="AC20">
        <f t="shared" si="12"/>
        <v>2.7345481049562674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0.18717201166180752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3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11</v>
      </c>
      <c r="D26" s="5">
        <f>((B25*C26)-(B26*C25))*0.5</f>
        <v>16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11</v>
      </c>
      <c r="D27" s="5">
        <f t="shared" ref="D27:D33" si="13">((B26*C27)-(B27*C26))*0.5</f>
        <v>-33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3</v>
      </c>
      <c r="D28" s="5">
        <f t="shared" si="13"/>
        <v>-40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3</v>
      </c>
      <c r="D29" s="5">
        <f t="shared" si="13"/>
        <v>9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3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3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3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4</v>
      </c>
      <c r="C33" s="17">
        <f>'Rigid Bearing Plate Analysis'!C33</f>
        <v>3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-48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4.6651398774934738E-2</v>
      </c>
      <c r="C64" t="s">
        <v>19</v>
      </c>
      <c r="D64" t="s">
        <v>34</v>
      </c>
      <c r="H64" s="17">
        <f>DEGREES(B64)</f>
        <v>2.6729282581855394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3.5534916717575551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6.8911462319585066</v>
      </c>
      <c r="C66" t="s">
        <v>11</v>
      </c>
      <c r="D66">
        <f>B66/B53</f>
        <v>1.6913773889398523E-3</v>
      </c>
      <c r="I66" s="20"/>
    </row>
    <row r="67" spans="1:18" x14ac:dyDescent="0.25">
      <c r="A67" s="1" t="s">
        <v>37</v>
      </c>
      <c r="B67" s="17">
        <f>'Rigid Bearing Plate Analysis'!B67</f>
        <v>36.691033820080634</v>
      </c>
      <c r="C67" t="s">
        <v>36</v>
      </c>
      <c r="D67" t="s">
        <v>122</v>
      </c>
      <c r="G67" s="20">
        <f ca="1">($B$56*$B$66*$B$55*$E$122)/$B$65</f>
        <v>36.691033275864633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4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4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-4</v>
      </c>
      <c r="Q76" cm="1">
        <f t="array" ref="Q76">(-1*MAX(ABS(B84:C91)))-1</f>
        <v>-8.318825498605225</v>
      </c>
      <c r="R76">
        <f>Q76</f>
        <v>-8.318825498605225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-4</v>
      </c>
      <c r="Q77">
        <f>-1*Q76</f>
        <v>8.318825498605225</v>
      </c>
      <c r="R77">
        <f>Q77</f>
        <v>8.318825498605225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-4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-4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-7.3188254986052241</v>
      </c>
      <c r="C84" s="1">
        <f t="shared" ref="C84:C92" si="23">(-1*B73*SIN($B$64))+(C73*COS($B$64))</f>
        <v>-6.6659427931063133</v>
      </c>
      <c r="H84" s="1">
        <f t="shared" ref="H84:H92" si="24">H73</f>
        <v>1</v>
      </c>
      <c r="I84" s="4">
        <f>(I73*COS($B$64))+(J73*SIN($B$64))</f>
        <v>-3.1832739783664463</v>
      </c>
      <c r="J84" s="1">
        <f>(-1*I73*SIN($B$64))+(J73*COS($B$64))</f>
        <v>-3.8557446464535299</v>
      </c>
    </row>
    <row r="85" spans="1:10" x14ac:dyDescent="0.25">
      <c r="A85" s="1">
        <f t="shared" si="21"/>
        <v>2</v>
      </c>
      <c r="B85" s="4">
        <f t="shared" si="22"/>
        <v>6.6659427931063133</v>
      </c>
      <c r="C85" s="1">
        <f t="shared" si="23"/>
        <v>-7.3188254986052241</v>
      </c>
      <c r="H85" s="1">
        <f t="shared" si="24"/>
        <v>2</v>
      </c>
      <c r="I85" s="4">
        <f t="shared" ref="I85:I92" si="25">(I74*COS($B$64))+(J74*SIN($B$64))</f>
        <v>-2.8101981466527839</v>
      </c>
      <c r="J85" s="1">
        <f t="shared" ref="J85:J92" si="26">(-1*I74*SIN($B$64))+(J74*COS($B$64))</f>
        <v>4.1355515202387769</v>
      </c>
    </row>
    <row r="86" spans="1:10" x14ac:dyDescent="0.25">
      <c r="A86" s="1">
        <f t="shared" si="21"/>
        <v>3</v>
      </c>
      <c r="B86" s="4">
        <f t="shared" si="22"/>
        <v>7.3188254986052241</v>
      </c>
      <c r="C86" s="1">
        <f t="shared" si="23"/>
        <v>6.6659427931063133</v>
      </c>
      <c r="H86" s="1">
        <f t="shared" si="24"/>
        <v>3</v>
      </c>
      <c r="I86" s="4">
        <f t="shared" si="25"/>
        <v>3.1832739783664463</v>
      </c>
      <c r="J86" s="1">
        <f t="shared" si="26"/>
        <v>3.8557446464535299</v>
      </c>
    </row>
    <row r="87" spans="1:10" x14ac:dyDescent="0.25">
      <c r="A87" s="1">
        <f t="shared" si="21"/>
        <v>4</v>
      </c>
      <c r="B87" s="4">
        <f t="shared" si="22"/>
        <v>-6.6659427931063133</v>
      </c>
      <c r="C87" s="1">
        <f t="shared" si="23"/>
        <v>7.3188254986052241</v>
      </c>
      <c r="H87" s="1">
        <f t="shared" si="24"/>
        <v>4</v>
      </c>
      <c r="I87" s="4">
        <f t="shared" si="25"/>
        <v>2.8101981466527839</v>
      </c>
      <c r="J87" s="1">
        <f t="shared" si="26"/>
        <v>-4.1355515202387769</v>
      </c>
    </row>
    <row r="88" spans="1:10" x14ac:dyDescent="0.25">
      <c r="A88" s="1">
        <f t="shared" si="21"/>
        <v>5</v>
      </c>
      <c r="B88" s="4">
        <f t="shared" si="22"/>
        <v>-7.3188254986052241</v>
      </c>
      <c r="C88" s="1">
        <f t="shared" si="23"/>
        <v>-6.6659427931063133</v>
      </c>
      <c r="H88" s="1">
        <f t="shared" si="24"/>
        <v>5</v>
      </c>
      <c r="I88" s="4">
        <f t="shared" si="25"/>
        <v>-3.1832739783664463</v>
      </c>
      <c r="J88" s="1">
        <f t="shared" si="26"/>
        <v>-3.8557446464535299</v>
      </c>
    </row>
    <row r="89" spans="1:10" x14ac:dyDescent="0.25">
      <c r="A89" s="1">
        <f t="shared" si="21"/>
        <v>6</v>
      </c>
      <c r="B89" s="4">
        <f t="shared" si="22"/>
        <v>-7.3188254986052241</v>
      </c>
      <c r="C89" s="1">
        <f t="shared" si="23"/>
        <v>-6.6659427931063133</v>
      </c>
      <c r="H89" s="1">
        <f t="shared" si="24"/>
        <v>6</v>
      </c>
      <c r="I89" s="4">
        <f t="shared" si="25"/>
        <v>-3.1832739783664463</v>
      </c>
      <c r="J89" s="1">
        <f t="shared" si="26"/>
        <v>-3.8557446464535299</v>
      </c>
    </row>
    <row r="90" spans="1:10" x14ac:dyDescent="0.25">
      <c r="A90" s="1">
        <f t="shared" si="21"/>
        <v>7</v>
      </c>
      <c r="B90" s="4">
        <f t="shared" si="22"/>
        <v>-7.3188254986052241</v>
      </c>
      <c r="C90" s="1">
        <f t="shared" si="23"/>
        <v>-6.6659427931063133</v>
      </c>
      <c r="H90" s="1">
        <f t="shared" si="24"/>
        <v>7</v>
      </c>
      <c r="I90" s="4">
        <f t="shared" si="25"/>
        <v>-3.1832739783664463</v>
      </c>
      <c r="J90" s="1">
        <f t="shared" si="26"/>
        <v>-3.8557446464535299</v>
      </c>
    </row>
    <row r="91" spans="1:10" x14ac:dyDescent="0.25">
      <c r="A91" s="1">
        <f t="shared" si="21"/>
        <v>8</v>
      </c>
      <c r="B91" s="4">
        <f t="shared" si="22"/>
        <v>-7.3188254986052241</v>
      </c>
      <c r="C91" s="1">
        <f t="shared" si="23"/>
        <v>-6.6659427931063133</v>
      </c>
      <c r="H91" s="1">
        <f t="shared" si="24"/>
        <v>8</v>
      </c>
      <c r="I91" s="4">
        <f t="shared" si="25"/>
        <v>-3.1832739783664463</v>
      </c>
      <c r="J91" s="1">
        <f t="shared" si="26"/>
        <v>-3.8557446464535299</v>
      </c>
    </row>
    <row r="92" spans="1:10" x14ac:dyDescent="0.25">
      <c r="A92" s="1">
        <f t="shared" si="21"/>
        <v>9</v>
      </c>
      <c r="B92" s="4">
        <f t="shared" si="22"/>
        <v>-7.3188254986052241</v>
      </c>
      <c r="C92" s="1">
        <f t="shared" si="23"/>
        <v>-6.6659427931063133</v>
      </c>
      <c r="H92" s="1">
        <f t="shared" si="24"/>
        <v>9</v>
      </c>
      <c r="I92" s="4">
        <f t="shared" si="25"/>
        <v>-3.1832739783664463</v>
      </c>
      <c r="J92" s="1">
        <f t="shared" si="26"/>
        <v>-3.8557446464535299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-4.1821859992029848</v>
      </c>
      <c r="C110" s="1">
        <f>(-1*B95*SIN($B$64))+(C95*COS($B$64))</f>
        <v>-3.8091101674893224</v>
      </c>
      <c r="D110" t="str">
        <f t="shared" ref="D110" si="31">D95</f>
        <v>y</v>
      </c>
      <c r="E110" s="4">
        <f t="shared" ref="E110:E121" si="32">IF($D110="y",$B$125-C110,0)</f>
        <v>7.5744439943369919</v>
      </c>
      <c r="F110" s="1">
        <f>IF($D110="y",B110,NA())</f>
        <v>-4.1821859992029848</v>
      </c>
      <c r="G110" s="1">
        <f>IF($D110="y",C110,NA())</f>
        <v>-3.8091101674893224</v>
      </c>
      <c r="H110">
        <f t="shared" ref="H110:H121" si="33">IF($E$122=0,0,-1*MAX(($B$67/$E$122)*(E110),0))</f>
        <v>-34.968667816790919</v>
      </c>
      <c r="I110">
        <f>H110*C110</f>
        <v>133.19950812449494</v>
      </c>
      <c r="J110">
        <f>H110*B110*-1</f>
        <v>-146.24547295416298</v>
      </c>
      <c r="K110">
        <f ca="1">H110/$B$55</f>
        <v>-104.55239401066</v>
      </c>
      <c r="L110">
        <f ca="1">K110/$B$54</f>
        <v>-3.6052549658848274E-3</v>
      </c>
      <c r="M110">
        <f t="shared" ref="M110:M121" si="34">IFERROR(($D$66/$B$65)*(G110-$B$125),0)</f>
        <v>-3.6052549124102528E-3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3.8091101674893224</v>
      </c>
      <c r="C111" s="1">
        <f t="shared" ref="C111:C121" si="37">(-1*B96*SIN($B$64))+(C96*COS($B$64))</f>
        <v>-4.1821859992029848</v>
      </c>
      <c r="D111" t="str">
        <f t="shared" si="35"/>
        <v>y</v>
      </c>
      <c r="E111" s="4">
        <f t="shared" si="32"/>
        <v>7.9475198260506534</v>
      </c>
      <c r="F111" s="1">
        <f t="shared" ref="F111:G121" si="38">IF($D111="y",B111,NA())</f>
        <v>3.8091101674893224</v>
      </c>
      <c r="G111" s="1">
        <f t="shared" si="38"/>
        <v>-4.1821859992029848</v>
      </c>
      <c r="H111">
        <f t="shared" si="33"/>
        <v>-36.691033820080634</v>
      </c>
      <c r="I111">
        <f t="shared" ref="I111:I121" si="39">H111*C111</f>
        <v>153.44872793862444</v>
      </c>
      <c r="J111">
        <f t="shared" ref="J111:J121" si="40">H111*B111*-1</f>
        <v>139.76018997976374</v>
      </c>
      <c r="K111">
        <f ca="1">H111/$B$55</f>
        <v>-109.70207514664094</v>
      </c>
      <c r="L111">
        <f t="shared" ref="L111:L121" ca="1" si="41">K111/$B$54</f>
        <v>-3.782830177470377E-3</v>
      </c>
      <c r="M111">
        <f t="shared" si="34"/>
        <v>-3.7828301213619366E-3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-3.8091101674893224</v>
      </c>
      <c r="C112" s="1">
        <f t="shared" si="37"/>
        <v>4.1821859992029848</v>
      </c>
      <c r="D112" t="str">
        <f t="shared" si="35"/>
        <v>y</v>
      </c>
      <c r="E112" s="4">
        <f t="shared" si="32"/>
        <v>-0.4168521723553158</v>
      </c>
      <c r="F112" s="1">
        <f t="shared" si="38"/>
        <v>-3.8091101674893224</v>
      </c>
      <c r="G112" s="1">
        <f t="shared" si="38"/>
        <v>4.1821859992029848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1.984117043120914E-4</v>
      </c>
      <c r="N112">
        <f t="shared" si="42"/>
        <v>0.41913589313620531</v>
      </c>
      <c r="O112">
        <f t="shared" si="43"/>
        <v>1.7529042640376762</v>
      </c>
      <c r="P112">
        <f t="shared" si="44"/>
        <v>1.5965347921048378</v>
      </c>
    </row>
    <row r="113" spans="1:16" x14ac:dyDescent="0.25">
      <c r="A113">
        <f t="shared" si="35"/>
        <v>4</v>
      </c>
      <c r="B113" s="1">
        <f t="shared" si="36"/>
        <v>4.1821859992029848</v>
      </c>
      <c r="C113" s="1">
        <f t="shared" si="37"/>
        <v>3.8091101674893224</v>
      </c>
      <c r="D113" t="str">
        <f t="shared" si="35"/>
        <v>y</v>
      </c>
      <c r="E113" s="4">
        <f t="shared" si="32"/>
        <v>-4.3776340641653366E-2</v>
      </c>
      <c r="F113" s="1">
        <f t="shared" si="38"/>
        <v>4.1821859992029848</v>
      </c>
      <c r="G113" s="1">
        <f t="shared" si="38"/>
        <v>3.8091101674893224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2.0836495360406999E-5</v>
      </c>
      <c r="N113">
        <f t="shared" si="42"/>
        <v>4.4016168920032649E-2</v>
      </c>
      <c r="O113">
        <f t="shared" si="43"/>
        <v>0.16766243656722388</v>
      </c>
      <c r="P113">
        <f t="shared" si="44"/>
        <v>-0.1840838053959141</v>
      </c>
    </row>
    <row r="114" spans="1:16" x14ac:dyDescent="0.25">
      <c r="A114">
        <f t="shared" si="35"/>
        <v>5</v>
      </c>
      <c r="B114" s="1">
        <f t="shared" si="36"/>
        <v>-4.0655998017924651</v>
      </c>
      <c r="C114" s="1">
        <f t="shared" si="37"/>
        <v>-1.3118301153979761</v>
      </c>
      <c r="D114" t="str">
        <f t="shared" si="35"/>
        <v>y</v>
      </c>
      <c r="E114" s="4">
        <f t="shared" si="32"/>
        <v>5.0771639422456456</v>
      </c>
      <c r="F114" s="1">
        <f t="shared" si="38"/>
        <v>-4.0655998017924651</v>
      </c>
      <c r="G114" s="1">
        <f t="shared" si="38"/>
        <v>-1.3118301153979761</v>
      </c>
      <c r="H114">
        <f t="shared" si="33"/>
        <v>-23.439563284184956</v>
      </c>
      <c r="I114">
        <f t="shared" si="39"/>
        <v>30.748725007970513</v>
      </c>
      <c r="J114">
        <f t="shared" si="40"/>
        <v>-95.295883842284297</v>
      </c>
      <c r="K114">
        <f t="shared" ca="1" si="45"/>
        <v>-70.08166478533019</v>
      </c>
      <c r="L114">
        <f t="shared" ca="1" si="41"/>
        <v>-2.4166091305286271E-3</v>
      </c>
      <c r="M114">
        <f t="shared" si="34"/>
        <v>-2.4166090946845203E-3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3.9256963648998418</v>
      </c>
      <c r="C115" s="1">
        <f t="shared" si="37"/>
        <v>-1.684905947111639</v>
      </c>
      <c r="D115" t="str">
        <f t="shared" si="35"/>
        <v>y</v>
      </c>
      <c r="E115" s="4">
        <f t="shared" si="32"/>
        <v>5.450239773959308</v>
      </c>
      <c r="F115" s="1">
        <f t="shared" si="38"/>
        <v>3.9256963648998418</v>
      </c>
      <c r="G115" s="1">
        <f t="shared" si="38"/>
        <v>-1.684905947111639</v>
      </c>
      <c r="H115">
        <f t="shared" si="33"/>
        <v>-25.161929287474681</v>
      </c>
      <c r="I115">
        <f t="shared" si="39"/>
        <v>42.395484297268617</v>
      </c>
      <c r="J115">
        <f t="shared" si="40"/>
        <v>98.778094337706221</v>
      </c>
      <c r="K115">
        <f t="shared" ca="1" si="45"/>
        <v>-75.23134592131116</v>
      </c>
      <c r="L115">
        <f t="shared" ca="1" si="41"/>
        <v>-2.5941843421141779E-3</v>
      </c>
      <c r="M115">
        <f t="shared" si="34"/>
        <v>-2.5941843036362045E-3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-3.9256963648998418</v>
      </c>
      <c r="C116" s="1">
        <f t="shared" si="37"/>
        <v>1.684905947111639</v>
      </c>
      <c r="D116" t="str">
        <f t="shared" si="35"/>
        <v>y</v>
      </c>
      <c r="E116" s="4">
        <f t="shared" si="32"/>
        <v>2.0804278797360301</v>
      </c>
      <c r="F116" s="1">
        <f t="shared" si="38"/>
        <v>-3.9256963648998418</v>
      </c>
      <c r="G116" s="1">
        <f t="shared" si="38"/>
        <v>1.684905947111639</v>
      </c>
      <c r="H116">
        <f t="shared" si="33"/>
        <v>-9.6046378450578054</v>
      </c>
      <c r="I116">
        <f t="shared" si="39"/>
        <v>-16.182911424991413</v>
      </c>
      <c r="J116">
        <f t="shared" si="40"/>
        <v>-37.704891874522879</v>
      </c>
      <c r="K116">
        <f t="shared" ca="1" si="45"/>
        <v>-28.716789714934428</v>
      </c>
      <c r="L116">
        <f t="shared" ca="1" si="41"/>
        <v>-9.902341281011872E-4</v>
      </c>
      <c r="M116">
        <f t="shared" si="34"/>
        <v>-9.902341134136411E-4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4.0655998017924651</v>
      </c>
      <c r="C117" s="1">
        <f t="shared" si="37"/>
        <v>1.3118301153979761</v>
      </c>
      <c r="D117" t="str">
        <f t="shared" si="35"/>
        <v>y</v>
      </c>
      <c r="E117" s="4">
        <f t="shared" si="32"/>
        <v>2.4535037114496929</v>
      </c>
      <c r="F117" s="1">
        <f t="shared" si="38"/>
        <v>4.0655998017924651</v>
      </c>
      <c r="G117" s="1">
        <f t="shared" si="38"/>
        <v>1.3118301153979761</v>
      </c>
      <c r="H117">
        <f t="shared" si="33"/>
        <v>-11.32700384834753</v>
      </c>
      <c r="I117">
        <f t="shared" si="39"/>
        <v>-14.859104765491061</v>
      </c>
      <c r="J117">
        <f t="shared" si="40"/>
        <v>46.051064600744205</v>
      </c>
      <c r="K117">
        <f t="shared" ca="1" si="45"/>
        <v>-33.866470850915398</v>
      </c>
      <c r="L117">
        <f t="shared" ca="1" si="41"/>
        <v>-1.1678093396867378E-3</v>
      </c>
      <c r="M117">
        <f t="shared" si="34"/>
        <v>-1.1678093223653257E-3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-7.3188254986052241</v>
      </c>
      <c r="C118" s="1">
        <f t="shared" si="37"/>
        <v>-6.6659427931063133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-7.3188254986052241</v>
      </c>
      <c r="C119" s="1">
        <f t="shared" si="37"/>
        <v>-6.6659427931063133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-7.3188254986052241</v>
      </c>
      <c r="C120" s="1">
        <f t="shared" si="37"/>
        <v>-6.6659427931063133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-7.3188254986052241</v>
      </c>
      <c r="C121" s="1">
        <f t="shared" si="37"/>
        <v>-6.6659427931063133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7.9475198260506534</v>
      </c>
      <c r="H122">
        <f>SUM(H110:H121)</f>
        <v>-141.19283590193652</v>
      </c>
      <c r="I122">
        <f t="shared" ref="I122:J122" si="46">SUM(I110:I121)</f>
        <v>328.75042917787607</v>
      </c>
      <c r="J122">
        <f t="shared" si="46"/>
        <v>5.3431002472440099</v>
      </c>
      <c r="L122">
        <f ca="1">MIN(L110:L121)</f>
        <v>-3.782830177470377E-3</v>
      </c>
      <c r="M122">
        <f>MIN(M110:M121)</f>
        <v>-3.7828301213619366E-3</v>
      </c>
      <c r="N122">
        <f>SUM(N110:N121)</f>
        <v>0.46315206205623793</v>
      </c>
      <c r="O122">
        <f>SUM(O110:O121)</f>
        <v>1.9205667006049001</v>
      </c>
      <c r="P122">
        <f>SUM(P110:P121)</f>
        <v>1.4124509867089237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3.765333826847669</v>
      </c>
      <c r="F125" s="1" t="s">
        <v>27</v>
      </c>
      <c r="G125" s="1" t="s">
        <v>28</v>
      </c>
    </row>
    <row r="126" spans="1:16" x14ac:dyDescent="0.25">
      <c r="F126" s="4">
        <f>MIN(B84:B90)-1</f>
        <v>-8.318825498605225</v>
      </c>
      <c r="G126" s="4">
        <f>B125</f>
        <v>3.765333826847669</v>
      </c>
    </row>
    <row r="127" spans="1:16" x14ac:dyDescent="0.25">
      <c r="F127" s="4">
        <f>MAX(B84:B90)+1</f>
        <v>8.318825498605225</v>
      </c>
      <c r="G127" s="4">
        <f>G126</f>
        <v>3.765333826847669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-7.3188254986052241</v>
      </c>
      <c r="C132" s="4">
        <f>C84</f>
        <v>-6.6659427931063133</v>
      </c>
      <c r="D132" s="4">
        <f t="shared" ref="D132:E139" si="47">B85</f>
        <v>6.6659427931063133</v>
      </c>
      <c r="E132" s="4">
        <f t="shared" si="47"/>
        <v>-7.3188254986052241</v>
      </c>
      <c r="F132" s="4">
        <f t="shared" ref="F132:F139" si="48">($B$66/$B$65)*(C132-$B$125)</f>
        <v>-20.228963288539028</v>
      </c>
      <c r="G132" s="4">
        <f t="shared" ref="G132:G139" si="49">($B$66/$B$65)*(E132-$B$125)</f>
        <v>-21.495072966427884</v>
      </c>
      <c r="H132" s="4">
        <f>IF(B132=D132,"V",(C132-E132)/(B132-D132))</f>
        <v>-4.6685271566913267E-2</v>
      </c>
      <c r="I132" s="4">
        <f>IF(H132="V",0,(-1*B132*H132)+C132)</f>
        <v>-7.0076241490595477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6.6659427931063133</v>
      </c>
      <c r="C133" s="4">
        <f t="shared" si="50"/>
        <v>-7.3188254986052241</v>
      </c>
      <c r="D133" s="4">
        <f t="shared" si="47"/>
        <v>7.3188254986052241</v>
      </c>
      <c r="E133" s="4">
        <f t="shared" si="47"/>
        <v>6.6659427931063133</v>
      </c>
      <c r="F133" s="4">
        <f t="shared" si="48"/>
        <v>-21.495072966427884</v>
      </c>
      <c r="G133" s="4">
        <f t="shared" si="49"/>
        <v>5.6250365540696494</v>
      </c>
      <c r="H133" s="4">
        <f t="shared" ref="H133:H139" si="51">IF(B133=D133,"V",(C133-E133)/(B133-D133))</f>
        <v>21.420031766693608</v>
      </c>
      <c r="I133" s="4">
        <f t="shared" ref="I133:I139" si="52">IF(H133="V",0,(-1*B133*H133)+C133)</f>
        <v>-150.10353188190479</v>
      </c>
      <c r="J133" s="4">
        <f t="shared" ref="J133:J139" si="53">IF($F133&gt;=0,B133,IF(AND($F133&lt;0,$G133&gt;=0),IF(H133="V",B133,($B$125-I133)/H133),0))</f>
        <v>7.1834097813060165</v>
      </c>
      <c r="K133" s="4">
        <f t="shared" ref="K133:K139" si="54">IF($F133&gt;=0,C133,IF(AND($F133&lt;0,$G133&gt;=0),$B$125,0))</f>
        <v>3.765333826847669</v>
      </c>
      <c r="L133" s="4">
        <f t="shared" ref="L133:L139" si="55">IF($G133&gt;=0,D133,IF(AND($G133&lt;0,$F133&gt;=0),IF(H133="V",D133,($B$125-I133)/H133),0))</f>
        <v>7.3188254986052241</v>
      </c>
      <c r="M133" s="4">
        <f t="shared" ref="M133:M139" si="56">IF($G133&gt;=0,E133,IF(AND($G133&lt;0,$F133&gt;=0),$B$125,0))</f>
        <v>6.6659427931063133</v>
      </c>
      <c r="N133" s="4">
        <f t="shared" ref="N133:O139" si="57">IF(F133&lt;0,0,F133)</f>
        <v>0</v>
      </c>
      <c r="O133" s="4">
        <f t="shared" si="57"/>
        <v>5.6250365540696494</v>
      </c>
      <c r="P133" s="4">
        <f t="shared" ref="P133:P139" si="58">(1/6)*(M133-K133)*((N133*((2*J133)+L133))+(O133*(J133+(2*L133))))</f>
        <v>59.338852374326386</v>
      </c>
      <c r="Q133" s="4">
        <f t="shared" ref="Q133:Q139" si="59">((1/12)*(M133-K133)*(N133*J133*((3*K133)+M133)+N133*L133*(K133+M133)+O133*J133*(K133+M133)+O133*L133*(K133+(3*M133))))</f>
        <v>338.35448020104366</v>
      </c>
      <c r="R133" s="4">
        <f t="shared" ref="R133:R139" si="60">((-1/24)*(M133-K133)*(J133*J133*((3*N133)+O133)+2*J133*L133*(N133+O133)+L133*L133*(N133+(3*O133))))</f>
        <v>-215.81027283493827</v>
      </c>
    </row>
    <row r="134" spans="1:18" x14ac:dyDescent="0.25">
      <c r="A134" t="s">
        <v>71</v>
      </c>
      <c r="B134" s="4">
        <f t="shared" si="50"/>
        <v>7.3188254986052241</v>
      </c>
      <c r="C134" s="4">
        <f t="shared" si="50"/>
        <v>6.6659427931063133</v>
      </c>
      <c r="D134" s="4">
        <f t="shared" si="47"/>
        <v>-6.6659427931063133</v>
      </c>
      <c r="E134" s="4">
        <f t="shared" si="47"/>
        <v>7.3188254986052241</v>
      </c>
      <c r="F134" s="4">
        <f t="shared" si="48"/>
        <v>5.6250365540696494</v>
      </c>
      <c r="G134" s="4">
        <f t="shared" si="49"/>
        <v>6.8911462319585066</v>
      </c>
      <c r="H134" s="4">
        <f t="shared" si="51"/>
        <v>-4.6685271566913267E-2</v>
      </c>
      <c r="I134" s="4">
        <f t="shared" si="52"/>
        <v>7.0076241490595477</v>
      </c>
      <c r="J134" s="4">
        <f t="shared" si="53"/>
        <v>7.3188254986052241</v>
      </c>
      <c r="K134" s="4">
        <f t="shared" si="54"/>
        <v>6.6659427931063133</v>
      </c>
      <c r="L134" s="4">
        <f t="shared" si="55"/>
        <v>-6.6659427931063133</v>
      </c>
      <c r="M134" s="4">
        <f t="shared" si="56"/>
        <v>7.3188254986052241</v>
      </c>
      <c r="N134" s="4">
        <f t="shared" si="57"/>
        <v>5.6250365540696494</v>
      </c>
      <c r="O134" s="4">
        <f t="shared" si="57"/>
        <v>6.8911462319585066</v>
      </c>
      <c r="P134" s="4">
        <f t="shared" si="58"/>
        <v>0.37043190187417618</v>
      </c>
      <c r="Q134" s="4">
        <f t="shared" si="59"/>
        <v>-0.50386980704133133</v>
      </c>
      <c r="R134" s="4">
        <f t="shared" si="60"/>
        <v>-33.198022033074082</v>
      </c>
    </row>
    <row r="135" spans="1:18" x14ac:dyDescent="0.25">
      <c r="A135" t="s">
        <v>72</v>
      </c>
      <c r="B135" s="4">
        <f t="shared" si="50"/>
        <v>-6.6659427931063133</v>
      </c>
      <c r="C135" s="4">
        <f t="shared" si="50"/>
        <v>7.3188254986052241</v>
      </c>
      <c r="D135" s="4">
        <f t="shared" si="47"/>
        <v>-7.3188254986052241</v>
      </c>
      <c r="E135" s="4">
        <f t="shared" si="47"/>
        <v>-6.6659427931063133</v>
      </c>
      <c r="F135" s="4">
        <f t="shared" si="48"/>
        <v>6.8911462319585066</v>
      </c>
      <c r="G135" s="4">
        <f t="shared" si="49"/>
        <v>-20.228963288539028</v>
      </c>
      <c r="H135" s="4">
        <f t="shared" si="51"/>
        <v>21.420031766693608</v>
      </c>
      <c r="I135" s="4">
        <f t="shared" si="52"/>
        <v>150.10353188190479</v>
      </c>
      <c r="J135" s="4">
        <f t="shared" si="53"/>
        <v>-6.6659427931063133</v>
      </c>
      <c r="K135" s="4">
        <f t="shared" si="54"/>
        <v>7.3188254986052241</v>
      </c>
      <c r="L135" s="4">
        <f t="shared" si="55"/>
        <v>-6.8318385168130797</v>
      </c>
      <c r="M135" s="4">
        <f t="shared" si="56"/>
        <v>3.765333826847669</v>
      </c>
      <c r="N135" s="4">
        <f t="shared" si="57"/>
        <v>6.8911462319585066</v>
      </c>
      <c r="O135" s="4">
        <f t="shared" si="57"/>
        <v>0</v>
      </c>
      <c r="P135" s="4">
        <f t="shared" si="58"/>
        <v>82.293638376894535</v>
      </c>
      <c r="Q135" s="4">
        <f t="shared" si="59"/>
        <v>504.415201597465</v>
      </c>
      <c r="R135" s="4">
        <f t="shared" si="60"/>
        <v>276.56706346742141</v>
      </c>
    </row>
    <row r="136" spans="1:18" x14ac:dyDescent="0.25">
      <c r="A136" t="s">
        <v>73</v>
      </c>
      <c r="B136" s="4">
        <f t="shared" si="50"/>
        <v>-7.3188254986052241</v>
      </c>
      <c r="C136" s="4">
        <f t="shared" si="50"/>
        <v>-6.6659427931063133</v>
      </c>
      <c r="D136" s="4">
        <f t="shared" si="47"/>
        <v>-7.3188254986052241</v>
      </c>
      <c r="E136" s="4">
        <f t="shared" si="47"/>
        <v>-6.6659427931063133</v>
      </c>
      <c r="F136" s="4">
        <f t="shared" si="48"/>
        <v>-20.228963288539028</v>
      </c>
      <c r="G136" s="4">
        <f t="shared" si="49"/>
        <v>-20.228963288539028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-7.3188254986052241</v>
      </c>
      <c r="C137" s="4">
        <f t="shared" si="50"/>
        <v>-6.6659427931063133</v>
      </c>
      <c r="D137" s="4">
        <f t="shared" si="47"/>
        <v>-7.3188254986052241</v>
      </c>
      <c r="E137" s="4">
        <f t="shared" si="47"/>
        <v>-6.6659427931063133</v>
      </c>
      <c r="F137" s="4">
        <f t="shared" si="48"/>
        <v>-20.228963288539028</v>
      </c>
      <c r="G137" s="4">
        <f t="shared" si="49"/>
        <v>-20.228963288539028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-7.3188254986052241</v>
      </c>
      <c r="C138" s="4">
        <f t="shared" si="50"/>
        <v>-6.6659427931063133</v>
      </c>
      <c r="D138" s="4">
        <f t="shared" si="47"/>
        <v>-7.3188254986052241</v>
      </c>
      <c r="E138" s="4">
        <f t="shared" si="47"/>
        <v>-6.6659427931063133</v>
      </c>
      <c r="F138" s="4">
        <f t="shared" si="48"/>
        <v>-20.228963288539028</v>
      </c>
      <c r="G138" s="4">
        <f t="shared" si="49"/>
        <v>-20.228963288539028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-7.3188254986052241</v>
      </c>
      <c r="C139" s="4">
        <f>E138</f>
        <v>-6.6659427931063133</v>
      </c>
      <c r="D139" s="4">
        <f t="shared" si="47"/>
        <v>-7.3188254986052241</v>
      </c>
      <c r="E139" s="4">
        <f t="shared" si="47"/>
        <v>-6.6659427931063133</v>
      </c>
      <c r="F139" s="4">
        <f t="shared" si="48"/>
        <v>-20.228963288539028</v>
      </c>
      <c r="G139" s="4">
        <f t="shared" si="49"/>
        <v>-20.228963288539028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142.00292265309508</v>
      </c>
      <c r="Q140" s="4">
        <f>SUM(Q132:Q139)</f>
        <v>842.26581199146733</v>
      </c>
      <c r="R140" s="4">
        <f>SUM(R132:R139)</f>
        <v>27.558768599409063</v>
      </c>
    </row>
    <row r="142" spans="1:18" x14ac:dyDescent="0.25">
      <c r="O142" t="s">
        <v>96</v>
      </c>
      <c r="P142" s="1">
        <f>-1*R140/P140</f>
        <v>-0.19407184080804829</v>
      </c>
    </row>
    <row r="143" spans="1:18" x14ac:dyDescent="0.25">
      <c r="O143" t="s">
        <v>97</v>
      </c>
      <c r="P143" s="1">
        <f>Q140/P140</f>
        <v>5.9313273012631855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-3.1832739783664463</v>
      </c>
      <c r="C146" s="9">
        <f>J84</f>
        <v>-3.8557446464535299</v>
      </c>
      <c r="D146" s="9">
        <f t="shared" ref="D146:E153" si="61">I85</f>
        <v>-2.8101981466527839</v>
      </c>
      <c r="E146">
        <f t="shared" si="61"/>
        <v>4.1355515202387769</v>
      </c>
      <c r="F146" s="4">
        <f>($B$66/$B$65)*(C146-$B$125)</f>
        <v>-14.779256870686371</v>
      </c>
      <c r="G146" s="4">
        <f>($B$66/$B$65)*(E146-$B$125)</f>
        <v>0.71794856959793263</v>
      </c>
      <c r="H146" s="4">
        <f>IF(B146=D146,"V",(C146-E146)/(B146-D146))</f>
        <v>21.420031766693658</v>
      </c>
      <c r="I146" s="4">
        <f>IF(H146="V",0,(-1*B146*H146)+C146)</f>
        <v>64.330085092245042</v>
      </c>
      <c r="J146" s="4">
        <f>IF($F146&gt;=0,B146,IF(AND($F146&lt;0,$G146&gt;=0),IF(H146="V",B146,($B$125-I146)/H146),0))</f>
        <v>-2.8274818602076239</v>
      </c>
      <c r="K146" s="4">
        <f>IF($F146&gt;=0,C146,IF(AND($F146&lt;0,$G146&gt;=0),$B$125,0))</f>
        <v>3.765333826847669</v>
      </c>
      <c r="L146" s="4">
        <f>IF($G146&gt;=0,D146,IF(AND($G146&lt;0,$F146&gt;=0),IF(H146="V",D146,($B$125-I146)/H146),0))</f>
        <v>-2.8101981466527839</v>
      </c>
      <c r="M146" s="4">
        <f>IF($G146&gt;=0,E146,IF(AND($G146&lt;0,$F146&gt;=0),$B$125,0))</f>
        <v>4.1355515202387769</v>
      </c>
      <c r="N146" s="4">
        <f>IF(F146&lt;0,0,F146)</f>
        <v>0</v>
      </c>
      <c r="O146" s="4">
        <f>IF(G146&lt;0,0,G146)</f>
        <v>0.71794856959793263</v>
      </c>
      <c r="P146" s="4">
        <f>(1/6)*(M146-K146)*((N146*((2*J146)+L146))+(O146*(J146+(2*L146))))</f>
        <v>-0.37423714913747691</v>
      </c>
      <c r="Q146" s="4">
        <f>((1/12)*(M146-K146)*(N146*J146*((3*K146)+M146)+N146*L146*(K146+M146)+O146*J146*(K146+M146)+O146*L146*(K146+(3*M146))))</f>
        <v>-1.5014466961484387</v>
      </c>
      <c r="R146" s="4">
        <f>((-1/24)*(M146-K146)*(J146*J146*((3*N146)+O146)+2*J146*L146*(N146+O146)+L146*L146*(N146+(3*O146))))</f>
        <v>-0.52691940886017197</v>
      </c>
    </row>
    <row r="147" spans="1:18" x14ac:dyDescent="0.25">
      <c r="A147" t="s">
        <v>70</v>
      </c>
      <c r="B147" s="9">
        <f t="shared" ref="B147:C153" si="62">D146</f>
        <v>-2.8101981466527839</v>
      </c>
      <c r="C147">
        <f t="shared" si="62"/>
        <v>4.1355515202387769</v>
      </c>
      <c r="D147" s="9">
        <f t="shared" si="61"/>
        <v>3.1832739783664463</v>
      </c>
      <c r="E147">
        <f t="shared" si="61"/>
        <v>3.8557446464535299</v>
      </c>
      <c r="F147" s="4">
        <f t="shared" ref="F147:F153" si="63">($B$66/$B$65)*(C147-$B$125)</f>
        <v>0.71794856959793263</v>
      </c>
      <c r="G147" s="4">
        <f t="shared" ref="G147:G153" si="64">($B$66/$B$65)*(E147-$B$125)</f>
        <v>0.17533013621699467</v>
      </c>
      <c r="H147" s="4">
        <f t="shared" ref="H147:H153" si="65">IF(B147=D147,"V",(C147-E147)/(B147-D147))</f>
        <v>-4.668527156691319E-2</v>
      </c>
      <c r="I147" s="4">
        <f t="shared" ref="I147:I153" si="66">IF(H147="V",0,(-1*B147*H147)+C147)</f>
        <v>4.0043566566054558</v>
      </c>
      <c r="J147" s="4">
        <f t="shared" ref="J147:J153" si="67">IF($F147&gt;=0,B147,IF(AND($F147&lt;0,$G147&gt;=0),IF(H147="V",B147,($B$125-I147)/H147),0))</f>
        <v>-2.8101981466527839</v>
      </c>
      <c r="K147" s="4">
        <f t="shared" ref="K147:K153" si="68">IF($F147&gt;=0,C147,IF(AND($F147&lt;0,$G147&gt;=0),$B$125,0))</f>
        <v>4.1355515202387769</v>
      </c>
      <c r="L147" s="4">
        <f t="shared" ref="L147:L153" si="69">IF($G147&gt;=0,D147,IF(AND($G147&lt;0,$F147&gt;=0),IF(H147="V",D147,($B$125-I147)/H147),0))</f>
        <v>3.1832739783664463</v>
      </c>
      <c r="M147" s="4">
        <f t="shared" ref="M147:M153" si="70">IF($G147&gt;=0,E147,IF(AND($G147&lt;0,$F147&gt;=0),$B$125,0))</f>
        <v>3.8557446464535299</v>
      </c>
      <c r="N147" s="4">
        <f t="shared" ref="N147:O153" si="71">IF(F147&lt;0,0,F147)</f>
        <v>0.71794856959793263</v>
      </c>
      <c r="O147" s="4">
        <f t="shared" si="71"/>
        <v>0.17533013621699467</v>
      </c>
      <c r="P147" s="4">
        <f t="shared" ref="P147:P153" si="72">(1/6)*(M147-K147)*((N147*((2*J147)+L147))+(O147*(J147+(2*L147))))</f>
        <v>5.2519432316663228E-2</v>
      </c>
      <c r="Q147" s="4">
        <f t="shared" ref="Q147:Q153" si="73">((1/12)*(M147-K147)*(N147*J147*((3*K147)+M147)+N147*L147*(K147+M147)+O147*J147*(K147+M147)+O147*L147*(K147+(3*M147))))</f>
        <v>0.22665388054294627</v>
      </c>
      <c r="R147" s="4">
        <f t="shared" ref="R147:R153" si="74">((-1/24)*(M147-K147)*(J147*J147*((3*N147)+O147)+2*J147*L147*(N147+O147)+L147*L147*(N147+(3*O147))))</f>
        <v>0.17508029401891506</v>
      </c>
    </row>
    <row r="148" spans="1:18" x14ac:dyDescent="0.25">
      <c r="A148" t="s">
        <v>71</v>
      </c>
      <c r="B148" s="9">
        <f t="shared" si="62"/>
        <v>3.1832739783664463</v>
      </c>
      <c r="C148">
        <f t="shared" si="62"/>
        <v>3.8557446464535299</v>
      </c>
      <c r="D148" s="9">
        <f t="shared" si="61"/>
        <v>2.8101981466527839</v>
      </c>
      <c r="E148">
        <f t="shared" si="61"/>
        <v>-4.1355515202387769</v>
      </c>
      <c r="F148" s="4">
        <f t="shared" si="63"/>
        <v>0.17533013621699467</v>
      </c>
      <c r="G148" s="4">
        <f t="shared" si="64"/>
        <v>-15.321875304067309</v>
      </c>
      <c r="H148" s="4">
        <f t="shared" si="65"/>
        <v>21.420031766693658</v>
      </c>
      <c r="I148" s="4">
        <f t="shared" si="66"/>
        <v>-64.330085092245042</v>
      </c>
      <c r="J148" s="4">
        <f t="shared" si="67"/>
        <v>3.1832739783664463</v>
      </c>
      <c r="K148" s="4">
        <f t="shared" si="68"/>
        <v>3.8557446464535299</v>
      </c>
      <c r="L148" s="4">
        <f t="shared" si="69"/>
        <v>3.1790531247005589</v>
      </c>
      <c r="M148" s="4">
        <f t="shared" si="70"/>
        <v>3.765333826847669</v>
      </c>
      <c r="N148" s="4">
        <f t="shared" si="71"/>
        <v>0.17533013621699467</v>
      </c>
      <c r="O148" s="4">
        <f t="shared" si="71"/>
        <v>0</v>
      </c>
      <c r="P148" s="4">
        <f t="shared" si="72"/>
        <v>-2.5219066509670356E-2</v>
      </c>
      <c r="Q148" s="4">
        <f t="shared" si="73"/>
        <v>-9.6478423225503124E-2</v>
      </c>
      <c r="R148" s="4">
        <f t="shared" si="74"/>
        <v>4.0121862013580423E-2</v>
      </c>
    </row>
    <row r="149" spans="1:18" x14ac:dyDescent="0.25">
      <c r="A149" t="s">
        <v>72</v>
      </c>
      <c r="B149" s="9">
        <f t="shared" si="62"/>
        <v>2.8101981466527839</v>
      </c>
      <c r="C149">
        <f t="shared" si="62"/>
        <v>-4.1355515202387769</v>
      </c>
      <c r="D149" s="9">
        <f t="shared" si="61"/>
        <v>-3.1832739783664463</v>
      </c>
      <c r="E149">
        <f t="shared" si="61"/>
        <v>-3.8557446464535299</v>
      </c>
      <c r="F149" s="4">
        <f t="shared" si="63"/>
        <v>-15.321875304067309</v>
      </c>
      <c r="G149" s="4">
        <f t="shared" si="64"/>
        <v>-14.779256870686371</v>
      </c>
      <c r="H149" s="4">
        <f t="shared" si="65"/>
        <v>-4.668527156691319E-2</v>
      </c>
      <c r="I149" s="4">
        <f t="shared" si="66"/>
        <v>-4.0043566566054558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-3.1832739783664463</v>
      </c>
      <c r="C150">
        <f t="shared" si="62"/>
        <v>-3.8557446464535299</v>
      </c>
      <c r="D150" s="9">
        <f t="shared" si="61"/>
        <v>-3.1832739783664463</v>
      </c>
      <c r="E150">
        <f t="shared" si="61"/>
        <v>-3.8557446464535299</v>
      </c>
      <c r="F150" s="4">
        <f t="shared" si="63"/>
        <v>-14.779256870686371</v>
      </c>
      <c r="G150" s="4">
        <f t="shared" si="64"/>
        <v>-14.779256870686371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-3.1832739783664463</v>
      </c>
      <c r="C151">
        <f t="shared" si="62"/>
        <v>-3.8557446464535299</v>
      </c>
      <c r="D151" s="9">
        <f t="shared" si="61"/>
        <v>-3.1832739783664463</v>
      </c>
      <c r="E151">
        <f t="shared" si="61"/>
        <v>-3.8557446464535299</v>
      </c>
      <c r="F151" s="4">
        <f t="shared" si="63"/>
        <v>-14.779256870686371</v>
      </c>
      <c r="G151" s="4">
        <f t="shared" si="64"/>
        <v>-14.779256870686371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-3.1832739783664463</v>
      </c>
      <c r="C152">
        <f t="shared" si="62"/>
        <v>-3.8557446464535299</v>
      </c>
      <c r="D152" s="9">
        <f t="shared" si="61"/>
        <v>-3.1832739783664463</v>
      </c>
      <c r="E152">
        <f t="shared" si="61"/>
        <v>-3.8557446464535299</v>
      </c>
      <c r="F152" s="4">
        <f t="shared" si="63"/>
        <v>-14.779256870686371</v>
      </c>
      <c r="G152" s="4">
        <f t="shared" si="64"/>
        <v>-14.779256870686371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-3.1832739783664463</v>
      </c>
      <c r="C153">
        <f t="shared" si="62"/>
        <v>-3.8557446464535299</v>
      </c>
      <c r="D153" s="9">
        <f t="shared" si="61"/>
        <v>-3.1832739783664463</v>
      </c>
      <c r="E153">
        <f t="shared" si="61"/>
        <v>-3.8557446464535299</v>
      </c>
      <c r="F153" s="4">
        <f t="shared" si="63"/>
        <v>-14.779256870686371</v>
      </c>
      <c r="G153" s="4">
        <f t="shared" si="64"/>
        <v>-14.779256870686371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-0.34693678333048406</v>
      </c>
      <c r="Q154" s="4">
        <f t="shared" ref="Q154:R154" si="75">SUM(Q146:Q153)</f>
        <v>-1.3712712388309956</v>
      </c>
      <c r="R154" s="4">
        <f t="shared" si="75"/>
        <v>-0.31171725282767648</v>
      </c>
    </row>
    <row r="156" spans="1:18" x14ac:dyDescent="0.25">
      <c r="O156" t="s">
        <v>96</v>
      </c>
      <c r="P156" s="1">
        <f>-1*R154/P154</f>
        <v>-0.89848429974846955</v>
      </c>
    </row>
    <row r="157" spans="1:18" x14ac:dyDescent="0.25">
      <c r="O157" t="s">
        <v>97</v>
      </c>
      <c r="P157" s="1">
        <f>Q154/P154</f>
        <v>3.9525103843623115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-2.0942281572233767E-6</v>
      </c>
      <c r="C159" t="s">
        <v>36</v>
      </c>
    </row>
    <row r="160" spans="1:18" x14ac:dyDescent="0.25">
      <c r="A160" s="1" t="s">
        <v>106</v>
      </c>
      <c r="B160" s="4">
        <f>Q140+I122+Q154-O122</f>
        <v>1167.7244032299075</v>
      </c>
      <c r="C160" t="s">
        <v>102</v>
      </c>
    </row>
    <row r="161" spans="1:9" x14ac:dyDescent="0.25">
      <c r="A161" s="1" t="s">
        <v>107</v>
      </c>
      <c r="B161" s="4">
        <f>R140+J122+R154-P122</f>
        <v>31.177700607116474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-2.0942281572233767E-6</v>
      </c>
      <c r="C164" t="s">
        <v>36</v>
      </c>
      <c r="E164" s="8">
        <f>B2-B164</f>
        <v>2.0942281572233767E-6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1164.9999875874128</v>
      </c>
      <c r="C165" t="s">
        <v>102</v>
      </c>
      <c r="E165" s="8">
        <f>B3+B165</f>
        <v>-1.2412587238941342E-5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85.599999036908585</v>
      </c>
      <c r="C166" t="s">
        <v>102</v>
      </c>
      <c r="E166" s="8">
        <f>B4+B166</f>
        <v>-9.630914092895182E-7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6.8911462319585066</v>
      </c>
      <c r="B169" s="1">
        <f ca="1">IF(E122=0,0,(MIN(H110:H121)*B65)/(B55*B56*E122))</f>
        <v>-6.8911463341707284</v>
      </c>
      <c r="C169" s="3">
        <f ca="1">A169+B169</f>
        <v>-1.0221222179751521E-7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6.9195206603113489E-10</v>
      </c>
      <c r="C175" s="27">
        <f>B65*SQRT(I175)</f>
        <v>5.2706799119990835E-8</v>
      </c>
      <c r="D175" s="27">
        <f>B66*SQRT(I175)</f>
        <v>1.0221221651961131E-7</v>
      </c>
      <c r="E175" s="27">
        <f>B67*SQRT(I175)</f>
        <v>5.4421597901291562E-7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4.6651399466886803E-2</v>
      </c>
      <c r="C176" s="3">
        <f>B65+C175</f>
        <v>3.553491724464354</v>
      </c>
      <c r="D176" s="3">
        <f>D175+B66</f>
        <v>6.8911463341707231</v>
      </c>
      <c r="E176" s="3">
        <f>B67+E175</f>
        <v>36.691034364296613</v>
      </c>
      <c r="F176" s="16" t="s">
        <v>125</v>
      </c>
    </row>
    <row r="177" spans="1:13" x14ac:dyDescent="0.25">
      <c r="B177" s="27">
        <f>B176-B64</f>
        <v>6.9195206509053975E-10</v>
      </c>
      <c r="C177" s="27">
        <f>C176-B65</f>
        <v>5.2706798925328258E-8</v>
      </c>
      <c r="D177" s="27">
        <f>D176-B66</f>
        <v>1.0221221646844469E-7</v>
      </c>
      <c r="E177" s="27">
        <f>E176-B67</f>
        <v>5.4421597894815932E-7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-20.489020256949715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7.3188256949638255</v>
      </c>
      <c r="B181" s="25">
        <f>(d_alpha_p!E136-d_alpha_m!E136)/(2*B177)</f>
        <v>7.3188256949638255</v>
      </c>
      <c r="C181" s="25">
        <f>(d_alpha_p!E137-d_alpha_m!E137)/(2*B177)</f>
        <v>7.3188256949638255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-2.0942281572233767E-6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1.2412587238941342E-5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9.630914092895182E-7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1.0221222179751521E-7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-20.489020256949715</v>
      </c>
      <c r="B190" s="25">
        <f>A181</f>
        <v>7.3188256949638255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7.3188256949638255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7.3188256949638255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-20.489020256949715</v>
      </c>
      <c r="B201" s="25">
        <f t="shared" ref="B201:C201" si="77">B190</f>
        <v>7.3188256949638255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7.3188256949638255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7.3188256949638255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-1165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-2.54737609329446</v>
      </c>
      <c r="J3" t="s">
        <v>11</v>
      </c>
    </row>
    <row r="4" spans="1:29" x14ac:dyDescent="0.25">
      <c r="A4" s="10" t="s">
        <v>80</v>
      </c>
      <c r="B4" s="17">
        <f>'Rigid Bearing Plate Analysis'!B4</f>
        <v>-85.6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-0.18717201166180752</v>
      </c>
      <c r="J4" t="s">
        <v>11</v>
      </c>
    </row>
    <row r="5" spans="1:29" x14ac:dyDescent="0.25">
      <c r="A5" s="10" t="s">
        <v>104</v>
      </c>
      <c r="B5" s="20">
        <f>ATAN2(B3,B4)</f>
        <v>-3.0682480597090245</v>
      </c>
      <c r="C5" t="s">
        <v>19</v>
      </c>
      <c r="I5">
        <f>SUM(I2:I4)</f>
        <v>-2.7345481049562674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2.54737609329446</v>
      </c>
      <c r="AB14">
        <f>$B$4/Z14</f>
        <v>-0.18717201166180752</v>
      </c>
      <c r="AC14">
        <f>$I$2+AA14+AB14</f>
        <v>2.3602040816326526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-2.54737609329446</v>
      </c>
      <c r="AB15">
        <f t="shared" ref="AB15:AB21" si="11">$B$4/Z15</f>
        <v>-0.18717201166180752</v>
      </c>
      <c r="AC15">
        <f t="shared" ref="AC15:AC20" si="12">$I$2+AA15+AB15</f>
        <v>-2.7345481049562674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-2.54737609329446</v>
      </c>
      <c r="AB16">
        <f t="shared" si="11"/>
        <v>0.18717201166180752</v>
      </c>
      <c r="AC16">
        <f t="shared" si="12"/>
        <v>-2.3602040816326526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2.54737609329446</v>
      </c>
      <c r="AB17">
        <f t="shared" si="11"/>
        <v>0.18717201166180752</v>
      </c>
      <c r="AC17">
        <f t="shared" si="12"/>
        <v>2.7345481049562674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2.54737609329446</v>
      </c>
      <c r="AB18">
        <f t="shared" si="11"/>
        <v>0.18717201166180752</v>
      </c>
      <c r="AC18">
        <f t="shared" si="12"/>
        <v>2.7345481049562674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2.54737609329446</v>
      </c>
      <c r="AB19">
        <f t="shared" si="11"/>
        <v>0.18717201166180752</v>
      </c>
      <c r="AC19">
        <f t="shared" si="12"/>
        <v>2.7345481049562674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2.54737609329446</v>
      </c>
      <c r="AB20">
        <f t="shared" si="11"/>
        <v>0.18717201166180752</v>
      </c>
      <c r="AC20">
        <f t="shared" si="12"/>
        <v>2.7345481049562674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0.18717201166180752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3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11</v>
      </c>
      <c r="D26" s="5">
        <f>((B25*C26)-(B26*C25))*0.5</f>
        <v>16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11</v>
      </c>
      <c r="D27" s="5">
        <f t="shared" ref="D27:D33" si="13">((B26*C27)-(B27*C26))*0.5</f>
        <v>-33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3</v>
      </c>
      <c r="D28" s="5">
        <f t="shared" si="13"/>
        <v>-40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3</v>
      </c>
      <c r="D29" s="5">
        <f t="shared" si="13"/>
        <v>9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3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3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3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4</v>
      </c>
      <c r="C33" s="17">
        <f>'Rigid Bearing Plate Analysis'!C33</f>
        <v>3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-48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4.6651399466886803E-2</v>
      </c>
      <c r="C64" t="s">
        <v>19</v>
      </c>
      <c r="D64" t="s">
        <v>34</v>
      </c>
      <c r="H64" s="17">
        <f>DEGREES(B64)</f>
        <v>2.6729282978314726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3.5534916717575551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6.8911463341707249</v>
      </c>
      <c r="C66" t="s">
        <v>11</v>
      </c>
      <c r="D66">
        <f>B66/B53</f>
        <v>1.6913774140270336E-3</v>
      </c>
      <c r="I66" s="20"/>
    </row>
    <row r="67" spans="1:18" x14ac:dyDescent="0.25">
      <c r="A67" s="1" t="s">
        <v>37</v>
      </c>
      <c r="B67" s="17">
        <f>'Rigid Bearing Plate Analysis'!B67</f>
        <v>36.691033820080634</v>
      </c>
      <c r="C67" t="s">
        <v>36</v>
      </c>
      <c r="D67" t="s">
        <v>122</v>
      </c>
      <c r="G67" s="20">
        <f ca="1">($B$56*$B$66*$B$55*$E$122)/$B$65</f>
        <v>36.691033853543289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4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4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-4</v>
      </c>
      <c r="Q76" cm="1">
        <f t="array" ref="Q76">(-1*MAX(ABS(B84:C91)))-1</f>
        <v>-8.3188255032177381</v>
      </c>
      <c r="R76">
        <f>Q76</f>
        <v>-8.3188255032177381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-4</v>
      </c>
      <c r="Q77">
        <f>-1*Q76</f>
        <v>8.3188255032177381</v>
      </c>
      <c r="R77">
        <f>Q77</f>
        <v>8.3188255032177381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-4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-4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-7.3188255032177372</v>
      </c>
      <c r="C84" s="1">
        <f t="shared" ref="C84:C92" si="23">(-1*B73*SIN($B$64))+(C73*COS($B$64))</f>
        <v>-6.6659427880420372</v>
      </c>
      <c r="H84" s="1">
        <f t="shared" ref="H84:H92" si="24">H73</f>
        <v>1</v>
      </c>
      <c r="I84" s="4">
        <f>(I73*COS($B$64))+(J73*SIN($B$64))</f>
        <v>-3.183273981034437</v>
      </c>
      <c r="J84" s="1">
        <f>(-1*I73*SIN($B$64))+(J73*COS($B$64))</f>
        <v>-3.8557446442508567</v>
      </c>
    </row>
    <row r="85" spans="1:10" x14ac:dyDescent="0.25">
      <c r="A85" s="1">
        <f t="shared" si="21"/>
        <v>2</v>
      </c>
      <c r="B85" s="4">
        <f t="shared" si="22"/>
        <v>6.6659427880420372</v>
      </c>
      <c r="C85" s="1">
        <f t="shared" si="23"/>
        <v>-7.3188255032177372</v>
      </c>
      <c r="H85" s="1">
        <f t="shared" si="24"/>
        <v>2</v>
      </c>
      <c r="I85" s="4">
        <f t="shared" ref="I85:I92" si="25">(I74*COS($B$64))+(J74*SIN($B$64))</f>
        <v>-2.81019814379118</v>
      </c>
      <c r="J85" s="1">
        <f t="shared" ref="J85:J92" si="26">(-1*I74*SIN($B$64))+(J74*COS($B$64))</f>
        <v>4.1355515221832997</v>
      </c>
    </row>
    <row r="86" spans="1:10" x14ac:dyDescent="0.25">
      <c r="A86" s="1">
        <f t="shared" si="21"/>
        <v>3</v>
      </c>
      <c r="B86" s="4">
        <f t="shared" si="22"/>
        <v>7.3188255032177372</v>
      </c>
      <c r="C86" s="1">
        <f t="shared" si="23"/>
        <v>6.6659427880420372</v>
      </c>
      <c r="H86" s="1">
        <f t="shared" si="24"/>
        <v>3</v>
      </c>
      <c r="I86" s="4">
        <f t="shared" si="25"/>
        <v>3.183273981034437</v>
      </c>
      <c r="J86" s="1">
        <f t="shared" si="26"/>
        <v>3.8557446442508567</v>
      </c>
    </row>
    <row r="87" spans="1:10" x14ac:dyDescent="0.25">
      <c r="A87" s="1">
        <f t="shared" si="21"/>
        <v>4</v>
      </c>
      <c r="B87" s="4">
        <f t="shared" si="22"/>
        <v>-6.6659427880420372</v>
      </c>
      <c r="C87" s="1">
        <f t="shared" si="23"/>
        <v>7.3188255032177372</v>
      </c>
      <c r="H87" s="1">
        <f t="shared" si="24"/>
        <v>4</v>
      </c>
      <c r="I87" s="4">
        <f t="shared" si="25"/>
        <v>2.81019814379118</v>
      </c>
      <c r="J87" s="1">
        <f t="shared" si="26"/>
        <v>-4.1355515221832997</v>
      </c>
    </row>
    <row r="88" spans="1:10" x14ac:dyDescent="0.25">
      <c r="A88" s="1">
        <f t="shared" si="21"/>
        <v>5</v>
      </c>
      <c r="B88" s="4">
        <f t="shared" si="22"/>
        <v>-7.3188255032177372</v>
      </c>
      <c r="C88" s="1">
        <f t="shared" si="23"/>
        <v>-6.6659427880420372</v>
      </c>
      <c r="H88" s="1">
        <f t="shared" si="24"/>
        <v>5</v>
      </c>
      <c r="I88" s="4">
        <f t="shared" si="25"/>
        <v>-3.183273981034437</v>
      </c>
      <c r="J88" s="1">
        <f t="shared" si="26"/>
        <v>-3.8557446442508567</v>
      </c>
    </row>
    <row r="89" spans="1:10" x14ac:dyDescent="0.25">
      <c r="A89" s="1">
        <f t="shared" si="21"/>
        <v>6</v>
      </c>
      <c r="B89" s="4">
        <f t="shared" si="22"/>
        <v>-7.3188255032177372</v>
      </c>
      <c r="C89" s="1">
        <f t="shared" si="23"/>
        <v>-6.6659427880420372</v>
      </c>
      <c r="H89" s="1">
        <f t="shared" si="24"/>
        <v>6</v>
      </c>
      <c r="I89" s="4">
        <f t="shared" si="25"/>
        <v>-3.183273981034437</v>
      </c>
      <c r="J89" s="1">
        <f t="shared" si="26"/>
        <v>-3.8557446442508567</v>
      </c>
    </row>
    <row r="90" spans="1:10" x14ac:dyDescent="0.25">
      <c r="A90" s="1">
        <f t="shared" si="21"/>
        <v>7</v>
      </c>
      <c r="B90" s="4">
        <f t="shared" si="22"/>
        <v>-7.3188255032177372</v>
      </c>
      <c r="C90" s="1">
        <f t="shared" si="23"/>
        <v>-6.6659427880420372</v>
      </c>
      <c r="H90" s="1">
        <f t="shared" si="24"/>
        <v>7</v>
      </c>
      <c r="I90" s="4">
        <f t="shared" si="25"/>
        <v>-3.183273981034437</v>
      </c>
      <c r="J90" s="1">
        <f t="shared" si="26"/>
        <v>-3.8557446442508567</v>
      </c>
    </row>
    <row r="91" spans="1:10" x14ac:dyDescent="0.25">
      <c r="A91" s="1">
        <f t="shared" si="21"/>
        <v>8</v>
      </c>
      <c r="B91" s="4">
        <f t="shared" si="22"/>
        <v>-7.3188255032177372</v>
      </c>
      <c r="C91" s="1">
        <f t="shared" si="23"/>
        <v>-6.6659427880420372</v>
      </c>
      <c r="H91" s="1">
        <f t="shared" si="24"/>
        <v>8</v>
      </c>
      <c r="I91" s="4">
        <f t="shared" si="25"/>
        <v>-3.183273981034437</v>
      </c>
      <c r="J91" s="1">
        <f t="shared" si="26"/>
        <v>-3.8557446442508567</v>
      </c>
    </row>
    <row r="92" spans="1:10" x14ac:dyDescent="0.25">
      <c r="A92" s="1">
        <f t="shared" si="21"/>
        <v>9</v>
      </c>
      <c r="B92" s="4">
        <f t="shared" si="22"/>
        <v>-7.3188255032177372</v>
      </c>
      <c r="C92" s="1">
        <f t="shared" si="23"/>
        <v>-6.6659427880420372</v>
      </c>
      <c r="H92" s="1">
        <f t="shared" si="24"/>
        <v>9</v>
      </c>
      <c r="I92" s="4">
        <f t="shared" si="25"/>
        <v>-3.183273981034437</v>
      </c>
      <c r="J92" s="1">
        <f t="shared" si="26"/>
        <v>-3.8557446442508567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-4.1821860018387067</v>
      </c>
      <c r="C110" s="1">
        <f>(-1*B95*SIN($B$64))+(C95*COS($B$64))</f>
        <v>-3.8091101645954497</v>
      </c>
      <c r="D110" t="str">
        <f t="shared" ref="D110" si="31">D95</f>
        <v>y</v>
      </c>
      <c r="E110" s="4">
        <f t="shared" ref="E110:E121" si="32">IF($D110="y",$B$125-C110,0)</f>
        <v>7.5744439960556313</v>
      </c>
      <c r="F110" s="1">
        <f>IF($D110="y",B110,NA())</f>
        <v>-4.1821860018387067</v>
      </c>
      <c r="G110" s="1">
        <f>IF($D110="y",C110,NA())</f>
        <v>-3.8091101645954497</v>
      </c>
      <c r="H110">
        <f t="shared" ref="H110:H121" si="33">IF($E$122=0,0,-1*MAX(($B$67/$E$122)*(E110),0))</f>
        <v>-34.968667792833443</v>
      </c>
      <c r="I110">
        <f>H110*C110</f>
        <v>133.19950793204339</v>
      </c>
      <c r="J110">
        <f>H110*B110*-1</f>
        <v>-146.24547294613606</v>
      </c>
      <c r="K110">
        <f ca="1">H110/$B$55</f>
        <v>-104.55239393902983</v>
      </c>
      <c r="L110">
        <f ca="1">K110/$B$54</f>
        <v>-3.6052549634148215E-3</v>
      </c>
      <c r="M110">
        <f t="shared" ref="M110:M121" si="34">IFERROR(($D$66/$B$65)*(G110-$B$125),0)</f>
        <v>-3.6052549667028571E-3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3.8091101645954497</v>
      </c>
      <c r="C111" s="1">
        <f t="shared" ref="C111:C121" si="37">(-1*B96*SIN($B$64))+(C96*COS($B$64))</f>
        <v>-4.1821860018387067</v>
      </c>
      <c r="D111" t="str">
        <f t="shared" si="35"/>
        <v>y</v>
      </c>
      <c r="E111" s="4">
        <f t="shared" si="32"/>
        <v>7.9475198332988892</v>
      </c>
      <c r="F111" s="1">
        <f t="shared" ref="F111:G121" si="38">IF($D111="y",B111,NA())</f>
        <v>3.8091101645954497</v>
      </c>
      <c r="G111" s="1">
        <f t="shared" si="38"/>
        <v>-4.1821860018387067</v>
      </c>
      <c r="H111">
        <f t="shared" si="33"/>
        <v>-36.691033820080634</v>
      </c>
      <c r="I111">
        <f t="shared" ref="I111:I121" si="39">H111*C111</f>
        <v>153.44872803533178</v>
      </c>
      <c r="J111">
        <f t="shared" ref="J111:J121" si="40">H111*B111*-1</f>
        <v>139.76018987358455</v>
      </c>
      <c r="K111">
        <f ca="1">H111/$B$55</f>
        <v>-109.70207514664094</v>
      </c>
      <c r="L111">
        <f t="shared" ref="L111:L121" ca="1" si="41">K111/$B$54</f>
        <v>-3.782830177470377E-3</v>
      </c>
      <c r="M111">
        <f t="shared" si="34"/>
        <v>-3.7828301809203629E-3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-3.8091101645954497</v>
      </c>
      <c r="C112" s="1">
        <f t="shared" si="37"/>
        <v>4.1821860018387067</v>
      </c>
      <c r="D112" t="str">
        <f t="shared" si="35"/>
        <v>y</v>
      </c>
      <c r="E112" s="4">
        <f t="shared" si="32"/>
        <v>-0.41685217037852462</v>
      </c>
      <c r="F112" s="1">
        <f t="shared" si="38"/>
        <v>-3.8091101645954497</v>
      </c>
      <c r="G112" s="1">
        <f t="shared" si="38"/>
        <v>4.1821860018387067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1.9841170631410706E-4</v>
      </c>
      <c r="N112">
        <f t="shared" si="42"/>
        <v>0.41913589736537421</v>
      </c>
      <c r="O112">
        <f t="shared" si="43"/>
        <v>1.7529042828295729</v>
      </c>
      <c r="P112">
        <f t="shared" si="44"/>
        <v>1.5965348070012821</v>
      </c>
    </row>
    <row r="113" spans="1:16" x14ac:dyDescent="0.25">
      <c r="A113">
        <f t="shared" si="35"/>
        <v>4</v>
      </c>
      <c r="B113" s="1">
        <f t="shared" si="36"/>
        <v>4.1821860018387067</v>
      </c>
      <c r="C113" s="1">
        <f t="shared" si="37"/>
        <v>3.8091101645954497</v>
      </c>
      <c r="D113" t="str">
        <f t="shared" si="35"/>
        <v>y</v>
      </c>
      <c r="E113" s="4">
        <f t="shared" si="32"/>
        <v>-4.3776333135267631E-2</v>
      </c>
      <c r="F113" s="1">
        <f t="shared" si="38"/>
        <v>4.1821860018387067</v>
      </c>
      <c r="G113" s="1">
        <f t="shared" si="38"/>
        <v>3.8091101645954497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2.083649209660132E-5</v>
      </c>
      <c r="N113">
        <f t="shared" si="42"/>
        <v>4.4016162025388439E-2</v>
      </c>
      <c r="O113">
        <f t="shared" si="43"/>
        <v>0.16766241017738734</v>
      </c>
      <c r="P113">
        <f t="shared" si="44"/>
        <v>-0.18408377667724399</v>
      </c>
    </row>
    <row r="114" spans="1:16" x14ac:dyDescent="0.25">
      <c r="A114">
        <f t="shared" si="35"/>
        <v>5</v>
      </c>
      <c r="B114" s="1">
        <f t="shared" si="36"/>
        <v>-4.0655998027001887</v>
      </c>
      <c r="C114" s="1">
        <f t="shared" si="37"/>
        <v>-1.311830112584776</v>
      </c>
      <c r="D114" t="str">
        <f t="shared" si="35"/>
        <v>y</v>
      </c>
      <c r="E114" s="4">
        <f t="shared" si="32"/>
        <v>5.0771639440449583</v>
      </c>
      <c r="F114" s="1">
        <f t="shared" si="38"/>
        <v>-4.0655998027001887</v>
      </c>
      <c r="G114" s="1">
        <f t="shared" si="38"/>
        <v>-1.311830112584776</v>
      </c>
      <c r="H114">
        <f t="shared" si="33"/>
        <v>-23.439563271114608</v>
      </c>
      <c r="I114">
        <f t="shared" si="39"/>
        <v>30.748724924884257</v>
      </c>
      <c r="J114">
        <f t="shared" si="40"/>
        <v>-95.29588381042214</v>
      </c>
      <c r="K114">
        <f t="shared" ca="1" si="45"/>
        <v>-70.081664746251306</v>
      </c>
      <c r="L114">
        <f t="shared" ca="1" si="41"/>
        <v>-2.4166091291810796E-3</v>
      </c>
      <c r="M114">
        <f t="shared" si="34"/>
        <v>-2.4166091313850562E-3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3.9256963637339677</v>
      </c>
      <c r="C115" s="1">
        <f t="shared" si="37"/>
        <v>-1.6849059498280325</v>
      </c>
      <c r="D115" t="str">
        <f t="shared" si="35"/>
        <v>y</v>
      </c>
      <c r="E115" s="4">
        <f t="shared" si="32"/>
        <v>5.4502397812882144</v>
      </c>
      <c r="F115" s="1">
        <f t="shared" si="38"/>
        <v>3.9256963637339677</v>
      </c>
      <c r="G115" s="1">
        <f t="shared" si="38"/>
        <v>-1.6849059498280325</v>
      </c>
      <c r="H115">
        <f t="shared" si="33"/>
        <v>-25.161929298361791</v>
      </c>
      <c r="I115">
        <f t="shared" si="39"/>
        <v>42.395484383962071</v>
      </c>
      <c r="J115">
        <f t="shared" si="40"/>
        <v>98.77809435111007</v>
      </c>
      <c r="K115">
        <f t="shared" ca="1" si="45"/>
        <v>-75.231345953862402</v>
      </c>
      <c r="L115">
        <f t="shared" ca="1" si="41"/>
        <v>-2.5941843432366347E-3</v>
      </c>
      <c r="M115">
        <f t="shared" si="34"/>
        <v>-2.5941843456025611E-3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-3.9256963637339677</v>
      </c>
      <c r="C116" s="1">
        <f t="shared" si="37"/>
        <v>1.6849059498280325</v>
      </c>
      <c r="D116" t="str">
        <f t="shared" si="35"/>
        <v>y</v>
      </c>
      <c r="E116" s="4">
        <f t="shared" si="32"/>
        <v>2.0804278816321498</v>
      </c>
      <c r="F116" s="1">
        <f t="shared" si="38"/>
        <v>-3.9256963637339677</v>
      </c>
      <c r="G116" s="1">
        <f t="shared" si="38"/>
        <v>1.6849059498280325</v>
      </c>
      <c r="H116">
        <f t="shared" si="33"/>
        <v>-9.6046378450520056</v>
      </c>
      <c r="I116">
        <f t="shared" si="39"/>
        <v>-16.182911451071618</v>
      </c>
      <c r="J116">
        <f t="shared" si="40"/>
        <v>-37.704891863302308</v>
      </c>
      <c r="K116">
        <f t="shared" ca="1" si="45"/>
        <v>-28.716789714917088</v>
      </c>
      <c r="L116">
        <f t="shared" ca="1" si="41"/>
        <v>-9.9023412810058916E-4</v>
      </c>
      <c r="M116">
        <f t="shared" si="34"/>
        <v>-9.9023412900369444E-4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4.0655998027001887</v>
      </c>
      <c r="C117" s="1">
        <f t="shared" si="37"/>
        <v>1.311830112584776</v>
      </c>
      <c r="D117" t="str">
        <f t="shared" si="35"/>
        <v>y</v>
      </c>
      <c r="E117" s="4">
        <f t="shared" si="32"/>
        <v>2.4535037188754059</v>
      </c>
      <c r="F117" s="1">
        <f t="shared" si="38"/>
        <v>4.0655998027001887</v>
      </c>
      <c r="G117" s="1">
        <f t="shared" si="38"/>
        <v>1.311830112584776</v>
      </c>
      <c r="H117">
        <f t="shared" si="33"/>
        <v>-11.327003872299189</v>
      </c>
      <c r="I117">
        <f t="shared" si="39"/>
        <v>-14.859104765046439</v>
      </c>
      <c r="J117">
        <f t="shared" si="40"/>
        <v>46.051064708403857</v>
      </c>
      <c r="K117">
        <f t="shared" ca="1" si="45"/>
        <v>-33.866470922528173</v>
      </c>
      <c r="L117">
        <f t="shared" ca="1" si="41"/>
        <v>-1.1678093421561438E-3</v>
      </c>
      <c r="M117">
        <f t="shared" si="34"/>
        <v>-1.1678093432211998E-3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-7.3188255032177372</v>
      </c>
      <c r="C118" s="1">
        <f t="shared" si="37"/>
        <v>-6.6659427880420372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-7.3188255032177372</v>
      </c>
      <c r="C119" s="1">
        <f t="shared" si="37"/>
        <v>-6.6659427880420372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-7.3188255032177372</v>
      </c>
      <c r="C120" s="1">
        <f t="shared" si="37"/>
        <v>-6.6659427880420372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-7.3188255032177372</v>
      </c>
      <c r="C121" s="1">
        <f t="shared" si="37"/>
        <v>-6.6659427880420372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7.9475198332988892</v>
      </c>
      <c r="H122">
        <f>SUM(H110:H121)</f>
        <v>-141.19283589974168</v>
      </c>
      <c r="I122">
        <f t="shared" ref="I122:J122" si="46">SUM(I110:I121)</f>
        <v>328.75042906010344</v>
      </c>
      <c r="J122">
        <f t="shared" si="46"/>
        <v>5.3431003132379686</v>
      </c>
      <c r="L122">
        <f ca="1">MIN(L110:L121)</f>
        <v>-3.782830177470377E-3</v>
      </c>
      <c r="M122">
        <f>MIN(M110:M121)</f>
        <v>-3.7828301809203629E-3</v>
      </c>
      <c r="N122">
        <f>SUM(N110:N121)</f>
        <v>0.46315205939076265</v>
      </c>
      <c r="O122">
        <f>SUM(O110:O121)</f>
        <v>1.9205666930069603</v>
      </c>
      <c r="P122">
        <f>SUM(P110:P121)</f>
        <v>1.4124510303240381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3.7653338314601821</v>
      </c>
      <c r="F125" s="1" t="s">
        <v>27</v>
      </c>
      <c r="G125" s="1" t="s">
        <v>28</v>
      </c>
    </row>
    <row r="126" spans="1:16" x14ac:dyDescent="0.25">
      <c r="F126" s="4">
        <f>MIN(B84:B90)-1</f>
        <v>-8.3188255032177381</v>
      </c>
      <c r="G126" s="4">
        <f>B125</f>
        <v>3.7653338314601821</v>
      </c>
    </row>
    <row r="127" spans="1:16" x14ac:dyDescent="0.25">
      <c r="F127" s="4">
        <f>MAX(B84:B90)+1</f>
        <v>8.3188255032177381</v>
      </c>
      <c r="G127" s="4">
        <f>G126</f>
        <v>3.7653338314601821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-7.3188255032177372</v>
      </c>
      <c r="C132" s="4">
        <f>C84</f>
        <v>-6.6659427880420372</v>
      </c>
      <c r="D132" s="4">
        <f t="shared" ref="D132:E139" si="47">B85</f>
        <v>6.6659427880420372</v>
      </c>
      <c r="E132" s="4">
        <f t="shared" si="47"/>
        <v>-7.3188255032177372</v>
      </c>
      <c r="F132" s="4">
        <f t="shared" ref="F132:F139" si="48">($B$66/$B$65)*(C132-$B$125)</f>
        <v>-20.228963587706957</v>
      </c>
      <c r="G132" s="4">
        <f t="shared" ref="G132:G139" si="49">($B$66/$B$65)*(E132-$B$125)</f>
        <v>-21.495073303141073</v>
      </c>
      <c r="H132" s="4">
        <f>IF(B132=D132,"V",(C132-E132)/(B132-D132))</f>
        <v>-4.6685272260373438E-2</v>
      </c>
      <c r="I132" s="4">
        <f>IF(H132="V",0,(-1*B132*H132)+C132)</f>
        <v>-7.0076241492859221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6.6659427880420372</v>
      </c>
      <c r="C133" s="4">
        <f t="shared" si="50"/>
        <v>-7.3188255032177372</v>
      </c>
      <c r="D133" s="4">
        <f t="shared" si="47"/>
        <v>7.3188255032177372</v>
      </c>
      <c r="E133" s="4">
        <f t="shared" si="47"/>
        <v>6.6659427880420372</v>
      </c>
      <c r="F133" s="4">
        <f t="shared" si="48"/>
        <v>-21.495073303141073</v>
      </c>
      <c r="G133" s="4">
        <f t="shared" si="49"/>
        <v>5.6250366187366101</v>
      </c>
      <c r="H133" s="4">
        <f t="shared" ref="H133:H139" si="51">IF(B133=D133,"V",(C133-E133)/(B133-D133))</f>
        <v>21.420031448521769</v>
      </c>
      <c r="I133" s="4">
        <f t="shared" ref="I133:I139" si="52">IF(H133="V",0,(-1*B133*H133)+C133)</f>
        <v>-150.10352965712505</v>
      </c>
      <c r="J133" s="4">
        <f t="shared" ref="J133:J139" si="53">IF($F133&gt;=0,B133,IF(AND($F133&lt;0,$G133&gt;=0),IF(H133="V",B133,($B$125-I133)/H133),0))</f>
        <v>7.1834097843588349</v>
      </c>
      <c r="K133" s="4">
        <f t="shared" ref="K133:K139" si="54">IF($F133&gt;=0,C133,IF(AND($F133&lt;0,$G133&gt;=0),$B$125,0))</f>
        <v>3.7653338314601821</v>
      </c>
      <c r="L133" s="4">
        <f t="shared" ref="L133:L139" si="55">IF($G133&gt;=0,D133,IF(AND($G133&lt;0,$F133&gt;=0),IF(H133="V",D133,($B$125-I133)/H133),0))</f>
        <v>7.3188255032177372</v>
      </c>
      <c r="M133" s="4">
        <f t="shared" ref="M133:M139" si="56">IF($G133&gt;=0,E133,IF(AND($G133&lt;0,$F133&gt;=0),$B$125,0))</f>
        <v>6.6659427880420372</v>
      </c>
      <c r="N133" s="4">
        <f t="shared" ref="N133:O139" si="57">IF(F133&lt;0,0,F133)</f>
        <v>0</v>
      </c>
      <c r="O133" s="4">
        <f t="shared" si="57"/>
        <v>5.6250366187366101</v>
      </c>
      <c r="P133" s="4">
        <f t="shared" ref="P133:P139" si="58">(1/6)*(M133-K133)*((N133*((2*J133)+L133))+(O133*(J133+(2*L133))))</f>
        <v>59.338852891927978</v>
      </c>
      <c r="Q133" s="4">
        <f t="shared" ref="Q133:Q139" si="59">((1/12)*(M133-K133)*(N133*J133*((3*K133)+M133)+N133*L133*(K133+M133)+O133*J133*(K133+M133)+O133*L133*(K133+(3*M133))))</f>
        <v>338.35448304469696</v>
      </c>
      <c r="R133" s="4">
        <f t="shared" ref="R133:R139" si="60">((-1/24)*(M133-K133)*(J133*J133*((3*N133)+O133)+2*J133*L133*(N133+O133)+L133*L133*(N133+(3*O133))))</f>
        <v>-215.81027483892942</v>
      </c>
    </row>
    <row r="134" spans="1:18" x14ac:dyDescent="0.25">
      <c r="A134" t="s">
        <v>71</v>
      </c>
      <c r="B134" s="4">
        <f t="shared" si="50"/>
        <v>7.3188255032177372</v>
      </c>
      <c r="C134" s="4">
        <f t="shared" si="50"/>
        <v>6.6659427880420372</v>
      </c>
      <c r="D134" s="4">
        <f t="shared" si="47"/>
        <v>-6.6659427880420372</v>
      </c>
      <c r="E134" s="4">
        <f t="shared" si="47"/>
        <v>7.3188255032177372</v>
      </c>
      <c r="F134" s="4">
        <f t="shared" si="48"/>
        <v>5.6250366187366101</v>
      </c>
      <c r="G134" s="4">
        <f t="shared" si="49"/>
        <v>6.8911463341707249</v>
      </c>
      <c r="H134" s="4">
        <f t="shared" si="51"/>
        <v>-4.6685272260373438E-2</v>
      </c>
      <c r="I134" s="4">
        <f t="shared" si="52"/>
        <v>7.0076241492859221</v>
      </c>
      <c r="J134" s="4">
        <f t="shared" si="53"/>
        <v>7.3188255032177372</v>
      </c>
      <c r="K134" s="4">
        <f t="shared" si="54"/>
        <v>6.6659427880420372</v>
      </c>
      <c r="L134" s="4">
        <f t="shared" si="55"/>
        <v>-6.6659427880420372</v>
      </c>
      <c r="M134" s="4">
        <f t="shared" si="56"/>
        <v>7.3188255032177372</v>
      </c>
      <c r="N134" s="4">
        <f t="shared" si="57"/>
        <v>5.6250366187366101</v>
      </c>
      <c r="O134" s="4">
        <f t="shared" si="57"/>
        <v>6.8911463341707249</v>
      </c>
      <c r="P134" s="4">
        <f t="shared" si="58"/>
        <v>0.37043191638074269</v>
      </c>
      <c r="Q134" s="4">
        <f t="shared" si="59"/>
        <v>-0.50386983810377384</v>
      </c>
      <c r="R134" s="4">
        <f t="shared" si="60"/>
        <v>-33.198022962273519</v>
      </c>
    </row>
    <row r="135" spans="1:18" x14ac:dyDescent="0.25">
      <c r="A135" t="s">
        <v>72</v>
      </c>
      <c r="B135" s="4">
        <f t="shared" si="50"/>
        <v>-6.6659427880420372</v>
      </c>
      <c r="C135" s="4">
        <f t="shared" si="50"/>
        <v>7.3188255032177372</v>
      </c>
      <c r="D135" s="4">
        <f t="shared" si="47"/>
        <v>-7.3188255032177372</v>
      </c>
      <c r="E135" s="4">
        <f t="shared" si="47"/>
        <v>-6.6659427880420372</v>
      </c>
      <c r="F135" s="4">
        <f t="shared" si="48"/>
        <v>6.8911463341707249</v>
      </c>
      <c r="G135" s="4">
        <f t="shared" si="49"/>
        <v>-20.228963587706957</v>
      </c>
      <c r="H135" s="4">
        <f t="shared" si="51"/>
        <v>21.420031448521769</v>
      </c>
      <c r="I135" s="4">
        <f t="shared" si="52"/>
        <v>150.10352965712505</v>
      </c>
      <c r="J135" s="4">
        <f t="shared" si="53"/>
        <v>-6.6659427880420372</v>
      </c>
      <c r="K135" s="4">
        <f t="shared" si="54"/>
        <v>7.3188255032177372</v>
      </c>
      <c r="L135" s="4">
        <f t="shared" si="55"/>
        <v>-6.8318385142130085</v>
      </c>
      <c r="M135" s="4">
        <f t="shared" si="56"/>
        <v>3.7653338314601821</v>
      </c>
      <c r="N135" s="4">
        <f t="shared" si="57"/>
        <v>6.8911463341707249</v>
      </c>
      <c r="O135" s="4">
        <f t="shared" si="57"/>
        <v>0</v>
      </c>
      <c r="P135" s="4">
        <f t="shared" si="58"/>
        <v>82.293639545557497</v>
      </c>
      <c r="Q135" s="4">
        <f t="shared" si="59"/>
        <v>504.41520913410386</v>
      </c>
      <c r="R135" s="4">
        <f t="shared" si="60"/>
        <v>276.56706722069043</v>
      </c>
    </row>
    <row r="136" spans="1:18" x14ac:dyDescent="0.25">
      <c r="A136" t="s">
        <v>73</v>
      </c>
      <c r="B136" s="4">
        <f t="shared" si="50"/>
        <v>-7.3188255032177372</v>
      </c>
      <c r="C136" s="4">
        <f t="shared" si="50"/>
        <v>-6.6659427880420372</v>
      </c>
      <c r="D136" s="4">
        <f t="shared" si="47"/>
        <v>-7.3188255032177372</v>
      </c>
      <c r="E136" s="4">
        <f t="shared" si="47"/>
        <v>-6.6659427880420372</v>
      </c>
      <c r="F136" s="4">
        <f t="shared" si="48"/>
        <v>-20.228963587706957</v>
      </c>
      <c r="G136" s="4">
        <f t="shared" si="49"/>
        <v>-20.228963587706957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-7.3188255032177372</v>
      </c>
      <c r="C137" s="4">
        <f t="shared" si="50"/>
        <v>-6.6659427880420372</v>
      </c>
      <c r="D137" s="4">
        <f t="shared" si="47"/>
        <v>-7.3188255032177372</v>
      </c>
      <c r="E137" s="4">
        <f t="shared" si="47"/>
        <v>-6.6659427880420372</v>
      </c>
      <c r="F137" s="4">
        <f t="shared" si="48"/>
        <v>-20.228963587706957</v>
      </c>
      <c r="G137" s="4">
        <f t="shared" si="49"/>
        <v>-20.228963587706957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-7.3188255032177372</v>
      </c>
      <c r="C138" s="4">
        <f t="shared" si="50"/>
        <v>-6.6659427880420372</v>
      </c>
      <c r="D138" s="4">
        <f t="shared" si="47"/>
        <v>-7.3188255032177372</v>
      </c>
      <c r="E138" s="4">
        <f t="shared" si="47"/>
        <v>-6.6659427880420372</v>
      </c>
      <c r="F138" s="4">
        <f t="shared" si="48"/>
        <v>-20.228963587706957</v>
      </c>
      <c r="G138" s="4">
        <f t="shared" si="49"/>
        <v>-20.228963587706957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-7.3188255032177372</v>
      </c>
      <c r="C139" s="4">
        <f>E138</f>
        <v>-6.6659427880420372</v>
      </c>
      <c r="D139" s="4">
        <f t="shared" si="47"/>
        <v>-7.3188255032177372</v>
      </c>
      <c r="E139" s="4">
        <f t="shared" si="47"/>
        <v>-6.6659427880420372</v>
      </c>
      <c r="F139" s="4">
        <f t="shared" si="48"/>
        <v>-20.228963587706957</v>
      </c>
      <c r="G139" s="4">
        <f t="shared" si="49"/>
        <v>-20.228963587706957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142.00292435386621</v>
      </c>
      <c r="Q140" s="4">
        <f>SUM(Q132:Q139)</f>
        <v>842.26582234069701</v>
      </c>
      <c r="R140" s="4">
        <f>SUM(R132:R139)</f>
        <v>27.558769419487504</v>
      </c>
    </row>
    <row r="142" spans="1:18" x14ac:dyDescent="0.25">
      <c r="O142" t="s">
        <v>96</v>
      </c>
      <c r="P142" s="1">
        <f>-1*R140/P140</f>
        <v>-0.19407184425872834</v>
      </c>
    </row>
    <row r="143" spans="1:18" x14ac:dyDescent="0.25">
      <c r="O143" t="s">
        <v>97</v>
      </c>
      <c r="P143" s="1">
        <f>Q140/P140</f>
        <v>5.9313273031039895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-3.183273981034437</v>
      </c>
      <c r="C146" s="9">
        <f>J84</f>
        <v>-3.8557446442508567</v>
      </c>
      <c r="D146" s="9">
        <f t="shared" ref="D146:E153" si="61">I85</f>
        <v>-2.81019814379118</v>
      </c>
      <c r="E146">
        <f t="shared" si="61"/>
        <v>4.1355515221832997</v>
      </c>
      <c r="F146" s="4">
        <f>($B$66/$B$65)*(C146-$B$125)</f>
        <v>-14.779257094571488</v>
      </c>
      <c r="G146" s="4">
        <f>($B$66/$B$65)*(E146-$B$125)</f>
        <v>0.71794857507290255</v>
      </c>
      <c r="H146" s="4">
        <f>IF(B146=D146,"V",(C146-E146)/(B146-D146))</f>
        <v>21.420031448521776</v>
      </c>
      <c r="I146" s="4">
        <f>IF(H146="V",0,(-1*B146*H146)+C146)</f>
        <v>64.330084138767887</v>
      </c>
      <c r="J146" s="4">
        <f>IF($F146&gt;=0,B146,IF(AND($F146&lt;0,$G146&gt;=0),IF(H146="V",B146,($B$125-I146)/H146),0))</f>
        <v>-2.8274818574781952</v>
      </c>
      <c r="K146" s="4">
        <f>IF($F146&gt;=0,C146,IF(AND($F146&lt;0,$G146&gt;=0),$B$125,0))</f>
        <v>3.7653338314601821</v>
      </c>
      <c r="L146" s="4">
        <f>IF($G146&gt;=0,D146,IF(AND($G146&lt;0,$F146&gt;=0),IF(H146="V",D146,($B$125-I146)/H146),0))</f>
        <v>-2.81019814379118</v>
      </c>
      <c r="M146" s="4">
        <f>IF($G146&gt;=0,E146,IF(AND($G146&lt;0,$F146&gt;=0),$B$125,0))</f>
        <v>4.1355515221832997</v>
      </c>
      <c r="N146" s="4">
        <f>IF(F146&lt;0,0,F146)</f>
        <v>0</v>
      </c>
      <c r="O146" s="4">
        <f>IF(G146&lt;0,0,G146)</f>
        <v>0.71794857507290255</v>
      </c>
      <c r="P146" s="4">
        <f>(1/6)*(M146-K146)*((N146*((2*J146)+L146))+(O146*(J146+(2*L146))))</f>
        <v>-0.37423714891994964</v>
      </c>
      <c r="Q146" s="4">
        <f>((1/12)*(M146-K146)*(N146*J146*((3*K146)+M146)+N146*L146*(K146+M146)+O146*J146*(K146+M146)+O146*L146*(K146+(3*M146))))</f>
        <v>-1.5014466963361801</v>
      </c>
      <c r="R146" s="4">
        <f>((-1/24)*(M146-K146)*(J146*J146*((3*N146)+O146)+2*J146*L146*(N146+O146)+L146*L146*(N146+(3*O146))))</f>
        <v>-0.52691940802670023</v>
      </c>
    </row>
    <row r="147" spans="1:18" x14ac:dyDescent="0.25">
      <c r="A147" t="s">
        <v>70</v>
      </c>
      <c r="B147" s="9">
        <f t="shared" ref="B147:C153" si="62">D146</f>
        <v>-2.81019814379118</v>
      </c>
      <c r="C147">
        <f t="shared" si="62"/>
        <v>4.1355515221832997</v>
      </c>
      <c r="D147" s="9">
        <f t="shared" si="61"/>
        <v>3.183273981034437</v>
      </c>
      <c r="E147">
        <f t="shared" si="61"/>
        <v>3.8557446442508567</v>
      </c>
      <c r="F147" s="4">
        <f t="shared" ref="F147:F153" si="63">($B$66/$B$65)*(C147-$B$125)</f>
        <v>0.71794857507290255</v>
      </c>
      <c r="G147" s="4">
        <f t="shared" ref="G147:G153" si="64">($B$66/$B$65)*(E147-$B$125)</f>
        <v>0.17533012560113892</v>
      </c>
      <c r="H147" s="4">
        <f t="shared" ref="H147:H153" si="65">IF(B147=D147,"V",(C147-E147)/(B147-D147))</f>
        <v>-4.6685272260373459E-2</v>
      </c>
      <c r="I147" s="4">
        <f t="shared" ref="I147:I153" si="66">IF(H147="V",0,(-1*B147*H147)+C147)</f>
        <v>4.0043566567348119</v>
      </c>
      <c r="J147" s="4">
        <f t="shared" ref="J147:J153" si="67">IF($F147&gt;=0,B147,IF(AND($F147&lt;0,$G147&gt;=0),IF(H147="V",B147,($B$125-I147)/H147),0))</f>
        <v>-2.81019814379118</v>
      </c>
      <c r="K147" s="4">
        <f t="shared" ref="K147:K153" si="68">IF($F147&gt;=0,C147,IF(AND($F147&lt;0,$G147&gt;=0),$B$125,0))</f>
        <v>4.1355515221832997</v>
      </c>
      <c r="L147" s="4">
        <f t="shared" ref="L147:L153" si="69">IF($G147&gt;=0,D147,IF(AND($G147&lt;0,$F147&gt;=0),IF(H147="V",D147,($B$125-I147)/H147),0))</f>
        <v>3.183273981034437</v>
      </c>
      <c r="M147" s="4">
        <f t="shared" ref="M147:M153" si="70">IF($G147&gt;=0,E147,IF(AND($G147&lt;0,$F147&gt;=0),$B$125,0))</f>
        <v>3.8557446442508567</v>
      </c>
      <c r="N147" s="4">
        <f t="shared" ref="N147:O153" si="71">IF(F147&lt;0,0,F147)</f>
        <v>0.71794857507290255</v>
      </c>
      <c r="O147" s="4">
        <f t="shared" si="71"/>
        <v>0.17533012560113892</v>
      </c>
      <c r="P147" s="4">
        <f t="shared" ref="P147:P153" si="72">(1/6)*(M147-K147)*((N147*((2*J147)+L147))+(O147*(J147+(2*L147))))</f>
        <v>5.2519435129989016E-2</v>
      </c>
      <c r="Q147" s="4">
        <f t="shared" ref="Q147:Q153" si="73">((1/12)*(M147-K147)*(N147*J147*((3*K147)+M147)+N147*L147*(K147+M147)+O147*J147*(K147+M147)+O147*L147*(K147+(3*M147))))</f>
        <v>0.22665389214492573</v>
      </c>
      <c r="R147" s="4">
        <f t="shared" ref="R147:R153" si="74">((-1/24)*(M147-K147)*(J147*J147*((3*N147)+O147)+2*J147*L147*(N147+O147)+L147*L147*(N147+(3*O147))))</f>
        <v>0.17508029494857935</v>
      </c>
    </row>
    <row r="148" spans="1:18" x14ac:dyDescent="0.25">
      <c r="A148" t="s">
        <v>71</v>
      </c>
      <c r="B148" s="9">
        <f t="shared" si="62"/>
        <v>3.183273981034437</v>
      </c>
      <c r="C148">
        <f t="shared" si="62"/>
        <v>3.8557446442508567</v>
      </c>
      <c r="D148" s="9">
        <f t="shared" si="61"/>
        <v>2.81019814379118</v>
      </c>
      <c r="E148">
        <f t="shared" si="61"/>
        <v>-4.1355515221832997</v>
      </c>
      <c r="F148" s="4">
        <f t="shared" si="63"/>
        <v>0.17533012560113892</v>
      </c>
      <c r="G148" s="4">
        <f t="shared" si="64"/>
        <v>-15.32187554404325</v>
      </c>
      <c r="H148" s="4">
        <f t="shared" si="65"/>
        <v>21.420031448521776</v>
      </c>
      <c r="I148" s="4">
        <f t="shared" si="66"/>
        <v>-64.330084138767887</v>
      </c>
      <c r="J148" s="4">
        <f t="shared" si="67"/>
        <v>3.183273981034437</v>
      </c>
      <c r="K148" s="4">
        <f t="shared" si="68"/>
        <v>3.8557446442508567</v>
      </c>
      <c r="L148" s="4">
        <f t="shared" si="69"/>
        <v>3.1790531276240221</v>
      </c>
      <c r="M148" s="4">
        <f t="shared" si="70"/>
        <v>3.7653338314601821</v>
      </c>
      <c r="N148" s="4">
        <f t="shared" si="71"/>
        <v>0.17533012560113892</v>
      </c>
      <c r="O148" s="4">
        <f t="shared" si="71"/>
        <v>0</v>
      </c>
      <c r="P148" s="4">
        <f t="shared" si="72"/>
        <v>-2.5219063103513895E-2</v>
      </c>
      <c r="Q148" s="4">
        <f t="shared" si="73"/>
        <v>-9.6478410196580558E-2</v>
      </c>
      <c r="R148" s="4">
        <f t="shared" si="74"/>
        <v>4.0121856629326859E-2</v>
      </c>
    </row>
    <row r="149" spans="1:18" x14ac:dyDescent="0.25">
      <c r="A149" t="s">
        <v>72</v>
      </c>
      <c r="B149" s="9">
        <f t="shared" si="62"/>
        <v>2.81019814379118</v>
      </c>
      <c r="C149">
        <f t="shared" si="62"/>
        <v>-4.1355515221832997</v>
      </c>
      <c r="D149" s="9">
        <f t="shared" si="61"/>
        <v>-3.183273981034437</v>
      </c>
      <c r="E149">
        <f t="shared" si="61"/>
        <v>-3.8557446442508567</v>
      </c>
      <c r="F149" s="4">
        <f t="shared" si="63"/>
        <v>-15.32187554404325</v>
      </c>
      <c r="G149" s="4">
        <f t="shared" si="64"/>
        <v>-14.779257094571488</v>
      </c>
      <c r="H149" s="4">
        <f t="shared" si="65"/>
        <v>-4.6685272260373459E-2</v>
      </c>
      <c r="I149" s="4">
        <f t="shared" si="66"/>
        <v>-4.0043566567348119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-3.183273981034437</v>
      </c>
      <c r="C150">
        <f t="shared" si="62"/>
        <v>-3.8557446442508567</v>
      </c>
      <c r="D150" s="9">
        <f t="shared" si="61"/>
        <v>-3.183273981034437</v>
      </c>
      <c r="E150">
        <f t="shared" si="61"/>
        <v>-3.8557446442508567</v>
      </c>
      <c r="F150" s="4">
        <f t="shared" si="63"/>
        <v>-14.779257094571488</v>
      </c>
      <c r="G150" s="4">
        <f t="shared" si="64"/>
        <v>-14.779257094571488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-3.183273981034437</v>
      </c>
      <c r="C151">
        <f t="shared" si="62"/>
        <v>-3.8557446442508567</v>
      </c>
      <c r="D151" s="9">
        <f t="shared" si="61"/>
        <v>-3.183273981034437</v>
      </c>
      <c r="E151">
        <f t="shared" si="61"/>
        <v>-3.8557446442508567</v>
      </c>
      <c r="F151" s="4">
        <f t="shared" si="63"/>
        <v>-14.779257094571488</v>
      </c>
      <c r="G151" s="4">
        <f t="shared" si="64"/>
        <v>-14.779257094571488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-3.183273981034437</v>
      </c>
      <c r="C152">
        <f t="shared" si="62"/>
        <v>-3.8557446442508567</v>
      </c>
      <c r="D152" s="9">
        <f t="shared" si="61"/>
        <v>-3.183273981034437</v>
      </c>
      <c r="E152">
        <f t="shared" si="61"/>
        <v>-3.8557446442508567</v>
      </c>
      <c r="F152" s="4">
        <f t="shared" si="63"/>
        <v>-14.779257094571488</v>
      </c>
      <c r="G152" s="4">
        <f t="shared" si="64"/>
        <v>-14.779257094571488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-3.183273981034437</v>
      </c>
      <c r="C153">
        <f t="shared" si="62"/>
        <v>-3.8557446442508567</v>
      </c>
      <c r="D153" s="9">
        <f t="shared" si="61"/>
        <v>-3.183273981034437</v>
      </c>
      <c r="E153">
        <f t="shared" si="61"/>
        <v>-3.8557446442508567</v>
      </c>
      <c r="F153" s="4">
        <f t="shared" si="63"/>
        <v>-14.779257094571488</v>
      </c>
      <c r="G153" s="4">
        <f t="shared" si="64"/>
        <v>-14.779257094571488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-0.34693677689347452</v>
      </c>
      <c r="Q154" s="4">
        <f t="shared" ref="Q154:R154" si="75">SUM(Q146:Q153)</f>
        <v>-1.3712712143878349</v>
      </c>
      <c r="R154" s="4">
        <f t="shared" si="75"/>
        <v>-0.311717256448794</v>
      </c>
    </row>
    <row r="156" spans="1:18" x14ac:dyDescent="0.25">
      <c r="O156" t="s">
        <v>96</v>
      </c>
      <c r="P156" s="1">
        <f>-1*R154/P154</f>
        <v>-0.89848432685620261</v>
      </c>
    </row>
    <row r="157" spans="1:18" x14ac:dyDescent="0.25">
      <c r="O157" t="s">
        <v>97</v>
      </c>
      <c r="P157" s="1">
        <f>Q154/P154</f>
        <v>3.9525103872423362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-3.8215971215338485E-7</v>
      </c>
      <c r="C159" t="s">
        <v>36</v>
      </c>
    </row>
    <row r="160" spans="1:18" x14ac:dyDescent="0.25">
      <c r="A160" s="1" t="s">
        <v>106</v>
      </c>
      <c r="B160" s="4">
        <f>Q140+I122+Q154-O122</f>
        <v>1167.7244134934056</v>
      </c>
      <c r="C160" t="s">
        <v>102</v>
      </c>
    </row>
    <row r="161" spans="1:9" x14ac:dyDescent="0.25">
      <c r="A161" s="1" t="s">
        <v>107</v>
      </c>
      <c r="B161" s="4">
        <f>R140+J122+R154-P122</f>
        <v>31.177701445952639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-3.8215971215338485E-7</v>
      </c>
      <c r="C164" t="s">
        <v>36</v>
      </c>
      <c r="E164" s="8">
        <f>B2-B164</f>
        <v>3.8215971215338485E-7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1164.9999977413945</v>
      </c>
      <c r="C165" t="s">
        <v>102</v>
      </c>
      <c r="E165" s="8">
        <f>B3+B165</f>
        <v>-2.2586054910789244E-6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85.600001159589141</v>
      </c>
      <c r="C166" t="s">
        <v>102</v>
      </c>
      <c r="E166" s="8">
        <f>B4+B166</f>
        <v>1.1595891464821761E-6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6.8911463341707249</v>
      </c>
      <c r="B169" s="1">
        <f ca="1">IF(E122=0,0,(MIN(H110:H121)*B65)/(B55*B56*E122))</f>
        <v>-6.8911463278859184</v>
      </c>
      <c r="C169" s="3">
        <f ca="1">A169+B169</f>
        <v>6.2848064530385273E-9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6.9195207629444265E-10</v>
      </c>
      <c r="C175" s="27">
        <f>B65*SQRT(I175)</f>
        <v>5.2706799119990835E-8</v>
      </c>
      <c r="D175" s="27">
        <f>B66*SQRT(I175)</f>
        <v>1.022122180356635E-7</v>
      </c>
      <c r="E175" s="27">
        <f>B67*SQRT(I175)</f>
        <v>5.4421597901291562E-7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4.6651400158838882E-2</v>
      </c>
      <c r="C176" s="3">
        <f>B65+C175</f>
        <v>3.553491724464354</v>
      </c>
      <c r="D176" s="3">
        <f>D175+B66</f>
        <v>6.8911464363829431</v>
      </c>
      <c r="E176" s="3">
        <f>B67+E175</f>
        <v>36.691034364296613</v>
      </c>
      <c r="F176" s="16" t="s">
        <v>125</v>
      </c>
    </row>
    <row r="177" spans="1:13" x14ac:dyDescent="0.25">
      <c r="B177" s="27">
        <f>B176-B64</f>
        <v>6.9195207896832756E-10</v>
      </c>
      <c r="C177" s="27">
        <f>C176-B65</f>
        <v>5.2706798925328258E-8</v>
      </c>
      <c r="D177" s="27">
        <f>D176-B66</f>
        <v>1.0221221824480153E-7</v>
      </c>
      <c r="E177" s="27">
        <f>E176-B67</f>
        <v>5.4421597894815932E-7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-20.489020256949715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7.3188255481774895</v>
      </c>
      <c r="B181" s="25">
        <f>(d_alpha_p!E136-d_alpha_m!E136)/(2*B177)</f>
        <v>7.3188255481774895</v>
      </c>
      <c r="C181" s="25">
        <f>(d_alpha_p!E137-d_alpha_m!E137)/(2*B177)</f>
        <v>7.3188255481774895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-3.8215971215338485E-7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2.2586054910789244E-6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-1.1595891464821761E-6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-6.2848064530385273E-9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-20.489020256949715</v>
      </c>
      <c r="B190" s="25">
        <f>A181</f>
        <v>7.3188255481774895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7.3188255481774895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7.3188255481774895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-20.489020256949715</v>
      </c>
      <c r="B201" s="25">
        <f t="shared" ref="B201:C201" si="77">B190</f>
        <v>7.3188255481774895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7.3188255481774895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7.3188255481774895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-1165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-2.54737609329446</v>
      </c>
      <c r="J3" t="s">
        <v>11</v>
      </c>
    </row>
    <row r="4" spans="1:29" x14ac:dyDescent="0.25">
      <c r="A4" s="10" t="s">
        <v>80</v>
      </c>
      <c r="B4" s="17">
        <f>'Rigid Bearing Plate Analysis'!B4</f>
        <v>-85.6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-0.18717201166180752</v>
      </c>
      <c r="J4" t="s">
        <v>11</v>
      </c>
    </row>
    <row r="5" spans="1:29" x14ac:dyDescent="0.25">
      <c r="A5" s="10" t="s">
        <v>104</v>
      </c>
      <c r="B5" s="20">
        <f>ATAN2(B3,B4)</f>
        <v>-3.0682480597090245</v>
      </c>
      <c r="C5" t="s">
        <v>19</v>
      </c>
      <c r="I5">
        <f>SUM(I2:I4)</f>
        <v>-2.7345481049562674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2.54737609329446</v>
      </c>
      <c r="AB14">
        <f>$B$4/Z14</f>
        <v>-0.18717201166180752</v>
      </c>
      <c r="AC14">
        <f>$I$2+AA14+AB14</f>
        <v>2.3602040816326526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-2.54737609329446</v>
      </c>
      <c r="AB15">
        <f t="shared" ref="AB15:AB21" si="11">$B$4/Z15</f>
        <v>-0.18717201166180752</v>
      </c>
      <c r="AC15">
        <f t="shared" ref="AC15:AC20" si="12">$I$2+AA15+AB15</f>
        <v>-2.7345481049562674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-2.54737609329446</v>
      </c>
      <c r="AB16">
        <f t="shared" si="11"/>
        <v>0.18717201166180752</v>
      </c>
      <c r="AC16">
        <f t="shared" si="12"/>
        <v>-2.3602040816326526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2.54737609329446</v>
      </c>
      <c r="AB17">
        <f t="shared" si="11"/>
        <v>0.18717201166180752</v>
      </c>
      <c r="AC17">
        <f t="shared" si="12"/>
        <v>2.7345481049562674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2.54737609329446</v>
      </c>
      <c r="AB18">
        <f t="shared" si="11"/>
        <v>0.18717201166180752</v>
      </c>
      <c r="AC18">
        <f t="shared" si="12"/>
        <v>2.7345481049562674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2.54737609329446</v>
      </c>
      <c r="AB19">
        <f t="shared" si="11"/>
        <v>0.18717201166180752</v>
      </c>
      <c r="AC19">
        <f t="shared" si="12"/>
        <v>2.7345481049562674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2.54737609329446</v>
      </c>
      <c r="AB20">
        <f t="shared" si="11"/>
        <v>0.18717201166180752</v>
      </c>
      <c r="AC20">
        <f t="shared" si="12"/>
        <v>2.7345481049562674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0.18717201166180752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3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11</v>
      </c>
      <c r="D26" s="5">
        <f>((B25*C26)-(B26*C25))*0.5</f>
        <v>16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11</v>
      </c>
      <c r="D27" s="5">
        <f t="shared" ref="D27:D33" si="13">((B26*C27)-(B27*C26))*0.5</f>
        <v>-33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3</v>
      </c>
      <c r="D28" s="5">
        <f t="shared" si="13"/>
        <v>-40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3</v>
      </c>
      <c r="D29" s="5">
        <f t="shared" si="13"/>
        <v>9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3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3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3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3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-48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4.6651398082982673E-2</v>
      </c>
      <c r="C64" t="s">
        <v>19</v>
      </c>
      <c r="D64" t="s">
        <v>34</v>
      </c>
      <c r="H64" s="17">
        <f>DEGREES(B64)</f>
        <v>2.6729282185396066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3.5534916717575551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6.8911463341707249</v>
      </c>
      <c r="C66" t="s">
        <v>11</v>
      </c>
      <c r="D66">
        <f>B66/B53</f>
        <v>1.6913774140270336E-3</v>
      </c>
      <c r="I66" s="20"/>
    </row>
    <row r="67" spans="1:18" x14ac:dyDescent="0.25">
      <c r="A67" s="1" t="s">
        <v>37</v>
      </c>
      <c r="B67" s="17">
        <f>'Rigid Bearing Plate Analysis'!B67</f>
        <v>36.691033820080634</v>
      </c>
      <c r="C67" t="s">
        <v>36</v>
      </c>
      <c r="D67" t="s">
        <v>122</v>
      </c>
      <c r="G67" s="20">
        <f ca="1">($B$56*$B$66*$B$55*$E$122)/$B$65</f>
        <v>36.691033786617943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4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4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-4</v>
      </c>
      <c r="Q76" cm="1">
        <f t="array" ref="Q76">(-1*MAX(ABS(B84:C91)))-1</f>
        <v>-8.3188254939927102</v>
      </c>
      <c r="R76">
        <f>Q76</f>
        <v>-8.3188254939927102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-4</v>
      </c>
      <c r="Q77">
        <f>-1*Q76</f>
        <v>8.3188254939927102</v>
      </c>
      <c r="R77">
        <f>Q77</f>
        <v>8.3188254939927102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-4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-4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-7.3188254939927102</v>
      </c>
      <c r="C84" s="1">
        <f t="shared" ref="C84:C92" si="23">(-1*B73*SIN($B$64))+(C73*COS($B$64))</f>
        <v>-6.6659427981705903</v>
      </c>
      <c r="H84" s="1">
        <f t="shared" ref="H84:H92" si="24">H73</f>
        <v>1</v>
      </c>
      <c r="I84" s="4">
        <f>(I73*COS($B$64))+(J73*SIN($B$64))</f>
        <v>-3.183273975698456</v>
      </c>
      <c r="J84" s="1">
        <f>(-1*I73*SIN($B$64))+(J73*COS($B$64))</f>
        <v>-3.8557446486562026</v>
      </c>
    </row>
    <row r="85" spans="1:10" x14ac:dyDescent="0.25">
      <c r="A85" s="1">
        <f t="shared" si="21"/>
        <v>2</v>
      </c>
      <c r="B85" s="4">
        <f t="shared" si="22"/>
        <v>6.6659427981705903</v>
      </c>
      <c r="C85" s="1">
        <f t="shared" si="23"/>
        <v>-7.3188254939927102</v>
      </c>
      <c r="H85" s="1">
        <f t="shared" si="24"/>
        <v>2</v>
      </c>
      <c r="I85" s="4">
        <f t="shared" ref="I85:I92" si="25">(I74*COS($B$64))+(J74*SIN($B$64))</f>
        <v>-2.8101981495143873</v>
      </c>
      <c r="J85" s="1">
        <f t="shared" ref="J85:J92" si="26">(-1*I74*SIN($B$64))+(J74*COS($B$64))</f>
        <v>4.1355515182942542</v>
      </c>
    </row>
    <row r="86" spans="1:10" x14ac:dyDescent="0.25">
      <c r="A86" s="1">
        <f t="shared" si="21"/>
        <v>3</v>
      </c>
      <c r="B86" s="4">
        <f t="shared" si="22"/>
        <v>7.3188254939927102</v>
      </c>
      <c r="C86" s="1">
        <f t="shared" si="23"/>
        <v>6.6659427981705903</v>
      </c>
      <c r="H86" s="1">
        <f t="shared" si="24"/>
        <v>3</v>
      </c>
      <c r="I86" s="4">
        <f t="shared" si="25"/>
        <v>3.183273975698456</v>
      </c>
      <c r="J86" s="1">
        <f t="shared" si="26"/>
        <v>3.8557446486562026</v>
      </c>
    </row>
    <row r="87" spans="1:10" x14ac:dyDescent="0.25">
      <c r="A87" s="1">
        <f t="shared" si="21"/>
        <v>4</v>
      </c>
      <c r="B87" s="4">
        <f t="shared" si="22"/>
        <v>-6.6659427981705903</v>
      </c>
      <c r="C87" s="1">
        <f t="shared" si="23"/>
        <v>7.3188254939927102</v>
      </c>
      <c r="H87" s="1">
        <f t="shared" si="24"/>
        <v>4</v>
      </c>
      <c r="I87" s="4">
        <f t="shared" si="25"/>
        <v>2.8101981495143873</v>
      </c>
      <c r="J87" s="1">
        <f t="shared" si="26"/>
        <v>-4.1355515182942542</v>
      </c>
    </row>
    <row r="88" spans="1:10" x14ac:dyDescent="0.25">
      <c r="A88" s="1">
        <f t="shared" si="21"/>
        <v>5</v>
      </c>
      <c r="B88" s="4">
        <f t="shared" si="22"/>
        <v>-7.3188254939927102</v>
      </c>
      <c r="C88" s="1">
        <f t="shared" si="23"/>
        <v>-6.6659427981705903</v>
      </c>
      <c r="H88" s="1">
        <f t="shared" si="24"/>
        <v>5</v>
      </c>
      <c r="I88" s="4">
        <f t="shared" si="25"/>
        <v>-3.183273975698456</v>
      </c>
      <c r="J88" s="1">
        <f t="shared" si="26"/>
        <v>-3.8557446486562026</v>
      </c>
    </row>
    <row r="89" spans="1:10" x14ac:dyDescent="0.25">
      <c r="A89" s="1">
        <f t="shared" si="21"/>
        <v>6</v>
      </c>
      <c r="B89" s="4">
        <f t="shared" si="22"/>
        <v>-7.3188254939927102</v>
      </c>
      <c r="C89" s="1">
        <f t="shared" si="23"/>
        <v>-6.6659427981705903</v>
      </c>
      <c r="H89" s="1">
        <f t="shared" si="24"/>
        <v>6</v>
      </c>
      <c r="I89" s="4">
        <f t="shared" si="25"/>
        <v>-3.183273975698456</v>
      </c>
      <c r="J89" s="1">
        <f t="shared" si="26"/>
        <v>-3.8557446486562026</v>
      </c>
    </row>
    <row r="90" spans="1:10" x14ac:dyDescent="0.25">
      <c r="A90" s="1">
        <f t="shared" si="21"/>
        <v>7</v>
      </c>
      <c r="B90" s="4">
        <f t="shared" si="22"/>
        <v>-7.3188254939927102</v>
      </c>
      <c r="C90" s="1">
        <f t="shared" si="23"/>
        <v>-6.6659427981705903</v>
      </c>
      <c r="H90" s="1">
        <f t="shared" si="24"/>
        <v>7</v>
      </c>
      <c r="I90" s="4">
        <f t="shared" si="25"/>
        <v>-3.183273975698456</v>
      </c>
      <c r="J90" s="1">
        <f t="shared" si="26"/>
        <v>-3.8557446486562026</v>
      </c>
    </row>
    <row r="91" spans="1:10" x14ac:dyDescent="0.25">
      <c r="A91" s="1">
        <f t="shared" si="21"/>
        <v>8</v>
      </c>
      <c r="B91" s="4">
        <f t="shared" si="22"/>
        <v>-7.3188254939927102</v>
      </c>
      <c r="C91" s="1">
        <f t="shared" si="23"/>
        <v>-6.6659427981705903</v>
      </c>
      <c r="H91" s="1">
        <f t="shared" si="24"/>
        <v>8</v>
      </c>
      <c r="I91" s="4">
        <f t="shared" si="25"/>
        <v>-3.183273975698456</v>
      </c>
      <c r="J91" s="1">
        <f t="shared" si="26"/>
        <v>-3.8557446486562026</v>
      </c>
    </row>
    <row r="92" spans="1:10" x14ac:dyDescent="0.25">
      <c r="A92" s="1">
        <f t="shared" si="21"/>
        <v>9</v>
      </c>
      <c r="B92" s="4">
        <f t="shared" si="22"/>
        <v>-7.3188254939927102</v>
      </c>
      <c r="C92" s="1">
        <f t="shared" si="23"/>
        <v>-6.6659427981705903</v>
      </c>
      <c r="H92" s="1">
        <f t="shared" si="24"/>
        <v>9</v>
      </c>
      <c r="I92" s="4">
        <f t="shared" si="25"/>
        <v>-3.183273975698456</v>
      </c>
      <c r="J92" s="1">
        <f t="shared" si="26"/>
        <v>-3.8557446486562026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-4.182185996567263</v>
      </c>
      <c r="C110" s="1">
        <f>(-1*B95*SIN($B$64))+(C95*COS($B$64))</f>
        <v>-3.8091101703831942</v>
      </c>
      <c r="D110" t="str">
        <f t="shared" ref="D110" si="31">D95</f>
        <v>y</v>
      </c>
      <c r="E110" s="4">
        <f t="shared" ref="E110:E121" si="32">IF($D110="y",$B$125-C110,0)</f>
        <v>7.5744439926183489</v>
      </c>
      <c r="F110" s="1">
        <f>IF($D110="y",B110,NA())</f>
        <v>-4.182185996567263</v>
      </c>
      <c r="G110" s="1">
        <f>IF($D110="y",C110,NA())</f>
        <v>-3.8091101703831942</v>
      </c>
      <c r="H110">
        <f t="shared" ref="H110:H121" si="33">IF($E$122=0,0,-1*MAX(($B$67/$E$122)*(E110),0))</f>
        <v>-34.968667840748374</v>
      </c>
      <c r="I110">
        <f>H110*C110</f>
        <v>133.19950831694635</v>
      </c>
      <c r="J110">
        <f>H110*B110*-1</f>
        <v>-146.24547296218984</v>
      </c>
      <c r="K110">
        <f ca="1">H110/$B$55</f>
        <v>-104.55239408229011</v>
      </c>
      <c r="L110">
        <f ca="1">K110/$B$54</f>
        <v>-3.6052549683548312E-3</v>
      </c>
      <c r="M110">
        <f t="shared" ref="M110:M121" si="34">IFERROR(($D$66/$B$65)*(G110-$B$125),0)</f>
        <v>-3.6052549650667925E-3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3.8091101703831942</v>
      </c>
      <c r="C111" s="1">
        <f t="shared" ref="C111:C121" si="37">(-1*B96*SIN($B$64))+(C96*COS($B$64))</f>
        <v>-4.182185996567263</v>
      </c>
      <c r="D111" t="str">
        <f t="shared" si="35"/>
        <v>y</v>
      </c>
      <c r="E111" s="4">
        <f t="shared" si="32"/>
        <v>7.9475198188024176</v>
      </c>
      <c r="F111" s="1">
        <f t="shared" ref="F111:G121" si="38">IF($D111="y",B111,NA())</f>
        <v>3.8091101703831942</v>
      </c>
      <c r="G111" s="1">
        <f t="shared" si="38"/>
        <v>-4.182185996567263</v>
      </c>
      <c r="H111">
        <f t="shared" si="33"/>
        <v>-36.691033820080634</v>
      </c>
      <c r="I111">
        <f t="shared" ref="I111:I121" si="39">H111*C111</f>
        <v>153.44872784191708</v>
      </c>
      <c r="J111">
        <f t="shared" ref="J111:J121" si="40">H111*B111*-1</f>
        <v>139.7601900859429</v>
      </c>
      <c r="K111">
        <f ca="1">H111/$B$55</f>
        <v>-109.70207514664094</v>
      </c>
      <c r="L111">
        <f t="shared" ref="L111:L121" ca="1" si="41">K111/$B$54</f>
        <v>-3.782830177470377E-3</v>
      </c>
      <c r="M111">
        <f t="shared" si="34"/>
        <v>-3.782830174020388E-3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-3.8091101703831942</v>
      </c>
      <c r="C112" s="1">
        <f t="shared" si="37"/>
        <v>4.182185996567263</v>
      </c>
      <c r="D112" t="str">
        <f t="shared" si="35"/>
        <v>y</v>
      </c>
      <c r="E112" s="4">
        <f t="shared" si="32"/>
        <v>-0.41685217433210786</v>
      </c>
      <c r="F112" s="1">
        <f t="shared" si="38"/>
        <v>-3.8091101703831942</v>
      </c>
      <c r="G112" s="1">
        <f t="shared" si="38"/>
        <v>4.182185996567263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1.9841170819591853E-4</v>
      </c>
      <c r="N112">
        <f t="shared" si="42"/>
        <v>0.41913590134061718</v>
      </c>
      <c r="O112">
        <f t="shared" si="43"/>
        <v>1.752904297245327</v>
      </c>
      <c r="P112">
        <f t="shared" si="44"/>
        <v>1.5965348245692719</v>
      </c>
    </row>
    <row r="113" spans="1:16" x14ac:dyDescent="0.25">
      <c r="A113">
        <f t="shared" si="35"/>
        <v>4</v>
      </c>
      <c r="B113" s="1">
        <f t="shared" si="36"/>
        <v>4.182185996567263</v>
      </c>
      <c r="C113" s="1">
        <f t="shared" si="37"/>
        <v>3.8091101703831942</v>
      </c>
      <c r="D113" t="str">
        <f t="shared" si="35"/>
        <v>y</v>
      </c>
      <c r="E113" s="4">
        <f t="shared" si="32"/>
        <v>-4.3776348148039101E-2</v>
      </c>
      <c r="F113" s="1">
        <f t="shared" si="38"/>
        <v>4.182185996567263</v>
      </c>
      <c r="G113" s="1">
        <f t="shared" si="38"/>
        <v>3.8091101703831942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2.0836499242323031E-5</v>
      </c>
      <c r="N113">
        <f t="shared" si="42"/>
        <v>4.4016177120407465E-2</v>
      </c>
      <c r="O113">
        <f t="shared" si="43"/>
        <v>0.16766246793073214</v>
      </c>
      <c r="P113">
        <f t="shared" si="44"/>
        <v>-0.18408383957539246</v>
      </c>
    </row>
    <row r="114" spans="1:16" x14ac:dyDescent="0.25">
      <c r="A114">
        <f t="shared" si="35"/>
        <v>5</v>
      </c>
      <c r="B114" s="1">
        <f t="shared" si="36"/>
        <v>-4.0655998008847414</v>
      </c>
      <c r="C114" s="1">
        <f t="shared" si="37"/>
        <v>-1.3118301182111765</v>
      </c>
      <c r="D114" t="str">
        <f t="shared" si="35"/>
        <v>y</v>
      </c>
      <c r="E114" s="4">
        <f t="shared" si="32"/>
        <v>5.0771639404463311</v>
      </c>
      <c r="F114" s="1">
        <f t="shared" si="38"/>
        <v>-4.0655998008847414</v>
      </c>
      <c r="G114" s="1">
        <f t="shared" si="38"/>
        <v>-1.3118301182111765</v>
      </c>
      <c r="H114">
        <f t="shared" si="33"/>
        <v>-23.439563297255297</v>
      </c>
      <c r="I114">
        <f t="shared" si="39"/>
        <v>30.74872509105677</v>
      </c>
      <c r="J114">
        <f t="shared" si="40"/>
        <v>-95.295883874146426</v>
      </c>
      <c r="K114">
        <f t="shared" ca="1" si="45"/>
        <v>-70.081664824409046</v>
      </c>
      <c r="L114">
        <f t="shared" ca="1" si="41"/>
        <v>-2.4166091318761742E-3</v>
      </c>
      <c r="M114">
        <f t="shared" si="34"/>
        <v>-2.416609129672195E-3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3.9256963660657158</v>
      </c>
      <c r="C115" s="1">
        <f t="shared" si="37"/>
        <v>-1.6849059443952452</v>
      </c>
      <c r="D115" t="str">
        <f t="shared" si="35"/>
        <v>y</v>
      </c>
      <c r="E115" s="4">
        <f t="shared" si="32"/>
        <v>5.4502397666303999</v>
      </c>
      <c r="F115" s="1">
        <f t="shared" si="38"/>
        <v>3.9256963660657158</v>
      </c>
      <c r="G115" s="1">
        <f t="shared" si="38"/>
        <v>-1.6849059443952452</v>
      </c>
      <c r="H115">
        <f t="shared" si="33"/>
        <v>-25.161929276587557</v>
      </c>
      <c r="I115">
        <f t="shared" si="39"/>
        <v>42.395484210575127</v>
      </c>
      <c r="J115">
        <f t="shared" si="40"/>
        <v>98.778094324302316</v>
      </c>
      <c r="K115">
        <f t="shared" ca="1" si="45"/>
        <v>-75.231345888759876</v>
      </c>
      <c r="L115">
        <f t="shared" ca="1" si="41"/>
        <v>-2.5941843409917199E-3</v>
      </c>
      <c r="M115">
        <f t="shared" si="34"/>
        <v>-2.5941843386257908E-3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-3.9256963660657158</v>
      </c>
      <c r="C116" s="1">
        <f t="shared" si="37"/>
        <v>1.6849059443952452</v>
      </c>
      <c r="D116" t="str">
        <f t="shared" si="35"/>
        <v>y</v>
      </c>
      <c r="E116" s="4">
        <f t="shared" si="32"/>
        <v>2.0804278778399099</v>
      </c>
      <c r="F116" s="1">
        <f t="shared" si="38"/>
        <v>-3.9256963660657158</v>
      </c>
      <c r="G116" s="1">
        <f t="shared" si="38"/>
        <v>1.6849059443952452</v>
      </c>
      <c r="H116">
        <f t="shared" si="33"/>
        <v>-9.6046378450636016</v>
      </c>
      <c r="I116">
        <f t="shared" si="39"/>
        <v>-16.182911398911202</v>
      </c>
      <c r="J116">
        <f t="shared" si="40"/>
        <v>-37.704891885743429</v>
      </c>
      <c r="K116">
        <f t="shared" ca="1" si="45"/>
        <v>-28.716789714951759</v>
      </c>
      <c r="L116">
        <f t="shared" ca="1" si="41"/>
        <v>-9.9023412810178481E-4</v>
      </c>
      <c r="M116">
        <f t="shared" si="34"/>
        <v>-9.9023412719867867E-4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4.0655998008847414</v>
      </c>
      <c r="C117" s="1">
        <f t="shared" si="37"/>
        <v>1.3118301182111765</v>
      </c>
      <c r="D117" t="str">
        <f t="shared" si="35"/>
        <v>y</v>
      </c>
      <c r="E117" s="4">
        <f t="shared" si="32"/>
        <v>2.4535037040239787</v>
      </c>
      <c r="F117" s="1">
        <f t="shared" si="38"/>
        <v>4.0655998008847414</v>
      </c>
      <c r="G117" s="1">
        <f t="shared" si="38"/>
        <v>1.3118301182111765</v>
      </c>
      <c r="H117">
        <f t="shared" si="33"/>
        <v>-11.327003824395865</v>
      </c>
      <c r="I117">
        <f t="shared" si="39"/>
        <v>-14.859104765935674</v>
      </c>
      <c r="J117">
        <f t="shared" si="40"/>
        <v>46.051064493084532</v>
      </c>
      <c r="K117">
        <f t="shared" ca="1" si="45"/>
        <v>-33.866470779302603</v>
      </c>
      <c r="L117">
        <f t="shared" ca="1" si="41"/>
        <v>-1.1678093372173312E-3</v>
      </c>
      <c r="M117">
        <f t="shared" si="34"/>
        <v>-1.1678093361522741E-3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-7.3188254939927102</v>
      </c>
      <c r="C118" s="1">
        <f t="shared" si="37"/>
        <v>-6.6659427981705903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-7.3188254939927102</v>
      </c>
      <c r="C119" s="1">
        <f t="shared" si="37"/>
        <v>-6.6659427981705903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-7.3188254939927102</v>
      </c>
      <c r="C120" s="1">
        <f t="shared" si="37"/>
        <v>-6.6659427981705903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-7.3188254939927102</v>
      </c>
      <c r="C121" s="1">
        <f t="shared" si="37"/>
        <v>-6.6659427981705903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7.9475198188024176</v>
      </c>
      <c r="H122">
        <f>SUM(H110:H121)</f>
        <v>-141.1928359041313</v>
      </c>
      <c r="I122">
        <f t="shared" ref="I122:J122" si="46">SUM(I110:I121)</f>
        <v>328.75042929564847</v>
      </c>
      <c r="J122">
        <f t="shared" si="46"/>
        <v>5.3431001812500512</v>
      </c>
      <c r="L122">
        <f ca="1">MIN(L110:L121)</f>
        <v>-3.782830177470377E-3</v>
      </c>
      <c r="M122">
        <f>MIN(M110:M121)</f>
        <v>-3.782830174020388E-3</v>
      </c>
      <c r="N122">
        <f>SUM(N110:N121)</f>
        <v>0.46315207846102463</v>
      </c>
      <c r="O122">
        <f>SUM(O110:O121)</f>
        <v>1.9205667651760592</v>
      </c>
      <c r="P122">
        <f>SUM(P110:P121)</f>
        <v>1.4124509849938793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3.7653338222351551</v>
      </c>
      <c r="F125" s="1" t="s">
        <v>27</v>
      </c>
      <c r="G125" s="1" t="s">
        <v>28</v>
      </c>
    </row>
    <row r="126" spans="1:16" x14ac:dyDescent="0.25">
      <c r="F126" s="4">
        <f>MIN(B84:B90)-1</f>
        <v>-8.3188254939927102</v>
      </c>
      <c r="G126" s="4">
        <f>B125</f>
        <v>3.7653338222351551</v>
      </c>
    </row>
    <row r="127" spans="1:16" x14ac:dyDescent="0.25">
      <c r="F127" s="4">
        <f>MAX(B84:B90)+1</f>
        <v>8.3188254939927102</v>
      </c>
      <c r="G127" s="4">
        <f>G126</f>
        <v>3.7653338222351551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-7.3188254939927102</v>
      </c>
      <c r="C132" s="4">
        <f>C84</f>
        <v>-6.6659427981705903</v>
      </c>
      <c r="D132" s="4">
        <f t="shared" ref="D132:E139" si="47">B85</f>
        <v>6.6659427981705903</v>
      </c>
      <c r="E132" s="4">
        <f t="shared" si="47"/>
        <v>-7.3188254939927102</v>
      </c>
      <c r="F132" s="4">
        <f t="shared" ref="F132:F139" si="48">($B$66/$B$65)*(C132-$B$125)</f>
        <v>-20.228963589459131</v>
      </c>
      <c r="G132" s="4">
        <f t="shared" ref="G132:G139" si="49">($B$66/$B$65)*(E132-$B$125)</f>
        <v>-21.495073267361612</v>
      </c>
      <c r="H132" s="4">
        <f>IF(B132=D132,"V",(C132-E132)/(B132-D132))</f>
        <v>-4.6685270873452964E-2</v>
      </c>
      <c r="I132" s="4">
        <f>IF(H132="V",0,(-1*B132*H132)+C132)</f>
        <v>-7.0076241488331732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6.6659427981705903</v>
      </c>
      <c r="C133" s="4">
        <f t="shared" si="50"/>
        <v>-7.3188254939927102</v>
      </c>
      <c r="D133" s="4">
        <f t="shared" si="47"/>
        <v>7.3188254939927102</v>
      </c>
      <c r="E133" s="4">
        <f t="shared" si="47"/>
        <v>6.6659427981705903</v>
      </c>
      <c r="F133" s="4">
        <f t="shared" si="48"/>
        <v>-21.495073267361612</v>
      </c>
      <c r="G133" s="4">
        <f t="shared" si="49"/>
        <v>5.6250366562682457</v>
      </c>
      <c r="H133" s="4">
        <f t="shared" ref="H133:H139" si="51">IF(B133=D133,"V",(C133-E133)/(B133-D133))</f>
        <v>21.420032084865515</v>
      </c>
      <c r="I133" s="4">
        <f t="shared" ref="I133:I139" si="52">IF(H133="V",0,(-1*B133*H133)+C133)</f>
        <v>-150.10353410668495</v>
      </c>
      <c r="J133" s="4">
        <f t="shared" ref="J133:J139" si="53">IF($F133&gt;=0,B133,IF(AND($F133&lt;0,$G133&gt;=0),IF(H133="V",B133,($B$125-I133)/H133),0))</f>
        <v>7.1834097782531954</v>
      </c>
      <c r="K133" s="4">
        <f t="shared" ref="K133:K139" si="54">IF($F133&gt;=0,C133,IF(AND($F133&lt;0,$G133&gt;=0),$B$125,0))</f>
        <v>3.7653338222351551</v>
      </c>
      <c r="L133" s="4">
        <f t="shared" ref="L133:L139" si="55">IF($G133&gt;=0,D133,IF(AND($G133&lt;0,$F133&gt;=0),IF(H133="V",D133,($B$125-I133)/H133),0))</f>
        <v>7.3188254939927102</v>
      </c>
      <c r="M133" s="4">
        <f t="shared" ref="M133:M139" si="56">IF($G133&gt;=0,E133,IF(AND($G133&lt;0,$F133&gt;=0),$B$125,0))</f>
        <v>6.6659427981705903</v>
      </c>
      <c r="N133" s="4">
        <f t="shared" ref="N133:O139" si="57">IF(F133&lt;0,0,F133)</f>
        <v>0</v>
      </c>
      <c r="O133" s="4">
        <f t="shared" si="57"/>
        <v>5.6250366562682457</v>
      </c>
      <c r="P133" s="4">
        <f t="shared" ref="P133:P139" si="58">(1/6)*(M133-K133)*((N133*((2*J133)+L133))+(O133*(J133+(2*L133))))</f>
        <v>59.338853616999728</v>
      </c>
      <c r="Q133" s="4">
        <f t="shared" ref="Q133:Q139" si="59">((1/12)*(M133-K133)*(N133*J133*((3*K133)+M133)+N133*L133*(K133+M133)+O133*J133*(K133+M133)+O133*L133*(K133+(3*M133))))</f>
        <v>338.35448739460685</v>
      </c>
      <c r="R133" s="4">
        <f t="shared" ref="R133:R139" si="60">((-1/24)*(M133-K133)*(J133*J133*((3*N133)+O133)+2*J133*L133*(N133+O133)+L133*L133*(N133+(3*O133))))</f>
        <v>-215.81027723291476</v>
      </c>
    </row>
    <row r="134" spans="1:18" x14ac:dyDescent="0.25">
      <c r="A134" t="s">
        <v>71</v>
      </c>
      <c r="B134" s="4">
        <f t="shared" si="50"/>
        <v>7.3188254939927102</v>
      </c>
      <c r="C134" s="4">
        <f t="shared" si="50"/>
        <v>6.6659427981705903</v>
      </c>
      <c r="D134" s="4">
        <f t="shared" si="47"/>
        <v>-6.6659427981705903</v>
      </c>
      <c r="E134" s="4">
        <f t="shared" si="47"/>
        <v>7.3188254939927102</v>
      </c>
      <c r="F134" s="4">
        <f t="shared" si="48"/>
        <v>5.6250366562682457</v>
      </c>
      <c r="G134" s="4">
        <f t="shared" si="49"/>
        <v>6.8911463341707249</v>
      </c>
      <c r="H134" s="4">
        <f t="shared" si="51"/>
        <v>-4.6685270873452964E-2</v>
      </c>
      <c r="I134" s="4">
        <f t="shared" si="52"/>
        <v>7.0076241488331732</v>
      </c>
      <c r="J134" s="4">
        <f t="shared" si="53"/>
        <v>7.3188254939927102</v>
      </c>
      <c r="K134" s="4">
        <f t="shared" si="54"/>
        <v>6.6659427981705903</v>
      </c>
      <c r="L134" s="4">
        <f t="shared" si="55"/>
        <v>-6.6659427981705903</v>
      </c>
      <c r="M134" s="4">
        <f t="shared" si="56"/>
        <v>7.3188254939927102</v>
      </c>
      <c r="N134" s="4">
        <f t="shared" si="57"/>
        <v>5.6250366562682457</v>
      </c>
      <c r="O134" s="4">
        <f t="shared" si="57"/>
        <v>6.8911463341707249</v>
      </c>
      <c r="P134" s="4">
        <f t="shared" si="58"/>
        <v>0.37043189835639434</v>
      </c>
      <c r="Q134" s="4">
        <f t="shared" si="59"/>
        <v>-0.50386979092606465</v>
      </c>
      <c r="R134" s="4">
        <f t="shared" si="60"/>
        <v>-33.198022088687054</v>
      </c>
    </row>
    <row r="135" spans="1:18" x14ac:dyDescent="0.25">
      <c r="A135" t="s">
        <v>72</v>
      </c>
      <c r="B135" s="4">
        <f t="shared" si="50"/>
        <v>-6.6659427981705903</v>
      </c>
      <c r="C135" s="4">
        <f t="shared" si="50"/>
        <v>7.3188254939927102</v>
      </c>
      <c r="D135" s="4">
        <f t="shared" si="47"/>
        <v>-7.3188254939927102</v>
      </c>
      <c r="E135" s="4">
        <f t="shared" si="47"/>
        <v>-6.6659427981705903</v>
      </c>
      <c r="F135" s="4">
        <f t="shared" si="48"/>
        <v>6.8911463341707249</v>
      </c>
      <c r="G135" s="4">
        <f t="shared" si="49"/>
        <v>-20.228963589459131</v>
      </c>
      <c r="H135" s="4">
        <f t="shared" si="51"/>
        <v>21.420032084865515</v>
      </c>
      <c r="I135" s="4">
        <f t="shared" si="52"/>
        <v>150.10353410668495</v>
      </c>
      <c r="J135" s="4">
        <f t="shared" si="53"/>
        <v>-6.6659427981705903</v>
      </c>
      <c r="K135" s="4">
        <f t="shared" si="54"/>
        <v>7.3188254939927102</v>
      </c>
      <c r="L135" s="4">
        <f t="shared" si="55"/>
        <v>-6.8318385194131501</v>
      </c>
      <c r="M135" s="4">
        <f t="shared" si="56"/>
        <v>3.7653338222351551</v>
      </c>
      <c r="N135" s="4">
        <f t="shared" si="57"/>
        <v>6.8911463341707249</v>
      </c>
      <c r="O135" s="4">
        <f t="shared" si="57"/>
        <v>0</v>
      </c>
      <c r="P135" s="4">
        <f t="shared" si="58"/>
        <v>82.293639649455457</v>
      </c>
      <c r="Q135" s="4">
        <f t="shared" si="59"/>
        <v>504.41520902419938</v>
      </c>
      <c r="R135" s="4">
        <f t="shared" si="60"/>
        <v>276.5670679184575</v>
      </c>
    </row>
    <row r="136" spans="1:18" x14ac:dyDescent="0.25">
      <c r="A136" t="s">
        <v>73</v>
      </c>
      <c r="B136" s="4">
        <f t="shared" si="50"/>
        <v>-7.3188254939927102</v>
      </c>
      <c r="C136" s="4">
        <f t="shared" si="50"/>
        <v>-6.6659427981705903</v>
      </c>
      <c r="D136" s="4">
        <f t="shared" si="47"/>
        <v>-7.3188254939927102</v>
      </c>
      <c r="E136" s="4">
        <f t="shared" si="47"/>
        <v>-6.6659427981705903</v>
      </c>
      <c r="F136" s="4">
        <f t="shared" si="48"/>
        <v>-20.228963589459131</v>
      </c>
      <c r="G136" s="4">
        <f t="shared" si="49"/>
        <v>-20.228963589459131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-7.3188254939927102</v>
      </c>
      <c r="C137" s="4">
        <f t="shared" si="50"/>
        <v>-6.6659427981705903</v>
      </c>
      <c r="D137" s="4">
        <f t="shared" si="47"/>
        <v>-7.3188254939927102</v>
      </c>
      <c r="E137" s="4">
        <f t="shared" si="47"/>
        <v>-6.6659427981705903</v>
      </c>
      <c r="F137" s="4">
        <f t="shared" si="48"/>
        <v>-20.228963589459131</v>
      </c>
      <c r="G137" s="4">
        <f t="shared" si="49"/>
        <v>-20.228963589459131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-7.3188254939927102</v>
      </c>
      <c r="C138" s="4">
        <f t="shared" si="50"/>
        <v>-6.6659427981705903</v>
      </c>
      <c r="D138" s="4">
        <f t="shared" si="47"/>
        <v>-7.3188254939927102</v>
      </c>
      <c r="E138" s="4">
        <f t="shared" si="47"/>
        <v>-6.6659427981705903</v>
      </c>
      <c r="F138" s="4">
        <f t="shared" si="48"/>
        <v>-20.228963589459131</v>
      </c>
      <c r="G138" s="4">
        <f t="shared" si="49"/>
        <v>-20.228963589459131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-7.3188254939927102</v>
      </c>
      <c r="C139" s="4">
        <f>E138</f>
        <v>-6.6659427981705903</v>
      </c>
      <c r="D139" s="4">
        <f t="shared" si="47"/>
        <v>-7.3188254939927102</v>
      </c>
      <c r="E139" s="4">
        <f t="shared" si="47"/>
        <v>-6.6659427981705903</v>
      </c>
      <c r="F139" s="4">
        <f t="shared" si="48"/>
        <v>-20.228963589459131</v>
      </c>
      <c r="G139" s="4">
        <f t="shared" si="49"/>
        <v>-20.228963589459131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142.00292516481159</v>
      </c>
      <c r="Q140" s="4">
        <f>SUM(Q132:Q139)</f>
        <v>842.26582662788019</v>
      </c>
      <c r="R140" s="4">
        <f>SUM(R132:R139)</f>
        <v>27.558768596855685</v>
      </c>
    </row>
    <row r="142" spans="1:18" x14ac:dyDescent="0.25">
      <c r="O142" t="s">
        <v>96</v>
      </c>
      <c r="P142" s="1">
        <f>-1*R140/P140</f>
        <v>-0.19407183735736711</v>
      </c>
    </row>
    <row r="143" spans="1:18" x14ac:dyDescent="0.25">
      <c r="O143" t="s">
        <v>97</v>
      </c>
      <c r="P143" s="1">
        <f>Q140/P140</f>
        <v>5.9313272994223798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-3.183273975698456</v>
      </c>
      <c r="C146" s="9">
        <f>J84</f>
        <v>-3.8557446486562026</v>
      </c>
      <c r="D146" s="9">
        <f t="shared" ref="D146:E153" si="61">I85</f>
        <v>-2.8101981495143873</v>
      </c>
      <c r="E146">
        <f t="shared" si="61"/>
        <v>4.1355515182942542</v>
      </c>
      <c r="F146" s="4">
        <f>($B$66/$B$65)*(C146-$B$125)</f>
        <v>-14.77925708522487</v>
      </c>
      <c r="G146" s="4">
        <f>($B$66/$B$65)*(E146-$B$125)</f>
        <v>0.71794858542076101</v>
      </c>
      <c r="H146" s="4">
        <f>IF(B146=D146,"V",(C146-E146)/(B146-D146))</f>
        <v>21.4200320848655</v>
      </c>
      <c r="I146" s="4">
        <f>IF(H146="V",0,(-1*B146*H146)+C146)</f>
        <v>64.330086045722098</v>
      </c>
      <c r="J146" s="4">
        <f>IF($F146&gt;=0,B146,IF(AND($F146&lt;0,$G146&gt;=0),IF(H146="V",B146,($B$125-I146)/H146),0))</f>
        <v>-2.8274818629370526</v>
      </c>
      <c r="K146" s="4">
        <f>IF($F146&gt;=0,C146,IF(AND($F146&lt;0,$G146&gt;=0),$B$125,0))</f>
        <v>3.7653338222351551</v>
      </c>
      <c r="L146" s="4">
        <f>IF($G146&gt;=0,D146,IF(AND($G146&lt;0,$F146&gt;=0),IF(H146="V",D146,($B$125-I146)/H146),0))</f>
        <v>-2.8101981495143873</v>
      </c>
      <c r="M146" s="4">
        <f>IF($G146&gt;=0,E146,IF(AND($G146&lt;0,$F146&gt;=0),$B$125,0))</f>
        <v>4.1355515182942542</v>
      </c>
      <c r="N146" s="4">
        <f>IF(F146&lt;0,0,F146)</f>
        <v>0</v>
      </c>
      <c r="O146" s="4">
        <f>IF(G146&lt;0,0,G146)</f>
        <v>0.71794858542076101</v>
      </c>
      <c r="P146" s="4">
        <f>(1/6)*(M146-K146)*((N146*((2*J146)+L146))+(O146*(J146+(2*L146))))</f>
        <v>-0.37423716045667405</v>
      </c>
      <c r="Q146" s="4">
        <f>((1/12)*(M146-K146)*(N146*J146*((3*K146)+M146)+N146*L146*(K146+M146)+O146*J146*(K146+M146)+O146*L146*(K146+(3*M146))))</f>
        <v>-1.5014467405008121</v>
      </c>
      <c r="R146" s="4">
        <f>((-1/24)*(M146-K146)*(J146*J146*((3*N146)+O146)+2*J146*L146*(N146+O146)+L146*L146*(N146+(3*O146))))</f>
        <v>-0.52691942532460212</v>
      </c>
    </row>
    <row r="147" spans="1:18" x14ac:dyDescent="0.25">
      <c r="A147" t="s">
        <v>70</v>
      </c>
      <c r="B147" s="9">
        <f t="shared" ref="B147:C153" si="62">D146</f>
        <v>-2.8101981495143873</v>
      </c>
      <c r="C147">
        <f t="shared" si="62"/>
        <v>4.1355515182942542</v>
      </c>
      <c r="D147" s="9">
        <f t="shared" si="61"/>
        <v>3.183273975698456</v>
      </c>
      <c r="E147">
        <f t="shared" si="61"/>
        <v>3.8557446486562026</v>
      </c>
      <c r="F147" s="4">
        <f t="shared" ref="F147:F153" si="63">($B$66/$B$65)*(C147-$B$125)</f>
        <v>0.71794858542076101</v>
      </c>
      <c r="G147" s="4">
        <f t="shared" ref="G147:G153" si="64">($B$66/$B$65)*(E147-$B$125)</f>
        <v>0.17533015203398369</v>
      </c>
      <c r="H147" s="4">
        <f t="shared" ref="H147:H153" si="65">IF(B147=D147,"V",(C147-E147)/(B147-D147))</f>
        <v>-4.6685270873452991E-2</v>
      </c>
      <c r="I147" s="4">
        <f t="shared" ref="I147:I153" si="66">IF(H147="V",0,(-1*B147*H147)+C147)</f>
        <v>4.0043566564760988</v>
      </c>
      <c r="J147" s="4">
        <f t="shared" ref="J147:J153" si="67">IF($F147&gt;=0,B147,IF(AND($F147&lt;0,$G147&gt;=0),IF(H147="V",B147,($B$125-I147)/H147),0))</f>
        <v>-2.8101981495143873</v>
      </c>
      <c r="K147" s="4">
        <f t="shared" ref="K147:K153" si="68">IF($F147&gt;=0,C147,IF(AND($F147&lt;0,$G147&gt;=0),$B$125,0))</f>
        <v>4.1355515182942542</v>
      </c>
      <c r="L147" s="4">
        <f t="shared" ref="L147:L153" si="69">IF($G147&gt;=0,D147,IF(AND($G147&lt;0,$F147&gt;=0),IF(H147="V",D147,($B$125-I147)/H147),0))</f>
        <v>3.183273975698456</v>
      </c>
      <c r="M147" s="4">
        <f t="shared" ref="M147:M153" si="70">IF($G147&gt;=0,E147,IF(AND($G147&lt;0,$F147&gt;=0),$B$125,0))</f>
        <v>3.8557446486562026</v>
      </c>
      <c r="N147" s="4">
        <f t="shared" ref="N147:O153" si="71">IF(F147&lt;0,0,F147)</f>
        <v>0.71794858542076101</v>
      </c>
      <c r="O147" s="4">
        <f t="shared" si="71"/>
        <v>0.17533015203398369</v>
      </c>
      <c r="P147" s="4">
        <f t="shared" ref="P147:P153" si="72">(1/6)*(M147-K147)*((N147*((2*J147)+L147))+(O147*(J147+(2*L147))))</f>
        <v>5.2519431061315729E-2</v>
      </c>
      <c r="Q147" s="4">
        <f t="shared" ref="Q147:Q153" si="73">((1/12)*(M147-K147)*(N147*J147*((3*K147)+M147)+N147*L147*(K147+M147)+O147*J147*(K147+M147)+O147*L147*(K147+(3*M147))))</f>
        <v>0.22665387566460826</v>
      </c>
      <c r="R147" s="4">
        <f t="shared" ref="R147:R153" si="74">((-1/24)*(M147-K147)*(J147*J147*((3*N147)+O147)+2*J147*L147*(N147+O147)+L147*L147*(N147+(3*O147))))</f>
        <v>0.17508029828297231</v>
      </c>
    </row>
    <row r="148" spans="1:18" x14ac:dyDescent="0.25">
      <c r="A148" t="s">
        <v>71</v>
      </c>
      <c r="B148" s="9">
        <f t="shared" si="62"/>
        <v>3.183273975698456</v>
      </c>
      <c r="C148">
        <f t="shared" si="62"/>
        <v>3.8557446486562026</v>
      </c>
      <c r="D148" s="9">
        <f t="shared" si="61"/>
        <v>2.8101981495143873</v>
      </c>
      <c r="E148">
        <f t="shared" si="61"/>
        <v>-4.1355515182942542</v>
      </c>
      <c r="F148" s="4">
        <f t="shared" si="63"/>
        <v>0.17533015203398369</v>
      </c>
      <c r="G148" s="4">
        <f t="shared" si="64"/>
        <v>-15.321875518611648</v>
      </c>
      <c r="H148" s="4">
        <f t="shared" si="65"/>
        <v>21.4200320848655</v>
      </c>
      <c r="I148" s="4">
        <f t="shared" si="66"/>
        <v>-64.330086045722098</v>
      </c>
      <c r="J148" s="4">
        <f t="shared" si="67"/>
        <v>3.183273975698456</v>
      </c>
      <c r="K148" s="4">
        <f t="shared" si="68"/>
        <v>3.8557446486562026</v>
      </c>
      <c r="L148" s="4">
        <f t="shared" si="69"/>
        <v>3.179053121777097</v>
      </c>
      <c r="M148" s="4">
        <f t="shared" si="70"/>
        <v>3.7653338222351551</v>
      </c>
      <c r="N148" s="4">
        <f t="shared" si="71"/>
        <v>0.17533015203398369</v>
      </c>
      <c r="O148" s="4">
        <f t="shared" si="71"/>
        <v>0</v>
      </c>
      <c r="P148" s="4">
        <f t="shared" si="72"/>
        <v>-2.521907066394577E-2</v>
      </c>
      <c r="Q148" s="4">
        <f t="shared" si="73"/>
        <v>-9.6478439116440287E-2</v>
      </c>
      <c r="R148" s="4">
        <f t="shared" si="74"/>
        <v>4.0121868588041613E-2</v>
      </c>
    </row>
    <row r="149" spans="1:18" x14ac:dyDescent="0.25">
      <c r="A149" t="s">
        <v>72</v>
      </c>
      <c r="B149" s="9">
        <f t="shared" si="62"/>
        <v>2.8101981495143873</v>
      </c>
      <c r="C149">
        <f t="shared" si="62"/>
        <v>-4.1355515182942542</v>
      </c>
      <c r="D149" s="9">
        <f t="shared" si="61"/>
        <v>-3.183273975698456</v>
      </c>
      <c r="E149">
        <f t="shared" si="61"/>
        <v>-3.8557446486562026</v>
      </c>
      <c r="F149" s="4">
        <f t="shared" si="63"/>
        <v>-15.321875518611648</v>
      </c>
      <c r="G149" s="4">
        <f t="shared" si="64"/>
        <v>-14.77925708522487</v>
      </c>
      <c r="H149" s="4">
        <f t="shared" si="65"/>
        <v>-4.6685270873452991E-2</v>
      </c>
      <c r="I149" s="4">
        <f t="shared" si="66"/>
        <v>-4.0043566564760988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-3.183273975698456</v>
      </c>
      <c r="C150">
        <f t="shared" si="62"/>
        <v>-3.8557446486562026</v>
      </c>
      <c r="D150" s="9">
        <f t="shared" si="61"/>
        <v>-3.183273975698456</v>
      </c>
      <c r="E150">
        <f t="shared" si="61"/>
        <v>-3.8557446486562026</v>
      </c>
      <c r="F150" s="4">
        <f t="shared" si="63"/>
        <v>-14.77925708522487</v>
      </c>
      <c r="G150" s="4">
        <f t="shared" si="64"/>
        <v>-14.77925708522487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-3.183273975698456</v>
      </c>
      <c r="C151">
        <f t="shared" si="62"/>
        <v>-3.8557446486562026</v>
      </c>
      <c r="D151" s="9">
        <f t="shared" si="61"/>
        <v>-3.183273975698456</v>
      </c>
      <c r="E151">
        <f t="shared" si="61"/>
        <v>-3.8557446486562026</v>
      </c>
      <c r="F151" s="4">
        <f t="shared" si="63"/>
        <v>-14.77925708522487</v>
      </c>
      <c r="G151" s="4">
        <f t="shared" si="64"/>
        <v>-14.77925708522487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-3.183273975698456</v>
      </c>
      <c r="C152">
        <f t="shared" si="62"/>
        <v>-3.8557446486562026</v>
      </c>
      <c r="D152" s="9">
        <f t="shared" si="61"/>
        <v>-3.183273975698456</v>
      </c>
      <c r="E152">
        <f t="shared" si="61"/>
        <v>-3.8557446486562026</v>
      </c>
      <c r="F152" s="4">
        <f t="shared" si="63"/>
        <v>-14.77925708522487</v>
      </c>
      <c r="G152" s="4">
        <f t="shared" si="64"/>
        <v>-14.77925708522487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-3.183273975698456</v>
      </c>
      <c r="C153">
        <f t="shared" si="62"/>
        <v>-3.8557446486562026</v>
      </c>
      <c r="D153" s="9">
        <f t="shared" si="61"/>
        <v>-3.183273975698456</v>
      </c>
      <c r="E153">
        <f t="shared" si="61"/>
        <v>-3.8557446486562026</v>
      </c>
      <c r="F153" s="4">
        <f t="shared" si="63"/>
        <v>-14.77925708522487</v>
      </c>
      <c r="G153" s="4">
        <f t="shared" si="64"/>
        <v>-14.77925708522487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-0.34693680005930405</v>
      </c>
      <c r="Q154" s="4">
        <f t="shared" ref="Q154:R154" si="75">SUM(Q146:Q153)</f>
        <v>-1.3712713039526441</v>
      </c>
      <c r="R154" s="4">
        <f t="shared" si="75"/>
        <v>-0.31171725845358816</v>
      </c>
    </row>
    <row r="156" spans="1:18" x14ac:dyDescent="0.25">
      <c r="O156" t="s">
        <v>96</v>
      </c>
      <c r="P156" s="1">
        <f>-1*R154/P154</f>
        <v>-0.89848427264073571</v>
      </c>
    </row>
    <row r="157" spans="1:18" x14ac:dyDescent="0.25">
      <c r="O157" t="s">
        <v>97</v>
      </c>
      <c r="P157" s="1">
        <f>Q154/P154</f>
        <v>3.9525103814822877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3.8215995717960638E-7</v>
      </c>
      <c r="C159" t="s">
        <v>36</v>
      </c>
    </row>
    <row r="160" spans="1:18" x14ac:dyDescent="0.25">
      <c r="A160" s="1" t="s">
        <v>106</v>
      </c>
      <c r="B160" s="4">
        <f>Q140+I122+Q154-O122</f>
        <v>1167.7244178543999</v>
      </c>
      <c r="C160" t="s">
        <v>102</v>
      </c>
    </row>
    <row r="161" spans="1:9" x14ac:dyDescent="0.25">
      <c r="A161" s="1" t="s">
        <v>107</v>
      </c>
      <c r="B161" s="4">
        <f>R140+J122+R154-P122</f>
        <v>31.177700534658268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3.8215995717960638E-7</v>
      </c>
      <c r="C164" t="s">
        <v>36</v>
      </c>
      <c r="E164" s="8">
        <f>B2-B164</f>
        <v>-3.8215995717960638E-7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1165.0000022586041</v>
      </c>
      <c r="C165" t="s">
        <v>102</v>
      </c>
      <c r="E165" s="8">
        <f>B3+B165</f>
        <v>2.2586041268368717E-6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85.599998840410635</v>
      </c>
      <c r="C166" t="s">
        <v>102</v>
      </c>
      <c r="E166" s="8">
        <f>B4+B166</f>
        <v>-1.1595893596449969E-6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6.8911463341707249</v>
      </c>
      <c r="B169" s="1">
        <f ca="1">IF(E122=0,0,(MIN(H110:H121)*B65)/(B55*B56*E122))</f>
        <v>-6.8911463404555384</v>
      </c>
      <c r="C169" s="3">
        <f ca="1">A169+B169</f>
        <v>-6.2848135584658849E-9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6.9195205576782723E-10</v>
      </c>
      <c r="C175" s="27">
        <f>B65*SQRT(I175)</f>
        <v>5.2706799119990835E-8</v>
      </c>
      <c r="D175" s="27">
        <f>B66*SQRT(I175)</f>
        <v>1.022122180356635E-7</v>
      </c>
      <c r="E175" s="27">
        <f>B67*SQRT(I175)</f>
        <v>5.4421597901291562E-7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4.6651398774934731E-2</v>
      </c>
      <c r="C176" s="3">
        <f>B65+C175</f>
        <v>3.553491724464354</v>
      </c>
      <c r="D176" s="3">
        <f>D175+B66</f>
        <v>6.8911464363829431</v>
      </c>
      <c r="E176" s="3">
        <f>B67+E175</f>
        <v>36.691034364296613</v>
      </c>
      <c r="F176" s="16" t="s">
        <v>125</v>
      </c>
    </row>
    <row r="177" spans="1:13" x14ac:dyDescent="0.25">
      <c r="B177" s="27">
        <f>B176-B64</f>
        <v>6.9195205815164584E-10</v>
      </c>
      <c r="C177" s="27">
        <f>C176-B65</f>
        <v>5.2706798925328258E-8</v>
      </c>
      <c r="D177" s="27">
        <f>D176-B66</f>
        <v>1.0221221824480153E-7</v>
      </c>
      <c r="E177" s="27">
        <f>E176-B67</f>
        <v>5.4421597894815932E-7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-20.489020256949715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7.3188257683569953</v>
      </c>
      <c r="B181" s="25">
        <f>(d_alpha_p!E136-d_alpha_m!E136)/(2*B177)</f>
        <v>7.3188257683569953</v>
      </c>
      <c r="C181" s="25">
        <f>(d_alpha_p!E137-d_alpha_m!E137)/(2*B177)</f>
        <v>7.3188257683569953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3.8215995717960638E-7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-2.2586041268368717E-6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1.1595893596449969E-6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6.2848135584658849E-9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-20.489020256949715</v>
      </c>
      <c r="B190" s="25">
        <f>A181</f>
        <v>7.3188257683569953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7.3188257683569953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7.3188257683569953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-20.489020256949715</v>
      </c>
      <c r="B201" s="25">
        <f t="shared" ref="B201:C201" si="77">B190</f>
        <v>7.3188257683569953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7.3188257683569953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7.3188257683569953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-1165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-2.54737609329446</v>
      </c>
      <c r="J3" t="s">
        <v>11</v>
      </c>
    </row>
    <row r="4" spans="1:29" x14ac:dyDescent="0.25">
      <c r="A4" s="10" t="s">
        <v>80</v>
      </c>
      <c r="B4" s="17">
        <f>'Rigid Bearing Plate Analysis'!B4</f>
        <v>-85.6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-0.18717201166180752</v>
      </c>
      <c r="J4" t="s">
        <v>11</v>
      </c>
    </row>
    <row r="5" spans="1:29" x14ac:dyDescent="0.25">
      <c r="A5" s="10" t="s">
        <v>104</v>
      </c>
      <c r="B5" s="20">
        <f>ATAN2(B3,B4)</f>
        <v>-3.0682480597090245</v>
      </c>
      <c r="C5" t="s">
        <v>19</v>
      </c>
      <c r="I5">
        <f>SUM(I2:I4)</f>
        <v>-2.7345481049562674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2.54737609329446</v>
      </c>
      <c r="AB14">
        <f>$B$4/Z14</f>
        <v>-0.18717201166180752</v>
      </c>
      <c r="AC14">
        <f>$I$2+AA14+AB14</f>
        <v>2.3602040816326526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-2.54737609329446</v>
      </c>
      <c r="AB15">
        <f t="shared" ref="AB15:AB21" si="11">$B$4/Z15</f>
        <v>-0.18717201166180752</v>
      </c>
      <c r="AC15">
        <f t="shared" ref="AC15:AC20" si="12">$I$2+AA15+AB15</f>
        <v>-2.7345481049562674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-2.54737609329446</v>
      </c>
      <c r="AB16">
        <f t="shared" si="11"/>
        <v>0.18717201166180752</v>
      </c>
      <c r="AC16">
        <f t="shared" si="12"/>
        <v>-2.3602040816326526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2.54737609329446</v>
      </c>
      <c r="AB17">
        <f t="shared" si="11"/>
        <v>0.18717201166180752</v>
      </c>
      <c r="AC17">
        <f t="shared" si="12"/>
        <v>2.7345481049562674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2.54737609329446</v>
      </c>
      <c r="AB18">
        <f t="shared" si="11"/>
        <v>0.18717201166180752</v>
      </c>
      <c r="AC18">
        <f t="shared" si="12"/>
        <v>2.7345481049562674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2.54737609329446</v>
      </c>
      <c r="AB19">
        <f t="shared" si="11"/>
        <v>0.18717201166180752</v>
      </c>
      <c r="AC19">
        <f t="shared" si="12"/>
        <v>2.7345481049562674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2.54737609329446</v>
      </c>
      <c r="AB20">
        <f t="shared" si="11"/>
        <v>0.18717201166180752</v>
      </c>
      <c r="AC20">
        <f t="shared" si="12"/>
        <v>2.7345481049562674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0.18717201166180752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3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11</v>
      </c>
      <c r="D26" s="5">
        <f>((B25*C26)-(B26*C25))*0.5</f>
        <v>16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11</v>
      </c>
      <c r="D27" s="5">
        <f t="shared" ref="D27:D33" si="13">((B26*C27)-(B27*C26))*0.5</f>
        <v>-33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3</v>
      </c>
      <c r="D28" s="5">
        <f t="shared" si="13"/>
        <v>-40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3</v>
      </c>
      <c r="D29" s="5">
        <f t="shared" si="13"/>
        <v>9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3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3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3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3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-48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4.6651398774934738E-2</v>
      </c>
      <c r="C64" t="s">
        <v>19</v>
      </c>
      <c r="D64" t="s">
        <v>34</v>
      </c>
      <c r="H64" s="17">
        <f>DEGREES(B64)</f>
        <v>2.6729282581855394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3.553491724464354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6.8911463341707249</v>
      </c>
      <c r="C66" t="s">
        <v>11</v>
      </c>
      <c r="D66">
        <f>B66/B53</f>
        <v>1.6913774140270336E-3</v>
      </c>
      <c r="I66" s="20"/>
    </row>
    <row r="67" spans="1:18" x14ac:dyDescent="0.25">
      <c r="A67" s="1" t="s">
        <v>37</v>
      </c>
      <c r="B67" s="17">
        <f>'Rigid Bearing Plate Analysis'!B67</f>
        <v>36.691033820080634</v>
      </c>
      <c r="C67" t="s">
        <v>36</v>
      </c>
      <c r="D67" t="s">
        <v>122</v>
      </c>
      <c r="G67" s="20">
        <f ca="1">($B$56*$B$66*$B$55*$E$122)/$B$65</f>
        <v>36.691033032535039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4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4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-4</v>
      </c>
      <c r="Q76" cm="1">
        <f t="array" ref="Q76">(-1*MAX(ABS(B84:C91)))-1</f>
        <v>-8.318825498605225</v>
      </c>
      <c r="R76">
        <f>Q76</f>
        <v>-8.318825498605225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-4</v>
      </c>
      <c r="Q77">
        <f>-1*Q76</f>
        <v>8.318825498605225</v>
      </c>
      <c r="R77">
        <f>Q77</f>
        <v>8.318825498605225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-4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-4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-7.3188254986052241</v>
      </c>
      <c r="C84" s="1">
        <f t="shared" ref="C84:C92" si="23">(-1*B73*SIN($B$64))+(C73*COS($B$64))</f>
        <v>-6.6659427931063133</v>
      </c>
      <c r="H84" s="1">
        <f t="shared" ref="H84:H92" si="24">H73</f>
        <v>1</v>
      </c>
      <c r="I84" s="4">
        <f>(I73*COS($B$64))+(J73*SIN($B$64))</f>
        <v>-3.1832739783664463</v>
      </c>
      <c r="J84" s="1">
        <f>(-1*I73*SIN($B$64))+(J73*COS($B$64))</f>
        <v>-3.8557446464535299</v>
      </c>
    </row>
    <row r="85" spans="1:10" x14ac:dyDescent="0.25">
      <c r="A85" s="1">
        <f t="shared" si="21"/>
        <v>2</v>
      </c>
      <c r="B85" s="4">
        <f t="shared" si="22"/>
        <v>6.6659427931063133</v>
      </c>
      <c r="C85" s="1">
        <f t="shared" si="23"/>
        <v>-7.3188254986052241</v>
      </c>
      <c r="H85" s="1">
        <f t="shared" si="24"/>
        <v>2</v>
      </c>
      <c r="I85" s="4">
        <f t="shared" ref="I85:I92" si="25">(I74*COS($B$64))+(J74*SIN($B$64))</f>
        <v>-2.8101981466527839</v>
      </c>
      <c r="J85" s="1">
        <f t="shared" ref="J85:J92" si="26">(-1*I74*SIN($B$64))+(J74*COS($B$64))</f>
        <v>4.1355515202387769</v>
      </c>
    </row>
    <row r="86" spans="1:10" x14ac:dyDescent="0.25">
      <c r="A86" s="1">
        <f t="shared" si="21"/>
        <v>3</v>
      </c>
      <c r="B86" s="4">
        <f t="shared" si="22"/>
        <v>7.3188254986052241</v>
      </c>
      <c r="C86" s="1">
        <f t="shared" si="23"/>
        <v>6.6659427931063133</v>
      </c>
      <c r="H86" s="1">
        <f t="shared" si="24"/>
        <v>3</v>
      </c>
      <c r="I86" s="4">
        <f t="shared" si="25"/>
        <v>3.1832739783664463</v>
      </c>
      <c r="J86" s="1">
        <f t="shared" si="26"/>
        <v>3.8557446464535299</v>
      </c>
    </row>
    <row r="87" spans="1:10" x14ac:dyDescent="0.25">
      <c r="A87" s="1">
        <f t="shared" si="21"/>
        <v>4</v>
      </c>
      <c r="B87" s="4">
        <f t="shared" si="22"/>
        <v>-6.6659427931063133</v>
      </c>
      <c r="C87" s="1">
        <f t="shared" si="23"/>
        <v>7.3188254986052241</v>
      </c>
      <c r="H87" s="1">
        <f t="shared" si="24"/>
        <v>4</v>
      </c>
      <c r="I87" s="4">
        <f t="shared" si="25"/>
        <v>2.8101981466527839</v>
      </c>
      <c r="J87" s="1">
        <f t="shared" si="26"/>
        <v>-4.1355515202387769</v>
      </c>
    </row>
    <row r="88" spans="1:10" x14ac:dyDescent="0.25">
      <c r="A88" s="1">
        <f t="shared" si="21"/>
        <v>5</v>
      </c>
      <c r="B88" s="4">
        <f t="shared" si="22"/>
        <v>-7.3188254986052241</v>
      </c>
      <c r="C88" s="1">
        <f t="shared" si="23"/>
        <v>-6.6659427931063133</v>
      </c>
      <c r="H88" s="1">
        <f t="shared" si="24"/>
        <v>5</v>
      </c>
      <c r="I88" s="4">
        <f t="shared" si="25"/>
        <v>-3.1832739783664463</v>
      </c>
      <c r="J88" s="1">
        <f t="shared" si="26"/>
        <v>-3.8557446464535299</v>
      </c>
    </row>
    <row r="89" spans="1:10" x14ac:dyDescent="0.25">
      <c r="A89" s="1">
        <f t="shared" si="21"/>
        <v>6</v>
      </c>
      <c r="B89" s="4">
        <f t="shared" si="22"/>
        <v>-7.3188254986052241</v>
      </c>
      <c r="C89" s="1">
        <f t="shared" si="23"/>
        <v>-6.6659427931063133</v>
      </c>
      <c r="H89" s="1">
        <f t="shared" si="24"/>
        <v>6</v>
      </c>
      <c r="I89" s="4">
        <f t="shared" si="25"/>
        <v>-3.1832739783664463</v>
      </c>
      <c r="J89" s="1">
        <f t="shared" si="26"/>
        <v>-3.8557446464535299</v>
      </c>
    </row>
    <row r="90" spans="1:10" x14ac:dyDescent="0.25">
      <c r="A90" s="1">
        <f t="shared" si="21"/>
        <v>7</v>
      </c>
      <c r="B90" s="4">
        <f t="shared" si="22"/>
        <v>-7.3188254986052241</v>
      </c>
      <c r="C90" s="1">
        <f t="shared" si="23"/>
        <v>-6.6659427931063133</v>
      </c>
      <c r="H90" s="1">
        <f t="shared" si="24"/>
        <v>7</v>
      </c>
      <c r="I90" s="4">
        <f t="shared" si="25"/>
        <v>-3.1832739783664463</v>
      </c>
      <c r="J90" s="1">
        <f t="shared" si="26"/>
        <v>-3.8557446464535299</v>
      </c>
    </row>
    <row r="91" spans="1:10" x14ac:dyDescent="0.25">
      <c r="A91" s="1">
        <f t="shared" si="21"/>
        <v>8</v>
      </c>
      <c r="B91" s="4">
        <f t="shared" si="22"/>
        <v>-7.3188254986052241</v>
      </c>
      <c r="C91" s="1">
        <f t="shared" si="23"/>
        <v>-6.6659427931063133</v>
      </c>
      <c r="H91" s="1">
        <f t="shared" si="24"/>
        <v>8</v>
      </c>
      <c r="I91" s="4">
        <f t="shared" si="25"/>
        <v>-3.1832739783664463</v>
      </c>
      <c r="J91" s="1">
        <f t="shared" si="26"/>
        <v>-3.8557446464535299</v>
      </c>
    </row>
    <row r="92" spans="1:10" x14ac:dyDescent="0.25">
      <c r="A92" s="1">
        <f t="shared" si="21"/>
        <v>9</v>
      </c>
      <c r="B92" s="4">
        <f t="shared" si="22"/>
        <v>-7.3188254986052241</v>
      </c>
      <c r="C92" s="1">
        <f t="shared" si="23"/>
        <v>-6.6659427931063133</v>
      </c>
      <c r="H92" s="1">
        <f t="shared" si="24"/>
        <v>9</v>
      </c>
      <c r="I92" s="4">
        <f t="shared" si="25"/>
        <v>-3.1832739783664463</v>
      </c>
      <c r="J92" s="1">
        <f t="shared" si="26"/>
        <v>-3.8557446464535299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-4.1821859992029848</v>
      </c>
      <c r="C110" s="1">
        <f>(-1*B95*SIN($B$64))+(C95*COS($B$64))</f>
        <v>-3.8091101674893224</v>
      </c>
      <c r="D110" t="str">
        <f t="shared" ref="D110" si="31">D95</f>
        <v>y</v>
      </c>
      <c r="E110" s="4">
        <f t="shared" ref="E110:E121" si="32">IF($D110="y",$B$125-C110,0)</f>
        <v>7.574443941630193</v>
      </c>
      <c r="F110" s="1">
        <f>IF($D110="y",B110,NA())</f>
        <v>-4.1821859992029848</v>
      </c>
      <c r="G110" s="1">
        <f>IF($D110="y",C110,NA())</f>
        <v>-3.8091101674893224</v>
      </c>
      <c r="H110">
        <f t="shared" ref="H110:H121" si="33">IF($E$122=0,0,-1*MAX(($B$67/$E$122)*(E110),0))</f>
        <v>-34.968667805368433</v>
      </c>
      <c r="I110">
        <f>H110*C110</f>
        <v>133.19950808098542</v>
      </c>
      <c r="J110">
        <f>H110*B110*-1</f>
        <v>-146.24547290639202</v>
      </c>
      <c r="K110">
        <f ca="1">H110/$B$55</f>
        <v>-104.55239397650804</v>
      </c>
      <c r="L110">
        <f ca="1">K110/$B$54</f>
        <v>-3.605254964707174E-3</v>
      </c>
      <c r="M110">
        <f t="shared" ref="M110:M121" si="34">IFERROR(($D$66/$B$65)*(G110-$B$125),0)</f>
        <v>-3.6052548873230731E-3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3.8091101674893224</v>
      </c>
      <c r="C111" s="1">
        <f t="shared" ref="C111:C121" si="37">(-1*B96*SIN($B$64))+(C96*COS($B$64))</f>
        <v>-4.1821859992029848</v>
      </c>
      <c r="D111" t="str">
        <f t="shared" si="35"/>
        <v>y</v>
      </c>
      <c r="E111" s="4">
        <f t="shared" si="32"/>
        <v>7.9475197733438545</v>
      </c>
      <c r="F111" s="1">
        <f t="shared" ref="F111:G121" si="38">IF($D111="y",B111,NA())</f>
        <v>3.8091101674893224</v>
      </c>
      <c r="G111" s="1">
        <f t="shared" si="38"/>
        <v>-4.1821859992029848</v>
      </c>
      <c r="H111">
        <f t="shared" si="33"/>
        <v>-36.691033820080634</v>
      </c>
      <c r="I111">
        <f t="shared" ref="I111:I121" si="39">H111*C111</f>
        <v>153.44872793862444</v>
      </c>
      <c r="J111">
        <f t="shared" ref="J111:J121" si="40">H111*B111*-1</f>
        <v>139.76018997976374</v>
      </c>
      <c r="K111">
        <f ca="1">H111/$B$55</f>
        <v>-109.70207514664094</v>
      </c>
      <c r="L111">
        <f t="shared" ref="L111:L121" ca="1" si="41">K111/$B$54</f>
        <v>-3.782830177470377E-3</v>
      </c>
      <c r="M111">
        <f t="shared" si="34"/>
        <v>-3.7828300962747569E-3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-3.8091101674893224</v>
      </c>
      <c r="C112" s="1">
        <f t="shared" si="37"/>
        <v>4.1821859992029848</v>
      </c>
      <c r="D112" t="str">
        <f t="shared" si="35"/>
        <v>y</v>
      </c>
      <c r="E112" s="4">
        <f t="shared" si="32"/>
        <v>-0.41685222506211472</v>
      </c>
      <c r="F112" s="1">
        <f t="shared" si="38"/>
        <v>-3.8091101674893224</v>
      </c>
      <c r="G112" s="1">
        <f t="shared" si="38"/>
        <v>4.1821859992029848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1.9841172939927222E-4</v>
      </c>
      <c r="N112">
        <f t="shared" si="42"/>
        <v>0.41913594613175797</v>
      </c>
      <c r="O112">
        <f t="shared" si="43"/>
        <v>1.7529044856749347</v>
      </c>
      <c r="P112">
        <f t="shared" si="44"/>
        <v>1.5965349939707363</v>
      </c>
    </row>
    <row r="113" spans="1:16" x14ac:dyDescent="0.25">
      <c r="A113">
        <f t="shared" si="35"/>
        <v>4</v>
      </c>
      <c r="B113" s="1">
        <f t="shared" si="36"/>
        <v>4.1821859992029848</v>
      </c>
      <c r="C113" s="1">
        <f t="shared" si="37"/>
        <v>3.8091101674893224</v>
      </c>
      <c r="D113" t="str">
        <f t="shared" si="35"/>
        <v>y</v>
      </c>
      <c r="E113" s="4">
        <f t="shared" si="32"/>
        <v>-4.3776393348452292E-2</v>
      </c>
      <c r="F113" s="1">
        <f t="shared" si="38"/>
        <v>4.1821859992029848</v>
      </c>
      <c r="G113" s="1">
        <f t="shared" si="38"/>
        <v>3.8091101674893224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2.0836520447587779E-5</v>
      </c>
      <c r="N113">
        <f t="shared" si="42"/>
        <v>4.4016221915585296E-2</v>
      </c>
      <c r="O113">
        <f t="shared" si="43"/>
        <v>0.16766263843312229</v>
      </c>
      <c r="P113">
        <f t="shared" si="44"/>
        <v>-0.18408402703317242</v>
      </c>
    </row>
    <row r="114" spans="1:16" x14ac:dyDescent="0.25">
      <c r="A114">
        <f t="shared" si="35"/>
        <v>5</v>
      </c>
      <c r="B114" s="1">
        <f t="shared" si="36"/>
        <v>-4.0655998017924651</v>
      </c>
      <c r="C114" s="1">
        <f t="shared" si="37"/>
        <v>-1.3118301153979761</v>
      </c>
      <c r="D114" t="str">
        <f t="shared" si="35"/>
        <v>y</v>
      </c>
      <c r="E114" s="4">
        <f t="shared" si="32"/>
        <v>5.0771638895388467</v>
      </c>
      <c r="F114" s="1">
        <f t="shared" si="38"/>
        <v>-4.0655998017924651</v>
      </c>
      <c r="G114" s="1">
        <f t="shared" si="38"/>
        <v>-1.3118301153979761</v>
      </c>
      <c r="H114">
        <f t="shared" si="33"/>
        <v>-23.439563196303123</v>
      </c>
      <c r="I114">
        <f t="shared" si="39"/>
        <v>30.748724892684479</v>
      </c>
      <c r="J114">
        <f t="shared" si="40"/>
        <v>-95.295883484991933</v>
      </c>
      <c r="K114">
        <f t="shared" ca="1" si="45"/>
        <v>-70.081664522573362</v>
      </c>
      <c r="L114">
        <f t="shared" ca="1" si="41"/>
        <v>-2.4166091214680471E-3</v>
      </c>
      <c r="M114">
        <f t="shared" si="34"/>
        <v>-2.4166090695973402E-3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3.9256963648998418</v>
      </c>
      <c r="C115" s="1">
        <f t="shared" si="37"/>
        <v>-1.684905947111639</v>
      </c>
      <c r="D115" t="str">
        <f t="shared" si="35"/>
        <v>y</v>
      </c>
      <c r="E115" s="4">
        <f t="shared" si="32"/>
        <v>5.4502397212525091</v>
      </c>
      <c r="F115" s="1">
        <f t="shared" si="38"/>
        <v>3.9256963648998418</v>
      </c>
      <c r="G115" s="1">
        <f t="shared" si="38"/>
        <v>-1.684905947111639</v>
      </c>
      <c r="H115">
        <f t="shared" si="33"/>
        <v>-25.161929211015327</v>
      </c>
      <c r="I115">
        <f t="shared" si="39"/>
        <v>42.395484168441797</v>
      </c>
      <c r="J115">
        <f t="shared" si="40"/>
        <v>98.778094037550005</v>
      </c>
      <c r="K115">
        <f t="shared" ca="1" si="45"/>
        <v>-75.23134569270627</v>
      </c>
      <c r="L115">
        <f t="shared" ca="1" si="41"/>
        <v>-2.5941843342312506E-3</v>
      </c>
      <c r="M115">
        <f t="shared" si="34"/>
        <v>-2.5941842785490244E-3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-3.9256963648998418</v>
      </c>
      <c r="C116" s="1">
        <f t="shared" si="37"/>
        <v>1.684905947111639</v>
      </c>
      <c r="D116" t="str">
        <f t="shared" si="35"/>
        <v>y</v>
      </c>
      <c r="E116" s="4">
        <f t="shared" si="32"/>
        <v>2.0804278270292311</v>
      </c>
      <c r="F116" s="1">
        <f t="shared" si="38"/>
        <v>-3.9256963648998418</v>
      </c>
      <c r="G116" s="1">
        <f t="shared" si="38"/>
        <v>1.684905947111639</v>
      </c>
      <c r="H116">
        <f t="shared" si="33"/>
        <v>-9.6046376654247521</v>
      </c>
      <c r="I116">
        <f t="shared" si="39"/>
        <v>-16.182911122326612</v>
      </c>
      <c r="J116">
        <f t="shared" si="40"/>
        <v>-37.704891169338055</v>
      </c>
      <c r="K116">
        <f t="shared" ca="1" si="45"/>
        <v>-28.716789177851751</v>
      </c>
      <c r="L116">
        <f t="shared" ca="1" si="41"/>
        <v>-9.9023410958109484E-4</v>
      </c>
      <c r="M116">
        <f t="shared" si="34"/>
        <v>-9.902340883264605E-4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4.0655998017924651</v>
      </c>
      <c r="C117" s="1">
        <f t="shared" si="37"/>
        <v>1.3118301153979761</v>
      </c>
      <c r="D117" t="str">
        <f t="shared" si="35"/>
        <v>y</v>
      </c>
      <c r="E117" s="4">
        <f t="shared" si="32"/>
        <v>2.453503658742894</v>
      </c>
      <c r="F117" s="1">
        <f t="shared" si="38"/>
        <v>4.0655998017924651</v>
      </c>
      <c r="G117" s="1">
        <f t="shared" si="38"/>
        <v>1.3118301153979761</v>
      </c>
      <c r="H117">
        <f t="shared" si="33"/>
        <v>-11.32700368013696</v>
      </c>
      <c r="I117">
        <f t="shared" si="39"/>
        <v>-14.859104544827368</v>
      </c>
      <c r="J117">
        <f t="shared" si="40"/>
        <v>46.051063916867342</v>
      </c>
      <c r="K117">
        <f t="shared" ca="1" si="45"/>
        <v>-33.866470347984659</v>
      </c>
      <c r="L117">
        <f t="shared" ca="1" si="41"/>
        <v>-1.1678093223442985E-3</v>
      </c>
      <c r="M117">
        <f t="shared" si="34"/>
        <v>-1.1678092972781451E-3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-7.3188254986052241</v>
      </c>
      <c r="C118" s="1">
        <f t="shared" si="37"/>
        <v>-6.6659427931063133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-7.3188254986052241</v>
      </c>
      <c r="C119" s="1">
        <f t="shared" si="37"/>
        <v>-6.6659427931063133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-7.3188254986052241</v>
      </c>
      <c r="C120" s="1">
        <f t="shared" si="37"/>
        <v>-6.6659427931063133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-7.3188254986052241</v>
      </c>
      <c r="C121" s="1">
        <f t="shared" si="37"/>
        <v>-6.6659427931063133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7.9475197733438545</v>
      </c>
      <c r="H122">
        <f>SUM(H110:H121)</f>
        <v>-141.19283537832922</v>
      </c>
      <c r="I122">
        <f t="shared" ref="I122:J122" si="46">SUM(I110:I121)</f>
        <v>328.75042941358214</v>
      </c>
      <c r="J122">
        <f t="shared" si="46"/>
        <v>5.3431003734590732</v>
      </c>
      <c r="L122">
        <f ca="1">MIN(L110:L121)</f>
        <v>-3.782830177470377E-3</v>
      </c>
      <c r="M122">
        <f>MIN(M110:M121)</f>
        <v>-3.7828300962747569E-3</v>
      </c>
      <c r="N122">
        <f>SUM(N110:N121)</f>
        <v>0.46315216804734327</v>
      </c>
      <c r="O122">
        <f>SUM(O110:O121)</f>
        <v>1.9205671241080571</v>
      </c>
      <c r="P122">
        <f>SUM(P110:P121)</f>
        <v>1.4124509669375638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3.7653337741408701</v>
      </c>
      <c r="F125" s="1" t="s">
        <v>27</v>
      </c>
      <c r="G125" s="1" t="s">
        <v>28</v>
      </c>
    </row>
    <row r="126" spans="1:16" x14ac:dyDescent="0.25">
      <c r="F126" s="4">
        <f>MIN(B84:B90)-1</f>
        <v>-8.318825498605225</v>
      </c>
      <c r="G126" s="4">
        <f>B125</f>
        <v>3.7653337741408701</v>
      </c>
    </row>
    <row r="127" spans="1:16" x14ac:dyDescent="0.25">
      <c r="F127" s="4">
        <f>MAX(B84:B90)+1</f>
        <v>8.318825498605225</v>
      </c>
      <c r="G127" s="4">
        <f>G126</f>
        <v>3.7653337741408701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-7.3188254986052241</v>
      </c>
      <c r="C132" s="4">
        <f>C84</f>
        <v>-6.6659427931063133</v>
      </c>
      <c r="D132" s="4">
        <f t="shared" ref="D132:E139" si="47">B85</f>
        <v>6.6659427931063133</v>
      </c>
      <c r="E132" s="4">
        <f t="shared" si="47"/>
        <v>-7.3188254986052241</v>
      </c>
      <c r="F132" s="4">
        <f t="shared" ref="F132:F139" si="48">($B$66/$B$65)*(C132-$B$125)</f>
        <v>-20.228963186326816</v>
      </c>
      <c r="G132" s="4">
        <f t="shared" ref="G132:G139" si="49">($B$66/$B$65)*(E132-$B$125)</f>
        <v>-21.495072864215672</v>
      </c>
      <c r="H132" s="4">
        <f>IF(B132=D132,"V",(C132-E132)/(B132-D132))</f>
        <v>-4.6685271566913267E-2</v>
      </c>
      <c r="I132" s="4">
        <f>IF(H132="V",0,(-1*B132*H132)+C132)</f>
        <v>-7.0076241490595477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6.6659427931063133</v>
      </c>
      <c r="C133" s="4">
        <f t="shared" si="50"/>
        <v>-7.3188254986052241</v>
      </c>
      <c r="D133" s="4">
        <f t="shared" si="47"/>
        <v>7.3188254986052241</v>
      </c>
      <c r="E133" s="4">
        <f t="shared" si="47"/>
        <v>6.6659427931063133</v>
      </c>
      <c r="F133" s="4">
        <f t="shared" si="48"/>
        <v>-21.495072864215672</v>
      </c>
      <c r="G133" s="4">
        <f t="shared" si="49"/>
        <v>5.6250366562818668</v>
      </c>
      <c r="H133" s="4">
        <f t="shared" ref="H133:H139" si="51">IF(B133=D133,"V",(C133-E133)/(B133-D133))</f>
        <v>21.420031766693608</v>
      </c>
      <c r="I133" s="4">
        <f t="shared" ref="I133:I139" si="52">IF(H133="V",0,(-1*B133*H133)+C133)</f>
        <v>-150.10353188190479</v>
      </c>
      <c r="J133" s="4">
        <f t="shared" ref="J133:J139" si="53">IF($F133&gt;=0,B133,IF(AND($F133&lt;0,$G133&gt;=0),IF(H133="V",B133,($B$125-I133)/H133),0))</f>
        <v>7.1834097788453848</v>
      </c>
      <c r="K133" s="4">
        <f t="shared" ref="K133:K139" si="54">IF($F133&gt;=0,C133,IF(AND($F133&lt;0,$G133&gt;=0),$B$125,0))</f>
        <v>3.7653337741408701</v>
      </c>
      <c r="L133" s="4">
        <f t="shared" ref="L133:L139" si="55">IF($G133&gt;=0,D133,IF(AND($G133&lt;0,$F133&gt;=0),IF(H133="V",D133,($B$125-I133)/H133),0))</f>
        <v>7.3188254986052241</v>
      </c>
      <c r="M133" s="4">
        <f t="shared" ref="M133:M139" si="56">IF($G133&gt;=0,E133,IF(AND($G133&lt;0,$F133&gt;=0),$B$125,0))</f>
        <v>6.6659427931063133</v>
      </c>
      <c r="N133" s="4">
        <f t="shared" ref="N133:O139" si="57">IF(F133&lt;0,0,F133)</f>
        <v>0</v>
      </c>
      <c r="O133" s="4">
        <f t="shared" si="57"/>
        <v>5.6250366562818668</v>
      </c>
      <c r="P133" s="4">
        <f t="shared" ref="P133:P139" si="58">(1/6)*(M133-K133)*((N133*((2*J133)+L133))+(O133*(J133+(2*L133))))</f>
        <v>59.338854524120883</v>
      </c>
      <c r="Q133" s="4">
        <f t="shared" ref="Q133:Q139" si="59">((1/12)*(M133-K133)*(N133*J133*((3*K133)+M133)+N133*L133*(K133+M133)+O133*J133*(K133+M133)+O133*L133*(K133+(3*M133))))</f>
        <v>338.35449142329861</v>
      </c>
      <c r="R133" s="4">
        <f t="shared" ref="R133:R139" si="60">((-1/24)*(M133-K133)*(J133*J133*((3*N133)+O133)+2*J133*L133*(N133+O133)+L133*L133*(N133+(3*O133))))</f>
        <v>-215.81028062937119</v>
      </c>
    </row>
    <row r="134" spans="1:18" x14ac:dyDescent="0.25">
      <c r="A134" t="s">
        <v>71</v>
      </c>
      <c r="B134" s="4">
        <f t="shared" si="50"/>
        <v>7.3188254986052241</v>
      </c>
      <c r="C134" s="4">
        <f t="shared" si="50"/>
        <v>6.6659427931063133</v>
      </c>
      <c r="D134" s="4">
        <f t="shared" si="47"/>
        <v>-6.6659427931063133</v>
      </c>
      <c r="E134" s="4">
        <f t="shared" si="47"/>
        <v>7.3188254986052241</v>
      </c>
      <c r="F134" s="4">
        <f t="shared" si="48"/>
        <v>5.6250366562818668</v>
      </c>
      <c r="G134" s="4">
        <f t="shared" si="49"/>
        <v>6.8911463341707249</v>
      </c>
      <c r="H134" s="4">
        <f t="shared" si="51"/>
        <v>-4.6685271566913267E-2</v>
      </c>
      <c r="I134" s="4">
        <f t="shared" si="52"/>
        <v>7.0076241490595477</v>
      </c>
      <c r="J134" s="4">
        <f t="shared" si="53"/>
        <v>7.3188254986052241</v>
      </c>
      <c r="K134" s="4">
        <f t="shared" si="54"/>
        <v>6.6659427931063133</v>
      </c>
      <c r="L134" s="4">
        <f t="shared" si="55"/>
        <v>-6.6659427931063133</v>
      </c>
      <c r="M134" s="4">
        <f t="shared" si="56"/>
        <v>7.3188254986052241</v>
      </c>
      <c r="N134" s="4">
        <f t="shared" si="57"/>
        <v>5.6250366562818668</v>
      </c>
      <c r="O134" s="4">
        <f t="shared" si="57"/>
        <v>6.8911463341707249</v>
      </c>
      <c r="P134" s="4">
        <f t="shared" si="58"/>
        <v>0.37043192365845212</v>
      </c>
      <c r="Q134" s="4">
        <f t="shared" si="59"/>
        <v>-0.50386970549199062</v>
      </c>
      <c r="R134" s="4">
        <f t="shared" si="60"/>
        <v>-33.19802258042732</v>
      </c>
    </row>
    <row r="135" spans="1:18" x14ac:dyDescent="0.25">
      <c r="A135" t="s">
        <v>72</v>
      </c>
      <c r="B135" s="4">
        <f t="shared" si="50"/>
        <v>-6.6659427931063133</v>
      </c>
      <c r="C135" s="4">
        <f t="shared" si="50"/>
        <v>7.3188254986052241</v>
      </c>
      <c r="D135" s="4">
        <f t="shared" si="47"/>
        <v>-7.3188254986052241</v>
      </c>
      <c r="E135" s="4">
        <f t="shared" si="47"/>
        <v>-6.6659427931063133</v>
      </c>
      <c r="F135" s="4">
        <f t="shared" si="48"/>
        <v>6.8911463341707249</v>
      </c>
      <c r="G135" s="4">
        <f t="shared" si="49"/>
        <v>-20.228963186326816</v>
      </c>
      <c r="H135" s="4">
        <f t="shared" si="51"/>
        <v>21.420031766693608</v>
      </c>
      <c r="I135" s="4">
        <f t="shared" si="52"/>
        <v>150.10353188190479</v>
      </c>
      <c r="J135" s="4">
        <f t="shared" si="53"/>
        <v>-6.6659427931063133</v>
      </c>
      <c r="K135" s="4">
        <f t="shared" si="54"/>
        <v>7.3188254986052241</v>
      </c>
      <c r="L135" s="4">
        <f t="shared" si="55"/>
        <v>-6.8318385192737123</v>
      </c>
      <c r="M135" s="4">
        <f t="shared" si="56"/>
        <v>3.7653337741408701</v>
      </c>
      <c r="N135" s="4">
        <f t="shared" si="57"/>
        <v>6.8911463341707249</v>
      </c>
      <c r="O135" s="4">
        <f t="shared" si="57"/>
        <v>0</v>
      </c>
      <c r="P135" s="4">
        <f t="shared" si="58"/>
        <v>82.293640828160889</v>
      </c>
      <c r="Q135" s="4">
        <f t="shared" si="59"/>
        <v>504.41521516473551</v>
      </c>
      <c r="R135" s="4">
        <f t="shared" si="60"/>
        <v>276.56707173950224</v>
      </c>
    </row>
    <row r="136" spans="1:18" x14ac:dyDescent="0.25">
      <c r="A136" t="s">
        <v>73</v>
      </c>
      <c r="B136" s="4">
        <f t="shared" si="50"/>
        <v>-7.3188254986052241</v>
      </c>
      <c r="C136" s="4">
        <f t="shared" si="50"/>
        <v>-6.6659427931063133</v>
      </c>
      <c r="D136" s="4">
        <f t="shared" si="47"/>
        <v>-7.3188254986052241</v>
      </c>
      <c r="E136" s="4">
        <f t="shared" si="47"/>
        <v>-6.6659427931063133</v>
      </c>
      <c r="F136" s="4">
        <f t="shared" si="48"/>
        <v>-20.228963186326816</v>
      </c>
      <c r="G136" s="4">
        <f t="shared" si="49"/>
        <v>-20.228963186326816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-7.3188254986052241</v>
      </c>
      <c r="C137" s="4">
        <f t="shared" si="50"/>
        <v>-6.6659427931063133</v>
      </c>
      <c r="D137" s="4">
        <f t="shared" si="47"/>
        <v>-7.3188254986052241</v>
      </c>
      <c r="E137" s="4">
        <f t="shared" si="47"/>
        <v>-6.6659427931063133</v>
      </c>
      <c r="F137" s="4">
        <f t="shared" si="48"/>
        <v>-20.228963186326816</v>
      </c>
      <c r="G137" s="4">
        <f t="shared" si="49"/>
        <v>-20.228963186326816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-7.3188254986052241</v>
      </c>
      <c r="C138" s="4">
        <f t="shared" si="50"/>
        <v>-6.6659427931063133</v>
      </c>
      <c r="D138" s="4">
        <f t="shared" si="47"/>
        <v>-7.3188254986052241</v>
      </c>
      <c r="E138" s="4">
        <f t="shared" si="47"/>
        <v>-6.6659427931063133</v>
      </c>
      <c r="F138" s="4">
        <f t="shared" si="48"/>
        <v>-20.228963186326816</v>
      </c>
      <c r="G138" s="4">
        <f t="shared" si="49"/>
        <v>-20.228963186326816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-7.3188254986052241</v>
      </c>
      <c r="C139" s="4">
        <f>E138</f>
        <v>-6.6659427931063133</v>
      </c>
      <c r="D139" s="4">
        <f t="shared" si="47"/>
        <v>-7.3188254986052241</v>
      </c>
      <c r="E139" s="4">
        <f t="shared" si="47"/>
        <v>-6.6659427931063133</v>
      </c>
      <c r="F139" s="4">
        <f t="shared" si="48"/>
        <v>-20.228963186326816</v>
      </c>
      <c r="G139" s="4">
        <f t="shared" si="49"/>
        <v>-20.228963186326816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142.00292727594024</v>
      </c>
      <c r="Q140" s="4">
        <f>SUM(Q132:Q139)</f>
        <v>842.26583688254209</v>
      </c>
      <c r="R140" s="4">
        <f>SUM(R132:R139)</f>
        <v>27.558768529703741</v>
      </c>
    </row>
    <row r="142" spans="1:18" x14ac:dyDescent="0.25">
      <c r="O142" t="s">
        <v>96</v>
      </c>
      <c r="P142" s="1">
        <f>-1*R140/P140</f>
        <v>-0.19407183399924927</v>
      </c>
    </row>
    <row r="143" spans="1:18" x14ac:dyDescent="0.25">
      <c r="O143" t="s">
        <v>97</v>
      </c>
      <c r="P143" s="1">
        <f>Q140/P140</f>
        <v>5.9313272834569828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-3.1832739783664463</v>
      </c>
      <c r="C146" s="9">
        <f>J84</f>
        <v>-3.8557446464535299</v>
      </c>
      <c r="D146" s="9">
        <f t="shared" ref="D146:E153" si="61">I85</f>
        <v>-2.8101981466527839</v>
      </c>
      <c r="E146">
        <f t="shared" si="61"/>
        <v>4.1355515202387769</v>
      </c>
      <c r="F146" s="4">
        <f>($B$66/$B$65)*(C146-$B$125)</f>
        <v>-14.779256768474159</v>
      </c>
      <c r="G146" s="4">
        <f>($B$66/$B$65)*(E146-$B$125)</f>
        <v>0.71794867181014888</v>
      </c>
      <c r="H146" s="4">
        <f>IF(B146=D146,"V",(C146-E146)/(B146-D146))</f>
        <v>21.420031766693658</v>
      </c>
      <c r="I146" s="4">
        <f>IF(H146="V",0,(-1*B146*H146)+C146)</f>
        <v>64.330085092245042</v>
      </c>
      <c r="J146" s="4">
        <f>IF($F146&gt;=0,B146,IF(AND($F146&lt;0,$G146&gt;=0),IF(H146="V",B146,($B$125-I146)/H146),0))</f>
        <v>-2.8274818626682547</v>
      </c>
      <c r="K146" s="4">
        <f>IF($F146&gt;=0,C146,IF(AND($F146&lt;0,$G146&gt;=0),$B$125,0))</f>
        <v>3.7653337741408701</v>
      </c>
      <c r="L146" s="4">
        <f>IF($G146&gt;=0,D146,IF(AND($G146&lt;0,$F146&gt;=0),IF(H146="V",D146,($B$125-I146)/H146),0))</f>
        <v>-2.8101981466527839</v>
      </c>
      <c r="M146" s="4">
        <f>IF($G146&gt;=0,E146,IF(AND($G146&lt;0,$F146&gt;=0),$B$125,0))</f>
        <v>4.1355515202387769</v>
      </c>
      <c r="N146" s="4">
        <f>IF(F146&lt;0,0,F146)</f>
        <v>0</v>
      </c>
      <c r="O146" s="4">
        <f>IF(G146&lt;0,0,G146)</f>
        <v>0.71794867181014888</v>
      </c>
      <c r="P146" s="4">
        <f>(1/6)*(M146-K146)*((N146*((2*J146)+L146))+(O146*(J146+(2*L146))))</f>
        <v>-0.37423725580456335</v>
      </c>
      <c r="Q146" s="4">
        <f>((1/12)*(M146-K146)*(N146*J146*((3*K146)+M146)+N146*L146*(K146+M146)+O146*J146*(K146+M146)+O146*L146*(K146+(3*M146))))</f>
        <v>-1.5014471175104696</v>
      </c>
      <c r="R146" s="4">
        <f>((-1/24)*(M146-K146)*(J146*J146*((3*N146)+O146)+2*J146*L146*(N146+O146)+L146*L146*(N146+(3*O146))))</f>
        <v>-0.52691955919936806</v>
      </c>
    </row>
    <row r="147" spans="1:18" x14ac:dyDescent="0.25">
      <c r="A147" t="s">
        <v>70</v>
      </c>
      <c r="B147" s="9">
        <f t="shared" ref="B147:C153" si="62">D146</f>
        <v>-2.8101981466527839</v>
      </c>
      <c r="C147">
        <f t="shared" si="62"/>
        <v>4.1355515202387769</v>
      </c>
      <c r="D147" s="9">
        <f t="shared" si="61"/>
        <v>3.1832739783664463</v>
      </c>
      <c r="E147">
        <f t="shared" si="61"/>
        <v>3.8557446464535299</v>
      </c>
      <c r="F147" s="4">
        <f t="shared" ref="F147:F153" si="63">($B$66/$B$65)*(C147-$B$125)</f>
        <v>0.71794867181014888</v>
      </c>
      <c r="G147" s="4">
        <f t="shared" ref="G147:G153" si="64">($B$66/$B$65)*(E147-$B$125)</f>
        <v>0.17533023842921083</v>
      </c>
      <c r="H147" s="4">
        <f t="shared" ref="H147:H153" si="65">IF(B147=D147,"V",(C147-E147)/(B147-D147))</f>
        <v>-4.668527156691319E-2</v>
      </c>
      <c r="I147" s="4">
        <f t="shared" ref="I147:I153" si="66">IF(H147="V",0,(-1*B147*H147)+C147)</f>
        <v>4.0043566566054558</v>
      </c>
      <c r="J147" s="4">
        <f t="shared" ref="J147:J153" si="67">IF($F147&gt;=0,B147,IF(AND($F147&lt;0,$G147&gt;=0),IF(H147="V",B147,($B$125-I147)/H147),0))</f>
        <v>-2.8101981466527839</v>
      </c>
      <c r="K147" s="4">
        <f t="shared" ref="K147:K153" si="68">IF($F147&gt;=0,C147,IF(AND($F147&lt;0,$G147&gt;=0),$B$125,0))</f>
        <v>4.1355515202387769</v>
      </c>
      <c r="L147" s="4">
        <f t="shared" ref="L147:L153" si="69">IF($G147&gt;=0,D147,IF(AND($G147&lt;0,$F147&gt;=0),IF(H147="V",D147,($B$125-I147)/H147),0))</f>
        <v>3.1832739783664463</v>
      </c>
      <c r="M147" s="4">
        <f t="shared" ref="M147:M153" si="70">IF($G147&gt;=0,E147,IF(AND($G147&lt;0,$F147&gt;=0),$B$125,0))</f>
        <v>3.8557446464535299</v>
      </c>
      <c r="N147" s="4">
        <f t="shared" ref="N147:O153" si="71">IF(F147&lt;0,0,F147)</f>
        <v>0.71794867181014888</v>
      </c>
      <c r="O147" s="4">
        <f t="shared" si="71"/>
        <v>0.17533023842921083</v>
      </c>
      <c r="P147" s="4">
        <f t="shared" ref="P147:P153" si="72">(1/6)*(M147-K147)*((N147*((2*J147)+L147))+(O147*(J147+(2*L147))))</f>
        <v>5.2519426981738421E-2</v>
      </c>
      <c r="Q147" s="4">
        <f t="shared" ref="Q147:Q153" si="73">((1/12)*(M147-K147)*(N147*J147*((3*K147)+M147)+N147*L147*(K147+M147)+O147*J147*(K147+M147)+O147*L147*(K147+(3*M147))))</f>
        <v>0.22665386322330452</v>
      </c>
      <c r="R147" s="4">
        <f t="shared" ref="R147:R153" si="74">((-1/24)*(M147-K147)*(J147*J147*((3*N147)+O147)+2*J147*L147*(N147+O147)+L147*L147*(N147+(3*O147))))</f>
        <v>0.17508033732272224</v>
      </c>
    </row>
    <row r="148" spans="1:18" x14ac:dyDescent="0.25">
      <c r="A148" t="s">
        <v>71</v>
      </c>
      <c r="B148" s="9">
        <f t="shared" si="62"/>
        <v>3.1832739783664463</v>
      </c>
      <c r="C148">
        <f t="shared" si="62"/>
        <v>3.8557446464535299</v>
      </c>
      <c r="D148" s="9">
        <f t="shared" si="61"/>
        <v>2.8101981466527839</v>
      </c>
      <c r="E148">
        <f t="shared" si="61"/>
        <v>-4.1355515202387769</v>
      </c>
      <c r="F148" s="4">
        <f t="shared" si="63"/>
        <v>0.17533023842921083</v>
      </c>
      <c r="G148" s="4">
        <f t="shared" si="64"/>
        <v>-15.321875201855097</v>
      </c>
      <c r="H148" s="4">
        <f t="shared" si="65"/>
        <v>21.420031766693658</v>
      </c>
      <c r="I148" s="4">
        <f t="shared" si="66"/>
        <v>-64.330085092245042</v>
      </c>
      <c r="J148" s="4">
        <f t="shared" si="67"/>
        <v>3.1832739783664463</v>
      </c>
      <c r="K148" s="4">
        <f t="shared" si="68"/>
        <v>3.8557446464535299</v>
      </c>
      <c r="L148" s="4">
        <f t="shared" si="69"/>
        <v>3.1790531222399281</v>
      </c>
      <c r="M148" s="4">
        <f t="shared" si="70"/>
        <v>3.7653337741408701</v>
      </c>
      <c r="N148" s="4">
        <f t="shared" si="71"/>
        <v>0.17533023842921083</v>
      </c>
      <c r="O148" s="4">
        <f t="shared" si="71"/>
        <v>0</v>
      </c>
      <c r="P148" s="4">
        <f t="shared" si="72"/>
        <v>-2.5219095907098359E-2</v>
      </c>
      <c r="Q148" s="4">
        <f t="shared" si="73"/>
        <v>-9.647853524584947E-2</v>
      </c>
      <c r="R148" s="4">
        <f t="shared" si="74"/>
        <v>4.0121908772600509E-2</v>
      </c>
    </row>
    <row r="149" spans="1:18" x14ac:dyDescent="0.25">
      <c r="A149" t="s">
        <v>72</v>
      </c>
      <c r="B149" s="9">
        <f t="shared" si="62"/>
        <v>2.8101981466527839</v>
      </c>
      <c r="C149">
        <f t="shared" si="62"/>
        <v>-4.1355515202387769</v>
      </c>
      <c r="D149" s="9">
        <f t="shared" si="61"/>
        <v>-3.1832739783664463</v>
      </c>
      <c r="E149">
        <f t="shared" si="61"/>
        <v>-3.8557446464535299</v>
      </c>
      <c r="F149" s="4">
        <f t="shared" si="63"/>
        <v>-15.321875201855097</v>
      </c>
      <c r="G149" s="4">
        <f t="shared" si="64"/>
        <v>-14.779256768474159</v>
      </c>
      <c r="H149" s="4">
        <f t="shared" si="65"/>
        <v>-4.668527156691319E-2</v>
      </c>
      <c r="I149" s="4">
        <f t="shared" si="66"/>
        <v>-4.0043566566054558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-3.1832739783664463</v>
      </c>
      <c r="C150">
        <f t="shared" si="62"/>
        <v>-3.8557446464535299</v>
      </c>
      <c r="D150" s="9">
        <f t="shared" si="61"/>
        <v>-3.1832739783664463</v>
      </c>
      <c r="E150">
        <f t="shared" si="61"/>
        <v>-3.8557446464535299</v>
      </c>
      <c r="F150" s="4">
        <f t="shared" si="63"/>
        <v>-14.779256768474159</v>
      </c>
      <c r="G150" s="4">
        <f t="shared" si="64"/>
        <v>-14.779256768474159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-3.1832739783664463</v>
      </c>
      <c r="C151">
        <f t="shared" si="62"/>
        <v>-3.8557446464535299</v>
      </c>
      <c r="D151" s="9">
        <f t="shared" si="61"/>
        <v>-3.1832739783664463</v>
      </c>
      <c r="E151">
        <f t="shared" si="61"/>
        <v>-3.8557446464535299</v>
      </c>
      <c r="F151" s="4">
        <f t="shared" si="63"/>
        <v>-14.779256768474159</v>
      </c>
      <c r="G151" s="4">
        <f t="shared" si="64"/>
        <v>-14.779256768474159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-3.1832739783664463</v>
      </c>
      <c r="C152">
        <f t="shared" si="62"/>
        <v>-3.8557446464535299</v>
      </c>
      <c r="D152" s="9">
        <f t="shared" si="61"/>
        <v>-3.1832739783664463</v>
      </c>
      <c r="E152">
        <f t="shared" si="61"/>
        <v>-3.8557446464535299</v>
      </c>
      <c r="F152" s="4">
        <f t="shared" si="63"/>
        <v>-14.779256768474159</v>
      </c>
      <c r="G152" s="4">
        <f t="shared" si="64"/>
        <v>-14.779256768474159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-3.1832739783664463</v>
      </c>
      <c r="C153">
        <f t="shared" si="62"/>
        <v>-3.8557446464535299</v>
      </c>
      <c r="D153" s="9">
        <f t="shared" si="61"/>
        <v>-3.1832739783664463</v>
      </c>
      <c r="E153">
        <f t="shared" si="61"/>
        <v>-3.8557446464535299</v>
      </c>
      <c r="F153" s="4">
        <f t="shared" si="63"/>
        <v>-14.779256768474159</v>
      </c>
      <c r="G153" s="4">
        <f t="shared" si="64"/>
        <v>-14.779256768474159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-0.34693692472992332</v>
      </c>
      <c r="Q154" s="4">
        <f t="shared" ref="Q154:R154" si="75">SUM(Q146:Q153)</f>
        <v>-1.3712717895330144</v>
      </c>
      <c r="R154" s="4">
        <f t="shared" si="75"/>
        <v>-0.31171731310404532</v>
      </c>
    </row>
    <row r="156" spans="1:18" x14ac:dyDescent="0.25">
      <c r="O156" t="s">
        <v>96</v>
      </c>
      <c r="P156" s="1">
        <f>-1*R154/P154</f>
        <v>-0.89848410729617478</v>
      </c>
    </row>
    <row r="157" spans="1:18" x14ac:dyDescent="0.25">
      <c r="O157" t="s">
        <v>97</v>
      </c>
      <c r="P157" s="1">
        <f>Q154/P154</f>
        <v>3.9525103607824255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2.8048337499253506E-6</v>
      </c>
      <c r="C159" t="s">
        <v>36</v>
      </c>
    </row>
    <row r="160" spans="1:18" x14ac:dyDescent="0.25">
      <c r="A160" s="1" t="s">
        <v>106</v>
      </c>
      <c r="B160" s="4">
        <f>Q140+I122+Q154-O122</f>
        <v>1167.7244273824833</v>
      </c>
      <c r="C160" t="s">
        <v>102</v>
      </c>
    </row>
    <row r="161" spans="1:9" x14ac:dyDescent="0.25">
      <c r="A161" s="1" t="s">
        <v>107</v>
      </c>
      <c r="B161" s="4">
        <f>R140+J122+R154-P122</f>
        <v>31.177700623121204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2.8048337499253506E-6</v>
      </c>
      <c r="C164" t="s">
        <v>36</v>
      </c>
      <c r="E164" s="8">
        <f>B2-B164</f>
        <v>-2.8048337499253506E-6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1165.0000117129646</v>
      </c>
      <c r="C165" t="s">
        <v>102</v>
      </c>
      <c r="E165" s="8">
        <f>B3+B165</f>
        <v>1.1712964578691754E-5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85.600000179238691</v>
      </c>
      <c r="C166" t="s">
        <v>102</v>
      </c>
      <c r="E166" s="8">
        <f>B4+B166</f>
        <v>1.7923869677360926E-7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6.8911463341707249</v>
      </c>
      <c r="B169" s="1">
        <f ca="1">IF(E122=0,0,(MIN(H110:H121)*B65)/(B55*B56*E122))</f>
        <v>-6.8911464820840305</v>
      </c>
      <c r="C169" s="3">
        <f ca="1">A169+B169</f>
        <v>-1.4791330560370852E-7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6.9195206603113489E-10</v>
      </c>
      <c r="C175" s="27">
        <f>B65*SQRT(I175)</f>
        <v>5.2706799901759E-8</v>
      </c>
      <c r="D175" s="27">
        <f>B66*SQRT(I175)</f>
        <v>1.022122180356635E-7</v>
      </c>
      <c r="E175" s="27">
        <f>B67*SQRT(I175)</f>
        <v>5.4421597901291562E-7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4.6651399466886803E-2</v>
      </c>
      <c r="C176" s="3">
        <f>B65+C175</f>
        <v>3.5534917771711538</v>
      </c>
      <c r="D176" s="3">
        <f>D175+B66</f>
        <v>6.8911464363829431</v>
      </c>
      <c r="E176" s="3">
        <f>B67+E175</f>
        <v>36.691034364296613</v>
      </c>
      <c r="F176" s="16" t="s">
        <v>125</v>
      </c>
    </row>
    <row r="177" spans="1:13" x14ac:dyDescent="0.25">
      <c r="B177" s="27">
        <f>B176-B64</f>
        <v>6.9195206509053975E-10</v>
      </c>
      <c r="C177" s="27">
        <f>C176-B65</f>
        <v>5.2706799813506677E-8</v>
      </c>
      <c r="D177" s="27">
        <f>D176-B66</f>
        <v>1.0221221824480153E-7</v>
      </c>
      <c r="E177" s="27">
        <f>E176-B67</f>
        <v>5.4421597894815932E-7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-20.489020256949715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7.3188256949638255</v>
      </c>
      <c r="B181" s="25">
        <f>(d_alpha_p!E136-d_alpha_m!E136)/(2*B177)</f>
        <v>7.3188256949638255</v>
      </c>
      <c r="C181" s="25">
        <f>(d_alpha_p!E137-d_alpha_m!E137)/(2*B177)</f>
        <v>7.3188256949638255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2.8048337499253506E-6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-1.1712964578691754E-5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-1.7923869677360926E-7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1.4791330560370852E-7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-20.489020256949715</v>
      </c>
      <c r="B190" s="25">
        <f>A181</f>
        <v>7.3188256949638255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7.3188256949638255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7.3188256949638255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-20.489020256949715</v>
      </c>
      <c r="B201" s="25">
        <f t="shared" ref="B201:C201" si="77">B190</f>
        <v>7.3188256949638255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7.3188256949638255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7.3188256949638255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-1165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-2.54737609329446</v>
      </c>
      <c r="J3" t="s">
        <v>11</v>
      </c>
    </row>
    <row r="4" spans="1:29" x14ac:dyDescent="0.25">
      <c r="A4" s="10" t="s">
        <v>80</v>
      </c>
      <c r="B4" s="17">
        <f>'Rigid Bearing Plate Analysis'!B4</f>
        <v>-85.6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-0.18717201166180752</v>
      </c>
      <c r="J4" t="s">
        <v>11</v>
      </c>
    </row>
    <row r="5" spans="1:29" x14ac:dyDescent="0.25">
      <c r="A5" s="10" t="s">
        <v>104</v>
      </c>
      <c r="B5" s="20">
        <f>ATAN2(B3,B4)</f>
        <v>-3.0682480597090245</v>
      </c>
      <c r="C5" t="s">
        <v>19</v>
      </c>
      <c r="I5">
        <f>SUM(I2:I4)</f>
        <v>-2.7345481049562674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2.54737609329446</v>
      </c>
      <c r="AB14">
        <f>$B$4/Z14</f>
        <v>-0.18717201166180752</v>
      </c>
      <c r="AC14">
        <f>$I$2+AA14+AB14</f>
        <v>2.3602040816326526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-2.54737609329446</v>
      </c>
      <c r="AB15">
        <f t="shared" ref="AB15:AB21" si="11">$B$4/Z15</f>
        <v>-0.18717201166180752</v>
      </c>
      <c r="AC15">
        <f t="shared" ref="AC15:AC20" si="12">$I$2+AA15+AB15</f>
        <v>-2.7345481049562674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-2.54737609329446</v>
      </c>
      <c r="AB16">
        <f t="shared" si="11"/>
        <v>0.18717201166180752</v>
      </c>
      <c r="AC16">
        <f t="shared" si="12"/>
        <v>-2.3602040816326526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2.54737609329446</v>
      </c>
      <c r="AB17">
        <f t="shared" si="11"/>
        <v>0.18717201166180752</v>
      </c>
      <c r="AC17">
        <f t="shared" si="12"/>
        <v>2.7345481049562674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2.54737609329446</v>
      </c>
      <c r="AB18">
        <f t="shared" si="11"/>
        <v>0.18717201166180752</v>
      </c>
      <c r="AC18">
        <f t="shared" si="12"/>
        <v>2.7345481049562674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2.54737609329446</v>
      </c>
      <c r="AB19">
        <f t="shared" si="11"/>
        <v>0.18717201166180752</v>
      </c>
      <c r="AC19">
        <f t="shared" si="12"/>
        <v>2.7345481049562674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2.54737609329446</v>
      </c>
      <c r="AB20">
        <f t="shared" si="11"/>
        <v>0.18717201166180752</v>
      </c>
      <c r="AC20">
        <f t="shared" si="12"/>
        <v>2.7345481049562674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0.18717201166180752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3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11</v>
      </c>
      <c r="D26" s="5">
        <f>((B25*C26)-(B26*C25))*0.5</f>
        <v>16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11</v>
      </c>
      <c r="D27" s="5">
        <f t="shared" ref="D27:D33" si="13">((B26*C27)-(B27*C26))*0.5</f>
        <v>-33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3</v>
      </c>
      <c r="D28" s="5">
        <f t="shared" si="13"/>
        <v>-40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3</v>
      </c>
      <c r="D29" s="5">
        <f t="shared" si="13"/>
        <v>9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3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3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3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3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-48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4.6651398774934738E-2</v>
      </c>
      <c r="C64" t="s">
        <v>19</v>
      </c>
      <c r="D64" t="s">
        <v>34</v>
      </c>
      <c r="H64" s="17">
        <f>DEGREES(B64)</f>
        <v>2.6729282581855394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3.5534916190507562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6.8911463341707249</v>
      </c>
      <c r="C66" t="s">
        <v>11</v>
      </c>
      <c r="D66">
        <f>B66/B53</f>
        <v>1.6913774140270336E-3</v>
      </c>
      <c r="I66" s="20"/>
    </row>
    <row r="67" spans="1:18" x14ac:dyDescent="0.25">
      <c r="A67" s="1" t="s">
        <v>37</v>
      </c>
      <c r="B67" s="17">
        <f>'Rigid Bearing Plate Analysis'!B67</f>
        <v>36.691033820080634</v>
      </c>
      <c r="C67" t="s">
        <v>36</v>
      </c>
      <c r="D67" t="s">
        <v>122</v>
      </c>
      <c r="G67" s="20">
        <f ca="1">($B$56*$B$66*$B$55*$E$122)/$B$65</f>
        <v>36.691034607626221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4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4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-4</v>
      </c>
      <c r="Q76" cm="1">
        <f t="array" ref="Q76">(-1*MAX(ABS(B84:C91)))-1</f>
        <v>-8.318825498605225</v>
      </c>
      <c r="R76">
        <f>Q76</f>
        <v>-8.318825498605225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-4</v>
      </c>
      <c r="Q77">
        <f>-1*Q76</f>
        <v>8.318825498605225</v>
      </c>
      <c r="R77">
        <f>Q77</f>
        <v>8.318825498605225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-4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-4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-7.3188254986052241</v>
      </c>
      <c r="C84" s="1">
        <f t="shared" ref="C84:C92" si="23">(-1*B73*SIN($B$64))+(C73*COS($B$64))</f>
        <v>-6.6659427931063133</v>
      </c>
      <c r="H84" s="1">
        <f t="shared" ref="H84:H92" si="24">H73</f>
        <v>1</v>
      </c>
      <c r="I84" s="4">
        <f>(I73*COS($B$64))+(J73*SIN($B$64))</f>
        <v>-3.1832739783664463</v>
      </c>
      <c r="J84" s="1">
        <f>(-1*I73*SIN($B$64))+(J73*COS($B$64))</f>
        <v>-3.8557446464535299</v>
      </c>
    </row>
    <row r="85" spans="1:10" x14ac:dyDescent="0.25">
      <c r="A85" s="1">
        <f t="shared" si="21"/>
        <v>2</v>
      </c>
      <c r="B85" s="4">
        <f t="shared" si="22"/>
        <v>6.6659427931063133</v>
      </c>
      <c r="C85" s="1">
        <f t="shared" si="23"/>
        <v>-7.3188254986052241</v>
      </c>
      <c r="H85" s="1">
        <f t="shared" si="24"/>
        <v>2</v>
      </c>
      <c r="I85" s="4">
        <f t="shared" ref="I85:I92" si="25">(I74*COS($B$64))+(J74*SIN($B$64))</f>
        <v>-2.8101981466527839</v>
      </c>
      <c r="J85" s="1">
        <f t="shared" ref="J85:J92" si="26">(-1*I74*SIN($B$64))+(J74*COS($B$64))</f>
        <v>4.1355515202387769</v>
      </c>
    </row>
    <row r="86" spans="1:10" x14ac:dyDescent="0.25">
      <c r="A86" s="1">
        <f t="shared" si="21"/>
        <v>3</v>
      </c>
      <c r="B86" s="4">
        <f t="shared" si="22"/>
        <v>7.3188254986052241</v>
      </c>
      <c r="C86" s="1">
        <f t="shared" si="23"/>
        <v>6.6659427931063133</v>
      </c>
      <c r="H86" s="1">
        <f t="shared" si="24"/>
        <v>3</v>
      </c>
      <c r="I86" s="4">
        <f t="shared" si="25"/>
        <v>3.1832739783664463</v>
      </c>
      <c r="J86" s="1">
        <f t="shared" si="26"/>
        <v>3.8557446464535299</v>
      </c>
    </row>
    <row r="87" spans="1:10" x14ac:dyDescent="0.25">
      <c r="A87" s="1">
        <f t="shared" si="21"/>
        <v>4</v>
      </c>
      <c r="B87" s="4">
        <f t="shared" si="22"/>
        <v>-6.6659427931063133</v>
      </c>
      <c r="C87" s="1">
        <f t="shared" si="23"/>
        <v>7.3188254986052241</v>
      </c>
      <c r="H87" s="1">
        <f t="shared" si="24"/>
        <v>4</v>
      </c>
      <c r="I87" s="4">
        <f t="shared" si="25"/>
        <v>2.8101981466527839</v>
      </c>
      <c r="J87" s="1">
        <f t="shared" si="26"/>
        <v>-4.1355515202387769</v>
      </c>
    </row>
    <row r="88" spans="1:10" x14ac:dyDescent="0.25">
      <c r="A88" s="1">
        <f t="shared" si="21"/>
        <v>5</v>
      </c>
      <c r="B88" s="4">
        <f t="shared" si="22"/>
        <v>-7.3188254986052241</v>
      </c>
      <c r="C88" s="1">
        <f t="shared" si="23"/>
        <v>-6.6659427931063133</v>
      </c>
      <c r="H88" s="1">
        <f t="shared" si="24"/>
        <v>5</v>
      </c>
      <c r="I88" s="4">
        <f t="shared" si="25"/>
        <v>-3.1832739783664463</v>
      </c>
      <c r="J88" s="1">
        <f t="shared" si="26"/>
        <v>-3.8557446464535299</v>
      </c>
    </row>
    <row r="89" spans="1:10" x14ac:dyDescent="0.25">
      <c r="A89" s="1">
        <f t="shared" si="21"/>
        <v>6</v>
      </c>
      <c r="B89" s="4">
        <f t="shared" si="22"/>
        <v>-7.3188254986052241</v>
      </c>
      <c r="C89" s="1">
        <f t="shared" si="23"/>
        <v>-6.6659427931063133</v>
      </c>
      <c r="H89" s="1">
        <f t="shared" si="24"/>
        <v>6</v>
      </c>
      <c r="I89" s="4">
        <f t="shared" si="25"/>
        <v>-3.1832739783664463</v>
      </c>
      <c r="J89" s="1">
        <f t="shared" si="26"/>
        <v>-3.8557446464535299</v>
      </c>
    </row>
    <row r="90" spans="1:10" x14ac:dyDescent="0.25">
      <c r="A90" s="1">
        <f t="shared" si="21"/>
        <v>7</v>
      </c>
      <c r="B90" s="4">
        <f t="shared" si="22"/>
        <v>-7.3188254986052241</v>
      </c>
      <c r="C90" s="1">
        <f t="shared" si="23"/>
        <v>-6.6659427931063133</v>
      </c>
      <c r="H90" s="1">
        <f t="shared" si="24"/>
        <v>7</v>
      </c>
      <c r="I90" s="4">
        <f t="shared" si="25"/>
        <v>-3.1832739783664463</v>
      </c>
      <c r="J90" s="1">
        <f t="shared" si="26"/>
        <v>-3.8557446464535299</v>
      </c>
    </row>
    <row r="91" spans="1:10" x14ac:dyDescent="0.25">
      <c r="A91" s="1">
        <f t="shared" si="21"/>
        <v>8</v>
      </c>
      <c r="B91" s="4">
        <f t="shared" si="22"/>
        <v>-7.3188254986052241</v>
      </c>
      <c r="C91" s="1">
        <f t="shared" si="23"/>
        <v>-6.6659427931063133</v>
      </c>
      <c r="H91" s="1">
        <f t="shared" si="24"/>
        <v>8</v>
      </c>
      <c r="I91" s="4">
        <f t="shared" si="25"/>
        <v>-3.1832739783664463</v>
      </c>
      <c r="J91" s="1">
        <f t="shared" si="26"/>
        <v>-3.8557446464535299</v>
      </c>
    </row>
    <row r="92" spans="1:10" x14ac:dyDescent="0.25">
      <c r="A92" s="1">
        <f t="shared" si="21"/>
        <v>9</v>
      </c>
      <c r="B92" s="4">
        <f t="shared" si="22"/>
        <v>-7.3188254986052241</v>
      </c>
      <c r="C92" s="1">
        <f t="shared" si="23"/>
        <v>-6.6659427931063133</v>
      </c>
      <c r="H92" s="1">
        <f t="shared" si="24"/>
        <v>9</v>
      </c>
      <c r="I92" s="4">
        <f t="shared" si="25"/>
        <v>-3.1832739783664463</v>
      </c>
      <c r="J92" s="1">
        <f t="shared" si="26"/>
        <v>-3.8557446464535299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-4.1821859992029848</v>
      </c>
      <c r="C110" s="1">
        <f>(-1*B95*SIN($B$64))+(C95*COS($B$64))</f>
        <v>-3.8091101674893224</v>
      </c>
      <c r="D110" t="str">
        <f t="shared" ref="D110" si="31">D95</f>
        <v>y</v>
      </c>
      <c r="E110" s="4">
        <f t="shared" ref="E110:E121" si="32">IF($D110="y",$B$125-C110,0)</f>
        <v>7.5744440470437908</v>
      </c>
      <c r="F110" s="1">
        <f>IF($D110="y",B110,NA())</f>
        <v>-4.1821859992029848</v>
      </c>
      <c r="G110" s="1">
        <f>IF($D110="y",C110,NA())</f>
        <v>-3.8091101674893224</v>
      </c>
      <c r="H110">
        <f t="shared" ref="H110:H121" si="33">IF($E$122=0,0,-1*MAX(($B$67/$E$122)*(E110),0))</f>
        <v>-34.968667828213398</v>
      </c>
      <c r="I110">
        <f>H110*C110</f>
        <v>133.19950816800443</v>
      </c>
      <c r="J110">
        <f>H110*B110*-1</f>
        <v>-146.24547300193393</v>
      </c>
      <c r="K110">
        <f ca="1">H110/$B$55</f>
        <v>-104.55239404481193</v>
      </c>
      <c r="L110">
        <f ca="1">K110/$B$54</f>
        <v>-3.6052549670624805E-3</v>
      </c>
      <c r="M110">
        <f t="shared" ref="M110:M121" si="34">IFERROR(($D$66/$B$65)*(G110-$B$125),0)</f>
        <v>-3.6052550444465804E-3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3.8091101674893224</v>
      </c>
      <c r="C111" s="1">
        <f t="shared" ref="C111:C121" si="37">(-1*B96*SIN($B$64))+(C96*COS($B$64))</f>
        <v>-4.1821859992029848</v>
      </c>
      <c r="D111" t="str">
        <f t="shared" si="35"/>
        <v>y</v>
      </c>
      <c r="E111" s="4">
        <f t="shared" si="32"/>
        <v>7.9475198787574524</v>
      </c>
      <c r="F111" s="1">
        <f t="shared" ref="F111:G121" si="38">IF($D111="y",B111,NA())</f>
        <v>3.8091101674893224</v>
      </c>
      <c r="G111" s="1">
        <f t="shared" si="38"/>
        <v>-4.1821859992029848</v>
      </c>
      <c r="H111">
        <f t="shared" si="33"/>
        <v>-36.691033820080634</v>
      </c>
      <c r="I111">
        <f t="shared" ref="I111:I121" si="39">H111*C111</f>
        <v>153.44872793862444</v>
      </c>
      <c r="J111">
        <f t="shared" ref="J111:J121" si="40">H111*B111*-1</f>
        <v>139.76018997976374</v>
      </c>
      <c r="K111">
        <f ca="1">H111/$B$55</f>
        <v>-109.70207514664094</v>
      </c>
      <c r="L111">
        <f t="shared" ref="L111:L121" ca="1" si="41">K111/$B$54</f>
        <v>-3.782830177470377E-3</v>
      </c>
      <c r="M111">
        <f t="shared" si="34"/>
        <v>-3.7828302586659967E-3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-3.8091101674893224</v>
      </c>
      <c r="C112" s="1">
        <f t="shared" si="37"/>
        <v>4.1821859992029848</v>
      </c>
      <c r="D112" t="str">
        <f t="shared" si="35"/>
        <v>y</v>
      </c>
      <c r="E112" s="4">
        <f t="shared" si="32"/>
        <v>-0.41685211964851687</v>
      </c>
      <c r="F112" s="1">
        <f t="shared" si="38"/>
        <v>-3.8091101674893224</v>
      </c>
      <c r="G112" s="1">
        <f t="shared" si="38"/>
        <v>4.1821859992029848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1.9841168511075232E-4</v>
      </c>
      <c r="N112">
        <f t="shared" si="42"/>
        <v>0.41913585257423119</v>
      </c>
      <c r="O112">
        <f t="shared" si="43"/>
        <v>1.7529040943999561</v>
      </c>
      <c r="P112">
        <f t="shared" si="44"/>
        <v>1.5965346375998097</v>
      </c>
    </row>
    <row r="113" spans="1:16" x14ac:dyDescent="0.25">
      <c r="A113">
        <f t="shared" si="35"/>
        <v>4</v>
      </c>
      <c r="B113" s="1">
        <f t="shared" si="36"/>
        <v>4.1821859992029848</v>
      </c>
      <c r="C113" s="1">
        <f t="shared" si="37"/>
        <v>3.8091101674893224</v>
      </c>
      <c r="D113" t="str">
        <f t="shared" si="35"/>
        <v>y</v>
      </c>
      <c r="E113" s="4">
        <f t="shared" si="32"/>
        <v>-4.3776287934854441E-2</v>
      </c>
      <c r="F113" s="1">
        <f t="shared" si="38"/>
        <v>4.1821859992029848</v>
      </c>
      <c r="G113" s="1">
        <f t="shared" si="38"/>
        <v>3.8091101674893224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2.0836470891335837E-5</v>
      </c>
      <c r="N113">
        <f t="shared" si="42"/>
        <v>4.4016117230209047E-2</v>
      </c>
      <c r="O113">
        <f t="shared" si="43"/>
        <v>0.16766223967499122</v>
      </c>
      <c r="P113">
        <f t="shared" si="44"/>
        <v>-0.18408358921945753</v>
      </c>
    </row>
    <row r="114" spans="1:16" x14ac:dyDescent="0.25">
      <c r="A114">
        <f t="shared" si="35"/>
        <v>5</v>
      </c>
      <c r="B114" s="1">
        <f t="shared" si="36"/>
        <v>-4.0655998017924651</v>
      </c>
      <c r="C114" s="1">
        <f t="shared" si="37"/>
        <v>-1.3118301153979761</v>
      </c>
      <c r="D114" t="str">
        <f t="shared" si="35"/>
        <v>y</v>
      </c>
      <c r="E114" s="4">
        <f t="shared" si="32"/>
        <v>5.0771639949524445</v>
      </c>
      <c r="F114" s="1">
        <f t="shared" si="38"/>
        <v>-4.0655998017924651</v>
      </c>
      <c r="G114" s="1">
        <f t="shared" si="38"/>
        <v>-1.3118301153979761</v>
      </c>
      <c r="H114">
        <f t="shared" si="33"/>
        <v>-23.439563372066786</v>
      </c>
      <c r="I114">
        <f t="shared" si="39"/>
        <v>30.748725123256545</v>
      </c>
      <c r="J114">
        <f t="shared" si="40"/>
        <v>-95.295884199576648</v>
      </c>
      <c r="K114">
        <f t="shared" ca="1" si="45"/>
        <v>-70.081665048087004</v>
      </c>
      <c r="L114">
        <f t="shared" ca="1" si="41"/>
        <v>-2.4166091395892071E-3</v>
      </c>
      <c r="M114">
        <f t="shared" si="34"/>
        <v>-2.416609191459914E-3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3.9256963648998418</v>
      </c>
      <c r="C115" s="1">
        <f t="shared" si="37"/>
        <v>-1.684905947111639</v>
      </c>
      <c r="D115" t="str">
        <f t="shared" si="35"/>
        <v>y</v>
      </c>
      <c r="E115" s="4">
        <f t="shared" si="32"/>
        <v>5.450239826666107</v>
      </c>
      <c r="F115" s="1">
        <f t="shared" si="38"/>
        <v>3.9256963648998418</v>
      </c>
      <c r="G115" s="1">
        <f t="shared" si="38"/>
        <v>-1.684905947111639</v>
      </c>
      <c r="H115">
        <f t="shared" si="33"/>
        <v>-25.161929363934028</v>
      </c>
      <c r="I115">
        <f t="shared" si="39"/>
        <v>42.395484426095422</v>
      </c>
      <c r="J115">
        <f t="shared" si="40"/>
        <v>98.778094637862409</v>
      </c>
      <c r="K115">
        <f t="shared" ca="1" si="45"/>
        <v>-75.231346149916035</v>
      </c>
      <c r="L115">
        <f t="shared" ca="1" si="41"/>
        <v>-2.5941843499971045E-3</v>
      </c>
      <c r="M115">
        <f t="shared" si="34"/>
        <v>-2.5941844056793302E-3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-3.9256963648998418</v>
      </c>
      <c r="C116" s="1">
        <f t="shared" si="37"/>
        <v>1.684905947111639</v>
      </c>
      <c r="D116" t="str">
        <f t="shared" si="35"/>
        <v>y</v>
      </c>
      <c r="E116" s="4">
        <f t="shared" si="32"/>
        <v>2.080427932442829</v>
      </c>
      <c r="F116" s="1">
        <f t="shared" si="38"/>
        <v>-3.9256963648998418</v>
      </c>
      <c r="G116" s="1">
        <f t="shared" si="38"/>
        <v>1.684905947111639</v>
      </c>
      <c r="H116">
        <f t="shared" si="33"/>
        <v>-9.6046380246908534</v>
      </c>
      <c r="I116">
        <f t="shared" si="39"/>
        <v>-16.182911727656204</v>
      </c>
      <c r="J116">
        <f t="shared" si="40"/>
        <v>-37.704892579707682</v>
      </c>
      <c r="K116">
        <f t="shared" ca="1" si="45"/>
        <v>-28.716790252017091</v>
      </c>
      <c r="L116">
        <f t="shared" ca="1" si="41"/>
        <v>-9.9023414662127891E-4</v>
      </c>
      <c r="M116">
        <f t="shared" si="34"/>
        <v>-9.9023416787591412E-4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4.0655998017924651</v>
      </c>
      <c r="C117" s="1">
        <f t="shared" si="37"/>
        <v>1.3118301153979761</v>
      </c>
      <c r="D117" t="str">
        <f t="shared" si="35"/>
        <v>y</v>
      </c>
      <c r="E117" s="4">
        <f t="shared" si="32"/>
        <v>2.4535037641564919</v>
      </c>
      <c r="F117" s="1">
        <f t="shared" si="38"/>
        <v>4.0655998017924651</v>
      </c>
      <c r="G117" s="1">
        <f t="shared" si="38"/>
        <v>1.3118301153979761</v>
      </c>
      <c r="H117">
        <f t="shared" si="33"/>
        <v>-11.327004016558098</v>
      </c>
      <c r="I117">
        <f t="shared" si="39"/>
        <v>-14.859104986154748</v>
      </c>
      <c r="J117">
        <f t="shared" si="40"/>
        <v>46.05106528462106</v>
      </c>
      <c r="K117">
        <f t="shared" ca="1" si="45"/>
        <v>-33.866471353846123</v>
      </c>
      <c r="L117">
        <f t="shared" ca="1" si="41"/>
        <v>-1.1678093570291767E-3</v>
      </c>
      <c r="M117">
        <f t="shared" si="34"/>
        <v>-1.1678093820953308E-3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-7.3188254986052241</v>
      </c>
      <c r="C118" s="1">
        <f t="shared" si="37"/>
        <v>-6.6659427931063133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-7.3188254986052241</v>
      </c>
      <c r="C119" s="1">
        <f t="shared" si="37"/>
        <v>-6.6659427931063133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-7.3188254986052241</v>
      </c>
      <c r="C120" s="1">
        <f t="shared" si="37"/>
        <v>-6.6659427931063133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-7.3188254986052241</v>
      </c>
      <c r="C121" s="1">
        <f t="shared" si="37"/>
        <v>-6.6659427931063133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7.9475198787574524</v>
      </c>
      <c r="H122">
        <f>SUM(H110:H121)</f>
        <v>-141.19283642554379</v>
      </c>
      <c r="I122">
        <f t="shared" ref="I122:J122" si="46">SUM(I110:I121)</f>
        <v>328.75042894216983</v>
      </c>
      <c r="J122">
        <f t="shared" si="46"/>
        <v>5.3431001210289466</v>
      </c>
      <c r="L122">
        <f ca="1">MIN(L110:L121)</f>
        <v>-3.782830177470377E-3</v>
      </c>
      <c r="M122">
        <f>MIN(M110:M121)</f>
        <v>-3.7828302586659967E-3</v>
      </c>
      <c r="N122">
        <f>SUM(N110:N121)</f>
        <v>0.46315196980444023</v>
      </c>
      <c r="O122">
        <f>SUM(O110:O121)</f>
        <v>1.9205663340749473</v>
      </c>
      <c r="P122">
        <f>SUM(P110:P121)</f>
        <v>1.4124510483803523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3.765333879554468</v>
      </c>
      <c r="F125" s="1" t="s">
        <v>27</v>
      </c>
      <c r="G125" s="1" t="s">
        <v>28</v>
      </c>
    </row>
    <row r="126" spans="1:16" x14ac:dyDescent="0.25">
      <c r="F126" s="4">
        <f>MIN(B84:B90)-1</f>
        <v>-8.318825498605225</v>
      </c>
      <c r="G126" s="4">
        <f>B125</f>
        <v>3.765333879554468</v>
      </c>
    </row>
    <row r="127" spans="1:16" x14ac:dyDescent="0.25">
      <c r="F127" s="4">
        <f>MAX(B84:B90)+1</f>
        <v>8.318825498605225</v>
      </c>
      <c r="G127" s="4">
        <f>G126</f>
        <v>3.765333879554468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-7.3188254986052241</v>
      </c>
      <c r="C132" s="4">
        <f>C84</f>
        <v>-6.6659427931063133</v>
      </c>
      <c r="D132" s="4">
        <f t="shared" ref="D132:E139" si="47">B85</f>
        <v>6.6659427931063133</v>
      </c>
      <c r="E132" s="4">
        <f t="shared" si="47"/>
        <v>-7.3188254986052241</v>
      </c>
      <c r="F132" s="4">
        <f t="shared" ref="F132:F139" si="48">($B$66/$B$65)*(C132-$B$125)</f>
        <v>-20.228963990839283</v>
      </c>
      <c r="G132" s="4">
        <f t="shared" ref="G132:G139" si="49">($B$66/$B$65)*(E132-$B$125)</f>
        <v>-21.495073706287027</v>
      </c>
      <c r="H132" s="4">
        <f>IF(B132=D132,"V",(C132-E132)/(B132-D132))</f>
        <v>-4.6685271566913267E-2</v>
      </c>
      <c r="I132" s="4">
        <f>IF(H132="V",0,(-1*B132*H132)+C132)</f>
        <v>-7.0076241490595477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6.6659427931063133</v>
      </c>
      <c r="C133" s="4">
        <f t="shared" si="50"/>
        <v>-7.3188254986052241</v>
      </c>
      <c r="D133" s="4">
        <f t="shared" si="47"/>
        <v>7.3188254986052241</v>
      </c>
      <c r="E133" s="4">
        <f t="shared" si="47"/>
        <v>6.6659427931063133</v>
      </c>
      <c r="F133" s="4">
        <f t="shared" si="48"/>
        <v>-21.495073706287027</v>
      </c>
      <c r="G133" s="4">
        <f t="shared" si="49"/>
        <v>5.6250366187229837</v>
      </c>
      <c r="H133" s="4">
        <f t="shared" ref="H133:H139" si="51">IF(B133=D133,"V",(C133-E133)/(B133-D133))</f>
        <v>21.420031766693608</v>
      </c>
      <c r="I133" s="4">
        <f t="shared" ref="I133:I139" si="52">IF(H133="V",0,(-1*B133*H133)+C133)</f>
        <v>-150.10353188190479</v>
      </c>
      <c r="J133" s="4">
        <f t="shared" ref="J133:J139" si="53">IF($F133&gt;=0,B133,IF(AND($F133&lt;0,$G133&gt;=0),IF(H133="V",B133,($B$125-I133)/H133),0))</f>
        <v>7.1834097837666482</v>
      </c>
      <c r="K133" s="4">
        <f t="shared" ref="K133:K139" si="54">IF($F133&gt;=0,C133,IF(AND($F133&lt;0,$G133&gt;=0),$B$125,0))</f>
        <v>3.765333879554468</v>
      </c>
      <c r="L133" s="4">
        <f t="shared" ref="L133:L139" si="55">IF($G133&gt;=0,D133,IF(AND($G133&lt;0,$F133&gt;=0),IF(H133="V",D133,($B$125-I133)/H133),0))</f>
        <v>7.3188254986052241</v>
      </c>
      <c r="M133" s="4">
        <f t="shared" ref="M133:M139" si="56">IF($G133&gt;=0,E133,IF(AND($G133&lt;0,$F133&gt;=0),$B$125,0))</f>
        <v>6.6659427931063133</v>
      </c>
      <c r="N133" s="4">
        <f t="shared" ref="N133:O139" si="57">IF(F133&lt;0,0,F133)</f>
        <v>0</v>
      </c>
      <c r="O133" s="4">
        <f t="shared" si="57"/>
        <v>5.6250366187229837</v>
      </c>
      <c r="P133" s="4">
        <f t="shared" ref="P133:P139" si="58">(1/6)*(M133-K133)*((N133*((2*J133)+L133))+(O133*(J133+(2*L133))))</f>
        <v>59.338851984806738</v>
      </c>
      <c r="Q133" s="4">
        <f t="shared" ref="Q133:Q139" si="59">((1/12)*(M133-K133)*(N133*J133*((3*K133)+M133)+N133*L133*(K133+M133)+O133*J133*(K133+M133)+O133*L133*(K133+(3*M133))))</f>
        <v>338.35447901600475</v>
      </c>
      <c r="R133" s="4">
        <f t="shared" ref="R133:R139" si="60">((-1/24)*(M133-K133)*(J133*J133*((3*N133)+O133)+2*J133*L133*(N133+O133)+L133*L133*(N133+(3*O133))))</f>
        <v>-215.81027144247273</v>
      </c>
    </row>
    <row r="134" spans="1:18" x14ac:dyDescent="0.25">
      <c r="A134" t="s">
        <v>71</v>
      </c>
      <c r="B134" s="4">
        <f t="shared" si="50"/>
        <v>7.3188254986052241</v>
      </c>
      <c r="C134" s="4">
        <f t="shared" si="50"/>
        <v>6.6659427931063133</v>
      </c>
      <c r="D134" s="4">
        <f t="shared" si="47"/>
        <v>-6.6659427931063133</v>
      </c>
      <c r="E134" s="4">
        <f t="shared" si="47"/>
        <v>7.3188254986052241</v>
      </c>
      <c r="F134" s="4">
        <f t="shared" si="48"/>
        <v>5.6250366187229837</v>
      </c>
      <c r="G134" s="4">
        <f t="shared" si="49"/>
        <v>6.8911463341707249</v>
      </c>
      <c r="H134" s="4">
        <f t="shared" si="51"/>
        <v>-4.6685271566913267E-2</v>
      </c>
      <c r="I134" s="4">
        <f t="shared" si="52"/>
        <v>7.0076241490595477</v>
      </c>
      <c r="J134" s="4">
        <f t="shared" si="53"/>
        <v>7.3188254986052241</v>
      </c>
      <c r="K134" s="4">
        <f t="shared" si="54"/>
        <v>6.6659427931063133</v>
      </c>
      <c r="L134" s="4">
        <f t="shared" si="55"/>
        <v>-6.6659427931063133</v>
      </c>
      <c r="M134" s="4">
        <f t="shared" si="56"/>
        <v>7.3188254986052241</v>
      </c>
      <c r="N134" s="4">
        <f t="shared" si="57"/>
        <v>5.6250366187229837</v>
      </c>
      <c r="O134" s="4">
        <f t="shared" si="57"/>
        <v>6.8911463341707249</v>
      </c>
      <c r="P134" s="4">
        <f t="shared" si="58"/>
        <v>0.37043189107868429</v>
      </c>
      <c r="Q134" s="4">
        <f t="shared" si="59"/>
        <v>-0.50386992353788596</v>
      </c>
      <c r="R134" s="4">
        <f t="shared" si="60"/>
        <v>-33.198022470533338</v>
      </c>
    </row>
    <row r="135" spans="1:18" x14ac:dyDescent="0.25">
      <c r="A135" t="s">
        <v>72</v>
      </c>
      <c r="B135" s="4">
        <f t="shared" si="50"/>
        <v>-6.6659427931063133</v>
      </c>
      <c r="C135" s="4">
        <f t="shared" si="50"/>
        <v>7.3188254986052241</v>
      </c>
      <c r="D135" s="4">
        <f t="shared" si="47"/>
        <v>-7.3188254986052241</v>
      </c>
      <c r="E135" s="4">
        <f t="shared" si="47"/>
        <v>-6.6659427931063133</v>
      </c>
      <c r="F135" s="4">
        <f t="shared" si="48"/>
        <v>6.8911463341707249</v>
      </c>
      <c r="G135" s="4">
        <f t="shared" si="49"/>
        <v>-20.228963990839283</v>
      </c>
      <c r="H135" s="4">
        <f t="shared" si="51"/>
        <v>21.420031766693608</v>
      </c>
      <c r="I135" s="4">
        <f t="shared" si="52"/>
        <v>150.10353188190479</v>
      </c>
      <c r="J135" s="4">
        <f t="shared" si="53"/>
        <v>-6.6659427931063133</v>
      </c>
      <c r="K135" s="4">
        <f t="shared" si="54"/>
        <v>7.3188254986052241</v>
      </c>
      <c r="L135" s="4">
        <f t="shared" si="55"/>
        <v>-6.831838514352448</v>
      </c>
      <c r="M135" s="4">
        <f t="shared" si="56"/>
        <v>3.765333879554468</v>
      </c>
      <c r="N135" s="4">
        <f t="shared" si="57"/>
        <v>6.8911463341707249</v>
      </c>
      <c r="O135" s="4">
        <f t="shared" si="57"/>
        <v>0</v>
      </c>
      <c r="P135" s="4">
        <f t="shared" si="58"/>
        <v>82.293638366852036</v>
      </c>
      <c r="Q135" s="4">
        <f t="shared" si="59"/>
        <v>504.41520299356779</v>
      </c>
      <c r="R135" s="4">
        <f t="shared" si="60"/>
        <v>276.56706339964563</v>
      </c>
    </row>
    <row r="136" spans="1:18" x14ac:dyDescent="0.25">
      <c r="A136" t="s">
        <v>73</v>
      </c>
      <c r="B136" s="4">
        <f t="shared" si="50"/>
        <v>-7.3188254986052241</v>
      </c>
      <c r="C136" s="4">
        <f t="shared" si="50"/>
        <v>-6.6659427931063133</v>
      </c>
      <c r="D136" s="4">
        <f t="shared" si="47"/>
        <v>-7.3188254986052241</v>
      </c>
      <c r="E136" s="4">
        <f t="shared" si="47"/>
        <v>-6.6659427931063133</v>
      </c>
      <c r="F136" s="4">
        <f t="shared" si="48"/>
        <v>-20.228963990839283</v>
      </c>
      <c r="G136" s="4">
        <f t="shared" si="49"/>
        <v>-20.228963990839283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-7.3188254986052241</v>
      </c>
      <c r="C137" s="4">
        <f t="shared" si="50"/>
        <v>-6.6659427931063133</v>
      </c>
      <c r="D137" s="4">
        <f t="shared" si="47"/>
        <v>-7.3188254986052241</v>
      </c>
      <c r="E137" s="4">
        <f t="shared" si="47"/>
        <v>-6.6659427931063133</v>
      </c>
      <c r="F137" s="4">
        <f t="shared" si="48"/>
        <v>-20.228963990839283</v>
      </c>
      <c r="G137" s="4">
        <f t="shared" si="49"/>
        <v>-20.228963990839283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-7.3188254986052241</v>
      </c>
      <c r="C138" s="4">
        <f t="shared" si="50"/>
        <v>-6.6659427931063133</v>
      </c>
      <c r="D138" s="4">
        <f t="shared" si="47"/>
        <v>-7.3188254986052241</v>
      </c>
      <c r="E138" s="4">
        <f t="shared" si="47"/>
        <v>-6.6659427931063133</v>
      </c>
      <c r="F138" s="4">
        <f t="shared" si="48"/>
        <v>-20.228963990839283</v>
      </c>
      <c r="G138" s="4">
        <f t="shared" si="49"/>
        <v>-20.228963990839283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-7.3188254986052241</v>
      </c>
      <c r="C139" s="4">
        <f>E138</f>
        <v>-6.6659427931063133</v>
      </c>
      <c r="D139" s="4">
        <f t="shared" si="47"/>
        <v>-7.3188254986052241</v>
      </c>
      <c r="E139" s="4">
        <f t="shared" si="47"/>
        <v>-6.6659427931063133</v>
      </c>
      <c r="F139" s="4">
        <f t="shared" si="48"/>
        <v>-20.228963990839283</v>
      </c>
      <c r="G139" s="4">
        <f t="shared" si="49"/>
        <v>-20.228963990839283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142.00292224273744</v>
      </c>
      <c r="Q140" s="4">
        <f>SUM(Q132:Q139)</f>
        <v>842.26581208603466</v>
      </c>
      <c r="R140" s="4">
        <f>SUM(R132:R139)</f>
        <v>27.558769486639562</v>
      </c>
    </row>
    <row r="142" spans="1:18" x14ac:dyDescent="0.25">
      <c r="O142" t="s">
        <v>96</v>
      </c>
      <c r="P142" s="1">
        <f>-1*R140/P140</f>
        <v>-0.19407184761684734</v>
      </c>
    </row>
    <row r="143" spans="1:18" x14ac:dyDescent="0.25">
      <c r="O143" t="s">
        <v>97</v>
      </c>
      <c r="P143" s="1">
        <f>Q140/P140</f>
        <v>5.9313273190693883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-3.1832739783664463</v>
      </c>
      <c r="C146" s="9">
        <f>J84</f>
        <v>-3.8557446464535299</v>
      </c>
      <c r="D146" s="9">
        <f t="shared" ref="D146:E153" si="61">I85</f>
        <v>-2.8101981466527839</v>
      </c>
      <c r="E146">
        <f t="shared" si="61"/>
        <v>4.1355515202387769</v>
      </c>
      <c r="F146" s="4">
        <f>($B$66/$B$65)*(C146-$B$125)</f>
        <v>-14.779257411322209</v>
      </c>
      <c r="G146" s="4">
        <f>($B$66/$B$65)*(E146-$B$125)</f>
        <v>0.71794848868351024</v>
      </c>
      <c r="H146" s="4">
        <f>IF(B146=D146,"V",(C146-E146)/(B146-D146))</f>
        <v>21.420031766693658</v>
      </c>
      <c r="I146" s="4">
        <f>IF(H146="V",0,(-1*B146*H146)+C146)</f>
        <v>64.330085092245042</v>
      </c>
      <c r="J146" s="4">
        <f>IF($F146&gt;=0,B146,IF(AND($F146&lt;0,$G146&gt;=0),IF(H146="V",B146,($B$125-I146)/H146),0))</f>
        <v>-2.8274818577469922</v>
      </c>
      <c r="K146" s="4">
        <f>IF($F146&gt;=0,C146,IF(AND($F146&lt;0,$G146&gt;=0),$B$125,0))</f>
        <v>3.765333879554468</v>
      </c>
      <c r="L146" s="4">
        <f>IF($G146&gt;=0,D146,IF(AND($G146&lt;0,$F146&gt;=0),IF(H146="V",D146,($B$125-I146)/H146),0))</f>
        <v>-2.8101981466527839</v>
      </c>
      <c r="M146" s="4">
        <f>IF($G146&gt;=0,E146,IF(AND($G146&lt;0,$F146&gt;=0),$B$125,0))</f>
        <v>4.1355515202387769</v>
      </c>
      <c r="N146" s="4">
        <f>IF(F146&lt;0,0,F146)</f>
        <v>0</v>
      </c>
      <c r="O146" s="4">
        <f>IF(G146&lt;0,0,G146)</f>
        <v>0.71794848868351024</v>
      </c>
      <c r="P146" s="4">
        <f>(1/6)*(M146-K146)*((N146*((2*J146)+L146))+(O146*(J146+(2*L146))))</f>
        <v>-0.37423705357207077</v>
      </c>
      <c r="Q146" s="4">
        <f>((1/12)*(M146-K146)*(N146*J146*((3*K146)+M146)+N146*L146*(K146+M146)+O146*J146*(K146+M146)+O146*L146*(K146+(3*M146))))</f>
        <v>-1.5014463193265601</v>
      </c>
      <c r="R146" s="4">
        <f>((-1/24)*(M146-K146)*(J146*J146*((3*N146)+O146)+2*J146*L146*(N146+O146)+L146*L146*(N146+(3*O146))))</f>
        <v>-0.52691927415194884</v>
      </c>
    </row>
    <row r="147" spans="1:18" x14ac:dyDescent="0.25">
      <c r="A147" t="s">
        <v>70</v>
      </c>
      <c r="B147" s="9">
        <f t="shared" ref="B147:C153" si="62">D146</f>
        <v>-2.8101981466527839</v>
      </c>
      <c r="C147">
        <f t="shared" si="62"/>
        <v>4.1355515202387769</v>
      </c>
      <c r="D147" s="9">
        <f t="shared" si="61"/>
        <v>3.1832739783664463</v>
      </c>
      <c r="E147">
        <f t="shared" si="61"/>
        <v>3.8557446464535299</v>
      </c>
      <c r="F147" s="4">
        <f t="shared" ref="F147:F153" si="63">($B$66/$B$65)*(C147-$B$125)</f>
        <v>0.71794848868351024</v>
      </c>
      <c r="G147" s="4">
        <f t="shared" ref="G147:G153" si="64">($B$66/$B$65)*(E147-$B$125)</f>
        <v>0.17533003920590795</v>
      </c>
      <c r="H147" s="4">
        <f t="shared" ref="H147:H153" si="65">IF(B147=D147,"V",(C147-E147)/(B147-D147))</f>
        <v>-4.668527156691319E-2</v>
      </c>
      <c r="I147" s="4">
        <f t="shared" ref="I147:I153" si="66">IF(H147="V",0,(-1*B147*H147)+C147)</f>
        <v>4.0043566566054558</v>
      </c>
      <c r="J147" s="4">
        <f t="shared" ref="J147:J153" si="67">IF($F147&gt;=0,B147,IF(AND($F147&lt;0,$G147&gt;=0),IF(H147="V",B147,($B$125-I147)/H147),0))</f>
        <v>-2.8101981466527839</v>
      </c>
      <c r="K147" s="4">
        <f t="shared" ref="K147:K153" si="68">IF($F147&gt;=0,C147,IF(AND($F147&lt;0,$G147&gt;=0),$B$125,0))</f>
        <v>4.1355515202387769</v>
      </c>
      <c r="L147" s="4">
        <f t="shared" ref="L147:L153" si="69">IF($G147&gt;=0,D147,IF(AND($G147&lt;0,$F147&gt;=0),IF(H147="V",D147,($B$125-I147)/H147),0))</f>
        <v>3.1832739783664463</v>
      </c>
      <c r="M147" s="4">
        <f t="shared" ref="M147:M153" si="70">IF($G147&gt;=0,E147,IF(AND($G147&lt;0,$F147&gt;=0),$B$125,0))</f>
        <v>3.8557446464535299</v>
      </c>
      <c r="N147" s="4">
        <f t="shared" ref="N147:O153" si="71">IF(F147&lt;0,0,F147)</f>
        <v>0.71794848868351024</v>
      </c>
      <c r="O147" s="4">
        <f t="shared" si="71"/>
        <v>0.17533003920590795</v>
      </c>
      <c r="P147" s="4">
        <f t="shared" ref="P147:P153" si="72">(1/6)*(M147-K147)*((N147*((2*J147)+L147))+(O147*(J147+(2*L147))))</f>
        <v>5.2519439209566386E-2</v>
      </c>
      <c r="Q147" s="4">
        <f t="shared" ref="Q147:Q153" si="73">((1/12)*(M147-K147)*(N147*J147*((3*K147)+M147)+N147*L147*(K147+M147)+O147*J147*(K147+M147)+O147*L147*(K147+(3*M147))))</f>
        <v>0.2266539045862293</v>
      </c>
      <c r="R147" s="4">
        <f t="shared" ref="R147:R153" si="74">((-1/24)*(M147-K147)*(J147*J147*((3*N147)+O147)+2*J147*L147*(N147+O147)+L147*L147*(N147+(3*O147))))</f>
        <v>0.17508025590882767</v>
      </c>
    </row>
    <row r="148" spans="1:18" x14ac:dyDescent="0.25">
      <c r="A148" t="s">
        <v>71</v>
      </c>
      <c r="B148" s="9">
        <f t="shared" si="62"/>
        <v>3.1832739783664463</v>
      </c>
      <c r="C148">
        <f t="shared" si="62"/>
        <v>3.8557446464535299</v>
      </c>
      <c r="D148" s="9">
        <f t="shared" si="61"/>
        <v>2.8101981466527839</v>
      </c>
      <c r="E148">
        <f t="shared" si="61"/>
        <v>-4.1355515202387769</v>
      </c>
      <c r="F148" s="4">
        <f t="shared" si="63"/>
        <v>0.17533003920590795</v>
      </c>
      <c r="G148" s="4">
        <f t="shared" si="64"/>
        <v>-15.32187586079981</v>
      </c>
      <c r="H148" s="4">
        <f t="shared" si="65"/>
        <v>21.420031766693658</v>
      </c>
      <c r="I148" s="4">
        <f t="shared" si="66"/>
        <v>-64.330085092245042</v>
      </c>
      <c r="J148" s="4">
        <f t="shared" si="67"/>
        <v>3.1832739783664463</v>
      </c>
      <c r="K148" s="4">
        <f t="shared" si="68"/>
        <v>3.8557446464535299</v>
      </c>
      <c r="L148" s="4">
        <f t="shared" si="69"/>
        <v>3.1790531271611902</v>
      </c>
      <c r="M148" s="4">
        <f t="shared" si="70"/>
        <v>3.765333879554468</v>
      </c>
      <c r="N148" s="4">
        <f t="shared" si="71"/>
        <v>0.17533003920590795</v>
      </c>
      <c r="O148" s="4">
        <f t="shared" si="71"/>
        <v>0</v>
      </c>
      <c r="P148" s="4">
        <f t="shared" si="72"/>
        <v>-2.5219037860377037E-2</v>
      </c>
      <c r="Q148" s="4">
        <f t="shared" si="73"/>
        <v>-9.6478314067230564E-2</v>
      </c>
      <c r="R148" s="4">
        <f t="shared" si="74"/>
        <v>4.0121816444792978E-2</v>
      </c>
    </row>
    <row r="149" spans="1:18" x14ac:dyDescent="0.25">
      <c r="A149" t="s">
        <v>72</v>
      </c>
      <c r="B149" s="9">
        <f t="shared" si="62"/>
        <v>2.8101981466527839</v>
      </c>
      <c r="C149">
        <f t="shared" si="62"/>
        <v>-4.1355515202387769</v>
      </c>
      <c r="D149" s="9">
        <f t="shared" si="61"/>
        <v>-3.1832739783664463</v>
      </c>
      <c r="E149">
        <f t="shared" si="61"/>
        <v>-3.8557446464535299</v>
      </c>
      <c r="F149" s="4">
        <f t="shared" si="63"/>
        <v>-15.32187586079981</v>
      </c>
      <c r="G149" s="4">
        <f t="shared" si="64"/>
        <v>-14.779257411322209</v>
      </c>
      <c r="H149" s="4">
        <f t="shared" si="65"/>
        <v>-4.668527156691319E-2</v>
      </c>
      <c r="I149" s="4">
        <f t="shared" si="66"/>
        <v>-4.0043566566054558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-3.1832739783664463</v>
      </c>
      <c r="C150">
        <f t="shared" si="62"/>
        <v>-3.8557446464535299</v>
      </c>
      <c r="D150" s="9">
        <f t="shared" si="61"/>
        <v>-3.1832739783664463</v>
      </c>
      <c r="E150">
        <f t="shared" si="61"/>
        <v>-3.8557446464535299</v>
      </c>
      <c r="F150" s="4">
        <f t="shared" si="63"/>
        <v>-14.779257411322209</v>
      </c>
      <c r="G150" s="4">
        <f t="shared" si="64"/>
        <v>-14.779257411322209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-3.1832739783664463</v>
      </c>
      <c r="C151">
        <f t="shared" si="62"/>
        <v>-3.8557446464535299</v>
      </c>
      <c r="D151" s="9">
        <f t="shared" si="61"/>
        <v>-3.1832739783664463</v>
      </c>
      <c r="E151">
        <f t="shared" si="61"/>
        <v>-3.8557446464535299</v>
      </c>
      <c r="F151" s="4">
        <f t="shared" si="63"/>
        <v>-14.779257411322209</v>
      </c>
      <c r="G151" s="4">
        <f t="shared" si="64"/>
        <v>-14.779257411322209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-3.1832739783664463</v>
      </c>
      <c r="C152">
        <f t="shared" si="62"/>
        <v>-3.8557446464535299</v>
      </c>
      <c r="D152" s="9">
        <f t="shared" si="61"/>
        <v>-3.1832739783664463</v>
      </c>
      <c r="E152">
        <f t="shared" si="61"/>
        <v>-3.8557446464535299</v>
      </c>
      <c r="F152" s="4">
        <f t="shared" si="63"/>
        <v>-14.779257411322209</v>
      </c>
      <c r="G152" s="4">
        <f t="shared" si="64"/>
        <v>-14.779257411322209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-3.1832739783664463</v>
      </c>
      <c r="C153">
        <f t="shared" si="62"/>
        <v>-3.8557446464535299</v>
      </c>
      <c r="D153" s="9">
        <f t="shared" si="61"/>
        <v>-3.1832739783664463</v>
      </c>
      <c r="E153">
        <f t="shared" si="61"/>
        <v>-3.8557446464535299</v>
      </c>
      <c r="F153" s="4">
        <f t="shared" si="63"/>
        <v>-14.779257411322209</v>
      </c>
      <c r="G153" s="4">
        <f t="shared" si="64"/>
        <v>-14.779257411322209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-0.34693665222288145</v>
      </c>
      <c r="Q154" s="4">
        <f t="shared" ref="Q154:R154" si="75">SUM(Q146:Q153)</f>
        <v>-1.3712707288075614</v>
      </c>
      <c r="R154" s="4">
        <f t="shared" si="75"/>
        <v>-0.31171720179832818</v>
      </c>
    </row>
    <row r="156" spans="1:18" x14ac:dyDescent="0.25">
      <c r="O156" t="s">
        <v>96</v>
      </c>
      <c r="P156" s="1">
        <f>-1*R154/P154</f>
        <v>-0.89848449220082016</v>
      </c>
    </row>
    <row r="157" spans="1:18" x14ac:dyDescent="0.25">
      <c r="O157" t="s">
        <v>97</v>
      </c>
      <c r="P157" s="1">
        <f>Q154/P154</f>
        <v>3.9525104079421975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-2.8048336694341813E-6</v>
      </c>
      <c r="C159" t="s">
        <v>36</v>
      </c>
    </row>
    <row r="160" spans="1:18" x14ac:dyDescent="0.25">
      <c r="A160" s="1" t="s">
        <v>106</v>
      </c>
      <c r="B160" s="4">
        <f>Q140+I122+Q154-O122</f>
        <v>1167.7244039653222</v>
      </c>
      <c r="C160" t="s">
        <v>102</v>
      </c>
    </row>
    <row r="161" spans="1:9" x14ac:dyDescent="0.25">
      <c r="A161" s="1" t="s">
        <v>107</v>
      </c>
      <c r="B161" s="4">
        <f>R140+J122+R154-P122</f>
        <v>31.177701357489827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-2.8048336694341813E-6</v>
      </c>
      <c r="C164" t="s">
        <v>36</v>
      </c>
      <c r="E164" s="8">
        <f>B2-B164</f>
        <v>2.8048336694341813E-6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1164.9999882870341</v>
      </c>
      <c r="C165" t="s">
        <v>102</v>
      </c>
      <c r="E165" s="8">
        <f>B3+B165</f>
        <v>-1.1712965942933806E-5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85.599999820761226</v>
      </c>
      <c r="C166" t="s">
        <v>102</v>
      </c>
      <c r="E166" s="8">
        <f>B4+B166</f>
        <v>-1.7923876782788284E-7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6.8911463341707249</v>
      </c>
      <c r="B169" s="1">
        <f ca="1">IF(E122=0,0,(MIN(H110:H121)*B65)/(B55*B56*E122))</f>
        <v>-6.8911461862574273</v>
      </c>
      <c r="C169" s="3">
        <f ca="1">A169+B169</f>
        <v>1.4791329761010275E-7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6.9195206603113489E-10</v>
      </c>
      <c r="C175" s="27">
        <f>B65*SQRT(I175)</f>
        <v>5.270679833822267E-8</v>
      </c>
      <c r="D175" s="27">
        <f>B66*SQRT(I175)</f>
        <v>1.022122180356635E-7</v>
      </c>
      <c r="E175" s="27">
        <f>B67*SQRT(I175)</f>
        <v>5.4421597901291562E-7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4.6651399466886803E-2</v>
      </c>
      <c r="C176" s="3">
        <f>B65+C175</f>
        <v>3.5534916717575546</v>
      </c>
      <c r="D176" s="3">
        <f>D175+B66</f>
        <v>6.8911464363829431</v>
      </c>
      <c r="E176" s="3">
        <f>B67+E175</f>
        <v>36.691034364296613</v>
      </c>
      <c r="F176" s="16" t="s">
        <v>125</v>
      </c>
    </row>
    <row r="177" spans="1:13" x14ac:dyDescent="0.25">
      <c r="B177" s="27">
        <f>B176-B64</f>
        <v>6.9195206509053975E-10</v>
      </c>
      <c r="C177" s="27">
        <f>C176-B65</f>
        <v>5.2706798481239048E-8</v>
      </c>
      <c r="D177" s="27">
        <f>D176-B66</f>
        <v>1.0221221824480153E-7</v>
      </c>
      <c r="E177" s="27">
        <f>E176-B67</f>
        <v>5.4421597894815932E-7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-20.489020256949715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7.3188256949638255</v>
      </c>
      <c r="B181" s="25">
        <f>(d_alpha_p!E136-d_alpha_m!E136)/(2*B177)</f>
        <v>7.3188256949638255</v>
      </c>
      <c r="C181" s="25">
        <f>(d_alpha_p!E137-d_alpha_m!E137)/(2*B177)</f>
        <v>7.3188256949638255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-2.8048336694341813E-6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1.1712965942933806E-5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1.7923876782788284E-7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-1.4791329761010275E-7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-20.489020256949715</v>
      </c>
      <c r="B190" s="25">
        <f>A181</f>
        <v>7.3188256949638255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7.3188256949638255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7.3188256949638255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-20.489020256949715</v>
      </c>
      <c r="B201" s="25">
        <f t="shared" ref="B201:C201" si="77">B190</f>
        <v>7.3188256949638255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7.3188256949638255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7.3188256949638255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-1165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-2.54737609329446</v>
      </c>
      <c r="J3" t="s">
        <v>11</v>
      </c>
    </row>
    <row r="4" spans="1:29" x14ac:dyDescent="0.25">
      <c r="A4" s="10" t="s">
        <v>80</v>
      </c>
      <c r="B4" s="17">
        <f>'Rigid Bearing Plate Analysis'!B4</f>
        <v>-85.6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-0.18717201166180752</v>
      </c>
      <c r="J4" t="s">
        <v>11</v>
      </c>
    </row>
    <row r="5" spans="1:29" x14ac:dyDescent="0.25">
      <c r="A5" s="10" t="s">
        <v>104</v>
      </c>
      <c r="B5" s="20">
        <f>ATAN2(B3,B4)</f>
        <v>-3.0682480597090245</v>
      </c>
      <c r="C5" t="s">
        <v>19</v>
      </c>
      <c r="I5">
        <f>SUM(I2:I4)</f>
        <v>-2.7345481049562674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2.54737609329446</v>
      </c>
      <c r="AB14">
        <f>$B$4/Z14</f>
        <v>-0.18717201166180752</v>
      </c>
      <c r="AC14">
        <f>$I$2+AA14+AB14</f>
        <v>2.3602040816326526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-2.54737609329446</v>
      </c>
      <c r="AB15">
        <f t="shared" ref="AB15:AB21" si="11">$B$4/Z15</f>
        <v>-0.18717201166180752</v>
      </c>
      <c r="AC15">
        <f t="shared" ref="AC15:AC20" si="12">$I$2+AA15+AB15</f>
        <v>-2.7345481049562674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-2.54737609329446</v>
      </c>
      <c r="AB16">
        <f t="shared" si="11"/>
        <v>0.18717201166180752</v>
      </c>
      <c r="AC16">
        <f t="shared" si="12"/>
        <v>-2.3602040816326526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2.54737609329446</v>
      </c>
      <c r="AB17">
        <f t="shared" si="11"/>
        <v>0.18717201166180752</v>
      </c>
      <c r="AC17">
        <f t="shared" si="12"/>
        <v>2.7345481049562674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2.54737609329446</v>
      </c>
      <c r="AB18">
        <f t="shared" si="11"/>
        <v>0.18717201166180752</v>
      </c>
      <c r="AC18">
        <f t="shared" si="12"/>
        <v>2.7345481049562674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2.54737609329446</v>
      </c>
      <c r="AB19">
        <f t="shared" si="11"/>
        <v>0.18717201166180752</v>
      </c>
      <c r="AC19">
        <f t="shared" si="12"/>
        <v>2.7345481049562674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2.54737609329446</v>
      </c>
      <c r="AB20">
        <f t="shared" si="11"/>
        <v>0.18717201166180752</v>
      </c>
      <c r="AC20">
        <f t="shared" si="12"/>
        <v>2.7345481049562674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0.18717201166180752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3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11</v>
      </c>
      <c r="D26" s="5">
        <f>((B25*C26)-(B26*C25))*0.5</f>
        <v>16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11</v>
      </c>
      <c r="D27" s="5">
        <f t="shared" ref="D27:D33" si="13">((B26*C27)-(B27*C26))*0.5</f>
        <v>-33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3</v>
      </c>
      <c r="D28" s="5">
        <f t="shared" si="13"/>
        <v>-40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3</v>
      </c>
      <c r="D29" s="5">
        <f t="shared" si="13"/>
        <v>9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3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3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3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3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-48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4.6651398774934738E-2</v>
      </c>
      <c r="C64" t="s">
        <v>19</v>
      </c>
      <c r="D64" t="s">
        <v>34</v>
      </c>
      <c r="H64" s="17">
        <f>DEGREES(B64)</f>
        <v>2.6729282581855394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3.5534916717575551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6.8911463341707249</v>
      </c>
      <c r="C66" t="s">
        <v>11</v>
      </c>
      <c r="D66">
        <f>B66/B53</f>
        <v>1.6913774140270336E-3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36.691034364296613</v>
      </c>
      <c r="C67" t="s">
        <v>36</v>
      </c>
      <c r="D67" t="s">
        <v>122</v>
      </c>
      <c r="G67" s="20">
        <f ca="1">($B$56*$B$66*$B$55*$E$122)/$B$65</f>
        <v>36.691033820080612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4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4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-4</v>
      </c>
      <c r="Q76" cm="1">
        <f t="array" ref="Q76">(-1*MAX(ABS(B84:C91)))-1</f>
        <v>-8.318825498605225</v>
      </c>
      <c r="R76">
        <f>Q76</f>
        <v>-8.318825498605225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-4</v>
      </c>
      <c r="Q77">
        <f>-1*Q76</f>
        <v>8.318825498605225</v>
      </c>
      <c r="R77">
        <f>Q77</f>
        <v>8.318825498605225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-4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-4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-7.3188254986052241</v>
      </c>
      <c r="C84" s="1">
        <f t="shared" ref="C84:C92" si="23">(-1*B73*SIN($B$64))+(C73*COS($B$64))</f>
        <v>-6.6659427931063133</v>
      </c>
      <c r="H84" s="1">
        <f t="shared" ref="H84:H92" si="24">H73</f>
        <v>1</v>
      </c>
      <c r="I84" s="4">
        <f>(I73*COS($B$64))+(J73*SIN($B$64))</f>
        <v>-3.1832739783664463</v>
      </c>
      <c r="J84" s="1">
        <f>(-1*I73*SIN($B$64))+(J73*COS($B$64))</f>
        <v>-3.8557446464535299</v>
      </c>
    </row>
    <row r="85" spans="1:10" x14ac:dyDescent="0.25">
      <c r="A85" s="1">
        <f t="shared" si="21"/>
        <v>2</v>
      </c>
      <c r="B85" s="4">
        <f t="shared" si="22"/>
        <v>6.6659427931063133</v>
      </c>
      <c r="C85" s="1">
        <f t="shared" si="23"/>
        <v>-7.3188254986052241</v>
      </c>
      <c r="H85" s="1">
        <f t="shared" si="24"/>
        <v>2</v>
      </c>
      <c r="I85" s="4">
        <f t="shared" ref="I85:I92" si="25">(I74*COS($B$64))+(J74*SIN($B$64))</f>
        <v>-2.8101981466527839</v>
      </c>
      <c r="J85" s="1">
        <f t="shared" ref="J85:J92" si="26">(-1*I74*SIN($B$64))+(J74*COS($B$64))</f>
        <v>4.1355515202387769</v>
      </c>
    </row>
    <row r="86" spans="1:10" x14ac:dyDescent="0.25">
      <c r="A86" s="1">
        <f t="shared" si="21"/>
        <v>3</v>
      </c>
      <c r="B86" s="4">
        <f t="shared" si="22"/>
        <v>7.3188254986052241</v>
      </c>
      <c r="C86" s="1">
        <f t="shared" si="23"/>
        <v>6.6659427931063133</v>
      </c>
      <c r="H86" s="1">
        <f t="shared" si="24"/>
        <v>3</v>
      </c>
      <c r="I86" s="4">
        <f t="shared" si="25"/>
        <v>3.1832739783664463</v>
      </c>
      <c r="J86" s="1">
        <f t="shared" si="26"/>
        <v>3.8557446464535299</v>
      </c>
    </row>
    <row r="87" spans="1:10" x14ac:dyDescent="0.25">
      <c r="A87" s="1">
        <f t="shared" si="21"/>
        <v>4</v>
      </c>
      <c r="B87" s="4">
        <f t="shared" si="22"/>
        <v>-6.6659427931063133</v>
      </c>
      <c r="C87" s="1">
        <f t="shared" si="23"/>
        <v>7.3188254986052241</v>
      </c>
      <c r="H87" s="1">
        <f t="shared" si="24"/>
        <v>4</v>
      </c>
      <c r="I87" s="4">
        <f t="shared" si="25"/>
        <v>2.8101981466527839</v>
      </c>
      <c r="J87" s="1">
        <f t="shared" si="26"/>
        <v>-4.1355515202387769</v>
      </c>
    </row>
    <row r="88" spans="1:10" x14ac:dyDescent="0.25">
      <c r="A88" s="1">
        <f t="shared" si="21"/>
        <v>5</v>
      </c>
      <c r="B88" s="4">
        <f t="shared" si="22"/>
        <v>-7.3188254986052241</v>
      </c>
      <c r="C88" s="1">
        <f t="shared" si="23"/>
        <v>-6.6659427931063133</v>
      </c>
      <c r="H88" s="1">
        <f t="shared" si="24"/>
        <v>5</v>
      </c>
      <c r="I88" s="4">
        <f t="shared" si="25"/>
        <v>-3.1832739783664463</v>
      </c>
      <c r="J88" s="1">
        <f t="shared" si="26"/>
        <v>-3.8557446464535299</v>
      </c>
    </row>
    <row r="89" spans="1:10" x14ac:dyDescent="0.25">
      <c r="A89" s="1">
        <f t="shared" si="21"/>
        <v>6</v>
      </c>
      <c r="B89" s="4">
        <f t="shared" si="22"/>
        <v>-7.3188254986052241</v>
      </c>
      <c r="C89" s="1">
        <f t="shared" si="23"/>
        <v>-6.6659427931063133</v>
      </c>
      <c r="H89" s="1">
        <f t="shared" si="24"/>
        <v>6</v>
      </c>
      <c r="I89" s="4">
        <f t="shared" si="25"/>
        <v>-3.1832739783664463</v>
      </c>
      <c r="J89" s="1">
        <f t="shared" si="26"/>
        <v>-3.8557446464535299</v>
      </c>
    </row>
    <row r="90" spans="1:10" x14ac:dyDescent="0.25">
      <c r="A90" s="1">
        <f t="shared" si="21"/>
        <v>7</v>
      </c>
      <c r="B90" s="4">
        <f t="shared" si="22"/>
        <v>-7.3188254986052241</v>
      </c>
      <c r="C90" s="1">
        <f t="shared" si="23"/>
        <v>-6.6659427931063133</v>
      </c>
      <c r="H90" s="1">
        <f t="shared" si="24"/>
        <v>7</v>
      </c>
      <c r="I90" s="4">
        <f t="shared" si="25"/>
        <v>-3.1832739783664463</v>
      </c>
      <c r="J90" s="1">
        <f t="shared" si="26"/>
        <v>-3.8557446464535299</v>
      </c>
    </row>
    <row r="91" spans="1:10" x14ac:dyDescent="0.25">
      <c r="A91" s="1">
        <f t="shared" si="21"/>
        <v>8</v>
      </c>
      <c r="B91" s="4">
        <f t="shared" si="22"/>
        <v>-7.3188254986052241</v>
      </c>
      <c r="C91" s="1">
        <f t="shared" si="23"/>
        <v>-6.6659427931063133</v>
      </c>
      <c r="H91" s="1">
        <f t="shared" si="24"/>
        <v>8</v>
      </c>
      <c r="I91" s="4">
        <f t="shared" si="25"/>
        <v>-3.1832739783664463</v>
      </c>
      <c r="J91" s="1">
        <f t="shared" si="26"/>
        <v>-3.8557446464535299</v>
      </c>
    </row>
    <row r="92" spans="1:10" x14ac:dyDescent="0.25">
      <c r="A92" s="1">
        <f t="shared" si="21"/>
        <v>9</v>
      </c>
      <c r="B92" s="4">
        <f t="shared" si="22"/>
        <v>-7.3188254986052241</v>
      </c>
      <c r="C92" s="1">
        <f t="shared" si="23"/>
        <v>-6.6659427931063133</v>
      </c>
      <c r="H92" s="1">
        <f t="shared" si="24"/>
        <v>9</v>
      </c>
      <c r="I92" s="4">
        <f t="shared" si="25"/>
        <v>-3.1832739783664463</v>
      </c>
      <c r="J92" s="1">
        <f t="shared" si="26"/>
        <v>-3.8557446464535299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-4.1821859992029848</v>
      </c>
      <c r="C110" s="1">
        <f>(-1*B95*SIN($B$64))+(C95*COS($B$64))</f>
        <v>-3.8091101674893224</v>
      </c>
      <c r="D110" t="str">
        <f t="shared" ref="D110" si="31">D95</f>
        <v>y</v>
      </c>
      <c r="E110" s="4">
        <f t="shared" ref="E110:E121" si="32">IF($D110="y",$B$125-C110,0)</f>
        <v>7.5744439943369919</v>
      </c>
      <c r="F110" s="1">
        <f>IF($D110="y",B110,NA())</f>
        <v>-4.1821859992029848</v>
      </c>
      <c r="G110" s="1">
        <f>IF($D110="y",C110,NA())</f>
        <v>-3.8091101674893224</v>
      </c>
      <c r="H110">
        <f t="shared" ref="H110:H121" si="33">IF($E$122=0,0,-1*MAX(($B$67/$E$122)*(E110),0))</f>
        <v>-34.96866833546008</v>
      </c>
      <c r="I110">
        <f>H110*C110</f>
        <v>133.19951010016291</v>
      </c>
      <c r="J110">
        <f>H110*B110*-1</f>
        <v>-146.2454751233339</v>
      </c>
      <c r="K110">
        <f ca="1">H110/$B$55</f>
        <v>-104.5523955614226</v>
      </c>
      <c r="L110">
        <f ca="1">K110/$B$54</f>
        <v>-3.6052550193593999E-3</v>
      </c>
      <c r="M110">
        <f t="shared" ref="M110:M121" si="34">IFERROR(($D$66/$B$65)*(G110-$B$125),0)</f>
        <v>-3.6052549658848257E-3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3.8091101674893224</v>
      </c>
      <c r="C111" s="1">
        <f t="shared" ref="C111:C121" si="37">(-1*B96*SIN($B$64))+(C96*COS($B$64))</f>
        <v>-4.1821859992029848</v>
      </c>
      <c r="D111" t="str">
        <f t="shared" si="35"/>
        <v>y</v>
      </c>
      <c r="E111" s="4">
        <f t="shared" si="32"/>
        <v>7.9475198260506534</v>
      </c>
      <c r="F111" s="1">
        <f t="shared" ref="F111:G121" si="38">IF($D111="y",B111,NA())</f>
        <v>3.8091101674893224</v>
      </c>
      <c r="G111" s="1">
        <f t="shared" si="38"/>
        <v>-4.1821859992029848</v>
      </c>
      <c r="H111">
        <f t="shared" si="33"/>
        <v>-36.691034364296613</v>
      </c>
      <c r="I111">
        <f t="shared" ref="I111:I121" si="39">H111*C111</f>
        <v>153.4487302146369</v>
      </c>
      <c r="J111">
        <f t="shared" ref="J111:J121" si="40">H111*B111*-1</f>
        <v>139.76019205274235</v>
      </c>
      <c r="K111">
        <f ca="1">H111/$B$55</f>
        <v>-109.70207677378566</v>
      </c>
      <c r="L111">
        <f t="shared" ref="L111:L121" ca="1" si="41">K111/$B$54</f>
        <v>-3.7828302335788161E-3</v>
      </c>
      <c r="M111">
        <f t="shared" si="34"/>
        <v>-3.7828301774703757E-3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-3.8091101674893224</v>
      </c>
      <c r="C112" s="1">
        <f t="shared" si="37"/>
        <v>4.1821859992029848</v>
      </c>
      <c r="D112" t="str">
        <f t="shared" si="35"/>
        <v>y</v>
      </c>
      <c r="E112" s="4">
        <f t="shared" si="32"/>
        <v>-0.4168521723553158</v>
      </c>
      <c r="F112" s="1">
        <f t="shared" si="38"/>
        <v>-3.8091101674893224</v>
      </c>
      <c r="G112" s="1">
        <f t="shared" si="38"/>
        <v>4.1821859992029848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1.9841170725501259E-4</v>
      </c>
      <c r="N112">
        <f t="shared" si="42"/>
        <v>0.41913589935299528</v>
      </c>
      <c r="O112">
        <f t="shared" si="43"/>
        <v>1.7529042900374483</v>
      </c>
      <c r="P112">
        <f t="shared" si="44"/>
        <v>1.5965348157852757</v>
      </c>
    </row>
    <row r="113" spans="1:16" x14ac:dyDescent="0.25">
      <c r="A113">
        <f t="shared" si="35"/>
        <v>4</v>
      </c>
      <c r="B113" s="1">
        <f t="shared" si="36"/>
        <v>4.1821859992029848</v>
      </c>
      <c r="C113" s="1">
        <f t="shared" si="37"/>
        <v>3.8091101674893224</v>
      </c>
      <c r="D113" t="str">
        <f t="shared" si="35"/>
        <v>y</v>
      </c>
      <c r="E113" s="4">
        <f t="shared" si="32"/>
        <v>-4.3776340641653366E-2</v>
      </c>
      <c r="F113" s="1">
        <f t="shared" si="38"/>
        <v>4.1821859992029848</v>
      </c>
      <c r="G113" s="1">
        <f t="shared" si="38"/>
        <v>3.8091101674893224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2.0836495669462176E-5</v>
      </c>
      <c r="N113">
        <f t="shared" si="42"/>
        <v>4.4016169572897952E-2</v>
      </c>
      <c r="O113">
        <f t="shared" si="43"/>
        <v>0.16766243905405973</v>
      </c>
      <c r="P113">
        <f t="shared" si="44"/>
        <v>-0.18408380812631825</v>
      </c>
    </row>
    <row r="114" spans="1:16" x14ac:dyDescent="0.25">
      <c r="A114">
        <f t="shared" si="35"/>
        <v>5</v>
      </c>
      <c r="B114" s="1">
        <f t="shared" si="36"/>
        <v>-4.0655998017924651</v>
      </c>
      <c r="C114" s="1">
        <f t="shared" si="37"/>
        <v>-1.3118301153979761</v>
      </c>
      <c r="D114" t="str">
        <f t="shared" si="35"/>
        <v>y</v>
      </c>
      <c r="E114" s="4">
        <f t="shared" si="32"/>
        <v>5.0771639422456456</v>
      </c>
      <c r="F114" s="1">
        <f t="shared" si="38"/>
        <v>-4.0655998017924651</v>
      </c>
      <c r="G114" s="1">
        <f t="shared" si="38"/>
        <v>-1.3118301153979761</v>
      </c>
      <c r="H114">
        <f t="shared" si="33"/>
        <v>-23.439563631849861</v>
      </c>
      <c r="I114">
        <f t="shared" si="39"/>
        <v>30.748725464047808</v>
      </c>
      <c r="J114">
        <f t="shared" si="40"/>
        <v>-95.295885255750662</v>
      </c>
      <c r="K114">
        <f t="shared" ca="1" si="45"/>
        <v>-70.081665824809249</v>
      </c>
      <c r="L114">
        <f t="shared" ca="1" si="41"/>
        <v>-2.4166091663727325E-3</v>
      </c>
      <c r="M114">
        <f t="shared" si="34"/>
        <v>-2.4166091305286262E-3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3.9256963648998418</v>
      </c>
      <c r="C115" s="1">
        <f t="shared" si="37"/>
        <v>-1.684905947111639</v>
      </c>
      <c r="D115" t="str">
        <f t="shared" si="35"/>
        <v>y</v>
      </c>
      <c r="E115" s="4">
        <f t="shared" si="32"/>
        <v>5.450239773959308</v>
      </c>
      <c r="F115" s="1">
        <f t="shared" si="38"/>
        <v>3.9256963648998418</v>
      </c>
      <c r="G115" s="1">
        <f t="shared" si="38"/>
        <v>-1.684905947111639</v>
      </c>
      <c r="H115">
        <f t="shared" si="33"/>
        <v>-25.1619296606864</v>
      </c>
      <c r="I115">
        <f t="shared" si="39"/>
        <v>42.395484926095264</v>
      </c>
      <c r="J115">
        <f t="shared" si="40"/>
        <v>98.778095802822108</v>
      </c>
      <c r="K115">
        <f t="shared" ca="1" si="45"/>
        <v>-75.231347037172327</v>
      </c>
      <c r="L115">
        <f t="shared" ca="1" si="41"/>
        <v>-2.5941843805921492E-3</v>
      </c>
      <c r="M115">
        <f t="shared" si="34"/>
        <v>-2.5941843421141766E-3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-3.9256963648998418</v>
      </c>
      <c r="C116" s="1">
        <f t="shared" si="37"/>
        <v>1.684905947111639</v>
      </c>
      <c r="D116" t="str">
        <f t="shared" si="35"/>
        <v>y</v>
      </c>
      <c r="E116" s="4">
        <f t="shared" si="32"/>
        <v>2.0804278797360301</v>
      </c>
      <c r="F116" s="1">
        <f t="shared" si="38"/>
        <v>-3.9256963648998418</v>
      </c>
      <c r="G116" s="1">
        <f t="shared" si="38"/>
        <v>1.684905947111639</v>
      </c>
      <c r="H116">
        <f t="shared" si="33"/>
        <v>-9.6046379875176058</v>
      </c>
      <c r="I116">
        <f t="shared" si="39"/>
        <v>-16.182911665022779</v>
      </c>
      <c r="J116">
        <f t="shared" si="40"/>
        <v>-37.704892433776799</v>
      </c>
      <c r="K116">
        <f t="shared" ca="1" si="45"/>
        <v>-28.71679014087325</v>
      </c>
      <c r="L116">
        <f t="shared" ca="1" si="41"/>
        <v>-9.9023414278873287E-4</v>
      </c>
      <c r="M116">
        <f t="shared" si="34"/>
        <v>-9.9023412810118677E-4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4.0655998017924651</v>
      </c>
      <c r="C117" s="1">
        <f t="shared" si="37"/>
        <v>1.3118301153979761</v>
      </c>
      <c r="D117" t="str">
        <f t="shared" si="35"/>
        <v>y</v>
      </c>
      <c r="E117" s="4">
        <f t="shared" si="32"/>
        <v>2.4535037114496929</v>
      </c>
      <c r="F117" s="1">
        <f t="shared" si="38"/>
        <v>4.0655998017924651</v>
      </c>
      <c r="G117" s="1">
        <f t="shared" si="38"/>
        <v>1.3118301153979761</v>
      </c>
      <c r="H117">
        <f t="shared" si="33"/>
        <v>-11.327004016354147</v>
      </c>
      <c r="I117">
        <f t="shared" si="39"/>
        <v>-14.8591049858872</v>
      </c>
      <c r="J117">
        <f t="shared" si="40"/>
        <v>46.051065283791878</v>
      </c>
      <c r="K117">
        <f t="shared" ca="1" si="45"/>
        <v>-33.866471353236335</v>
      </c>
      <c r="L117">
        <f t="shared" ca="1" si="41"/>
        <v>-1.1678093570081495E-3</v>
      </c>
      <c r="M117">
        <f t="shared" si="34"/>
        <v>-1.1678093396867372E-3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-7.3188254986052241</v>
      </c>
      <c r="C118" s="1">
        <f t="shared" si="37"/>
        <v>-6.6659427931063133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-7.3188254986052241</v>
      </c>
      <c r="C119" s="1">
        <f t="shared" si="37"/>
        <v>-6.6659427931063133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-7.3188254986052241</v>
      </c>
      <c r="C120" s="1">
        <f t="shared" si="37"/>
        <v>-6.6659427931063133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-7.3188254986052241</v>
      </c>
      <c r="C121" s="1">
        <f t="shared" si="37"/>
        <v>-6.6659427931063133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7.9475198260506534</v>
      </c>
      <c r="H122">
        <f>SUM(H110:H121)</f>
        <v>-141.19283799616471</v>
      </c>
      <c r="I122">
        <f t="shared" ref="I122:J122" si="46">SUM(I110:I121)</f>
        <v>328.75043405403289</v>
      </c>
      <c r="J122">
        <f t="shared" si="46"/>
        <v>5.3431003264949766</v>
      </c>
      <c r="L122">
        <f ca="1">MIN(L110:L121)</f>
        <v>-3.7828302335788161E-3</v>
      </c>
      <c r="M122">
        <f>MIN(M110:M121)</f>
        <v>-3.7828301774703757E-3</v>
      </c>
      <c r="N122">
        <f>SUM(N110:N121)</f>
        <v>0.46315206892589322</v>
      </c>
      <c r="O122">
        <f>SUM(O110:O121)</f>
        <v>1.9205667290915081</v>
      </c>
      <c r="P122">
        <f>SUM(P110:P121)</f>
        <v>1.4124510076589574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3.765333826847669</v>
      </c>
      <c r="F125" s="1" t="s">
        <v>27</v>
      </c>
      <c r="G125" s="1" t="s">
        <v>28</v>
      </c>
    </row>
    <row r="126" spans="1:16" x14ac:dyDescent="0.25">
      <c r="F126" s="4">
        <f>MIN(B84:B90)-1</f>
        <v>-8.318825498605225</v>
      </c>
      <c r="G126" s="4">
        <f>B125</f>
        <v>3.765333826847669</v>
      </c>
    </row>
    <row r="127" spans="1:16" x14ac:dyDescent="0.25">
      <c r="F127" s="4">
        <f>MAX(B84:B90)+1</f>
        <v>8.318825498605225</v>
      </c>
      <c r="G127" s="4">
        <f>G126</f>
        <v>3.765333826847669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-7.3188254986052241</v>
      </c>
      <c r="C132" s="4">
        <f>C84</f>
        <v>-6.6659427931063133</v>
      </c>
      <c r="D132" s="4">
        <f t="shared" ref="D132:E139" si="47">B85</f>
        <v>6.6659427931063133</v>
      </c>
      <c r="E132" s="4">
        <f t="shared" si="47"/>
        <v>-7.3188254986052241</v>
      </c>
      <c r="F132" s="4">
        <f t="shared" ref="F132:F139" si="48">($B$66/$B$65)*(C132-$B$125)</f>
        <v>-20.228963588583046</v>
      </c>
      <c r="G132" s="4">
        <f t="shared" ref="G132:G139" si="49">($B$66/$B$65)*(E132-$B$125)</f>
        <v>-21.495073285251344</v>
      </c>
      <c r="H132" s="4">
        <f>IF(B132=D132,"V",(C132-E132)/(B132-D132))</f>
        <v>-4.6685271566913267E-2</v>
      </c>
      <c r="I132" s="4">
        <f>IF(H132="V",0,(-1*B132*H132)+C132)</f>
        <v>-7.0076241490595477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6.6659427931063133</v>
      </c>
      <c r="C133" s="4">
        <f t="shared" si="50"/>
        <v>-7.3188254986052241</v>
      </c>
      <c r="D133" s="4">
        <f t="shared" si="47"/>
        <v>7.3188254986052241</v>
      </c>
      <c r="E133" s="4">
        <f t="shared" si="47"/>
        <v>6.6659427931063133</v>
      </c>
      <c r="F133" s="4">
        <f t="shared" si="48"/>
        <v>-21.495073285251344</v>
      </c>
      <c r="G133" s="4">
        <f t="shared" si="49"/>
        <v>5.6250366375024266</v>
      </c>
      <c r="H133" s="4">
        <f t="shared" ref="H133:H139" si="51">IF(B133=D133,"V",(C133-E133)/(B133-D133))</f>
        <v>21.420031766693608</v>
      </c>
      <c r="I133" s="4">
        <f t="shared" ref="I133:I139" si="52">IF(H133="V",0,(-1*B133*H133)+C133)</f>
        <v>-150.10353188190479</v>
      </c>
      <c r="J133" s="4">
        <f t="shared" ref="J133:J139" si="53">IF($F133&gt;=0,B133,IF(AND($F133&lt;0,$G133&gt;=0),IF(H133="V",B133,($B$125-I133)/H133),0))</f>
        <v>7.1834097813060165</v>
      </c>
      <c r="K133" s="4">
        <f t="shared" ref="K133:K139" si="54">IF($F133&gt;=0,C133,IF(AND($F133&lt;0,$G133&gt;=0),$B$125,0))</f>
        <v>3.765333826847669</v>
      </c>
      <c r="L133" s="4">
        <f t="shared" ref="L133:L139" si="55">IF($G133&gt;=0,D133,IF(AND($G133&lt;0,$F133&gt;=0),IF(H133="V",D133,($B$125-I133)/H133),0))</f>
        <v>7.3188254986052241</v>
      </c>
      <c r="M133" s="4">
        <f t="shared" ref="M133:M139" si="56">IF($G133&gt;=0,E133,IF(AND($G133&lt;0,$F133&gt;=0),$B$125,0))</f>
        <v>6.6659427931063133</v>
      </c>
      <c r="N133" s="4">
        <f t="shared" ref="N133:O139" si="57">IF(F133&lt;0,0,F133)</f>
        <v>0</v>
      </c>
      <c r="O133" s="4">
        <f t="shared" si="57"/>
        <v>5.6250366375024266</v>
      </c>
      <c r="P133" s="4">
        <f t="shared" ref="P133:P139" si="58">(1/6)*(M133-K133)*((N133*((2*J133)+L133))+(O133*(J133+(2*L133))))</f>
        <v>59.338853254463828</v>
      </c>
      <c r="Q133" s="4">
        <f t="shared" ref="Q133:Q139" si="59">((1/12)*(M133-K133)*(N133*J133*((3*K133)+M133)+N133*L133*(K133+M133)+O133*J133*(K133+M133)+O133*L133*(K133+(3*M133))))</f>
        <v>338.35448521965174</v>
      </c>
      <c r="R133" s="4">
        <f t="shared" ref="R133:R139" si="60">((-1/24)*(M133-K133)*(J133*J133*((3*N133)+O133)+2*J133*L133*(N133+O133)+L133*L133*(N133+(3*O133))))</f>
        <v>-215.81027603592202</v>
      </c>
    </row>
    <row r="134" spans="1:18" x14ac:dyDescent="0.25">
      <c r="A134" t="s">
        <v>71</v>
      </c>
      <c r="B134" s="4">
        <f t="shared" si="50"/>
        <v>7.3188254986052241</v>
      </c>
      <c r="C134" s="4">
        <f t="shared" si="50"/>
        <v>6.6659427931063133</v>
      </c>
      <c r="D134" s="4">
        <f t="shared" si="47"/>
        <v>-6.6659427931063133</v>
      </c>
      <c r="E134" s="4">
        <f t="shared" si="47"/>
        <v>7.3188254986052241</v>
      </c>
      <c r="F134" s="4">
        <f t="shared" si="48"/>
        <v>5.6250366375024266</v>
      </c>
      <c r="G134" s="4">
        <f t="shared" si="49"/>
        <v>6.8911463341707249</v>
      </c>
      <c r="H134" s="4">
        <f t="shared" si="51"/>
        <v>-4.6685271566913267E-2</v>
      </c>
      <c r="I134" s="4">
        <f t="shared" si="52"/>
        <v>7.0076241490595477</v>
      </c>
      <c r="J134" s="4">
        <f t="shared" si="53"/>
        <v>7.3188254986052241</v>
      </c>
      <c r="K134" s="4">
        <f t="shared" si="54"/>
        <v>6.6659427931063133</v>
      </c>
      <c r="L134" s="4">
        <f t="shared" si="55"/>
        <v>-6.6659427931063133</v>
      </c>
      <c r="M134" s="4">
        <f t="shared" si="56"/>
        <v>7.3188254986052241</v>
      </c>
      <c r="N134" s="4">
        <f t="shared" si="57"/>
        <v>5.6250366375024266</v>
      </c>
      <c r="O134" s="4">
        <f t="shared" si="57"/>
        <v>6.8911463341707249</v>
      </c>
      <c r="P134" s="4">
        <f t="shared" si="58"/>
        <v>0.3704319073685694</v>
      </c>
      <c r="Q134" s="4">
        <f t="shared" si="59"/>
        <v>-0.50386981451492585</v>
      </c>
      <c r="R134" s="4">
        <f t="shared" si="60"/>
        <v>-33.198022525480326</v>
      </c>
    </row>
    <row r="135" spans="1:18" x14ac:dyDescent="0.25">
      <c r="A135" t="s">
        <v>72</v>
      </c>
      <c r="B135" s="4">
        <f t="shared" si="50"/>
        <v>-6.6659427931063133</v>
      </c>
      <c r="C135" s="4">
        <f t="shared" si="50"/>
        <v>7.3188254986052241</v>
      </c>
      <c r="D135" s="4">
        <f t="shared" si="47"/>
        <v>-7.3188254986052241</v>
      </c>
      <c r="E135" s="4">
        <f t="shared" si="47"/>
        <v>-6.6659427931063133</v>
      </c>
      <c r="F135" s="4">
        <f t="shared" si="48"/>
        <v>6.8911463341707249</v>
      </c>
      <c r="G135" s="4">
        <f t="shared" si="49"/>
        <v>-20.228963588583046</v>
      </c>
      <c r="H135" s="4">
        <f t="shared" si="51"/>
        <v>21.420031766693608</v>
      </c>
      <c r="I135" s="4">
        <f t="shared" si="52"/>
        <v>150.10353188190479</v>
      </c>
      <c r="J135" s="4">
        <f t="shared" si="53"/>
        <v>-6.6659427931063133</v>
      </c>
      <c r="K135" s="4">
        <f t="shared" si="54"/>
        <v>7.3188254986052241</v>
      </c>
      <c r="L135" s="4">
        <f t="shared" si="55"/>
        <v>-6.8318385168130797</v>
      </c>
      <c r="M135" s="4">
        <f t="shared" si="56"/>
        <v>3.765333826847669</v>
      </c>
      <c r="N135" s="4">
        <f t="shared" si="57"/>
        <v>6.8911463341707249</v>
      </c>
      <c r="O135" s="4">
        <f t="shared" si="57"/>
        <v>0</v>
      </c>
      <c r="P135" s="4">
        <f t="shared" si="58"/>
        <v>82.29363959750647</v>
      </c>
      <c r="Q135" s="4">
        <f t="shared" si="59"/>
        <v>504.41520907915162</v>
      </c>
      <c r="R135" s="4">
        <f t="shared" si="60"/>
        <v>276.56706756957396</v>
      </c>
    </row>
    <row r="136" spans="1:18" x14ac:dyDescent="0.25">
      <c r="A136" t="s">
        <v>73</v>
      </c>
      <c r="B136" s="4">
        <f t="shared" si="50"/>
        <v>-7.3188254986052241</v>
      </c>
      <c r="C136" s="4">
        <f t="shared" si="50"/>
        <v>-6.6659427931063133</v>
      </c>
      <c r="D136" s="4">
        <f t="shared" si="47"/>
        <v>-7.3188254986052241</v>
      </c>
      <c r="E136" s="4">
        <f t="shared" si="47"/>
        <v>-6.6659427931063133</v>
      </c>
      <c r="F136" s="4">
        <f t="shared" si="48"/>
        <v>-20.228963588583046</v>
      </c>
      <c r="G136" s="4">
        <f t="shared" si="49"/>
        <v>-20.228963588583046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-7.3188254986052241</v>
      </c>
      <c r="C137" s="4">
        <f t="shared" si="50"/>
        <v>-6.6659427931063133</v>
      </c>
      <c r="D137" s="4">
        <f t="shared" si="47"/>
        <v>-7.3188254986052241</v>
      </c>
      <c r="E137" s="4">
        <f t="shared" si="47"/>
        <v>-6.6659427931063133</v>
      </c>
      <c r="F137" s="4">
        <f t="shared" si="48"/>
        <v>-20.228963588583046</v>
      </c>
      <c r="G137" s="4">
        <f t="shared" si="49"/>
        <v>-20.228963588583046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-7.3188254986052241</v>
      </c>
      <c r="C138" s="4">
        <f t="shared" si="50"/>
        <v>-6.6659427931063133</v>
      </c>
      <c r="D138" s="4">
        <f t="shared" si="47"/>
        <v>-7.3188254986052241</v>
      </c>
      <c r="E138" s="4">
        <f t="shared" si="47"/>
        <v>-6.6659427931063133</v>
      </c>
      <c r="F138" s="4">
        <f t="shared" si="48"/>
        <v>-20.228963588583046</v>
      </c>
      <c r="G138" s="4">
        <f t="shared" si="49"/>
        <v>-20.228963588583046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-7.3188254986052241</v>
      </c>
      <c r="C139" s="4">
        <f>E138</f>
        <v>-6.6659427931063133</v>
      </c>
      <c r="D139" s="4">
        <f t="shared" si="47"/>
        <v>-7.3188254986052241</v>
      </c>
      <c r="E139" s="4">
        <f t="shared" si="47"/>
        <v>-6.6659427931063133</v>
      </c>
      <c r="F139" s="4">
        <f t="shared" si="48"/>
        <v>-20.228963588583046</v>
      </c>
      <c r="G139" s="4">
        <f t="shared" si="49"/>
        <v>-20.228963588583046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142.00292475933887</v>
      </c>
      <c r="Q140" s="4">
        <f>SUM(Q132:Q139)</f>
        <v>842.26582448428849</v>
      </c>
      <c r="R140" s="4">
        <f>SUM(R132:R139)</f>
        <v>27.558769008171623</v>
      </c>
    </row>
    <row r="142" spans="1:18" x14ac:dyDescent="0.25">
      <c r="O142" t="s">
        <v>96</v>
      </c>
      <c r="P142" s="1">
        <f>-1*R140/P140</f>
        <v>-0.19407184080804796</v>
      </c>
    </row>
    <row r="143" spans="1:18" x14ac:dyDescent="0.25">
      <c r="O143" t="s">
        <v>97</v>
      </c>
      <c r="P143" s="1">
        <f>Q140/P140</f>
        <v>5.9313273012631846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-3.1832739783664463</v>
      </c>
      <c r="C146" s="9">
        <f>J84</f>
        <v>-3.8557446464535299</v>
      </c>
      <c r="D146" s="9">
        <f t="shared" ref="D146:E153" si="61">I85</f>
        <v>-2.8101981466527839</v>
      </c>
      <c r="E146">
        <f t="shared" si="61"/>
        <v>4.1355515202387769</v>
      </c>
      <c r="F146" s="4">
        <f>($B$66/$B$65)*(C146-$B$125)</f>
        <v>-14.779257089898181</v>
      </c>
      <c r="G146" s="4">
        <f>($B$66/$B$65)*(E146-$B$125)</f>
        <v>0.71794858024683095</v>
      </c>
      <c r="H146" s="4">
        <f>IF(B146=D146,"V",(C146-E146)/(B146-D146))</f>
        <v>21.420031766693658</v>
      </c>
      <c r="I146" s="4">
        <f>IF(H146="V",0,(-1*B146*H146)+C146)</f>
        <v>64.330085092245042</v>
      </c>
      <c r="J146" s="4">
        <f>IF($F146&gt;=0,B146,IF(AND($F146&lt;0,$G146&gt;=0),IF(H146="V",B146,($B$125-I146)/H146),0))</f>
        <v>-2.8274818602076239</v>
      </c>
      <c r="K146" s="4">
        <f>IF($F146&gt;=0,C146,IF(AND($F146&lt;0,$G146&gt;=0),$B$125,0))</f>
        <v>3.765333826847669</v>
      </c>
      <c r="L146" s="4">
        <f>IF($G146&gt;=0,D146,IF(AND($G146&lt;0,$F146&gt;=0),IF(H146="V",D146,($B$125-I146)/H146),0))</f>
        <v>-2.8101981466527839</v>
      </c>
      <c r="M146" s="4">
        <f>IF($G146&gt;=0,E146,IF(AND($G146&lt;0,$F146&gt;=0),$B$125,0))</f>
        <v>4.1355515202387769</v>
      </c>
      <c r="N146" s="4">
        <f>IF(F146&lt;0,0,F146)</f>
        <v>0</v>
      </c>
      <c r="O146" s="4">
        <f>IF(G146&lt;0,0,G146)</f>
        <v>0.71794858024683095</v>
      </c>
      <c r="P146" s="4">
        <f>(1/6)*(M146-K146)*((N146*((2*J146)+L146))+(O146*(J146+(2*L146))))</f>
        <v>-0.37423715468831092</v>
      </c>
      <c r="Q146" s="4">
        <f>((1/12)*(M146-K146)*(N146*J146*((3*K146)+M146)+N146*L146*(K146+M146)+O146*J146*(K146+M146)+O146*L146*(K146+(3*M146))))</f>
        <v>-1.5014467184184923</v>
      </c>
      <c r="R146" s="4">
        <f>((-1/24)*(M146-K146)*(J146*J146*((3*N146)+O146)+2*J146*L146*(N146+O146)+L146*L146*(N146+(3*O146))))</f>
        <v>-0.52691941667565001</v>
      </c>
    </row>
    <row r="147" spans="1:18" x14ac:dyDescent="0.25">
      <c r="A147" t="s">
        <v>70</v>
      </c>
      <c r="B147" s="9">
        <f t="shared" ref="B147:C153" si="62">D146</f>
        <v>-2.8101981466527839</v>
      </c>
      <c r="C147">
        <f t="shared" si="62"/>
        <v>4.1355515202387769</v>
      </c>
      <c r="D147" s="9">
        <f t="shared" si="61"/>
        <v>3.1832739783664463</v>
      </c>
      <c r="E147">
        <f t="shared" si="61"/>
        <v>3.8557446464535299</v>
      </c>
      <c r="F147" s="4">
        <f t="shared" ref="F147:F153" si="63">($B$66/$B$65)*(C147-$B$125)</f>
        <v>0.71794858024683095</v>
      </c>
      <c r="G147" s="4">
        <f t="shared" ref="G147:G153" si="64">($B$66/$B$65)*(E147-$B$125)</f>
        <v>0.17533013881756088</v>
      </c>
      <c r="H147" s="4">
        <f t="shared" ref="H147:H153" si="65">IF(B147=D147,"V",(C147-E147)/(B147-D147))</f>
        <v>-4.668527156691319E-2</v>
      </c>
      <c r="I147" s="4">
        <f t="shared" ref="I147:I153" si="66">IF(H147="V",0,(-1*B147*H147)+C147)</f>
        <v>4.0043566566054558</v>
      </c>
      <c r="J147" s="4">
        <f t="shared" ref="J147:J153" si="67">IF($F147&gt;=0,B147,IF(AND($F147&lt;0,$G147&gt;=0),IF(H147="V",B147,($B$125-I147)/H147),0))</f>
        <v>-2.8101981466527839</v>
      </c>
      <c r="K147" s="4">
        <f t="shared" ref="K147:K153" si="68">IF($F147&gt;=0,C147,IF(AND($F147&lt;0,$G147&gt;=0),$B$125,0))</f>
        <v>4.1355515202387769</v>
      </c>
      <c r="L147" s="4">
        <f t="shared" ref="L147:L153" si="69">IF($G147&gt;=0,D147,IF(AND($G147&lt;0,$F147&gt;=0),IF(H147="V",D147,($B$125-I147)/H147),0))</f>
        <v>3.1832739783664463</v>
      </c>
      <c r="M147" s="4">
        <f t="shared" ref="M147:M153" si="70">IF($G147&gt;=0,E147,IF(AND($G147&lt;0,$F147&gt;=0),$B$125,0))</f>
        <v>3.8557446464535299</v>
      </c>
      <c r="N147" s="4">
        <f t="shared" ref="N147:O153" si="71">IF(F147&lt;0,0,F147)</f>
        <v>0.71794858024683095</v>
      </c>
      <c r="O147" s="4">
        <f t="shared" si="71"/>
        <v>0.17533013881756088</v>
      </c>
      <c r="P147" s="4">
        <f t="shared" ref="P147:P153" si="72">(1/6)*(M147-K147)*((N147*((2*J147)+L147))+(O147*(J147+(2*L147))))</f>
        <v>5.2519433095652303E-2</v>
      </c>
      <c r="Q147" s="4">
        <f t="shared" ref="Q147:Q153" si="73">((1/12)*(M147-K147)*(N147*J147*((3*K147)+M147)+N147*L147*(K147+M147)+O147*J147*(K147+M147)+O147*L147*(K147+(3*M147))))</f>
        <v>0.22665388390476665</v>
      </c>
      <c r="R147" s="4">
        <f t="shared" ref="R147:R153" si="74">((-1/24)*(M147-K147)*(J147*J147*((3*N147)+O147)+2*J147*L147*(N147+O147)+L147*L147*(N147+(3*O147))))</f>
        <v>0.17508029661577554</v>
      </c>
    </row>
    <row r="148" spans="1:18" x14ac:dyDescent="0.25">
      <c r="A148" t="s">
        <v>71</v>
      </c>
      <c r="B148" s="9">
        <f t="shared" si="62"/>
        <v>3.1832739783664463</v>
      </c>
      <c r="C148">
        <f t="shared" si="62"/>
        <v>3.8557446464535299</v>
      </c>
      <c r="D148" s="9">
        <f t="shared" si="61"/>
        <v>2.8101981466527839</v>
      </c>
      <c r="E148">
        <f t="shared" si="61"/>
        <v>-4.1355515202387769</v>
      </c>
      <c r="F148" s="4">
        <f t="shared" si="63"/>
        <v>0.17533013881756088</v>
      </c>
      <c r="G148" s="4">
        <f t="shared" si="64"/>
        <v>-15.32187553132745</v>
      </c>
      <c r="H148" s="4">
        <f t="shared" si="65"/>
        <v>21.420031766693658</v>
      </c>
      <c r="I148" s="4">
        <f t="shared" si="66"/>
        <v>-64.330085092245042</v>
      </c>
      <c r="J148" s="4">
        <f t="shared" si="67"/>
        <v>3.1832739783664463</v>
      </c>
      <c r="K148" s="4">
        <f t="shared" si="68"/>
        <v>3.8557446464535299</v>
      </c>
      <c r="L148" s="4">
        <f t="shared" si="69"/>
        <v>3.1790531247005589</v>
      </c>
      <c r="M148" s="4">
        <f t="shared" si="70"/>
        <v>3.765333826847669</v>
      </c>
      <c r="N148" s="4">
        <f t="shared" si="71"/>
        <v>0.17533013881756088</v>
      </c>
      <c r="O148" s="4">
        <f t="shared" si="71"/>
        <v>0</v>
      </c>
      <c r="P148" s="4">
        <f t="shared" si="72"/>
        <v>-2.5219066883729564E-2</v>
      </c>
      <c r="Q148" s="4">
        <f t="shared" si="73"/>
        <v>-9.6478424656509409E-2</v>
      </c>
      <c r="R148" s="4">
        <f t="shared" si="74"/>
        <v>4.0121862608683813E-2</v>
      </c>
    </row>
    <row r="149" spans="1:18" x14ac:dyDescent="0.25">
      <c r="A149" t="s">
        <v>72</v>
      </c>
      <c r="B149" s="9">
        <f t="shared" si="62"/>
        <v>2.8101981466527839</v>
      </c>
      <c r="C149">
        <f t="shared" si="62"/>
        <v>-4.1355515202387769</v>
      </c>
      <c r="D149" s="9">
        <f t="shared" si="61"/>
        <v>-3.1832739783664463</v>
      </c>
      <c r="E149">
        <f t="shared" si="61"/>
        <v>-3.8557446464535299</v>
      </c>
      <c r="F149" s="4">
        <f t="shared" si="63"/>
        <v>-15.32187553132745</v>
      </c>
      <c r="G149" s="4">
        <f t="shared" si="64"/>
        <v>-14.779257089898181</v>
      </c>
      <c r="H149" s="4">
        <f t="shared" si="65"/>
        <v>-4.668527156691319E-2</v>
      </c>
      <c r="I149" s="4">
        <f t="shared" si="66"/>
        <v>-4.0043566566054558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-3.1832739783664463</v>
      </c>
      <c r="C150">
        <f t="shared" si="62"/>
        <v>-3.8557446464535299</v>
      </c>
      <c r="D150" s="9">
        <f t="shared" si="61"/>
        <v>-3.1832739783664463</v>
      </c>
      <c r="E150">
        <f t="shared" si="61"/>
        <v>-3.8557446464535299</v>
      </c>
      <c r="F150" s="4">
        <f t="shared" si="63"/>
        <v>-14.779257089898181</v>
      </c>
      <c r="G150" s="4">
        <f t="shared" si="64"/>
        <v>-14.779257089898181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-3.1832739783664463</v>
      </c>
      <c r="C151">
        <f t="shared" si="62"/>
        <v>-3.8557446464535299</v>
      </c>
      <c r="D151" s="9">
        <f t="shared" si="61"/>
        <v>-3.1832739783664463</v>
      </c>
      <c r="E151">
        <f t="shared" si="61"/>
        <v>-3.8557446464535299</v>
      </c>
      <c r="F151" s="4">
        <f t="shared" si="63"/>
        <v>-14.779257089898181</v>
      </c>
      <c r="G151" s="4">
        <f t="shared" si="64"/>
        <v>-14.779257089898181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-3.1832739783664463</v>
      </c>
      <c r="C152">
        <f t="shared" si="62"/>
        <v>-3.8557446464535299</v>
      </c>
      <c r="D152" s="9">
        <f t="shared" si="61"/>
        <v>-3.1832739783664463</v>
      </c>
      <c r="E152">
        <f t="shared" si="61"/>
        <v>-3.8557446464535299</v>
      </c>
      <c r="F152" s="4">
        <f t="shared" si="63"/>
        <v>-14.779257089898181</v>
      </c>
      <c r="G152" s="4">
        <f t="shared" si="64"/>
        <v>-14.779257089898181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-3.1832739783664463</v>
      </c>
      <c r="C153">
        <f t="shared" si="62"/>
        <v>-3.8557446464535299</v>
      </c>
      <c r="D153" s="9">
        <f t="shared" si="61"/>
        <v>-3.1832739783664463</v>
      </c>
      <c r="E153">
        <f t="shared" si="61"/>
        <v>-3.8557446464535299</v>
      </c>
      <c r="F153" s="4">
        <f t="shared" si="63"/>
        <v>-14.779257089898181</v>
      </c>
      <c r="G153" s="4">
        <f t="shared" si="64"/>
        <v>-14.779257089898181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-0.34693678847638815</v>
      </c>
      <c r="Q154" s="4">
        <f t="shared" ref="Q154:R154" si="75">SUM(Q146:Q153)</f>
        <v>-1.371271259170235</v>
      </c>
      <c r="R154" s="4">
        <f t="shared" si="75"/>
        <v>-0.31171725745119067</v>
      </c>
    </row>
    <row r="156" spans="1:18" x14ac:dyDescent="0.25">
      <c r="O156" t="s">
        <v>96</v>
      </c>
      <c r="P156" s="1">
        <f>-1*R154/P154</f>
        <v>-0.89848429974846999</v>
      </c>
    </row>
    <row r="157" spans="1:18" x14ac:dyDescent="0.25">
      <c r="O157" t="s">
        <v>97</v>
      </c>
      <c r="P157" s="1">
        <f>Q154/P154</f>
        <v>3.9525103843623119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-2.0942281263036655E-6</v>
      </c>
      <c r="C159" t="s">
        <v>36</v>
      </c>
    </row>
    <row r="160" spans="1:18" x14ac:dyDescent="0.25">
      <c r="A160" s="1" t="s">
        <v>106</v>
      </c>
      <c r="B160" s="4">
        <f>Q140+I122+Q154-O122</f>
        <v>1167.7244205500597</v>
      </c>
      <c r="C160" t="s">
        <v>102</v>
      </c>
    </row>
    <row r="161" spans="1:9" x14ac:dyDescent="0.25">
      <c r="A161" s="1" t="s">
        <v>107</v>
      </c>
      <c r="B161" s="4">
        <f>R140+J122+R154-P122</f>
        <v>31.177701069556448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-2.0942281263036655E-6</v>
      </c>
      <c r="C164" t="s">
        <v>36</v>
      </c>
      <c r="E164" s="8">
        <f>B2-B164</f>
        <v>2.0942281263036655E-6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1165.0000048671552</v>
      </c>
      <c r="C165" t="s">
        <v>102</v>
      </c>
      <c r="E165" s="8">
        <f>B3+B165</f>
        <v>4.8671552121959394E-6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85.600000306561711</v>
      </c>
      <c r="C166" t="s">
        <v>102</v>
      </c>
      <c r="E166" s="8">
        <f>B4+B166</f>
        <v>3.0656171645659924E-7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6.8911463341707249</v>
      </c>
      <c r="B169" s="1">
        <f ca="1">IF(E122=0,0,(MIN(H110:H121)*B65)/(B55*B56*E122))</f>
        <v>-6.8911464363829458</v>
      </c>
      <c r="C169" s="3">
        <f ca="1">A169+B169</f>
        <v>-1.0221222090933679E-7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6.9195206603113489E-10</v>
      </c>
      <c r="C175" s="27">
        <f>B65*SQRT(I175)</f>
        <v>5.2706799119990835E-8</v>
      </c>
      <c r="D175" s="27">
        <f>B66*SQRT(I175)</f>
        <v>1.022122180356635E-7</v>
      </c>
      <c r="E175" s="27">
        <f>B67*SQRT(I175)</f>
        <v>5.4421598708494299E-7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4.6651399466886803E-2</v>
      </c>
      <c r="C176" s="3">
        <f>B65+C175</f>
        <v>3.553491724464354</v>
      </c>
      <c r="D176" s="3">
        <f>D175+B66</f>
        <v>6.8911464363829431</v>
      </c>
      <c r="E176" s="3">
        <f>B67+E175</f>
        <v>36.691034908512599</v>
      </c>
      <c r="F176" s="16" t="s">
        <v>125</v>
      </c>
    </row>
    <row r="177" spans="1:13" x14ac:dyDescent="0.25">
      <c r="B177" s="27">
        <f>B176-B64</f>
        <v>6.9195206509053975E-10</v>
      </c>
      <c r="C177" s="27">
        <f>C176-B65</f>
        <v>5.2706798925328258E-8</v>
      </c>
      <c r="D177" s="27">
        <f>D176-B66</f>
        <v>1.0221221824480153E-7</v>
      </c>
      <c r="E177" s="27">
        <f>E176-B67</f>
        <v>5.4421598605358668E-7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-20.489020256949715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7.3188256949638255</v>
      </c>
      <c r="B181" s="25">
        <f>(d_alpha_p!E136-d_alpha_m!E136)/(2*B177)</f>
        <v>7.3188256949638255</v>
      </c>
      <c r="C181" s="25">
        <f>(d_alpha_p!E137-d_alpha_m!E137)/(2*B177)</f>
        <v>7.3188256949638255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-2.0942281263036655E-6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-4.8671552121959394E-6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-3.0656171645659924E-7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1.0221222090933679E-7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-20.489020256949715</v>
      </c>
      <c r="B190" s="25">
        <f>A181</f>
        <v>7.3188256949638255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7.3188256949638255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7.3188256949638255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-20.489020256949715</v>
      </c>
      <c r="B201" s="25">
        <f t="shared" ref="B201:C201" si="77">B190</f>
        <v>7.3188256949638255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7.3188256949638255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7.3188256949638255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-1165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-2.54737609329446</v>
      </c>
      <c r="J3" t="s">
        <v>11</v>
      </c>
    </row>
    <row r="4" spans="1:29" x14ac:dyDescent="0.25">
      <c r="A4" s="10" t="s">
        <v>80</v>
      </c>
      <c r="B4" s="17">
        <f>'Rigid Bearing Plate Analysis'!B4</f>
        <v>-85.6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-0.18717201166180752</v>
      </c>
      <c r="J4" t="s">
        <v>11</v>
      </c>
    </row>
    <row r="5" spans="1:29" x14ac:dyDescent="0.25">
      <c r="A5" s="10" t="s">
        <v>104</v>
      </c>
      <c r="B5" s="20">
        <f>ATAN2(B3,B4)</f>
        <v>-3.0682480597090245</v>
      </c>
      <c r="C5" t="s">
        <v>19</v>
      </c>
      <c r="I5">
        <f>SUM(I2:I4)</f>
        <v>-2.7345481049562674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7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8.0829037686547611</v>
      </c>
      <c r="L13" s="4">
        <f>SQRT(H22/D22)</f>
        <v>8.0829037686547611</v>
      </c>
      <c r="M13" s="4">
        <f>SQRT(J22/D22)</f>
        <v>11.430952132988166</v>
      </c>
      <c r="N13" s="19">
        <f>G22-(D22*C9*C9)</f>
        <v>3201.3333333333339</v>
      </c>
      <c r="O13" s="19">
        <f>H22-(D22*B9*B9)</f>
        <v>3201.3333333333339</v>
      </c>
      <c r="P13" s="19">
        <f>I22-(D22*B9*C9)</f>
        <v>0</v>
      </c>
      <c r="Q13" s="19">
        <f>N13+O13</f>
        <v>6402.6666666666679</v>
      </c>
      <c r="R13" s="19">
        <f>SQRT(ABS(N13/D22))</f>
        <v>4.0414518843273806</v>
      </c>
      <c r="S13" s="19">
        <f>SQRT(O13/D22)</f>
        <v>4.0414518843273806</v>
      </c>
      <c r="T13" s="19">
        <f>SQRT(Q13/D22)</f>
        <v>5.7154760664940829</v>
      </c>
      <c r="U13" s="19">
        <f>N13/(MAX(C13:C20)-C9)</f>
        <v>457.33333333333343</v>
      </c>
      <c r="V13" s="19">
        <f>N13/(MIN(C13:C20)-C9)</f>
        <v>-457.33333333333343</v>
      </c>
      <c r="W13" s="19">
        <f>O13/(MIN(B13:B20)-B9)</f>
        <v>-457.33333333333343</v>
      </c>
      <c r="X13" s="19">
        <f>O13/(MAX(B13:B20)-B9)</f>
        <v>457.33333333333343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-0.78539816339744828</v>
      </c>
      <c r="Y14" s="1">
        <f>$N$13/(C14-$C$9)</f>
        <v>-457.33333333333343</v>
      </c>
      <c r="Z14">
        <f>$O$13/(B14-$B$9)</f>
        <v>457.33333333333343</v>
      </c>
      <c r="AA14">
        <f>$B$3/Y14</f>
        <v>2.54737609329446</v>
      </c>
      <c r="AB14">
        <f>$B$4/Z14</f>
        <v>-0.18717201166180752</v>
      </c>
      <c r="AC14">
        <f>$I$2+AA14+AB14</f>
        <v>2.3602040816326526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14</v>
      </c>
      <c r="D15" s="5">
        <f t="shared" ref="D15:D21" si="0">((B14*C15)-(B15*C14))*0.5</f>
        <v>98</v>
      </c>
      <c r="E15" s="5">
        <f t="shared" ref="E15:E21" si="1">(B15+B14)*((B14*C15)-(B15*C14))*(1/6)</f>
        <v>914.66666666666663</v>
      </c>
      <c r="F15" s="5">
        <f t="shared" ref="F15:F21" si="2">(C15+C14)*((B14*C15)-(B15*C14))*(1/6)</f>
        <v>457.33333333333331</v>
      </c>
      <c r="G15" s="5">
        <f t="shared" ref="G15:G21" si="3">(((C14*C14)+(C14*C15)+(C15*C15))*((B14*C15)-(B15*C14)))/12</f>
        <v>3201.3333333333335</v>
      </c>
      <c r="H15" s="5">
        <f t="shared" ref="H15:H21" si="4">(((B14*B14)+(B14*B15)+(B15*B15))*((B14*C15)-(B15*C14)))/12</f>
        <v>9604</v>
      </c>
      <c r="I15" s="5">
        <f t="shared" ref="I15:I21" si="5">(((B14*C15)+(2*B14*C14)+(2*B15*C15)+(B15*C14))*((B14*C15)-(B15*C14)))/24</f>
        <v>4802</v>
      </c>
      <c r="J15" s="5">
        <f t="shared" ref="J15:J21" si="6">G15+H15</f>
        <v>12805.333333333334</v>
      </c>
      <c r="K15">
        <f t="shared" ref="K15:K21" si="7">ATAN2((B15-$E$22),(C15-$F$22))</f>
        <v>0.78539816339744828</v>
      </c>
      <c r="N15" t="s">
        <v>136</v>
      </c>
      <c r="O15">
        <v>4</v>
      </c>
      <c r="Y15" s="1">
        <f t="shared" ref="Y15:Y20" si="8">$N$13/(C15-$C$9)</f>
        <v>457.33333333333343</v>
      </c>
      <c r="Z15">
        <f t="shared" ref="Z15:Z21" si="9">$O$13/(B15-$B$9)</f>
        <v>457.33333333333343</v>
      </c>
      <c r="AA15">
        <f t="shared" ref="AA15:AA20" si="10">$B$3/Y15</f>
        <v>-2.54737609329446</v>
      </c>
      <c r="AB15">
        <f t="shared" ref="AB15:AB21" si="11">$B$4/Z15</f>
        <v>-0.18717201166180752</v>
      </c>
      <c r="AC15">
        <f t="shared" ref="AC15:AC20" si="12">$I$2+AA15+AB15</f>
        <v>-2.7345481049562674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14</v>
      </c>
      <c r="D16" s="5">
        <f t="shared" si="0"/>
        <v>98</v>
      </c>
      <c r="E16" s="5">
        <f t="shared" si="1"/>
        <v>457.33333333333331</v>
      </c>
      <c r="F16" s="5">
        <f t="shared" si="2"/>
        <v>914.66666666666663</v>
      </c>
      <c r="G16" s="5">
        <f t="shared" si="3"/>
        <v>9604</v>
      </c>
      <c r="H16" s="5">
        <f t="shared" si="4"/>
        <v>3201.3333333333335</v>
      </c>
      <c r="I16" s="5">
        <f t="shared" si="5"/>
        <v>4802</v>
      </c>
      <c r="J16" s="5">
        <f t="shared" si="6"/>
        <v>12805.333333333334</v>
      </c>
      <c r="K16">
        <f t="shared" si="7"/>
        <v>2.3561944901923448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457.33333333333343</v>
      </c>
      <c r="Z16">
        <f t="shared" si="9"/>
        <v>-457.33333333333343</v>
      </c>
      <c r="AA16">
        <f t="shared" si="10"/>
        <v>-2.54737609329446</v>
      </c>
      <c r="AB16">
        <f t="shared" si="11"/>
        <v>0.18717201166180752</v>
      </c>
      <c r="AC16">
        <f t="shared" si="12"/>
        <v>-2.3602040816326526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-2.3561944901923448</v>
      </c>
      <c r="N17" t="s">
        <v>137</v>
      </c>
      <c r="O17">
        <f>K14</f>
        <v>-0.78539816339744828</v>
      </c>
      <c r="Q17" t="s">
        <v>137</v>
      </c>
      <c r="R17">
        <f>U16</f>
        <v>5.497787143782138</v>
      </c>
      <c r="Y17" s="1">
        <f t="shared" si="8"/>
        <v>-457.33333333333343</v>
      </c>
      <c r="Z17">
        <f t="shared" si="9"/>
        <v>-457.33333333333343</v>
      </c>
      <c r="AA17">
        <f t="shared" si="10"/>
        <v>2.54737609329446</v>
      </c>
      <c r="AB17">
        <f t="shared" si="11"/>
        <v>0.18717201166180752</v>
      </c>
      <c r="AC17">
        <f t="shared" si="12"/>
        <v>2.7345481049562674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-457.33333333333343</v>
      </c>
      <c r="Z18">
        <f t="shared" si="9"/>
        <v>-457.33333333333343</v>
      </c>
      <c r="AA18">
        <f t="shared" si="10"/>
        <v>2.54737609329446</v>
      </c>
      <c r="AB18">
        <f t="shared" si="11"/>
        <v>0.18717201166180752</v>
      </c>
      <c r="AC18">
        <f t="shared" si="12"/>
        <v>2.7345481049562674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-2.3561944901923448</v>
      </c>
      <c r="N19">
        <f>E22+(O16*COS(O17))</f>
        <v>10.061467458920719</v>
      </c>
      <c r="O19">
        <f>F22+(O16*SIN(O17))</f>
        <v>3.9385325410792817</v>
      </c>
      <c r="Q19">
        <f>E22+(R16*COS(R17))</f>
        <v>13.010407640085653</v>
      </c>
      <c r="R19">
        <f>F22+(R16*SIN(R17))</f>
        <v>0.98959235991434458</v>
      </c>
      <c r="Y19" s="1">
        <f t="shared" si="8"/>
        <v>-457.33333333333343</v>
      </c>
      <c r="Z19">
        <f t="shared" si="9"/>
        <v>-457.33333333333343</v>
      </c>
      <c r="AA19">
        <f t="shared" si="10"/>
        <v>2.54737609329446</v>
      </c>
      <c r="AB19">
        <f t="shared" si="11"/>
        <v>0.18717201166180752</v>
      </c>
      <c r="AC19">
        <f t="shared" si="12"/>
        <v>2.7345481049562674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-2.3561944901923448</v>
      </c>
      <c r="Y20" s="1">
        <f t="shared" si="8"/>
        <v>-457.33333333333343</v>
      </c>
      <c r="Z20">
        <f t="shared" si="9"/>
        <v>-457.33333333333343</v>
      </c>
      <c r="AA20">
        <f t="shared" si="10"/>
        <v>2.54737609329446</v>
      </c>
      <c r="AB20">
        <f t="shared" si="11"/>
        <v>0.18717201166180752</v>
      </c>
      <c r="AC20">
        <f t="shared" si="12"/>
        <v>2.7345481049562674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-2.3561944901923448</v>
      </c>
      <c r="Y21" s="1"/>
      <c r="Z21">
        <f t="shared" si="9"/>
        <v>-457.33333333333343</v>
      </c>
      <c r="AB21">
        <f t="shared" si="11"/>
        <v>0.18717201166180752</v>
      </c>
    </row>
    <row r="22" spans="1:29" x14ac:dyDescent="0.25">
      <c r="D22" s="5">
        <f>SUM(D13:D21)</f>
        <v>196</v>
      </c>
      <c r="E22" s="5">
        <f>SUM(E14:E21)/D22</f>
        <v>7</v>
      </c>
      <c r="F22" s="5">
        <f>SUM(F14:F21)/D22</f>
        <v>7</v>
      </c>
      <c r="G22" s="5">
        <f>SUM(G14:G21)</f>
        <v>12805.333333333334</v>
      </c>
      <c r="H22" s="5">
        <f>SUM(H14:H21)</f>
        <v>12805.333333333334</v>
      </c>
      <c r="I22" s="5">
        <f>SUM(I14:I21)</f>
        <v>9604</v>
      </c>
      <c r="J22" s="5">
        <f>SUM(J14:J21)</f>
        <v>25610.666666666668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4</v>
      </c>
      <c r="C25" s="17">
        <f>'Rigid Bearing Plate Analysis'!C25</f>
        <v>3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4</v>
      </c>
      <c r="C26" s="17">
        <f>'Rigid Bearing Plate Analysis'!C26</f>
        <v>11</v>
      </c>
      <c r="D26" s="5">
        <f>((B25*C26)-(B26*C25))*0.5</f>
        <v>16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10</v>
      </c>
      <c r="C27" s="17">
        <f>'Rigid Bearing Plate Analysis'!C27</f>
        <v>11</v>
      </c>
      <c r="D27" s="5">
        <f t="shared" ref="D27:D33" si="13">((B26*C27)-(B27*C26))*0.5</f>
        <v>-33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10</v>
      </c>
      <c r="C28" s="17">
        <f>'Rigid Bearing Plate Analysis'!C28</f>
        <v>3</v>
      </c>
      <c r="D28" s="5">
        <f t="shared" si="13"/>
        <v>-40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4</v>
      </c>
      <c r="C29" s="17">
        <f>'Rigid Bearing Plate Analysis'!C29</f>
        <v>3</v>
      </c>
      <c r="D29" s="5">
        <f t="shared" si="13"/>
        <v>9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4</v>
      </c>
      <c r="C30" s="17">
        <f>'Rigid Bearing Plate Analysis'!C30</f>
        <v>3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4</v>
      </c>
      <c r="C31" s="17">
        <f>'Rigid Bearing Plate Analysis'!C31</f>
        <v>3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4</v>
      </c>
      <c r="C32" s="17">
        <f>'Rigid Bearing Plate Analysis'!C32</f>
        <v>3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4</v>
      </c>
      <c r="C33" s="1">
        <f>C25</f>
        <v>3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-48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14</v>
      </c>
      <c r="U37" s="1">
        <f>T37</f>
        <v>14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11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11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11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11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5.5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5.5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5.5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5.5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8.5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8.5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8.5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8.5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0.75</v>
      </c>
    </row>
    <row r="55" spans="1:9" x14ac:dyDescent="0.25">
      <c r="A55" s="10" t="s">
        <v>5</v>
      </c>
      <c r="B55" s="17">
        <f ca="1">'Rigid Bearing Plate Analysis'!B55</f>
        <v>0.33446070888845997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0.33446070888845997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0.8125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0.51848550630534673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4.6651398774934738E-2</v>
      </c>
      <c r="C64" t="s">
        <v>19</v>
      </c>
      <c r="D64" t="s">
        <v>34</v>
      </c>
      <c r="H64" s="17">
        <f>DEGREES(B64)</f>
        <v>2.6729282581855394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3.5534916717575551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6.8911463341707249</v>
      </c>
      <c r="C66" t="s">
        <v>11</v>
      </c>
      <c r="D66">
        <f>B66/B53</f>
        <v>1.6913774140270336E-3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36.691033275864655</v>
      </c>
      <c r="C67" t="s">
        <v>36</v>
      </c>
      <c r="D67" t="s">
        <v>122</v>
      </c>
      <c r="G67" s="20">
        <f ca="1">($B$56*$B$66*$B$55*$E$122)/$B$65</f>
        <v>36.691033820080612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-7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-4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-7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4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7</v>
      </c>
      <c r="H75" s="1">
        <f t="shared" si="18"/>
        <v>3</v>
      </c>
      <c r="I75" s="4">
        <f t="shared" si="19"/>
        <v>3</v>
      </c>
      <c r="J75" s="4">
        <f t="shared" si="20"/>
        <v>4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7</v>
      </c>
      <c r="H76" s="1">
        <f t="shared" si="18"/>
        <v>4</v>
      </c>
      <c r="I76" s="4">
        <f t="shared" si="19"/>
        <v>3</v>
      </c>
      <c r="J76" s="4">
        <f t="shared" si="20"/>
        <v>-4</v>
      </c>
      <c r="Q76" cm="1">
        <f t="array" ref="Q76">(-1*MAX(ABS(B84:C91)))-1</f>
        <v>-8.318825498605225</v>
      </c>
      <c r="R76">
        <f>Q76</f>
        <v>-8.318825498605225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-7</v>
      </c>
      <c r="H77" s="1">
        <f t="shared" si="18"/>
        <v>5</v>
      </c>
      <c r="I77" s="4">
        <f t="shared" si="19"/>
        <v>-3</v>
      </c>
      <c r="J77" s="4">
        <f t="shared" si="20"/>
        <v>-4</v>
      </c>
      <c r="Q77">
        <f>-1*Q76</f>
        <v>8.318825498605225</v>
      </c>
      <c r="R77">
        <f>Q77</f>
        <v>8.318825498605225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-7</v>
      </c>
      <c r="H78" s="1">
        <f t="shared" si="18"/>
        <v>6</v>
      </c>
      <c r="I78" s="4">
        <f t="shared" si="19"/>
        <v>-3</v>
      </c>
      <c r="J78" s="4">
        <f t="shared" si="20"/>
        <v>-4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-7</v>
      </c>
      <c r="H79" s="1">
        <f t="shared" si="18"/>
        <v>7</v>
      </c>
      <c r="I79" s="4">
        <f t="shared" si="19"/>
        <v>-3</v>
      </c>
      <c r="J79" s="4">
        <f t="shared" si="20"/>
        <v>-4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-7</v>
      </c>
      <c r="H80" s="1">
        <f t="shared" si="18"/>
        <v>8</v>
      </c>
      <c r="I80" s="4">
        <f t="shared" si="19"/>
        <v>-3</v>
      </c>
      <c r="J80" s="4">
        <f t="shared" si="20"/>
        <v>-4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-7</v>
      </c>
      <c r="H81" s="1">
        <f t="shared" si="18"/>
        <v>9</v>
      </c>
      <c r="I81" s="4">
        <f t="shared" si="19"/>
        <v>-3</v>
      </c>
      <c r="J81" s="4">
        <f t="shared" si="20"/>
        <v>-4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-7.3188254986052241</v>
      </c>
      <c r="C84" s="1">
        <f t="shared" ref="C84:C92" si="23">(-1*B73*SIN($B$64))+(C73*COS($B$64))</f>
        <v>-6.6659427931063133</v>
      </c>
      <c r="H84" s="1">
        <f t="shared" ref="H84:H92" si="24">H73</f>
        <v>1</v>
      </c>
      <c r="I84" s="4">
        <f>(I73*COS($B$64))+(J73*SIN($B$64))</f>
        <v>-3.1832739783664463</v>
      </c>
      <c r="J84" s="1">
        <f>(-1*I73*SIN($B$64))+(J73*COS($B$64))</f>
        <v>-3.8557446464535299</v>
      </c>
    </row>
    <row r="85" spans="1:10" x14ac:dyDescent="0.25">
      <c r="A85" s="1">
        <f t="shared" si="21"/>
        <v>2</v>
      </c>
      <c r="B85" s="4">
        <f t="shared" si="22"/>
        <v>6.6659427931063133</v>
      </c>
      <c r="C85" s="1">
        <f t="shared" si="23"/>
        <v>-7.3188254986052241</v>
      </c>
      <c r="H85" s="1">
        <f t="shared" si="24"/>
        <v>2</v>
      </c>
      <c r="I85" s="4">
        <f t="shared" ref="I85:I92" si="25">(I74*COS($B$64))+(J74*SIN($B$64))</f>
        <v>-2.8101981466527839</v>
      </c>
      <c r="J85" s="1">
        <f t="shared" ref="J85:J92" si="26">(-1*I74*SIN($B$64))+(J74*COS($B$64))</f>
        <v>4.1355515202387769</v>
      </c>
    </row>
    <row r="86" spans="1:10" x14ac:dyDescent="0.25">
      <c r="A86" s="1">
        <f t="shared" si="21"/>
        <v>3</v>
      </c>
      <c r="B86" s="4">
        <f t="shared" si="22"/>
        <v>7.3188254986052241</v>
      </c>
      <c r="C86" s="1">
        <f t="shared" si="23"/>
        <v>6.6659427931063133</v>
      </c>
      <c r="H86" s="1">
        <f t="shared" si="24"/>
        <v>3</v>
      </c>
      <c r="I86" s="4">
        <f t="shared" si="25"/>
        <v>3.1832739783664463</v>
      </c>
      <c r="J86" s="1">
        <f t="shared" si="26"/>
        <v>3.8557446464535299</v>
      </c>
    </row>
    <row r="87" spans="1:10" x14ac:dyDescent="0.25">
      <c r="A87" s="1">
        <f t="shared" si="21"/>
        <v>4</v>
      </c>
      <c r="B87" s="4">
        <f t="shared" si="22"/>
        <v>-6.6659427931063133</v>
      </c>
      <c r="C87" s="1">
        <f t="shared" si="23"/>
        <v>7.3188254986052241</v>
      </c>
      <c r="H87" s="1">
        <f t="shared" si="24"/>
        <v>4</v>
      </c>
      <c r="I87" s="4">
        <f t="shared" si="25"/>
        <v>2.8101981466527839</v>
      </c>
      <c r="J87" s="1">
        <f t="shared" si="26"/>
        <v>-4.1355515202387769</v>
      </c>
    </row>
    <row r="88" spans="1:10" x14ac:dyDescent="0.25">
      <c r="A88" s="1">
        <f t="shared" si="21"/>
        <v>5</v>
      </c>
      <c r="B88" s="4">
        <f t="shared" si="22"/>
        <v>-7.3188254986052241</v>
      </c>
      <c r="C88" s="1">
        <f t="shared" si="23"/>
        <v>-6.6659427931063133</v>
      </c>
      <c r="H88" s="1">
        <f t="shared" si="24"/>
        <v>5</v>
      </c>
      <c r="I88" s="4">
        <f t="shared" si="25"/>
        <v>-3.1832739783664463</v>
      </c>
      <c r="J88" s="1">
        <f t="shared" si="26"/>
        <v>-3.8557446464535299</v>
      </c>
    </row>
    <row r="89" spans="1:10" x14ac:dyDescent="0.25">
      <c r="A89" s="1">
        <f t="shared" si="21"/>
        <v>6</v>
      </c>
      <c r="B89" s="4">
        <f t="shared" si="22"/>
        <v>-7.3188254986052241</v>
      </c>
      <c r="C89" s="1">
        <f t="shared" si="23"/>
        <v>-6.6659427931063133</v>
      </c>
      <c r="H89" s="1">
        <f t="shared" si="24"/>
        <v>6</v>
      </c>
      <c r="I89" s="4">
        <f t="shared" si="25"/>
        <v>-3.1832739783664463</v>
      </c>
      <c r="J89" s="1">
        <f t="shared" si="26"/>
        <v>-3.8557446464535299</v>
      </c>
    </row>
    <row r="90" spans="1:10" x14ac:dyDescent="0.25">
      <c r="A90" s="1">
        <f t="shared" si="21"/>
        <v>7</v>
      </c>
      <c r="B90" s="4">
        <f t="shared" si="22"/>
        <v>-7.3188254986052241</v>
      </c>
      <c r="C90" s="1">
        <f t="shared" si="23"/>
        <v>-6.6659427931063133</v>
      </c>
      <c r="H90" s="1">
        <f t="shared" si="24"/>
        <v>7</v>
      </c>
      <c r="I90" s="4">
        <f t="shared" si="25"/>
        <v>-3.1832739783664463</v>
      </c>
      <c r="J90" s="1">
        <f t="shared" si="26"/>
        <v>-3.8557446464535299</v>
      </c>
    </row>
    <row r="91" spans="1:10" x14ac:dyDescent="0.25">
      <c r="A91" s="1">
        <f t="shared" si="21"/>
        <v>8</v>
      </c>
      <c r="B91" s="4">
        <f t="shared" si="22"/>
        <v>-7.3188254986052241</v>
      </c>
      <c r="C91" s="1">
        <f t="shared" si="23"/>
        <v>-6.6659427931063133</v>
      </c>
      <c r="H91" s="1">
        <f t="shared" si="24"/>
        <v>8</v>
      </c>
      <c r="I91" s="4">
        <f t="shared" si="25"/>
        <v>-3.1832739783664463</v>
      </c>
      <c r="J91" s="1">
        <f t="shared" si="26"/>
        <v>-3.8557446464535299</v>
      </c>
    </row>
    <row r="92" spans="1:10" x14ac:dyDescent="0.25">
      <c r="A92" s="1">
        <f t="shared" si="21"/>
        <v>9</v>
      </c>
      <c r="B92" s="4">
        <f t="shared" si="22"/>
        <v>-7.3188254986052241</v>
      </c>
      <c r="C92" s="1">
        <f t="shared" si="23"/>
        <v>-6.6659427931063133</v>
      </c>
      <c r="H92" s="1">
        <f t="shared" si="24"/>
        <v>9</v>
      </c>
      <c r="I92" s="4">
        <f t="shared" si="25"/>
        <v>-3.1832739783664463</v>
      </c>
      <c r="J92" s="1">
        <f t="shared" si="26"/>
        <v>-3.8557446464535299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-4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-4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4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4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-1.5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-1.5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1.5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1.5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-7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-7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-7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-7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-4.1821859992029848</v>
      </c>
      <c r="C110" s="1">
        <f>(-1*B95*SIN($B$64))+(C95*COS($B$64))</f>
        <v>-3.8091101674893224</v>
      </c>
      <c r="D110" t="str">
        <f t="shared" ref="D110" si="31">D95</f>
        <v>y</v>
      </c>
      <c r="E110" s="4">
        <f t="shared" ref="E110:E121" si="32">IF($D110="y",$B$125-C110,0)</f>
        <v>7.5744439943369919</v>
      </c>
      <c r="F110" s="1">
        <f>IF($D110="y",B110,NA())</f>
        <v>-4.1821859992029848</v>
      </c>
      <c r="G110" s="1">
        <f>IF($D110="y",C110,NA())</f>
        <v>-3.8091101674893224</v>
      </c>
      <c r="H110">
        <f t="shared" ref="H110:H121" si="33">IF($E$122=0,0,-1*MAX(($B$67/$E$122)*(E110),0))</f>
        <v>-34.968667298121751</v>
      </c>
      <c r="I110">
        <f>H110*C110</f>
        <v>133.19950614882694</v>
      </c>
      <c r="J110">
        <f>H110*B110*-1</f>
        <v>-146.24547078499205</v>
      </c>
      <c r="K110">
        <f ca="1">H110/$B$55</f>
        <v>-104.55239245989738</v>
      </c>
      <c r="L110">
        <f ca="1">K110/$B$54</f>
        <v>-3.6052549124102546E-3</v>
      </c>
      <c r="M110">
        <f t="shared" ref="M110:M121" si="34">IFERROR(($D$66/$B$65)*(G110-$B$125),0)</f>
        <v>-3.6052549658848257E-3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3.8091101674893224</v>
      </c>
      <c r="C111" s="1">
        <f t="shared" ref="C111:C121" si="37">(-1*B96*SIN($B$64))+(C96*COS($B$64))</f>
        <v>-4.1821859992029848</v>
      </c>
      <c r="D111" t="str">
        <f t="shared" si="35"/>
        <v>y</v>
      </c>
      <c r="E111" s="4">
        <f t="shared" si="32"/>
        <v>7.9475198260506534</v>
      </c>
      <c r="F111" s="1">
        <f t="shared" ref="F111:G121" si="38">IF($D111="y",B111,NA())</f>
        <v>3.8091101674893224</v>
      </c>
      <c r="G111" s="1">
        <f t="shared" si="38"/>
        <v>-4.1821859992029848</v>
      </c>
      <c r="H111">
        <f t="shared" si="33"/>
        <v>-36.691033275864655</v>
      </c>
      <c r="I111">
        <f t="shared" ref="I111:I121" si="39">H111*C111</f>
        <v>153.44872566261199</v>
      </c>
      <c r="J111">
        <f t="shared" ref="J111:J121" si="40">H111*B111*-1</f>
        <v>139.76018790678512</v>
      </c>
      <c r="K111">
        <f ca="1">H111/$B$55</f>
        <v>-109.70207351949621</v>
      </c>
      <c r="L111">
        <f t="shared" ref="L111:L121" ca="1" si="41">K111/$B$54</f>
        <v>-3.7828301213619383E-3</v>
      </c>
      <c r="M111">
        <f t="shared" si="34"/>
        <v>-3.7828301774703757E-3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-3.8091101674893224</v>
      </c>
      <c r="C112" s="1">
        <f t="shared" si="37"/>
        <v>4.1821859992029848</v>
      </c>
      <c r="D112" t="str">
        <f t="shared" si="35"/>
        <v>y</v>
      </c>
      <c r="E112" s="4">
        <f t="shared" si="32"/>
        <v>-0.4168521723553158</v>
      </c>
      <c r="F112" s="1">
        <f t="shared" si="38"/>
        <v>-3.8091101674893224</v>
      </c>
      <c r="G112" s="1">
        <f t="shared" si="38"/>
        <v>4.1821859992029848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1.9841170725501259E-4</v>
      </c>
      <c r="N112">
        <f t="shared" si="42"/>
        <v>0.41913589935299528</v>
      </c>
      <c r="O112">
        <f t="shared" si="43"/>
        <v>1.7529042900374483</v>
      </c>
      <c r="P112">
        <f t="shared" si="44"/>
        <v>1.5965348157852757</v>
      </c>
    </row>
    <row r="113" spans="1:16" x14ac:dyDescent="0.25">
      <c r="A113">
        <f t="shared" si="35"/>
        <v>4</v>
      </c>
      <c r="B113" s="1">
        <f t="shared" si="36"/>
        <v>4.1821859992029848</v>
      </c>
      <c r="C113" s="1">
        <f t="shared" si="37"/>
        <v>3.8091101674893224</v>
      </c>
      <c r="D113" t="str">
        <f t="shared" si="35"/>
        <v>y</v>
      </c>
      <c r="E113" s="4">
        <f t="shared" si="32"/>
        <v>-4.3776340641653366E-2</v>
      </c>
      <c r="F113" s="1">
        <f t="shared" si="38"/>
        <v>4.1821859992029848</v>
      </c>
      <c r="G113" s="1">
        <f t="shared" si="38"/>
        <v>3.8091101674893224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2.0836495669462176E-5</v>
      </c>
      <c r="N113">
        <f t="shared" si="42"/>
        <v>4.4016169572897952E-2</v>
      </c>
      <c r="O113">
        <f t="shared" si="43"/>
        <v>0.16766243905405973</v>
      </c>
      <c r="P113">
        <f t="shared" si="44"/>
        <v>-0.18408380812631825</v>
      </c>
    </row>
    <row r="114" spans="1:16" x14ac:dyDescent="0.25">
      <c r="A114">
        <f t="shared" si="35"/>
        <v>5</v>
      </c>
      <c r="B114" s="1">
        <f t="shared" si="36"/>
        <v>-4.0655998017924651</v>
      </c>
      <c r="C114" s="1">
        <f t="shared" si="37"/>
        <v>-1.3118301153979761</v>
      </c>
      <c r="D114" t="str">
        <f t="shared" si="35"/>
        <v>y</v>
      </c>
      <c r="E114" s="4">
        <f t="shared" si="32"/>
        <v>5.0771639422456456</v>
      </c>
      <c r="F114" s="1">
        <f t="shared" si="38"/>
        <v>-4.0655998017924651</v>
      </c>
      <c r="G114" s="1">
        <f t="shared" si="38"/>
        <v>-1.3118301153979761</v>
      </c>
      <c r="H114">
        <f t="shared" si="33"/>
        <v>-23.439562936520044</v>
      </c>
      <c r="I114">
        <f t="shared" si="39"/>
        <v>30.748724551893215</v>
      </c>
      <c r="J114">
        <f t="shared" si="40"/>
        <v>-95.295882428817904</v>
      </c>
      <c r="K114">
        <f t="shared" ca="1" si="45"/>
        <v>-70.081663745851102</v>
      </c>
      <c r="L114">
        <f t="shared" ca="1" si="41"/>
        <v>-2.4166090946845208E-3</v>
      </c>
      <c r="M114">
        <f t="shared" si="34"/>
        <v>-2.4166091305286262E-3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3.9256963648998418</v>
      </c>
      <c r="C115" s="1">
        <f t="shared" si="37"/>
        <v>-1.684905947111639</v>
      </c>
      <c r="D115" t="str">
        <f t="shared" si="35"/>
        <v>y</v>
      </c>
      <c r="E115" s="4">
        <f t="shared" si="32"/>
        <v>5.450239773959308</v>
      </c>
      <c r="F115" s="1">
        <f t="shared" si="38"/>
        <v>3.9256963648998418</v>
      </c>
      <c r="G115" s="1">
        <f t="shared" si="38"/>
        <v>-1.684905947111639</v>
      </c>
      <c r="H115">
        <f t="shared" si="33"/>
        <v>-25.161928914262951</v>
      </c>
      <c r="I115">
        <f t="shared" si="39"/>
        <v>42.395483668441955</v>
      </c>
      <c r="J115">
        <f t="shared" si="40"/>
        <v>98.778092872590292</v>
      </c>
      <c r="K115">
        <f t="shared" ca="1" si="45"/>
        <v>-75.23134480544995</v>
      </c>
      <c r="L115">
        <f t="shared" ca="1" si="41"/>
        <v>-2.594184303636205E-3</v>
      </c>
      <c r="M115">
        <f t="shared" si="34"/>
        <v>-2.5941843421141766E-3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-3.9256963648998418</v>
      </c>
      <c r="C116" s="1">
        <f t="shared" si="37"/>
        <v>1.684905947111639</v>
      </c>
      <c r="D116" t="str">
        <f t="shared" si="35"/>
        <v>y</v>
      </c>
      <c r="E116" s="4">
        <f t="shared" si="32"/>
        <v>2.0804278797360301</v>
      </c>
      <c r="F116" s="1">
        <f t="shared" si="38"/>
        <v>-3.9256963648998418</v>
      </c>
      <c r="G116" s="1">
        <f t="shared" si="38"/>
        <v>1.684905947111639</v>
      </c>
      <c r="H116">
        <f t="shared" si="33"/>
        <v>-9.6046377025980014</v>
      </c>
      <c r="I116">
        <f t="shared" si="39"/>
        <v>-16.182911184960041</v>
      </c>
      <c r="J116">
        <f t="shared" si="40"/>
        <v>-37.704891315268938</v>
      </c>
      <c r="K116">
        <f t="shared" ca="1" si="45"/>
        <v>-28.716789288995596</v>
      </c>
      <c r="L116">
        <f t="shared" ca="1" si="41"/>
        <v>-9.9023411341364132E-4</v>
      </c>
      <c r="M116">
        <f t="shared" si="34"/>
        <v>-9.9023412810118677E-4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4.0655998017924651</v>
      </c>
      <c r="C117" s="1">
        <f t="shared" si="37"/>
        <v>1.3118301153979761</v>
      </c>
      <c r="D117" t="str">
        <f t="shared" si="35"/>
        <v>y</v>
      </c>
      <c r="E117" s="4">
        <f t="shared" si="32"/>
        <v>2.4535037114496929</v>
      </c>
      <c r="F117" s="1">
        <f t="shared" si="38"/>
        <v>4.0655998017924651</v>
      </c>
      <c r="G117" s="1">
        <f t="shared" si="38"/>
        <v>1.3118301153979761</v>
      </c>
      <c r="H117">
        <f t="shared" si="33"/>
        <v>-11.32700368034091</v>
      </c>
      <c r="I117">
        <f t="shared" si="39"/>
        <v>-14.859104545094917</v>
      </c>
      <c r="J117">
        <f t="shared" si="40"/>
        <v>46.051063917696524</v>
      </c>
      <c r="K117">
        <f t="shared" ca="1" si="45"/>
        <v>-33.866470348594454</v>
      </c>
      <c r="L117">
        <f t="shared" ca="1" si="41"/>
        <v>-1.167809322365326E-3</v>
      </c>
      <c r="M117">
        <f t="shared" si="34"/>
        <v>-1.1678093396867372E-3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-7.3188254986052241</v>
      </c>
      <c r="C118" s="1">
        <f t="shared" si="37"/>
        <v>-6.6659427931063133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-7.3188254986052241</v>
      </c>
      <c r="C119" s="1">
        <f t="shared" si="37"/>
        <v>-6.6659427931063133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-7.3188254986052241</v>
      </c>
      <c r="C120" s="1">
        <f t="shared" si="37"/>
        <v>-6.6659427931063133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-7.3188254986052241</v>
      </c>
      <c r="C121" s="1">
        <f t="shared" si="37"/>
        <v>-6.6659427931063133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7.9475198260506534</v>
      </c>
      <c r="H122">
        <f>SUM(H110:H121)</f>
        <v>-141.19283380770833</v>
      </c>
      <c r="I122">
        <f t="shared" ref="I122:J122" si="46">SUM(I110:I121)</f>
        <v>328.75042430171908</v>
      </c>
      <c r="J122">
        <f t="shared" si="46"/>
        <v>5.3431001679930432</v>
      </c>
      <c r="L122">
        <f ca="1">MIN(L110:L121)</f>
        <v>-3.7828301213619383E-3</v>
      </c>
      <c r="M122">
        <f>MIN(M110:M121)</f>
        <v>-3.7828301774703757E-3</v>
      </c>
      <c r="N122">
        <f>SUM(N110:N121)</f>
        <v>0.46315206892589322</v>
      </c>
      <c r="O122">
        <f>SUM(O110:O121)</f>
        <v>1.9205667290915081</v>
      </c>
      <c r="P122">
        <f>SUM(P110:P121)</f>
        <v>1.4124510076589574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3.765333826847669</v>
      </c>
      <c r="F125" s="1" t="s">
        <v>27</v>
      </c>
      <c r="G125" s="1" t="s">
        <v>28</v>
      </c>
    </row>
    <row r="126" spans="1:16" x14ac:dyDescent="0.25">
      <c r="F126" s="4">
        <f>MIN(B84:B90)-1</f>
        <v>-8.318825498605225</v>
      </c>
      <c r="G126" s="4">
        <f>B125</f>
        <v>3.765333826847669</v>
      </c>
    </row>
    <row r="127" spans="1:16" x14ac:dyDescent="0.25">
      <c r="F127" s="4">
        <f>MAX(B84:B90)+1</f>
        <v>8.318825498605225</v>
      </c>
      <c r="G127" s="4">
        <f>G126</f>
        <v>3.765333826847669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-7.3188254986052241</v>
      </c>
      <c r="C132" s="4">
        <f>C84</f>
        <v>-6.6659427931063133</v>
      </c>
      <c r="D132" s="4">
        <f t="shared" ref="D132:E139" si="47">B85</f>
        <v>6.6659427931063133</v>
      </c>
      <c r="E132" s="4">
        <f t="shared" si="47"/>
        <v>-7.3188254986052241</v>
      </c>
      <c r="F132" s="4">
        <f t="shared" ref="F132:F139" si="48">($B$66/$B$65)*(C132-$B$125)</f>
        <v>-20.228963588583046</v>
      </c>
      <c r="G132" s="4">
        <f t="shared" ref="G132:G139" si="49">($B$66/$B$65)*(E132-$B$125)</f>
        <v>-21.495073285251344</v>
      </c>
      <c r="H132" s="4">
        <f>IF(B132=D132,"V",(C132-E132)/(B132-D132))</f>
        <v>-4.6685271566913267E-2</v>
      </c>
      <c r="I132" s="4">
        <f>IF(H132="V",0,(-1*B132*H132)+C132)</f>
        <v>-7.0076241490595477</v>
      </c>
      <c r="J132" s="4">
        <f>IF($F132&gt;=0,B132,IF(AND($F132&lt;0,$G132&gt;=0),IF(H132="V",B132,($B$125-I132)/H132),0))</f>
        <v>0</v>
      </c>
      <c r="K132" s="4">
        <f>IF($F132&gt;=0,C132,IF(AND($F132&lt;0,$G132&gt;=0),$B$125,0))</f>
        <v>0</v>
      </c>
      <c r="L132" s="4">
        <f>IF($G132&gt;=0,D132,IF(AND($G132&lt;0,$F132&gt;=0),IF(H132="V",D132,($B$125-I132)/H132),0))</f>
        <v>0</v>
      </c>
      <c r="M132" s="4">
        <f>IF($G132&gt;=0,E132,IF(AND($G132&lt;0,$F132&gt;=0),$B$125,0))</f>
        <v>0</v>
      </c>
      <c r="N132" s="4">
        <f>IF(F132&lt;0,0,F132)</f>
        <v>0</v>
      </c>
      <c r="O132" s="4">
        <f>IF(G132&lt;0,0,G132)</f>
        <v>0</v>
      </c>
      <c r="P132" s="4">
        <f>(1/6)*(M132-K132)*((N132*((2*J132)+L132))+(O132*(J132+(2*L132))))</f>
        <v>0</v>
      </c>
      <c r="Q132" s="4">
        <f>((1/12)*(M132-K132)*(N132*J132*((3*K132)+M132)+N132*L132*(K132+M132)+O132*J132*(K132+M132)+O132*L132*(K132+(3*M132))))</f>
        <v>0</v>
      </c>
      <c r="R132" s="4">
        <f>((-1/24)*(M132-K132)*(J132*J132*((3*N132)+O132)+2*J132*L132*(N132+O132)+L132*L132*(N132+(3*O132))))</f>
        <v>0</v>
      </c>
    </row>
    <row r="133" spans="1:18" x14ac:dyDescent="0.25">
      <c r="A133" t="s">
        <v>70</v>
      </c>
      <c r="B133" s="4">
        <f t="shared" ref="B133:C138" si="50">D132</f>
        <v>6.6659427931063133</v>
      </c>
      <c r="C133" s="4">
        <f t="shared" si="50"/>
        <v>-7.3188254986052241</v>
      </c>
      <c r="D133" s="4">
        <f t="shared" si="47"/>
        <v>7.3188254986052241</v>
      </c>
      <c r="E133" s="4">
        <f t="shared" si="47"/>
        <v>6.6659427931063133</v>
      </c>
      <c r="F133" s="4">
        <f t="shared" si="48"/>
        <v>-21.495073285251344</v>
      </c>
      <c r="G133" s="4">
        <f t="shared" si="49"/>
        <v>5.6250366375024266</v>
      </c>
      <c r="H133" s="4">
        <f t="shared" ref="H133:H139" si="51">IF(B133=D133,"V",(C133-E133)/(B133-D133))</f>
        <v>21.420031766693608</v>
      </c>
      <c r="I133" s="4">
        <f t="shared" ref="I133:I139" si="52">IF(H133="V",0,(-1*B133*H133)+C133)</f>
        <v>-150.10353188190479</v>
      </c>
      <c r="J133" s="4">
        <f t="shared" ref="J133:J139" si="53">IF($F133&gt;=0,B133,IF(AND($F133&lt;0,$G133&gt;=0),IF(H133="V",B133,($B$125-I133)/H133),0))</f>
        <v>7.1834097813060165</v>
      </c>
      <c r="K133" s="4">
        <f t="shared" ref="K133:K139" si="54">IF($F133&gt;=0,C133,IF(AND($F133&lt;0,$G133&gt;=0),$B$125,0))</f>
        <v>3.765333826847669</v>
      </c>
      <c r="L133" s="4">
        <f t="shared" ref="L133:L139" si="55">IF($G133&gt;=0,D133,IF(AND($G133&lt;0,$F133&gt;=0),IF(H133="V",D133,($B$125-I133)/H133),0))</f>
        <v>7.3188254986052241</v>
      </c>
      <c r="M133" s="4">
        <f t="shared" ref="M133:M139" si="56">IF($G133&gt;=0,E133,IF(AND($G133&lt;0,$F133&gt;=0),$B$125,0))</f>
        <v>6.6659427931063133</v>
      </c>
      <c r="N133" s="4">
        <f t="shared" ref="N133:O139" si="57">IF(F133&lt;0,0,F133)</f>
        <v>0</v>
      </c>
      <c r="O133" s="4">
        <f t="shared" si="57"/>
        <v>5.6250366375024266</v>
      </c>
      <c r="P133" s="4">
        <f t="shared" ref="P133:P139" si="58">(1/6)*(M133-K133)*((N133*((2*J133)+L133))+(O133*(J133+(2*L133))))</f>
        <v>59.338853254463828</v>
      </c>
      <c r="Q133" s="4">
        <f t="shared" ref="Q133:Q139" si="59">((1/12)*(M133-K133)*(N133*J133*((3*K133)+M133)+N133*L133*(K133+M133)+O133*J133*(K133+M133)+O133*L133*(K133+(3*M133))))</f>
        <v>338.35448521965174</v>
      </c>
      <c r="R133" s="4">
        <f t="shared" ref="R133:R139" si="60">((-1/24)*(M133-K133)*(J133*J133*((3*N133)+O133)+2*J133*L133*(N133+O133)+L133*L133*(N133+(3*O133))))</f>
        <v>-215.81027603592202</v>
      </c>
    </row>
    <row r="134" spans="1:18" x14ac:dyDescent="0.25">
      <c r="A134" t="s">
        <v>71</v>
      </c>
      <c r="B134" s="4">
        <f t="shared" si="50"/>
        <v>7.3188254986052241</v>
      </c>
      <c r="C134" s="4">
        <f t="shared" si="50"/>
        <v>6.6659427931063133</v>
      </c>
      <c r="D134" s="4">
        <f t="shared" si="47"/>
        <v>-6.6659427931063133</v>
      </c>
      <c r="E134" s="4">
        <f t="shared" si="47"/>
        <v>7.3188254986052241</v>
      </c>
      <c r="F134" s="4">
        <f t="shared" si="48"/>
        <v>5.6250366375024266</v>
      </c>
      <c r="G134" s="4">
        <f t="shared" si="49"/>
        <v>6.8911463341707249</v>
      </c>
      <c r="H134" s="4">
        <f t="shared" si="51"/>
        <v>-4.6685271566913267E-2</v>
      </c>
      <c r="I134" s="4">
        <f t="shared" si="52"/>
        <v>7.0076241490595477</v>
      </c>
      <c r="J134" s="4">
        <f t="shared" si="53"/>
        <v>7.3188254986052241</v>
      </c>
      <c r="K134" s="4">
        <f t="shared" si="54"/>
        <v>6.6659427931063133</v>
      </c>
      <c r="L134" s="4">
        <f t="shared" si="55"/>
        <v>-6.6659427931063133</v>
      </c>
      <c r="M134" s="4">
        <f t="shared" si="56"/>
        <v>7.3188254986052241</v>
      </c>
      <c r="N134" s="4">
        <f t="shared" si="57"/>
        <v>5.6250366375024266</v>
      </c>
      <c r="O134" s="4">
        <f t="shared" si="57"/>
        <v>6.8911463341707249</v>
      </c>
      <c r="P134" s="4">
        <f t="shared" si="58"/>
        <v>0.3704319073685694</v>
      </c>
      <c r="Q134" s="4">
        <f t="shared" si="59"/>
        <v>-0.50386981451492585</v>
      </c>
      <c r="R134" s="4">
        <f t="shared" si="60"/>
        <v>-33.198022525480326</v>
      </c>
    </row>
    <row r="135" spans="1:18" x14ac:dyDescent="0.25">
      <c r="A135" t="s">
        <v>72</v>
      </c>
      <c r="B135" s="4">
        <f t="shared" si="50"/>
        <v>-6.6659427931063133</v>
      </c>
      <c r="C135" s="4">
        <f t="shared" si="50"/>
        <v>7.3188254986052241</v>
      </c>
      <c r="D135" s="4">
        <f t="shared" si="47"/>
        <v>-7.3188254986052241</v>
      </c>
      <c r="E135" s="4">
        <f t="shared" si="47"/>
        <v>-6.6659427931063133</v>
      </c>
      <c r="F135" s="4">
        <f t="shared" si="48"/>
        <v>6.8911463341707249</v>
      </c>
      <c r="G135" s="4">
        <f t="shared" si="49"/>
        <v>-20.228963588583046</v>
      </c>
      <c r="H135" s="4">
        <f t="shared" si="51"/>
        <v>21.420031766693608</v>
      </c>
      <c r="I135" s="4">
        <f t="shared" si="52"/>
        <v>150.10353188190479</v>
      </c>
      <c r="J135" s="4">
        <f t="shared" si="53"/>
        <v>-6.6659427931063133</v>
      </c>
      <c r="K135" s="4">
        <f t="shared" si="54"/>
        <v>7.3188254986052241</v>
      </c>
      <c r="L135" s="4">
        <f t="shared" si="55"/>
        <v>-6.8318385168130797</v>
      </c>
      <c r="M135" s="4">
        <f t="shared" si="56"/>
        <v>3.765333826847669</v>
      </c>
      <c r="N135" s="4">
        <f t="shared" si="57"/>
        <v>6.8911463341707249</v>
      </c>
      <c r="O135" s="4">
        <f t="shared" si="57"/>
        <v>0</v>
      </c>
      <c r="P135" s="4">
        <f t="shared" si="58"/>
        <v>82.29363959750647</v>
      </c>
      <c r="Q135" s="4">
        <f t="shared" si="59"/>
        <v>504.41520907915162</v>
      </c>
      <c r="R135" s="4">
        <f t="shared" si="60"/>
        <v>276.56706756957396</v>
      </c>
    </row>
    <row r="136" spans="1:18" x14ac:dyDescent="0.25">
      <c r="A136" t="s">
        <v>73</v>
      </c>
      <c r="B136" s="4">
        <f t="shared" si="50"/>
        <v>-7.3188254986052241</v>
      </c>
      <c r="C136" s="4">
        <f t="shared" si="50"/>
        <v>-6.6659427931063133</v>
      </c>
      <c r="D136" s="4">
        <f t="shared" si="47"/>
        <v>-7.3188254986052241</v>
      </c>
      <c r="E136" s="4">
        <f t="shared" si="47"/>
        <v>-6.6659427931063133</v>
      </c>
      <c r="F136" s="4">
        <f t="shared" si="48"/>
        <v>-20.228963588583046</v>
      </c>
      <c r="G136" s="4">
        <f t="shared" si="49"/>
        <v>-20.228963588583046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-7.3188254986052241</v>
      </c>
      <c r="C137" s="4">
        <f t="shared" si="50"/>
        <v>-6.6659427931063133</v>
      </c>
      <c r="D137" s="4">
        <f t="shared" si="47"/>
        <v>-7.3188254986052241</v>
      </c>
      <c r="E137" s="4">
        <f t="shared" si="47"/>
        <v>-6.6659427931063133</v>
      </c>
      <c r="F137" s="4">
        <f t="shared" si="48"/>
        <v>-20.228963588583046</v>
      </c>
      <c r="G137" s="4">
        <f t="shared" si="49"/>
        <v>-20.228963588583046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-7.3188254986052241</v>
      </c>
      <c r="C138" s="4">
        <f t="shared" si="50"/>
        <v>-6.6659427931063133</v>
      </c>
      <c r="D138" s="4">
        <f t="shared" si="47"/>
        <v>-7.3188254986052241</v>
      </c>
      <c r="E138" s="4">
        <f t="shared" si="47"/>
        <v>-6.6659427931063133</v>
      </c>
      <c r="F138" s="4">
        <f t="shared" si="48"/>
        <v>-20.228963588583046</v>
      </c>
      <c r="G138" s="4">
        <f t="shared" si="49"/>
        <v>-20.228963588583046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-7.3188254986052241</v>
      </c>
      <c r="C139" s="4">
        <f>E138</f>
        <v>-6.6659427931063133</v>
      </c>
      <c r="D139" s="4">
        <f t="shared" si="47"/>
        <v>-7.3188254986052241</v>
      </c>
      <c r="E139" s="4">
        <f t="shared" si="47"/>
        <v>-6.6659427931063133</v>
      </c>
      <c r="F139" s="4">
        <f t="shared" si="48"/>
        <v>-20.228963588583046</v>
      </c>
      <c r="G139" s="4">
        <f t="shared" si="49"/>
        <v>-20.228963588583046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142.00292475933887</v>
      </c>
      <c r="Q140" s="4">
        <f>SUM(Q132:Q139)</f>
        <v>842.26582448428849</v>
      </c>
      <c r="R140" s="4">
        <f>SUM(R132:R139)</f>
        <v>27.558769008171623</v>
      </c>
    </row>
    <row r="142" spans="1:18" x14ac:dyDescent="0.25">
      <c r="O142" t="s">
        <v>96</v>
      </c>
      <c r="P142" s="1">
        <f>-1*R140/P140</f>
        <v>-0.19407184080804796</v>
      </c>
    </row>
    <row r="143" spans="1:18" x14ac:dyDescent="0.25">
      <c r="O143" t="s">
        <v>97</v>
      </c>
      <c r="P143" s="1">
        <f>Q140/P140</f>
        <v>5.9313273012631846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-3.1832739783664463</v>
      </c>
      <c r="C146" s="9">
        <f>J84</f>
        <v>-3.8557446464535299</v>
      </c>
      <c r="D146" s="9">
        <f t="shared" ref="D146:E153" si="61">I85</f>
        <v>-2.8101981466527839</v>
      </c>
      <c r="E146">
        <f t="shared" si="61"/>
        <v>4.1355515202387769</v>
      </c>
      <c r="F146" s="4">
        <f>($B$66/$B$65)*(C146-$B$125)</f>
        <v>-14.779257089898181</v>
      </c>
      <c r="G146" s="4">
        <f>($B$66/$B$65)*(E146-$B$125)</f>
        <v>0.71794858024683095</v>
      </c>
      <c r="H146" s="4">
        <f>IF(B146=D146,"V",(C146-E146)/(B146-D146))</f>
        <v>21.420031766693658</v>
      </c>
      <c r="I146" s="4">
        <f>IF(H146="V",0,(-1*B146*H146)+C146)</f>
        <v>64.330085092245042</v>
      </c>
      <c r="J146" s="4">
        <f>IF($F146&gt;=0,B146,IF(AND($F146&lt;0,$G146&gt;=0),IF(H146="V",B146,($B$125-I146)/H146),0))</f>
        <v>-2.8274818602076239</v>
      </c>
      <c r="K146" s="4">
        <f>IF($F146&gt;=0,C146,IF(AND($F146&lt;0,$G146&gt;=0),$B$125,0))</f>
        <v>3.765333826847669</v>
      </c>
      <c r="L146" s="4">
        <f>IF($G146&gt;=0,D146,IF(AND($G146&lt;0,$F146&gt;=0),IF(H146="V",D146,($B$125-I146)/H146),0))</f>
        <v>-2.8101981466527839</v>
      </c>
      <c r="M146" s="4">
        <f>IF($G146&gt;=0,E146,IF(AND($G146&lt;0,$F146&gt;=0),$B$125,0))</f>
        <v>4.1355515202387769</v>
      </c>
      <c r="N146" s="4">
        <f>IF(F146&lt;0,0,F146)</f>
        <v>0</v>
      </c>
      <c r="O146" s="4">
        <f>IF(G146&lt;0,0,G146)</f>
        <v>0.71794858024683095</v>
      </c>
      <c r="P146" s="4">
        <f>(1/6)*(M146-K146)*((N146*((2*J146)+L146))+(O146*(J146+(2*L146))))</f>
        <v>-0.37423715468831092</v>
      </c>
      <c r="Q146" s="4">
        <f>((1/12)*(M146-K146)*(N146*J146*((3*K146)+M146)+N146*L146*(K146+M146)+O146*J146*(K146+M146)+O146*L146*(K146+(3*M146))))</f>
        <v>-1.5014467184184923</v>
      </c>
      <c r="R146" s="4">
        <f>((-1/24)*(M146-K146)*(J146*J146*((3*N146)+O146)+2*J146*L146*(N146+O146)+L146*L146*(N146+(3*O146))))</f>
        <v>-0.52691941667565001</v>
      </c>
    </row>
    <row r="147" spans="1:18" x14ac:dyDescent="0.25">
      <c r="A147" t="s">
        <v>70</v>
      </c>
      <c r="B147" s="9">
        <f t="shared" ref="B147:C153" si="62">D146</f>
        <v>-2.8101981466527839</v>
      </c>
      <c r="C147">
        <f t="shared" si="62"/>
        <v>4.1355515202387769</v>
      </c>
      <c r="D147" s="9">
        <f t="shared" si="61"/>
        <v>3.1832739783664463</v>
      </c>
      <c r="E147">
        <f t="shared" si="61"/>
        <v>3.8557446464535299</v>
      </c>
      <c r="F147" s="4">
        <f t="shared" ref="F147:F153" si="63">($B$66/$B$65)*(C147-$B$125)</f>
        <v>0.71794858024683095</v>
      </c>
      <c r="G147" s="4">
        <f t="shared" ref="G147:G153" si="64">($B$66/$B$65)*(E147-$B$125)</f>
        <v>0.17533013881756088</v>
      </c>
      <c r="H147" s="4">
        <f t="shared" ref="H147:H153" si="65">IF(B147=D147,"V",(C147-E147)/(B147-D147))</f>
        <v>-4.668527156691319E-2</v>
      </c>
      <c r="I147" s="4">
        <f t="shared" ref="I147:I153" si="66">IF(H147="V",0,(-1*B147*H147)+C147)</f>
        <v>4.0043566566054558</v>
      </c>
      <c r="J147" s="4">
        <f t="shared" ref="J147:J153" si="67">IF($F147&gt;=0,B147,IF(AND($F147&lt;0,$G147&gt;=0),IF(H147="V",B147,($B$125-I147)/H147),0))</f>
        <v>-2.8101981466527839</v>
      </c>
      <c r="K147" s="4">
        <f t="shared" ref="K147:K153" si="68">IF($F147&gt;=0,C147,IF(AND($F147&lt;0,$G147&gt;=0),$B$125,0))</f>
        <v>4.1355515202387769</v>
      </c>
      <c r="L147" s="4">
        <f t="shared" ref="L147:L153" si="69">IF($G147&gt;=0,D147,IF(AND($G147&lt;0,$F147&gt;=0),IF(H147="V",D147,($B$125-I147)/H147),0))</f>
        <v>3.1832739783664463</v>
      </c>
      <c r="M147" s="4">
        <f t="shared" ref="M147:M153" si="70">IF($G147&gt;=0,E147,IF(AND($G147&lt;0,$F147&gt;=0),$B$125,0))</f>
        <v>3.8557446464535299</v>
      </c>
      <c r="N147" s="4">
        <f t="shared" ref="N147:O153" si="71">IF(F147&lt;0,0,F147)</f>
        <v>0.71794858024683095</v>
      </c>
      <c r="O147" s="4">
        <f t="shared" si="71"/>
        <v>0.17533013881756088</v>
      </c>
      <c r="P147" s="4">
        <f t="shared" ref="P147:P153" si="72">(1/6)*(M147-K147)*((N147*((2*J147)+L147))+(O147*(J147+(2*L147))))</f>
        <v>5.2519433095652303E-2</v>
      </c>
      <c r="Q147" s="4">
        <f t="shared" ref="Q147:Q153" si="73">((1/12)*(M147-K147)*(N147*J147*((3*K147)+M147)+N147*L147*(K147+M147)+O147*J147*(K147+M147)+O147*L147*(K147+(3*M147))))</f>
        <v>0.22665388390476665</v>
      </c>
      <c r="R147" s="4">
        <f t="shared" ref="R147:R153" si="74">((-1/24)*(M147-K147)*(J147*J147*((3*N147)+O147)+2*J147*L147*(N147+O147)+L147*L147*(N147+(3*O147))))</f>
        <v>0.17508029661577554</v>
      </c>
    </row>
    <row r="148" spans="1:18" x14ac:dyDescent="0.25">
      <c r="A148" t="s">
        <v>71</v>
      </c>
      <c r="B148" s="9">
        <f t="shared" si="62"/>
        <v>3.1832739783664463</v>
      </c>
      <c r="C148">
        <f t="shared" si="62"/>
        <v>3.8557446464535299</v>
      </c>
      <c r="D148" s="9">
        <f t="shared" si="61"/>
        <v>2.8101981466527839</v>
      </c>
      <c r="E148">
        <f t="shared" si="61"/>
        <v>-4.1355515202387769</v>
      </c>
      <c r="F148" s="4">
        <f t="shared" si="63"/>
        <v>0.17533013881756088</v>
      </c>
      <c r="G148" s="4">
        <f t="shared" si="64"/>
        <v>-15.32187553132745</v>
      </c>
      <c r="H148" s="4">
        <f t="shared" si="65"/>
        <v>21.420031766693658</v>
      </c>
      <c r="I148" s="4">
        <f t="shared" si="66"/>
        <v>-64.330085092245042</v>
      </c>
      <c r="J148" s="4">
        <f t="shared" si="67"/>
        <v>3.1832739783664463</v>
      </c>
      <c r="K148" s="4">
        <f t="shared" si="68"/>
        <v>3.8557446464535299</v>
      </c>
      <c r="L148" s="4">
        <f t="shared" si="69"/>
        <v>3.1790531247005589</v>
      </c>
      <c r="M148" s="4">
        <f t="shared" si="70"/>
        <v>3.765333826847669</v>
      </c>
      <c r="N148" s="4">
        <f t="shared" si="71"/>
        <v>0.17533013881756088</v>
      </c>
      <c r="O148" s="4">
        <f t="shared" si="71"/>
        <v>0</v>
      </c>
      <c r="P148" s="4">
        <f t="shared" si="72"/>
        <v>-2.5219066883729564E-2</v>
      </c>
      <c r="Q148" s="4">
        <f t="shared" si="73"/>
        <v>-9.6478424656509409E-2</v>
      </c>
      <c r="R148" s="4">
        <f t="shared" si="74"/>
        <v>4.0121862608683813E-2</v>
      </c>
    </row>
    <row r="149" spans="1:18" x14ac:dyDescent="0.25">
      <c r="A149" t="s">
        <v>72</v>
      </c>
      <c r="B149" s="9">
        <f t="shared" si="62"/>
        <v>2.8101981466527839</v>
      </c>
      <c r="C149">
        <f t="shared" si="62"/>
        <v>-4.1355515202387769</v>
      </c>
      <c r="D149" s="9">
        <f t="shared" si="61"/>
        <v>-3.1832739783664463</v>
      </c>
      <c r="E149">
        <f t="shared" si="61"/>
        <v>-3.8557446464535299</v>
      </c>
      <c r="F149" s="4">
        <f t="shared" si="63"/>
        <v>-15.32187553132745</v>
      </c>
      <c r="G149" s="4">
        <f t="shared" si="64"/>
        <v>-14.779257089898181</v>
      </c>
      <c r="H149" s="4">
        <f t="shared" si="65"/>
        <v>-4.668527156691319E-2</v>
      </c>
      <c r="I149" s="4">
        <f t="shared" si="66"/>
        <v>-4.0043566566054558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-3.1832739783664463</v>
      </c>
      <c r="C150">
        <f t="shared" si="62"/>
        <v>-3.8557446464535299</v>
      </c>
      <c r="D150" s="9">
        <f t="shared" si="61"/>
        <v>-3.1832739783664463</v>
      </c>
      <c r="E150">
        <f t="shared" si="61"/>
        <v>-3.8557446464535299</v>
      </c>
      <c r="F150" s="4">
        <f t="shared" si="63"/>
        <v>-14.779257089898181</v>
      </c>
      <c r="G150" s="4">
        <f t="shared" si="64"/>
        <v>-14.779257089898181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-3.1832739783664463</v>
      </c>
      <c r="C151">
        <f t="shared" si="62"/>
        <v>-3.8557446464535299</v>
      </c>
      <c r="D151" s="9">
        <f t="shared" si="61"/>
        <v>-3.1832739783664463</v>
      </c>
      <c r="E151">
        <f t="shared" si="61"/>
        <v>-3.8557446464535299</v>
      </c>
      <c r="F151" s="4">
        <f t="shared" si="63"/>
        <v>-14.779257089898181</v>
      </c>
      <c r="G151" s="4">
        <f t="shared" si="64"/>
        <v>-14.779257089898181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-3.1832739783664463</v>
      </c>
      <c r="C152">
        <f t="shared" si="62"/>
        <v>-3.8557446464535299</v>
      </c>
      <c r="D152" s="9">
        <f t="shared" si="61"/>
        <v>-3.1832739783664463</v>
      </c>
      <c r="E152">
        <f t="shared" si="61"/>
        <v>-3.8557446464535299</v>
      </c>
      <c r="F152" s="4">
        <f t="shared" si="63"/>
        <v>-14.779257089898181</v>
      </c>
      <c r="G152" s="4">
        <f t="shared" si="64"/>
        <v>-14.779257089898181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-3.1832739783664463</v>
      </c>
      <c r="C153">
        <f t="shared" si="62"/>
        <v>-3.8557446464535299</v>
      </c>
      <c r="D153" s="9">
        <f t="shared" si="61"/>
        <v>-3.1832739783664463</v>
      </c>
      <c r="E153">
        <f t="shared" si="61"/>
        <v>-3.8557446464535299</v>
      </c>
      <c r="F153" s="4">
        <f t="shared" si="63"/>
        <v>-14.779257089898181</v>
      </c>
      <c r="G153" s="4">
        <f t="shared" si="64"/>
        <v>-14.779257089898181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-0.34693678847638815</v>
      </c>
      <c r="Q154" s="4">
        <f t="shared" ref="Q154:R154" si="75">SUM(Q146:Q153)</f>
        <v>-1.371271259170235</v>
      </c>
      <c r="R154" s="4">
        <f t="shared" si="75"/>
        <v>-0.31171725745119067</v>
      </c>
    </row>
    <row r="156" spans="1:18" x14ac:dyDescent="0.25">
      <c r="O156" t="s">
        <v>96</v>
      </c>
      <c r="P156" s="1">
        <f>-1*R154/P154</f>
        <v>-0.89848429974846999</v>
      </c>
    </row>
    <row r="157" spans="1:18" x14ac:dyDescent="0.25">
      <c r="O157" t="s">
        <v>97</v>
      </c>
      <c r="P157" s="1">
        <f>Q154/P154</f>
        <v>3.9525103843623119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2.0942282607516738E-6</v>
      </c>
      <c r="C159" t="s">
        <v>36</v>
      </c>
    </row>
    <row r="160" spans="1:18" x14ac:dyDescent="0.25">
      <c r="A160" s="1" t="s">
        <v>106</v>
      </c>
      <c r="B160" s="4">
        <f>Q140+I122+Q154-O122</f>
        <v>1167.7244107977458</v>
      </c>
      <c r="C160" t="s">
        <v>102</v>
      </c>
    </row>
    <row r="161" spans="1:9" x14ac:dyDescent="0.25">
      <c r="A161" s="1" t="s">
        <v>107</v>
      </c>
      <c r="B161" s="4">
        <f>R140+J122+R154-P122</f>
        <v>31.177700911054515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2.0942282607516738E-6</v>
      </c>
      <c r="C164" t="s">
        <v>36</v>
      </c>
      <c r="E164" s="8">
        <f>B2-B164</f>
        <v>-2.0942282607516738E-6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1164.9999951328434</v>
      </c>
      <c r="C165" t="s">
        <v>102</v>
      </c>
      <c r="E165" s="8">
        <f>B3+B165</f>
        <v>-4.867156576437992E-6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85.59999969343815</v>
      </c>
      <c r="C166" t="s">
        <v>102</v>
      </c>
      <c r="E166" s="8">
        <f>B4+B166</f>
        <v>-3.0656184435429168E-7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6.8911463341707249</v>
      </c>
      <c r="B169" s="1">
        <f ca="1">IF(E122=0,0,(MIN(H110:H121)*B65)/(B55*B56*E122))</f>
        <v>-6.8911462319585093</v>
      </c>
      <c r="C169" s="3">
        <f ca="1">A169+B169</f>
        <v>1.0221221558026627E-7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6.9195206603113489E-10</v>
      </c>
      <c r="C175" s="27">
        <f>B65*SQRT(I175)</f>
        <v>5.2706799119990835E-8</v>
      </c>
      <c r="D175" s="27">
        <f>B66*SQRT(I175)</f>
        <v>1.022122180356635E-7</v>
      </c>
      <c r="E175" s="27">
        <f>B67*SQRT(I175)</f>
        <v>5.4421597094088815E-7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4.6651399466886803E-2</v>
      </c>
      <c r="C176" s="3">
        <f>B65+C175</f>
        <v>3.553491724464354</v>
      </c>
      <c r="D176" s="3">
        <f>D175+B66</f>
        <v>6.8911464363829431</v>
      </c>
      <c r="E176" s="3">
        <f>B67+E175</f>
        <v>36.691033820080627</v>
      </c>
      <c r="F176" s="16" t="s">
        <v>125</v>
      </c>
    </row>
    <row r="177" spans="1:13" x14ac:dyDescent="0.25">
      <c r="B177" s="27">
        <f>B176-B64</f>
        <v>6.9195206509053975E-10</v>
      </c>
      <c r="C177" s="27">
        <f>C176-B65</f>
        <v>5.2706798925328258E-8</v>
      </c>
      <c r="D177" s="27">
        <f>D176-B66</f>
        <v>1.0221221824480153E-7</v>
      </c>
      <c r="E177" s="27">
        <f>E176-B67</f>
        <v>5.4421597184273196E-7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-20.489020256949715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7.3188256949638255</v>
      </c>
      <c r="B181" s="25">
        <f>(d_alpha_p!E136-d_alpha_m!E136)/(2*B177)</f>
        <v>7.3188256949638255</v>
      </c>
      <c r="C181" s="25">
        <f>(d_alpha_p!E137-d_alpha_m!E137)/(2*B177)</f>
        <v>7.3188256949638255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2.0942282607516738E-6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4.867156576437992E-6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3.0656184435429168E-7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-1.0221221558026627E-7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-20.489020256949715</v>
      </c>
      <c r="B190" s="25">
        <f>A181</f>
        <v>7.3188256949638255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7.3188256949638255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7.3188256949638255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-20.489020256949715</v>
      </c>
      <c r="B201" s="25">
        <f t="shared" ref="B201:C201" si="77">B190</f>
        <v>7.3188256949638255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7.3188256949638255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7.3188256949638255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2020-11-02T22:42:30Z</dcterms:modified>
</cp:coreProperties>
</file>