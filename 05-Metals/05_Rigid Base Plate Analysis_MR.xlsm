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8F9B515F-E63E-42C1-9560-E4D055656E77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4" i="1" l="1"/>
  <c r="N3" i="1"/>
  <c r="Z14" i="1"/>
  <c r="Y14" i="1"/>
  <c r="AB15" i="1"/>
  <c r="AB16" i="1"/>
  <c r="AB17" i="1"/>
  <c r="AB18" i="1"/>
  <c r="AB19" i="1"/>
  <c r="AB20" i="1"/>
  <c r="AB21" i="1"/>
  <c r="AB14" i="1"/>
  <c r="AH15" i="1"/>
  <c r="AH16" i="1"/>
  <c r="AH17" i="1"/>
  <c r="AH18" i="1"/>
  <c r="AH19" i="1"/>
  <c r="AH20" i="1"/>
  <c r="AH21" i="1"/>
  <c r="AH14" i="1"/>
  <c r="AD15" i="1"/>
  <c r="AD16" i="1"/>
  <c r="AD17" i="1"/>
  <c r="AD18" i="1"/>
  <c r="AD19" i="1"/>
  <c r="AD20" i="1"/>
  <c r="AD21" i="1"/>
  <c r="AD14" i="1"/>
  <c r="M4" i="1"/>
  <c r="AI14" i="1"/>
  <c r="M3" i="1"/>
  <c r="L3" i="1"/>
  <c r="L4" i="1"/>
  <c r="I4" i="1"/>
  <c r="I3" i="1"/>
  <c r="N5" i="1" l="1"/>
  <c r="J64" i="1" s="1"/>
  <c r="AJ14" i="1"/>
  <c r="AK14" i="1" s="1"/>
  <c r="AI21" i="1"/>
  <c r="AJ20" i="1"/>
  <c r="AE21" i="1"/>
  <c r="AI20" i="1"/>
  <c r="AE20" i="1"/>
  <c r="AJ21" i="1"/>
  <c r="AK21" i="1" s="1"/>
  <c r="AF21" i="1"/>
  <c r="AF20" i="1"/>
  <c r="AE19" i="1"/>
  <c r="AF19" i="1"/>
  <c r="AI19" i="1"/>
  <c r="AJ19" i="1"/>
  <c r="AE18" i="1"/>
  <c r="AF18" i="1"/>
  <c r="AI18" i="1"/>
  <c r="AJ18" i="1"/>
  <c r="AE17" i="1"/>
  <c r="AF17" i="1"/>
  <c r="AI17" i="1"/>
  <c r="AJ17" i="1"/>
  <c r="AE16" i="1"/>
  <c r="AF16" i="1"/>
  <c r="AI16" i="1"/>
  <c r="AJ16" i="1"/>
  <c r="AE14" i="1"/>
  <c r="AE15" i="1"/>
  <c r="AF15" i="1"/>
  <c r="AI15" i="1"/>
  <c r="AJ15" i="1"/>
  <c r="AF14" i="1"/>
  <c r="AK20" i="1" l="1"/>
  <c r="AK16" i="1"/>
  <c r="AK18" i="1"/>
  <c r="AG20" i="1"/>
  <c r="AC20" i="1" s="1"/>
  <c r="AG21" i="1"/>
  <c r="AC21" i="1" s="1"/>
  <c r="AG15" i="1"/>
  <c r="AG18" i="1"/>
  <c r="AC18" i="1" s="1"/>
  <c r="AG16" i="1"/>
  <c r="AC16" i="1" s="1"/>
  <c r="AK17" i="1"/>
  <c r="AK19" i="1"/>
  <c r="AK15" i="1"/>
  <c r="AG14" i="1"/>
  <c r="AC14" i="1" s="1"/>
  <c r="AG19" i="1"/>
  <c r="AG17" i="1"/>
  <c r="AC19" i="1" l="1"/>
  <c r="AC15" i="1"/>
  <c r="AC17" i="1"/>
  <c r="Z15" i="1" l="1"/>
  <c r="Z16" i="1"/>
  <c r="Z17" i="1"/>
  <c r="Z18" i="1"/>
  <c r="Z19" i="1"/>
  <c r="Z20" i="1"/>
  <c r="Z21" i="1"/>
  <c r="Y15" i="1"/>
  <c r="Y16" i="1"/>
  <c r="Y17" i="1"/>
  <c r="Y18" i="1"/>
  <c r="Y19" i="1"/>
  <c r="Y20" i="1"/>
  <c r="Y21" i="1"/>
  <c r="X13" i="1"/>
  <c r="W13" i="1"/>
  <c r="V13" i="1"/>
  <c r="U13" i="1"/>
  <c r="P13" i="1"/>
  <c r="O13" i="1"/>
  <c r="N1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J65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Q47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Q46" i="3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D100" i="7" l="1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F119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19" i="6"/>
  <c r="E119" i="6"/>
  <c r="G119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G118" i="9" l="1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J15" i="2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F20" i="5"/>
  <c r="I20" i="5"/>
  <c r="B77" i="6"/>
  <c r="I21" i="1"/>
  <c r="H21" i="1"/>
  <c r="J21" i="1" s="1"/>
  <c r="D21" i="1"/>
  <c r="E21" i="1"/>
  <c r="I21" i="5" l="1"/>
  <c r="E21" i="5"/>
  <c r="H20" i="8"/>
  <c r="H21" i="5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J21" i="5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C91" i="5" s="1"/>
  <c r="E138" i="5" s="1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J20" i="3" l="1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C139" i="5"/>
  <c r="E135" i="6"/>
  <c r="D22" i="8" l="1"/>
  <c r="J19" i="3"/>
  <c r="G22" i="3"/>
  <c r="J19" i="5"/>
  <c r="D22" i="2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P13" i="2" s="1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E22" i="2"/>
  <c r="F22" i="2"/>
  <c r="R19" i="2" s="1"/>
  <c r="H139" i="6"/>
  <c r="I139" i="6" s="1"/>
  <c r="O13" i="2"/>
  <c r="W13" i="2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M13" i="2" s="1"/>
  <c r="H22" i="9"/>
  <c r="L13" i="9" s="1"/>
  <c r="F22" i="9"/>
  <c r="R19" i="9" s="1"/>
  <c r="I2" i="9"/>
  <c r="O13" i="8"/>
  <c r="W13" i="8" s="1"/>
  <c r="F22" i="8"/>
  <c r="E22" i="8"/>
  <c r="I2" i="8"/>
  <c r="L13" i="8"/>
  <c r="L13" i="2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F22" i="3" l="1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R13" i="2"/>
  <c r="Y18" i="2"/>
  <c r="AA18" i="2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V13" i="2"/>
  <c r="Y16" i="2"/>
  <c r="AA16" i="2" s="1"/>
  <c r="U13" i="2"/>
  <c r="F22" i="6"/>
  <c r="K15" i="6" s="1"/>
  <c r="Y15" i="2"/>
  <c r="AA15" i="2" s="1"/>
  <c r="Y17" i="2"/>
  <c r="AA17" i="2" s="1"/>
  <c r="Y20" i="2"/>
  <c r="AA20" i="2" s="1"/>
  <c r="Y19" i="2"/>
  <c r="AA19" i="2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Q13" i="2"/>
  <c r="T13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AC14" i="2" l="1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AC18" i="2"/>
  <c r="AC15" i="2"/>
  <c r="Q13" i="9"/>
  <c r="T13" i="9" s="1"/>
  <c r="Z14" i="9"/>
  <c r="AB14" i="9" s="1"/>
  <c r="AC14" i="9" s="1"/>
  <c r="AC17" i="2"/>
  <c r="S13" i="9"/>
  <c r="Z17" i="9"/>
  <c r="AB17" i="9" s="1"/>
  <c r="AC17" i="9" s="1"/>
  <c r="I3" i="2" a="1"/>
  <c r="I3" i="2" s="1"/>
  <c r="I5" i="2" s="1"/>
  <c r="X13" i="9"/>
  <c r="K18" i="7"/>
  <c r="Z21" i="9"/>
  <c r="AB21" i="9" s="1"/>
  <c r="Y18" i="5"/>
  <c r="AA18" i="5" s="1"/>
  <c r="Z19" i="9"/>
  <c r="AB19" i="9" s="1"/>
  <c r="AC19" i="9" s="1"/>
  <c r="AC16" i="2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AC19" i="2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3"/>
  <c r="AC20" i="8"/>
  <c r="I4" i="3" a="1"/>
  <c r="I4" i="3" s="1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17" i="3" l="1"/>
  <c r="AC14" i="3"/>
  <c r="AC18" i="3"/>
  <c r="I3" i="3" a="1"/>
  <c r="I3" i="3" s="1"/>
  <c r="I5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5" l="1"/>
  <c r="I5" i="6"/>
  <c r="I5" i="7"/>
  <c r="I5" i="4"/>
  <c r="Q19" i="1"/>
  <c r="H139" i="1"/>
  <c r="I139" i="1" s="1"/>
  <c r="F22" i="1"/>
  <c r="K21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AA21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C132" i="1" l="1"/>
  <c r="K20" i="1"/>
  <c r="R19" i="1"/>
  <c r="K16" i="1"/>
  <c r="K19" i="1"/>
  <c r="K15" i="1"/>
  <c r="K14" i="1"/>
  <c r="O17" i="1" s="1"/>
  <c r="N19" i="1" s="1"/>
  <c r="K17" i="1"/>
  <c r="K18" i="1"/>
  <c r="S13" i="1"/>
  <c r="AA18" i="1"/>
  <c r="AA19" i="1"/>
  <c r="AA20" i="1"/>
  <c r="AA14" i="1"/>
  <c r="AA16" i="1"/>
  <c r="AA17" i="1"/>
  <c r="AA15" i="1"/>
  <c r="B132" i="1"/>
  <c r="Q13" i="1"/>
  <c r="T13" i="1" s="1"/>
  <c r="R13" i="1"/>
  <c r="O19" i="1" l="1"/>
  <c r="Q66" i="1" l="1"/>
  <c r="AC24" i="1"/>
  <c r="AC23" i="1"/>
  <c r="AC22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Q24" i="1" s="1"/>
  <c r="U37" i="1"/>
  <c r="J66" i="1" l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E132" i="1" l="1"/>
  <c r="C133" i="1" s="1"/>
  <c r="Q65" i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F127" i="1"/>
  <c r="F126" i="1"/>
  <c r="B125" i="1"/>
  <c r="B65" i="7" l="1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G127" i="1" s="1"/>
  <c r="Q80" i="1" s="1"/>
  <c r="Q83" i="1" s="1"/>
  <c r="B65" i="4" l="1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R80" i="1"/>
  <c r="R83" i="1" s="1"/>
  <c r="Q79" i="1"/>
  <c r="Q82" i="1" s="1"/>
  <c r="R79" i="1"/>
  <c r="R82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W151" i="1" l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I67" i="1" l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K148" i="4" l="1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  <c r="Q6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<sst xmlns="http://schemas.openxmlformats.org/spreadsheetml/2006/main" count="2366" uniqueCount="191">
  <si>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</si>
  <si>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</si>
  <si>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</si>
  <si>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</si>
  <si>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</si>
  <si>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</si>
  <si>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</si>
  <si>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</si>
  <si>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</si>
  <si>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</si>
  <si>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</si>
  <si>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</si>
  <si>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</si>
  <si>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</si>
  <si>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</si>
  <si>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</si>
  <si>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</si>
  <si>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</si>
  <si>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</si>
  <si>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</si>
  <si>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</si>
  <si>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</si>
  <si>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</si>
  <si>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</si>
  <si>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</si>
  <si>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</si>
  <si>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</si>
  <si>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</si>
  <si>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</si>
  <si>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</si>
  <si>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</si>
  <si>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</si>
  <si>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</si>
  <si>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</si>
  <si>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</si>
  <si>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</si>
  <si>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</si>
  <si>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</si>
  <si>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</si>
  <si>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</si>
  <si>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</si>
  <si>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</si>
  <si>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</si>
  <si>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</si>
  <si>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</si>
  <si>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</si>
  <si>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</si>
  <si>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</si>
  <si>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</si>
  <si>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</si>
  <si>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</si>
  <si>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</si>
  <si>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</si>
  <si>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</si>
  <si>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</si>
  <si>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</si>
  <si>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</si>
  <si>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</si>
  <si>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</si>
  <si>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</si>
  <si>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</si>
  <si>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</si>
  <si>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</si>
  <si>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</si>
  <si>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</si>
  <si>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</si>
  <si>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</si>
  <si>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</si>
  <si>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</si>
  <si>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</si>
  <si>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</si>
  <si>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</si>
  <si>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</si>
  <si>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</si>
  <si>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</si>
  <si>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</si>
  <si>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</si>
  <si>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</si>
  <si>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</si>
  <si>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</si>
  <si>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</si>
  <si>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</si>
  <si>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</si>
  <si>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</si>
  <si>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</si>
  <si>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</si>
  <si>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</si>
  <si>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</si>
  <si>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</si>
  <si>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</si>
  <si>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</si>
  <si>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</si>
  <si>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</si>
  <si>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</si>
  <si>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</si>
  <si>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</si>
  <si>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</si>
  <si>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</si>
  <si>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</si>
  <si>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</si>
  <si>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</si>
  <si>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</si>
  <si>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</si>
  <si>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</si>
  <si>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</si>
  <si>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</si>
  <si>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</si>
  <si>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</si>
  <si>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</si>
  <si>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</si>
  <si>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</si>
  <si>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</si>
  <si>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</si>
  <si>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</si>
  <si>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</si>
  <si>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</si>
  <si>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</si>
  <si>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</si>
  <si>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</si>
  <si>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</si>
  <si>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</si>
  <si>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</si>
  <si>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</si>
  <si>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</si>
  <si>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</si>
  <si>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</si>
  <si>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</si>
  <si>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</si>
  <si>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</si>
  <si>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</si>
  <si>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</si>
  <si>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</si>
  <si>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</si>
  <si>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</si>
  <si>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</si>
  <si>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</si>
  <si>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</si>
  <si>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</si>
  <si>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</si>
  <si>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</si>
  <si>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</si>
  <si>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</si>
  <si>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</si>
  <si>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</si>
  <si>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</si>
  <si>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</si>
  <si>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</si>
  <si>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</si>
  <si>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</si>
  <si>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</si>
  <si>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</si>
  <si>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</si>
  <si>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</si>
  <si>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</si>
  <si>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</si>
  <si>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</si>
  <si>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</si>
  <si>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</si>
  <si>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</si>
  <si>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</si>
  <si>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</si>
  <si>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</si>
  <si>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</si>
  <si>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</si>
  <si>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</si>
  <si>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</si>
  <si>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</si>
  <si>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</si>
  <si>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</si>
  <si>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</si>
  <si>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</si>
  <si>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</si>
  <si>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</si>
  <si>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</si>
  <si>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</si>
  <si>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</si>
  <si>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</si>
  <si>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</si>
  <si>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</si>
  <si>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</si>
  <si>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</si>
  <si>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</si>
  <si>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</si>
  <si>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</si>
  <si>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</si>
  <si>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</si>
  <si>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</si>
  <si>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Simple</t>
  </si>
  <si>
    <t>P/A,pl</t>
  </si>
  <si>
    <t>This is a better starting point for unsymmetric plates</t>
  </si>
  <si>
    <t>Moment about Pl Centroid ( I flipped the Mx and My rows here)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</si>
</sst>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569BAAA-42BA-416A-B8F7-6E8FDF1E91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28FF1F1-8E8B-43CE-9E94-7E44DED57E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A1F28C-1AC4-4300-8B58-E37C8A9E42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3A857DA-8653-4AE3-B0A9-EBDF7C198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1">
                    <c:v>
0.2032 kips</c:v>
                  </c:pt>
                  <c:pt idx="2">
                    <c:v>
3.8922 kips</c:v>
                  </c:pt>
                  <c:pt idx="3">
                    <c:v>
3.8338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800" baseline="0">
                        <a:latin typeface="Calibri" panose="020F0502020204030204" pitchFamily="34" charset="0"/>
                      </a:defRPr>
                    </a:pPr>
                    <a:fld id="{C247E8B6-FAA9-481E-AA87-7C043926225E}" type="CELLRANGE">
                      <a:rPr lang="en-US"/>
                      <a:pPr>
                        <a:defRPr sz="800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388197472863818"/>
                      <c:h val="0.1046158932975560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3.315 ksi
OK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3.5983019312307256</c:v>
                </c:pt>
                <c:pt idx="1">
                  <c:v>4.0089707023509815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-1.1113534910817666</c:v>
                </c:pt>
                <c:pt idx="1">
                  <c:v>12.215897718276544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41D42C-208B-423F-8D2A-266B3C91C0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1.2690195571310003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5.6633362672848246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38.1891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C0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1.5</c:v>
                </c:pt>
                <c:pt idx="2">
                  <c:v>7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68311F-C4C7-412D-8785-DD875F5EBC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3CB39B-9794-46B4-94E4-ECD0D7E7A3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C937DD-DC91-4352-868A-0E1F28163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EB7BC4-4504-40AF-A281-FE9B306C6F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F4824CD-BC06-4DB2-A991-C9C3678D62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3.9715037698283977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1.7437 ksi</c:v>
                  </c:pt>
                  <c:pt idx="4">
                    <c:v>0 ksi</c:v>
                  </c:pt>
                  <c:pt idx="5">
                    <c:v>1.9064 ksi</c:v>
                  </c:pt>
                  <c:pt idx="6">
                    <c:v>1.7437 ksi</c:v>
                  </c:pt>
                  <c:pt idx="7">
                    <c:v>1.7437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B03935-7DAE-4DA1-BE05-4572F4DC66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3.6325474155615289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  <c:pt idx="0">
                    <c:v>0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270D0D-3B81-44EC-8925-409059149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46C646-A245-4564-80D9-40BA0EC50F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7A00D3-936E-4E44-9FED-B61F1F5D9C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9883F9-F597-4B2D-976E-32B98A4CE6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2FB269-3C2C-4EF3-A3F4-5606A6B9BD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25B1B2-CF9C-4244-BCBB-2782FC94F6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AAE399-6287-4EC2-BAAE-4930065FF2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874BB9F-1D02-4A39-BB57-6437CF594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5.5</c:v>
                </c:pt>
                <c:pt idx="2">
                  <c:v>5.5</c:v>
                </c:pt>
                <c:pt idx="3">
                  <c:v>11</c:v>
                </c:pt>
                <c:pt idx="4">
                  <c:v>11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5.5</c:v>
                </c:pt>
                <c:pt idx="4">
                  <c:v>11</c:v>
                </c:pt>
                <c:pt idx="5">
                  <c:v>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11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DC75F1C-9E80-4564-913B-1B88107F51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3.315 ksi
OK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3.5983019312307256</c:v>
                </c:pt>
                <c:pt idx="1">
                  <c:v>4.0089707023509815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-1.1113534910817666</c:v>
                </c:pt>
                <c:pt idx="1">
                  <c:v>12.215897718276544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1.2690195571310003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5.6633362672848246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4</c:v>
                </c:pt>
                <c:pt idx="2">
                  <c:v>10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1.5</c:v>
                </c:pt>
                <c:pt idx="2">
                  <c:v>7</c:v>
                </c:pt>
                <c:pt idx="3">
                  <c:v>10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4.583333333333333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6.416666666666667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-9.0881290048191623</c:v>
                </c:pt>
                <c:pt idx="1">
                  <c:v>-8.9187312315339931</c:v>
                </c:pt>
                <c:pt idx="2">
                  <c:v>-3.4213405419062277</c:v>
                </c:pt>
                <c:pt idx="3">
                  <c:v>-3.2519427686210594</c:v>
                </c:pt>
                <c:pt idx="4">
                  <c:v>2.2454479210067051</c:v>
                </c:pt>
                <c:pt idx="5">
                  <c:v>1.9066523744363679</c:v>
                </c:pt>
                <c:pt idx="6">
                  <c:v>-9.0881290048191623</c:v>
                </c:pt>
                <c:pt idx="7">
                  <c:v>-9.0881290048191623</c:v>
                </c:pt>
                <c:pt idx="8">
                  <c:v>-9.0881290048191623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2.7213803835121406</c:v>
                </c:pt>
                <c:pt idx="1">
                  <c:v>-2.7760103061156238</c:v>
                </c:pt>
                <c:pt idx="2">
                  <c:v>-2.606612532830455</c:v>
                </c:pt>
                <c:pt idx="3">
                  <c:v>-8.1040032224582195</c:v>
                </c:pt>
                <c:pt idx="4">
                  <c:v>-7.9346054491730511</c:v>
                </c:pt>
                <c:pt idx="5">
                  <c:v>3.0601759300824782</c:v>
                </c:pt>
                <c:pt idx="6">
                  <c:v>2.7213803835121406</c:v>
                </c:pt>
                <c:pt idx="7">
                  <c:v>2.7213803835121406</c:v>
                </c:pt>
                <c:pt idx="8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-7.5426412422065434</c:v>
                </c:pt>
                <c:pt idx="1">
                  <c:v>-7.4656422543496479</c:v>
                </c:pt>
                <c:pt idx="2">
                  <c:v>-1.783453993865336</c:v>
                </c:pt>
                <c:pt idx="3">
                  <c:v>1.2151227459316265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1.2682914063277966</c:v>
                </c:pt>
                <c:pt idx="1">
                  <c:v>-1.2305225435030054</c:v>
                </c:pt>
                <c:pt idx="2">
                  <c:v>-7.0582782498117611</c:v>
                </c:pt>
                <c:pt idx="3">
                  <c:v>-6.9658794643834874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-10.088129004819162</c:v>
                </c:pt>
                <c:pt idx="1">
                  <c:v>3.2454479210067051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-0.90944367865864928</c:v>
                </c:pt>
                <c:pt idx="1">
                  <c:v>-0.90944367865864928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-9.0881290048191623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2.0289730826550194</c:v>
                </c:pt>
                <c:pt idx="5">
                  <c:v>1.9066523744363679</c:v>
                </c:pt>
                <c:pt idx="6">
                  <c:v>-9.0881290048191623</c:v>
                </c:pt>
                <c:pt idx="7">
                  <c:v>-9.0881290048191623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2.7213803835121406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-0.90944367865864928</c:v>
                </c:pt>
                <c:pt idx="5">
                  <c:v>3.0601759300824782</c:v>
                </c:pt>
                <c:pt idx="6">
                  <c:v>2.7213803835121406</c:v>
                </c:pt>
                <c:pt idx="7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-8.9762480150829962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1.9066523744363679</c:v>
                </c:pt>
                <c:pt idx="5">
                  <c:v>-9.0881290048191623</c:v>
                </c:pt>
                <c:pt idx="6">
                  <c:v>-9.0881290048191623</c:v>
                </c:pt>
                <c:pt idx="7">
                  <c:v>-9.0881290048191623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-0.90944367865864928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3.0601759300824782</c:v>
                </c:pt>
                <c:pt idx="5">
                  <c:v>2.7213803835121406</c:v>
                </c:pt>
                <c:pt idx="6">
                  <c:v>2.7213803835121406</c:v>
                </c:pt>
                <c:pt idx="7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-3.3883942493216752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1.6273913389149912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-10.088129004819162</c:v>
                </c:pt>
                <c:pt idx="1">
                  <c:v>10.088129004819162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-10.088129004819162</c:v>
                </c:pt>
                <c:pt idx="1">
                  <c:v>10.088129004819162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-9.0881290048191623</c:v>
                </c:pt>
                <c:pt idx="1">
                  <c:v>-9.0881290048191623</c:v>
                </c:pt>
                <c:pt idx="2">
                  <c:v>-9.0881290048191623</c:v>
                </c:pt>
                <c:pt idx="3">
                  <c:v>-9.0881290048191623</c:v>
                </c:pt>
                <c:pt idx="4">
                  <c:v>-9.0881290048191623</c:v>
                </c:pt>
                <c:pt idx="5">
                  <c:v>-9.0881290048191623</c:v>
                </c:pt>
                <c:pt idx="6">
                  <c:v>-9.0881290048191623</c:v>
                </c:pt>
                <c:pt idx="7">
                  <c:v>-9.0881290048191623</c:v>
                </c:pt>
                <c:pt idx="8">
                  <c:v>-9.0881290048191623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2.7213803835121406</c:v>
                </c:pt>
                <c:pt idx="1">
                  <c:v>2.7213803835121406</c:v>
                </c:pt>
                <c:pt idx="2">
                  <c:v>2.7213803835121406</c:v>
                </c:pt>
                <c:pt idx="3">
                  <c:v>2.7213803835121406</c:v>
                </c:pt>
                <c:pt idx="4">
                  <c:v>2.7213803835121406</c:v>
                </c:pt>
                <c:pt idx="5">
                  <c:v>2.7213803835121406</c:v>
                </c:pt>
                <c:pt idx="6">
                  <c:v>2.7213803835121406</c:v>
                </c:pt>
                <c:pt idx="7">
                  <c:v>2.7213803835121406</c:v>
                </c:pt>
                <c:pt idx="8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-9.0881290048191623</c:v>
                </c:pt>
                <c:pt idx="1">
                  <c:v>-9.0881290048191623</c:v>
                </c:pt>
                <c:pt idx="2">
                  <c:v>-9.0881290048191623</c:v>
                </c:pt>
                <c:pt idx="3">
                  <c:v>-9.0881290048191623</c:v>
                </c:pt>
                <c:pt idx="4">
                  <c:v>-9.0881290048191623</c:v>
                </c:pt>
                <c:pt idx="5">
                  <c:v>-9.0881290048191623</c:v>
                </c:pt>
                <c:pt idx="6">
                  <c:v>-9.0881290048191623</c:v>
                </c:pt>
                <c:pt idx="7">
                  <c:v>-9.0881290048191623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2.7213803835121406</c:v>
                </c:pt>
                <c:pt idx="1">
                  <c:v>2.7213803835121406</c:v>
                </c:pt>
                <c:pt idx="2">
                  <c:v>2.7213803835121406</c:v>
                </c:pt>
                <c:pt idx="3">
                  <c:v>2.7213803835121406</c:v>
                </c:pt>
                <c:pt idx="4">
                  <c:v>2.7213803835121406</c:v>
                </c:pt>
                <c:pt idx="5">
                  <c:v>2.7213803835121406</c:v>
                </c:pt>
                <c:pt idx="6">
                  <c:v>2.7213803835121406</c:v>
                </c:pt>
                <c:pt idx="7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-9.0881290048191623</c:v>
                </c:pt>
                <c:pt idx="1">
                  <c:v>-9.0881290048191623</c:v>
                </c:pt>
                <c:pt idx="2">
                  <c:v>-9.0881290048191623</c:v>
                </c:pt>
                <c:pt idx="3">
                  <c:v>-9.0881290048191623</c:v>
                </c:pt>
                <c:pt idx="4">
                  <c:v>-9.0881290048191623</c:v>
                </c:pt>
                <c:pt idx="5">
                  <c:v>-9.0881290048191623</c:v>
                </c:pt>
                <c:pt idx="6">
                  <c:v>-9.0881290048191623</c:v>
                </c:pt>
                <c:pt idx="7">
                  <c:v>-9.0881290048191623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2.7213803835121406</c:v>
                </c:pt>
                <c:pt idx="1">
                  <c:v>2.7213803835121406</c:v>
                </c:pt>
                <c:pt idx="2">
                  <c:v>2.7213803835121406</c:v>
                </c:pt>
                <c:pt idx="3">
                  <c:v>2.7213803835121406</c:v>
                </c:pt>
                <c:pt idx="4">
                  <c:v>2.7213803835121406</c:v>
                </c:pt>
                <c:pt idx="5">
                  <c:v>2.7213803835121406</c:v>
                </c:pt>
                <c:pt idx="6">
                  <c:v>2.7213803835121406</c:v>
                </c:pt>
                <c:pt idx="7">
                  <c:v>2.7213803835121406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-7.4656422543496479</c:v>
                </c:pt>
                <c:pt idx="2">
                  <c:v>-1.783453993865336</c:v>
                </c:pt>
                <c:pt idx="3">
                  <c:v>1.2151227459316265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-1.2305225435030054</c:v>
                </c:pt>
                <c:pt idx="2">
                  <c:v>-7.0582782498117611</c:v>
                </c:pt>
                <c:pt idx="3">
                  <c:v>-6.9658794643834874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zoomScale="85" zoomScaleNormal="85" workbookViewId="0">
      <selection activeCell="T49" sqref="T4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37" x14ac:dyDescent="0.25">
      <c r="A1" t="s">
        <v>101</v>
      </c>
    </row>
    <row r="2" spans="1:37" x14ac:dyDescent="0.25">
      <c r="A2" s="10" t="s">
        <v>78</v>
      </c>
      <c r="B2" s="2">
        <v>30</v>
      </c>
      <c r="C2" t="s">
        <v>36</v>
      </c>
      <c r="D2" t="s">
        <v>103</v>
      </c>
      <c r="H2" s="10" t="s">
        <v>188</v>
      </c>
      <c r="I2">
        <f>B2/D22</f>
        <v>0.33057851239669422</v>
      </c>
      <c r="J2" t="s">
        <v>11</v>
      </c>
      <c r="N2" t="s">
        <v>190</v>
      </c>
    </row>
    <row r="3" spans="1:37" x14ac:dyDescent="0.25">
      <c r="A3" s="10" t="s">
        <v>79</v>
      </c>
      <c r="B3" s="2">
        <v>120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-1.583333333333333</v>
      </c>
      <c r="J3" t="s">
        <v>22</v>
      </c>
      <c r="K3" t="s">
        <v>180</v>
      </c>
      <c r="L3" s="4">
        <f>B2*I3</f>
        <v>-47.499999999999993</v>
      </c>
      <c r="M3" t="str">
        <f>"+My"</f>
        <v>+My</v>
      </c>
      <c r="N3" s="4">
        <f>L3+B4</f>
        <v>-167.5</v>
      </c>
      <c r="O3" t="s">
        <v>102</v>
      </c>
    </row>
    <row r="4" spans="1:37" x14ac:dyDescent="0.25">
      <c r="A4" s="10" t="s">
        <v>80</v>
      </c>
      <c r="B4" s="2">
        <v>-120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2.583333333333333</v>
      </c>
      <c r="J4" t="s">
        <v>22</v>
      </c>
      <c r="K4" t="s">
        <v>181</v>
      </c>
      <c r="L4" s="4">
        <f>B2*I4*-1</f>
        <v>-77.499999999999986</v>
      </c>
      <c r="M4" t="str">
        <f>"+Mx"</f>
        <v>+Mx</v>
      </c>
      <c r="N4" s="4">
        <f>B3+L4</f>
        <v>42.500000000000014</v>
      </c>
      <c r="O4" t="s">
        <v>102</v>
      </c>
    </row>
    <row r="5" spans="1:37" x14ac:dyDescent="0.25">
      <c r="A5" s="10" t="s">
        <v>104</v>
      </c>
      <c r="B5" s="20">
        <f>IF(AND(B3=0,B4=0),0,ATAN2(B3,B4))</f>
        <v>-0.78539816339744828</v>
      </c>
      <c r="C5" t="s">
        <v>19</v>
      </c>
      <c r="M5" s="10" t="s">
        <v>104</v>
      </c>
      <c r="N5" s="20">
        <f>IF(AND(N4=0,N3=0),0,ATAN2(N4,N3))</f>
        <v>-1.3223089061374937</v>
      </c>
      <c r="O5" t="s">
        <v>19</v>
      </c>
      <c r="P5" t="s">
        <v>189</v>
      </c>
    </row>
    <row r="6" spans="1:37" x14ac:dyDescent="0.25">
      <c r="A6" s="10"/>
      <c r="B6" s="15"/>
    </row>
    <row r="7" spans="1:37" x14ac:dyDescent="0.25">
      <c r="A7" t="s">
        <v>20</v>
      </c>
    </row>
    <row r="8" spans="1:37" x14ac:dyDescent="0.25">
      <c r="B8" s="1" t="s">
        <v>6</v>
      </c>
      <c r="C8" s="1" t="s">
        <v>7</v>
      </c>
    </row>
    <row r="9" spans="1:37" x14ac:dyDescent="0.25">
      <c r="B9" s="2">
        <v>3</v>
      </c>
      <c r="C9" s="2">
        <v>9</v>
      </c>
      <c r="D9" t="s">
        <v>21</v>
      </c>
    </row>
    <row r="11" spans="1:37" x14ac:dyDescent="0.25">
      <c r="A11" t="s">
        <v>0</v>
      </c>
      <c r="N11" t="s">
        <v>177</v>
      </c>
      <c r="AD11" t="s">
        <v>182</v>
      </c>
    </row>
    <row r="12" spans="1:37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37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G22-(D22*F22*F22)</f>
        <v>838.80729166666652</v>
      </c>
      <c r="O13" s="19">
        <f>H22-(D22*E22*E22)</f>
        <v>838.80729166666674</v>
      </c>
      <c r="P13" s="19">
        <f>I22-(D22*E22*F22)</f>
        <v>305.02083333333303</v>
      </c>
      <c r="Q13" s="19">
        <f>N13+O13</f>
        <v>1677.6145833333333</v>
      </c>
      <c r="R13" s="19">
        <f>SQRT(ABS(N13/D22))</f>
        <v>3.0402393911591163</v>
      </c>
      <c r="S13" s="19">
        <f>SQRT(O13/D22)</f>
        <v>3.0402393911591168</v>
      </c>
      <c r="T13" s="19">
        <f>SQRT(Q13/D22)</f>
        <v>4.2995477798381438</v>
      </c>
      <c r="U13" s="19">
        <f>N13/(MAX(C13:C20)-F22)</f>
        <v>183.01249999999999</v>
      </c>
      <c r="V13" s="19">
        <f>N13/(MIN(C13:C20)-F22)</f>
        <v>-130.72321428571425</v>
      </c>
      <c r="W13" s="19">
        <f>O13/(MIN(B13:B20)-E22)</f>
        <v>-183.01250000000002</v>
      </c>
      <c r="X13" s="19">
        <f>O13/(MAX(B13:B20)-E22)</f>
        <v>130.72321428571428</v>
      </c>
    </row>
    <row r="14" spans="1:37" x14ac:dyDescent="0.25">
      <c r="A14">
        <v>2</v>
      </c>
      <c r="B14" s="7">
        <v>5.5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$N$13/(C14-$F$22)</f>
        <v>-130.72321428571425</v>
      </c>
      <c r="Z14">
        <f>$O$13/(B14-$E$22)</f>
        <v>915.06249999999977</v>
      </c>
      <c r="AA14">
        <f>-1*$B$3/Y14</f>
        <v>0.91797008401065527</v>
      </c>
      <c r="AB14">
        <f>$B$4/Z14</f>
        <v>-0.1311385834300936</v>
      </c>
      <c r="AC14">
        <f>$I$2+AG14+AK14</f>
        <v>-2.3183428142105111E-2</v>
      </c>
      <c r="AD14" s="9">
        <f>C14-$F$22</f>
        <v>-6.416666666666667</v>
      </c>
      <c r="AE14">
        <f>(AD14*$N$4*$O$13)/(($N$13*$O$13)-($P$13*$P$13))</f>
        <v>-0.37465564738292018</v>
      </c>
      <c r="AF14">
        <f>(AD14*$N$3*$P$13)/(($N$13*$O$13)-($P$13*$P$13))</f>
        <v>0.53693964437766029</v>
      </c>
      <c r="AG14">
        <f>(AE14+AF14)*-1</f>
        <v>-0.16228399699474011</v>
      </c>
      <c r="AH14" s="9">
        <f>B14-$E$22</f>
        <v>0.91666666666666696</v>
      </c>
      <c r="AI14">
        <f>(-1*AH14*$N$3*$N$13)/(($N$13*$O$13)-($P$13*$P$13))</f>
        <v>0.21094057457693818</v>
      </c>
      <c r="AJ14">
        <f>(-1*AH14*$N$4*$P$13)/(($N$13*$O$13)-($P$13*$P$13))</f>
        <v>-1.9462631032878951E-2</v>
      </c>
      <c r="AK14">
        <f>(AI14+AJ14)*-1</f>
        <v>-0.19147794354405923</v>
      </c>
    </row>
    <row r="15" spans="1:37" x14ac:dyDescent="0.25">
      <c r="A15">
        <v>3</v>
      </c>
      <c r="B15" s="7">
        <v>5.5</v>
      </c>
      <c r="C15" s="7">
        <v>5.5</v>
      </c>
      <c r="D15" s="5">
        <f t="shared" ref="D15:D18" si="0">((B14*C15)-(B15*C14))*0.5</f>
        <v>15.125</v>
      </c>
      <c r="E15" s="5">
        <f t="shared" ref="E15:E18" si="1">(B15+B14)*((B14*C15)-(B15*C14))*(1/6)</f>
        <v>55.458333333333329</v>
      </c>
      <c r="F15" s="5">
        <f t="shared" ref="F15:F18" si="2">(C15+C14)*((B14*C15)-(B15*C14))*(1/6)</f>
        <v>27.729166666666664</v>
      </c>
      <c r="G15" s="5">
        <f t="shared" ref="G15:G18" si="3">(((C14*C14)+(C14*C15)+(C15*C15))*((B14*C15)-(B15*C14)))/12</f>
        <v>76.255208333333329</v>
      </c>
      <c r="H15" s="5">
        <f t="shared" ref="H15:H18" si="4">(((B14*B14)+(B14*B15)+(B15*B15))*((B14*C15)-(B15*C14)))/12</f>
        <v>228.765625</v>
      </c>
      <c r="I15" s="5">
        <f t="shared" ref="I15:I18" si="5">(((B14*C15)+(2*B14*C14)+(2*B15*C15)+(B15*C14))*((B14*C15)-(B15*C14)))/24</f>
        <v>114.3828125</v>
      </c>
      <c r="J15" s="5">
        <f t="shared" ref="J15:J18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$N$13/(C15-$F$22)</f>
        <v>-915.06249999999955</v>
      </c>
      <c r="Z15">
        <f t="shared" ref="Z15:Z21" si="9">$O$13/(B15-$E$22)</f>
        <v>915.06249999999977</v>
      </c>
      <c r="AA15">
        <f t="shared" ref="AA15:AA21" si="10">-1*$B$3/Y15</f>
        <v>0.13113858343009363</v>
      </c>
      <c r="AB15">
        <f t="shared" ref="AB15:AB21" si="11">$B$4/Z15</f>
        <v>-0.1311385834300936</v>
      </c>
      <c r="AC15">
        <f t="shared" ref="AC15:AC21" si="12">$I$2+AG15+AK15</f>
        <v>0.11591714071052928</v>
      </c>
      <c r="AD15" s="9">
        <f t="shared" ref="AD15:AD21" si="13">C15-$F$22</f>
        <v>-0.91666666666666696</v>
      </c>
      <c r="AE15">
        <f t="shared" ref="AE15:AE21" si="14">(AD15*$N$4*$O$13)/(($N$13*$O$13)-($P$13*$P$13))</f>
        <v>-5.3522235340417175E-2</v>
      </c>
      <c r="AF15">
        <f t="shared" ref="AF15:AF21" si="15">(AD15*$N$3*$P$13)/(($N$13*$O$13)-($P$13*$P$13))</f>
        <v>7.6705663482522918E-2</v>
      </c>
      <c r="AG15">
        <f t="shared" ref="AG15:AG21" si="16">(AE15+AF15)*-1</f>
        <v>-2.3183428142105743E-2</v>
      </c>
      <c r="AH15" s="9">
        <f t="shared" ref="AH15:AH21" si="17">B15-$E$22</f>
        <v>0.91666666666666696</v>
      </c>
      <c r="AI15">
        <f t="shared" ref="AI15:AI21" si="18">(-1*AH15*$N$3*$N$13)/(($N$13*$O$13)-($P$13*$P$13))</f>
        <v>0.21094057457693818</v>
      </c>
      <c r="AJ15">
        <f t="shared" ref="AJ15:AJ21" si="19">(-1*AH15*$N$4*$P$13)/(($N$13*$O$13)-($P$13*$P$13))</f>
        <v>-1.9462631032878951E-2</v>
      </c>
      <c r="AK15">
        <f t="shared" ref="AK15:AK21" si="20">(AI15+AJ15)*-1</f>
        <v>-0.19147794354405923</v>
      </c>
    </row>
    <row r="16" spans="1:37" x14ac:dyDescent="0.25">
      <c r="A16">
        <v>4</v>
      </c>
      <c r="B16" s="7">
        <v>11</v>
      </c>
      <c r="C16" s="7"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-915.06249999999955</v>
      </c>
      <c r="Z16">
        <f t="shared" si="9"/>
        <v>130.72321428571428</v>
      </c>
      <c r="AA16">
        <f t="shared" si="10"/>
        <v>0.13113858343009363</v>
      </c>
      <c r="AB16">
        <f t="shared" si="11"/>
        <v>-0.91797008401065505</v>
      </c>
      <c r="AC16">
        <f t="shared" si="12"/>
        <v>-1.0329505205538256</v>
      </c>
      <c r="AD16" s="9">
        <f t="shared" si="13"/>
        <v>-0.91666666666666696</v>
      </c>
      <c r="AE16">
        <f t="shared" si="14"/>
        <v>-5.3522235340417175E-2</v>
      </c>
      <c r="AF16">
        <f t="shared" si="15"/>
        <v>7.6705663482522918E-2</v>
      </c>
      <c r="AG16">
        <f t="shared" si="16"/>
        <v>-2.3183428142105743E-2</v>
      </c>
      <c r="AH16" s="9">
        <f t="shared" si="17"/>
        <v>6.416666666666667</v>
      </c>
      <c r="AI16">
        <f t="shared" si="18"/>
        <v>1.4765840220385669</v>
      </c>
      <c r="AJ16">
        <f t="shared" si="19"/>
        <v>-0.13623841723015265</v>
      </c>
      <c r="AK16">
        <f t="shared" si="20"/>
        <v>-1.3403456048084141</v>
      </c>
    </row>
    <row r="17" spans="1:37" x14ac:dyDescent="0.25">
      <c r="A17">
        <v>5</v>
      </c>
      <c r="B17" s="7">
        <v>11</v>
      </c>
      <c r="C17" s="7"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183.01249999999999</v>
      </c>
      <c r="Z17">
        <f t="shared" si="9"/>
        <v>130.72321428571428</v>
      </c>
      <c r="AA17">
        <f t="shared" si="10"/>
        <v>-0.65569291715046796</v>
      </c>
      <c r="AB17">
        <f t="shared" si="11"/>
        <v>-0.91797008401065505</v>
      </c>
      <c r="AC17">
        <f t="shared" si="12"/>
        <v>-0.8938499517011913</v>
      </c>
      <c r="AD17" s="9">
        <f t="shared" si="13"/>
        <v>4.583333333333333</v>
      </c>
      <c r="AE17">
        <f t="shared" si="14"/>
        <v>0.26761117670208578</v>
      </c>
      <c r="AF17">
        <f t="shared" si="15"/>
        <v>-0.38352831741261439</v>
      </c>
      <c r="AG17">
        <f t="shared" si="16"/>
        <v>0.11591714071052861</v>
      </c>
      <c r="AH17" s="9">
        <f t="shared" si="17"/>
        <v>6.416666666666667</v>
      </c>
      <c r="AI17">
        <f t="shared" si="18"/>
        <v>1.4765840220385669</v>
      </c>
      <c r="AJ17">
        <f t="shared" si="19"/>
        <v>-0.13623841723015265</v>
      </c>
      <c r="AK17">
        <f t="shared" si="20"/>
        <v>-1.3403456048084141</v>
      </c>
    </row>
    <row r="18" spans="1:37" x14ac:dyDescent="0.25">
      <c r="A18">
        <v>6</v>
      </c>
      <c r="B18" s="7">
        <v>0</v>
      </c>
      <c r="C18" s="7"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183.01249999999999</v>
      </c>
      <c r="Z18">
        <f t="shared" si="9"/>
        <v>-183.01250000000002</v>
      </c>
      <c r="AA18">
        <f t="shared" si="10"/>
        <v>-0.65569291715046796</v>
      </c>
      <c r="AB18">
        <f t="shared" si="11"/>
        <v>0.65569291715046785</v>
      </c>
      <c r="AC18">
        <f t="shared" si="12"/>
        <v>1.4038853708275187</v>
      </c>
      <c r="AD18" s="9">
        <f t="shared" si="13"/>
        <v>4.583333333333333</v>
      </c>
      <c r="AE18">
        <f t="shared" si="14"/>
        <v>0.26761117670208578</v>
      </c>
      <c r="AF18">
        <f t="shared" si="15"/>
        <v>-0.38352831741261439</v>
      </c>
      <c r="AG18">
        <f t="shared" si="16"/>
        <v>0.11591714071052861</v>
      </c>
      <c r="AH18" s="9">
        <f t="shared" si="17"/>
        <v>-4.583333333333333</v>
      </c>
      <c r="AI18">
        <f t="shared" si="18"/>
        <v>-1.0547028728846906</v>
      </c>
      <c r="AJ18">
        <f t="shared" si="19"/>
        <v>9.7313155164394732E-2</v>
      </c>
      <c r="AK18">
        <f t="shared" si="20"/>
        <v>0.9573897177202958</v>
      </c>
    </row>
    <row r="19" spans="1:37" x14ac:dyDescent="0.25">
      <c r="A19">
        <v>7</v>
      </c>
      <c r="B19" s="7">
        <v>0</v>
      </c>
      <c r="C19" s="7">
        <v>0</v>
      </c>
      <c r="D19" s="5">
        <f t="shared" ref="D19" si="21">((B18*C19)-(B19*C18))*0.5</f>
        <v>0</v>
      </c>
      <c r="E19" s="5">
        <f t="shared" ref="E19" si="22">(B19+B18)*((B18*C19)-(B19*C18))*(1/6)</f>
        <v>0</v>
      </c>
      <c r="F19" s="5">
        <f t="shared" ref="F19" si="23">(C19+C18)*((B18*C19)-(B19*C18))*(1/6)</f>
        <v>0</v>
      </c>
      <c r="G19" s="5">
        <f t="shared" ref="G19" si="24">(((C18*C18)+(C18*C19)+(C19*C19))*((B18*C19)-(B19*C18)))/12</f>
        <v>0</v>
      </c>
      <c r="H19" s="5">
        <f t="shared" ref="H19" si="25">(((B18*B18)+(B18*B19)+(B19*B19))*((B18*C19)-(B19*C18)))/12</f>
        <v>0</v>
      </c>
      <c r="I19" s="5">
        <f t="shared" ref="I19" si="26">(((B18*C19)+(2*B18*C18)+(2*B19*C19)+(B19*C18))*((B18*C19)-(B19*C18)))/24</f>
        <v>0</v>
      </c>
      <c r="J19" s="5">
        <f t="shared" ref="J19" si="27">G19+H19</f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-130.72321428571425</v>
      </c>
      <c r="Z19">
        <f t="shared" si="9"/>
        <v>-183.01250000000002</v>
      </c>
      <c r="AA19">
        <f t="shared" si="10"/>
        <v>0.91797008401065527</v>
      </c>
      <c r="AB19">
        <f t="shared" si="11"/>
        <v>0.65569291715046785</v>
      </c>
      <c r="AC19">
        <f t="shared" si="12"/>
        <v>1.1256842331222499</v>
      </c>
      <c r="AD19" s="9">
        <f t="shared" si="13"/>
        <v>-6.416666666666667</v>
      </c>
      <c r="AE19">
        <f t="shared" si="14"/>
        <v>-0.37465564738292018</v>
      </c>
      <c r="AF19">
        <f t="shared" si="15"/>
        <v>0.53693964437766029</v>
      </c>
      <c r="AG19">
        <f t="shared" si="16"/>
        <v>-0.16228399699474011</v>
      </c>
      <c r="AH19" s="9">
        <f t="shared" si="17"/>
        <v>-4.583333333333333</v>
      </c>
      <c r="AI19">
        <f t="shared" si="18"/>
        <v>-1.0547028728846906</v>
      </c>
      <c r="AJ19">
        <f t="shared" si="19"/>
        <v>9.7313155164394732E-2</v>
      </c>
      <c r="AK19">
        <f t="shared" si="20"/>
        <v>0.9573897177202958</v>
      </c>
    </row>
    <row r="20" spans="1:37" x14ac:dyDescent="0.25">
      <c r="A20">
        <v>8</v>
      </c>
      <c r="B20" s="7">
        <v>0</v>
      </c>
      <c r="C20" s="7">
        <v>0</v>
      </c>
      <c r="D20" s="5">
        <f t="shared" ref="D20" si="28">((B19*C20)-(B20*C19))*0.5</f>
        <v>0</v>
      </c>
      <c r="E20" s="5">
        <f t="shared" ref="E20" si="29">(B20+B19)*((B19*C20)-(B20*C19))*(1/6)</f>
        <v>0</v>
      </c>
      <c r="F20" s="5">
        <f t="shared" ref="F20" si="30">(C20+C19)*((B19*C20)-(B20*C19))*(1/6)</f>
        <v>0</v>
      </c>
      <c r="G20" s="5">
        <f t="shared" ref="G20" si="31">(((C19*C19)+(C19*C20)+(C20*C20))*((B19*C20)-(B20*C19)))/12</f>
        <v>0</v>
      </c>
      <c r="H20" s="5">
        <f t="shared" ref="H20" si="32">(((B19*B19)+(B19*B20)+(B20*B20))*((B19*C20)-(B20*C19)))/12</f>
        <v>0</v>
      </c>
      <c r="I20" s="5">
        <f t="shared" ref="I20" si="33">(((B19*C20)+(2*B19*C19)+(2*B20*C20)+(B20*C19))*((B19*C20)-(B20*C19)))/24</f>
        <v>0</v>
      </c>
      <c r="J20" s="5">
        <f t="shared" ref="J20" si="34">G20+H20</f>
        <v>0</v>
      </c>
      <c r="K20">
        <f t="shared" si="7"/>
        <v>-2.1910458127777179</v>
      </c>
      <c r="Y20" s="1">
        <f t="shared" si="8"/>
        <v>-130.72321428571425</v>
      </c>
      <c r="Z20">
        <f t="shared" si="9"/>
        <v>-183.01250000000002</v>
      </c>
      <c r="AA20">
        <f t="shared" si="10"/>
        <v>0.91797008401065527</v>
      </c>
      <c r="AB20">
        <f t="shared" si="11"/>
        <v>0.65569291715046785</v>
      </c>
      <c r="AC20">
        <f t="shared" si="12"/>
        <v>1.1256842331222499</v>
      </c>
      <c r="AD20" s="9">
        <f t="shared" si="13"/>
        <v>-6.416666666666667</v>
      </c>
      <c r="AE20">
        <f t="shared" si="14"/>
        <v>-0.37465564738292018</v>
      </c>
      <c r="AF20">
        <f t="shared" si="15"/>
        <v>0.53693964437766029</v>
      </c>
      <c r="AG20">
        <f t="shared" si="16"/>
        <v>-0.16228399699474011</v>
      </c>
      <c r="AH20" s="9">
        <f t="shared" si="17"/>
        <v>-4.583333333333333</v>
      </c>
      <c r="AI20">
        <f t="shared" si="18"/>
        <v>-1.0547028728846906</v>
      </c>
      <c r="AJ20">
        <f t="shared" si="19"/>
        <v>9.7313155164394732E-2</v>
      </c>
      <c r="AK20">
        <f t="shared" si="20"/>
        <v>0.9573897177202958</v>
      </c>
    </row>
    <row r="21" spans="1:37" x14ac:dyDescent="0.25">
      <c r="A21">
        <v>9</v>
      </c>
      <c r="B21" s="4">
        <v>0</v>
      </c>
      <c r="C21" s="4">
        <v>0</v>
      </c>
      <c r="D21" s="5">
        <f t="shared" ref="D21" si="35">((B20*C21)-(B21*C20))*0.5</f>
        <v>0</v>
      </c>
      <c r="E21" s="5">
        <f t="shared" ref="E21" si="36">(B21+B20)*((B20*C21)-(B21*C20))*(1/6)</f>
        <v>0</v>
      </c>
      <c r="F21" s="5">
        <f t="shared" ref="F21" si="37">(C21+C20)*((B20*C21)-(B21*C20))*(1/6)</f>
        <v>0</v>
      </c>
      <c r="G21" s="5">
        <f t="shared" ref="G21" si="38">(((C20*C20)+(C20*C21)+(C21*C21))*((B20*C21)-(B21*C20)))/12</f>
        <v>0</v>
      </c>
      <c r="H21" s="5">
        <f t="shared" ref="H21" si="39">(((B20*B20)+(B20*B21)+(B21*B21))*((B20*C21)-(B21*C20)))/12</f>
        <v>0</v>
      </c>
      <c r="I21" s="5">
        <f t="shared" ref="I21" si="40">(((B20*C21)+(2*B20*C20)+(2*B21*C21)+(B21*C20))*((B20*C21)-(B21*C20)))/24</f>
        <v>0</v>
      </c>
      <c r="J21" s="5">
        <f t="shared" ref="J21" si="41">G21+H21</f>
        <v>0</v>
      </c>
      <c r="K21">
        <f t="shared" si="7"/>
        <v>-2.1910458127777179</v>
      </c>
      <c r="Y21" s="1">
        <f t="shared" si="8"/>
        <v>-130.72321428571425</v>
      </c>
      <c r="Z21">
        <f t="shared" si="9"/>
        <v>-183.01250000000002</v>
      </c>
      <c r="AA21">
        <f t="shared" si="10"/>
        <v>0.91797008401065527</v>
      </c>
      <c r="AB21">
        <f t="shared" si="11"/>
        <v>0.65569291715046785</v>
      </c>
      <c r="AC21">
        <f t="shared" si="12"/>
        <v>1.1256842331222499</v>
      </c>
      <c r="AD21" s="9">
        <f t="shared" si="13"/>
        <v>-6.416666666666667</v>
      </c>
      <c r="AE21">
        <f t="shared" si="14"/>
        <v>-0.37465564738292018</v>
      </c>
      <c r="AF21">
        <f t="shared" si="15"/>
        <v>0.53693964437766029</v>
      </c>
      <c r="AG21">
        <f t="shared" si="16"/>
        <v>-0.16228399699474011</v>
      </c>
      <c r="AH21" s="9">
        <f t="shared" si="17"/>
        <v>-4.583333333333333</v>
      </c>
      <c r="AI21">
        <f t="shared" si="18"/>
        <v>-1.0547028728846906</v>
      </c>
      <c r="AJ21">
        <f t="shared" si="19"/>
        <v>9.7313155164394732E-2</v>
      </c>
      <c r="AK21">
        <f t="shared" si="20"/>
        <v>0.9573897177202958</v>
      </c>
    </row>
    <row r="22" spans="1:37" x14ac:dyDescent="0.25">
      <c r="D22" s="5">
        <f>SUM(D13:D21)</f>
        <v>90.75</v>
      </c>
      <c r="E22" s="3">
        <f>SUM(E14:E21)/D22</f>
        <v>4.583333333333333</v>
      </c>
      <c r="F22" s="3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  <c r="AC22">
        <f>COUNTIF(AC14:AC21,"&gt;0")</f>
        <v>5</v>
      </c>
    </row>
    <row r="23" spans="1:37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3</v>
      </c>
    </row>
    <row r="24" spans="1:37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>A61&amp;"= 0.65*0.85*F'c*√A2/A1"&amp;CHAR(10)&amp;"= "&amp;ROUND(B61,4)&amp;" "&amp;C61&amp;CHAR(10)&amp;IF(B66&lt;=B61,"OK","NG")</f>
        <v>φfp,max= 0.65*0.85*F'c*√A2/A1
= 3.315 ksi
OK</v>
      </c>
      <c r="AC24">
        <f>COUNTIF(AC14:AC21,"=0")</f>
        <v>0</v>
      </c>
    </row>
    <row r="25" spans="1:37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37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37" x14ac:dyDescent="0.25">
      <c r="A27">
        <v>3</v>
      </c>
      <c r="B27" s="2">
        <v>0</v>
      </c>
      <c r="C27" s="2">
        <v>0</v>
      </c>
      <c r="D27" s="5">
        <f t="shared" ref="D27:D33" si="42">((B26*C27)-(B27*C26))*0.5</f>
        <v>0</v>
      </c>
      <c r="E27" s="5"/>
      <c r="F27" s="5"/>
      <c r="G27" s="5"/>
      <c r="H27" s="5"/>
      <c r="I27" s="5"/>
      <c r="J27" s="5"/>
    </row>
    <row r="28" spans="1:37" x14ac:dyDescent="0.25">
      <c r="A28">
        <v>4</v>
      </c>
      <c r="B28" s="2">
        <v>0</v>
      </c>
      <c r="C28" s="2">
        <v>0</v>
      </c>
      <c r="D28" s="5">
        <f t="shared" si="42"/>
        <v>0</v>
      </c>
      <c r="E28" s="5"/>
      <c r="F28" s="5"/>
      <c r="G28" s="5"/>
      <c r="H28" s="5"/>
      <c r="I28" s="5"/>
      <c r="J28" s="5"/>
    </row>
    <row r="29" spans="1:37" x14ac:dyDescent="0.25">
      <c r="A29">
        <v>5</v>
      </c>
      <c r="B29" s="2">
        <v>0</v>
      </c>
      <c r="C29" s="2">
        <v>0</v>
      </c>
      <c r="D29" s="5">
        <f t="shared" si="42"/>
        <v>0</v>
      </c>
      <c r="E29" s="5"/>
      <c r="F29" s="5"/>
      <c r="G29" s="5"/>
      <c r="H29" s="5"/>
      <c r="I29" s="5"/>
      <c r="J29" s="5"/>
    </row>
    <row r="30" spans="1:37" x14ac:dyDescent="0.25">
      <c r="A30">
        <v>6</v>
      </c>
      <c r="B30" s="2">
        <v>0</v>
      </c>
      <c r="C30" s="2">
        <v>0</v>
      </c>
      <c r="D30" s="5">
        <f t="shared" si="42"/>
        <v>0</v>
      </c>
      <c r="E30" s="5"/>
      <c r="F30" s="5"/>
      <c r="G30" s="5"/>
      <c r="H30" s="5"/>
      <c r="I30" s="5"/>
      <c r="J30" s="5"/>
    </row>
    <row r="31" spans="1:37" x14ac:dyDescent="0.25">
      <c r="A31">
        <v>7</v>
      </c>
      <c r="B31" s="2">
        <v>0</v>
      </c>
      <c r="C31" s="2">
        <v>0</v>
      </c>
      <c r="D31" s="5">
        <f t="shared" si="42"/>
        <v>0</v>
      </c>
      <c r="E31" s="5"/>
      <c r="F31" s="5"/>
      <c r="G31" s="5"/>
      <c r="H31" s="5"/>
      <c r="I31" s="5"/>
      <c r="J31" s="5"/>
    </row>
    <row r="32" spans="1:37" x14ac:dyDescent="0.25">
      <c r="A32">
        <v>8</v>
      </c>
      <c r="B32" s="2">
        <v>0</v>
      </c>
      <c r="C32" s="2">
        <v>0</v>
      </c>
      <c r="D32" s="5">
        <f t="shared" si="42"/>
        <v>0</v>
      </c>
      <c r="E32" s="5"/>
      <c r="F32" s="5"/>
      <c r="G32" s="5"/>
      <c r="H32" s="5"/>
      <c r="I32" s="5"/>
      <c r="J32" s="5"/>
    </row>
    <row r="33" spans="1:24" x14ac:dyDescent="0.25">
      <c r="A33">
        <v>9</v>
      </c>
      <c r="B33" s="1">
        <f>B25</f>
        <v>0</v>
      </c>
      <c r="C33" s="1">
        <f>C25</f>
        <v>0</v>
      </c>
      <c r="D33" s="5">
        <f t="shared" si="42"/>
        <v>0</v>
      </c>
      <c r="E33" s="5"/>
      <c r="F33" s="5"/>
      <c r="G33" s="5"/>
      <c r="H33" s="5"/>
      <c r="I33" s="5"/>
      <c r="J33" s="5"/>
    </row>
    <row r="34" spans="1:24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4" x14ac:dyDescent="0.25">
      <c r="A35" t="s">
        <v>4</v>
      </c>
      <c r="Q35" t="s">
        <v>25</v>
      </c>
      <c r="T35" t="s">
        <v>14</v>
      </c>
    </row>
    <row r="36" spans="1:24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</row>
    <row r="37" spans="1:24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11</v>
      </c>
      <c r="U37" s="1">
        <f>T37</f>
        <v>11</v>
      </c>
    </row>
    <row r="38" spans="1:24" x14ac:dyDescent="0.25">
      <c r="A38">
        <v>2</v>
      </c>
      <c r="B38" s="7">
        <v>4</v>
      </c>
      <c r="C38" s="7">
        <v>1.5</v>
      </c>
      <c r="D38" s="13" t="s">
        <v>2</v>
      </c>
      <c r="Q38" s="12">
        <f t="shared" ref="Q38:Q48" si="43">IF($D38="y",B38,NA())</f>
        <v>4</v>
      </c>
      <c r="R38" s="12">
        <f t="shared" ref="R38:R48" si="44">IF($D38="y",C38,NA())</f>
        <v>1.5</v>
      </c>
    </row>
    <row r="39" spans="1:24" x14ac:dyDescent="0.25">
      <c r="A39">
        <v>3</v>
      </c>
      <c r="B39" s="7">
        <v>10</v>
      </c>
      <c r="C39" s="7">
        <v>7</v>
      </c>
      <c r="D39" s="13" t="s">
        <v>2</v>
      </c>
      <c r="Q39" s="12">
        <f t="shared" si="43"/>
        <v>10</v>
      </c>
      <c r="R39" s="12">
        <f t="shared" si="44"/>
        <v>7</v>
      </c>
    </row>
    <row r="40" spans="1:24" x14ac:dyDescent="0.25">
      <c r="A40">
        <v>4</v>
      </c>
      <c r="B40" s="7">
        <v>10</v>
      </c>
      <c r="C40" s="7">
        <v>10</v>
      </c>
      <c r="D40" s="13" t="s">
        <v>2</v>
      </c>
      <c r="Q40" s="12">
        <f t="shared" si="43"/>
        <v>10</v>
      </c>
      <c r="R40" s="12">
        <f t="shared" si="44"/>
        <v>10</v>
      </c>
    </row>
    <row r="41" spans="1:24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3"/>
        <v>#N/A</v>
      </c>
      <c r="R41" s="12" t="e">
        <f t="shared" si="44"/>
        <v>#N/A</v>
      </c>
    </row>
    <row r="42" spans="1:24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3"/>
        <v>#N/A</v>
      </c>
      <c r="R42" s="12" t="e">
        <f t="shared" si="44"/>
        <v>#N/A</v>
      </c>
    </row>
    <row r="43" spans="1:24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3"/>
        <v>#N/A</v>
      </c>
      <c r="R43" s="12" t="e">
        <f t="shared" si="44"/>
        <v>#N/A</v>
      </c>
    </row>
    <row r="44" spans="1:24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3"/>
        <v>#N/A</v>
      </c>
      <c r="R44" s="12" t="e">
        <f t="shared" si="44"/>
        <v>#N/A</v>
      </c>
    </row>
    <row r="45" spans="1:24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3"/>
        <v>#N/A</v>
      </c>
      <c r="R45" s="12" t="e">
        <f t="shared" si="44"/>
        <v>#N/A</v>
      </c>
    </row>
    <row r="46" spans="1:24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3"/>
        <v>#N/A</v>
      </c>
      <c r="R46" s="12" t="e">
        <f t="shared" si="44"/>
        <v>#N/A</v>
      </c>
    </row>
    <row r="47" spans="1:24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3"/>
        <v>#N/A</v>
      </c>
      <c r="R47" s="12" t="e">
        <f t="shared" si="44"/>
        <v>#N/A</v>
      </c>
    </row>
    <row r="48" spans="1:24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3"/>
        <v>#N/A</v>
      </c>
      <c r="R48" s="12" t="e">
        <f t="shared" si="44"/>
        <v>#N/A</v>
      </c>
    </row>
    <row r="50" spans="1:25" x14ac:dyDescent="0.25">
      <c r="A50" t="s">
        <v>176</v>
      </c>
      <c r="B50" s="13" t="s">
        <v>187</v>
      </c>
      <c r="C50" t="str">
        <f>IF(B50="Density","wc^1.5 33 √F'c","57,000 √F'c")</f>
        <v>57,000 √F'c</v>
      </c>
    </row>
    <row r="51" spans="1:25" x14ac:dyDescent="0.25">
      <c r="A51" s="10" t="s">
        <v>8</v>
      </c>
      <c r="B51" s="6">
        <v>3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3122.0185777794472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165</v>
      </c>
      <c r="E55" s="1">
        <f ca="1">OFFSET(X52,MATCH(E54,X53:X73,0),1)</f>
        <v>13</v>
      </c>
      <c r="F55" s="7">
        <v>0</v>
      </c>
      <c r="G55" t="s">
        <v>175</v>
      </c>
      <c r="H55" s="48" t="s">
        <v>160</v>
      </c>
      <c r="I55" s="55">
        <f>E164</f>
        <v>-3.907985046680551E-14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9.2888620863449205</v>
      </c>
      <c r="D56" s="54" t="s">
        <v>154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161</v>
      </c>
      <c r="I56" s="56">
        <f t="shared" ref="I56:J57" si="45">E165</f>
        <v>-3.1263880373444408E-13</v>
      </c>
      <c r="J56" s="51" t="str">
        <f t="shared" si="45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5"/>
        <v>0</v>
      </c>
      <c r="J57" s="53" t="str">
        <f t="shared" si="45"/>
        <v>kip-in</v>
      </c>
      <c r="L57" s="1">
        <f>SQRT(POWER(I57,2)+POWER(I56,2)+POWER(I55,2))</f>
        <v>3.150718272283514E-13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0.24850488763747386</v>
      </c>
      <c r="F59" t="s">
        <v>67</v>
      </c>
      <c r="H59" s="10" t="s">
        <v>169</v>
      </c>
      <c r="I59" s="2">
        <v>100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2</v>
      </c>
      <c r="H60" s="10" t="s">
        <v>170</v>
      </c>
      <c r="I60" s="1">
        <v>9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3.3149999999999999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  <c r="J64" s="3">
        <f>N5-PI()</f>
        <v>-4.4639015597272866</v>
      </c>
      <c r="Q64" s="8">
        <f>IF(AND(B3=0,B4=0),0,J64)</f>
        <v>-4.4639015597272866</v>
      </c>
      <c r="X64">
        <v>1.75</v>
      </c>
      <c r="Y64">
        <v>5</v>
      </c>
    </row>
    <row r="65" spans="1:25" x14ac:dyDescent="0.25">
      <c r="A65" s="1" t="s">
        <v>40</v>
      </c>
      <c r="B65" s="24">
        <v>3.9696196087411275</v>
      </c>
      <c r="C65" t="s">
        <v>22</v>
      </c>
      <c r="D65" t="s">
        <v>29</v>
      </c>
      <c r="J65" s="1">
        <f>MAX(C13:C21)*0.5</f>
        <v>5.5</v>
      </c>
      <c r="Q65">
        <f>MAX(C84:C92)-MIN(C84:C92)</f>
        <v>11.164179152540697</v>
      </c>
      <c r="X65">
        <v>2</v>
      </c>
      <c r="Y65">
        <v>4.5</v>
      </c>
    </row>
    <row r="66" spans="1:25" x14ac:dyDescent="0.25">
      <c r="A66" s="11" t="s">
        <v>42</v>
      </c>
      <c r="B66" s="24">
        <v>1.9064021371029234</v>
      </c>
      <c r="C66" t="s">
        <v>11</v>
      </c>
      <c r="D66">
        <f>B66/B53</f>
        <v>6.1063125974697506E-4</v>
      </c>
      <c r="I66" s="20"/>
      <c r="J66" s="1">
        <f>B61*0.5</f>
        <v>1.6575</v>
      </c>
      <c r="Q66">
        <f>MAX(AC14:AC21)</f>
        <v>1.4038853708275187</v>
      </c>
      <c r="X66">
        <v>2.25</v>
      </c>
      <c r="Y66">
        <v>4.5</v>
      </c>
    </row>
    <row r="67" spans="1:25" x14ac:dyDescent="0.25">
      <c r="A67" s="1" t="s">
        <v>37</v>
      </c>
      <c r="B67" s="24">
        <v>3.8922411984466811</v>
      </c>
      <c r="C67" t="s">
        <v>36</v>
      </c>
      <c r="D67" t="s">
        <v>122</v>
      </c>
      <c r="G67" s="20">
        <f ca="1">($B$56*$B$66*$B$55*$E$122)/$B$65</f>
        <v>3.8922411987132497</v>
      </c>
      <c r="H67" t="s">
        <v>36</v>
      </c>
      <c r="I67">
        <f ca="1">IF(B67=0,0,1-G67/B67)</f>
        <v>-6.8487215898471732E-11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6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6"/>
        <v>1</v>
      </c>
      <c r="B73" s="4">
        <f t="shared" ref="B73:B81" si="47">B13-$B$9</f>
        <v>-3</v>
      </c>
      <c r="C73" s="4">
        <f t="shared" ref="C73:C81" si="48">C13-$C$9</f>
        <v>-9</v>
      </c>
      <c r="E73" s="1">
        <v>0</v>
      </c>
      <c r="F73" s="1">
        <v>0</v>
      </c>
      <c r="H73" s="1">
        <f t="shared" ref="H73:H81" si="49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-10.088129004819162</v>
      </c>
      <c r="R73">
        <f>Q73</f>
        <v>-10.088129004819162</v>
      </c>
      <c r="X73">
        <v>4</v>
      </c>
      <c r="Y73">
        <v>4</v>
      </c>
    </row>
    <row r="74" spans="1:25" x14ac:dyDescent="0.25">
      <c r="A74" s="1">
        <f t="shared" si="46"/>
        <v>2</v>
      </c>
      <c r="B74" s="4">
        <f t="shared" si="47"/>
        <v>2.5</v>
      </c>
      <c r="C74" s="4">
        <f t="shared" si="48"/>
        <v>-9</v>
      </c>
      <c r="H74" s="1">
        <f t="shared" si="49"/>
        <v>2</v>
      </c>
      <c r="I74" s="4">
        <f t="shared" ref="I74:I81" si="50">B26-$B$9</f>
        <v>-3</v>
      </c>
      <c r="J74" s="4">
        <f t="shared" ref="J74:J81" si="51">C26-$C$9</f>
        <v>-9</v>
      </c>
      <c r="Q74">
        <f>-1*Q73</f>
        <v>10.088129004819162</v>
      </c>
      <c r="R74">
        <f>Q74</f>
        <v>10.088129004819162</v>
      </c>
    </row>
    <row r="75" spans="1:25" x14ac:dyDescent="0.25">
      <c r="A75" s="1">
        <f t="shared" si="46"/>
        <v>3</v>
      </c>
      <c r="B75" s="4">
        <f t="shared" si="47"/>
        <v>2.5</v>
      </c>
      <c r="C75" s="4">
        <f t="shared" si="48"/>
        <v>-3.5</v>
      </c>
      <c r="H75" s="1">
        <f t="shared" si="49"/>
        <v>3</v>
      </c>
      <c r="I75" s="4">
        <f t="shared" si="50"/>
        <v>-3</v>
      </c>
      <c r="J75" s="4">
        <f t="shared" si="51"/>
        <v>-9</v>
      </c>
    </row>
    <row r="76" spans="1:25" x14ac:dyDescent="0.25">
      <c r="A76" s="1">
        <f t="shared" si="46"/>
        <v>4</v>
      </c>
      <c r="B76" s="4">
        <f t="shared" si="47"/>
        <v>8</v>
      </c>
      <c r="C76" s="4">
        <f t="shared" si="48"/>
        <v>-3.5</v>
      </c>
      <c r="H76" s="1">
        <f t="shared" si="49"/>
        <v>4</v>
      </c>
      <c r="I76" s="4">
        <f t="shared" si="50"/>
        <v>-3</v>
      </c>
      <c r="J76" s="4">
        <f t="shared" si="51"/>
        <v>-9</v>
      </c>
    </row>
    <row r="77" spans="1:25" x14ac:dyDescent="0.25">
      <c r="A77" s="1">
        <f t="shared" si="46"/>
        <v>5</v>
      </c>
      <c r="B77" s="4">
        <f t="shared" si="47"/>
        <v>8</v>
      </c>
      <c r="C77" s="4">
        <f t="shared" si="48"/>
        <v>2</v>
      </c>
      <c r="H77" s="1">
        <f t="shared" si="49"/>
        <v>5</v>
      </c>
      <c r="I77" s="4">
        <f t="shared" si="50"/>
        <v>-3</v>
      </c>
      <c r="J77" s="4">
        <f t="shared" si="51"/>
        <v>-9</v>
      </c>
      <c r="Q77" t="s">
        <v>148</v>
      </c>
    </row>
    <row r="78" spans="1:25" x14ac:dyDescent="0.25">
      <c r="A78" s="1">
        <f t="shared" si="46"/>
        <v>6</v>
      </c>
      <c r="B78" s="4">
        <f t="shared" si="47"/>
        <v>-3</v>
      </c>
      <c r="C78" s="4">
        <f t="shared" si="48"/>
        <v>2</v>
      </c>
      <c r="H78" s="1">
        <f t="shared" si="49"/>
        <v>6</v>
      </c>
      <c r="I78" s="4">
        <f t="shared" si="50"/>
        <v>-3</v>
      </c>
      <c r="J78" s="4">
        <f t="shared" si="51"/>
        <v>-9</v>
      </c>
      <c r="Q78" t="s">
        <v>27</v>
      </c>
      <c r="R78" t="s">
        <v>28</v>
      </c>
    </row>
    <row r="79" spans="1:25" x14ac:dyDescent="0.25">
      <c r="A79" s="1">
        <f t="shared" si="46"/>
        <v>7</v>
      </c>
      <c r="B79" s="4">
        <f t="shared" si="47"/>
        <v>-3</v>
      </c>
      <c r="C79" s="4">
        <f t="shared" si="48"/>
        <v>-9</v>
      </c>
      <c r="H79" s="1">
        <f t="shared" si="49"/>
        <v>7</v>
      </c>
      <c r="I79" s="4">
        <f t="shared" si="50"/>
        <v>-3</v>
      </c>
      <c r="J79" s="4">
        <f t="shared" si="51"/>
        <v>-9</v>
      </c>
      <c r="Q79">
        <f>(F126*COS(-1*$B$64))+(G126*SIN(-1*$B$64))</f>
        <v>0.59830193123072584</v>
      </c>
      <c r="R79">
        <f>(-1*F126*SIN(-1*$B$64))+(G126*COS(-1*$B$64))</f>
        <v>-10.111353491081767</v>
      </c>
    </row>
    <row r="80" spans="1:25" x14ac:dyDescent="0.25">
      <c r="A80" s="1">
        <f t="shared" si="46"/>
        <v>8</v>
      </c>
      <c r="B80" s="4">
        <f t="shared" si="47"/>
        <v>-3</v>
      </c>
      <c r="C80" s="4">
        <f t="shared" si="48"/>
        <v>-9</v>
      </c>
      <c r="H80" s="1">
        <f t="shared" si="49"/>
        <v>8</v>
      </c>
      <c r="I80" s="4">
        <f t="shared" si="50"/>
        <v>-3</v>
      </c>
      <c r="J80" s="4">
        <f t="shared" si="51"/>
        <v>-9</v>
      </c>
      <c r="Q80">
        <f>(F127*COS(-1*$B$64))+(G127*SIN(-1*$B$64))</f>
        <v>1.0089707023509815</v>
      </c>
      <c r="R80">
        <f>(-1*F127*SIN(-1*$B$64))+(G127*COS(-1*$B$64))</f>
        <v>3.2158977182765449</v>
      </c>
    </row>
    <row r="81" spans="1:18" x14ac:dyDescent="0.25">
      <c r="A81" s="1">
        <f t="shared" si="46"/>
        <v>9</v>
      </c>
      <c r="B81" s="4">
        <f t="shared" si="47"/>
        <v>-3</v>
      </c>
      <c r="C81" s="4">
        <f t="shared" si="48"/>
        <v>-9</v>
      </c>
      <c r="H81" s="1">
        <f t="shared" si="49"/>
        <v>9</v>
      </c>
      <c r="I81" s="4">
        <f t="shared" si="50"/>
        <v>-3</v>
      </c>
      <c r="J81" s="4">
        <f t="shared" si="51"/>
        <v>-9</v>
      </c>
    </row>
    <row r="82" spans="1:18" x14ac:dyDescent="0.25">
      <c r="A82" t="s">
        <v>30</v>
      </c>
      <c r="B82" s="9"/>
      <c r="H82" t="s">
        <v>139</v>
      </c>
      <c r="Q82" s="4">
        <f>Q79+$B$9</f>
        <v>3.5983019312307256</v>
      </c>
      <c r="R82" s="4">
        <f>R79+$C$9</f>
        <v>-1.1113534910817666</v>
      </c>
    </row>
    <row r="83" spans="1:18" x14ac:dyDescent="0.25">
      <c r="A83" s="1" t="str">
        <f t="shared" ref="A83:A92" si="52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>
        <f>Q80+$B$9</f>
        <v>4.0089707023509815</v>
      </c>
      <c r="R83" s="4">
        <f>R80+$C$9</f>
        <v>12.215897718276544</v>
      </c>
    </row>
    <row r="84" spans="1:18" x14ac:dyDescent="0.25">
      <c r="A84" s="1">
        <f t="shared" si="52"/>
        <v>1</v>
      </c>
      <c r="B84" s="4">
        <f t="shared" ref="B84:B92" si="53">(B73*COS($B$64))+(C73*SIN($B$64))</f>
        <v>-9.0881290048191623</v>
      </c>
      <c r="C84" s="1">
        <f t="shared" ref="C84:C92" si="54">(-1*B73*SIN($B$64))+(C73*COS($B$64))</f>
        <v>2.7213803835121406</v>
      </c>
      <c r="H84" s="1">
        <f t="shared" ref="H84:H92" si="55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8" x14ac:dyDescent="0.25">
      <c r="A85" s="1">
        <f t="shared" si="52"/>
        <v>2</v>
      </c>
      <c r="B85" s="4">
        <f t="shared" si="53"/>
        <v>-8.9187312315339931</v>
      </c>
      <c r="C85" s="1">
        <f t="shared" si="54"/>
        <v>-2.7760103061156238</v>
      </c>
      <c r="H85" s="1">
        <f t="shared" si="55"/>
        <v>2</v>
      </c>
      <c r="I85" s="4">
        <f t="shared" ref="I85:I92" si="56">(I74*COS($B$64))+(J74*SIN($B$64))</f>
        <v>-9.0881290048191623</v>
      </c>
      <c r="J85" s="1">
        <f t="shared" ref="J85:J92" si="57">(-1*I74*SIN($B$64))+(J74*COS($B$64))</f>
        <v>2.7213803835121406</v>
      </c>
      <c r="Q85" t="s">
        <v>149</v>
      </c>
    </row>
    <row r="86" spans="1:18" x14ac:dyDescent="0.25">
      <c r="A86" s="1">
        <f t="shared" si="52"/>
        <v>3</v>
      </c>
      <c r="B86" s="4">
        <f t="shared" si="53"/>
        <v>-3.4213405419062277</v>
      </c>
      <c r="C86" s="1">
        <f t="shared" si="54"/>
        <v>-2.606612532830455</v>
      </c>
      <c r="H86" s="1">
        <f t="shared" si="55"/>
        <v>3</v>
      </c>
      <c r="I86" s="4">
        <f t="shared" si="56"/>
        <v>-9.0881290048191623</v>
      </c>
      <c r="J86" s="1">
        <f t="shared" si="57"/>
        <v>2.7213803835121406</v>
      </c>
      <c r="Q86" t="s">
        <v>27</v>
      </c>
      <c r="R86" t="s">
        <v>28</v>
      </c>
    </row>
    <row r="87" spans="1:18" x14ac:dyDescent="0.25">
      <c r="A87" s="1">
        <f t="shared" si="52"/>
        <v>4</v>
      </c>
      <c r="B87" s="4">
        <f t="shared" si="53"/>
        <v>-3.2519427686210594</v>
      </c>
      <c r="C87" s="1">
        <f t="shared" si="54"/>
        <v>-8.1040032224582195</v>
      </c>
      <c r="H87" s="1">
        <f t="shared" si="55"/>
        <v>4</v>
      </c>
      <c r="I87" s="4">
        <f t="shared" si="56"/>
        <v>-9.0881290048191623</v>
      </c>
      <c r="J87" s="1">
        <f t="shared" si="57"/>
        <v>2.7213803835121406</v>
      </c>
      <c r="Q87">
        <f>(P142*COS(-1*$B$64))+(P143*SIN(-1*$B$64))</f>
        <v>-1.7309804428689997</v>
      </c>
      <c r="R87">
        <f>(-1*P142*SIN(-1*$B$64))+(P143*COS(-1*$B$64))</f>
        <v>-3.3366637327151758</v>
      </c>
    </row>
    <row r="88" spans="1:18" x14ac:dyDescent="0.25">
      <c r="A88" s="1">
        <f t="shared" si="52"/>
        <v>5</v>
      </c>
      <c r="B88" s="4">
        <f t="shared" si="53"/>
        <v>2.2454479210067051</v>
      </c>
      <c r="C88" s="1">
        <f t="shared" si="54"/>
        <v>-7.9346054491730511</v>
      </c>
      <c r="H88" s="1">
        <f t="shared" si="55"/>
        <v>5</v>
      </c>
      <c r="I88" s="4">
        <f t="shared" si="56"/>
        <v>-9.0881290048191623</v>
      </c>
      <c r="J88" s="1">
        <f t="shared" si="57"/>
        <v>2.7213803835121406</v>
      </c>
    </row>
    <row r="89" spans="1:18" x14ac:dyDescent="0.25">
      <c r="A89" s="1">
        <f t="shared" si="52"/>
        <v>6</v>
      </c>
      <c r="B89" s="4">
        <f t="shared" si="53"/>
        <v>1.9066523744363679</v>
      </c>
      <c r="C89" s="1">
        <f t="shared" si="54"/>
        <v>3.0601759300824782</v>
      </c>
      <c r="H89" s="1">
        <f t="shared" si="55"/>
        <v>6</v>
      </c>
      <c r="I89" s="4">
        <f t="shared" si="56"/>
        <v>-9.0881290048191623</v>
      </c>
      <c r="J89" s="1">
        <f t="shared" si="57"/>
        <v>2.7213803835121406</v>
      </c>
    </row>
    <row r="90" spans="1:18" x14ac:dyDescent="0.25">
      <c r="A90" s="1">
        <f t="shared" si="52"/>
        <v>7</v>
      </c>
      <c r="B90" s="4">
        <f t="shared" si="53"/>
        <v>-9.0881290048191623</v>
      </c>
      <c r="C90" s="1">
        <f t="shared" si="54"/>
        <v>2.7213803835121406</v>
      </c>
      <c r="H90" s="1">
        <f t="shared" si="55"/>
        <v>7</v>
      </c>
      <c r="I90" s="4">
        <f t="shared" si="56"/>
        <v>-9.0881290048191623</v>
      </c>
      <c r="J90" s="1">
        <f t="shared" si="57"/>
        <v>2.7213803835121406</v>
      </c>
      <c r="Q90" s="4">
        <f>Q87+$B$9</f>
        <v>1.2690195571310003</v>
      </c>
      <c r="R90" s="4">
        <f>R87+$C$9</f>
        <v>5.6633362672848246</v>
      </c>
    </row>
    <row r="91" spans="1:18" x14ac:dyDescent="0.25">
      <c r="A91" s="1">
        <f t="shared" si="52"/>
        <v>8</v>
      </c>
      <c r="B91" s="4">
        <f t="shared" si="53"/>
        <v>-9.0881290048191623</v>
      </c>
      <c r="C91" s="1">
        <f t="shared" si="54"/>
        <v>2.7213803835121406</v>
      </c>
      <c r="H91" s="1">
        <f t="shared" si="55"/>
        <v>8</v>
      </c>
      <c r="I91" s="4">
        <f t="shared" si="56"/>
        <v>-9.0881290048191623</v>
      </c>
      <c r="J91" s="1">
        <f t="shared" si="57"/>
        <v>2.7213803835121406</v>
      </c>
    </row>
    <row r="92" spans="1:18" x14ac:dyDescent="0.25">
      <c r="A92" s="1">
        <f t="shared" si="52"/>
        <v>9</v>
      </c>
      <c r="B92" s="4">
        <f t="shared" si="53"/>
        <v>-9.0881290048191623</v>
      </c>
      <c r="C92" s="1">
        <f t="shared" si="54"/>
        <v>2.7213803835121406</v>
      </c>
      <c r="H92" s="1">
        <f t="shared" si="55"/>
        <v>9</v>
      </c>
      <c r="I92" s="4">
        <f t="shared" si="56"/>
        <v>-9.0881290048191623</v>
      </c>
      <c r="J92" s="1">
        <f t="shared" si="57"/>
        <v>2.7213803835121406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58">A37</f>
        <v>1</v>
      </c>
      <c r="B95" s="4">
        <f t="shared" ref="B95:B106" si="59">B37-$B$9</f>
        <v>-1.5</v>
      </c>
      <c r="C95" s="4">
        <f t="shared" ref="C95:C106" si="60">C37-$C$9</f>
        <v>-7.5</v>
      </c>
      <c r="D95" t="str">
        <f t="shared" ref="D95:D106" si="61">D37</f>
        <v>y</v>
      </c>
    </row>
    <row r="96" spans="1:18" x14ac:dyDescent="0.25">
      <c r="A96">
        <f t="shared" si="58"/>
        <v>2</v>
      </c>
      <c r="B96" s="4">
        <f t="shared" si="59"/>
        <v>1</v>
      </c>
      <c r="C96" s="4">
        <f t="shared" si="60"/>
        <v>-7.5</v>
      </c>
      <c r="D96" t="str">
        <f t="shared" si="61"/>
        <v>y</v>
      </c>
    </row>
    <row r="97" spans="1:28" x14ac:dyDescent="0.25">
      <c r="A97">
        <f t="shared" si="58"/>
        <v>3</v>
      </c>
      <c r="B97" s="4">
        <f t="shared" si="59"/>
        <v>7</v>
      </c>
      <c r="C97" s="4">
        <f t="shared" si="60"/>
        <v>-2</v>
      </c>
      <c r="D97" t="str">
        <f t="shared" si="61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58"/>
        <v>4</v>
      </c>
      <c r="B98" s="4">
        <f t="shared" si="59"/>
        <v>7</v>
      </c>
      <c r="C98" s="4">
        <f t="shared" si="60"/>
        <v>1</v>
      </c>
      <c r="D98" t="str">
        <f t="shared" si="61"/>
        <v>y</v>
      </c>
    </row>
    <row r="99" spans="1:28" x14ac:dyDescent="0.25">
      <c r="A99">
        <f t="shared" si="58"/>
        <v>5</v>
      </c>
      <c r="B99" s="4">
        <f t="shared" si="59"/>
        <v>-3</v>
      </c>
      <c r="C99" s="4">
        <f t="shared" si="60"/>
        <v>-9</v>
      </c>
      <c r="D99" t="str">
        <f t="shared" si="61"/>
        <v>n</v>
      </c>
    </row>
    <row r="100" spans="1:28" x14ac:dyDescent="0.25">
      <c r="A100">
        <f t="shared" si="58"/>
        <v>6</v>
      </c>
      <c r="B100" s="4">
        <f t="shared" si="59"/>
        <v>-3</v>
      </c>
      <c r="C100" s="4">
        <f t="shared" si="60"/>
        <v>-9</v>
      </c>
      <c r="D100" t="str">
        <f t="shared" si="61"/>
        <v>n</v>
      </c>
    </row>
    <row r="101" spans="1:28" x14ac:dyDescent="0.25">
      <c r="A101">
        <f t="shared" si="58"/>
        <v>7</v>
      </c>
      <c r="B101" s="4">
        <f t="shared" si="59"/>
        <v>-3</v>
      </c>
      <c r="C101" s="4">
        <f t="shared" si="60"/>
        <v>-9</v>
      </c>
      <c r="D101" t="str">
        <f t="shared" si="61"/>
        <v>n</v>
      </c>
    </row>
    <row r="102" spans="1:28" x14ac:dyDescent="0.25">
      <c r="A102">
        <f t="shared" si="58"/>
        <v>8</v>
      </c>
      <c r="B102" s="4">
        <f t="shared" si="59"/>
        <v>-3</v>
      </c>
      <c r="C102" s="4">
        <f t="shared" si="60"/>
        <v>-9</v>
      </c>
      <c r="D102" t="str">
        <f t="shared" si="61"/>
        <v>n</v>
      </c>
    </row>
    <row r="103" spans="1:28" x14ac:dyDescent="0.25">
      <c r="A103">
        <f t="shared" si="58"/>
        <v>9</v>
      </c>
      <c r="B103" s="4">
        <f t="shared" si="59"/>
        <v>-3</v>
      </c>
      <c r="C103" s="4">
        <f t="shared" si="60"/>
        <v>-9</v>
      </c>
      <c r="D103" t="str">
        <f t="shared" si="61"/>
        <v>n</v>
      </c>
    </row>
    <row r="104" spans="1:28" x14ac:dyDescent="0.25">
      <c r="A104">
        <f t="shared" si="58"/>
        <v>10</v>
      </c>
      <c r="B104" s="4">
        <f t="shared" si="59"/>
        <v>-3</v>
      </c>
      <c r="C104" s="4">
        <f t="shared" si="60"/>
        <v>-9</v>
      </c>
      <c r="D104" t="str">
        <f t="shared" si="61"/>
        <v>n</v>
      </c>
    </row>
    <row r="105" spans="1:28" x14ac:dyDescent="0.25">
      <c r="A105">
        <f t="shared" si="58"/>
        <v>11</v>
      </c>
      <c r="B105" s="4">
        <f t="shared" si="59"/>
        <v>-3</v>
      </c>
      <c r="C105" s="4">
        <f t="shared" si="60"/>
        <v>-9</v>
      </c>
      <c r="D105" t="str">
        <f t="shared" si="61"/>
        <v>n</v>
      </c>
    </row>
    <row r="106" spans="1:28" x14ac:dyDescent="0.25">
      <c r="A106">
        <f t="shared" si="58"/>
        <v>12</v>
      </c>
      <c r="B106" s="4">
        <f t="shared" si="59"/>
        <v>-3</v>
      </c>
      <c r="C106" s="4">
        <f t="shared" si="60"/>
        <v>-9</v>
      </c>
      <c r="D106" t="str">
        <f t="shared" si="61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62">D95</f>
        <v>y</v>
      </c>
      <c r="E110" s="4">
        <f t="shared" ref="E110:E121" si="63">IF($D110="y",$B$125-C110,0)</f>
        <v>-2.1777350849864456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64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65">IFERROR(($D$66/$B$65)*(G110-$B$125),0)</f>
        <v>3.3499258100505304E-4</v>
      </c>
      <c r="N110">
        <f t="shared" ref="N110:N121" si="66">IF(AND(M110&gt;0,D110="y",$E$60="y"),$B$53*M110*$E$59,0)</f>
        <v>0.25989959748765601</v>
      </c>
      <c r="O110">
        <f>N110*C110</f>
        <v>0.32962842600164749</v>
      </c>
      <c r="P110">
        <f>N110*B110*-1</f>
        <v>1.9603294228432744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67">IF(AND($E$60="n",M110&gt;0,D110="y"),M110*$B$53*$E$59,0)</f>
        <v>0</v>
      </c>
      <c r="AB110" t="str">
        <f t="shared" ref="AB110:AB121" si="68">IF(H110&lt;&gt;0,CHAR(10)&amp;CHAR(10)&amp;ROUND(ABS(H110),4)&amp;" kips",IF(AND($E$60="n",D110="y"),CHAR(10)&amp;CHAR(10)&amp;ROUND(ABS(Y110),4)&amp;" kips",""))</f>
        <v/>
      </c>
    </row>
    <row r="111" spans="1:28" x14ac:dyDescent="0.25">
      <c r="A111">
        <f t="shared" ref="A111:D111" si="69">A96</f>
        <v>2</v>
      </c>
      <c r="B111" s="1">
        <f t="shared" ref="B111:B121" si="70">(B96*COS($B$64))+(C96*SIN($B$64))</f>
        <v>-7.4656422543496479</v>
      </c>
      <c r="C111" s="1">
        <f t="shared" ref="C111:C121" si="71">(-1*B96*SIN($B$64))+(C96*COS($B$64))</f>
        <v>-1.2305225435030054</v>
      </c>
      <c r="D111" t="str">
        <f t="shared" si="69"/>
        <v>y</v>
      </c>
      <c r="E111" s="4">
        <f t="shared" si="63"/>
        <v>0.3210788648443561</v>
      </c>
      <c r="F111" s="1">
        <f t="shared" ref="F111:F121" si="72">IF($D111="y",B111,NA())</f>
        <v>-7.4656422543496479</v>
      </c>
      <c r="G111" s="1">
        <f t="shared" ref="G111:G121" si="73">IF($D111="y",C111,NA())</f>
        <v>-1.2305225435030054</v>
      </c>
      <c r="H111">
        <f t="shared" si="64"/>
        <v>-0.20324443132047593</v>
      </c>
      <c r="I111">
        <f t="shared" ref="I111:I121" si="74">H111*C111</f>
        <v>0.25009685458129394</v>
      </c>
      <c r="J111">
        <f t="shared" ref="J111:J121" si="75">H111*B111*-1</f>
        <v>-1.51735021442741</v>
      </c>
      <c r="K111">
        <f ca="1">H111/$B$55</f>
        <v>-1.4323193453885634</v>
      </c>
      <c r="L111">
        <f t="shared" ref="L111:L121" ca="1" si="76">K111/$B$54</f>
        <v>-4.9390322254778051E-5</v>
      </c>
      <c r="M111">
        <f t="shared" si="65"/>
        <v>-4.9390322258160654E-5</v>
      </c>
      <c r="N111">
        <f t="shared" si="66"/>
        <v>0</v>
      </c>
      <c r="O111">
        <f t="shared" ref="O111:O121" si="77">N111*C111</f>
        <v>0</v>
      </c>
      <c r="P111">
        <f t="shared" ref="P111:P121" si="78">N111*B111*-1</f>
        <v>0</v>
      </c>
      <c r="Q111">
        <f t="shared" ref="Q111:Q121" si="79">IF($H111&lt;0,F111,NA())</f>
        <v>-7.4656422543496479</v>
      </c>
      <c r="R111">
        <f t="shared" ref="R111:R121" si="80">IF($H111&lt;0,G111,NA())</f>
        <v>-1.2305225435030054</v>
      </c>
      <c r="T111">
        <f t="shared" ref="T111:T121" si="81">(Q111*COS(-1*$B$64))+(R111*SIN(-1*$B$64))</f>
        <v>1</v>
      </c>
      <c r="U111">
        <f t="shared" ref="U111:U121" si="82">(-1*Q111*SIN(-1*$B$64))+(R111*COS(-1*$B$64))</f>
        <v>-7.5</v>
      </c>
      <c r="W111" s="4">
        <f t="shared" ref="W111:W121" si="83">T111+$B$9</f>
        <v>4</v>
      </c>
      <c r="X111" s="4">
        <f t="shared" ref="X111:X121" si="84">U111+$C$9</f>
        <v>1.5</v>
      </c>
      <c r="Y111">
        <f t="shared" si="67"/>
        <v>0</v>
      </c>
      <c r="AB111" t="str">
        <f t="shared" si="68"/>
        <v xml:space="preserve">
0.2032 kips</v>
      </c>
    </row>
    <row r="112" spans="1:28" x14ac:dyDescent="0.25">
      <c r="A112">
        <f t="shared" ref="A112:D112" si="85">A97</f>
        <v>3</v>
      </c>
      <c r="B112" s="1">
        <f t="shared" si="70"/>
        <v>-1.783453993865336</v>
      </c>
      <c r="C112" s="1">
        <f t="shared" si="71"/>
        <v>-7.0582782498117611</v>
      </c>
      <c r="D112" t="str">
        <f t="shared" si="85"/>
        <v>y</v>
      </c>
      <c r="E112" s="4">
        <f t="shared" si="63"/>
        <v>6.1488345711531114</v>
      </c>
      <c r="F112" s="1">
        <f t="shared" si="72"/>
        <v>-1.783453993865336</v>
      </c>
      <c r="G112" s="1">
        <f t="shared" si="73"/>
        <v>-7.0582782498117611</v>
      </c>
      <c r="H112">
        <f t="shared" si="64"/>
        <v>-3.8922411984466811</v>
      </c>
      <c r="I112">
        <f t="shared" si="74"/>
        <v>27.472521394017473</v>
      </c>
      <c r="J112">
        <f t="shared" si="75"/>
        <v>-6.9416331104569355</v>
      </c>
      <c r="K112">
        <f t="shared" ref="K112:K121" ca="1" si="86">H112/$B$55</f>
        <v>-27.429693051038591</v>
      </c>
      <c r="L112">
        <f t="shared" ca="1" si="76"/>
        <v>-9.4585148451857212E-4</v>
      </c>
      <c r="M112">
        <f t="shared" si="65"/>
        <v>-9.4585148458335071E-4</v>
      </c>
      <c r="N112">
        <f t="shared" si="66"/>
        <v>0</v>
      </c>
      <c r="O112">
        <f t="shared" si="77"/>
        <v>0</v>
      </c>
      <c r="P112">
        <f t="shared" si="78"/>
        <v>0</v>
      </c>
      <c r="Q112">
        <f t="shared" si="79"/>
        <v>-1.783453993865336</v>
      </c>
      <c r="R112">
        <f t="shared" si="80"/>
        <v>-7.0582782498117611</v>
      </c>
      <c r="T112">
        <f t="shared" si="81"/>
        <v>7</v>
      </c>
      <c r="U112">
        <f t="shared" si="82"/>
        <v>-2</v>
      </c>
      <c r="W112" s="4">
        <f t="shared" si="83"/>
        <v>10</v>
      </c>
      <c r="X112" s="4">
        <f t="shared" si="84"/>
        <v>7</v>
      </c>
      <c r="Y112">
        <f t="shared" si="67"/>
        <v>0</v>
      </c>
      <c r="AB112" t="str">
        <f t="shared" si="68"/>
        <v xml:space="preserve">
3.8922 kips</v>
      </c>
    </row>
    <row r="113" spans="1:28" x14ac:dyDescent="0.25">
      <c r="A113">
        <f t="shared" ref="A113:D113" si="87">A98</f>
        <v>4</v>
      </c>
      <c r="B113" s="1">
        <f t="shared" si="70"/>
        <v>1.2151227459316265</v>
      </c>
      <c r="C113" s="1">
        <f t="shared" si="71"/>
        <v>-6.9658794643834874</v>
      </c>
      <c r="D113" t="str">
        <f t="shared" si="87"/>
        <v>y</v>
      </c>
      <c r="E113" s="4">
        <f t="shared" si="63"/>
        <v>6.0564357857248385</v>
      </c>
      <c r="F113" s="1">
        <f t="shared" si="72"/>
        <v>1.2151227459316265</v>
      </c>
      <c r="G113" s="1">
        <f t="shared" si="73"/>
        <v>-6.9658794643834874</v>
      </c>
      <c r="H113">
        <f t="shared" si="64"/>
        <v>-3.8337523327651128</v>
      </c>
      <c r="I113">
        <f t="shared" si="74"/>
        <v>26.705456646340789</v>
      </c>
      <c r="J113">
        <f t="shared" si="75"/>
        <v>4.6584796618113229</v>
      </c>
      <c r="K113">
        <f t="shared" ca="1" si="86"/>
        <v>-27.017505945781828</v>
      </c>
      <c r="L113">
        <f t="shared" ca="1" si="76"/>
        <v>-9.3163813606144232E-4</v>
      </c>
      <c r="M113">
        <f t="shared" si="65"/>
        <v>-9.3163813612524762E-4</v>
      </c>
      <c r="N113">
        <f t="shared" si="66"/>
        <v>0</v>
      </c>
      <c r="O113">
        <f t="shared" si="77"/>
        <v>0</v>
      </c>
      <c r="P113">
        <f t="shared" si="78"/>
        <v>0</v>
      </c>
      <c r="Q113">
        <f t="shared" si="79"/>
        <v>1.2151227459316265</v>
      </c>
      <c r="R113">
        <f t="shared" si="80"/>
        <v>-6.9658794643834874</v>
      </c>
      <c r="T113">
        <f t="shared" si="81"/>
        <v>7</v>
      </c>
      <c r="U113">
        <f t="shared" si="82"/>
        <v>1</v>
      </c>
      <c r="W113" s="4">
        <f t="shared" si="83"/>
        <v>10</v>
      </c>
      <c r="X113" s="4">
        <f t="shared" si="84"/>
        <v>10</v>
      </c>
      <c r="Y113">
        <f t="shared" si="67"/>
        <v>0</v>
      </c>
      <c r="AB113" t="str">
        <f t="shared" si="68"/>
        <v xml:space="preserve">
3.8338 kips</v>
      </c>
    </row>
    <row r="114" spans="1:28" x14ac:dyDescent="0.25">
      <c r="A114">
        <f t="shared" ref="A114:D114" si="88">A99</f>
        <v>5</v>
      </c>
      <c r="B114" s="1">
        <f t="shared" si="70"/>
        <v>-9.0881290048191623</v>
      </c>
      <c r="C114" s="1">
        <f t="shared" si="71"/>
        <v>2.7213803835121406</v>
      </c>
      <c r="D114" t="str">
        <f t="shared" si="88"/>
        <v>n</v>
      </c>
      <c r="E114" s="4">
        <f t="shared" si="63"/>
        <v>0</v>
      </c>
      <c r="F114" s="1" t="e">
        <f t="shared" si="72"/>
        <v>#N/A</v>
      </c>
      <c r="G114" s="1" t="e">
        <f t="shared" si="73"/>
        <v>#N/A</v>
      </c>
      <c r="H114">
        <f t="shared" si="64"/>
        <v>0</v>
      </c>
      <c r="I114">
        <f t="shared" si="74"/>
        <v>0</v>
      </c>
      <c r="J114">
        <f t="shared" si="75"/>
        <v>0</v>
      </c>
      <c r="K114">
        <f t="shared" ca="1" si="86"/>
        <v>0</v>
      </c>
      <c r="L114">
        <f t="shared" ca="1" si="76"/>
        <v>0</v>
      </c>
      <c r="M114">
        <f t="shared" si="65"/>
        <v>0</v>
      </c>
      <c r="N114">
        <f t="shared" si="66"/>
        <v>0</v>
      </c>
      <c r="O114">
        <f t="shared" si="77"/>
        <v>0</v>
      </c>
      <c r="P114">
        <f t="shared" si="78"/>
        <v>0</v>
      </c>
      <c r="Q114" t="e">
        <f t="shared" si="79"/>
        <v>#N/A</v>
      </c>
      <c r="R114" t="e">
        <f t="shared" si="80"/>
        <v>#N/A</v>
      </c>
      <c r="T114" t="e">
        <f t="shared" si="81"/>
        <v>#N/A</v>
      </c>
      <c r="U114" t="e">
        <f t="shared" si="82"/>
        <v>#N/A</v>
      </c>
      <c r="W114" s="4" t="e">
        <f t="shared" si="83"/>
        <v>#N/A</v>
      </c>
      <c r="X114" s="4" t="e">
        <f t="shared" si="84"/>
        <v>#N/A</v>
      </c>
      <c r="Y114">
        <f t="shared" si="67"/>
        <v>0</v>
      </c>
      <c r="AB114" t="str">
        <f t="shared" si="68"/>
        <v/>
      </c>
    </row>
    <row r="115" spans="1:28" x14ac:dyDescent="0.25">
      <c r="A115">
        <f t="shared" ref="A115:D115" si="89">A100</f>
        <v>6</v>
      </c>
      <c r="B115" s="1">
        <f t="shared" si="70"/>
        <v>-9.0881290048191623</v>
      </c>
      <c r="C115" s="1">
        <f t="shared" si="71"/>
        <v>2.7213803835121406</v>
      </c>
      <c r="D115" t="str">
        <f t="shared" si="89"/>
        <v>n</v>
      </c>
      <c r="E115" s="4">
        <f t="shared" si="63"/>
        <v>0</v>
      </c>
      <c r="F115" s="1" t="e">
        <f t="shared" si="72"/>
        <v>#N/A</v>
      </c>
      <c r="G115" s="1" t="e">
        <f t="shared" si="73"/>
        <v>#N/A</v>
      </c>
      <c r="H115">
        <f t="shared" si="64"/>
        <v>0</v>
      </c>
      <c r="I115">
        <f t="shared" si="74"/>
        <v>0</v>
      </c>
      <c r="J115">
        <f t="shared" si="75"/>
        <v>0</v>
      </c>
      <c r="K115">
        <f t="shared" ca="1" si="86"/>
        <v>0</v>
      </c>
      <c r="L115">
        <f t="shared" ca="1" si="76"/>
        <v>0</v>
      </c>
      <c r="M115">
        <f t="shared" si="65"/>
        <v>0</v>
      </c>
      <c r="N115">
        <f t="shared" si="66"/>
        <v>0</v>
      </c>
      <c r="O115">
        <f t="shared" si="77"/>
        <v>0</v>
      </c>
      <c r="P115">
        <f t="shared" si="78"/>
        <v>0</v>
      </c>
      <c r="Q115" t="e">
        <f t="shared" si="79"/>
        <v>#N/A</v>
      </c>
      <c r="R115" t="e">
        <f t="shared" si="80"/>
        <v>#N/A</v>
      </c>
      <c r="T115" t="e">
        <f t="shared" si="81"/>
        <v>#N/A</v>
      </c>
      <c r="U115" t="e">
        <f t="shared" si="82"/>
        <v>#N/A</v>
      </c>
      <c r="W115" s="4" t="e">
        <f t="shared" si="83"/>
        <v>#N/A</v>
      </c>
      <c r="X115" s="4" t="e">
        <f t="shared" si="84"/>
        <v>#N/A</v>
      </c>
      <c r="Y115">
        <f t="shared" si="67"/>
        <v>0</v>
      </c>
      <c r="AB115" t="str">
        <f t="shared" si="68"/>
        <v/>
      </c>
    </row>
    <row r="116" spans="1:28" x14ac:dyDescent="0.25">
      <c r="A116">
        <f t="shared" ref="A116:D116" si="90">A101</f>
        <v>7</v>
      </c>
      <c r="B116" s="1">
        <f t="shared" si="70"/>
        <v>-9.0881290048191623</v>
      </c>
      <c r="C116" s="1">
        <f t="shared" si="71"/>
        <v>2.7213803835121406</v>
      </c>
      <c r="D116" t="str">
        <f t="shared" si="90"/>
        <v>n</v>
      </c>
      <c r="E116" s="4">
        <f t="shared" si="63"/>
        <v>0</v>
      </c>
      <c r="F116" s="1" t="e">
        <f t="shared" si="72"/>
        <v>#N/A</v>
      </c>
      <c r="G116" s="1" t="e">
        <f t="shared" si="73"/>
        <v>#N/A</v>
      </c>
      <c r="H116">
        <f t="shared" si="64"/>
        <v>0</v>
      </c>
      <c r="I116">
        <f t="shared" si="74"/>
        <v>0</v>
      </c>
      <c r="J116">
        <f t="shared" si="75"/>
        <v>0</v>
      </c>
      <c r="K116">
        <f t="shared" ca="1" si="86"/>
        <v>0</v>
      </c>
      <c r="L116">
        <f t="shared" ca="1" si="76"/>
        <v>0</v>
      </c>
      <c r="M116">
        <f t="shared" si="65"/>
        <v>0</v>
      </c>
      <c r="N116">
        <f t="shared" si="66"/>
        <v>0</v>
      </c>
      <c r="O116">
        <f t="shared" si="77"/>
        <v>0</v>
      </c>
      <c r="P116">
        <f t="shared" si="78"/>
        <v>0</v>
      </c>
      <c r="Q116" t="e">
        <f t="shared" si="79"/>
        <v>#N/A</v>
      </c>
      <c r="R116" t="e">
        <f t="shared" si="80"/>
        <v>#N/A</v>
      </c>
      <c r="T116" t="e">
        <f t="shared" si="81"/>
        <v>#N/A</v>
      </c>
      <c r="U116" t="e">
        <f t="shared" si="82"/>
        <v>#N/A</v>
      </c>
      <c r="W116" s="4" t="e">
        <f t="shared" si="83"/>
        <v>#N/A</v>
      </c>
      <c r="X116" s="4" t="e">
        <f t="shared" si="84"/>
        <v>#N/A</v>
      </c>
      <c r="Y116">
        <f t="shared" si="67"/>
        <v>0</v>
      </c>
      <c r="AB116" t="str">
        <f t="shared" si="68"/>
        <v/>
      </c>
    </row>
    <row r="117" spans="1:28" x14ac:dyDescent="0.25">
      <c r="A117">
        <f t="shared" ref="A117:D117" si="91">A102</f>
        <v>8</v>
      </c>
      <c r="B117" s="1">
        <f t="shared" si="70"/>
        <v>-9.0881290048191623</v>
      </c>
      <c r="C117" s="1">
        <f t="shared" si="71"/>
        <v>2.7213803835121406</v>
      </c>
      <c r="D117" t="str">
        <f t="shared" si="91"/>
        <v>n</v>
      </c>
      <c r="E117" s="4">
        <f t="shared" si="63"/>
        <v>0</v>
      </c>
      <c r="F117" s="1" t="e">
        <f t="shared" si="72"/>
        <v>#N/A</v>
      </c>
      <c r="G117" s="1" t="e">
        <f t="shared" si="73"/>
        <v>#N/A</v>
      </c>
      <c r="H117">
        <f t="shared" si="64"/>
        <v>0</v>
      </c>
      <c r="I117">
        <f t="shared" si="74"/>
        <v>0</v>
      </c>
      <c r="J117">
        <f t="shared" si="75"/>
        <v>0</v>
      </c>
      <c r="K117">
        <f t="shared" ca="1" si="86"/>
        <v>0</v>
      </c>
      <c r="L117">
        <f t="shared" ca="1" si="76"/>
        <v>0</v>
      </c>
      <c r="M117">
        <f t="shared" si="65"/>
        <v>0</v>
      </c>
      <c r="N117">
        <f t="shared" si="66"/>
        <v>0</v>
      </c>
      <c r="O117">
        <f t="shared" si="77"/>
        <v>0</v>
      </c>
      <c r="P117">
        <f t="shared" si="78"/>
        <v>0</v>
      </c>
      <c r="Q117" t="e">
        <f t="shared" si="79"/>
        <v>#N/A</v>
      </c>
      <c r="R117" t="e">
        <f t="shared" si="80"/>
        <v>#N/A</v>
      </c>
      <c r="T117" t="e">
        <f t="shared" si="81"/>
        <v>#N/A</v>
      </c>
      <c r="U117" t="e">
        <f t="shared" si="82"/>
        <v>#N/A</v>
      </c>
      <c r="W117" s="4" t="e">
        <f t="shared" si="83"/>
        <v>#N/A</v>
      </c>
      <c r="X117" s="4" t="e">
        <f t="shared" si="84"/>
        <v>#N/A</v>
      </c>
      <c r="Y117">
        <f t="shared" si="67"/>
        <v>0</v>
      </c>
      <c r="AB117" t="str">
        <f t="shared" si="68"/>
        <v/>
      </c>
    </row>
    <row r="118" spans="1:28" x14ac:dyDescent="0.25">
      <c r="A118">
        <f t="shared" ref="A118:D118" si="92">A103</f>
        <v>9</v>
      </c>
      <c r="B118" s="1">
        <f t="shared" si="70"/>
        <v>-9.0881290048191623</v>
      </c>
      <c r="C118" s="1">
        <f t="shared" si="71"/>
        <v>2.7213803835121406</v>
      </c>
      <c r="D118" t="str">
        <f t="shared" si="92"/>
        <v>n</v>
      </c>
      <c r="E118" s="4">
        <f t="shared" si="63"/>
        <v>0</v>
      </c>
      <c r="F118" s="1" t="e">
        <f t="shared" si="72"/>
        <v>#N/A</v>
      </c>
      <c r="G118" s="1" t="e">
        <f t="shared" si="73"/>
        <v>#N/A</v>
      </c>
      <c r="H118">
        <f t="shared" si="64"/>
        <v>0</v>
      </c>
      <c r="I118">
        <f t="shared" si="74"/>
        <v>0</v>
      </c>
      <c r="J118">
        <f t="shared" si="75"/>
        <v>0</v>
      </c>
      <c r="K118">
        <f t="shared" ca="1" si="86"/>
        <v>0</v>
      </c>
      <c r="L118">
        <f t="shared" ca="1" si="76"/>
        <v>0</v>
      </c>
      <c r="M118">
        <f t="shared" si="65"/>
        <v>0</v>
      </c>
      <c r="N118">
        <f t="shared" si="66"/>
        <v>0</v>
      </c>
      <c r="O118">
        <f t="shared" si="77"/>
        <v>0</v>
      </c>
      <c r="P118">
        <f t="shared" si="78"/>
        <v>0</v>
      </c>
      <c r="Q118" t="e">
        <f t="shared" si="79"/>
        <v>#N/A</v>
      </c>
      <c r="R118" t="e">
        <f t="shared" si="80"/>
        <v>#N/A</v>
      </c>
      <c r="T118" t="e">
        <f t="shared" si="81"/>
        <v>#N/A</v>
      </c>
      <c r="U118" t="e">
        <f t="shared" si="82"/>
        <v>#N/A</v>
      </c>
      <c r="W118" s="4" t="e">
        <f t="shared" si="83"/>
        <v>#N/A</v>
      </c>
      <c r="X118" s="4" t="e">
        <f t="shared" si="84"/>
        <v>#N/A</v>
      </c>
      <c r="Y118">
        <f t="shared" si="67"/>
        <v>0</v>
      </c>
      <c r="AB118" t="str">
        <f t="shared" si="68"/>
        <v/>
      </c>
    </row>
    <row r="119" spans="1:28" x14ac:dyDescent="0.25">
      <c r="A119">
        <f t="shared" ref="A119:D119" si="93">A104</f>
        <v>10</v>
      </c>
      <c r="B119" s="1">
        <f t="shared" si="70"/>
        <v>-9.0881290048191623</v>
      </c>
      <c r="C119" s="1">
        <f t="shared" si="71"/>
        <v>2.7213803835121406</v>
      </c>
      <c r="D119" t="str">
        <f t="shared" si="93"/>
        <v>n</v>
      </c>
      <c r="E119" s="4">
        <f t="shared" si="63"/>
        <v>0</v>
      </c>
      <c r="F119" s="1" t="e">
        <f t="shared" si="72"/>
        <v>#N/A</v>
      </c>
      <c r="G119" s="1" t="e">
        <f t="shared" si="73"/>
        <v>#N/A</v>
      </c>
      <c r="H119">
        <f t="shared" si="64"/>
        <v>0</v>
      </c>
      <c r="I119">
        <f t="shared" si="74"/>
        <v>0</v>
      </c>
      <c r="J119">
        <f t="shared" si="75"/>
        <v>0</v>
      </c>
      <c r="K119">
        <f t="shared" ca="1" si="86"/>
        <v>0</v>
      </c>
      <c r="L119">
        <f t="shared" ca="1" si="76"/>
        <v>0</v>
      </c>
      <c r="M119">
        <f t="shared" si="65"/>
        <v>0</v>
      </c>
      <c r="N119">
        <f t="shared" si="66"/>
        <v>0</v>
      </c>
      <c r="O119">
        <f t="shared" si="77"/>
        <v>0</v>
      </c>
      <c r="P119">
        <f t="shared" si="78"/>
        <v>0</v>
      </c>
      <c r="Q119" t="e">
        <f t="shared" si="79"/>
        <v>#N/A</v>
      </c>
      <c r="R119" t="e">
        <f t="shared" si="80"/>
        <v>#N/A</v>
      </c>
      <c r="T119" t="e">
        <f t="shared" si="81"/>
        <v>#N/A</v>
      </c>
      <c r="U119" t="e">
        <f t="shared" si="82"/>
        <v>#N/A</v>
      </c>
      <c r="W119" s="4" t="e">
        <f t="shared" si="83"/>
        <v>#N/A</v>
      </c>
      <c r="X119" s="4" t="e">
        <f t="shared" si="84"/>
        <v>#N/A</v>
      </c>
      <c r="Y119">
        <f t="shared" si="67"/>
        <v>0</v>
      </c>
      <c r="AB119" t="str">
        <f t="shared" si="68"/>
        <v/>
      </c>
    </row>
    <row r="120" spans="1:28" x14ac:dyDescent="0.25">
      <c r="A120">
        <f t="shared" ref="A120:D120" si="94">A105</f>
        <v>11</v>
      </c>
      <c r="B120" s="1">
        <f t="shared" si="70"/>
        <v>-9.0881290048191623</v>
      </c>
      <c r="C120" s="1">
        <f t="shared" si="71"/>
        <v>2.7213803835121406</v>
      </c>
      <c r="D120" t="str">
        <f t="shared" si="94"/>
        <v>n</v>
      </c>
      <c r="E120" s="4">
        <f t="shared" si="63"/>
        <v>0</v>
      </c>
      <c r="F120" s="1" t="e">
        <f t="shared" si="72"/>
        <v>#N/A</v>
      </c>
      <c r="G120" s="1" t="e">
        <f t="shared" si="73"/>
        <v>#N/A</v>
      </c>
      <c r="H120">
        <f t="shared" si="64"/>
        <v>0</v>
      </c>
      <c r="I120">
        <f t="shared" si="74"/>
        <v>0</v>
      </c>
      <c r="J120">
        <f t="shared" si="75"/>
        <v>0</v>
      </c>
      <c r="K120">
        <f t="shared" ca="1" si="86"/>
        <v>0</v>
      </c>
      <c r="L120">
        <f t="shared" ca="1" si="76"/>
        <v>0</v>
      </c>
      <c r="M120">
        <f t="shared" si="65"/>
        <v>0</v>
      </c>
      <c r="N120">
        <f t="shared" si="66"/>
        <v>0</v>
      </c>
      <c r="O120">
        <f t="shared" si="77"/>
        <v>0</v>
      </c>
      <c r="P120">
        <f t="shared" si="78"/>
        <v>0</v>
      </c>
      <c r="Q120" t="e">
        <f t="shared" si="79"/>
        <v>#N/A</v>
      </c>
      <c r="R120" t="e">
        <f t="shared" si="80"/>
        <v>#N/A</v>
      </c>
      <c r="T120" t="e">
        <f t="shared" si="81"/>
        <v>#N/A</v>
      </c>
      <c r="U120" t="e">
        <f t="shared" si="82"/>
        <v>#N/A</v>
      </c>
      <c r="W120" s="4" t="e">
        <f t="shared" si="83"/>
        <v>#N/A</v>
      </c>
      <c r="X120" s="4" t="e">
        <f t="shared" si="84"/>
        <v>#N/A</v>
      </c>
      <c r="Y120">
        <f t="shared" si="67"/>
        <v>0</v>
      </c>
      <c r="AB120" t="str">
        <f t="shared" si="68"/>
        <v/>
      </c>
    </row>
    <row r="121" spans="1:28" ht="15.75" thickBot="1" x14ac:dyDescent="0.3">
      <c r="A121">
        <f t="shared" ref="A121:D121" si="95">A106</f>
        <v>12</v>
      </c>
      <c r="B121" s="1">
        <f t="shared" si="70"/>
        <v>-9.0881290048191623</v>
      </c>
      <c r="C121" s="1">
        <f t="shared" si="71"/>
        <v>2.7213803835121406</v>
      </c>
      <c r="D121" t="str">
        <f t="shared" si="95"/>
        <v>n</v>
      </c>
      <c r="E121" s="4">
        <f t="shared" si="63"/>
        <v>0</v>
      </c>
      <c r="F121" s="1" t="e">
        <f t="shared" si="72"/>
        <v>#N/A</v>
      </c>
      <c r="G121" s="1" t="e">
        <f t="shared" si="73"/>
        <v>#N/A</v>
      </c>
      <c r="H121" s="23">
        <f t="shared" si="64"/>
        <v>0</v>
      </c>
      <c r="I121" s="23">
        <f t="shared" si="74"/>
        <v>0</v>
      </c>
      <c r="J121" s="23">
        <f t="shared" si="75"/>
        <v>0</v>
      </c>
      <c r="K121">
        <f t="shared" ca="1" si="86"/>
        <v>0</v>
      </c>
      <c r="L121">
        <f t="shared" ca="1" si="76"/>
        <v>0</v>
      </c>
      <c r="M121">
        <f t="shared" si="65"/>
        <v>0</v>
      </c>
      <c r="N121" s="23">
        <f t="shared" si="66"/>
        <v>0</v>
      </c>
      <c r="O121" s="23">
        <f t="shared" si="77"/>
        <v>0</v>
      </c>
      <c r="P121" s="23">
        <f t="shared" si="78"/>
        <v>0</v>
      </c>
      <c r="Q121" t="e">
        <f t="shared" si="79"/>
        <v>#N/A</v>
      </c>
      <c r="R121" t="e">
        <f t="shared" si="80"/>
        <v>#N/A</v>
      </c>
      <c r="T121" t="e">
        <f t="shared" si="81"/>
        <v>#N/A</v>
      </c>
      <c r="U121" t="e">
        <f t="shared" si="82"/>
        <v>#N/A</v>
      </c>
      <c r="W121" s="4" t="e">
        <f t="shared" si="83"/>
        <v>#N/A</v>
      </c>
      <c r="X121" s="4" t="e">
        <f t="shared" si="84"/>
        <v>#N/A</v>
      </c>
      <c r="Y121">
        <f t="shared" si="67"/>
        <v>0</v>
      </c>
      <c r="AB121" t="str">
        <f t="shared" si="68"/>
        <v/>
      </c>
    </row>
    <row r="122" spans="1:28" ht="15.75" thickTop="1" x14ac:dyDescent="0.25">
      <c r="D122" s="10" t="s">
        <v>44</v>
      </c>
      <c r="E122" s="4">
        <f>MAX(E110:E121)</f>
        <v>6.1488345711531114</v>
      </c>
      <c r="H122">
        <f>SUM(H110:H121)</f>
        <v>-7.9292379625322695</v>
      </c>
      <c r="I122">
        <f t="shared" ref="I122:J122" si="96">SUM(I110:I121)</f>
        <v>54.428074894939556</v>
      </c>
      <c r="J122">
        <f t="shared" si="96"/>
        <v>-3.8005036630730222</v>
      </c>
      <c r="L122">
        <f ca="1">MIN(L110:L121)</f>
        <v>-9.4585148451857212E-4</v>
      </c>
      <c r="M122">
        <f>MIN(M110:M121)</f>
        <v>-9.4585148458335071E-4</v>
      </c>
      <c r="N122">
        <f>SUM(N110:N121)</f>
        <v>0.25989959748765601</v>
      </c>
      <c r="O122">
        <f>SUM(O110:O121)</f>
        <v>0.32962842600164749</v>
      </c>
      <c r="P122">
        <f>SUM(P110:P121)</f>
        <v>1.9603294228432744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-0.90944367865864928</v>
      </c>
      <c r="F125" s="1" t="s">
        <v>27</v>
      </c>
      <c r="G125" s="1" t="s">
        <v>28</v>
      </c>
    </row>
    <row r="126" spans="1:28" x14ac:dyDescent="0.25">
      <c r="F126" s="4">
        <f>MIN(B84:B90)-1</f>
        <v>-10.088129004819162</v>
      </c>
      <c r="G126" s="4">
        <f>B125</f>
        <v>-0.90944367865864928</v>
      </c>
    </row>
    <row r="127" spans="1:28" x14ac:dyDescent="0.25">
      <c r="F127" s="4">
        <f>MAX(B84:B90)+1</f>
        <v>3.2454479210067051</v>
      </c>
      <c r="G127" s="4">
        <f>G126</f>
        <v>-0.90944367865864928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97">B85</f>
        <v>-8.9187312315339931</v>
      </c>
      <c r="E132" s="4">
        <f t="shared" si="97"/>
        <v>-2.7760103061156238</v>
      </c>
      <c r="F132" s="4">
        <f t="shared" ref="F132:F139" si="98">($B$66/$B$65)*(C132-$B$125)</f>
        <v>1.7436962313278683</v>
      </c>
      <c r="G132" s="4">
        <f t="shared" ref="G132:G139" si="99">($B$66/$B$65)*(E132-$B$125)</f>
        <v>-0.89641501160294923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-8.9762480150829962</v>
      </c>
      <c r="M132" s="4">
        <f>IF($G132&gt;=0,E132,IF(AND($G132&lt;0,$F132&gt;=0),$B$125,0))</f>
        <v>-0.90944367865864928</v>
      </c>
      <c r="N132" s="4">
        <f>IF(F132&lt;0,0,F132)</f>
        <v>1.7436962313278683</v>
      </c>
      <c r="O132" s="4">
        <f>IF(G132&lt;0,0,G132)</f>
        <v>0</v>
      </c>
      <c r="P132" s="4">
        <f>(1/6)*(M132-K132)*((N132*((2*J132)+L132))+(O132*(J132+(2*L132))))</f>
        <v>28.65066470444707</v>
      </c>
      <c r="Q132" s="4">
        <f>((1/12)*(M132-K132)*(N132*J132*((3*K132)+M132)+N132*L132*(K132+M132)+O132*J132*(K132+M132)+O132*L132*(K132+(3*M132))))</f>
        <v>43.365621578441427</v>
      </c>
      <c r="R132" s="4">
        <f>((-1/24)*(M132-K132)*(J132*J132*((3*N132)+O132)+2*J132*L132*(N132+O132)+L132*L132*(N132+(3*O132))))</f>
        <v>129.65732500077883</v>
      </c>
      <c r="U132">
        <f>IF(AND(J132=0,K132=0,L132=0,M132=0),NA(),J132)</f>
        <v>-9.0881290048191623</v>
      </c>
      <c r="V132">
        <f>IF(AND(J132=0,K132=0,L132=0,M132=0),NA(),K132)</f>
        <v>2.7213803835121406</v>
      </c>
      <c r="W132" s="9" t="str">
        <f>IF(AND(J132=0,K132=0,L132=0,M132=0),"",ROUND(N132,4)&amp;" ksi")</f>
        <v>1.7437 ksi</v>
      </c>
      <c r="X132">
        <f>(U132*COS(-1*$B$64))+(V132*SIN(-1*$B$64))</f>
        <v>-3</v>
      </c>
      <c r="Y132">
        <f>(-1*U132*SIN(-1*$B$64))+(V132*COS(-1*$B$64))</f>
        <v>-9.0000000000000018</v>
      </c>
      <c r="AA132" s="4">
        <f>X132+$B$9</f>
        <v>0</v>
      </c>
      <c r="AB132" s="4">
        <f>Y132+$C$9</f>
        <v>0</v>
      </c>
      <c r="AD132">
        <f>IF(AND(J132=0,K132=0,L132=0,M132=0),NA(),L132)</f>
        <v>-8.9762480150829962</v>
      </c>
      <c r="AE132">
        <f>IF(AND(J132=0,K132=0,L132=0,M132=0),NA(),M132)</f>
        <v>-0.90944367865864928</v>
      </c>
      <c r="AF132" s="9" t="str">
        <f>IF(AND(J132=0,K132=0,L132=0,M132=0),"",ROUND(O132,4)&amp;" ksi")</f>
        <v>0 ksi</v>
      </c>
      <c r="AG132">
        <f>IF(COUNTIF($U$132:$U$139,AD132)&gt;0,NA(),AD132)</f>
        <v>-8.9762480150829962</v>
      </c>
      <c r="AH132">
        <f>IF(AND(COUNTIF($V$132:$V$139,AE132)&gt;0,AF132&lt;&gt;"0 ksi"),NA(),AE132)</f>
        <v>-0.90944367865864928</v>
      </c>
      <c r="AI132" t="str">
        <f>IF(COUNTIF($U$132:$U$139,AD132)&gt;0,"",AF132)</f>
        <v>0 ksi</v>
      </c>
      <c r="AJ132">
        <f>(AG132*COS(-1*$B$64))+(AH132*SIN(-1*$B$64))</f>
        <v>0.63254741556152871</v>
      </c>
      <c r="AK132">
        <f>(-1*AG132*SIN(-1*$B$64))+(AH132*COS(-1*$B$64))</f>
        <v>-9.0000000000000018</v>
      </c>
      <c r="AM132" s="4">
        <f>AJ132+$B$9</f>
        <v>3.6325474155615289</v>
      </c>
      <c r="AN132" s="4">
        <f>AK132+$C$9</f>
        <v>0</v>
      </c>
    </row>
    <row r="133" spans="1:40" x14ac:dyDescent="0.25">
      <c r="A133" t="s">
        <v>70</v>
      </c>
      <c r="B133" s="4">
        <f t="shared" ref="B133:C138" si="100">D132</f>
        <v>-8.9187312315339931</v>
      </c>
      <c r="C133" s="4">
        <f t="shared" si="100"/>
        <v>-2.7760103061156238</v>
      </c>
      <c r="D133" s="4">
        <f t="shared" si="97"/>
        <v>-3.4213405419062277</v>
      </c>
      <c r="E133" s="4">
        <f t="shared" si="97"/>
        <v>-2.606612532830455</v>
      </c>
      <c r="F133" s="4">
        <f t="shared" si="98"/>
        <v>-0.89641501160294923</v>
      </c>
      <c r="G133" s="4">
        <f t="shared" si="99"/>
        <v>-0.8150620587154217</v>
      </c>
      <c r="H133" s="4">
        <f t="shared" ref="H133:H139" si="101">IF(B133=D133,"V",(C133-E133)/(B133-D133))</f>
        <v>3.0814214024260829E-2</v>
      </c>
      <c r="I133" s="4">
        <f t="shared" ref="I133:I139" si="102">IF(H133="V",0,(-1*B133*H133)+C133)</f>
        <v>-2.5011866131222762</v>
      </c>
      <c r="J133" s="4">
        <f t="shared" ref="J133:J139" si="103">IF($F133&gt;=0,B133,IF(AND($F133&lt;0,$G133&gt;=0),IF(H133="V",B133,($B$125-I133)/H133),0))</f>
        <v>0</v>
      </c>
      <c r="K133" s="4">
        <f t="shared" ref="K133:K139" si="104">IF($F133&gt;=0,C133,IF(AND($F133&lt;0,$G133&gt;=0),$B$125,0))</f>
        <v>0</v>
      </c>
      <c r="L133" s="4">
        <f t="shared" ref="L133:L139" si="105">IF($G133&gt;=0,D133,IF(AND($G133&lt;0,$F133&gt;=0),IF(H133="V",D133,($B$125-I133)/H133),0))</f>
        <v>0</v>
      </c>
      <c r="M133" s="4">
        <f t="shared" ref="M133:M139" si="106">IF($G133&gt;=0,E133,IF(AND($G133&lt;0,$F133&gt;=0),$B$125,0))</f>
        <v>0</v>
      </c>
      <c r="N133" s="4">
        <f t="shared" ref="N133:N139" si="107">IF(F133&lt;0,0,F133)</f>
        <v>0</v>
      </c>
      <c r="O133" s="4">
        <f t="shared" ref="O133:O139" si="108">IF(G133&lt;0,0,G133)</f>
        <v>0</v>
      </c>
      <c r="P133" s="4">
        <f t="shared" ref="P133:P139" si="109">(1/6)*(M133-K133)*((N133*((2*J133)+L133))+(O133*(J133+(2*L133))))</f>
        <v>0</v>
      </c>
      <c r="Q133" s="4">
        <f t="shared" ref="Q133:Q139" si="110">((1/12)*(M133-K133)*(N133*J133*((3*K133)+M133)+N133*L133*(K133+M133)+O133*J133*(K133+M133)+O133*L133*(K133+(3*M133))))</f>
        <v>0</v>
      </c>
      <c r="R133" s="4">
        <f t="shared" ref="R133:R139" si="111">((-1/24)*(M133-K133)*(J133*J133*((3*N133)+O133)+2*J133*L133*(N133+O133)+L133*L133*(N133+(3*O133))))</f>
        <v>0</v>
      </c>
      <c r="U133" t="e">
        <f t="shared" ref="U133:U153" si="112">IF(AND(J133=0,K133=0,L133=0,M133=0),NA(),J133)</f>
        <v>#N/A</v>
      </c>
      <c r="V133" t="e">
        <f t="shared" ref="V133:V153" si="113">IF(AND(J133=0,K133=0,L133=0,M133=0),NA(),K133)</f>
        <v>#N/A</v>
      </c>
      <c r="W133" s="9" t="str">
        <f t="shared" ref="W133:W144" si="114">IF(AND(J133=0,K133=0,L133=0,M133=0),"",ROUND(N133,4)&amp;" ksi")</f>
        <v/>
      </c>
      <c r="X133" t="e">
        <f t="shared" ref="X133:X139" si="115">(U133*COS(-1*$B$64))+(V133*SIN(-1*$B$64))</f>
        <v>#N/A</v>
      </c>
      <c r="Y133" t="e">
        <f t="shared" ref="Y133:Y139" si="116">(-1*U133*SIN(-1*$B$64))+(V133*COS(-1*$B$64))</f>
        <v>#N/A</v>
      </c>
      <c r="AA133" s="4" t="e">
        <f t="shared" ref="AA133:AA139" si="117">X133+$B$9</f>
        <v>#N/A</v>
      </c>
      <c r="AB133" s="4" t="e">
        <f t="shared" ref="AB133:AB139" si="118">Y133+$C$9</f>
        <v>#N/A</v>
      </c>
      <c r="AD133" t="e">
        <f t="shared" ref="AD133:AD139" si="119">IF(AND(J133=0,K133=0,L133=0,M133=0),NA(),L133)</f>
        <v>#N/A</v>
      </c>
      <c r="AE133" t="e">
        <f t="shared" ref="AE133:AE139" si="120">IF(AND(J133=0,K133=0,L133=0,M133=0),NA(),M133)</f>
        <v>#N/A</v>
      </c>
      <c r="AF133" s="9" t="str">
        <f t="shared" ref="AF133:AF139" si="121">IF(AND(J133=0,K133=0,L133=0,M133=0),"",ROUND(O133,4)&amp;" ksi")</f>
        <v/>
      </c>
      <c r="AG133" t="e">
        <f t="shared" ref="AG133:AG139" si="122">IF(COUNTIF($U$132:$U$139,AD133)&gt;0,NA(),AD133)</f>
        <v>#N/A</v>
      </c>
      <c r="AH133" t="e">
        <f t="shared" ref="AH133:AH139" si="123">IF(AND(COUNTIF($V$132:$V$139,AE133)&gt;0,AF133&lt;&gt;"0 ksi"),NA(),AE133)</f>
        <v>#N/A</v>
      </c>
      <c r="AI133" t="str">
        <f t="shared" ref="AI133:AI139" si="124">IF(COUNTIF($U$132:$U$139,AD133)&gt;0,"",AF133)</f>
        <v/>
      </c>
      <c r="AJ133" t="e">
        <f t="shared" ref="AJ133:AJ139" si="125">(AG133*COS(-1*$B$64))+(AH133*SIN(-1*$B$64))</f>
        <v>#N/A</v>
      </c>
      <c r="AK133" t="e">
        <f t="shared" ref="AK133:AK139" si="126">(-1*AG133*SIN(-1*$B$64))+(AH133*COS(-1*$B$64))</f>
        <v>#N/A</v>
      </c>
      <c r="AM133" s="4" t="e">
        <f t="shared" ref="AM133:AM139" si="127">AJ133+$B$9</f>
        <v>#N/A</v>
      </c>
      <c r="AN133" s="4" t="e">
        <f t="shared" ref="AN133:AN139" si="128">AK133+$C$9</f>
        <v>#N/A</v>
      </c>
    </row>
    <row r="134" spans="1:40" x14ac:dyDescent="0.25">
      <c r="A134" t="s">
        <v>71</v>
      </c>
      <c r="B134" s="4">
        <f t="shared" si="100"/>
        <v>-3.4213405419062277</v>
      </c>
      <c r="C134" s="4">
        <f t="shared" si="100"/>
        <v>-2.606612532830455</v>
      </c>
      <c r="D134" s="4">
        <f t="shared" si="97"/>
        <v>-3.2519427686210594</v>
      </c>
      <c r="E134" s="4">
        <f t="shared" si="97"/>
        <v>-8.1040032224582195</v>
      </c>
      <c r="F134" s="4">
        <f t="shared" si="98"/>
        <v>-0.8150620587154217</v>
      </c>
      <c r="G134" s="4">
        <f t="shared" si="99"/>
        <v>-3.4551733016462394</v>
      </c>
      <c r="H134" s="4">
        <f t="shared" si="101"/>
        <v>-32.452555798200024</v>
      </c>
      <c r="I134" s="4">
        <f t="shared" si="102"/>
        <v>-113.63785737368622</v>
      </c>
      <c r="J134" s="4">
        <f t="shared" si="103"/>
        <v>0</v>
      </c>
      <c r="K134" s="4">
        <f t="shared" si="104"/>
        <v>0</v>
      </c>
      <c r="L134" s="4">
        <f t="shared" si="105"/>
        <v>0</v>
      </c>
      <c r="M134" s="4">
        <f t="shared" si="106"/>
        <v>0</v>
      </c>
      <c r="N134" s="4">
        <f t="shared" si="107"/>
        <v>0</v>
      </c>
      <c r="O134" s="4">
        <f t="shared" si="108"/>
        <v>0</v>
      </c>
      <c r="P134" s="4">
        <f t="shared" si="109"/>
        <v>0</v>
      </c>
      <c r="Q134" s="4">
        <f t="shared" si="110"/>
        <v>0</v>
      </c>
      <c r="R134" s="4">
        <f t="shared" si="111"/>
        <v>0</v>
      </c>
      <c r="U134" t="e">
        <f t="shared" si="112"/>
        <v>#N/A</v>
      </c>
      <c r="V134" t="e">
        <f t="shared" si="113"/>
        <v>#N/A</v>
      </c>
      <c r="W134" s="9" t="str">
        <f t="shared" si="114"/>
        <v/>
      </c>
      <c r="X134" t="e">
        <f t="shared" si="115"/>
        <v>#N/A</v>
      </c>
      <c r="Y134" t="e">
        <f t="shared" si="116"/>
        <v>#N/A</v>
      </c>
      <c r="AA134" s="4" t="e">
        <f t="shared" si="117"/>
        <v>#N/A</v>
      </c>
      <c r="AB134" s="4" t="e">
        <f t="shared" si="118"/>
        <v>#N/A</v>
      </c>
      <c r="AD134" t="e">
        <f t="shared" si="119"/>
        <v>#N/A</v>
      </c>
      <c r="AE134" t="e">
        <f t="shared" si="120"/>
        <v>#N/A</v>
      </c>
      <c r="AF134" s="9" t="str">
        <f t="shared" si="121"/>
        <v/>
      </c>
      <c r="AG134" t="e">
        <f t="shared" si="122"/>
        <v>#N/A</v>
      </c>
      <c r="AH134" t="e">
        <f t="shared" si="123"/>
        <v>#N/A</v>
      </c>
      <c r="AI134" t="str">
        <f t="shared" si="124"/>
        <v/>
      </c>
      <c r="AJ134" t="e">
        <f t="shared" si="125"/>
        <v>#N/A</v>
      </c>
      <c r="AK134" t="e">
        <f t="shared" si="126"/>
        <v>#N/A</v>
      </c>
      <c r="AM134" s="4" t="e">
        <f t="shared" si="127"/>
        <v>#N/A</v>
      </c>
      <c r="AN134" s="4" t="e">
        <f t="shared" si="128"/>
        <v>#N/A</v>
      </c>
    </row>
    <row r="135" spans="1:40" x14ac:dyDescent="0.25">
      <c r="A135" t="s">
        <v>72</v>
      </c>
      <c r="B135" s="4">
        <f t="shared" si="100"/>
        <v>-3.2519427686210594</v>
      </c>
      <c r="C135" s="4">
        <f t="shared" si="100"/>
        <v>-8.1040032224582195</v>
      </c>
      <c r="D135" s="4">
        <f t="shared" si="97"/>
        <v>2.2454479210067051</v>
      </c>
      <c r="E135" s="4">
        <f t="shared" si="97"/>
        <v>-7.9346054491730511</v>
      </c>
      <c r="F135" s="4">
        <f t="shared" si="98"/>
        <v>-3.4551733016462394</v>
      </c>
      <c r="G135" s="4">
        <f t="shared" si="99"/>
        <v>-3.373820348758712</v>
      </c>
      <c r="H135" s="4">
        <f t="shared" si="101"/>
        <v>3.0814214024260756E-2</v>
      </c>
      <c r="I135" s="4">
        <f t="shared" si="102"/>
        <v>-8.0037971619912831</v>
      </c>
      <c r="J135" s="4">
        <f t="shared" si="103"/>
        <v>0</v>
      </c>
      <c r="K135" s="4">
        <f t="shared" si="104"/>
        <v>0</v>
      </c>
      <c r="L135" s="4">
        <f t="shared" si="105"/>
        <v>0</v>
      </c>
      <c r="M135" s="4">
        <f t="shared" si="106"/>
        <v>0</v>
      </c>
      <c r="N135" s="4">
        <f t="shared" si="107"/>
        <v>0</v>
      </c>
      <c r="O135" s="4">
        <f t="shared" si="108"/>
        <v>0</v>
      </c>
      <c r="P135" s="4">
        <f t="shared" si="109"/>
        <v>0</v>
      </c>
      <c r="Q135" s="4">
        <f t="shared" si="110"/>
        <v>0</v>
      </c>
      <c r="R135" s="4">
        <f t="shared" si="111"/>
        <v>0</v>
      </c>
      <c r="U135" t="e">
        <f t="shared" si="112"/>
        <v>#N/A</v>
      </c>
      <c r="V135" t="e">
        <f t="shared" si="113"/>
        <v>#N/A</v>
      </c>
      <c r="W135" s="9" t="str">
        <f t="shared" si="114"/>
        <v/>
      </c>
      <c r="X135" t="e">
        <f t="shared" si="115"/>
        <v>#N/A</v>
      </c>
      <c r="Y135" t="e">
        <f t="shared" si="116"/>
        <v>#N/A</v>
      </c>
      <c r="AA135" s="4" t="e">
        <f t="shared" si="117"/>
        <v>#N/A</v>
      </c>
      <c r="AB135" s="4" t="e">
        <f t="shared" si="118"/>
        <v>#N/A</v>
      </c>
      <c r="AD135" t="e">
        <f t="shared" si="119"/>
        <v>#N/A</v>
      </c>
      <c r="AE135" t="e">
        <f t="shared" si="120"/>
        <v>#N/A</v>
      </c>
      <c r="AF135" s="9" t="str">
        <f t="shared" si="121"/>
        <v/>
      </c>
      <c r="AG135" t="e">
        <f t="shared" si="122"/>
        <v>#N/A</v>
      </c>
      <c r="AH135" t="e">
        <f t="shared" si="123"/>
        <v>#N/A</v>
      </c>
      <c r="AI135" t="str">
        <f t="shared" si="124"/>
        <v/>
      </c>
      <c r="AJ135" t="e">
        <f t="shared" si="125"/>
        <v>#N/A</v>
      </c>
      <c r="AK135" t="e">
        <f t="shared" si="126"/>
        <v>#N/A</v>
      </c>
      <c r="AM135" s="4" t="e">
        <f t="shared" si="127"/>
        <v>#N/A</v>
      </c>
      <c r="AN135" s="4" t="e">
        <f t="shared" si="128"/>
        <v>#N/A</v>
      </c>
    </row>
    <row r="136" spans="1:40" x14ac:dyDescent="0.25">
      <c r="A136" t="s">
        <v>73</v>
      </c>
      <c r="B136" s="4">
        <f t="shared" si="100"/>
        <v>2.2454479210067051</v>
      </c>
      <c r="C136" s="4">
        <f t="shared" si="100"/>
        <v>-7.9346054491730511</v>
      </c>
      <c r="D136" s="4">
        <f t="shared" si="97"/>
        <v>1.9066523744363679</v>
      </c>
      <c r="E136" s="4">
        <f t="shared" si="97"/>
        <v>3.0601759300824782</v>
      </c>
      <c r="F136" s="4">
        <f t="shared" si="98"/>
        <v>-3.373820348758712</v>
      </c>
      <c r="G136" s="4">
        <f t="shared" si="99"/>
        <v>1.9064021371029234</v>
      </c>
      <c r="H136" s="4">
        <f t="shared" si="101"/>
        <v>-32.452555798199988</v>
      </c>
      <c r="I136" s="4">
        <f t="shared" si="102"/>
        <v>64.935918499249212</v>
      </c>
      <c r="J136" s="4">
        <f t="shared" si="103"/>
        <v>2.0289730826550194</v>
      </c>
      <c r="K136" s="4">
        <f t="shared" si="104"/>
        <v>-0.90944367865864928</v>
      </c>
      <c r="L136" s="4">
        <f t="shared" si="105"/>
        <v>1.9066523744363679</v>
      </c>
      <c r="M136" s="4">
        <f t="shared" si="106"/>
        <v>3.0601759300824782</v>
      </c>
      <c r="N136" s="4">
        <f t="shared" si="107"/>
        <v>0</v>
      </c>
      <c r="O136" s="4">
        <f t="shared" si="108"/>
        <v>1.9064021371029234</v>
      </c>
      <c r="P136" s="4">
        <f t="shared" si="109"/>
        <v>7.3687591917487278</v>
      </c>
      <c r="Q136" s="4">
        <f t="shared" si="110"/>
        <v>12.697236443363925</v>
      </c>
      <c r="R136" s="4">
        <f t="shared" si="111"/>
        <v>-7.176629057648225</v>
      </c>
      <c r="U136">
        <f t="shared" si="112"/>
        <v>2.0289730826550194</v>
      </c>
      <c r="V136">
        <f t="shared" si="113"/>
        <v>-0.90944367865864928</v>
      </c>
      <c r="W136" s="9" t="str">
        <f t="shared" si="114"/>
        <v>0 ksi</v>
      </c>
      <c r="X136">
        <f t="shared" si="115"/>
        <v>0.97150376982839781</v>
      </c>
      <c r="Y136">
        <f t="shared" si="116"/>
        <v>2</v>
      </c>
      <c r="AA136" s="4">
        <f t="shared" si="117"/>
        <v>3.9715037698283977</v>
      </c>
      <c r="AB136" s="4">
        <f t="shared" si="118"/>
        <v>11</v>
      </c>
      <c r="AD136">
        <f t="shared" si="119"/>
        <v>1.9066523744363679</v>
      </c>
      <c r="AE136">
        <f t="shared" si="120"/>
        <v>3.0601759300824782</v>
      </c>
      <c r="AF136" s="9" t="str">
        <f t="shared" si="121"/>
        <v>1.9064 ksi</v>
      </c>
      <c r="AG136" t="e">
        <f t="shared" si="122"/>
        <v>#N/A</v>
      </c>
      <c r="AH136" t="e">
        <f t="shared" si="123"/>
        <v>#N/A</v>
      </c>
      <c r="AI136" t="str">
        <f t="shared" si="124"/>
        <v/>
      </c>
      <c r="AJ136" t="e">
        <f t="shared" si="125"/>
        <v>#N/A</v>
      </c>
      <c r="AK136" t="e">
        <f t="shared" si="126"/>
        <v>#N/A</v>
      </c>
      <c r="AM136" s="4" t="e">
        <f t="shared" si="127"/>
        <v>#N/A</v>
      </c>
      <c r="AN136" s="4" t="e">
        <f t="shared" si="128"/>
        <v>#N/A</v>
      </c>
    </row>
    <row r="137" spans="1:40" x14ac:dyDescent="0.25">
      <c r="A137" t="s">
        <v>74</v>
      </c>
      <c r="B137" s="4">
        <f t="shared" si="100"/>
        <v>1.9066523744363679</v>
      </c>
      <c r="C137" s="4">
        <f t="shared" si="100"/>
        <v>3.0601759300824782</v>
      </c>
      <c r="D137" s="4">
        <f t="shared" si="97"/>
        <v>-9.0881290048191623</v>
      </c>
      <c r="E137" s="4">
        <f t="shared" si="97"/>
        <v>2.7213803835121406</v>
      </c>
      <c r="F137" s="4">
        <f t="shared" si="98"/>
        <v>1.9064021371029234</v>
      </c>
      <c r="G137" s="4">
        <f t="shared" si="99"/>
        <v>1.7436962313278683</v>
      </c>
      <c r="H137" s="4">
        <f t="shared" si="101"/>
        <v>3.0814214024260832E-2</v>
      </c>
      <c r="I137" s="4">
        <f t="shared" si="102"/>
        <v>3.0014239357467307</v>
      </c>
      <c r="J137" s="4">
        <f t="shared" si="103"/>
        <v>1.9066523744363679</v>
      </c>
      <c r="K137" s="4">
        <f t="shared" si="104"/>
        <v>3.0601759300824782</v>
      </c>
      <c r="L137" s="4">
        <f t="shared" si="105"/>
        <v>-9.0881290048191623</v>
      </c>
      <c r="M137" s="4">
        <f t="shared" si="106"/>
        <v>2.7213803835121406</v>
      </c>
      <c r="N137" s="4">
        <f t="shared" si="107"/>
        <v>1.9064021371029234</v>
      </c>
      <c r="O137" s="4">
        <f t="shared" si="108"/>
        <v>1.7436962313278683</v>
      </c>
      <c r="P137" s="4">
        <f t="shared" si="109"/>
        <v>2.1697136638241674</v>
      </c>
      <c r="Q137" s="4">
        <f t="shared" si="110"/>
        <v>6.0858136840043242</v>
      </c>
      <c r="R137" s="4">
        <f t="shared" si="111"/>
        <v>6.9191581517954424</v>
      </c>
      <c r="U137">
        <f t="shared" si="112"/>
        <v>1.9066523744363679</v>
      </c>
      <c r="V137">
        <f t="shared" si="113"/>
        <v>3.0601759300824782</v>
      </c>
      <c r="W137" s="9" t="str">
        <f t="shared" si="114"/>
        <v>1.9064 ksi</v>
      </c>
      <c r="X137">
        <f t="shared" si="115"/>
        <v>-3</v>
      </c>
      <c r="Y137">
        <f t="shared" si="116"/>
        <v>2</v>
      </c>
      <c r="AA137" s="4">
        <f t="shared" si="117"/>
        <v>0</v>
      </c>
      <c r="AB137" s="4">
        <f t="shared" si="118"/>
        <v>11</v>
      </c>
      <c r="AD137">
        <f t="shared" si="119"/>
        <v>-9.0881290048191623</v>
      </c>
      <c r="AE137">
        <f t="shared" si="120"/>
        <v>2.7213803835121406</v>
      </c>
      <c r="AF137" s="9" t="str">
        <f t="shared" si="121"/>
        <v>1.7437 ksi</v>
      </c>
      <c r="AG137" t="e">
        <f t="shared" si="122"/>
        <v>#N/A</v>
      </c>
      <c r="AH137" t="e">
        <f t="shared" si="123"/>
        <v>#N/A</v>
      </c>
      <c r="AI137" t="str">
        <f t="shared" si="124"/>
        <v/>
      </c>
      <c r="AJ137" t="e">
        <f t="shared" si="125"/>
        <v>#N/A</v>
      </c>
      <c r="AK137" t="e">
        <f t="shared" si="126"/>
        <v>#N/A</v>
      </c>
      <c r="AM137" s="4" t="e">
        <f t="shared" si="127"/>
        <v>#N/A</v>
      </c>
      <c r="AN137" s="4" t="e">
        <f t="shared" si="128"/>
        <v>#N/A</v>
      </c>
    </row>
    <row r="138" spans="1:40" x14ac:dyDescent="0.25">
      <c r="A138" t="s">
        <v>75</v>
      </c>
      <c r="B138" s="4">
        <f t="shared" si="100"/>
        <v>-9.0881290048191623</v>
      </c>
      <c r="C138" s="4">
        <f t="shared" si="100"/>
        <v>2.7213803835121406</v>
      </c>
      <c r="D138" s="4">
        <f t="shared" si="97"/>
        <v>-9.0881290048191623</v>
      </c>
      <c r="E138" s="4">
        <f t="shared" si="97"/>
        <v>2.7213803835121406</v>
      </c>
      <c r="F138" s="4">
        <f t="shared" si="98"/>
        <v>1.7436962313278683</v>
      </c>
      <c r="G138" s="4">
        <f t="shared" si="99"/>
        <v>1.7436962313278683</v>
      </c>
      <c r="H138" s="4" t="str">
        <f t="shared" si="101"/>
        <v>V</v>
      </c>
      <c r="I138" s="4">
        <f t="shared" si="102"/>
        <v>0</v>
      </c>
      <c r="J138" s="4">
        <f t="shared" si="103"/>
        <v>-9.0881290048191623</v>
      </c>
      <c r="K138" s="4">
        <f t="shared" si="104"/>
        <v>2.7213803835121406</v>
      </c>
      <c r="L138" s="4">
        <f t="shared" si="105"/>
        <v>-9.0881290048191623</v>
      </c>
      <c r="M138" s="4">
        <f t="shared" si="106"/>
        <v>2.7213803835121406</v>
      </c>
      <c r="N138" s="4">
        <f t="shared" si="107"/>
        <v>1.7436962313278683</v>
      </c>
      <c r="O138" s="4">
        <f t="shared" si="108"/>
        <v>1.7436962313278683</v>
      </c>
      <c r="P138" s="30">
        <f t="shared" si="109"/>
        <v>0</v>
      </c>
      <c r="Q138" s="30">
        <f t="shared" si="110"/>
        <v>0</v>
      </c>
      <c r="R138" s="30">
        <f t="shared" si="111"/>
        <v>0</v>
      </c>
      <c r="U138">
        <f t="shared" si="112"/>
        <v>-9.0881290048191623</v>
      </c>
      <c r="V138">
        <f t="shared" si="113"/>
        <v>2.7213803835121406</v>
      </c>
      <c r="W138" s="9" t="str">
        <f t="shared" si="114"/>
        <v>1.7437 ksi</v>
      </c>
      <c r="X138">
        <f t="shared" si="115"/>
        <v>-3</v>
      </c>
      <c r="Y138">
        <f t="shared" si="116"/>
        <v>-9.0000000000000018</v>
      </c>
      <c r="AA138" s="4">
        <f t="shared" si="117"/>
        <v>0</v>
      </c>
      <c r="AB138" s="4">
        <f t="shared" si="118"/>
        <v>0</v>
      </c>
      <c r="AD138">
        <f t="shared" si="119"/>
        <v>-9.0881290048191623</v>
      </c>
      <c r="AE138">
        <f t="shared" si="120"/>
        <v>2.7213803835121406</v>
      </c>
      <c r="AF138" s="9" t="str">
        <f t="shared" si="121"/>
        <v>1.7437 ksi</v>
      </c>
      <c r="AG138" t="e">
        <f t="shared" si="122"/>
        <v>#N/A</v>
      </c>
      <c r="AH138" t="e">
        <f t="shared" si="123"/>
        <v>#N/A</v>
      </c>
      <c r="AI138" t="str">
        <f t="shared" si="124"/>
        <v/>
      </c>
      <c r="AJ138" t="e">
        <f t="shared" si="125"/>
        <v>#N/A</v>
      </c>
      <c r="AK138" t="e">
        <f t="shared" si="126"/>
        <v>#N/A</v>
      </c>
      <c r="AM138" s="4" t="e">
        <f t="shared" si="127"/>
        <v>#N/A</v>
      </c>
      <c r="AN138" s="4" t="e">
        <f t="shared" si="128"/>
        <v>#N/A</v>
      </c>
    </row>
    <row r="139" spans="1:40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97"/>
        <v>-9.0881290048191623</v>
      </c>
      <c r="E139" s="4">
        <f t="shared" si="97"/>
        <v>2.7213803835121406</v>
      </c>
      <c r="F139" s="4">
        <f t="shared" si="98"/>
        <v>1.7436962313278683</v>
      </c>
      <c r="G139" s="4">
        <f t="shared" si="99"/>
        <v>1.7436962313278683</v>
      </c>
      <c r="H139" s="4" t="str">
        <f t="shared" si="101"/>
        <v>V</v>
      </c>
      <c r="I139" s="4">
        <f t="shared" si="102"/>
        <v>0</v>
      </c>
      <c r="J139" s="4">
        <f t="shared" si="103"/>
        <v>-9.0881290048191623</v>
      </c>
      <c r="K139" s="4">
        <f t="shared" si="104"/>
        <v>2.7213803835121406</v>
      </c>
      <c r="L139" s="4">
        <f t="shared" si="105"/>
        <v>-9.0881290048191623</v>
      </c>
      <c r="M139" s="4">
        <f t="shared" si="106"/>
        <v>2.7213803835121406</v>
      </c>
      <c r="N139" s="4">
        <f t="shared" si="107"/>
        <v>1.7436962313278683</v>
      </c>
      <c r="O139" s="4">
        <f t="shared" si="108"/>
        <v>1.7436962313278683</v>
      </c>
      <c r="P139" s="31">
        <f t="shared" si="109"/>
        <v>0</v>
      </c>
      <c r="Q139" s="31">
        <f t="shared" si="110"/>
        <v>0</v>
      </c>
      <c r="R139" s="31">
        <f t="shared" si="111"/>
        <v>0</v>
      </c>
      <c r="U139">
        <f t="shared" si="112"/>
        <v>-9.0881290048191623</v>
      </c>
      <c r="V139">
        <f t="shared" si="113"/>
        <v>2.7213803835121406</v>
      </c>
      <c r="W139" s="9" t="str">
        <f t="shared" si="114"/>
        <v>1.7437 ksi</v>
      </c>
      <c r="X139">
        <f t="shared" si="115"/>
        <v>-3</v>
      </c>
      <c r="Y139">
        <f t="shared" si="116"/>
        <v>-9.0000000000000018</v>
      </c>
      <c r="AA139" s="4">
        <f t="shared" si="117"/>
        <v>0</v>
      </c>
      <c r="AB139" s="4">
        <f t="shared" si="118"/>
        <v>0</v>
      </c>
      <c r="AD139">
        <f t="shared" si="119"/>
        <v>-9.0881290048191623</v>
      </c>
      <c r="AE139">
        <f t="shared" si="120"/>
        <v>2.7213803835121406</v>
      </c>
      <c r="AF139" s="9" t="str">
        <f t="shared" si="121"/>
        <v>1.7437 ksi</v>
      </c>
      <c r="AG139" t="e">
        <f t="shared" si="122"/>
        <v>#N/A</v>
      </c>
      <c r="AH139" t="e">
        <f t="shared" si="123"/>
        <v>#N/A</v>
      </c>
      <c r="AI139" t="str">
        <f t="shared" si="124"/>
        <v/>
      </c>
      <c r="AJ139" t="e">
        <f t="shared" si="125"/>
        <v>#N/A</v>
      </c>
      <c r="AK139" t="e">
        <f t="shared" si="126"/>
        <v>#N/A</v>
      </c>
      <c r="AM139" s="4" t="e">
        <f t="shared" si="127"/>
        <v>#N/A</v>
      </c>
      <c r="AN139" s="4" t="e">
        <f t="shared" si="128"/>
        <v>#N/A</v>
      </c>
    </row>
    <row r="140" spans="1:40" ht="15.75" thickTop="1" x14ac:dyDescent="0.25">
      <c r="P140" s="4">
        <f>SUM(P132:P139)</f>
        <v>38.189137560019965</v>
      </c>
      <c r="Q140" s="4">
        <f>SUM(Q132:Q139)</f>
        <v>62.148671705809676</v>
      </c>
      <c r="R140" s="4">
        <f>SUM(R132:R139)</f>
        <v>129.39985409492604</v>
      </c>
      <c r="T140" t="str">
        <f>ROUND(P140,4)&amp;" kips"</f>
        <v>38.1891 kips</v>
      </c>
      <c r="W140" s="9" t="str">
        <f t="shared" si="114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4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-3.3883942493216752</v>
      </c>
      <c r="W142" s="9" t="str">
        <f t="shared" si="114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1.6273913389149912</v>
      </c>
      <c r="W143" s="9" t="str">
        <f t="shared" si="114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4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2"/>
        <v>xi' (in)</v>
      </c>
      <c r="V145" t="str">
        <f t="shared" si="113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129">I85</f>
        <v>-9.0881290048191623</v>
      </c>
      <c r="E146">
        <f t="shared" si="129"/>
        <v>2.7213803835121406</v>
      </c>
      <c r="F146" s="4">
        <f>($B$66/$B$65)*(C146-$B$125)</f>
        <v>1.7436962313278683</v>
      </c>
      <c r="G146" s="4">
        <f>($B$66/$B$65)*(E146-$B$125)</f>
        <v>1.7436962313278683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1.7436962313278683</v>
      </c>
      <c r="O146" s="4">
        <f>IF(G146&lt;0,0,G146)</f>
        <v>1.7436962313278683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12"/>
        <v>-9.0881290048191623</v>
      </c>
      <c r="V146">
        <f t="shared" si="113"/>
        <v>2.7213803835121406</v>
      </c>
      <c r="W146" s="9" t="str">
        <f>IF($D$34=0,"",IF(AND(J146=0,K146=0,L146=0,M146=0),"",CHAR(10)&amp;CHAR(10)&amp;-1*ROUND(N146,4)&amp;" ksi"))</f>
        <v/>
      </c>
      <c r="X146">
        <f t="shared" ref="X146:X153" si="130">(U146*COS(-1*$B$64))+(V146*SIN(-1*$B$64))</f>
        <v>-3</v>
      </c>
      <c r="Y146">
        <f t="shared" ref="Y146:Y153" si="131">(-1*U146*SIN(-1*$B$64))+(V146*COS(-1*$B$64))</f>
        <v>-9.0000000000000018</v>
      </c>
      <c r="AA146" s="4">
        <f t="shared" ref="AA146:AA153" si="132">X146+$B$9</f>
        <v>0</v>
      </c>
      <c r="AB146" s="4">
        <f t="shared" ref="AB146:AB153" si="133">Y146+$C$9</f>
        <v>0</v>
      </c>
      <c r="AD146">
        <f t="shared" ref="AD146:AD153" si="134">IF(AND(J146=0,K146=0,L146=0,M146=0),NA(),L146)</f>
        <v>-9.0881290048191623</v>
      </c>
      <c r="AE146">
        <f t="shared" ref="AE146:AE153" si="135">IF(AND(J146=0,K146=0,L146=0,M146=0),NA(),M146)</f>
        <v>2.7213803835121406</v>
      </c>
      <c r="AF146" s="9" t="str">
        <f>IF(AND(J146=0,K146=0,L146=0,M146=0),"",CHAR(10)&amp;CHAR(10)&amp;-1*ROUND(O146,4)&amp;" ksi")</f>
        <v xml:space="preserve">
-1.7437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6">(AG146*COS(-1*$B$64))+(AH146*SIN(-1*$B$64))</f>
        <v>#N/A</v>
      </c>
      <c r="AK146" t="e">
        <f t="shared" ref="AK146:AK153" si="137">(-1*AG146*SIN(-1*$B$64))+(AH146*COS(-1*$B$64))</f>
        <v>#N/A</v>
      </c>
      <c r="AM146" s="4" t="e">
        <f t="shared" ref="AM146:AM153" si="138">AJ146+$B$9</f>
        <v>#N/A</v>
      </c>
      <c r="AN146" s="4" t="e">
        <f t="shared" ref="AN146:AN153" si="139">AK146+$C$9</f>
        <v>#N/A</v>
      </c>
    </row>
    <row r="147" spans="1:40" x14ac:dyDescent="0.25">
      <c r="A147" t="s">
        <v>70</v>
      </c>
      <c r="B147" s="9">
        <f t="shared" ref="B147:C153" si="140">D146</f>
        <v>-9.0881290048191623</v>
      </c>
      <c r="C147">
        <f t="shared" si="140"/>
        <v>2.7213803835121406</v>
      </c>
      <c r="D147" s="9">
        <f t="shared" si="129"/>
        <v>-9.0881290048191623</v>
      </c>
      <c r="E147">
        <f t="shared" si="129"/>
        <v>2.7213803835121406</v>
      </c>
      <c r="F147" s="4">
        <f t="shared" ref="F147:F153" si="141">($B$66/$B$65)*(C147-$B$125)</f>
        <v>1.7436962313278683</v>
      </c>
      <c r="G147" s="4">
        <f t="shared" ref="G147:G153" si="142">($B$66/$B$65)*(E147-$B$125)</f>
        <v>1.7436962313278683</v>
      </c>
      <c r="H147" s="4" t="str">
        <f t="shared" ref="H147:H153" si="143">IF(B147=D147,"V",(C147-E147)/(B147-D147))</f>
        <v>V</v>
      </c>
      <c r="I147" s="4">
        <f t="shared" ref="I147:I153" si="144">IF(H147="V",0,(-1*B147*H147)+C147)</f>
        <v>0</v>
      </c>
      <c r="J147" s="4">
        <f t="shared" ref="J147:J153" si="145">IF($F147&gt;=0,B147,IF(AND($F147&lt;0,$G147&gt;=0),IF(H147="V",B147,($B$125-I147)/H147),0))</f>
        <v>-9.0881290048191623</v>
      </c>
      <c r="K147" s="4">
        <f t="shared" ref="K147:K153" si="146">IF($F147&gt;=0,C147,IF(AND($F147&lt;0,$G147&gt;=0),$B$125,0))</f>
        <v>2.7213803835121406</v>
      </c>
      <c r="L147" s="4">
        <f t="shared" ref="L147:L153" si="147">IF($G147&gt;=0,D147,IF(AND($G147&lt;0,$F147&gt;=0),IF(H147="V",D147,($B$125-I147)/H147),0))</f>
        <v>-9.0881290048191623</v>
      </c>
      <c r="M147" s="4">
        <f t="shared" ref="M147:M153" si="148">IF($G147&gt;=0,E147,IF(AND($G147&lt;0,$F147&gt;=0),$B$125,0))</f>
        <v>2.7213803835121406</v>
      </c>
      <c r="N147" s="4">
        <f t="shared" ref="N147:N153" si="149">IF(F147&lt;0,0,F147)</f>
        <v>1.7436962313278683</v>
      </c>
      <c r="O147" s="4">
        <f t="shared" ref="O147:O153" si="150">IF(G147&lt;0,0,G147)</f>
        <v>1.7436962313278683</v>
      </c>
      <c r="P147" s="4">
        <f t="shared" ref="P147:P153" si="151">(1/6)*(M147-K147)*((N147*((2*J147)+L147))+(O147*(J147+(2*L147))))</f>
        <v>0</v>
      </c>
      <c r="Q147" s="4">
        <f t="shared" ref="Q147:Q153" si="152">((1/12)*(M147-K147)*(N147*J147*((3*K147)+M147)+N147*L147*(K147+M147)+O147*J147*(K147+M147)+O147*L147*(K147+(3*M147))))</f>
        <v>0</v>
      </c>
      <c r="R147" s="4">
        <f t="shared" ref="R147:R153" si="153">((-1/24)*(M147-K147)*(J147*J147*((3*N147)+O147)+2*J147*L147*(N147+O147)+L147*L147*(N147+(3*O147))))</f>
        <v>0</v>
      </c>
      <c r="U147">
        <f t="shared" si="112"/>
        <v>-9.0881290048191623</v>
      </c>
      <c r="V147">
        <f t="shared" si="113"/>
        <v>2.7213803835121406</v>
      </c>
      <c r="W147" s="9" t="str">
        <f t="shared" ref="W147:W153" si="154">IF($D$34=0,"",IF(AND(J147=0,K147=0,L147=0,M147=0),"",CHAR(10)&amp;CHAR(10)&amp;-1*ROUND(N147,4)&amp;" ksi"))</f>
        <v/>
      </c>
      <c r="X147">
        <f t="shared" si="130"/>
        <v>-3</v>
      </c>
      <c r="Y147">
        <f t="shared" si="131"/>
        <v>-9.0000000000000018</v>
      </c>
      <c r="AA147" s="4">
        <f t="shared" si="132"/>
        <v>0</v>
      </c>
      <c r="AB147" s="4">
        <f t="shared" si="133"/>
        <v>0</v>
      </c>
      <c r="AD147">
        <f t="shared" si="134"/>
        <v>-9.0881290048191623</v>
      </c>
      <c r="AE147">
        <f t="shared" si="135"/>
        <v>2.7213803835121406</v>
      </c>
      <c r="AF147" s="9" t="str">
        <f t="shared" ref="AF147:AF153" si="155">IF(AND(J147=0,K147=0,L147=0,M147=0),"",CHAR(10)&amp;CHAR(10)&amp;-1*ROUND(O147,4)&amp;" ksi")</f>
        <v xml:space="preserve">
-1.7437 ksi</v>
      </c>
      <c r="AG147" t="e">
        <f t="shared" ref="AG147:AG153" si="156">IF(COUNTIF($U$146:$U$153,AD147)&gt;0,NA(),AD147)</f>
        <v>#N/A</v>
      </c>
      <c r="AH147" t="e">
        <f t="shared" ref="AH147:AH153" si="157">IF(AND(COUNTIF($V$146:$V$153,AE147)&gt;0,AF147&lt;&gt;CHAR(10)&amp;CHAR(10)&amp;"0 ksi"),NA(),AE147)</f>
        <v>#N/A</v>
      </c>
      <c r="AI147" t="str">
        <f t="shared" ref="AI147:AI153" si="158">IF(COUNTIF($U$146:$U$153,AD147)&gt;0,"",AF147)</f>
        <v/>
      </c>
      <c r="AJ147" t="e">
        <f t="shared" si="136"/>
        <v>#N/A</v>
      </c>
      <c r="AK147" t="e">
        <f t="shared" si="137"/>
        <v>#N/A</v>
      </c>
      <c r="AM147" s="4" t="e">
        <f t="shared" si="138"/>
        <v>#N/A</v>
      </c>
      <c r="AN147" s="4" t="e">
        <f t="shared" si="139"/>
        <v>#N/A</v>
      </c>
    </row>
    <row r="148" spans="1:40" x14ac:dyDescent="0.25">
      <c r="A148" t="s">
        <v>71</v>
      </c>
      <c r="B148" s="9">
        <f t="shared" si="140"/>
        <v>-9.0881290048191623</v>
      </c>
      <c r="C148">
        <f t="shared" si="140"/>
        <v>2.7213803835121406</v>
      </c>
      <c r="D148" s="9">
        <f t="shared" si="129"/>
        <v>-9.0881290048191623</v>
      </c>
      <c r="E148">
        <f t="shared" si="129"/>
        <v>2.7213803835121406</v>
      </c>
      <c r="F148" s="4">
        <f t="shared" si="141"/>
        <v>1.7436962313278683</v>
      </c>
      <c r="G148" s="4">
        <f t="shared" si="142"/>
        <v>1.7436962313278683</v>
      </c>
      <c r="H148" s="4" t="str">
        <f t="shared" si="143"/>
        <v>V</v>
      </c>
      <c r="I148" s="4">
        <f t="shared" si="144"/>
        <v>0</v>
      </c>
      <c r="J148" s="4">
        <f t="shared" si="145"/>
        <v>-9.0881290048191623</v>
      </c>
      <c r="K148" s="4">
        <f t="shared" si="146"/>
        <v>2.7213803835121406</v>
      </c>
      <c r="L148" s="4">
        <f t="shared" si="147"/>
        <v>-9.0881290048191623</v>
      </c>
      <c r="M148" s="4">
        <f t="shared" si="148"/>
        <v>2.7213803835121406</v>
      </c>
      <c r="N148" s="4">
        <f t="shared" si="149"/>
        <v>1.7436962313278683</v>
      </c>
      <c r="O148" s="4">
        <f t="shared" si="150"/>
        <v>1.7436962313278683</v>
      </c>
      <c r="P148" s="4">
        <f t="shared" si="151"/>
        <v>0</v>
      </c>
      <c r="Q148" s="4">
        <f t="shared" si="152"/>
        <v>0</v>
      </c>
      <c r="R148" s="4">
        <f t="shared" si="153"/>
        <v>0</v>
      </c>
      <c r="U148">
        <f t="shared" si="112"/>
        <v>-9.0881290048191623</v>
      </c>
      <c r="V148">
        <f t="shared" si="113"/>
        <v>2.7213803835121406</v>
      </c>
      <c r="W148" s="9" t="str">
        <f t="shared" si="154"/>
        <v/>
      </c>
      <c r="X148">
        <f t="shared" si="130"/>
        <v>-3</v>
      </c>
      <c r="Y148">
        <f t="shared" si="131"/>
        <v>-9.0000000000000018</v>
      </c>
      <c r="AA148" s="4">
        <f t="shared" si="132"/>
        <v>0</v>
      </c>
      <c r="AB148" s="4">
        <f t="shared" si="133"/>
        <v>0</v>
      </c>
      <c r="AD148">
        <f t="shared" si="134"/>
        <v>-9.0881290048191623</v>
      </c>
      <c r="AE148">
        <f t="shared" si="135"/>
        <v>2.7213803835121406</v>
      </c>
      <c r="AF148" s="9" t="str">
        <f t="shared" si="155"/>
        <v xml:space="preserve">
-1.7437 ksi</v>
      </c>
      <c r="AG148" t="e">
        <f t="shared" si="156"/>
        <v>#N/A</v>
      </c>
      <c r="AH148" t="e">
        <f t="shared" si="157"/>
        <v>#N/A</v>
      </c>
      <c r="AI148" t="str">
        <f t="shared" si="158"/>
        <v/>
      </c>
      <c r="AJ148" t="e">
        <f t="shared" si="136"/>
        <v>#N/A</v>
      </c>
      <c r="AK148" t="e">
        <f t="shared" si="137"/>
        <v>#N/A</v>
      </c>
      <c r="AM148" s="4" t="e">
        <f t="shared" si="138"/>
        <v>#N/A</v>
      </c>
      <c r="AN148" s="4" t="e">
        <f t="shared" si="139"/>
        <v>#N/A</v>
      </c>
    </row>
    <row r="149" spans="1:40" x14ac:dyDescent="0.25">
      <c r="A149" t="s">
        <v>72</v>
      </c>
      <c r="B149" s="9">
        <f t="shared" si="140"/>
        <v>-9.0881290048191623</v>
      </c>
      <c r="C149">
        <f t="shared" si="140"/>
        <v>2.7213803835121406</v>
      </c>
      <c r="D149" s="9">
        <f t="shared" si="129"/>
        <v>-9.0881290048191623</v>
      </c>
      <c r="E149">
        <f t="shared" si="129"/>
        <v>2.7213803835121406</v>
      </c>
      <c r="F149" s="4">
        <f t="shared" si="141"/>
        <v>1.7436962313278683</v>
      </c>
      <c r="G149" s="4">
        <f t="shared" si="142"/>
        <v>1.7436962313278683</v>
      </c>
      <c r="H149" s="4" t="str">
        <f t="shared" si="143"/>
        <v>V</v>
      </c>
      <c r="I149" s="4">
        <f t="shared" si="144"/>
        <v>0</v>
      </c>
      <c r="J149" s="4">
        <f t="shared" si="145"/>
        <v>-9.0881290048191623</v>
      </c>
      <c r="K149" s="4">
        <f t="shared" si="146"/>
        <v>2.7213803835121406</v>
      </c>
      <c r="L149" s="4">
        <f t="shared" si="147"/>
        <v>-9.0881290048191623</v>
      </c>
      <c r="M149" s="4">
        <f t="shared" si="148"/>
        <v>2.7213803835121406</v>
      </c>
      <c r="N149" s="4">
        <f t="shared" si="149"/>
        <v>1.7436962313278683</v>
      </c>
      <c r="O149" s="4">
        <f t="shared" si="150"/>
        <v>1.7436962313278683</v>
      </c>
      <c r="P149" s="4">
        <f t="shared" si="151"/>
        <v>0</v>
      </c>
      <c r="Q149" s="4">
        <f t="shared" si="152"/>
        <v>0</v>
      </c>
      <c r="R149" s="4">
        <f t="shared" si="153"/>
        <v>0</v>
      </c>
      <c r="U149">
        <f t="shared" si="112"/>
        <v>-9.0881290048191623</v>
      </c>
      <c r="V149">
        <f t="shared" si="113"/>
        <v>2.7213803835121406</v>
      </c>
      <c r="W149" s="9" t="str">
        <f t="shared" si="154"/>
        <v/>
      </c>
      <c r="X149">
        <f t="shared" si="130"/>
        <v>-3</v>
      </c>
      <c r="Y149">
        <f t="shared" si="131"/>
        <v>-9.0000000000000018</v>
      </c>
      <c r="AA149" s="4">
        <f t="shared" si="132"/>
        <v>0</v>
      </c>
      <c r="AB149" s="4">
        <f t="shared" si="133"/>
        <v>0</v>
      </c>
      <c r="AD149">
        <f t="shared" si="134"/>
        <v>-9.0881290048191623</v>
      </c>
      <c r="AE149">
        <f t="shared" si="135"/>
        <v>2.7213803835121406</v>
      </c>
      <c r="AF149" s="9" t="str">
        <f t="shared" si="155"/>
        <v xml:space="preserve">
-1.7437 ksi</v>
      </c>
      <c r="AG149" t="e">
        <f t="shared" si="156"/>
        <v>#N/A</v>
      </c>
      <c r="AH149" t="e">
        <f t="shared" si="157"/>
        <v>#N/A</v>
      </c>
      <c r="AI149" t="str">
        <f t="shared" si="158"/>
        <v/>
      </c>
      <c r="AJ149" t="e">
        <f t="shared" si="136"/>
        <v>#N/A</v>
      </c>
      <c r="AK149" t="e">
        <f t="shared" si="137"/>
        <v>#N/A</v>
      </c>
      <c r="AM149" s="4" t="e">
        <f t="shared" si="138"/>
        <v>#N/A</v>
      </c>
      <c r="AN149" s="4" t="e">
        <f t="shared" si="139"/>
        <v>#N/A</v>
      </c>
    </row>
    <row r="150" spans="1:40" x14ac:dyDescent="0.25">
      <c r="A150" t="s">
        <v>73</v>
      </c>
      <c r="B150" s="9">
        <f t="shared" si="140"/>
        <v>-9.0881290048191623</v>
      </c>
      <c r="C150">
        <f t="shared" si="140"/>
        <v>2.7213803835121406</v>
      </c>
      <c r="D150" s="9">
        <f t="shared" si="129"/>
        <v>-9.0881290048191623</v>
      </c>
      <c r="E150">
        <f t="shared" si="129"/>
        <v>2.7213803835121406</v>
      </c>
      <c r="F150" s="4">
        <f t="shared" si="141"/>
        <v>1.7436962313278683</v>
      </c>
      <c r="G150" s="4">
        <f t="shared" si="142"/>
        <v>1.7436962313278683</v>
      </c>
      <c r="H150" s="4" t="str">
        <f t="shared" si="143"/>
        <v>V</v>
      </c>
      <c r="I150" s="4">
        <f t="shared" si="144"/>
        <v>0</v>
      </c>
      <c r="J150" s="4">
        <f t="shared" si="145"/>
        <v>-9.0881290048191623</v>
      </c>
      <c r="K150" s="4">
        <f t="shared" si="146"/>
        <v>2.7213803835121406</v>
      </c>
      <c r="L150" s="4">
        <f t="shared" si="147"/>
        <v>-9.0881290048191623</v>
      </c>
      <c r="M150" s="4">
        <f t="shared" si="148"/>
        <v>2.7213803835121406</v>
      </c>
      <c r="N150" s="4">
        <f t="shared" si="149"/>
        <v>1.7436962313278683</v>
      </c>
      <c r="O150" s="4">
        <f t="shared" si="150"/>
        <v>1.7436962313278683</v>
      </c>
      <c r="P150" s="4">
        <f t="shared" si="151"/>
        <v>0</v>
      </c>
      <c r="Q150" s="4">
        <f t="shared" si="152"/>
        <v>0</v>
      </c>
      <c r="R150" s="4">
        <f t="shared" si="153"/>
        <v>0</v>
      </c>
      <c r="U150">
        <f t="shared" si="112"/>
        <v>-9.0881290048191623</v>
      </c>
      <c r="V150">
        <f t="shared" si="113"/>
        <v>2.7213803835121406</v>
      </c>
      <c r="W150" s="9" t="str">
        <f t="shared" si="154"/>
        <v/>
      </c>
      <c r="X150">
        <f t="shared" si="130"/>
        <v>-3</v>
      </c>
      <c r="Y150">
        <f t="shared" si="131"/>
        <v>-9.0000000000000018</v>
      </c>
      <c r="AA150" s="4">
        <f t="shared" si="132"/>
        <v>0</v>
      </c>
      <c r="AB150" s="4">
        <f t="shared" si="133"/>
        <v>0</v>
      </c>
      <c r="AD150">
        <f t="shared" si="134"/>
        <v>-9.0881290048191623</v>
      </c>
      <c r="AE150">
        <f t="shared" si="135"/>
        <v>2.7213803835121406</v>
      </c>
      <c r="AF150" s="9" t="str">
        <f t="shared" si="155"/>
        <v xml:space="preserve">
-1.7437 ksi</v>
      </c>
      <c r="AG150" t="e">
        <f t="shared" si="156"/>
        <v>#N/A</v>
      </c>
      <c r="AH150" t="e">
        <f t="shared" si="157"/>
        <v>#N/A</v>
      </c>
      <c r="AI150" t="str">
        <f t="shared" si="158"/>
        <v/>
      </c>
      <c r="AJ150" t="e">
        <f t="shared" si="136"/>
        <v>#N/A</v>
      </c>
      <c r="AK150" t="e">
        <f t="shared" si="137"/>
        <v>#N/A</v>
      </c>
      <c r="AM150" s="4" t="e">
        <f t="shared" si="138"/>
        <v>#N/A</v>
      </c>
      <c r="AN150" s="4" t="e">
        <f t="shared" si="139"/>
        <v>#N/A</v>
      </c>
    </row>
    <row r="151" spans="1:40" x14ac:dyDescent="0.25">
      <c r="A151" t="s">
        <v>74</v>
      </c>
      <c r="B151" s="9">
        <f t="shared" si="140"/>
        <v>-9.0881290048191623</v>
      </c>
      <c r="C151">
        <f t="shared" si="140"/>
        <v>2.7213803835121406</v>
      </c>
      <c r="D151" s="9">
        <f t="shared" si="129"/>
        <v>-9.0881290048191623</v>
      </c>
      <c r="E151">
        <f t="shared" si="129"/>
        <v>2.7213803835121406</v>
      </c>
      <c r="F151" s="4">
        <f t="shared" si="141"/>
        <v>1.7436962313278683</v>
      </c>
      <c r="G151" s="4">
        <f t="shared" si="142"/>
        <v>1.7436962313278683</v>
      </c>
      <c r="H151" s="4" t="str">
        <f t="shared" si="143"/>
        <v>V</v>
      </c>
      <c r="I151" s="4">
        <f t="shared" si="144"/>
        <v>0</v>
      </c>
      <c r="J151" s="4">
        <f t="shared" si="145"/>
        <v>-9.0881290048191623</v>
      </c>
      <c r="K151" s="4">
        <f t="shared" si="146"/>
        <v>2.7213803835121406</v>
      </c>
      <c r="L151" s="4">
        <f t="shared" si="147"/>
        <v>-9.0881290048191623</v>
      </c>
      <c r="M151" s="4">
        <f t="shared" si="148"/>
        <v>2.7213803835121406</v>
      </c>
      <c r="N151" s="4">
        <f t="shared" si="149"/>
        <v>1.7436962313278683</v>
      </c>
      <c r="O151" s="4">
        <f t="shared" si="150"/>
        <v>1.7436962313278683</v>
      </c>
      <c r="P151" s="4">
        <f t="shared" si="151"/>
        <v>0</v>
      </c>
      <c r="Q151" s="4">
        <f t="shared" si="152"/>
        <v>0</v>
      </c>
      <c r="R151" s="4">
        <f t="shared" si="153"/>
        <v>0</v>
      </c>
      <c r="U151">
        <f t="shared" si="112"/>
        <v>-9.0881290048191623</v>
      </c>
      <c r="V151">
        <f t="shared" si="113"/>
        <v>2.7213803835121406</v>
      </c>
      <c r="W151" s="9" t="str">
        <f t="shared" si="154"/>
        <v/>
      </c>
      <c r="X151">
        <f t="shared" si="130"/>
        <v>-3</v>
      </c>
      <c r="Y151">
        <f t="shared" si="131"/>
        <v>-9.0000000000000018</v>
      </c>
      <c r="AA151" s="4">
        <f t="shared" si="132"/>
        <v>0</v>
      </c>
      <c r="AB151" s="4">
        <f t="shared" si="133"/>
        <v>0</v>
      </c>
      <c r="AD151">
        <f t="shared" si="134"/>
        <v>-9.0881290048191623</v>
      </c>
      <c r="AE151">
        <f t="shared" si="135"/>
        <v>2.7213803835121406</v>
      </c>
      <c r="AF151" s="9" t="str">
        <f t="shared" si="155"/>
        <v xml:space="preserve">
-1.7437 ksi</v>
      </c>
      <c r="AG151" t="e">
        <f t="shared" si="156"/>
        <v>#N/A</v>
      </c>
      <c r="AH151" t="e">
        <f t="shared" si="157"/>
        <v>#N/A</v>
      </c>
      <c r="AI151" t="str">
        <f t="shared" si="158"/>
        <v/>
      </c>
      <c r="AJ151" t="e">
        <f t="shared" si="136"/>
        <v>#N/A</v>
      </c>
      <c r="AK151" t="e">
        <f t="shared" si="137"/>
        <v>#N/A</v>
      </c>
      <c r="AM151" s="4" t="e">
        <f t="shared" si="138"/>
        <v>#N/A</v>
      </c>
      <c r="AN151" s="4" t="e">
        <f t="shared" si="139"/>
        <v>#N/A</v>
      </c>
    </row>
    <row r="152" spans="1:40" x14ac:dyDescent="0.25">
      <c r="A152" t="s">
        <v>75</v>
      </c>
      <c r="B152" s="9">
        <f t="shared" si="140"/>
        <v>-9.0881290048191623</v>
      </c>
      <c r="C152">
        <f t="shared" si="140"/>
        <v>2.7213803835121406</v>
      </c>
      <c r="D152" s="9">
        <f t="shared" si="129"/>
        <v>-9.0881290048191623</v>
      </c>
      <c r="E152">
        <f t="shared" si="129"/>
        <v>2.7213803835121406</v>
      </c>
      <c r="F152" s="4">
        <f t="shared" si="141"/>
        <v>1.7436962313278683</v>
      </c>
      <c r="G152" s="4">
        <f t="shared" si="142"/>
        <v>1.7436962313278683</v>
      </c>
      <c r="H152" s="4" t="str">
        <f t="shared" si="143"/>
        <v>V</v>
      </c>
      <c r="I152" s="4">
        <f t="shared" si="144"/>
        <v>0</v>
      </c>
      <c r="J152" s="4">
        <f t="shared" si="145"/>
        <v>-9.0881290048191623</v>
      </c>
      <c r="K152" s="4">
        <f t="shared" si="146"/>
        <v>2.7213803835121406</v>
      </c>
      <c r="L152" s="4">
        <f t="shared" si="147"/>
        <v>-9.0881290048191623</v>
      </c>
      <c r="M152" s="4">
        <f t="shared" si="148"/>
        <v>2.7213803835121406</v>
      </c>
      <c r="N152" s="4">
        <f t="shared" si="149"/>
        <v>1.7436962313278683</v>
      </c>
      <c r="O152" s="4">
        <f t="shared" si="150"/>
        <v>1.7436962313278683</v>
      </c>
      <c r="P152" s="4">
        <f t="shared" si="151"/>
        <v>0</v>
      </c>
      <c r="Q152" s="4">
        <f t="shared" si="152"/>
        <v>0</v>
      </c>
      <c r="R152" s="4">
        <f t="shared" si="153"/>
        <v>0</v>
      </c>
      <c r="U152">
        <f t="shared" si="112"/>
        <v>-9.0881290048191623</v>
      </c>
      <c r="V152">
        <f t="shared" si="113"/>
        <v>2.7213803835121406</v>
      </c>
      <c r="W152" s="9" t="str">
        <f t="shared" si="154"/>
        <v/>
      </c>
      <c r="X152">
        <f t="shared" si="130"/>
        <v>-3</v>
      </c>
      <c r="Y152">
        <f t="shared" si="131"/>
        <v>-9.0000000000000018</v>
      </c>
      <c r="AA152" s="4">
        <f t="shared" si="132"/>
        <v>0</v>
      </c>
      <c r="AB152" s="4">
        <f t="shared" si="133"/>
        <v>0</v>
      </c>
      <c r="AD152">
        <f t="shared" si="134"/>
        <v>-9.0881290048191623</v>
      </c>
      <c r="AE152">
        <f t="shared" si="135"/>
        <v>2.7213803835121406</v>
      </c>
      <c r="AF152" s="9" t="str">
        <f t="shared" si="155"/>
        <v xml:space="preserve">
-1.7437 ksi</v>
      </c>
      <c r="AG152" t="e">
        <f t="shared" si="156"/>
        <v>#N/A</v>
      </c>
      <c r="AH152" t="e">
        <f t="shared" si="157"/>
        <v>#N/A</v>
      </c>
      <c r="AI152" t="str">
        <f t="shared" si="158"/>
        <v/>
      </c>
      <c r="AJ152" t="e">
        <f t="shared" si="136"/>
        <v>#N/A</v>
      </c>
      <c r="AK152" t="e">
        <f t="shared" si="137"/>
        <v>#N/A</v>
      </c>
      <c r="AM152" s="4" t="e">
        <f t="shared" si="138"/>
        <v>#N/A</v>
      </c>
      <c r="AN152" s="4" t="e">
        <f t="shared" si="139"/>
        <v>#N/A</v>
      </c>
    </row>
    <row r="153" spans="1:40" ht="15.75" thickBot="1" x14ac:dyDescent="0.3">
      <c r="A153" t="s">
        <v>134</v>
      </c>
      <c r="B153" s="9">
        <f t="shared" si="140"/>
        <v>-9.0881290048191623</v>
      </c>
      <c r="C153">
        <f t="shared" si="140"/>
        <v>2.7213803835121406</v>
      </c>
      <c r="D153" s="9">
        <f t="shared" si="129"/>
        <v>-9.0881290048191623</v>
      </c>
      <c r="E153">
        <f t="shared" si="129"/>
        <v>2.7213803835121406</v>
      </c>
      <c r="F153" s="4">
        <f t="shared" si="141"/>
        <v>1.7436962313278683</v>
      </c>
      <c r="G153" s="4">
        <f t="shared" si="142"/>
        <v>1.7436962313278683</v>
      </c>
      <c r="H153" s="4" t="str">
        <f t="shared" si="143"/>
        <v>V</v>
      </c>
      <c r="I153" s="4">
        <f t="shared" si="144"/>
        <v>0</v>
      </c>
      <c r="J153" s="4">
        <f t="shared" si="145"/>
        <v>-9.0881290048191623</v>
      </c>
      <c r="K153" s="4">
        <f t="shared" si="146"/>
        <v>2.7213803835121406</v>
      </c>
      <c r="L153" s="4">
        <f t="shared" si="147"/>
        <v>-9.0881290048191623</v>
      </c>
      <c r="M153" s="4">
        <f t="shared" si="148"/>
        <v>2.7213803835121406</v>
      </c>
      <c r="N153" s="4">
        <f t="shared" si="149"/>
        <v>1.7436962313278683</v>
      </c>
      <c r="O153" s="4">
        <f t="shared" si="150"/>
        <v>1.7436962313278683</v>
      </c>
      <c r="P153" s="22">
        <f t="shared" si="151"/>
        <v>0</v>
      </c>
      <c r="Q153" s="22">
        <f t="shared" si="152"/>
        <v>0</v>
      </c>
      <c r="R153" s="22">
        <f t="shared" si="153"/>
        <v>0</v>
      </c>
      <c r="U153">
        <f t="shared" si="112"/>
        <v>-9.0881290048191623</v>
      </c>
      <c r="V153">
        <f t="shared" si="113"/>
        <v>2.7213803835121406</v>
      </c>
      <c r="W153" s="9" t="str">
        <f t="shared" si="154"/>
        <v/>
      </c>
      <c r="X153">
        <f t="shared" si="130"/>
        <v>-3</v>
      </c>
      <c r="Y153">
        <f t="shared" si="131"/>
        <v>-9.0000000000000018</v>
      </c>
      <c r="AA153" s="4">
        <f t="shared" si="132"/>
        <v>0</v>
      </c>
      <c r="AB153" s="4">
        <f t="shared" si="133"/>
        <v>0</v>
      </c>
      <c r="AD153">
        <f t="shared" si="134"/>
        <v>-9.0881290048191623</v>
      </c>
      <c r="AE153">
        <f t="shared" si="135"/>
        <v>2.7213803835121406</v>
      </c>
      <c r="AF153" s="9" t="str">
        <f t="shared" si="155"/>
        <v xml:space="preserve">
-1.7437 ksi</v>
      </c>
      <c r="AG153" t="e">
        <f t="shared" si="156"/>
        <v>#N/A</v>
      </c>
      <c r="AH153" t="e">
        <f t="shared" si="157"/>
        <v>#N/A</v>
      </c>
      <c r="AI153" t="str">
        <f t="shared" si="158"/>
        <v/>
      </c>
      <c r="AJ153" t="e">
        <f t="shared" si="136"/>
        <v>#N/A</v>
      </c>
      <c r="AK153" t="e">
        <f t="shared" si="137"/>
        <v>#N/A</v>
      </c>
      <c r="AM153" s="4" t="e">
        <f t="shared" si="138"/>
        <v>#N/A</v>
      </c>
      <c r="AN153" s="4" t="e">
        <f t="shared" si="139"/>
        <v>#N/A</v>
      </c>
    </row>
    <row r="154" spans="1:40" ht="15.75" thickTop="1" x14ac:dyDescent="0.25">
      <c r="P154" s="4">
        <f>SUM(P146:P153)</f>
        <v>0</v>
      </c>
      <c r="Q154" s="4">
        <f t="shared" ref="Q154:R154" si="159">SUM(Q146:Q153)</f>
        <v>0</v>
      </c>
      <c r="R154" s="4">
        <f t="shared" si="159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30.000000000000039</v>
      </c>
      <c r="C159" t="s">
        <v>36</v>
      </c>
    </row>
    <row r="160" spans="1:40" x14ac:dyDescent="0.25">
      <c r="A160" s="1" t="s">
        <v>106</v>
      </c>
      <c r="B160" s="4">
        <f>Q140+I122+Q154-O122</f>
        <v>116.24711817474758</v>
      </c>
      <c r="C160" t="s">
        <v>102</v>
      </c>
    </row>
    <row r="161" spans="1:9" x14ac:dyDescent="0.25">
      <c r="A161" s="1" t="s">
        <v>107</v>
      </c>
      <c r="B161" s="4">
        <f>R140+J122+R154-P122</f>
        <v>123.63902100900975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30.000000000000039</v>
      </c>
      <c r="C164" t="s">
        <v>36</v>
      </c>
      <c r="E164" s="8">
        <f>B2-B164</f>
        <v>-3.907985046680551E-14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-120.00000000000031</v>
      </c>
      <c r="C165" t="s">
        <v>102</v>
      </c>
      <c r="E165" s="8">
        <f>B3+B165</f>
        <v>-3.1263880373444408E-13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120.00000000000006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-1.9064021369723594</v>
      </c>
      <c r="C169" s="3">
        <f ca="1">A169+B169</f>
        <v>1.3056400405275781E-10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5.887897387338245E-8</v>
      </c>
      <c r="D175" s="27">
        <f>B66*SQRT(I175)</f>
        <v>2.8276513289957277E-8</v>
      </c>
      <c r="E175" s="27">
        <f>IF(B67=0,SQRT(I175),B67*SQRT(I175))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3.9696196676201012</v>
      </c>
      <c r="D176" s="3">
        <f>D175+B66</f>
        <v>1.9064021653794367</v>
      </c>
      <c r="E176" s="3">
        <f>B67+E175</f>
        <v>3.8922412561779476</v>
      </c>
      <c r="F176" s="16" t="s">
        <v>125</v>
      </c>
    </row>
    <row r="177" spans="1:14" x14ac:dyDescent="0.25">
      <c r="B177" s="27">
        <f>B176-B64</f>
        <v>-7.0352927927785913E-8</v>
      </c>
      <c r="C177" s="27">
        <f>C176-B65</f>
        <v>5.8878973696607773E-8</v>
      </c>
      <c r="D177" s="27">
        <f>D176-B66</f>
        <v>2.8276513353020505E-8</v>
      </c>
      <c r="E177" s="27">
        <f>E176-B67</f>
        <v>5.7731266434046802E-8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0">C177=C175</f>
        <v>0</v>
      </c>
      <c r="D178" t="b">
        <f t="shared" si="160"/>
        <v>0</v>
      </c>
      <c r="E178" t="b">
        <f>E177=E175</f>
        <v>0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-19.895717226350758</v>
      </c>
      <c r="B180" s="25">
        <f>(d_sigma_p!E165-d_sigma_m!E165)/(2*'Rigid Bearing Plate Analysis'!D177)</f>
        <v>-65.817730869564556</v>
      </c>
      <c r="C180" s="25">
        <f>(d_sigma_p!E166-d_sigma_m!E166)/(2*'Rigid Bearing Plate Analysis'!D177)</f>
        <v>34.470587574750525</v>
      </c>
      <c r="D180" s="25">
        <f ca="1">(d_sigma_p!C169-d_sigma_m!C169)/(2*D177)</f>
        <v>1</v>
      </c>
    </row>
    <row r="181" spans="1:14" x14ac:dyDescent="0.25">
      <c r="A181" s="25">
        <f>(d_alpha_p!E164-d_alpha_m!E164)/(2*B177)</f>
        <v>-110.41809425042976</v>
      </c>
      <c r="B181" s="25">
        <f>(d_alpha_p!E165-d_alpha_m!E165)/(2*B177)</f>
        <v>-607.17613478692272</v>
      </c>
      <c r="C181" s="25">
        <f>(d_alpha_p!E166-d_alpha_m!E166)/(2*B177)</f>
        <v>127.51714444405658</v>
      </c>
      <c r="D181" s="25">
        <f ca="1">(d_alpha_p!C169-d_alpha_m!C169)/(2*B177)</f>
        <v>-1.1565160924982598</v>
      </c>
    </row>
    <row r="182" spans="1:14" x14ac:dyDescent="0.25">
      <c r="A182" s="25">
        <f>(d_Y_p!E164-d_Y_m!E164)/(2*C177)</f>
        <v>-11.020308791893227</v>
      </c>
      <c r="B182" s="25">
        <f>(d_Y_p!E165-d_Y_m!E165)/(2*C177)</f>
        <v>-40.642546379507905</v>
      </c>
      <c r="C182" s="25">
        <f>(d_Y_p!E166-d_Y_m!E166)/(2*C177)</f>
        <v>4.6479608022895009</v>
      </c>
      <c r="D182" s="25">
        <f ca="1">(d_Y_p!C169-d_Y_m!C169)/(2*C177)</f>
        <v>-0.79887360103238059</v>
      </c>
    </row>
    <row r="183" spans="1:14" x14ac:dyDescent="0.25">
      <c r="A183" s="25">
        <f>(d_T_p!E164-d_T_m!E164)/(2*E177)</f>
        <v>2.0371908131319674</v>
      </c>
      <c r="B183" s="25">
        <f>(d_T_p!E165-d_T_m!E165)/(2*E177)</f>
        <v>1.4066608612487819</v>
      </c>
      <c r="C183" s="25">
        <f>(d_T_p!E166-d_T_m!E166)/(2*E177)</f>
        <v>13.94702872720309</v>
      </c>
      <c r="D183" s="25">
        <f ca="1">(d_T_p!C169-d_T_m!C169)/(2*E177)</f>
        <v>-0.49511474508065451</v>
      </c>
    </row>
    <row r="184" spans="1:14" x14ac:dyDescent="0.25">
      <c r="A184" s="25"/>
      <c r="B184" s="25"/>
      <c r="C184" s="25"/>
      <c r="D184" s="25"/>
    </row>
    <row r="185" spans="1:14" x14ac:dyDescent="0.25">
      <c r="A185" s="25">
        <f t="array" aca="1" ref="A185:D188" ca="1">MINVERSE(A180:D183)</f>
        <v>-5.7869761284646055E-2</v>
      </c>
      <c r="B185" s="25">
        <f ca="1"/>
        <v>1.4733860554105301E-2</v>
      </c>
      <c r="C185" s="25">
        <f ca="1"/>
        <v>-0.12467352683186768</v>
      </c>
      <c r="D185" s="25">
        <f ca="1"/>
        <v>4.9864564646454432E-2</v>
      </c>
      <c r="F185" s="8">
        <f>-1*E164</f>
        <v>3.907985046680551E-14</v>
      </c>
      <c r="H185">
        <f t="array" aca="1" ref="H185:H188" ca="1">MMULT(A185:D188,F185:F188)</f>
        <v>-6.5081723856682084E-12</v>
      </c>
      <c r="J185" s="8">
        <f ca="1">$B$66+H185</f>
        <v>1.9064021370964153</v>
      </c>
      <c r="K185" s="11" t="s">
        <v>115</v>
      </c>
      <c r="L185" s="8">
        <f ca="1">J186</f>
        <v>-4.7431934471008157</v>
      </c>
      <c r="M185" s="11" t="s">
        <v>116</v>
      </c>
      <c r="N185" t="s">
        <v>143</v>
      </c>
    </row>
    <row r="186" spans="1:14" x14ac:dyDescent="0.25">
      <c r="A186" s="25">
        <f ca="1"/>
        <v>1.3197206606729076E-2</v>
      </c>
      <c r="B186" s="25">
        <f ca="1"/>
        <v>-4.5524854769281847E-3</v>
      </c>
      <c r="C186" s="25">
        <f ca="1"/>
        <v>2.2091684618385243E-2</v>
      </c>
      <c r="D186" s="25">
        <f ca="1"/>
        <v>1.643590068333552E-3</v>
      </c>
      <c r="F186" s="8">
        <f>-1*E165</f>
        <v>3.1263880373444408E-13</v>
      </c>
      <c r="H186">
        <f ca="1"/>
        <v>-2.1550123909572912E-13</v>
      </c>
      <c r="J186" s="8">
        <f ca="1">$B$64+H186</f>
        <v>-4.7431934471008157</v>
      </c>
      <c r="K186" s="11" t="s">
        <v>116</v>
      </c>
      <c r="L186" s="8">
        <f ca="1">J187</f>
        <v>3.9696196087350621</v>
      </c>
      <c r="M186" s="1" t="s">
        <v>117</v>
      </c>
    </row>
    <row r="187" spans="1:14" x14ac:dyDescent="0.25">
      <c r="A187" s="25">
        <f ca="1"/>
        <v>1.4653053376804698E-2</v>
      </c>
      <c r="B187" s="25">
        <f ca="1"/>
        <v>-8.6499628910013829E-4</v>
      </c>
      <c r="C187" s="25">
        <f ca="1"/>
        <v>-9.1990821195095107E-3</v>
      </c>
      <c r="D187" s="25">
        <f ca="1"/>
        <v>4.6458602965577883E-2</v>
      </c>
      <c r="F187" s="8">
        <f>-1*E166</f>
        <v>0</v>
      </c>
      <c r="H187">
        <f ca="1"/>
        <v>-6.0655190181533877E-12</v>
      </c>
      <c r="J187" s="8">
        <f ca="1">$B$65+H187</f>
        <v>3.9696196087350621</v>
      </c>
      <c r="K187" s="1" t="s">
        <v>117</v>
      </c>
      <c r="L187" s="8">
        <f ca="1">J185</f>
        <v>1.9064021370964153</v>
      </c>
      <c r="M187" s="11" t="s">
        <v>115</v>
      </c>
    </row>
    <row r="188" spans="1:14" x14ac:dyDescent="0.25">
      <c r="A188" s="25">
        <f ca="1"/>
        <v>0.21215042653335472</v>
      </c>
      <c r="B188" s="25">
        <f ca="1"/>
        <v>2.3323389664162791E-2</v>
      </c>
      <c r="C188" s="25">
        <f ca="1"/>
        <v>-0.70934691698263974</v>
      </c>
      <c r="D188" s="25">
        <f ca="1"/>
        <v>-0.50118669552710549</v>
      </c>
      <c r="F188">
        <f ca="1">-1*C169</f>
        <v>-1.3056400405275781E-10</v>
      </c>
      <c r="H188">
        <f ca="1"/>
        <v>6.5452524349578328E-11</v>
      </c>
      <c r="J188" s="8">
        <f ca="1">$B$67+H188</f>
        <v>3.8922411985121337</v>
      </c>
      <c r="K188" s="1" t="s">
        <v>118</v>
      </c>
      <c r="L188" s="8">
        <f ca="1">J188</f>
        <v>3.8922411985121337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-19.895717226350758</v>
      </c>
      <c r="B190" s="25">
        <f>A181</f>
        <v>-110.41809425042976</v>
      </c>
      <c r="C190" s="25">
        <f>A182</f>
        <v>-11.020308791893227</v>
      </c>
      <c r="D190" s="25">
        <f>A183</f>
        <v>2.0371908131319674</v>
      </c>
      <c r="F190" t="s">
        <v>119</v>
      </c>
    </row>
    <row r="191" spans="1:14" x14ac:dyDescent="0.25">
      <c r="A191" s="25">
        <f>B180</f>
        <v>-65.817730869564556</v>
      </c>
      <c r="B191" s="25">
        <f>B181</f>
        <v>-607.17613478692272</v>
      </c>
      <c r="C191" s="25">
        <f>B182</f>
        <v>-40.642546379507905</v>
      </c>
      <c r="D191" s="25">
        <f>B183</f>
        <v>1.4066608612487819</v>
      </c>
      <c r="F191" t="s">
        <v>120</v>
      </c>
    </row>
    <row r="192" spans="1:14" x14ac:dyDescent="0.25">
      <c r="A192" s="25">
        <f>C180</f>
        <v>34.470587574750525</v>
      </c>
      <c r="B192" s="25">
        <f>C181</f>
        <v>127.51714444405658</v>
      </c>
      <c r="C192" s="25">
        <f>C182</f>
        <v>4.6479608022895009</v>
      </c>
      <c r="D192" s="25">
        <f>C183</f>
        <v>13.94702872720309</v>
      </c>
      <c r="F192" t="s">
        <v>121</v>
      </c>
    </row>
    <row r="193" spans="1:14" x14ac:dyDescent="0.25">
      <c r="A193" s="25">
        <f ca="1">D180</f>
        <v>1</v>
      </c>
      <c r="B193" s="25">
        <f ca="1">D181</f>
        <v>-1.1565160924982598</v>
      </c>
      <c r="C193" s="25">
        <f ca="1">D182</f>
        <v>-0.79887360103238059</v>
      </c>
      <c r="D193" s="25">
        <f ca="1">D183</f>
        <v>-0.49511474508065451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>
        <f t="array" aca="1" ref="A195:D198" ca="1">MINVERSE(A190:D193)</f>
        <v>-5.7869761284646055E-2</v>
      </c>
      <c r="B195" s="25">
        <f ca="1"/>
        <v>1.3197206606729083E-2</v>
      </c>
      <c r="C195" s="25">
        <f ca="1"/>
        <v>1.4653053376804694E-2</v>
      </c>
      <c r="D195" s="25">
        <f ca="1"/>
        <v>0.21215042653335464</v>
      </c>
      <c r="H195">
        <f t="array" aca="1" ref="H195:H198" ca="1">MMULT(A195:D198,F185:F188)</f>
        <v>-2.7697344732426602E-11</v>
      </c>
      <c r="J195" s="8">
        <f ca="1">$B$66+H195</f>
        <v>1.906402137075226</v>
      </c>
      <c r="K195" s="11" t="s">
        <v>115</v>
      </c>
      <c r="L195" s="36">
        <f ca="1">J196</f>
        <v>-4.7431934471036463</v>
      </c>
      <c r="M195" s="37" t="s">
        <v>116</v>
      </c>
      <c r="N195" t="s">
        <v>146</v>
      </c>
    </row>
    <row r="196" spans="1:14" x14ac:dyDescent="0.25">
      <c r="A196" s="25">
        <f ca="1"/>
        <v>1.4733860554105303E-2</v>
      </c>
      <c r="B196" s="25">
        <f ca="1"/>
        <v>-4.5524854769281855E-3</v>
      </c>
      <c r="C196" s="25">
        <f ca="1"/>
        <v>-8.649962891001372E-4</v>
      </c>
      <c r="D196" s="25">
        <f ca="1"/>
        <v>2.3323389664162805E-2</v>
      </c>
      <c r="H196">
        <f ca="1"/>
        <v>-3.0460426291820742E-12</v>
      </c>
      <c r="J196" s="8">
        <f ca="1">$B$64+H196</f>
        <v>-4.7431934471036463</v>
      </c>
      <c r="K196" s="11" t="s">
        <v>116</v>
      </c>
      <c r="L196" s="38">
        <f ca="1">J197</f>
        <v>3.9696196088337445</v>
      </c>
      <c r="M196" s="39" t="s">
        <v>117</v>
      </c>
    </row>
    <row r="197" spans="1:14" x14ac:dyDescent="0.25">
      <c r="A197" s="25">
        <f ca="1"/>
        <v>-0.12467352683186771</v>
      </c>
      <c r="B197" s="25">
        <f ca="1"/>
        <v>2.209168461838525E-2</v>
      </c>
      <c r="C197" s="25">
        <f ca="1"/>
        <v>-9.1990821195095211E-3</v>
      </c>
      <c r="D197" s="25">
        <f ca="1"/>
        <v>-0.70934691698263996</v>
      </c>
      <c r="H197">
        <f ca="1"/>
        <v>9.2617208238798477E-11</v>
      </c>
      <c r="J197" s="8">
        <f ca="1">$B$65+H197</f>
        <v>3.9696196088337445</v>
      </c>
      <c r="K197" s="1" t="s">
        <v>117</v>
      </c>
      <c r="L197" s="38">
        <f ca="1">J195</f>
        <v>1.906402137075226</v>
      </c>
      <c r="M197" s="43" t="s">
        <v>115</v>
      </c>
    </row>
    <row r="198" spans="1:14" ht="15.75" thickBot="1" x14ac:dyDescent="0.3">
      <c r="A198" s="25">
        <f ca="1"/>
        <v>4.986456464645439E-2</v>
      </c>
      <c r="B198" s="25">
        <f ca="1"/>
        <v>1.6435900683335611E-3</v>
      </c>
      <c r="C198" s="25">
        <f ca="1"/>
        <v>4.645860296557789E-2</v>
      </c>
      <c r="D198" s="25">
        <f ca="1"/>
        <v>-0.50118669552710571</v>
      </c>
      <c r="H198">
        <f ca="1"/>
        <v>6.5439404295752096E-11</v>
      </c>
      <c r="J198" s="8">
        <f ca="1">$B$67+H198</f>
        <v>3.8922411985121204</v>
      </c>
      <c r="K198" s="1" t="s">
        <v>118</v>
      </c>
      <c r="L198" s="41">
        <f ca="1">J198</f>
        <v>3.8922411985121204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-19.895717226350758</v>
      </c>
      <c r="B201" s="25">
        <f t="shared" ref="B201:C201" si="161">B190</f>
        <v>-110.41809425042976</v>
      </c>
      <c r="C201" s="25">
        <f t="shared" si="161"/>
        <v>-11.020308791893227</v>
      </c>
      <c r="D201" s="25"/>
    </row>
    <row r="202" spans="1:14" x14ac:dyDescent="0.25">
      <c r="A202" s="25">
        <f t="shared" ref="A202:C202" si="162">A191</f>
        <v>-65.817730869564556</v>
      </c>
      <c r="B202" s="25">
        <f t="shared" si="162"/>
        <v>-607.17613478692272</v>
      </c>
      <c r="C202" s="25">
        <f t="shared" si="162"/>
        <v>-40.642546379507905</v>
      </c>
      <c r="D202" s="25"/>
    </row>
    <row r="203" spans="1:14" x14ac:dyDescent="0.25">
      <c r="A203" s="25">
        <f t="shared" ref="A203:C203" si="163">A192</f>
        <v>34.470587574750525</v>
      </c>
      <c r="B203" s="25">
        <f t="shared" si="163"/>
        <v>127.51714444405658</v>
      </c>
      <c r="C203" s="25">
        <f t="shared" si="163"/>
        <v>4.6479608022895009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-3.6762280273963083E-2</v>
      </c>
      <c r="B205" s="25">
        <v>1.3892932046280563E-2</v>
      </c>
      <c r="C205" s="25">
        <v>3.4318803731420947E-2</v>
      </c>
      <c r="D205" s="25"/>
      <c r="H205">
        <f t="array" ref="H205:H207">MMULT(A205:C207,F185:F187)</f>
        <v>2.9068052393878061E-15</v>
      </c>
      <c r="J205" s="8">
        <f>$B$66+H205</f>
        <v>1.9064021371029263</v>
      </c>
      <c r="K205" s="11" t="s">
        <v>115</v>
      </c>
      <c r="L205" s="8">
        <f>J206</f>
        <v>-4.7431934471006008</v>
      </c>
      <c r="M205" s="11" t="s">
        <v>116</v>
      </c>
      <c r="N205" t="s">
        <v>145</v>
      </c>
    </row>
    <row r="206" spans="1:14" x14ac:dyDescent="0.25">
      <c r="A206" s="25">
        <v>1.7054374410643204E-2</v>
      </c>
      <c r="B206" s="25">
        <v>-4.4759988264364454E-3</v>
      </c>
      <c r="C206" s="25">
        <v>1.297016609265397E-3</v>
      </c>
      <c r="D206" s="25"/>
      <c r="H206">
        <v>-7.3288851684101522E-16</v>
      </c>
      <c r="J206" s="8">
        <f>$B$64+H206</f>
        <v>-4.7431934471006008</v>
      </c>
      <c r="K206" s="11" t="s">
        <v>116</v>
      </c>
      <c r="L206" s="8">
        <f>J207</f>
        <v>3.9696196087411262</v>
      </c>
      <c r="M206" s="1" t="s">
        <v>117</v>
      </c>
      <c r="N206" t="s">
        <v>147</v>
      </c>
    </row>
    <row r="207" spans="1:14" x14ac:dyDescent="0.25">
      <c r="A207" s="25">
        <v>-0.19524857504108534</v>
      </c>
      <c r="B207" s="25">
        <v>1.9765454576445431E-2</v>
      </c>
      <c r="C207" s="25">
        <v>-7.4953554604645325E-2</v>
      </c>
      <c r="D207" s="25"/>
      <c r="H207">
        <v>-1.4508370424150758E-15</v>
      </c>
      <c r="J207" s="8">
        <f>$B$65+H207</f>
        <v>3.9696196087411262</v>
      </c>
      <c r="K207" s="1" t="s">
        <v>117</v>
      </c>
      <c r="L207" s="8">
        <f>J205</f>
        <v>1.9064021371029263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-110.41809425042976</v>
      </c>
      <c r="B212" s="25">
        <f>A182</f>
        <v>-11.020308791893227</v>
      </c>
      <c r="C212" s="25">
        <f>A183</f>
        <v>2.0371908131319674</v>
      </c>
    </row>
    <row r="213" spans="1:14" x14ac:dyDescent="0.25">
      <c r="A213" s="25">
        <f>B181</f>
        <v>-607.17613478692272</v>
      </c>
      <c r="B213" s="25">
        <f>B182</f>
        <v>-40.642546379507905</v>
      </c>
      <c r="C213" s="25">
        <f>B183</f>
        <v>1.4066608612487819</v>
      </c>
    </row>
    <row r="214" spans="1:14" x14ac:dyDescent="0.25">
      <c r="A214" s="25">
        <f>C181</f>
        <v>127.51714444405658</v>
      </c>
      <c r="B214" s="25">
        <f>C182</f>
        <v>4.6479608022895009</v>
      </c>
      <c r="C214" s="25">
        <f>C183</f>
        <v>13.94702872720309</v>
      </c>
    </row>
    <row r="215" spans="1:14" ht="15.75" thickBot="1" x14ac:dyDescent="0.3"/>
    <row r="216" spans="1:14" x14ac:dyDescent="0.25">
      <c r="A216">
        <f t="array" ref="A216:C218">MINVERSE(A212:C214)</f>
        <v>2.1095945298731895E-2</v>
      </c>
      <c r="B216">
        <v>-6.0033597325065127E-3</v>
      </c>
      <c r="C216">
        <v>-2.4759233999313785E-3</v>
      </c>
      <c r="H216" cm="1">
        <f t="array" ref="H216:H218">MMULT(A216:C218,F185:F187)</f>
        <v>-1.0524568174280172E-15</v>
      </c>
      <c r="J216" s="8">
        <f>$B$64+H216</f>
        <v>-4.7431934471006008</v>
      </c>
      <c r="K216" s="11" t="s">
        <v>116</v>
      </c>
      <c r="L216" s="36">
        <f>J216</f>
        <v>-4.7431934471006008</v>
      </c>
      <c r="M216" s="37" t="s">
        <v>116</v>
      </c>
      <c r="N216" t="s">
        <v>144</v>
      </c>
    </row>
    <row r="217" spans="1:14" x14ac:dyDescent="0.25">
      <c r="A217">
        <v>-0.31816706547121176</v>
      </c>
      <c r="B217">
        <v>6.6217911335136048E-2</v>
      </c>
      <c r="C217">
        <v>3.9794919010081871E-2</v>
      </c>
      <c r="H217">
        <v>8.2683672435331467E-15</v>
      </c>
      <c r="J217" s="8">
        <f>$B$65+H217</f>
        <v>3.969619608741136</v>
      </c>
      <c r="K217" s="1" t="s">
        <v>117</v>
      </c>
      <c r="L217" s="38">
        <f>J217</f>
        <v>3.969619608741136</v>
      </c>
      <c r="M217" s="39" t="s">
        <v>117</v>
      </c>
    </row>
    <row r="218" spans="1:14" x14ac:dyDescent="0.25">
      <c r="A218">
        <v>-8.684764896125273E-2</v>
      </c>
      <c r="B218">
        <v>3.2820828207777604E-2</v>
      </c>
      <c r="C218">
        <v>8.1075150861834019E-2</v>
      </c>
      <c r="H218">
        <v>6.8670713336539141E-15</v>
      </c>
      <c r="J218" s="8">
        <f>$B$67+H218</f>
        <v>3.8922411984466878</v>
      </c>
      <c r="K218" s="1" t="s">
        <v>118</v>
      </c>
      <c r="L218" s="38">
        <f>B66</f>
        <v>1.9064021371029234</v>
      </c>
      <c r="M218" s="40"/>
    </row>
    <row r="219" spans="1:14" ht="15.75" thickBot="1" x14ac:dyDescent="0.3">
      <c r="L219" s="41">
        <f>J218</f>
        <v>3.8922411984466878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151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1.9064021653794367</v>
      </c>
      <c r="C66" t="s">
        <v>11</v>
      </c>
      <c r="D66">
        <f>B66/B53</f>
        <v>6.0407095166091376E-4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3.850424961825214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-2.1777350849864456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3.313935930678016E-4</v>
      </c>
      <c r="N110">
        <f>IF(AND(M110&gt;0,D110="y",$E$60="y"),$B$53*M110*$E$59,0)</f>
        <v>0.25989960134258999</v>
      </c>
      <c r="O110">
        <f>N110*C110</f>
        <v>0.32962843089082716</v>
      </c>
      <c r="P110">
        <f>N110*B110*-1</f>
        <v>1.9603294519196584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0.3210788648443561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-0.20324443132047593</v>
      </c>
      <c r="I111">
        <f t="shared" ref="I111:I121" si="39">H111*C111</f>
        <v>0.25009685458129394</v>
      </c>
      <c r="J111">
        <f t="shared" ref="J111:J121" si="40">H111*B111*-1</f>
        <v>-1.51735021442741</v>
      </c>
      <c r="K111">
        <f ca="1">H111/$B$55</f>
        <v>-1.4323193453885634</v>
      </c>
      <c r="L111">
        <f t="shared" ref="L111:L121" ca="1" si="41">K111/$B$54</f>
        <v>-4.9390322254778051E-5</v>
      </c>
      <c r="M111">
        <f t="shared" si="34"/>
        <v>-4.8859698047048957E-5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6.1488345711531114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-3.8922411984466811</v>
      </c>
      <c r="I112">
        <f t="shared" si="39"/>
        <v>27.472521394017473</v>
      </c>
      <c r="J112">
        <f t="shared" si="40"/>
        <v>-6.9416331104569355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-9.3568974287183671E-4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6.0564357857248385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-3.8337523327651128</v>
      </c>
      <c r="I113">
        <f t="shared" si="39"/>
        <v>26.705456646340789</v>
      </c>
      <c r="J113">
        <f t="shared" si="40"/>
        <v>4.6584796618113229</v>
      </c>
      <c r="K113">
        <f t="shared" ca="1" si="45"/>
        <v>-27.017505945781828</v>
      </c>
      <c r="L113">
        <f t="shared" ca="1" si="41"/>
        <v>-9.3163813606144232E-4</v>
      </c>
      <c r="M113">
        <f t="shared" si="34"/>
        <v>-9.2162909531682581E-4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6.1488345711531114</v>
      </c>
      <c r="H122">
        <f>SUM(H110:H121)</f>
        <v>-7.9292379625322695</v>
      </c>
      <c r="I122">
        <f t="shared" ref="I122:J122" si="46">SUM(I110:I121)</f>
        <v>54.428074894939556</v>
      </c>
      <c r="J122">
        <f t="shared" si="46"/>
        <v>-3.8005036630730222</v>
      </c>
      <c r="L122">
        <f ca="1">MIN(L110:L121)</f>
        <v>-9.4585148451857212E-4</v>
      </c>
      <c r="M122">
        <f>MIN(M110:M121)</f>
        <v>-9.3568974287183671E-4</v>
      </c>
      <c r="N122">
        <f>SUM(N110:N121)</f>
        <v>0.25989960134258999</v>
      </c>
      <c r="O122">
        <f>SUM(O110:O121)</f>
        <v>0.32962843089082716</v>
      </c>
      <c r="P122">
        <f>SUM(P110:P121)</f>
        <v>1.9603294519196584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-0.90944367865864928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-0.90944367865864928</v>
      </c>
    </row>
    <row r="127" spans="1:16" x14ac:dyDescent="0.25">
      <c r="F127" s="4">
        <f>MAX(B84:B90)+1</f>
        <v>3.2454479210067051</v>
      </c>
      <c r="G127" s="4">
        <f>G126</f>
        <v>-0.90944367865864928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1.743696257191063</v>
      </c>
      <c r="G132" s="4">
        <f t="shared" ref="G132:G139" si="49">($B$66/$B$65)*(E132-$B$125)</f>
        <v>-0.89641502489893254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-8.9762480150829962</v>
      </c>
      <c r="M132" s="4">
        <f>IF($G132&gt;=0,E132,IF(AND($G132&lt;0,$F132&gt;=0),$B$125,0))</f>
        <v>-0.90944367865864928</v>
      </c>
      <c r="N132" s="4">
        <f>IF(F132&lt;0,0,F132)</f>
        <v>1.743696257191063</v>
      </c>
      <c r="O132" s="4">
        <f>IF(G132&lt;0,0,G132)</f>
        <v>0</v>
      </c>
      <c r="P132" s="4">
        <f>(1/6)*(M132-K132)*((N132*((2*J132)+L132))+(O132*(J132+(2*L132))))</f>
        <v>28.650665129405102</v>
      </c>
      <c r="Q132" s="4">
        <f>((1/12)*(M132-K132)*(N132*J132*((3*K132)+M132)+N132*L132*(K132+M132)+O132*J132*(K132+M132)+O132*L132*(K132+(3*M132))))</f>
        <v>43.365622221657539</v>
      </c>
      <c r="R132" s="4">
        <f>((-1/24)*(M132-K132)*(J132*J132*((3*N132)+O132)+2*J132*L132*(N132+O132)+L132*L132*(N132+(3*O132))))</f>
        <v>129.65732692390776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-0.89641502489893254</v>
      </c>
      <c r="G133" s="4">
        <f t="shared" si="49"/>
        <v>-0.81506207080474569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-0.81506207080474569</v>
      </c>
      <c r="G134" s="4">
        <f t="shared" si="49"/>
        <v>-3.4551733528947413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-3.4551733528947413</v>
      </c>
      <c r="G135" s="4">
        <f t="shared" si="49"/>
        <v>-3.3738203988005546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-3.3738203988005546</v>
      </c>
      <c r="G136" s="4">
        <f t="shared" si="49"/>
        <v>1.9064021653794367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2.0289730826550194</v>
      </c>
      <c r="K136" s="4">
        <f t="shared" si="54"/>
        <v>-0.90944367865864928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1.9064021653794367</v>
      </c>
      <c r="P136" s="4">
        <f t="shared" si="58"/>
        <v>7.3687593010450891</v>
      </c>
      <c r="Q136" s="4">
        <f t="shared" si="59"/>
        <v>12.697236631694379</v>
      </c>
      <c r="R136" s="4">
        <f t="shared" si="60"/>
        <v>-7.1766291640948374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1.9064021653794367</v>
      </c>
      <c r="G137" s="4">
        <f t="shared" si="49"/>
        <v>1.743696257191063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1.9064021653794367</v>
      </c>
      <c r="O137" s="4">
        <f t="shared" si="57"/>
        <v>1.743696257191063</v>
      </c>
      <c r="P137" s="4">
        <f t="shared" si="58"/>
        <v>2.1697136960062218</v>
      </c>
      <c r="Q137" s="4">
        <f t="shared" si="59"/>
        <v>6.0858137742715295</v>
      </c>
      <c r="R137" s="4">
        <f t="shared" si="60"/>
        <v>6.9191582544231416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1.743696257191063</v>
      </c>
      <c r="G138" s="4">
        <f t="shared" si="49"/>
        <v>1.743696257191063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1.743696257191063</v>
      </c>
      <c r="O138" s="4">
        <f t="shared" si="57"/>
        <v>1.743696257191063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1.743696257191063</v>
      </c>
      <c r="G139" s="4">
        <f t="shared" si="49"/>
        <v>1.743696257191063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1.743696257191063</v>
      </c>
      <c r="O139" s="4">
        <f t="shared" si="57"/>
        <v>1.743696257191063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38.189138126456413</v>
      </c>
      <c r="Q140" s="4">
        <f>SUM(Q132:Q139)</f>
        <v>62.148672627623448</v>
      </c>
      <c r="R140" s="4">
        <f>SUM(R132:R139)</f>
        <v>129.39985601423606</v>
      </c>
    </row>
    <row r="142" spans="1:18" x14ac:dyDescent="0.25">
      <c r="O142" t="s">
        <v>96</v>
      </c>
      <c r="P142" s="1">
        <f>-1*R140/P140</f>
        <v>-3.3883942493216757</v>
      </c>
    </row>
    <row r="143" spans="1:18" x14ac:dyDescent="0.25">
      <c r="O143" t="s">
        <v>97</v>
      </c>
      <c r="P143" s="1">
        <f>Q140/P140</f>
        <v>1.6273913389149914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1.743696257191063</v>
      </c>
      <c r="G146" s="4">
        <f>($B$66/$B$65)*(E146-$B$125)</f>
        <v>1.743696257191063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1.743696257191063</v>
      </c>
      <c r="O146" s="4">
        <f>IF(G146&lt;0,0,G146)</f>
        <v>1.743696257191063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1.743696257191063</v>
      </c>
      <c r="G147" s="4">
        <f t="shared" ref="G147:G153" si="64">($B$66/$B$65)*(E147-$B$125)</f>
        <v>1.743696257191063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1.743696257191063</v>
      </c>
      <c r="O147" s="4">
        <f t="shared" si="71"/>
        <v>1.743696257191063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1.743696257191063</v>
      </c>
      <c r="G148" s="4">
        <f t="shared" si="64"/>
        <v>1.743696257191063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1.743696257191063</v>
      </c>
      <c r="O148" s="4">
        <f t="shared" si="71"/>
        <v>1.743696257191063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1.743696257191063</v>
      </c>
      <c r="G149" s="4">
        <f t="shared" si="64"/>
        <v>1.743696257191063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1.743696257191063</v>
      </c>
      <c r="O149" s="4">
        <f t="shared" si="71"/>
        <v>1.743696257191063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1.743696257191063</v>
      </c>
      <c r="G150" s="4">
        <f t="shared" si="64"/>
        <v>1.743696257191063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1.743696257191063</v>
      </c>
      <c r="O150" s="4">
        <f t="shared" si="71"/>
        <v>1.743696257191063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1.743696257191063</v>
      </c>
      <c r="G151" s="4">
        <f t="shared" si="64"/>
        <v>1.743696257191063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1.743696257191063</v>
      </c>
      <c r="O151" s="4">
        <f t="shared" si="71"/>
        <v>1.743696257191063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1.743696257191063</v>
      </c>
      <c r="G152" s="4">
        <f t="shared" si="64"/>
        <v>1.743696257191063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1.743696257191063</v>
      </c>
      <c r="O152" s="4">
        <f t="shared" si="71"/>
        <v>1.743696257191063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1.743696257191063</v>
      </c>
      <c r="G153" s="4">
        <f t="shared" si="64"/>
        <v>1.743696257191063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1.743696257191063</v>
      </c>
      <c r="O153" s="4">
        <f t="shared" si="71"/>
        <v>1.743696257191063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30.000000562581555</v>
      </c>
      <c r="C159" t="s">
        <v>36</v>
      </c>
    </row>
    <row r="160" spans="1:18" x14ac:dyDescent="0.25">
      <c r="A160" s="1" t="s">
        <v>106</v>
      </c>
      <c r="B160" s="4">
        <f>Q140+I122+Q154-O122</f>
        <v>116.24711909167219</v>
      </c>
      <c r="C160" t="s">
        <v>102</v>
      </c>
    </row>
    <row r="161" spans="1:9" x14ac:dyDescent="0.25">
      <c r="A161" s="1" t="s">
        <v>107</v>
      </c>
      <c r="B161" s="4">
        <f>R140+J122+R154-P122</f>
        <v>123.63902289924339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30.000000562581555</v>
      </c>
      <c r="C164" t="s">
        <v>36</v>
      </c>
      <c r="E164" s="8">
        <f>B2-B164</f>
        <v>-5.6258155467503457E-7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-120.00000186109627</v>
      </c>
      <c r="C165" t="s">
        <v>102</v>
      </c>
      <c r="E165" s="8">
        <f>B3+B165</f>
        <v>-1.861096265542983E-6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120.00000097470809</v>
      </c>
      <c r="C166" t="s">
        <v>102</v>
      </c>
      <c r="E166" s="8">
        <f>B4+B166</f>
        <v>9.7470808668731479E-7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1.9064021653794367</v>
      </c>
      <c r="B169" s="1">
        <f ca="1">IF(E122=0,0,(MIN(H110:H121)*B65)/(B55*B56*E122))</f>
        <v>-1.9271060006271168</v>
      </c>
      <c r="C169" s="3">
        <f ca="1">A169+B169</f>
        <v>-2.0703835247680047E-2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5.887897387338245E-8</v>
      </c>
      <c r="D175" s="27">
        <f>B66*SQRT(I175)</f>
        <v>2.8276513709365747E-8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3.9696196676201012</v>
      </c>
      <c r="D176" s="3">
        <f>D175+B66</f>
        <v>1.9064021936559505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5.8878973696607773E-8</v>
      </c>
      <c r="D177" s="27">
        <f>D176-B66</f>
        <v>2.8276513797109715E-8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5.6258155467503457E-7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1.861096265542983E-6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-9.7470808668731479E-7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2.0703835247680047E-2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1.90640210882641</v>
      </c>
      <c r="C66" t="s">
        <v>11</v>
      </c>
      <c r="D66">
        <f>B66/B53</f>
        <v>6.0407093374127371E-4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3.8504248476031524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-2.1777350849864456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3.3139358323707911E-4</v>
      </c>
      <c r="N110">
        <f>IF(AND(M110&gt;0,D110="y",$E$60="y"),$B$53*M110*$E$59,0)</f>
        <v>0.25989959363272203</v>
      </c>
      <c r="O110">
        <f>N110*C110</f>
        <v>0.32962842111246787</v>
      </c>
      <c r="P110">
        <f>N110*B110*-1</f>
        <v>1.9603293937668902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0.3210788648443561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-0.20324443132047593</v>
      </c>
      <c r="I111">
        <f t="shared" ref="I111:I121" si="39">H111*C111</f>
        <v>0.25009685458129394</v>
      </c>
      <c r="J111">
        <f t="shared" ref="J111:J121" si="40">H111*B111*-1</f>
        <v>-1.51735021442741</v>
      </c>
      <c r="K111">
        <f ca="1">H111/$B$55</f>
        <v>-1.4323193453885634</v>
      </c>
      <c r="L111">
        <f t="shared" ref="L111:L121" ca="1" si="41">K111/$B$54</f>
        <v>-4.9390322254778051E-5</v>
      </c>
      <c r="M111">
        <f t="shared" si="34"/>
        <v>-4.8859696597636102E-5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6.1488345711531114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-3.8922411984466811</v>
      </c>
      <c r="I112">
        <f t="shared" si="39"/>
        <v>27.472521394017473</v>
      </c>
      <c r="J112">
        <f t="shared" si="40"/>
        <v>-6.9416331104569355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-9.3568971511479374E-4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6.0564357857248385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-3.8337523327651128</v>
      </c>
      <c r="I113">
        <f t="shared" si="39"/>
        <v>26.705456646340789</v>
      </c>
      <c r="J113">
        <f t="shared" si="40"/>
        <v>4.6584796618113229</v>
      </c>
      <c r="K113">
        <f t="shared" ca="1" si="45"/>
        <v>-27.017505945781828</v>
      </c>
      <c r="L113">
        <f t="shared" ca="1" si="41"/>
        <v>-9.3163813606144232E-4</v>
      </c>
      <c r="M113">
        <f t="shared" si="34"/>
        <v>-9.2162906797688896E-4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6.1488345711531114</v>
      </c>
      <c r="H122">
        <f>SUM(H110:H121)</f>
        <v>-7.9292379625322695</v>
      </c>
      <c r="I122">
        <f t="shared" ref="I122:J122" si="46">SUM(I110:I121)</f>
        <v>54.428074894939556</v>
      </c>
      <c r="J122">
        <f t="shared" si="46"/>
        <v>-3.8005036630730222</v>
      </c>
      <c r="L122">
        <f ca="1">MIN(L110:L121)</f>
        <v>-9.4585148451857212E-4</v>
      </c>
      <c r="M122">
        <f>MIN(M110:M121)</f>
        <v>-9.3568971511479374E-4</v>
      </c>
      <c r="N122">
        <f>SUM(N110:N121)</f>
        <v>0.25989959363272203</v>
      </c>
      <c r="O122">
        <f>SUM(O110:O121)</f>
        <v>0.32962842111246787</v>
      </c>
      <c r="P122">
        <f>SUM(P110:P121)</f>
        <v>1.9603293937668902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-0.90944367865864928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-0.90944367865864928</v>
      </c>
    </row>
    <row r="127" spans="1:16" x14ac:dyDescent="0.25">
      <c r="F127" s="4">
        <f>MAX(B84:B90)+1</f>
        <v>3.2454479210067051</v>
      </c>
      <c r="G127" s="4">
        <f>G126</f>
        <v>-0.90944367865864928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1.7436962054646736</v>
      </c>
      <c r="G132" s="4">
        <f t="shared" ref="G132:G139" si="49">($B$66/$B$65)*(E132-$B$125)</f>
        <v>-0.89641499830696592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-8.9762480150829962</v>
      </c>
      <c r="M132" s="4">
        <f>IF($G132&gt;=0,E132,IF(AND($G132&lt;0,$F132&gt;=0),$B$125,0))</f>
        <v>-0.90944367865864928</v>
      </c>
      <c r="N132" s="4">
        <f>IF(F132&lt;0,0,F132)</f>
        <v>1.7436962054646736</v>
      </c>
      <c r="O132" s="4">
        <f>IF(G132&lt;0,0,G132)</f>
        <v>0</v>
      </c>
      <c r="P132" s="4">
        <f>(1/6)*(M132-K132)*((N132*((2*J132)+L132))+(O132*(J132+(2*L132))))</f>
        <v>28.650664279489039</v>
      </c>
      <c r="Q132" s="4">
        <f>((1/12)*(M132-K132)*(N132*J132*((3*K132)+M132)+N132*L132*(K132+M132)+O132*J132*(K132+M132)+O132*L132*(K132+(3*M132))))</f>
        <v>43.365620935225301</v>
      </c>
      <c r="R132" s="4">
        <f>((-1/24)*(M132-K132)*(J132*J132*((3*N132)+O132)+2*J132*L132*(N132+O132)+L132*L132*(N132+(3*O132))))</f>
        <v>129.65732307764992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-0.89641499830696592</v>
      </c>
      <c r="G133" s="4">
        <f t="shared" si="49"/>
        <v>-0.81506204662609771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-0.81506204662609771</v>
      </c>
      <c r="G134" s="4">
        <f t="shared" si="49"/>
        <v>-3.4551732503977375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-3.4551732503977375</v>
      </c>
      <c r="G135" s="4">
        <f t="shared" si="49"/>
        <v>-3.3738202987168688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-3.3738202987168688</v>
      </c>
      <c r="G136" s="4">
        <f t="shared" si="49"/>
        <v>1.90640210882641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2.0289730826550194</v>
      </c>
      <c r="K136" s="4">
        <f t="shared" si="54"/>
        <v>-0.90944367865864928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1.90640210882641</v>
      </c>
      <c r="P136" s="4">
        <f t="shared" si="58"/>
        <v>7.3687590824523648</v>
      </c>
      <c r="Q136" s="4">
        <f t="shared" si="59"/>
        <v>12.697236255033475</v>
      </c>
      <c r="R136" s="4">
        <f t="shared" si="60"/>
        <v>-7.1766289512016144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1.90640210882641</v>
      </c>
      <c r="G137" s="4">
        <f t="shared" si="49"/>
        <v>1.7436962054646736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1.90640210882641</v>
      </c>
      <c r="O137" s="4">
        <f t="shared" si="57"/>
        <v>1.7436962054646736</v>
      </c>
      <c r="P137" s="4">
        <f t="shared" si="58"/>
        <v>2.1697136316421131</v>
      </c>
      <c r="Q137" s="4">
        <f t="shared" si="59"/>
        <v>6.0858135937371198</v>
      </c>
      <c r="R137" s="4">
        <f t="shared" si="60"/>
        <v>6.9191580491677414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1.7436962054646736</v>
      </c>
      <c r="G138" s="4">
        <f t="shared" si="49"/>
        <v>1.7436962054646736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1.7436962054646736</v>
      </c>
      <c r="O138" s="4">
        <f t="shared" si="57"/>
        <v>1.7436962054646736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1.7436962054646736</v>
      </c>
      <c r="G139" s="4">
        <f t="shared" si="49"/>
        <v>1.7436962054646736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1.7436962054646736</v>
      </c>
      <c r="O139" s="4">
        <f t="shared" si="57"/>
        <v>1.7436962054646736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38.189136993583517</v>
      </c>
      <c r="Q140" s="4">
        <f>SUM(Q132:Q139)</f>
        <v>62.148670783995897</v>
      </c>
      <c r="R140" s="4">
        <f>SUM(R132:R139)</f>
        <v>129.39985217561605</v>
      </c>
    </row>
    <row r="142" spans="1:18" x14ac:dyDescent="0.25">
      <c r="O142" t="s">
        <v>96</v>
      </c>
      <c r="P142" s="1">
        <f>-1*R140/P140</f>
        <v>-3.3883942493216757</v>
      </c>
    </row>
    <row r="143" spans="1:18" x14ac:dyDescent="0.25">
      <c r="O143" t="s">
        <v>97</v>
      </c>
      <c r="P143" s="1">
        <f>Q140/P140</f>
        <v>1.627391338914991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1.7436962054646736</v>
      </c>
      <c r="G146" s="4">
        <f>($B$66/$B$65)*(E146-$B$125)</f>
        <v>1.7436962054646736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1.7436962054646736</v>
      </c>
      <c r="O146" s="4">
        <f>IF(G146&lt;0,0,G146)</f>
        <v>1.7436962054646736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1.7436962054646736</v>
      </c>
      <c r="G147" s="4">
        <f t="shared" ref="G147:G153" si="64">($B$66/$B$65)*(E147-$B$125)</f>
        <v>1.7436962054646736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1.7436962054646736</v>
      </c>
      <c r="O147" s="4">
        <f t="shared" si="71"/>
        <v>1.7436962054646736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1.7436962054646736</v>
      </c>
      <c r="G148" s="4">
        <f t="shared" si="64"/>
        <v>1.7436962054646736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1.7436962054646736</v>
      </c>
      <c r="O148" s="4">
        <f t="shared" si="71"/>
        <v>1.7436962054646736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1.7436962054646736</v>
      </c>
      <c r="G149" s="4">
        <f t="shared" si="64"/>
        <v>1.7436962054646736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1.7436962054646736</v>
      </c>
      <c r="O149" s="4">
        <f t="shared" si="71"/>
        <v>1.7436962054646736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1.7436962054646736</v>
      </c>
      <c r="G150" s="4">
        <f t="shared" si="64"/>
        <v>1.7436962054646736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1.7436962054646736</v>
      </c>
      <c r="O150" s="4">
        <f t="shared" si="71"/>
        <v>1.7436962054646736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1.7436962054646736</v>
      </c>
      <c r="G151" s="4">
        <f t="shared" si="64"/>
        <v>1.7436962054646736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1.7436962054646736</v>
      </c>
      <c r="O151" s="4">
        <f t="shared" si="71"/>
        <v>1.7436962054646736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1.7436962054646736</v>
      </c>
      <c r="G152" s="4">
        <f t="shared" si="64"/>
        <v>1.7436962054646736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1.7436962054646736</v>
      </c>
      <c r="O152" s="4">
        <f t="shared" si="71"/>
        <v>1.7436962054646736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1.7436962054646736</v>
      </c>
      <c r="G153" s="4">
        <f t="shared" si="64"/>
        <v>1.7436962054646736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1.7436962054646736</v>
      </c>
      <c r="O153" s="4">
        <f t="shared" si="71"/>
        <v>1.7436962054646736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29.999999437418527</v>
      </c>
      <c r="C159" t="s">
        <v>36</v>
      </c>
    </row>
    <row r="160" spans="1:18" x14ac:dyDescent="0.25">
      <c r="A160" s="1" t="s">
        <v>106</v>
      </c>
      <c r="B160" s="4">
        <f>Q140+I122+Q154-O122</f>
        <v>116.24711725782298</v>
      </c>
      <c r="C160" t="s">
        <v>102</v>
      </c>
    </row>
    <row r="161" spans="1:9" x14ac:dyDescent="0.25">
      <c r="A161" s="1" t="s">
        <v>107</v>
      </c>
      <c r="B161" s="4">
        <f>R140+J122+R154-P122</f>
        <v>123.63901911877615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29.999999437418527</v>
      </c>
      <c r="C164" t="s">
        <v>36</v>
      </c>
      <c r="E164" s="8">
        <f>B2-B164</f>
        <v>5.6258147296261996E-7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-119.99999813890437</v>
      </c>
      <c r="C165" t="s">
        <v>102</v>
      </c>
      <c r="E165" s="8">
        <f>B3+B165</f>
        <v>1.8610956260545208E-6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119.99999902529203</v>
      </c>
      <c r="C166" t="s">
        <v>102</v>
      </c>
      <c r="E166" s="8">
        <f>B4+B166</f>
        <v>-9.7470797300047707E-7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1.90640210882641</v>
      </c>
      <c r="B169" s="1">
        <f ca="1">IF(E122=0,0,(MIN(H110:H121)*B65)/(B55*B56*E122))</f>
        <v>-1.9271060006271168</v>
      </c>
      <c r="C169" s="3">
        <f ca="1">A169+B169</f>
        <v>-2.0703891800706753E-2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5.887897387338245E-8</v>
      </c>
      <c r="D175" s="27">
        <f>B66*SQRT(I175)</f>
        <v>2.8276512870548808E-8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3.9696196676201012</v>
      </c>
      <c r="D176" s="3">
        <f>D175+B66</f>
        <v>1.9064021371029229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5.8878973696607773E-8</v>
      </c>
      <c r="D177" s="27">
        <f>D176-B66</f>
        <v>2.8276512908931295E-8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-5.6258147296261996E-7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-1.8610956260545208E-6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9.7470797300047707E-7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2.0703891800706753E-2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-4.7431935174535278</v>
      </c>
      <c r="C64" t="s">
        <v>19</v>
      </c>
      <c r="D64" t="s">
        <v>34</v>
      </c>
      <c r="H64" s="17">
        <f>DEGREES(B64)</f>
        <v>-271.76496996389869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3.8504250672828597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-10.088129196276215</v>
      </c>
      <c r="R76">
        <f>Q76</f>
        <v>-10.088129196276215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10.088129196276215</v>
      </c>
      <c r="R77">
        <f>Q77</f>
        <v>10.088129196276215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-9.0881291962762152</v>
      </c>
      <c r="C84" s="1">
        <f t="shared" ref="C84:C92" si="23">(-1*B73*SIN($B$64))+(C73*COS($B$64))</f>
        <v>2.7213797441356489</v>
      </c>
      <c r="H84" s="1">
        <f t="shared" ref="H84:H92" si="24">H73</f>
        <v>1</v>
      </c>
      <c r="I84" s="4">
        <f>(I73*COS($B$64))+(J73*SIN($B$64))</f>
        <v>-9.0881291962762152</v>
      </c>
      <c r="J84" s="1">
        <f>(-1*I73*SIN($B$64))+(J73*COS($B$64))</f>
        <v>2.7213797441356489</v>
      </c>
    </row>
    <row r="85" spans="1:10" x14ac:dyDescent="0.25">
      <c r="A85" s="1">
        <f t="shared" si="21"/>
        <v>2</v>
      </c>
      <c r="B85" s="4">
        <f t="shared" si="22"/>
        <v>-8.9187310362335168</v>
      </c>
      <c r="C85" s="1">
        <f t="shared" si="23"/>
        <v>-2.7760109335744723</v>
      </c>
      <c r="H85" s="1">
        <f t="shared" si="24"/>
        <v>2</v>
      </c>
      <c r="I85" s="4">
        <f t="shared" ref="I85:I92" si="25">(I74*COS($B$64))+(J74*SIN($B$64))</f>
        <v>-9.0881291962762152</v>
      </c>
      <c r="J85" s="1">
        <f t="shared" ref="J85:J92" si="26">(-1*I74*SIN($B$64))+(J74*COS($B$64))</f>
        <v>2.7213797441356489</v>
      </c>
    </row>
    <row r="86" spans="1:10" x14ac:dyDescent="0.25">
      <c r="A86" s="1">
        <f t="shared" si="21"/>
        <v>3</v>
      </c>
      <c r="B86" s="4">
        <f t="shared" si="22"/>
        <v>-3.4213403585233957</v>
      </c>
      <c r="C86" s="1">
        <f t="shared" si="23"/>
        <v>-2.6066127735317726</v>
      </c>
      <c r="H86" s="1">
        <f t="shared" si="24"/>
        <v>3</v>
      </c>
      <c r="I86" s="4">
        <f t="shared" si="25"/>
        <v>-9.0881291962762152</v>
      </c>
      <c r="J86" s="1">
        <f t="shared" si="26"/>
        <v>2.7213797441356489</v>
      </c>
    </row>
    <row r="87" spans="1:10" x14ac:dyDescent="0.25">
      <c r="A87" s="1">
        <f t="shared" si="21"/>
        <v>4</v>
      </c>
      <c r="B87" s="4">
        <f t="shared" si="22"/>
        <v>-3.2519421984806964</v>
      </c>
      <c r="C87" s="1">
        <f t="shared" si="23"/>
        <v>-8.1040034512418941</v>
      </c>
      <c r="H87" s="1">
        <f t="shared" si="24"/>
        <v>4</v>
      </c>
      <c r="I87" s="4">
        <f t="shared" si="25"/>
        <v>-9.0881291962762152</v>
      </c>
      <c r="J87" s="1">
        <f t="shared" si="26"/>
        <v>2.7213797441356489</v>
      </c>
    </row>
    <row r="88" spans="1:10" x14ac:dyDescent="0.25">
      <c r="A88" s="1">
        <f t="shared" si="21"/>
        <v>5</v>
      </c>
      <c r="B88" s="4">
        <f t="shared" si="22"/>
        <v>2.2454484792294247</v>
      </c>
      <c r="C88" s="1">
        <f t="shared" si="23"/>
        <v>-7.9346052911991949</v>
      </c>
      <c r="H88" s="1">
        <f t="shared" si="24"/>
        <v>5</v>
      </c>
      <c r="I88" s="4">
        <f t="shared" si="25"/>
        <v>-9.0881291962762152</v>
      </c>
      <c r="J88" s="1">
        <f t="shared" si="26"/>
        <v>2.7213797441356489</v>
      </c>
    </row>
    <row r="89" spans="1:10" x14ac:dyDescent="0.25">
      <c r="A89" s="1">
        <f t="shared" si="21"/>
        <v>6</v>
      </c>
      <c r="B89" s="4">
        <f t="shared" si="22"/>
        <v>1.9066521591440262</v>
      </c>
      <c r="C89" s="1">
        <f t="shared" si="23"/>
        <v>3.0601760642210478</v>
      </c>
      <c r="H89" s="1">
        <f t="shared" si="24"/>
        <v>6</v>
      </c>
      <c r="I89" s="4">
        <f t="shared" si="25"/>
        <v>-9.0881291962762152</v>
      </c>
      <c r="J89" s="1">
        <f t="shared" si="26"/>
        <v>2.7213797441356489</v>
      </c>
    </row>
    <row r="90" spans="1:10" x14ac:dyDescent="0.25">
      <c r="A90" s="1">
        <f t="shared" si="21"/>
        <v>7</v>
      </c>
      <c r="B90" s="4">
        <f t="shared" si="22"/>
        <v>-9.0881291962762152</v>
      </c>
      <c r="C90" s="1">
        <f t="shared" si="23"/>
        <v>2.7213797441356489</v>
      </c>
      <c r="H90" s="1">
        <f t="shared" si="24"/>
        <v>7</v>
      </c>
      <c r="I90" s="4">
        <f t="shared" si="25"/>
        <v>-9.0881291962762152</v>
      </c>
      <c r="J90" s="1">
        <f t="shared" si="26"/>
        <v>2.7213797441356489</v>
      </c>
    </row>
    <row r="91" spans="1:10" x14ac:dyDescent="0.25">
      <c r="A91" s="1">
        <f t="shared" si="21"/>
        <v>8</v>
      </c>
      <c r="B91" s="4">
        <f t="shared" si="22"/>
        <v>-9.0881291962762152</v>
      </c>
      <c r="C91" s="1">
        <f t="shared" si="23"/>
        <v>2.7213797441356489</v>
      </c>
      <c r="H91" s="1">
        <f t="shared" si="24"/>
        <v>8</v>
      </c>
      <c r="I91" s="4">
        <f t="shared" si="25"/>
        <v>-9.0881291962762152</v>
      </c>
      <c r="J91" s="1">
        <f t="shared" si="26"/>
        <v>2.7213797441356489</v>
      </c>
    </row>
    <row r="92" spans="1:10" x14ac:dyDescent="0.25">
      <c r="A92" s="1">
        <f t="shared" si="21"/>
        <v>9</v>
      </c>
      <c r="B92" s="4">
        <f t="shared" si="22"/>
        <v>-9.0881291962762152</v>
      </c>
      <c r="C92" s="1">
        <f t="shared" si="23"/>
        <v>2.7213797441356489</v>
      </c>
      <c r="H92" s="1">
        <f t="shared" si="24"/>
        <v>9</v>
      </c>
      <c r="I92" s="4">
        <f t="shared" si="25"/>
        <v>-9.0881291962762152</v>
      </c>
      <c r="J92" s="1">
        <f t="shared" si="26"/>
        <v>2.7213797441356489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-7.5426413314345373</v>
      </c>
      <c r="C110" s="1">
        <f>(-1*B95*SIN($B$64))+(C95*COS($B$64))</f>
        <v>1.2682908756808977</v>
      </c>
      <c r="D110" t="str">
        <f t="shared" ref="D110" si="31">D95</f>
        <v>y</v>
      </c>
      <c r="E110" s="4">
        <f t="shared" ref="E110:E121" si="32">IF($D110="y",$B$125-C110,0)</f>
        <v>-2.1777344202009772</v>
      </c>
      <c r="F110" s="1">
        <f>IF($D110="y",B110,NA())</f>
        <v>-7.5426413314345373</v>
      </c>
      <c r="G110" s="1">
        <f>IF($D110="y",C110,NA())</f>
        <v>1.2682908756808977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3.3139348698970331E-4</v>
      </c>
      <c r="N110">
        <f>IF(AND(M110&gt;0,D110="y",$E$60="y"),$B$53*M110*$E$59,0)</f>
        <v>0.25989951814950474</v>
      </c>
      <c r="O110">
        <f>N110*C110</f>
        <v>0.32962818746287875</v>
      </c>
      <c r="P110">
        <f>N110*B110*-1</f>
        <v>1.9603288476143752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-7.465642167778765</v>
      </c>
      <c r="C111" s="1">
        <f t="shared" ref="C111:C121" si="37">(-1*B96*SIN($B$64))+(C96*COS($B$64))</f>
        <v>-1.2305230687327937</v>
      </c>
      <c r="D111" t="str">
        <f t="shared" si="35"/>
        <v>y</v>
      </c>
      <c r="E111" s="4">
        <f t="shared" si="32"/>
        <v>0.32107952421271402</v>
      </c>
      <c r="F111" s="1">
        <f t="shared" ref="F111:G121" si="38">IF($D111="y",B111,NA())</f>
        <v>-7.465642167778765</v>
      </c>
      <c r="G111" s="1">
        <f t="shared" si="38"/>
        <v>-1.2305230687327937</v>
      </c>
      <c r="H111">
        <f t="shared" si="33"/>
        <v>-0.20324484012255278</v>
      </c>
      <c r="I111">
        <f t="shared" ref="I111:I121" si="39">H111*C111</f>
        <v>0.25009746437170971</v>
      </c>
      <c r="J111">
        <f t="shared" ref="J111:J121" si="40">H111*B111*-1</f>
        <v>-1.5173532488023835</v>
      </c>
      <c r="K111">
        <f ca="1">H111/$B$55</f>
        <v>-1.4323222263291104</v>
      </c>
      <c r="L111">
        <f t="shared" ref="L111:L121" ca="1" si="41">K111/$B$54</f>
        <v>-4.9390421597555532E-5</v>
      </c>
      <c r="M111">
        <f t="shared" si="34"/>
        <v>-4.8859797660738853E-5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-1.7834534972947904</v>
      </c>
      <c r="C112" s="1">
        <f t="shared" si="37"/>
        <v>-7.0582783752829537</v>
      </c>
      <c r="D112" t="str">
        <f t="shared" si="35"/>
        <v>y</v>
      </c>
      <c r="E112" s="4">
        <f t="shared" si="32"/>
        <v>6.1488348307628744</v>
      </c>
      <c r="F112" s="1">
        <f t="shared" si="38"/>
        <v>-1.7834534972947904</v>
      </c>
      <c r="G112" s="1">
        <f t="shared" si="38"/>
        <v>-7.0582783752829537</v>
      </c>
      <c r="H112">
        <f t="shared" si="33"/>
        <v>-3.8922411984466811</v>
      </c>
      <c r="I112">
        <f t="shared" si="39"/>
        <v>27.472521882381617</v>
      </c>
      <c r="J112">
        <f t="shared" si="40"/>
        <v>-6.9416311776845996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-9.3568976849904366E-4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1.2151232360016393</v>
      </c>
      <c r="C113" s="1">
        <f t="shared" si="37"/>
        <v>-6.9658793788960267</v>
      </c>
      <c r="D113" t="str">
        <f t="shared" si="35"/>
        <v>y</v>
      </c>
      <c r="E113" s="4">
        <f t="shared" si="32"/>
        <v>6.0564358343759466</v>
      </c>
      <c r="F113" s="1">
        <f t="shared" si="38"/>
        <v>1.2151232360016393</v>
      </c>
      <c r="G113" s="1">
        <f t="shared" si="38"/>
        <v>-6.9658793788960267</v>
      </c>
      <c r="H113">
        <f t="shared" si="33"/>
        <v>-3.8337522016967545</v>
      </c>
      <c r="I113">
        <f t="shared" si="39"/>
        <v>26.705455405596663</v>
      </c>
      <c r="J113">
        <f t="shared" si="40"/>
        <v>4.6584813813541697</v>
      </c>
      <c r="K113">
        <f t="shared" ca="1" si="45"/>
        <v>-27.017505022107098</v>
      </c>
      <c r="L113">
        <f t="shared" ca="1" si="41"/>
        <v>-9.3163810421058963E-4</v>
      </c>
      <c r="M113">
        <f t="shared" si="34"/>
        <v>-9.2162908905026714E-4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-9.0881291962762152</v>
      </c>
      <c r="C114" s="1">
        <f t="shared" si="37"/>
        <v>2.7213797441356489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-9.0881291962762152</v>
      </c>
      <c r="C115" s="1">
        <f t="shared" si="37"/>
        <v>2.7213797441356489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-9.0881291962762152</v>
      </c>
      <c r="C116" s="1">
        <f t="shared" si="37"/>
        <v>2.7213797441356489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-9.0881291962762152</v>
      </c>
      <c r="C117" s="1">
        <f t="shared" si="37"/>
        <v>2.7213797441356489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-9.0881291962762152</v>
      </c>
      <c r="C118" s="1">
        <f t="shared" si="37"/>
        <v>2.7213797441356489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-9.0881291962762152</v>
      </c>
      <c r="C119" s="1">
        <f t="shared" si="37"/>
        <v>2.7213797441356489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-9.0881291962762152</v>
      </c>
      <c r="C120" s="1">
        <f t="shared" si="37"/>
        <v>2.7213797441356489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-9.0881291962762152</v>
      </c>
      <c r="C121" s="1">
        <f t="shared" si="37"/>
        <v>2.7213797441356489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6.1488348307628744</v>
      </c>
      <c r="H122">
        <f>SUM(H110:H121)</f>
        <v>-7.9292382402659882</v>
      </c>
      <c r="I122">
        <f t="shared" ref="I122:J122" si="46">SUM(I110:I121)</f>
        <v>54.428074752349985</v>
      </c>
      <c r="J122">
        <f t="shared" si="46"/>
        <v>-3.8005030451328139</v>
      </c>
      <c r="L122">
        <f ca="1">MIN(L110:L121)</f>
        <v>-9.4585148451857212E-4</v>
      </c>
      <c r="M122">
        <f>MIN(M110:M121)</f>
        <v>-9.3568976849904366E-4</v>
      </c>
      <c r="N122">
        <f>SUM(N110:N121)</f>
        <v>0.25989951814950474</v>
      </c>
      <c r="O122">
        <f>SUM(O110:O121)</f>
        <v>0.32962818746287875</v>
      </c>
      <c r="P122">
        <f>SUM(P110:P121)</f>
        <v>1.9603288476143752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-0.90944354452007969</v>
      </c>
      <c r="F125" s="1" t="s">
        <v>27</v>
      </c>
      <c r="G125" s="1" t="s">
        <v>28</v>
      </c>
    </row>
    <row r="126" spans="1:16" x14ac:dyDescent="0.25">
      <c r="F126" s="4">
        <f>MIN(B84:B90)-1</f>
        <v>-10.088129196276215</v>
      </c>
      <c r="G126" s="4">
        <f>B125</f>
        <v>-0.90944354452007969</v>
      </c>
    </row>
    <row r="127" spans="1:16" x14ac:dyDescent="0.25">
      <c r="F127" s="4">
        <f>MAX(B84:B90)+1</f>
        <v>3.2454484792294247</v>
      </c>
      <c r="G127" s="4">
        <f>G126</f>
        <v>-0.90944354452007969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-9.0881291962762152</v>
      </c>
      <c r="C132" s="4">
        <f>C84</f>
        <v>2.7213797441356489</v>
      </c>
      <c r="D132" s="4">
        <f t="shared" ref="D132:E139" si="47">B85</f>
        <v>-8.9187310362335168</v>
      </c>
      <c r="E132" s="4">
        <f t="shared" si="47"/>
        <v>-2.7760109335744723</v>
      </c>
      <c r="F132" s="4">
        <f t="shared" ref="F132:F139" si="48">($B$66/$B$65)*(C132-$B$125)</f>
        <v>1.7436958598487566</v>
      </c>
      <c r="G132" s="4">
        <f t="shared" ref="G132:G139" si="49">($B$66/$B$65)*(E132-$B$125)</f>
        <v>-0.89641537735863575</v>
      </c>
      <c r="H132" s="4">
        <f>IF(B132=D132,"V",(C132-E132)/(B132-D132))</f>
        <v>-32.452481634537548</v>
      </c>
      <c r="I132" s="4">
        <f>IF(H132="V",0,(-1*B132*H132)+C132)</f>
        <v>-292.2109660903227</v>
      </c>
      <c r="J132" s="4">
        <f>IF($F132&gt;=0,B132,IF(AND($F132&lt;0,$G132&gt;=0),IF(H132="V",B132,($B$125-I132)/H132),0))</f>
        <v>-9.0881291962762152</v>
      </c>
      <c r="K132" s="4">
        <f>IF($F132&gt;=0,C132,IF(AND($F132&lt;0,$G132&gt;=0),$B$125,0))</f>
        <v>2.7213797441356489</v>
      </c>
      <c r="L132" s="4">
        <f>IF($G132&gt;=0,D132,IF(AND($G132&lt;0,$F132&gt;=0),IF(H132="V",D132,($B$125-I132)/H132),0))</f>
        <v>-8.9762479746937149</v>
      </c>
      <c r="M132" s="4">
        <f>IF($G132&gt;=0,E132,IF(AND($G132&lt;0,$F132&gt;=0),$B$125,0))</f>
        <v>-0.90944354452007969</v>
      </c>
      <c r="N132" s="4">
        <f>IF(F132&lt;0,0,F132)</f>
        <v>1.7436958598487566</v>
      </c>
      <c r="O132" s="4">
        <f>IF(G132&lt;0,0,G132)</f>
        <v>0</v>
      </c>
      <c r="P132" s="4">
        <f>(1/6)*(M132-K132)*((N132*((2*J132)+L132))+(O132*(J132+(2*L132))))</f>
        <v>28.650652858328964</v>
      </c>
      <c r="Q132" s="4">
        <f>((1/12)*(M132-K132)*(N132*J132*((3*K132)+M132)+N132*L132*(K132+M132)+O132*J132*(K132+M132)+O132*L132*(K132+(3*M132))))</f>
        <v>43.365592848769687</v>
      </c>
      <c r="R132" s="4">
        <f>((-1/24)*(M132-K132)*(J132*J132*((3*N132)+O132)+2*J132*L132*(N132+O132)+L132*L132*(N132+(3*O132))))</f>
        <v>129.65727303183269</v>
      </c>
    </row>
    <row r="133" spans="1:18" x14ac:dyDescent="0.25">
      <c r="A133" t="s">
        <v>70</v>
      </c>
      <c r="B133" s="4">
        <f t="shared" ref="B133:C138" si="50">D132</f>
        <v>-8.9187310362335168</v>
      </c>
      <c r="C133" s="4">
        <f t="shared" si="50"/>
        <v>-2.7760109335744723</v>
      </c>
      <c r="D133" s="4">
        <f t="shared" si="47"/>
        <v>-3.4213403585233957</v>
      </c>
      <c r="E133" s="4">
        <f t="shared" si="47"/>
        <v>-2.6066127735317726</v>
      </c>
      <c r="F133" s="4">
        <f t="shared" si="48"/>
        <v>-0.89641537735863575</v>
      </c>
      <c r="G133" s="4">
        <f t="shared" si="49"/>
        <v>-0.81506223873155226</v>
      </c>
      <c r="H133" s="4">
        <f t="shared" ref="H133:H139" si="51">IF(B133=D133,"V",(C133-E133)/(B133-D133))</f>
        <v>3.0814284443990193E-2</v>
      </c>
      <c r="I133" s="4">
        <f t="shared" ref="I133:I139" si="52">IF(H133="V",0,(-1*B133*H133)+C133)</f>
        <v>-2.5011866185445291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-3.4213403585233957</v>
      </c>
      <c r="C134" s="4">
        <f t="shared" si="50"/>
        <v>-2.6066127735317726</v>
      </c>
      <c r="D134" s="4">
        <f t="shared" si="47"/>
        <v>-3.2519421984806964</v>
      </c>
      <c r="E134" s="4">
        <f t="shared" si="47"/>
        <v>-8.1040034512418941</v>
      </c>
      <c r="F134" s="4">
        <f t="shared" si="48"/>
        <v>-0.81506223873155226</v>
      </c>
      <c r="G134" s="4">
        <f t="shared" si="49"/>
        <v>-3.4551734759389445</v>
      </c>
      <c r="H134" s="4">
        <f t="shared" si="51"/>
        <v>-32.452481634537385</v>
      </c>
      <c r="I134" s="4">
        <f t="shared" si="52"/>
        <v>-113.63759792401383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-3.2519421984806964</v>
      </c>
      <c r="C135" s="4">
        <f t="shared" si="50"/>
        <v>-8.1040034512418941</v>
      </c>
      <c r="D135" s="4">
        <f t="shared" si="47"/>
        <v>2.2454484792294247</v>
      </c>
      <c r="E135" s="4">
        <f t="shared" si="47"/>
        <v>-7.9346052911991949</v>
      </c>
      <c r="F135" s="4">
        <f t="shared" si="48"/>
        <v>-3.4551734759389445</v>
      </c>
      <c r="G135" s="4">
        <f t="shared" si="49"/>
        <v>-3.3738203373118618</v>
      </c>
      <c r="H135" s="4">
        <f t="shared" si="51"/>
        <v>3.0814284443990113E-2</v>
      </c>
      <c r="I135" s="4">
        <f t="shared" si="52"/>
        <v>-8.0037971793424951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2.2454484792294247</v>
      </c>
      <c r="C136" s="4">
        <f t="shared" si="50"/>
        <v>-7.9346052911991949</v>
      </c>
      <c r="D136" s="4">
        <f t="shared" si="47"/>
        <v>1.9066521591440262</v>
      </c>
      <c r="E136" s="4">
        <f t="shared" si="47"/>
        <v>3.0601760642210478</v>
      </c>
      <c r="F136" s="4">
        <f t="shared" si="48"/>
        <v>-3.3738203373118618</v>
      </c>
      <c r="G136" s="4">
        <f t="shared" si="49"/>
        <v>1.9064021371029234</v>
      </c>
      <c r="H136" s="4">
        <f t="shared" si="51"/>
        <v>-32.452481634537378</v>
      </c>
      <c r="I136" s="4">
        <f t="shared" si="52"/>
        <v>64.9357702422936</v>
      </c>
      <c r="J136" s="4">
        <f t="shared" si="53"/>
        <v>2.0289731469022159</v>
      </c>
      <c r="K136" s="4">
        <f t="shared" si="54"/>
        <v>-0.90944354452007969</v>
      </c>
      <c r="L136" s="4">
        <f t="shared" si="55"/>
        <v>1.9066521591440262</v>
      </c>
      <c r="M136" s="4">
        <f t="shared" si="56"/>
        <v>3.0601760642210478</v>
      </c>
      <c r="N136" s="4">
        <f t="shared" si="57"/>
        <v>0</v>
      </c>
      <c r="O136" s="4">
        <f t="shared" si="57"/>
        <v>1.9064021371029234</v>
      </c>
      <c r="P136" s="4">
        <f t="shared" si="58"/>
        <v>7.3687587296938908</v>
      </c>
      <c r="Q136" s="4">
        <f t="shared" si="59"/>
        <v>12.697236395956713</v>
      </c>
      <c r="R136" s="4">
        <f t="shared" si="60"/>
        <v>-7.1766281650186219</v>
      </c>
    </row>
    <row r="137" spans="1:18" x14ac:dyDescent="0.25">
      <c r="A137" t="s">
        <v>74</v>
      </c>
      <c r="B137" s="4">
        <f t="shared" si="50"/>
        <v>1.9066521591440262</v>
      </c>
      <c r="C137" s="4">
        <f t="shared" si="50"/>
        <v>3.0601760642210478</v>
      </c>
      <c r="D137" s="4">
        <f t="shared" si="47"/>
        <v>-9.0881291962762152</v>
      </c>
      <c r="E137" s="4">
        <f t="shared" si="47"/>
        <v>2.7213797441356489</v>
      </c>
      <c r="F137" s="4">
        <f t="shared" si="48"/>
        <v>1.9064021371029234</v>
      </c>
      <c r="G137" s="4">
        <f t="shared" si="49"/>
        <v>1.7436958598487566</v>
      </c>
      <c r="H137" s="4">
        <f t="shared" si="51"/>
        <v>3.0814284443990158E-2</v>
      </c>
      <c r="I137" s="4">
        <f t="shared" si="52"/>
        <v>3.0014239422534357</v>
      </c>
      <c r="J137" s="4">
        <f t="shared" si="53"/>
        <v>1.9066521591440262</v>
      </c>
      <c r="K137" s="4">
        <f t="shared" si="54"/>
        <v>3.0601760642210478</v>
      </c>
      <c r="L137" s="4">
        <f t="shared" si="55"/>
        <v>-9.0881291962762152</v>
      </c>
      <c r="M137" s="4">
        <f t="shared" si="56"/>
        <v>2.7213797441356489</v>
      </c>
      <c r="N137" s="4">
        <f t="shared" si="57"/>
        <v>1.9064021371029234</v>
      </c>
      <c r="O137" s="4">
        <f t="shared" si="57"/>
        <v>1.7436958598487566</v>
      </c>
      <c r="P137" s="4">
        <f t="shared" si="58"/>
        <v>2.1697184021570779</v>
      </c>
      <c r="Q137" s="4">
        <f t="shared" si="59"/>
        <v>6.0858260154754342</v>
      </c>
      <c r="R137" s="4">
        <f t="shared" si="60"/>
        <v>6.9191732406081297</v>
      </c>
    </row>
    <row r="138" spans="1:18" x14ac:dyDescent="0.25">
      <c r="A138" t="s">
        <v>75</v>
      </c>
      <c r="B138" s="4">
        <f t="shared" si="50"/>
        <v>-9.0881291962762152</v>
      </c>
      <c r="C138" s="4">
        <f t="shared" si="50"/>
        <v>2.7213797441356489</v>
      </c>
      <c r="D138" s="4">
        <f t="shared" si="47"/>
        <v>-9.0881291962762152</v>
      </c>
      <c r="E138" s="4">
        <f t="shared" si="47"/>
        <v>2.7213797441356489</v>
      </c>
      <c r="F138" s="4">
        <f t="shared" si="48"/>
        <v>1.7436958598487566</v>
      </c>
      <c r="G138" s="4">
        <f t="shared" si="49"/>
        <v>1.7436958598487566</v>
      </c>
      <c r="H138" s="4" t="str">
        <f t="shared" si="51"/>
        <v>V</v>
      </c>
      <c r="I138" s="4">
        <f t="shared" si="52"/>
        <v>0</v>
      </c>
      <c r="J138" s="4">
        <f t="shared" si="53"/>
        <v>-9.0881291962762152</v>
      </c>
      <c r="K138" s="4">
        <f t="shared" si="54"/>
        <v>2.7213797441356489</v>
      </c>
      <c r="L138" s="4">
        <f t="shared" si="55"/>
        <v>-9.0881291962762152</v>
      </c>
      <c r="M138" s="4">
        <f t="shared" si="56"/>
        <v>2.7213797441356489</v>
      </c>
      <c r="N138" s="4">
        <f t="shared" si="57"/>
        <v>1.7436958598487566</v>
      </c>
      <c r="O138" s="4">
        <f t="shared" si="57"/>
        <v>1.7436958598487566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-9.0881291962762152</v>
      </c>
      <c r="C139" s="4">
        <f>E138</f>
        <v>2.7213797441356489</v>
      </c>
      <c r="D139" s="4">
        <f t="shared" si="47"/>
        <v>-9.0881291962762152</v>
      </c>
      <c r="E139" s="4">
        <f t="shared" si="47"/>
        <v>2.7213797441356489</v>
      </c>
      <c r="F139" s="4">
        <f t="shared" si="48"/>
        <v>1.7436958598487566</v>
      </c>
      <c r="G139" s="4">
        <f t="shared" si="49"/>
        <v>1.7436958598487566</v>
      </c>
      <c r="H139" s="4" t="str">
        <f t="shared" si="51"/>
        <v>V</v>
      </c>
      <c r="I139" s="4">
        <f t="shared" si="52"/>
        <v>0</v>
      </c>
      <c r="J139" s="4">
        <f t="shared" si="53"/>
        <v>-9.0881291962762152</v>
      </c>
      <c r="K139" s="4">
        <f t="shared" si="54"/>
        <v>2.7213797441356489</v>
      </c>
      <c r="L139" s="4">
        <f t="shared" si="55"/>
        <v>-9.0881291962762152</v>
      </c>
      <c r="M139" s="4">
        <f t="shared" si="56"/>
        <v>2.7213797441356489</v>
      </c>
      <c r="N139" s="4">
        <f t="shared" si="57"/>
        <v>1.7436958598487566</v>
      </c>
      <c r="O139" s="4">
        <f t="shared" si="57"/>
        <v>1.7436958598487566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38.189129990179936</v>
      </c>
      <c r="Q140" s="4">
        <f>SUM(Q132:Q139)</f>
        <v>62.148655260201835</v>
      </c>
      <c r="R140" s="4">
        <f>SUM(R132:R139)</f>
        <v>129.39981810742219</v>
      </c>
    </row>
    <row r="142" spans="1:18" x14ac:dyDescent="0.25">
      <c r="O142" t="s">
        <v>96</v>
      </c>
      <c r="P142" s="1">
        <f>-1*R140/P140</f>
        <v>-3.3883939786189536</v>
      </c>
    </row>
    <row r="143" spans="1:18" x14ac:dyDescent="0.25">
      <c r="O143" t="s">
        <v>97</v>
      </c>
      <c r="P143" s="1">
        <f>Q140/P140</f>
        <v>1.6273912308602716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-9.0881291962762152</v>
      </c>
      <c r="C146" s="9">
        <f>J84</f>
        <v>2.7213797441356489</v>
      </c>
      <c r="D146" s="9">
        <f t="shared" ref="D146:E153" si="61">I85</f>
        <v>-9.0881291962762152</v>
      </c>
      <c r="E146">
        <f t="shared" si="61"/>
        <v>2.7213797441356489</v>
      </c>
      <c r="F146" s="4">
        <f>($B$66/$B$65)*(C146-$B$125)</f>
        <v>1.7436958598487566</v>
      </c>
      <c r="G146" s="4">
        <f>($B$66/$B$65)*(E146-$B$125)</f>
        <v>1.7436958598487566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-9.0881291962762152</v>
      </c>
      <c r="K146" s="4">
        <f>IF($F146&gt;=0,C146,IF(AND($F146&lt;0,$G146&gt;=0),$B$125,0))</f>
        <v>2.7213797441356489</v>
      </c>
      <c r="L146" s="4">
        <f>IF($G146&gt;=0,D146,IF(AND($G146&lt;0,$F146&gt;=0),IF(H146="V",D146,($B$125-I146)/H146),0))</f>
        <v>-9.0881291962762152</v>
      </c>
      <c r="M146" s="4">
        <f>IF($G146&gt;=0,E146,IF(AND($G146&lt;0,$F146&gt;=0),$B$125,0))</f>
        <v>2.7213797441356489</v>
      </c>
      <c r="N146" s="4">
        <f>IF(F146&lt;0,0,F146)</f>
        <v>1.7436958598487566</v>
      </c>
      <c r="O146" s="4">
        <f>IF(G146&lt;0,0,G146)</f>
        <v>1.7436958598487566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-9.0881291962762152</v>
      </c>
      <c r="C147">
        <f t="shared" si="62"/>
        <v>2.7213797441356489</v>
      </c>
      <c r="D147" s="9">
        <f t="shared" si="61"/>
        <v>-9.0881291962762152</v>
      </c>
      <c r="E147">
        <f t="shared" si="61"/>
        <v>2.7213797441356489</v>
      </c>
      <c r="F147" s="4">
        <f t="shared" ref="F147:F153" si="63">($B$66/$B$65)*(C147-$B$125)</f>
        <v>1.7436958598487566</v>
      </c>
      <c r="G147" s="4">
        <f t="shared" ref="G147:G153" si="64">($B$66/$B$65)*(E147-$B$125)</f>
        <v>1.7436958598487566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-9.0881291962762152</v>
      </c>
      <c r="K147" s="4">
        <f t="shared" ref="K147:K153" si="68">IF($F147&gt;=0,C147,IF(AND($F147&lt;0,$G147&gt;=0),$B$125,0))</f>
        <v>2.7213797441356489</v>
      </c>
      <c r="L147" s="4">
        <f t="shared" ref="L147:L153" si="69">IF($G147&gt;=0,D147,IF(AND($G147&lt;0,$F147&gt;=0),IF(H147="V",D147,($B$125-I147)/H147),0))</f>
        <v>-9.0881291962762152</v>
      </c>
      <c r="M147" s="4">
        <f t="shared" ref="M147:M153" si="70">IF($G147&gt;=0,E147,IF(AND($G147&lt;0,$F147&gt;=0),$B$125,0))</f>
        <v>2.7213797441356489</v>
      </c>
      <c r="N147" s="4">
        <f t="shared" ref="N147:O153" si="71">IF(F147&lt;0,0,F147)</f>
        <v>1.7436958598487566</v>
      </c>
      <c r="O147" s="4">
        <f t="shared" si="71"/>
        <v>1.7436958598487566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-9.0881291962762152</v>
      </c>
      <c r="C148">
        <f t="shared" si="62"/>
        <v>2.7213797441356489</v>
      </c>
      <c r="D148" s="9">
        <f t="shared" si="61"/>
        <v>-9.0881291962762152</v>
      </c>
      <c r="E148">
        <f t="shared" si="61"/>
        <v>2.7213797441356489</v>
      </c>
      <c r="F148" s="4">
        <f t="shared" si="63"/>
        <v>1.7436958598487566</v>
      </c>
      <c r="G148" s="4">
        <f t="shared" si="64"/>
        <v>1.7436958598487566</v>
      </c>
      <c r="H148" s="4" t="str">
        <f t="shared" si="65"/>
        <v>V</v>
      </c>
      <c r="I148" s="4">
        <f t="shared" si="66"/>
        <v>0</v>
      </c>
      <c r="J148" s="4">
        <f t="shared" si="67"/>
        <v>-9.0881291962762152</v>
      </c>
      <c r="K148" s="4">
        <f t="shared" si="68"/>
        <v>2.7213797441356489</v>
      </c>
      <c r="L148" s="4">
        <f t="shared" si="69"/>
        <v>-9.0881291962762152</v>
      </c>
      <c r="M148" s="4">
        <f t="shared" si="70"/>
        <v>2.7213797441356489</v>
      </c>
      <c r="N148" s="4">
        <f t="shared" si="71"/>
        <v>1.7436958598487566</v>
      </c>
      <c r="O148" s="4">
        <f t="shared" si="71"/>
        <v>1.7436958598487566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-9.0881291962762152</v>
      </c>
      <c r="C149">
        <f t="shared" si="62"/>
        <v>2.7213797441356489</v>
      </c>
      <c r="D149" s="9">
        <f t="shared" si="61"/>
        <v>-9.0881291962762152</v>
      </c>
      <c r="E149">
        <f t="shared" si="61"/>
        <v>2.7213797441356489</v>
      </c>
      <c r="F149" s="4">
        <f t="shared" si="63"/>
        <v>1.7436958598487566</v>
      </c>
      <c r="G149" s="4">
        <f t="shared" si="64"/>
        <v>1.7436958598487566</v>
      </c>
      <c r="H149" s="4" t="str">
        <f t="shared" si="65"/>
        <v>V</v>
      </c>
      <c r="I149" s="4">
        <f t="shared" si="66"/>
        <v>0</v>
      </c>
      <c r="J149" s="4">
        <f t="shared" si="67"/>
        <v>-9.0881291962762152</v>
      </c>
      <c r="K149" s="4">
        <f t="shared" si="68"/>
        <v>2.7213797441356489</v>
      </c>
      <c r="L149" s="4">
        <f t="shared" si="69"/>
        <v>-9.0881291962762152</v>
      </c>
      <c r="M149" s="4">
        <f t="shared" si="70"/>
        <v>2.7213797441356489</v>
      </c>
      <c r="N149" s="4">
        <f t="shared" si="71"/>
        <v>1.7436958598487566</v>
      </c>
      <c r="O149" s="4">
        <f t="shared" si="71"/>
        <v>1.7436958598487566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-9.0881291962762152</v>
      </c>
      <c r="C150">
        <f t="shared" si="62"/>
        <v>2.7213797441356489</v>
      </c>
      <c r="D150" s="9">
        <f t="shared" si="61"/>
        <v>-9.0881291962762152</v>
      </c>
      <c r="E150">
        <f t="shared" si="61"/>
        <v>2.7213797441356489</v>
      </c>
      <c r="F150" s="4">
        <f t="shared" si="63"/>
        <v>1.7436958598487566</v>
      </c>
      <c r="G150" s="4">
        <f t="shared" si="64"/>
        <v>1.7436958598487566</v>
      </c>
      <c r="H150" s="4" t="str">
        <f t="shared" si="65"/>
        <v>V</v>
      </c>
      <c r="I150" s="4">
        <f t="shared" si="66"/>
        <v>0</v>
      </c>
      <c r="J150" s="4">
        <f t="shared" si="67"/>
        <v>-9.0881291962762152</v>
      </c>
      <c r="K150" s="4">
        <f t="shared" si="68"/>
        <v>2.7213797441356489</v>
      </c>
      <c r="L150" s="4">
        <f t="shared" si="69"/>
        <v>-9.0881291962762152</v>
      </c>
      <c r="M150" s="4">
        <f t="shared" si="70"/>
        <v>2.7213797441356489</v>
      </c>
      <c r="N150" s="4">
        <f t="shared" si="71"/>
        <v>1.7436958598487566</v>
      </c>
      <c r="O150" s="4">
        <f t="shared" si="71"/>
        <v>1.7436958598487566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-9.0881291962762152</v>
      </c>
      <c r="C151">
        <f t="shared" si="62"/>
        <v>2.7213797441356489</v>
      </c>
      <c r="D151" s="9">
        <f t="shared" si="61"/>
        <v>-9.0881291962762152</v>
      </c>
      <c r="E151">
        <f t="shared" si="61"/>
        <v>2.7213797441356489</v>
      </c>
      <c r="F151" s="4">
        <f t="shared" si="63"/>
        <v>1.7436958598487566</v>
      </c>
      <c r="G151" s="4">
        <f t="shared" si="64"/>
        <v>1.7436958598487566</v>
      </c>
      <c r="H151" s="4" t="str">
        <f t="shared" si="65"/>
        <v>V</v>
      </c>
      <c r="I151" s="4">
        <f t="shared" si="66"/>
        <v>0</v>
      </c>
      <c r="J151" s="4">
        <f t="shared" si="67"/>
        <v>-9.0881291962762152</v>
      </c>
      <c r="K151" s="4">
        <f t="shared" si="68"/>
        <v>2.7213797441356489</v>
      </c>
      <c r="L151" s="4">
        <f t="shared" si="69"/>
        <v>-9.0881291962762152</v>
      </c>
      <c r="M151" s="4">
        <f t="shared" si="70"/>
        <v>2.7213797441356489</v>
      </c>
      <c r="N151" s="4">
        <f t="shared" si="71"/>
        <v>1.7436958598487566</v>
      </c>
      <c r="O151" s="4">
        <f t="shared" si="71"/>
        <v>1.7436958598487566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-9.0881291962762152</v>
      </c>
      <c r="C152">
        <f t="shared" si="62"/>
        <v>2.7213797441356489</v>
      </c>
      <c r="D152" s="9">
        <f t="shared" si="61"/>
        <v>-9.0881291962762152</v>
      </c>
      <c r="E152">
        <f t="shared" si="61"/>
        <v>2.7213797441356489</v>
      </c>
      <c r="F152" s="4">
        <f t="shared" si="63"/>
        <v>1.7436958598487566</v>
      </c>
      <c r="G152" s="4">
        <f t="shared" si="64"/>
        <v>1.7436958598487566</v>
      </c>
      <c r="H152" s="4" t="str">
        <f t="shared" si="65"/>
        <v>V</v>
      </c>
      <c r="I152" s="4">
        <f t="shared" si="66"/>
        <v>0</v>
      </c>
      <c r="J152" s="4">
        <f t="shared" si="67"/>
        <v>-9.0881291962762152</v>
      </c>
      <c r="K152" s="4">
        <f t="shared" si="68"/>
        <v>2.7213797441356489</v>
      </c>
      <c r="L152" s="4">
        <f t="shared" si="69"/>
        <v>-9.0881291962762152</v>
      </c>
      <c r="M152" s="4">
        <f t="shared" si="70"/>
        <v>2.7213797441356489</v>
      </c>
      <c r="N152" s="4">
        <f t="shared" si="71"/>
        <v>1.7436958598487566</v>
      </c>
      <c r="O152" s="4">
        <f t="shared" si="71"/>
        <v>1.7436958598487566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-9.0881291962762152</v>
      </c>
      <c r="C153">
        <f t="shared" si="62"/>
        <v>2.7213797441356489</v>
      </c>
      <c r="D153" s="9">
        <f t="shared" si="61"/>
        <v>-9.0881291962762152</v>
      </c>
      <c r="E153">
        <f t="shared" si="61"/>
        <v>2.7213797441356489</v>
      </c>
      <c r="F153" s="4">
        <f t="shared" si="63"/>
        <v>1.7436958598487566</v>
      </c>
      <c r="G153" s="4">
        <f t="shared" si="64"/>
        <v>1.7436958598487566</v>
      </c>
      <c r="H153" s="4" t="str">
        <f t="shared" si="65"/>
        <v>V</v>
      </c>
      <c r="I153" s="4">
        <f t="shared" si="66"/>
        <v>0</v>
      </c>
      <c r="J153" s="4">
        <f t="shared" si="67"/>
        <v>-9.0881291962762152</v>
      </c>
      <c r="K153" s="4">
        <f t="shared" si="68"/>
        <v>2.7213797441356489</v>
      </c>
      <c r="L153" s="4">
        <f t="shared" si="69"/>
        <v>-9.0881291962762152</v>
      </c>
      <c r="M153" s="4">
        <f t="shared" si="70"/>
        <v>2.7213797441356489</v>
      </c>
      <c r="N153" s="4">
        <f t="shared" si="71"/>
        <v>1.7436958598487566</v>
      </c>
      <c r="O153" s="4">
        <f t="shared" si="71"/>
        <v>1.7436958598487566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29.999992231764441</v>
      </c>
      <c r="C159" t="s">
        <v>36</v>
      </c>
    </row>
    <row r="160" spans="1:18" x14ac:dyDescent="0.25">
      <c r="A160" s="1" t="s">
        <v>106</v>
      </c>
      <c r="B160" s="4">
        <f>Q140+I122+Q154-O122</f>
        <v>116.24710182508895</v>
      </c>
      <c r="C160" t="s">
        <v>102</v>
      </c>
    </row>
    <row r="161" spans="1:9" x14ac:dyDescent="0.25">
      <c r="A161" s="1" t="s">
        <v>107</v>
      </c>
      <c r="B161" s="4">
        <f>R140+J122+R154-P122</f>
        <v>123.638986214675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29.999992231764441</v>
      </c>
      <c r="C164" t="s">
        <v>36</v>
      </c>
      <c r="E164" s="8">
        <f>B2-B164</f>
        <v>7.7682355588137852E-6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-119.99995728338513</v>
      </c>
      <c r="C165" t="s">
        <v>102</v>
      </c>
      <c r="E165" s="8">
        <f>B3+B165</f>
        <v>4.2716614871096681E-5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119.99999102879524</v>
      </c>
      <c r="C166" t="s">
        <v>102</v>
      </c>
      <c r="E166" s="8">
        <f>B4+B166</f>
        <v>-8.9712047639523007E-6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-1.9271059192628346</v>
      </c>
      <c r="C169" s="3">
        <f ca="1">A169+B169</f>
        <v>-2.0703782159911199E-2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-7.0352929176281614E-8</v>
      </c>
      <c r="C175" s="27">
        <f>B65*SQRT(I175)</f>
        <v>5.887897387338245E-8</v>
      </c>
      <c r="D175" s="27">
        <f>B66*SQRT(I175)</f>
        <v>2.8276513289957277E-8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-4.7431935878064566</v>
      </c>
      <c r="C176" s="3">
        <f>B65+C175</f>
        <v>3.9696196676201012</v>
      </c>
      <c r="D176" s="3">
        <f>D175+B66</f>
        <v>1.9064021653794367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-7.0352928815964333E-8</v>
      </c>
      <c r="C177" s="27">
        <f>C176-B65</f>
        <v>5.8878973696607773E-8</v>
      </c>
      <c r="D177" s="27">
        <f>D176-B66</f>
        <v>2.8276513353020505E-8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-2.2454478932022472</v>
      </c>
      <c r="B181" s="25">
        <f>(d_alpha_p!E136-d_alpha_m!E136)/(2*B177)</f>
        <v>-1.9066523542704441</v>
      </c>
      <c r="C181" s="25">
        <f>(d_alpha_p!E137-d_alpha_m!E137)/(2*B177)</f>
        <v>9.0881288899900916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-7.7682355588137852E-6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-4.2716614871096681E-5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8.9712047639523007E-6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2.0703782159911199E-2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-2.2454478932022472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-1.9066523542704441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9.0881288899900916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-2.2454478932022472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-1.9066523542704441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9.0881288899900916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-4.7431933767476719</v>
      </c>
      <c r="C64" t="s">
        <v>19</v>
      </c>
      <c r="D64" t="s">
        <v>34</v>
      </c>
      <c r="H64" s="17">
        <f>DEGREES(B64)</f>
        <v>-271.76496190204705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3.8504247421454756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-10.08812881336206</v>
      </c>
      <c r="R76">
        <f>Q76</f>
        <v>-10.08812881336206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10.08812881336206</v>
      </c>
      <c r="R77">
        <f>Q77</f>
        <v>10.08812881336206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-9.0881288133620597</v>
      </c>
      <c r="C84" s="1">
        <f t="shared" ref="C84:C92" si="23">(-1*B73*SIN($B$64))+(C73*COS($B$64))</f>
        <v>2.7213810228886186</v>
      </c>
      <c r="H84" s="1">
        <f t="shared" ref="H84:H92" si="24">H73</f>
        <v>1</v>
      </c>
      <c r="I84" s="4">
        <f>(I73*COS($B$64))+(J73*SIN($B$64))</f>
        <v>-9.0881288133620597</v>
      </c>
      <c r="J84" s="1">
        <f>(-1*I73*SIN($B$64))+(J73*COS($B$64))</f>
        <v>2.7213810228886186</v>
      </c>
    </row>
    <row r="85" spans="1:10" x14ac:dyDescent="0.25">
      <c r="A85" s="1">
        <f t="shared" si="21"/>
        <v>2</v>
      </c>
      <c r="B85" s="4">
        <f t="shared" si="22"/>
        <v>-8.9187314268344231</v>
      </c>
      <c r="C85" s="1">
        <f t="shared" si="23"/>
        <v>-2.7760096786567612</v>
      </c>
      <c r="H85" s="1">
        <f t="shared" si="24"/>
        <v>2</v>
      </c>
      <c r="I85" s="4">
        <f t="shared" ref="I85:I92" si="25">(I74*COS($B$64))+(J74*SIN($B$64))</f>
        <v>-9.0881288133620597</v>
      </c>
      <c r="J85" s="1">
        <f t="shared" ref="J85:J92" si="26">(-1*I74*SIN($B$64))+(J74*COS($B$64))</f>
        <v>2.7213810228886186</v>
      </c>
    </row>
    <row r="86" spans="1:10" x14ac:dyDescent="0.25">
      <c r="A86" s="1">
        <f t="shared" si="21"/>
        <v>3</v>
      </c>
      <c r="B86" s="4">
        <f t="shared" si="22"/>
        <v>-3.4213407252890429</v>
      </c>
      <c r="C86" s="1">
        <f t="shared" si="23"/>
        <v>-2.6066122921291237</v>
      </c>
      <c r="H86" s="1">
        <f t="shared" si="24"/>
        <v>3</v>
      </c>
      <c r="I86" s="4">
        <f t="shared" si="25"/>
        <v>-9.0881288133620597</v>
      </c>
      <c r="J86" s="1">
        <f t="shared" si="26"/>
        <v>2.7213810228886186</v>
      </c>
    </row>
    <row r="87" spans="1:10" x14ac:dyDescent="0.25">
      <c r="A87" s="1">
        <f t="shared" si="21"/>
        <v>4</v>
      </c>
      <c r="B87" s="4">
        <f t="shared" si="22"/>
        <v>-3.2519433387614054</v>
      </c>
      <c r="C87" s="1">
        <f t="shared" si="23"/>
        <v>-8.1040029936745039</v>
      </c>
      <c r="H87" s="1">
        <f t="shared" si="24"/>
        <v>4</v>
      </c>
      <c r="I87" s="4">
        <f t="shared" si="25"/>
        <v>-9.0881288133620597</v>
      </c>
      <c r="J87" s="1">
        <f t="shared" si="26"/>
        <v>2.7213810228886186</v>
      </c>
    </row>
    <row r="88" spans="1:10" x14ac:dyDescent="0.25">
      <c r="A88" s="1">
        <f t="shared" si="21"/>
        <v>5</v>
      </c>
      <c r="B88" s="4">
        <f t="shared" si="22"/>
        <v>2.2454473627839744</v>
      </c>
      <c r="C88" s="1">
        <f t="shared" si="23"/>
        <v>-7.9346056071468665</v>
      </c>
      <c r="H88" s="1">
        <f t="shared" si="24"/>
        <v>5</v>
      </c>
      <c r="I88" s="4">
        <f t="shared" si="25"/>
        <v>-9.0881288133620597</v>
      </c>
      <c r="J88" s="1">
        <f t="shared" si="26"/>
        <v>2.7213810228886186</v>
      </c>
    </row>
    <row r="89" spans="1:10" x14ac:dyDescent="0.25">
      <c r="A89" s="1">
        <f t="shared" si="21"/>
        <v>6</v>
      </c>
      <c r="B89" s="4">
        <f t="shared" si="22"/>
        <v>1.9066525897286997</v>
      </c>
      <c r="C89" s="1">
        <f t="shared" si="23"/>
        <v>3.0601757959438931</v>
      </c>
      <c r="H89" s="1">
        <f t="shared" si="24"/>
        <v>6</v>
      </c>
      <c r="I89" s="4">
        <f t="shared" si="25"/>
        <v>-9.0881288133620597</v>
      </c>
      <c r="J89" s="1">
        <f t="shared" si="26"/>
        <v>2.7213810228886186</v>
      </c>
    </row>
    <row r="90" spans="1:10" x14ac:dyDescent="0.25">
      <c r="A90" s="1">
        <f t="shared" si="21"/>
        <v>7</v>
      </c>
      <c r="B90" s="4">
        <f t="shared" si="22"/>
        <v>-9.0881288133620597</v>
      </c>
      <c r="C90" s="1">
        <f t="shared" si="23"/>
        <v>2.7213810228886186</v>
      </c>
      <c r="H90" s="1">
        <f t="shared" si="24"/>
        <v>7</v>
      </c>
      <c r="I90" s="4">
        <f t="shared" si="25"/>
        <v>-9.0881288133620597</v>
      </c>
      <c r="J90" s="1">
        <f t="shared" si="26"/>
        <v>2.7213810228886186</v>
      </c>
    </row>
    <row r="91" spans="1:10" x14ac:dyDescent="0.25">
      <c r="A91" s="1">
        <f t="shared" si="21"/>
        <v>8</v>
      </c>
      <c r="B91" s="4">
        <f t="shared" si="22"/>
        <v>-9.0881288133620597</v>
      </c>
      <c r="C91" s="1">
        <f t="shared" si="23"/>
        <v>2.7213810228886186</v>
      </c>
      <c r="H91" s="1">
        <f t="shared" si="24"/>
        <v>8</v>
      </c>
      <c r="I91" s="4">
        <f t="shared" si="25"/>
        <v>-9.0881288133620597</v>
      </c>
      <c r="J91" s="1">
        <f t="shared" si="26"/>
        <v>2.7213810228886186</v>
      </c>
    </row>
    <row r="92" spans="1:10" x14ac:dyDescent="0.25">
      <c r="A92" s="1">
        <f t="shared" si="21"/>
        <v>9</v>
      </c>
      <c r="B92" s="4">
        <f t="shared" si="22"/>
        <v>-9.0881288133620597</v>
      </c>
      <c r="C92" s="1">
        <f t="shared" si="23"/>
        <v>2.7213810228886186</v>
      </c>
      <c r="H92" s="1">
        <f t="shared" si="24"/>
        <v>9</v>
      </c>
      <c r="I92" s="4">
        <f t="shared" si="25"/>
        <v>-9.0881288133620597</v>
      </c>
      <c r="J92" s="1">
        <f t="shared" si="26"/>
        <v>2.7213810228886186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-7.5426411529785096</v>
      </c>
      <c r="C110" s="1">
        <f>(-1*B95*SIN($B$64))+(C95*COS($B$64))</f>
        <v>1.268291936974689</v>
      </c>
      <c r="D110" t="str">
        <f t="shared" ref="D110" si="31">D95</f>
        <v>y</v>
      </c>
      <c r="E110" s="4">
        <f t="shared" ref="E110:E121" si="32">IF($D110="y",$B$125-C110,0)</f>
        <v>-2.1777357497719234</v>
      </c>
      <c r="F110" s="1">
        <f>IF($D110="y",B110,NA())</f>
        <v>-7.5426411529785096</v>
      </c>
      <c r="G110" s="1">
        <f>IF($D110="y",C110,NA())</f>
        <v>1.268291936974689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3.3139368931517886E-4</v>
      </c>
      <c r="N110">
        <f>IF(AND(M110&gt;0,D110="y",$E$60="y"),$B$53*M110*$E$59,0)</f>
        <v>0.25989967682580845</v>
      </c>
      <c r="O110">
        <f>N110*C110</f>
        <v>0.32962866454050027</v>
      </c>
      <c r="P110">
        <f>N110*B110*-1</f>
        <v>1.9603299980721578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-7.4656423409204926</v>
      </c>
      <c r="C111" s="1">
        <f t="shared" ref="C111:C121" si="37">(-1*B96*SIN($B$64))+(C96*COS($B$64))</f>
        <v>-1.2305220182732108</v>
      </c>
      <c r="D111" t="str">
        <f t="shared" si="35"/>
        <v>y</v>
      </c>
      <c r="E111" s="4">
        <f t="shared" si="32"/>
        <v>0.32107820547597643</v>
      </c>
      <c r="F111" s="1">
        <f t="shared" ref="F111:G121" si="38">IF($D111="y",B111,NA())</f>
        <v>-7.4656423409204926</v>
      </c>
      <c r="G111" s="1">
        <f t="shared" si="38"/>
        <v>-1.2305220182732108</v>
      </c>
      <c r="H111">
        <f t="shared" si="33"/>
        <v>-0.20324402251835241</v>
      </c>
      <c r="I111">
        <f t="shared" ref="I111:I121" si="39">H111*C111</f>
        <v>0.25009624479124892</v>
      </c>
      <c r="J111">
        <f t="shared" ref="J111:J121" si="40">H111*B111*-1</f>
        <v>-1.5173471800520097</v>
      </c>
      <c r="K111">
        <f ca="1">H111/$B$55</f>
        <v>-1.4323164644476878</v>
      </c>
      <c r="L111">
        <f t="shared" ref="L111:L121" ca="1" si="41">K111/$B$54</f>
        <v>-4.9390222911989235E-5</v>
      </c>
      <c r="M111">
        <f t="shared" si="34"/>
        <v>-4.8859596983942892E-5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-1.7834544904358725</v>
      </c>
      <c r="C112" s="1">
        <f t="shared" si="37"/>
        <v>-7.058278124340533</v>
      </c>
      <c r="D112" t="str">
        <f t="shared" si="35"/>
        <v>y</v>
      </c>
      <c r="E112" s="4">
        <f t="shared" si="32"/>
        <v>6.1488343115432986</v>
      </c>
      <c r="F112" s="1">
        <f t="shared" si="38"/>
        <v>-1.7834544904358725</v>
      </c>
      <c r="G112" s="1">
        <f t="shared" si="38"/>
        <v>-7.058278124340533</v>
      </c>
      <c r="H112">
        <f t="shared" si="33"/>
        <v>-3.8922411984466811</v>
      </c>
      <c r="I112">
        <f t="shared" si="39"/>
        <v>27.472520905653187</v>
      </c>
      <c r="J112">
        <f t="shared" si="40"/>
        <v>-6.9416350432292351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-9.3568968948757919E-4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1.2151222558616075</v>
      </c>
      <c r="C113" s="1">
        <f t="shared" si="37"/>
        <v>-6.9658795498709125</v>
      </c>
      <c r="D113" t="str">
        <f t="shared" si="35"/>
        <v>y</v>
      </c>
      <c r="E113" s="4">
        <f t="shared" si="32"/>
        <v>6.0564357370736781</v>
      </c>
      <c r="F113" s="1">
        <f t="shared" si="38"/>
        <v>1.2151222558616075</v>
      </c>
      <c r="G113" s="1">
        <f t="shared" si="38"/>
        <v>-6.9658795498709125</v>
      </c>
      <c r="H113">
        <f t="shared" si="33"/>
        <v>-3.8337524638334801</v>
      </c>
      <c r="I113">
        <f t="shared" si="39"/>
        <v>26.705457887084865</v>
      </c>
      <c r="J113">
        <f t="shared" si="40"/>
        <v>4.658477942268334</v>
      </c>
      <c r="K113">
        <f t="shared" ca="1" si="45"/>
        <v>-27.017506869456621</v>
      </c>
      <c r="L113">
        <f t="shared" ca="1" si="41"/>
        <v>-9.3163816791229728E-4</v>
      </c>
      <c r="M113">
        <f t="shared" si="34"/>
        <v>-9.2162907424343961E-4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-9.0881288133620597</v>
      </c>
      <c r="C114" s="1">
        <f t="shared" si="37"/>
        <v>2.7213810228886186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-9.0881288133620597</v>
      </c>
      <c r="C115" s="1">
        <f t="shared" si="37"/>
        <v>2.7213810228886186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-9.0881288133620597</v>
      </c>
      <c r="C116" s="1">
        <f t="shared" si="37"/>
        <v>2.7213810228886186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-9.0881288133620597</v>
      </c>
      <c r="C117" s="1">
        <f t="shared" si="37"/>
        <v>2.7213810228886186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-9.0881288133620597</v>
      </c>
      <c r="C118" s="1">
        <f t="shared" si="37"/>
        <v>2.7213810228886186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-9.0881288133620597</v>
      </c>
      <c r="C119" s="1">
        <f t="shared" si="37"/>
        <v>2.7213810228886186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-9.0881288133620597</v>
      </c>
      <c r="C120" s="1">
        <f t="shared" si="37"/>
        <v>2.7213810228886186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-9.0881288133620597</v>
      </c>
      <c r="C121" s="1">
        <f t="shared" si="37"/>
        <v>2.7213810228886186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6.1488343115432986</v>
      </c>
      <c r="H122">
        <f>SUM(H110:H121)</f>
        <v>-7.9292376847985135</v>
      </c>
      <c r="I122">
        <f t="shared" ref="I122:J122" si="46">SUM(I110:I121)</f>
        <v>54.428075037529297</v>
      </c>
      <c r="J122">
        <f t="shared" si="46"/>
        <v>-3.8005042810129108</v>
      </c>
      <c r="L122">
        <f ca="1">MIN(L110:L121)</f>
        <v>-9.4585148451857212E-4</v>
      </c>
      <c r="M122">
        <f>MIN(M110:M121)</f>
        <v>-9.3568968948757919E-4</v>
      </c>
      <c r="N122">
        <f>SUM(N110:N121)</f>
        <v>0.25989967682580845</v>
      </c>
      <c r="O122">
        <f>SUM(O110:O121)</f>
        <v>0.32962866454050027</v>
      </c>
      <c r="P122">
        <f>SUM(P110:P121)</f>
        <v>1.9603299980721578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-0.90944381279723441</v>
      </c>
      <c r="F125" s="1" t="s">
        <v>27</v>
      </c>
      <c r="G125" s="1" t="s">
        <v>28</v>
      </c>
    </row>
    <row r="126" spans="1:16" x14ac:dyDescent="0.25">
      <c r="F126" s="4">
        <f>MIN(B84:B90)-1</f>
        <v>-10.08812881336206</v>
      </c>
      <c r="G126" s="4">
        <f>B125</f>
        <v>-0.90944381279723441</v>
      </c>
    </row>
    <row r="127" spans="1:16" x14ac:dyDescent="0.25">
      <c r="F127" s="4">
        <f>MAX(B84:B90)+1</f>
        <v>3.2454473627839744</v>
      </c>
      <c r="G127" s="4">
        <f>G126</f>
        <v>-0.90944381279723441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-9.0881288133620597</v>
      </c>
      <c r="C132" s="4">
        <f>C84</f>
        <v>2.7213810228886186</v>
      </c>
      <c r="D132" s="4">
        <f t="shared" ref="D132:E139" si="47">B85</f>
        <v>-8.9187314268344231</v>
      </c>
      <c r="E132" s="4">
        <f t="shared" si="47"/>
        <v>-2.7760096786567612</v>
      </c>
      <c r="F132" s="4">
        <f t="shared" ref="F132:F139" si="48">($B$66/$B$65)*(C132-$B$125)</f>
        <v>1.7436966028069809</v>
      </c>
      <c r="G132" s="4">
        <f t="shared" ref="G132:G139" si="49">($B$66/$B$65)*(E132-$B$125)</f>
        <v>-0.89641464584724839</v>
      </c>
      <c r="H132" s="4">
        <f>IF(B132=D132,"V",(C132-E132)/(B132-D132))</f>
        <v>-32.452629962201335</v>
      </c>
      <c r="I132" s="4">
        <f>IF(H132="V",0,(-1*B132*H132)+C132)</f>
        <v>-292.21230040597021</v>
      </c>
      <c r="J132" s="4">
        <f>IF($F132&gt;=0,B132,IF(AND($F132&lt;0,$G132&gt;=0),IF(H132="V",B132,($B$125-I132)/H132),0))</f>
        <v>-9.0881288133620597</v>
      </c>
      <c r="K132" s="4">
        <f>IF($F132&gt;=0,C132,IF(AND($F132&lt;0,$G132&gt;=0),$B$125,0))</f>
        <v>2.7213810228886186</v>
      </c>
      <c r="L132" s="4">
        <f>IF($G132&gt;=0,D132,IF(AND($G132&lt;0,$F132&gt;=0),IF(H132="V",D132,($B$125-I132)/H132),0))</f>
        <v>-8.9762480554723343</v>
      </c>
      <c r="M132" s="4">
        <f>IF($G132&gt;=0,E132,IF(AND($G132&lt;0,$F132&gt;=0),$B$125,0))</f>
        <v>-0.90944381279723441</v>
      </c>
      <c r="N132" s="4">
        <f>IF(F132&lt;0,0,F132)</f>
        <v>1.7436966028069809</v>
      </c>
      <c r="O132" s="4">
        <f>IF(G132&lt;0,0,G132)</f>
        <v>0</v>
      </c>
      <c r="P132" s="4">
        <f>(1/6)*(M132-K132)*((N132*((2*J132)+L132))+(O132*(J132+(2*L132))))</f>
        <v>28.650676550567464</v>
      </c>
      <c r="Q132" s="4">
        <f>((1/12)*(M132-K132)*(N132*J132*((3*K132)+M132)+N132*L132*(K132+M132)+O132*J132*(K132+M132)+O132*L132*(K132+(3*M132))))</f>
        <v>43.365650308124984</v>
      </c>
      <c r="R132" s="4">
        <f>((-1/24)*(M132-K132)*(J132*J132*((3*N132)+O132)+2*J132*L132*(N132+O132)+L132*L132*(N132+(3*O132))))</f>
        <v>129.65737696973375</v>
      </c>
    </row>
    <row r="133" spans="1:18" x14ac:dyDescent="0.25">
      <c r="A133" t="s">
        <v>70</v>
      </c>
      <c r="B133" s="4">
        <f t="shared" ref="B133:C138" si="50">D132</f>
        <v>-8.9187314268344231</v>
      </c>
      <c r="C133" s="4">
        <f t="shared" si="50"/>
        <v>-2.7760096786567612</v>
      </c>
      <c r="D133" s="4">
        <f t="shared" si="47"/>
        <v>-3.4213407252890429</v>
      </c>
      <c r="E133" s="4">
        <f t="shared" si="47"/>
        <v>-2.6066122921291237</v>
      </c>
      <c r="F133" s="4">
        <f t="shared" si="48"/>
        <v>-0.89641464584724839</v>
      </c>
      <c r="G133" s="4">
        <f t="shared" si="49"/>
        <v>-0.81506187869927704</v>
      </c>
      <c r="H133" s="4">
        <f t="shared" ref="H133:H139" si="51">IF(B133=D133,"V",(C133-E133)/(B133-D133))</f>
        <v>3.0814143604531857E-2</v>
      </c>
      <c r="I133" s="4">
        <f t="shared" ref="I133:I139" si="52">IF(H133="V",0,(-1*B133*H133)+C133)</f>
        <v>-2.501186607700034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-3.4213407252890429</v>
      </c>
      <c r="C134" s="4">
        <f t="shared" si="50"/>
        <v>-2.6066122921291237</v>
      </c>
      <c r="D134" s="4">
        <f t="shared" si="47"/>
        <v>-3.2519433387614054</v>
      </c>
      <c r="E134" s="4">
        <f t="shared" si="47"/>
        <v>-8.1040029936745039</v>
      </c>
      <c r="F134" s="4">
        <f t="shared" si="48"/>
        <v>-0.81506187869927704</v>
      </c>
      <c r="G134" s="4">
        <f t="shared" si="49"/>
        <v>-3.4551731273535067</v>
      </c>
      <c r="H134" s="4">
        <f t="shared" si="51"/>
        <v>-32.452629962201165</v>
      </c>
      <c r="I134" s="4">
        <f t="shared" si="52"/>
        <v>-113.63811682454339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-3.2519433387614054</v>
      </c>
      <c r="C135" s="4">
        <f t="shared" si="50"/>
        <v>-8.1040029936745039</v>
      </c>
      <c r="D135" s="4">
        <f t="shared" si="47"/>
        <v>2.2454473627839744</v>
      </c>
      <c r="E135" s="4">
        <f t="shared" si="47"/>
        <v>-7.9346056071468665</v>
      </c>
      <c r="F135" s="4">
        <f t="shared" si="48"/>
        <v>-3.4551731273535067</v>
      </c>
      <c r="G135" s="4">
        <f t="shared" si="49"/>
        <v>-3.373820360205535</v>
      </c>
      <c r="H135" s="4">
        <f t="shared" si="51"/>
        <v>3.0814143604531861E-2</v>
      </c>
      <c r="I135" s="4">
        <f t="shared" si="52"/>
        <v>-8.0037971446401084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2.2454473627839744</v>
      </c>
      <c r="C136" s="4">
        <f t="shared" si="50"/>
        <v>-7.9346056071468665</v>
      </c>
      <c r="D136" s="4">
        <f t="shared" si="47"/>
        <v>1.9066525897286997</v>
      </c>
      <c r="E136" s="4">
        <f t="shared" si="47"/>
        <v>3.0601757959438931</v>
      </c>
      <c r="F136" s="4">
        <f t="shared" si="48"/>
        <v>-3.373820360205535</v>
      </c>
      <c r="G136" s="4">
        <f t="shared" si="49"/>
        <v>1.9064021371029234</v>
      </c>
      <c r="H136" s="4">
        <f t="shared" si="51"/>
        <v>-32.452629962201186</v>
      </c>
      <c r="I136" s="4">
        <f t="shared" si="52"/>
        <v>64.936066756881985</v>
      </c>
      <c r="J136" s="4">
        <f t="shared" si="53"/>
        <v>2.0289730184078145</v>
      </c>
      <c r="K136" s="4">
        <f t="shared" si="54"/>
        <v>-0.90944381279723441</v>
      </c>
      <c r="L136" s="4">
        <f t="shared" si="55"/>
        <v>1.9066525897286997</v>
      </c>
      <c r="M136" s="4">
        <f t="shared" si="56"/>
        <v>3.0601757959438931</v>
      </c>
      <c r="N136" s="4">
        <f t="shared" si="57"/>
        <v>0</v>
      </c>
      <c r="O136" s="4">
        <f t="shared" si="57"/>
        <v>1.9064021371029234</v>
      </c>
      <c r="P136" s="4">
        <f t="shared" si="58"/>
        <v>7.3687596538035285</v>
      </c>
      <c r="Q136" s="4">
        <f t="shared" si="59"/>
        <v>12.697236490770837</v>
      </c>
      <c r="R136" s="4">
        <f t="shared" si="60"/>
        <v>-7.1766299502778317</v>
      </c>
    </row>
    <row r="137" spans="1:18" x14ac:dyDescent="0.25">
      <c r="A137" t="s">
        <v>74</v>
      </c>
      <c r="B137" s="4">
        <f t="shared" si="50"/>
        <v>1.9066525897286997</v>
      </c>
      <c r="C137" s="4">
        <f t="shared" si="50"/>
        <v>3.0601757959438931</v>
      </c>
      <c r="D137" s="4">
        <f t="shared" si="47"/>
        <v>-9.0881288133620597</v>
      </c>
      <c r="E137" s="4">
        <f t="shared" si="47"/>
        <v>2.7213810228886186</v>
      </c>
      <c r="F137" s="4">
        <f t="shared" si="48"/>
        <v>1.9064021371029234</v>
      </c>
      <c r="G137" s="4">
        <f t="shared" si="49"/>
        <v>1.7436966028069809</v>
      </c>
      <c r="H137" s="4">
        <f t="shared" si="51"/>
        <v>3.0814143604531819E-2</v>
      </c>
      <c r="I137" s="4">
        <f t="shared" si="52"/>
        <v>3.0014239292400404</v>
      </c>
      <c r="J137" s="4">
        <f t="shared" si="53"/>
        <v>1.9066525897286997</v>
      </c>
      <c r="K137" s="4">
        <f t="shared" si="54"/>
        <v>3.0601757959438931</v>
      </c>
      <c r="L137" s="4">
        <f t="shared" si="55"/>
        <v>-9.0881288133620597</v>
      </c>
      <c r="M137" s="4">
        <f t="shared" si="56"/>
        <v>2.7213810228886186</v>
      </c>
      <c r="N137" s="4">
        <f t="shared" si="57"/>
        <v>1.9064021371029234</v>
      </c>
      <c r="O137" s="4">
        <f t="shared" si="57"/>
        <v>1.7436966028069809</v>
      </c>
      <c r="P137" s="4">
        <f t="shared" si="58"/>
        <v>2.1697089254902258</v>
      </c>
      <c r="Q137" s="4">
        <f t="shared" si="59"/>
        <v>6.0858013525261709</v>
      </c>
      <c r="R137" s="4">
        <f t="shared" si="60"/>
        <v>6.9191430629792992</v>
      </c>
    </row>
    <row r="138" spans="1:18" x14ac:dyDescent="0.25">
      <c r="A138" t="s">
        <v>75</v>
      </c>
      <c r="B138" s="4">
        <f t="shared" si="50"/>
        <v>-9.0881288133620597</v>
      </c>
      <c r="C138" s="4">
        <f t="shared" si="50"/>
        <v>2.7213810228886186</v>
      </c>
      <c r="D138" s="4">
        <f t="shared" si="47"/>
        <v>-9.0881288133620597</v>
      </c>
      <c r="E138" s="4">
        <f t="shared" si="47"/>
        <v>2.7213810228886186</v>
      </c>
      <c r="F138" s="4">
        <f t="shared" si="48"/>
        <v>1.7436966028069809</v>
      </c>
      <c r="G138" s="4">
        <f t="shared" si="49"/>
        <v>1.7436966028069809</v>
      </c>
      <c r="H138" s="4" t="str">
        <f t="shared" si="51"/>
        <v>V</v>
      </c>
      <c r="I138" s="4">
        <f t="shared" si="52"/>
        <v>0</v>
      </c>
      <c r="J138" s="4">
        <f t="shared" si="53"/>
        <v>-9.0881288133620597</v>
      </c>
      <c r="K138" s="4">
        <f t="shared" si="54"/>
        <v>2.7213810228886186</v>
      </c>
      <c r="L138" s="4">
        <f t="shared" si="55"/>
        <v>-9.0881288133620597</v>
      </c>
      <c r="M138" s="4">
        <f t="shared" si="56"/>
        <v>2.7213810228886186</v>
      </c>
      <c r="N138" s="4">
        <f t="shared" si="57"/>
        <v>1.7436966028069809</v>
      </c>
      <c r="O138" s="4">
        <f t="shared" si="57"/>
        <v>1.7436966028069809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-9.0881288133620597</v>
      </c>
      <c r="C139" s="4">
        <f>E138</f>
        <v>2.7213810228886186</v>
      </c>
      <c r="D139" s="4">
        <f t="shared" si="47"/>
        <v>-9.0881288133620597</v>
      </c>
      <c r="E139" s="4">
        <f t="shared" si="47"/>
        <v>2.7213810228886186</v>
      </c>
      <c r="F139" s="4">
        <f t="shared" si="48"/>
        <v>1.7436966028069809</v>
      </c>
      <c r="G139" s="4">
        <f t="shared" si="49"/>
        <v>1.7436966028069809</v>
      </c>
      <c r="H139" s="4" t="str">
        <f t="shared" si="51"/>
        <v>V</v>
      </c>
      <c r="I139" s="4">
        <f t="shared" si="52"/>
        <v>0</v>
      </c>
      <c r="J139" s="4">
        <f t="shared" si="53"/>
        <v>-9.0881288133620597</v>
      </c>
      <c r="K139" s="4">
        <f t="shared" si="54"/>
        <v>2.7213810228886186</v>
      </c>
      <c r="L139" s="4">
        <f t="shared" si="55"/>
        <v>-9.0881288133620597</v>
      </c>
      <c r="M139" s="4">
        <f t="shared" si="56"/>
        <v>2.7213810228886186</v>
      </c>
      <c r="N139" s="4">
        <f t="shared" si="57"/>
        <v>1.7436966028069809</v>
      </c>
      <c r="O139" s="4">
        <f t="shared" si="57"/>
        <v>1.7436966028069809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38.189145129861217</v>
      </c>
      <c r="Q140" s="4">
        <f>SUM(Q132:Q139)</f>
        <v>62.148688151421986</v>
      </c>
      <c r="R140" s="4">
        <f>SUM(R132:R139)</f>
        <v>129.39989008243521</v>
      </c>
    </row>
    <row r="142" spans="1:18" x14ac:dyDescent="0.25">
      <c r="O142" t="s">
        <v>96</v>
      </c>
      <c r="P142" s="1">
        <f>-1*R140/P140</f>
        <v>-3.3883945200243204</v>
      </c>
    </row>
    <row r="143" spans="1:18" x14ac:dyDescent="0.25">
      <c r="O143" t="s">
        <v>97</v>
      </c>
      <c r="P143" s="1">
        <f>Q140/P140</f>
        <v>1.6273914469697333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-9.0881288133620597</v>
      </c>
      <c r="C146" s="9">
        <f>J84</f>
        <v>2.7213810228886186</v>
      </c>
      <c r="D146" s="9">
        <f t="shared" ref="D146:E153" si="61">I85</f>
        <v>-9.0881288133620597</v>
      </c>
      <c r="E146">
        <f t="shared" si="61"/>
        <v>2.7213810228886186</v>
      </c>
      <c r="F146" s="4">
        <f>($B$66/$B$65)*(C146-$B$125)</f>
        <v>1.7436966028069809</v>
      </c>
      <c r="G146" s="4">
        <f>($B$66/$B$65)*(E146-$B$125)</f>
        <v>1.7436966028069809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-9.0881288133620597</v>
      </c>
      <c r="K146" s="4">
        <f>IF($F146&gt;=0,C146,IF(AND($F146&lt;0,$G146&gt;=0),$B$125,0))</f>
        <v>2.7213810228886186</v>
      </c>
      <c r="L146" s="4">
        <f>IF($G146&gt;=0,D146,IF(AND($G146&lt;0,$F146&gt;=0),IF(H146="V",D146,($B$125-I146)/H146),0))</f>
        <v>-9.0881288133620597</v>
      </c>
      <c r="M146" s="4">
        <f>IF($G146&gt;=0,E146,IF(AND($G146&lt;0,$F146&gt;=0),$B$125,0))</f>
        <v>2.7213810228886186</v>
      </c>
      <c r="N146" s="4">
        <f>IF(F146&lt;0,0,F146)</f>
        <v>1.7436966028069809</v>
      </c>
      <c r="O146" s="4">
        <f>IF(G146&lt;0,0,G146)</f>
        <v>1.7436966028069809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-9.0881288133620597</v>
      </c>
      <c r="C147">
        <f t="shared" si="62"/>
        <v>2.7213810228886186</v>
      </c>
      <c r="D147" s="9">
        <f t="shared" si="61"/>
        <v>-9.0881288133620597</v>
      </c>
      <c r="E147">
        <f t="shared" si="61"/>
        <v>2.7213810228886186</v>
      </c>
      <c r="F147" s="4">
        <f t="shared" ref="F147:F153" si="63">($B$66/$B$65)*(C147-$B$125)</f>
        <v>1.7436966028069809</v>
      </c>
      <c r="G147" s="4">
        <f t="shared" ref="G147:G153" si="64">($B$66/$B$65)*(E147-$B$125)</f>
        <v>1.7436966028069809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-9.0881288133620597</v>
      </c>
      <c r="K147" s="4">
        <f t="shared" ref="K147:K153" si="68">IF($F147&gt;=0,C147,IF(AND($F147&lt;0,$G147&gt;=0),$B$125,0))</f>
        <v>2.7213810228886186</v>
      </c>
      <c r="L147" s="4">
        <f t="shared" ref="L147:L153" si="69">IF($G147&gt;=0,D147,IF(AND($G147&lt;0,$F147&gt;=0),IF(H147="V",D147,($B$125-I147)/H147),0))</f>
        <v>-9.0881288133620597</v>
      </c>
      <c r="M147" s="4">
        <f t="shared" ref="M147:M153" si="70">IF($G147&gt;=0,E147,IF(AND($G147&lt;0,$F147&gt;=0),$B$125,0))</f>
        <v>2.7213810228886186</v>
      </c>
      <c r="N147" s="4">
        <f t="shared" ref="N147:O153" si="71">IF(F147&lt;0,0,F147)</f>
        <v>1.7436966028069809</v>
      </c>
      <c r="O147" s="4">
        <f t="shared" si="71"/>
        <v>1.7436966028069809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-9.0881288133620597</v>
      </c>
      <c r="C148">
        <f t="shared" si="62"/>
        <v>2.7213810228886186</v>
      </c>
      <c r="D148" s="9">
        <f t="shared" si="61"/>
        <v>-9.0881288133620597</v>
      </c>
      <c r="E148">
        <f t="shared" si="61"/>
        <v>2.7213810228886186</v>
      </c>
      <c r="F148" s="4">
        <f t="shared" si="63"/>
        <v>1.7436966028069809</v>
      </c>
      <c r="G148" s="4">
        <f t="shared" si="64"/>
        <v>1.7436966028069809</v>
      </c>
      <c r="H148" s="4" t="str">
        <f t="shared" si="65"/>
        <v>V</v>
      </c>
      <c r="I148" s="4">
        <f t="shared" si="66"/>
        <v>0</v>
      </c>
      <c r="J148" s="4">
        <f t="shared" si="67"/>
        <v>-9.0881288133620597</v>
      </c>
      <c r="K148" s="4">
        <f t="shared" si="68"/>
        <v>2.7213810228886186</v>
      </c>
      <c r="L148" s="4">
        <f t="shared" si="69"/>
        <v>-9.0881288133620597</v>
      </c>
      <c r="M148" s="4">
        <f t="shared" si="70"/>
        <v>2.7213810228886186</v>
      </c>
      <c r="N148" s="4">
        <f t="shared" si="71"/>
        <v>1.7436966028069809</v>
      </c>
      <c r="O148" s="4">
        <f t="shared" si="71"/>
        <v>1.7436966028069809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-9.0881288133620597</v>
      </c>
      <c r="C149">
        <f t="shared" si="62"/>
        <v>2.7213810228886186</v>
      </c>
      <c r="D149" s="9">
        <f t="shared" si="61"/>
        <v>-9.0881288133620597</v>
      </c>
      <c r="E149">
        <f t="shared" si="61"/>
        <v>2.7213810228886186</v>
      </c>
      <c r="F149" s="4">
        <f t="shared" si="63"/>
        <v>1.7436966028069809</v>
      </c>
      <c r="G149" s="4">
        <f t="shared" si="64"/>
        <v>1.7436966028069809</v>
      </c>
      <c r="H149" s="4" t="str">
        <f t="shared" si="65"/>
        <v>V</v>
      </c>
      <c r="I149" s="4">
        <f t="shared" si="66"/>
        <v>0</v>
      </c>
      <c r="J149" s="4">
        <f t="shared" si="67"/>
        <v>-9.0881288133620597</v>
      </c>
      <c r="K149" s="4">
        <f t="shared" si="68"/>
        <v>2.7213810228886186</v>
      </c>
      <c r="L149" s="4">
        <f t="shared" si="69"/>
        <v>-9.0881288133620597</v>
      </c>
      <c r="M149" s="4">
        <f t="shared" si="70"/>
        <v>2.7213810228886186</v>
      </c>
      <c r="N149" s="4">
        <f t="shared" si="71"/>
        <v>1.7436966028069809</v>
      </c>
      <c r="O149" s="4">
        <f t="shared" si="71"/>
        <v>1.7436966028069809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-9.0881288133620597</v>
      </c>
      <c r="C150">
        <f t="shared" si="62"/>
        <v>2.7213810228886186</v>
      </c>
      <c r="D150" s="9">
        <f t="shared" si="61"/>
        <v>-9.0881288133620597</v>
      </c>
      <c r="E150">
        <f t="shared" si="61"/>
        <v>2.7213810228886186</v>
      </c>
      <c r="F150" s="4">
        <f t="shared" si="63"/>
        <v>1.7436966028069809</v>
      </c>
      <c r="G150" s="4">
        <f t="shared" si="64"/>
        <v>1.7436966028069809</v>
      </c>
      <c r="H150" s="4" t="str">
        <f t="shared" si="65"/>
        <v>V</v>
      </c>
      <c r="I150" s="4">
        <f t="shared" si="66"/>
        <v>0</v>
      </c>
      <c r="J150" s="4">
        <f t="shared" si="67"/>
        <v>-9.0881288133620597</v>
      </c>
      <c r="K150" s="4">
        <f t="shared" si="68"/>
        <v>2.7213810228886186</v>
      </c>
      <c r="L150" s="4">
        <f t="shared" si="69"/>
        <v>-9.0881288133620597</v>
      </c>
      <c r="M150" s="4">
        <f t="shared" si="70"/>
        <v>2.7213810228886186</v>
      </c>
      <c r="N150" s="4">
        <f t="shared" si="71"/>
        <v>1.7436966028069809</v>
      </c>
      <c r="O150" s="4">
        <f t="shared" si="71"/>
        <v>1.7436966028069809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-9.0881288133620597</v>
      </c>
      <c r="C151">
        <f t="shared" si="62"/>
        <v>2.7213810228886186</v>
      </c>
      <c r="D151" s="9">
        <f t="shared" si="61"/>
        <v>-9.0881288133620597</v>
      </c>
      <c r="E151">
        <f t="shared" si="61"/>
        <v>2.7213810228886186</v>
      </c>
      <c r="F151" s="4">
        <f t="shared" si="63"/>
        <v>1.7436966028069809</v>
      </c>
      <c r="G151" s="4">
        <f t="shared" si="64"/>
        <v>1.7436966028069809</v>
      </c>
      <c r="H151" s="4" t="str">
        <f t="shared" si="65"/>
        <v>V</v>
      </c>
      <c r="I151" s="4">
        <f t="shared" si="66"/>
        <v>0</v>
      </c>
      <c r="J151" s="4">
        <f t="shared" si="67"/>
        <v>-9.0881288133620597</v>
      </c>
      <c r="K151" s="4">
        <f t="shared" si="68"/>
        <v>2.7213810228886186</v>
      </c>
      <c r="L151" s="4">
        <f t="shared" si="69"/>
        <v>-9.0881288133620597</v>
      </c>
      <c r="M151" s="4">
        <f t="shared" si="70"/>
        <v>2.7213810228886186</v>
      </c>
      <c r="N151" s="4">
        <f t="shared" si="71"/>
        <v>1.7436966028069809</v>
      </c>
      <c r="O151" s="4">
        <f t="shared" si="71"/>
        <v>1.7436966028069809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-9.0881288133620597</v>
      </c>
      <c r="C152">
        <f t="shared" si="62"/>
        <v>2.7213810228886186</v>
      </c>
      <c r="D152" s="9">
        <f t="shared" si="61"/>
        <v>-9.0881288133620597</v>
      </c>
      <c r="E152">
        <f t="shared" si="61"/>
        <v>2.7213810228886186</v>
      </c>
      <c r="F152" s="4">
        <f t="shared" si="63"/>
        <v>1.7436966028069809</v>
      </c>
      <c r="G152" s="4">
        <f t="shared" si="64"/>
        <v>1.7436966028069809</v>
      </c>
      <c r="H152" s="4" t="str">
        <f t="shared" si="65"/>
        <v>V</v>
      </c>
      <c r="I152" s="4">
        <f t="shared" si="66"/>
        <v>0</v>
      </c>
      <c r="J152" s="4">
        <f t="shared" si="67"/>
        <v>-9.0881288133620597</v>
      </c>
      <c r="K152" s="4">
        <f t="shared" si="68"/>
        <v>2.7213810228886186</v>
      </c>
      <c r="L152" s="4">
        <f t="shared" si="69"/>
        <v>-9.0881288133620597</v>
      </c>
      <c r="M152" s="4">
        <f t="shared" si="70"/>
        <v>2.7213810228886186</v>
      </c>
      <c r="N152" s="4">
        <f t="shared" si="71"/>
        <v>1.7436966028069809</v>
      </c>
      <c r="O152" s="4">
        <f t="shared" si="71"/>
        <v>1.7436966028069809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-9.0881288133620597</v>
      </c>
      <c r="C153">
        <f t="shared" si="62"/>
        <v>2.7213810228886186</v>
      </c>
      <c r="D153" s="9">
        <f t="shared" si="61"/>
        <v>-9.0881288133620597</v>
      </c>
      <c r="E153">
        <f t="shared" si="61"/>
        <v>2.7213810228886186</v>
      </c>
      <c r="F153" s="4">
        <f t="shared" si="63"/>
        <v>1.7436966028069809</v>
      </c>
      <c r="G153" s="4">
        <f t="shared" si="64"/>
        <v>1.7436966028069809</v>
      </c>
      <c r="H153" s="4" t="str">
        <f t="shared" si="65"/>
        <v>V</v>
      </c>
      <c r="I153" s="4">
        <f t="shared" si="66"/>
        <v>0</v>
      </c>
      <c r="J153" s="4">
        <f t="shared" si="67"/>
        <v>-9.0881288133620597</v>
      </c>
      <c r="K153" s="4">
        <f t="shared" si="68"/>
        <v>2.7213810228886186</v>
      </c>
      <c r="L153" s="4">
        <f t="shared" si="69"/>
        <v>-9.0881288133620597</v>
      </c>
      <c r="M153" s="4">
        <f t="shared" si="70"/>
        <v>2.7213810228886186</v>
      </c>
      <c r="N153" s="4">
        <f t="shared" si="71"/>
        <v>1.7436966028069809</v>
      </c>
      <c r="O153" s="4">
        <f t="shared" si="71"/>
        <v>1.7436966028069809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30.000007768236895</v>
      </c>
      <c r="C159" t="s">
        <v>36</v>
      </c>
    </row>
    <row r="160" spans="1:18" x14ac:dyDescent="0.25">
      <c r="A160" s="1" t="s">
        <v>106</v>
      </c>
      <c r="B160" s="4">
        <f>Q140+I122+Q154-O122</f>
        <v>116.24713452441078</v>
      </c>
      <c r="C160" t="s">
        <v>102</v>
      </c>
    </row>
    <row r="161" spans="1:9" x14ac:dyDescent="0.25">
      <c r="A161" s="1" t="s">
        <v>107</v>
      </c>
      <c r="B161" s="4">
        <f>R140+J122+R154-P122</f>
        <v>123.63905580335015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30.000007768236895</v>
      </c>
      <c r="C164" t="s">
        <v>36</v>
      </c>
      <c r="E164" s="8">
        <f>B2-B164</f>
        <v>-7.7682368946341285E-6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-120.00004271662283</v>
      </c>
      <c r="C165" t="s">
        <v>102</v>
      </c>
      <c r="E165" s="8">
        <f>B3+B165</f>
        <v>-4.2716622829175321E-5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120.00000897120418</v>
      </c>
      <c r="C166" t="s">
        <v>102</v>
      </c>
      <c r="E166" s="8">
        <f>B4+B166</f>
        <v>8.9712041813072574E-6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-1.9271060819914212</v>
      </c>
      <c r="C169" s="3">
        <f ca="1">A169+B169</f>
        <v>-2.0703944888497805E-2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-7.03529270892765E-8</v>
      </c>
      <c r="C175" s="27">
        <f>B65*SQRT(I175)</f>
        <v>5.887897387338245E-8</v>
      </c>
      <c r="D175" s="27">
        <f>B66*SQRT(I175)</f>
        <v>2.8276513289957277E-8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-4.743193447100599</v>
      </c>
      <c r="C176" s="3">
        <f>B65+C175</f>
        <v>3.9696196676201012</v>
      </c>
      <c r="D176" s="3">
        <f>D175+B66</f>
        <v>1.9064021653794367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-7.0352927039607493E-8</v>
      </c>
      <c r="C177" s="27">
        <f>C176-B65</f>
        <v>5.8878973696607773E-8</v>
      </c>
      <c r="D177" s="27">
        <f>D176-B66</f>
        <v>2.8276513353020505E-8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-2.2454479498980651</v>
      </c>
      <c r="B181" s="25">
        <f>(d_alpha_p!E136-d_alpha_m!E136)/(2*B177)</f>
        <v>-1.9066524024119371</v>
      </c>
      <c r="C181" s="25">
        <f>(d_alpha_p!E137-d_alpha_m!E137)/(2*B177)</f>
        <v>9.0881291194582978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7.7682368946341285E-6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4.2716622829175321E-5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-8.9712041813072574E-6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2.0703944888497805E-2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-2.2454479498980651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-1.9066524024119371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9.0881291194582978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-2.2454479498980651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-1.9066524024119371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9.0881291194582978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3.9696196676201012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3.8504248107329047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-2.1777351438654193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3.3139359219689913E-4</v>
      </c>
      <c r="N110">
        <f>IF(AND(M110&gt;0,D110="y",$E$60="y"),$B$53*M110*$E$59,0)</f>
        <v>0.25989960065957374</v>
      </c>
      <c r="O110">
        <f>N110*C110</f>
        <v>0.32962843002456349</v>
      </c>
      <c r="P110">
        <f>N110*B110*-1</f>
        <v>1.9603294467679118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0.32107880596538241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-0.20324439599600208</v>
      </c>
      <c r="I111">
        <f t="shared" ref="I111:I121" si="39">H111*C111</f>
        <v>0.2500968111137325</v>
      </c>
      <c r="J111">
        <f t="shared" ref="J111:J121" si="40">H111*B111*-1</f>
        <v>-1.5173499507075254</v>
      </c>
      <c r="K111">
        <f ca="1">H111/$B$55</f>
        <v>-1.4323190964472916</v>
      </c>
      <c r="L111">
        <f t="shared" ref="L111:L121" ca="1" si="41">K111/$B$54</f>
        <v>-4.9390313670596265E-5</v>
      </c>
      <c r="M111">
        <f t="shared" si="34"/>
        <v>-4.8859687637816257E-5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6.1488345122741386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-3.8922411984466811</v>
      </c>
      <c r="I112">
        <f t="shared" si="39"/>
        <v>27.472521394017473</v>
      </c>
      <c r="J112">
        <f t="shared" si="40"/>
        <v>-6.9416331104569355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-9.356897061549743E-4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6.056435726845864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-3.8337523322050435</v>
      </c>
      <c r="I113">
        <f t="shared" si="39"/>
        <v>26.705456642439415</v>
      </c>
      <c r="J113">
        <f t="shared" si="40"/>
        <v>4.6584796611307695</v>
      </c>
      <c r="K113">
        <f t="shared" ca="1" si="45"/>
        <v>-27.017505941834866</v>
      </c>
      <c r="L113">
        <f t="shared" ca="1" si="41"/>
        <v>-9.3163813592534025E-4</v>
      </c>
      <c r="M113">
        <f t="shared" si="34"/>
        <v>-9.2162905901706932E-4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6.1488345122741386</v>
      </c>
      <c r="H122">
        <f>SUM(H110:H121)</f>
        <v>-7.9292379266477271</v>
      </c>
      <c r="I122">
        <f t="shared" ref="I122:J122" si="46">SUM(I110:I121)</f>
        <v>54.42807484757062</v>
      </c>
      <c r="J122">
        <f t="shared" si="46"/>
        <v>-3.8005034000336906</v>
      </c>
      <c r="L122">
        <f ca="1">MIN(L110:L121)</f>
        <v>-9.4585148451857212E-4</v>
      </c>
      <c r="M122">
        <f>MIN(M110:M121)</f>
        <v>-9.356897061549743E-4</v>
      </c>
      <c r="N122">
        <f>SUM(N110:N121)</f>
        <v>0.25989960065957374</v>
      </c>
      <c r="O122">
        <f>SUM(O110:O121)</f>
        <v>0.32962843002456349</v>
      </c>
      <c r="P122">
        <f>SUM(P110:P121)</f>
        <v>1.9603294467679118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-0.90944373753762298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-0.90944373753762298</v>
      </c>
    </row>
    <row r="127" spans="1:16" x14ac:dyDescent="0.25">
      <c r="F127" s="4">
        <f>MAX(B84:B90)+1</f>
        <v>3.2454479210067051</v>
      </c>
      <c r="G127" s="4">
        <f>G126</f>
        <v>-0.90944373753762298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1.7436962337411868</v>
      </c>
      <c r="G132" s="4">
        <f t="shared" ref="G132:G139" si="49">($B$66/$B$65)*(E132-$B$125)</f>
        <v>-0.89641497003045334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-8.9762480132686857</v>
      </c>
      <c r="M132" s="4">
        <f>IF($G132&gt;=0,E132,IF(AND($G132&lt;0,$F132&gt;=0),$B$125,0))</f>
        <v>-0.90944373753762298</v>
      </c>
      <c r="N132" s="4">
        <f>IF(F132&lt;0,0,F132)</f>
        <v>1.7436962337411868</v>
      </c>
      <c r="O132" s="4">
        <f>IF(G132&lt;0,0,G132)</f>
        <v>0</v>
      </c>
      <c r="P132" s="4">
        <f>(1/6)*(M132-K132)*((N132*((2*J132)+L132))+(O132*(J132+(2*L132))))</f>
        <v>28.650665206797139</v>
      </c>
      <c r="Q132" s="4">
        <f>((1/12)*(M132-K132)*(N132*J132*((3*K132)+M132)+N132*L132*(K132+M132)+O132*J132*(K132+M132)+O132*L132*(K132+(3*M132))))</f>
        <v>43.365621778812539</v>
      </c>
      <c r="R132" s="4">
        <f>((-1/24)*(M132-K132)*(J132*J132*((3*N132)+O132)+2*J132*L132*(N132+O132)+L132*L132*(N132+(3*O132))))</f>
        <v>129.65732726551425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-0.89641497003045334</v>
      </c>
      <c r="G133" s="4">
        <f t="shared" si="49"/>
        <v>-0.81506201834958503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-0.81506201834958503</v>
      </c>
      <c r="G134" s="4">
        <f t="shared" si="49"/>
        <v>-3.4551732221212248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-3.4551732221212248</v>
      </c>
      <c r="G135" s="4">
        <f t="shared" si="49"/>
        <v>-3.3738202704403575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-3.3738202704403575</v>
      </c>
      <c r="G136" s="4">
        <f t="shared" si="49"/>
        <v>1.9064021371029234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2.028973084469329</v>
      </c>
      <c r="K136" s="4">
        <f t="shared" si="54"/>
        <v>-0.90944373753762298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1.9064021371029234</v>
      </c>
      <c r="P136" s="4">
        <f t="shared" si="58"/>
        <v>7.3687593033334444</v>
      </c>
      <c r="Q136" s="4">
        <f t="shared" si="59"/>
        <v>12.697236488019552</v>
      </c>
      <c r="R136" s="4">
        <f t="shared" si="60"/>
        <v>-7.1766291685978922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1.9064021371029234</v>
      </c>
      <c r="G137" s="4">
        <f t="shared" si="49"/>
        <v>1.7436962337411868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1.9064021371029234</v>
      </c>
      <c r="O137" s="4">
        <f t="shared" si="57"/>
        <v>1.7436962337411868</v>
      </c>
      <c r="P137" s="4">
        <f t="shared" si="58"/>
        <v>2.1697136660412304</v>
      </c>
      <c r="Q137" s="4">
        <f t="shared" si="59"/>
        <v>6.0858136902035733</v>
      </c>
      <c r="R137" s="4">
        <f t="shared" si="60"/>
        <v>6.9191581591799887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1.7436962337411868</v>
      </c>
      <c r="G138" s="4">
        <f t="shared" si="49"/>
        <v>1.7436962337411868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1.7436962337411868</v>
      </c>
      <c r="O138" s="4">
        <f t="shared" si="57"/>
        <v>1.7436962337411868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1.7436962337411868</v>
      </c>
      <c r="G139" s="4">
        <f t="shared" si="49"/>
        <v>1.7436962337411868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1.7436962337411868</v>
      </c>
      <c r="O139" s="4">
        <f t="shared" si="57"/>
        <v>1.7436962337411868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38.189138176171816</v>
      </c>
      <c r="Q140" s="4">
        <f>SUM(Q132:Q139)</f>
        <v>62.148671957035667</v>
      </c>
      <c r="R140" s="4">
        <f>SUM(R132:R139)</f>
        <v>129.39985625609634</v>
      </c>
    </row>
    <row r="142" spans="1:18" x14ac:dyDescent="0.25">
      <c r="O142" t="s">
        <v>96</v>
      </c>
      <c r="P142" s="1">
        <f>-1*R140/P140</f>
        <v>-3.3883942512438163</v>
      </c>
    </row>
    <row r="143" spans="1:18" x14ac:dyDescent="0.25">
      <c r="O143" t="s">
        <v>97</v>
      </c>
      <c r="P143" s="1">
        <f>Q140/P140</f>
        <v>1.627391319236773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1.7436962337411868</v>
      </c>
      <c r="G146" s="4">
        <f>($B$66/$B$65)*(E146-$B$125)</f>
        <v>1.7436962337411868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1.7436962337411868</v>
      </c>
      <c r="O146" s="4">
        <f>IF(G146&lt;0,0,G146)</f>
        <v>1.7436962337411868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1.7436962337411868</v>
      </c>
      <c r="G147" s="4">
        <f t="shared" ref="G147:G153" si="64">($B$66/$B$65)*(E147-$B$125)</f>
        <v>1.7436962337411868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1.7436962337411868</v>
      </c>
      <c r="O147" s="4">
        <f t="shared" si="71"/>
        <v>1.7436962337411868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1.7436962337411868</v>
      </c>
      <c r="G148" s="4">
        <f t="shared" si="64"/>
        <v>1.7436962337411868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1.7436962337411868</v>
      </c>
      <c r="O148" s="4">
        <f t="shared" si="71"/>
        <v>1.7436962337411868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1.7436962337411868</v>
      </c>
      <c r="G149" s="4">
        <f t="shared" si="64"/>
        <v>1.7436962337411868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1.7436962337411868</v>
      </c>
      <c r="O149" s="4">
        <f t="shared" si="71"/>
        <v>1.7436962337411868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1.7436962337411868</v>
      </c>
      <c r="G150" s="4">
        <f t="shared" si="64"/>
        <v>1.7436962337411868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1.7436962337411868</v>
      </c>
      <c r="O150" s="4">
        <f t="shared" si="71"/>
        <v>1.7436962337411868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1.7436962337411868</v>
      </c>
      <c r="G151" s="4">
        <f t="shared" si="64"/>
        <v>1.7436962337411868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1.7436962337411868</v>
      </c>
      <c r="O151" s="4">
        <f t="shared" si="71"/>
        <v>1.7436962337411868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1.7436962337411868</v>
      </c>
      <c r="G152" s="4">
        <f t="shared" si="64"/>
        <v>1.7436962337411868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1.7436962337411868</v>
      </c>
      <c r="O152" s="4">
        <f t="shared" si="71"/>
        <v>1.7436962337411868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1.7436962337411868</v>
      </c>
      <c r="G153" s="4">
        <f t="shared" si="64"/>
        <v>1.7436962337411868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1.7436962337411868</v>
      </c>
      <c r="O153" s="4">
        <f t="shared" si="71"/>
        <v>1.7436962337411868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30.000000648864518</v>
      </c>
      <c r="C159" t="s">
        <v>36</v>
      </c>
    </row>
    <row r="160" spans="1:18" x14ac:dyDescent="0.25">
      <c r="A160" s="1" t="s">
        <v>106</v>
      </c>
      <c r="B160" s="4">
        <f>Q140+I122+Q154-O122</f>
        <v>116.24711837458172</v>
      </c>
      <c r="C160" t="s">
        <v>102</v>
      </c>
    </row>
    <row r="161" spans="1:9" x14ac:dyDescent="0.25">
      <c r="A161" s="1" t="s">
        <v>107</v>
      </c>
      <c r="B161" s="4">
        <f>R140+J122+R154-P122</f>
        <v>123.63902340929474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30.000000648864518</v>
      </c>
      <c r="C164" t="s">
        <v>36</v>
      </c>
      <c r="E164" s="8">
        <f>B2-B164</f>
        <v>-6.4886451767165454E-7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-120.00000239299175</v>
      </c>
      <c r="C165" t="s">
        <v>102</v>
      </c>
      <c r="E165" s="8">
        <f>B3+B165</f>
        <v>-2.3929917460918659E-6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120.0000002736672</v>
      </c>
      <c r="C166" t="s">
        <v>102</v>
      </c>
      <c r="E166" s="8">
        <f>B4+B166</f>
        <v>2.7366719734800427E-7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-1.9271060476639745</v>
      </c>
      <c r="C169" s="3">
        <f ca="1">A169+B169</f>
        <v>-2.0703910561051142E-2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5.8878974746698764E-8</v>
      </c>
      <c r="D175" s="27">
        <f>B66*SQRT(I175)</f>
        <v>2.8276513289957277E-8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3.9696197264990758</v>
      </c>
      <c r="D176" s="3">
        <f>D175+B66</f>
        <v>1.9064021653794367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5.8878974584786192E-8</v>
      </c>
      <c r="D177" s="27">
        <f>D176-B66</f>
        <v>2.8276513353020505E-8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6.4886451767165454E-7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2.3929917460918659E-6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-2.7366719734800427E-7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2.0703910561051142E-2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3.9696195498621538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x14ac:dyDescent="0.25">
      <c r="A67" s="1" t="s">
        <v>37</v>
      </c>
      <c r="B67" s="17">
        <f>'Rigid Bearing Plate Analysis'!B67</f>
        <v>3.8922411984466811</v>
      </c>
      <c r="C67" t="s">
        <v>36</v>
      </c>
      <c r="D67" t="s">
        <v>122</v>
      </c>
      <c r="G67" s="20">
        <f ca="1">($B$56*$B$66*$B$55*$E$122)/$B$65</f>
        <v>3.8504249986954657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-2.1777350261074719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3.3139358410798158E-4</v>
      </c>
      <c r="N110">
        <f>IF(AND(M110&gt;0,D110="y",$E$60="y"),$B$53*M110*$E$59,0)</f>
        <v>0.25989959431573822</v>
      </c>
      <c r="O110">
        <f>N110*C110</f>
        <v>0.32962842197873143</v>
      </c>
      <c r="P110">
        <f>N110*B110*-1</f>
        <v>1.9603293989186366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0.3210789237233298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-0.20324446664494902</v>
      </c>
      <c r="I111">
        <f t="shared" ref="I111:I121" si="39">H111*C111</f>
        <v>0.25009689804885443</v>
      </c>
      <c r="J111">
        <f t="shared" ref="J111:J121" si="40">H111*B111*-1</f>
        <v>-1.5173504781472891</v>
      </c>
      <c r="K111">
        <f ca="1">H111/$B$55</f>
        <v>-1.4323195943298301</v>
      </c>
      <c r="L111">
        <f t="shared" ref="L111:L121" ca="1" si="41">K111/$B$54</f>
        <v>-4.9390330838959662E-5</v>
      </c>
      <c r="M111">
        <f t="shared" si="34"/>
        <v>-4.8859707006869093E-5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6.148834630032086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-3.8922411984466816</v>
      </c>
      <c r="I112">
        <f t="shared" si="39"/>
        <v>27.472521394017477</v>
      </c>
      <c r="J112">
        <f t="shared" si="40"/>
        <v>-6.9416331104569364</v>
      </c>
      <c r="K112">
        <f t="shared" ref="K112:K121" ca="1" si="45">H112/$B$55</f>
        <v>-27.429693051038591</v>
      </c>
      <c r="L112">
        <f t="shared" ca="1" si="41"/>
        <v>-9.4585148451857212E-4</v>
      </c>
      <c r="M112">
        <f t="shared" si="34"/>
        <v>-9.3568975183165712E-4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6.0564358446038113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-3.83375233332518</v>
      </c>
      <c r="I113">
        <f t="shared" si="39"/>
        <v>26.705456650242148</v>
      </c>
      <c r="J113">
        <f t="shared" si="40"/>
        <v>4.6584796624918727</v>
      </c>
      <c r="K113">
        <f t="shared" ca="1" si="45"/>
        <v>-27.017505949728776</v>
      </c>
      <c r="L113">
        <f t="shared" ca="1" si="41"/>
        <v>-9.3163813619754395E-4</v>
      </c>
      <c r="M113">
        <f t="shared" si="34"/>
        <v>-9.2162910427664589E-4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6.148834630032086</v>
      </c>
      <c r="H122">
        <f>SUM(H110:H121)</f>
        <v>-7.9292379984168111</v>
      </c>
      <c r="I122">
        <f t="shared" ref="I122:J122" si="46">SUM(I110:I121)</f>
        <v>54.428074942308484</v>
      </c>
      <c r="J122">
        <f t="shared" si="46"/>
        <v>-3.8005039261123521</v>
      </c>
      <c r="L122">
        <f ca="1">MIN(L110:L121)</f>
        <v>-9.4585148451857212E-4</v>
      </c>
      <c r="M122">
        <f>MIN(M110:M121)</f>
        <v>-9.3568975183165712E-4</v>
      </c>
      <c r="N122">
        <f>SUM(N110:N121)</f>
        <v>0.25989959431573822</v>
      </c>
      <c r="O122">
        <f>SUM(O110:O121)</f>
        <v>0.32962842197873143</v>
      </c>
      <c r="P122">
        <f>SUM(P110:P121)</f>
        <v>1.9603293989186366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-0.90944361977967558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-0.90944361977967558</v>
      </c>
    </row>
    <row r="127" spans="1:16" x14ac:dyDescent="0.25">
      <c r="F127" s="4">
        <f>MAX(B84:B90)+1</f>
        <v>3.2454479210067051</v>
      </c>
      <c r="G127" s="4">
        <f>G126</f>
        <v>-0.90944361977967558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1.7436962289145499</v>
      </c>
      <c r="G132" s="4">
        <f t="shared" ref="G132:G139" si="49">($B$66/$B$65)*(E132-$B$125)</f>
        <v>-0.89641505317544634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-8.9762480168973049</v>
      </c>
      <c r="M132" s="4">
        <f>IF($G132&gt;=0,E132,IF(AND($G132&lt;0,$F132&gt;=0),$B$125,0))</f>
        <v>-0.90944361977967558</v>
      </c>
      <c r="N132" s="4">
        <f>IF(F132&lt;0,0,F132)</f>
        <v>1.7436962289145499</v>
      </c>
      <c r="O132" s="4">
        <f>IF(G132&lt;0,0,G132)</f>
        <v>0</v>
      </c>
      <c r="P132" s="4">
        <f>(1/6)*(M132-K132)*((N132*((2*J132)+L132))+(O132*(J132+(2*L132))))</f>
        <v>28.650664202097005</v>
      </c>
      <c r="Q132" s="4">
        <f>((1/12)*(M132-K132)*(N132*J132*((3*K132)+M132)+N132*L132*(K132+M132)+O132*J132*(K132+M132)+O132*L132*(K132+(3*M132))))</f>
        <v>43.36562137807028</v>
      </c>
      <c r="R132" s="4">
        <f>((-1/24)*(M132-K132)*(J132*J132*((3*N132)+O132)+2*J132*L132*(N132+O132)+L132*L132*(N132+(3*O132))))</f>
        <v>129.65732273604345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-0.89641505317544634</v>
      </c>
      <c r="G133" s="4">
        <f t="shared" si="49"/>
        <v>-0.81506209908125948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-0.81506209908125948</v>
      </c>
      <c r="G134" s="4">
        <f t="shared" si="49"/>
        <v>-3.4551733811712553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-3.4551733811712553</v>
      </c>
      <c r="G135" s="4">
        <f t="shared" si="49"/>
        <v>-3.3738204270770691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-3.3738204270770691</v>
      </c>
      <c r="G136" s="4">
        <f t="shared" si="49"/>
        <v>1.9064021371029234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2.0289730808407103</v>
      </c>
      <c r="K136" s="4">
        <f t="shared" si="54"/>
        <v>-0.90944361977967558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1.9064021371029234</v>
      </c>
      <c r="P136" s="4">
        <f t="shared" si="58"/>
        <v>7.3687590801640095</v>
      </c>
      <c r="Q136" s="4">
        <f t="shared" si="59"/>
        <v>12.697236398708295</v>
      </c>
      <c r="R136" s="4">
        <f t="shared" si="60"/>
        <v>-7.1766289466985604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1.9064021371029234</v>
      </c>
      <c r="G137" s="4">
        <f t="shared" si="49"/>
        <v>1.7436962289145499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1.9064021371029234</v>
      </c>
      <c r="O137" s="4">
        <f t="shared" si="57"/>
        <v>1.7436962289145499</v>
      </c>
      <c r="P137" s="4">
        <f t="shared" si="58"/>
        <v>2.169713661607104</v>
      </c>
      <c r="Q137" s="4">
        <f t="shared" si="59"/>
        <v>6.0858136778050751</v>
      </c>
      <c r="R137" s="4">
        <f t="shared" si="60"/>
        <v>6.9191581444108969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1.7436962289145499</v>
      </c>
      <c r="G138" s="4">
        <f t="shared" si="49"/>
        <v>1.7436962289145499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1.7436962289145499</v>
      </c>
      <c r="O138" s="4">
        <f t="shared" si="57"/>
        <v>1.7436962289145499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1.7436962289145499</v>
      </c>
      <c r="G139" s="4">
        <f t="shared" si="49"/>
        <v>1.7436962289145499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1.7436962289145499</v>
      </c>
      <c r="O139" s="4">
        <f t="shared" si="57"/>
        <v>1.7436962289145499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38.189136943868121</v>
      </c>
      <c r="Q140" s="4">
        <f>SUM(Q132:Q139)</f>
        <v>62.148671454583649</v>
      </c>
      <c r="R140" s="4">
        <f>SUM(R132:R139)</f>
        <v>129.3998519337558</v>
      </c>
    </row>
    <row r="142" spans="1:18" x14ac:dyDescent="0.25">
      <c r="O142" t="s">
        <v>96</v>
      </c>
      <c r="P142" s="1">
        <f>-1*R140/P140</f>
        <v>-3.388394247399535</v>
      </c>
    </row>
    <row r="143" spans="1:18" x14ac:dyDescent="0.25">
      <c r="O143" t="s">
        <v>97</v>
      </c>
      <c r="P143" s="1">
        <f>Q140/P140</f>
        <v>1.6273913585932089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1.7436962289145499</v>
      </c>
      <c r="G146" s="4">
        <f>($B$66/$B$65)*(E146-$B$125)</f>
        <v>1.7436962289145499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1.7436962289145499</v>
      </c>
      <c r="O146" s="4">
        <f>IF(G146&lt;0,0,G146)</f>
        <v>1.7436962289145499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1.7436962289145499</v>
      </c>
      <c r="G147" s="4">
        <f t="shared" ref="G147:G153" si="64">($B$66/$B$65)*(E147-$B$125)</f>
        <v>1.7436962289145499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1.7436962289145499</v>
      </c>
      <c r="O147" s="4">
        <f t="shared" si="71"/>
        <v>1.7436962289145499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1.7436962289145499</v>
      </c>
      <c r="G148" s="4">
        <f t="shared" si="64"/>
        <v>1.7436962289145499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1.7436962289145499</v>
      </c>
      <c r="O148" s="4">
        <f t="shared" si="71"/>
        <v>1.7436962289145499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1.7436962289145499</v>
      </c>
      <c r="G149" s="4">
        <f t="shared" si="64"/>
        <v>1.7436962289145499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1.7436962289145499</v>
      </c>
      <c r="O149" s="4">
        <f t="shared" si="71"/>
        <v>1.7436962289145499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1.7436962289145499</v>
      </c>
      <c r="G150" s="4">
        <f t="shared" si="64"/>
        <v>1.7436962289145499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1.7436962289145499</v>
      </c>
      <c r="O150" s="4">
        <f t="shared" si="71"/>
        <v>1.7436962289145499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1.7436962289145499</v>
      </c>
      <c r="G151" s="4">
        <f t="shared" si="64"/>
        <v>1.7436962289145499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1.7436962289145499</v>
      </c>
      <c r="O151" s="4">
        <f t="shared" si="71"/>
        <v>1.7436962289145499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1.7436962289145499</v>
      </c>
      <c r="G152" s="4">
        <f t="shared" si="64"/>
        <v>1.7436962289145499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1.7436962289145499</v>
      </c>
      <c r="O152" s="4">
        <f t="shared" si="71"/>
        <v>1.7436962289145499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1.7436962289145499</v>
      </c>
      <c r="G153" s="4">
        <f t="shared" si="64"/>
        <v>1.7436962289145499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1.7436962289145499</v>
      </c>
      <c r="O153" s="4">
        <f t="shared" si="71"/>
        <v>1.7436962289145499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29.999999351135575</v>
      </c>
      <c r="C159" t="s">
        <v>36</v>
      </c>
    </row>
    <row r="160" spans="1:18" x14ac:dyDescent="0.25">
      <c r="A160" s="1" t="s">
        <v>106</v>
      </c>
      <c r="B160" s="4">
        <f>Q140+I122+Q154-O122</f>
        <v>116.24711797491341</v>
      </c>
      <c r="C160" t="s">
        <v>102</v>
      </c>
    </row>
    <row r="161" spans="1:9" x14ac:dyDescent="0.25">
      <c r="A161" s="1" t="s">
        <v>107</v>
      </c>
      <c r="B161" s="4">
        <f>R140+J122+R154-P122</f>
        <v>123.63901860872481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29.999999351135575</v>
      </c>
      <c r="C164" t="s">
        <v>36</v>
      </c>
      <c r="E164" s="8">
        <f>B2-B164</f>
        <v>6.4886442530109889E-7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-119.99999760700891</v>
      </c>
      <c r="C165" t="s">
        <v>102</v>
      </c>
      <c r="E165" s="8">
        <f>B3+B165</f>
        <v>2.392991092392549E-6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119.99999972633287</v>
      </c>
      <c r="C166" t="s">
        <v>102</v>
      </c>
      <c r="E166" s="8">
        <f>B4+B166</f>
        <v>-2.7366712629373069E-7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-1.927105953590259</v>
      </c>
      <c r="C169" s="3">
        <f ca="1">A169+B169</f>
        <v>-2.0703816487335658E-2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5.8878973000066143E-8</v>
      </c>
      <c r="D175" s="27">
        <f>B66*SQRT(I175)</f>
        <v>2.8276513289957277E-8</v>
      </c>
      <c r="E175" s="27">
        <f>B67*SQRT(I175)</f>
        <v>5.773126657466337E-8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3.9696196087411266</v>
      </c>
      <c r="D176" s="3">
        <f>D175+B66</f>
        <v>1.9064021653794367</v>
      </c>
      <c r="E176" s="3">
        <f>B67+E175</f>
        <v>3.8922412561779476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5.8878972808429353E-8</v>
      </c>
      <c r="D177" s="27">
        <f>D176-B66</f>
        <v>2.8276513353020505E-8</v>
      </c>
      <c r="E177" s="27">
        <f>E176-B67</f>
        <v>5.7731266434046802E-8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-6.4886442530109889E-7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-2.392991092392549E-6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2.7366712629373069E-7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2.0703816487335658E-2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ht="15.75" thickBot="1" x14ac:dyDescent="0.3">
      <c r="A67" s="34" t="s">
        <v>37</v>
      </c>
      <c r="B67" s="33">
        <f>'Rigid Bearing Plate Analysis'!B67+'Rigid Bearing Plate Analysis'!E175</f>
        <v>3.8922412561779476</v>
      </c>
      <c r="C67" t="s">
        <v>36</v>
      </c>
      <c r="D67" t="s">
        <v>122</v>
      </c>
      <c r="G67" s="20">
        <f ca="1">($B$56*$B$66*$B$55*$E$122)/$B$65</f>
        <v>3.850424904714183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-2.1777350849864456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3.3139358815244036E-4</v>
      </c>
      <c r="N110">
        <f>IF(AND(M110&gt;0,D110="y",$E$60="y"),$B$53*M110*$E$59,0)</f>
        <v>0.25989959748765601</v>
      </c>
      <c r="O110">
        <f>N110*C110</f>
        <v>0.32962842600164749</v>
      </c>
      <c r="P110">
        <f>N110*B110*-1</f>
        <v>1.9603294228432744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0.3210788648443561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-0.20324443433507799</v>
      </c>
      <c r="I111">
        <f t="shared" ref="I111:I121" si="39">H111*C111</f>
        <v>0.25009685829082973</v>
      </c>
      <c r="J111">
        <f t="shared" ref="J111:J121" si="40">H111*B111*-1</f>
        <v>-1.5173502369333507</v>
      </c>
      <c r="K111">
        <f ca="1">H111/$B$55</f>
        <v>-1.4323193666332925</v>
      </c>
      <c r="L111">
        <f t="shared" ref="L111:L121" ca="1" si="41">K111/$B$54</f>
        <v>-4.9390322987354913E-5</v>
      </c>
      <c r="M111">
        <f t="shared" si="34"/>
        <v>-4.8859697322342529E-5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6.1488345711531114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-3.8922412561779476</v>
      </c>
      <c r="I112">
        <f t="shared" si="39"/>
        <v>27.472521801500815</v>
      </c>
      <c r="J112">
        <f t="shared" si="40"/>
        <v>-6.941633213417993</v>
      </c>
      <c r="K112">
        <f t="shared" ref="K112:K121" ca="1" si="45">H112/$B$55</f>
        <v>-27.429693457886685</v>
      </c>
      <c r="L112">
        <f t="shared" ca="1" si="41"/>
        <v>-9.4585149854781668E-4</v>
      </c>
      <c r="M112">
        <f t="shared" si="34"/>
        <v>-9.3568972899331522E-4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6.0564357857248385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-3.8337523896288492</v>
      </c>
      <c r="I113">
        <f t="shared" si="39"/>
        <v>26.705457042446724</v>
      </c>
      <c r="J113">
        <f t="shared" si="40"/>
        <v>4.6584797309077421</v>
      </c>
      <c r="K113">
        <f t="shared" ca="1" si="45"/>
        <v>-27.0175063465162</v>
      </c>
      <c r="L113">
        <f t="shared" ca="1" si="41"/>
        <v>-9.3163814987986897E-4</v>
      </c>
      <c r="M113">
        <f t="shared" si="34"/>
        <v>-9.2162908164685733E-4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6.1488345711531114</v>
      </c>
      <c r="H122">
        <f>SUM(H110:H121)</f>
        <v>-7.9292380801418751</v>
      </c>
      <c r="I122">
        <f t="shared" ref="I122:J122" si="46">SUM(I110:I121)</f>
        <v>54.428075702238374</v>
      </c>
      <c r="J122">
        <f t="shared" si="46"/>
        <v>-3.8005037194436015</v>
      </c>
      <c r="L122">
        <f ca="1">MIN(L110:L121)</f>
        <v>-9.4585149854781668E-4</v>
      </c>
      <c r="M122">
        <f>MIN(M110:M121)</f>
        <v>-9.3568972899331522E-4</v>
      </c>
      <c r="N122">
        <f>SUM(N110:N121)</f>
        <v>0.25989959748765601</v>
      </c>
      <c r="O122">
        <f>SUM(O110:O121)</f>
        <v>0.32962842600164749</v>
      </c>
      <c r="P122">
        <f>SUM(P110:P121)</f>
        <v>1.9603294228432744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-0.90944367865864928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-0.90944367865864928</v>
      </c>
    </row>
    <row r="127" spans="1:16" x14ac:dyDescent="0.25">
      <c r="F127" s="4">
        <f>MAX(B84:B90)+1</f>
        <v>3.2454479210067051</v>
      </c>
      <c r="G127" s="4">
        <f>G126</f>
        <v>-0.90944367865864928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1.7436962313278683</v>
      </c>
      <c r="G132" s="4">
        <f t="shared" ref="G132:G139" si="49">($B$66/$B$65)*(E132-$B$125)</f>
        <v>-0.89641501160294923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-8.9762480150829962</v>
      </c>
      <c r="M132" s="4">
        <f>IF($G132&gt;=0,E132,IF(AND($G132&lt;0,$F132&gt;=0),$B$125,0))</f>
        <v>-0.90944367865864928</v>
      </c>
      <c r="N132" s="4">
        <f>IF(F132&lt;0,0,F132)</f>
        <v>1.7436962313278683</v>
      </c>
      <c r="O132" s="4">
        <f>IF(G132&lt;0,0,G132)</f>
        <v>0</v>
      </c>
      <c r="P132" s="4">
        <f>(1/6)*(M132-K132)*((N132*((2*J132)+L132))+(O132*(J132+(2*L132))))</f>
        <v>28.65066470444707</v>
      </c>
      <c r="Q132" s="4">
        <f>((1/12)*(M132-K132)*(N132*J132*((3*K132)+M132)+N132*L132*(K132+M132)+O132*J132*(K132+M132)+O132*L132*(K132+(3*M132))))</f>
        <v>43.365621578441427</v>
      </c>
      <c r="R132" s="4">
        <f>((-1/24)*(M132-K132)*(J132*J132*((3*N132)+O132)+2*J132*L132*(N132+O132)+L132*L132*(N132+(3*O132))))</f>
        <v>129.65732500077883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-0.89641501160294923</v>
      </c>
      <c r="G133" s="4">
        <f t="shared" si="49"/>
        <v>-0.8150620587154217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-0.8150620587154217</v>
      </c>
      <c r="G134" s="4">
        <f t="shared" si="49"/>
        <v>-3.4551733016462394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-3.4551733016462394</v>
      </c>
      <c r="G135" s="4">
        <f t="shared" si="49"/>
        <v>-3.373820348758712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-3.373820348758712</v>
      </c>
      <c r="G136" s="4">
        <f t="shared" si="49"/>
        <v>1.9064021371029234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2.0289730826550194</v>
      </c>
      <c r="K136" s="4">
        <f t="shared" si="54"/>
        <v>-0.90944367865864928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1.9064021371029234</v>
      </c>
      <c r="P136" s="4">
        <f t="shared" si="58"/>
        <v>7.3687591917487278</v>
      </c>
      <c r="Q136" s="4">
        <f t="shared" si="59"/>
        <v>12.697236443363925</v>
      </c>
      <c r="R136" s="4">
        <f t="shared" si="60"/>
        <v>-7.176629057648225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1.9064021371029234</v>
      </c>
      <c r="G137" s="4">
        <f t="shared" si="49"/>
        <v>1.7436962313278683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1.9064021371029234</v>
      </c>
      <c r="O137" s="4">
        <f t="shared" si="57"/>
        <v>1.7436962313278683</v>
      </c>
      <c r="P137" s="4">
        <f t="shared" si="58"/>
        <v>2.1697136638241674</v>
      </c>
      <c r="Q137" s="4">
        <f t="shared" si="59"/>
        <v>6.0858136840043242</v>
      </c>
      <c r="R137" s="4">
        <f t="shared" si="60"/>
        <v>6.9191581517954424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1.7436962313278683</v>
      </c>
      <c r="G138" s="4">
        <f t="shared" si="49"/>
        <v>1.7436962313278683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1.7436962313278683</v>
      </c>
      <c r="O138" s="4">
        <f t="shared" si="57"/>
        <v>1.7436962313278683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1.7436962313278683</v>
      </c>
      <c r="G139" s="4">
        <f t="shared" si="49"/>
        <v>1.7436962313278683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1.7436962313278683</v>
      </c>
      <c r="O139" s="4">
        <f t="shared" si="57"/>
        <v>1.7436962313278683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38.189137560019965</v>
      </c>
      <c r="Q140" s="4">
        <f>SUM(Q132:Q139)</f>
        <v>62.148671705809676</v>
      </c>
      <c r="R140" s="4">
        <f>SUM(R132:R139)</f>
        <v>129.39985409492604</v>
      </c>
    </row>
    <row r="142" spans="1:18" x14ac:dyDescent="0.25">
      <c r="O142" t="s">
        <v>96</v>
      </c>
      <c r="P142" s="1">
        <f>-1*R140/P140</f>
        <v>-3.3883942493216752</v>
      </c>
    </row>
    <row r="143" spans="1:18" x14ac:dyDescent="0.25">
      <c r="O143" t="s">
        <v>97</v>
      </c>
      <c r="P143" s="1">
        <f>Q140/P140</f>
        <v>1.6273913389149912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1.7436962313278683</v>
      </c>
      <c r="G146" s="4">
        <f>($B$66/$B$65)*(E146-$B$125)</f>
        <v>1.7436962313278683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1.7436962313278683</v>
      </c>
      <c r="O146" s="4">
        <f>IF(G146&lt;0,0,G146)</f>
        <v>1.7436962313278683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1.7436962313278683</v>
      </c>
      <c r="G147" s="4">
        <f t="shared" ref="G147:G153" si="64">($B$66/$B$65)*(E147-$B$125)</f>
        <v>1.7436962313278683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1.7436962313278683</v>
      </c>
      <c r="O147" s="4">
        <f t="shared" si="71"/>
        <v>1.7436962313278683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1.7436962313278683</v>
      </c>
      <c r="G148" s="4">
        <f t="shared" si="64"/>
        <v>1.7436962313278683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1.7436962313278683</v>
      </c>
      <c r="O148" s="4">
        <f t="shared" si="71"/>
        <v>1.7436962313278683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1.7436962313278683</v>
      </c>
      <c r="G149" s="4">
        <f t="shared" si="64"/>
        <v>1.7436962313278683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1.7436962313278683</v>
      </c>
      <c r="O149" s="4">
        <f t="shared" si="71"/>
        <v>1.7436962313278683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1.7436962313278683</v>
      </c>
      <c r="G150" s="4">
        <f t="shared" si="64"/>
        <v>1.7436962313278683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1.7436962313278683</v>
      </c>
      <c r="O150" s="4">
        <f t="shared" si="71"/>
        <v>1.7436962313278683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1.7436962313278683</v>
      </c>
      <c r="G151" s="4">
        <f t="shared" si="64"/>
        <v>1.7436962313278683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1.7436962313278683</v>
      </c>
      <c r="O151" s="4">
        <f t="shared" si="71"/>
        <v>1.7436962313278683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1.7436962313278683</v>
      </c>
      <c r="G152" s="4">
        <f t="shared" si="64"/>
        <v>1.7436962313278683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1.7436962313278683</v>
      </c>
      <c r="O152" s="4">
        <f t="shared" si="71"/>
        <v>1.7436962313278683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1.7436962313278683</v>
      </c>
      <c r="G153" s="4">
        <f t="shared" si="64"/>
        <v>1.7436962313278683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1.7436962313278683</v>
      </c>
      <c r="O153" s="4">
        <f t="shared" si="71"/>
        <v>1.7436962313278683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29.999999882390433</v>
      </c>
      <c r="C159" t="s">
        <v>36</v>
      </c>
    </row>
    <row r="160" spans="1:18" x14ac:dyDescent="0.25">
      <c r="A160" s="1" t="s">
        <v>106</v>
      </c>
      <c r="B160" s="4">
        <f>Q140+I122+Q154-O122</f>
        <v>116.2471189820464</v>
      </c>
      <c r="C160" t="s">
        <v>102</v>
      </c>
    </row>
    <row r="161" spans="1:9" x14ac:dyDescent="0.25">
      <c r="A161" s="1" t="s">
        <v>107</v>
      </c>
      <c r="B161" s="4">
        <f>R140+J122+R154-P122</f>
        <v>123.63902095263917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29.999999882390433</v>
      </c>
      <c r="C164" t="s">
        <v>36</v>
      </c>
      <c r="E164" s="8">
        <f>B2-B164</f>
        <v>1.176095665300636E-7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-119.99999991879199</v>
      </c>
      <c r="C165" t="s">
        <v>102</v>
      </c>
      <c r="E165" s="8">
        <f>B3+B165</f>
        <v>8.1208014535150141E-8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120.00000080517968</v>
      </c>
      <c r="C166" t="s">
        <v>102</v>
      </c>
      <c r="E166" s="8">
        <f>B4+B166</f>
        <v>8.0517968115145777E-7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-1.9271060292107178</v>
      </c>
      <c r="C169" s="3">
        <f ca="1">A169+B169</f>
        <v>-2.0703892107794442E-2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5.887897387338245E-8</v>
      </c>
      <c r="D175" s="27">
        <f>B66*SQRT(I175)</f>
        <v>2.8276513289957277E-8</v>
      </c>
      <c r="E175" s="27">
        <f>B67*SQRT(I175)</f>
        <v>5.7731267430956432E-8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3.9696196676201012</v>
      </c>
      <c r="D176" s="3">
        <f>D175+B66</f>
        <v>1.9064021653794367</v>
      </c>
      <c r="E176" s="3">
        <f>B67+E175</f>
        <v>3.8922413139092149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5.8878973696607773E-8</v>
      </c>
      <c r="D177" s="27">
        <f>D176-B66</f>
        <v>2.8276513353020505E-8</v>
      </c>
      <c r="E177" s="27">
        <f>E176-B67</f>
        <v>5.7731267322225222E-8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-1.176095665300636E-7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-8.1208014535150141E-8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-8.0517968115145777E-7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2.0703892107794442E-2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45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30</v>
      </c>
      <c r="C2" t="s">
        <v>36</v>
      </c>
      <c r="D2" t="s">
        <v>103</v>
      </c>
      <c r="H2" t="s">
        <v>110</v>
      </c>
      <c r="I2">
        <f>B2/D22</f>
        <v>0.33057851239669422</v>
      </c>
      <c r="J2" t="s">
        <v>11</v>
      </c>
    </row>
    <row r="3" spans="1:29" x14ac:dyDescent="0.25">
      <c r="A3" s="10" t="s">
        <v>79</v>
      </c>
      <c r="B3" s="17">
        <f>'Rigid Bearing Plate Analysis'!B3</f>
        <v>120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0.389127840205373</v>
      </c>
      <c r="J3" t="s">
        <v>11</v>
      </c>
    </row>
    <row r="4" spans="1:29" x14ac:dyDescent="0.25">
      <c r="A4" s="10" t="s">
        <v>80</v>
      </c>
      <c r="B4" s="17">
        <f>'Rigid Bearing Plate Analysis'!B4</f>
        <v>-120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-0.49781234807972774</v>
      </c>
      <c r="J4" t="s">
        <v>11</v>
      </c>
    </row>
    <row r="5" spans="1:29" x14ac:dyDescent="0.25">
      <c r="A5" s="10" t="s">
        <v>104</v>
      </c>
      <c r="B5" s="20">
        <f>ATAN2(B3,B4)</f>
        <v>-0.78539816339744828</v>
      </c>
      <c r="C5" t="s">
        <v>19</v>
      </c>
      <c r="I5">
        <f>SUM(I2:I4)</f>
        <v>0.22189400452233954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7.1004694680469305</v>
      </c>
      <c r="L13" s="4">
        <f>SQRT(H22/D22)</f>
        <v>5.5</v>
      </c>
      <c r="M13" s="4">
        <f>SQRT(J22/D22)</f>
        <v>8.981462390204987</v>
      </c>
      <c r="N13" s="19">
        <f>G22-(D22*C9*C9)</f>
        <v>-2775.4375</v>
      </c>
      <c r="O13" s="19">
        <f>H22-(D22*B9*B9)</f>
        <v>1928.4375</v>
      </c>
      <c r="P13" s="19">
        <f>I22-(D22*B9*C9)</f>
        <v>523.703125</v>
      </c>
      <c r="Q13" s="19">
        <f>N13+O13</f>
        <v>-847</v>
      </c>
      <c r="R13" s="19">
        <f>SQRT(ABS(N13/D22))</f>
        <v>5.5302200076790191</v>
      </c>
      <c r="S13" s="19">
        <f>SQRT(O13/D22)</f>
        <v>4.6097722286464435</v>
      </c>
      <c r="T13" s="19" t="e">
        <f>SQRT(Q13/D22)</f>
        <v>#NUM!</v>
      </c>
      <c r="U13" s="19">
        <f>N13/(MAX(C13:C20)-C9)</f>
        <v>-1387.71875</v>
      </c>
      <c r="V13" s="19">
        <f>N13/(MIN(C13:C20)-C9)</f>
        <v>308.38194444444446</v>
      </c>
      <c r="W13" s="19">
        <f>O13/(MIN(B13:B20)-B9)</f>
        <v>-642.8125</v>
      </c>
      <c r="X13" s="19">
        <f>O13/(MAX(B13:B20)-B9)</f>
        <v>241.0546875</v>
      </c>
    </row>
    <row r="14" spans="1:29" x14ac:dyDescent="0.25">
      <c r="A14">
        <v>2</v>
      </c>
      <c r="B14" s="17">
        <f>'Rigid Bearing Plate Analysis'!B14</f>
        <v>5.5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308.38194444444446</v>
      </c>
      <c r="Z14">
        <f>$O$13/(B14-$B$9)</f>
        <v>771.375</v>
      </c>
      <c r="AA14">
        <f>$B$3/Y14</f>
        <v>0.389127840205373</v>
      </c>
      <c r="AB14">
        <f>$B$4/Z14</f>
        <v>-0.15556635877491493</v>
      </c>
      <c r="AC14">
        <f>$I$2+AA14+AB14</f>
        <v>0.5641399938271523</v>
      </c>
    </row>
    <row r="15" spans="1:29" x14ac:dyDescent="0.25">
      <c r="A15">
        <v>3</v>
      </c>
      <c r="B15" s="17">
        <f>'Rigid Bearing Plate Analysis'!B15</f>
        <v>5.5</v>
      </c>
      <c r="C15" s="17">
        <f>'Rigid Bearing Plate Analysis'!C15</f>
        <v>5.5</v>
      </c>
      <c r="D15" s="5">
        <f t="shared" ref="D15:D21" si="0">((B14*C15)-(B15*C14))*0.5</f>
        <v>15.125</v>
      </c>
      <c r="E15" s="5">
        <f t="shared" ref="E15:E21" si="1">(B15+B14)*((B14*C15)-(B15*C14))*(1/6)</f>
        <v>55.458333333333329</v>
      </c>
      <c r="F15" s="5">
        <f t="shared" ref="F15:F21" si="2">(C15+C14)*((B14*C15)-(B15*C14))*(1/6)</f>
        <v>27.729166666666664</v>
      </c>
      <c r="G15" s="5">
        <f t="shared" ref="G15:G21" si="3">(((C14*C14)+(C14*C15)+(C15*C15))*((B14*C15)-(B15*C14)))/12</f>
        <v>76.255208333333329</v>
      </c>
      <c r="H15" s="5">
        <f t="shared" ref="H15:H21" si="4">(((B14*B14)+(B14*B15)+(B15*B15))*((B14*C15)-(B15*C14)))/12</f>
        <v>228.765625</v>
      </c>
      <c r="I15" s="5">
        <f t="shared" ref="I15:I21" si="5">(((B14*C15)+(2*B14*C14)+(2*B15*C15)+(B15*C14))*((B14*C15)-(B15*C14)))/24</f>
        <v>114.3828125</v>
      </c>
      <c r="J15" s="5">
        <f t="shared" ref="J15:J21" si="6">G15+H15</f>
        <v>305.02083333333331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792.98214285714289</v>
      </c>
      <c r="Z15">
        <f t="shared" ref="Z15:Z21" si="9">$O$13/(B15-$B$9)</f>
        <v>771.375</v>
      </c>
      <c r="AA15">
        <f t="shared" ref="AA15:AA20" si="10">$B$3/Y15</f>
        <v>0.15132749341320062</v>
      </c>
      <c r="AB15">
        <f t="shared" ref="AB15:AB21" si="11">$B$4/Z15</f>
        <v>-0.15556635877491493</v>
      </c>
      <c r="AC15">
        <f t="shared" ref="AC15:AC20" si="12">$I$2+AA15+AB15</f>
        <v>0.32633964703497992</v>
      </c>
    </row>
    <row r="16" spans="1:29" x14ac:dyDescent="0.25">
      <c r="A16">
        <v>4</v>
      </c>
      <c r="B16" s="17">
        <f>'Rigid Bearing Plate Analysis'!B16</f>
        <v>11</v>
      </c>
      <c r="C16" s="17">
        <f>'Rigid Bearing Plate Analysis'!C16</f>
        <v>5.5</v>
      </c>
      <c r="D16" s="5">
        <f t="shared" si="0"/>
        <v>-15.125</v>
      </c>
      <c r="E16" s="5">
        <f t="shared" si="1"/>
        <v>-83.1875</v>
      </c>
      <c r="F16" s="5">
        <f t="shared" si="2"/>
        <v>-55.458333333333329</v>
      </c>
      <c r="G16" s="5">
        <f t="shared" si="3"/>
        <v>-228.765625</v>
      </c>
      <c r="H16" s="5">
        <f t="shared" si="4"/>
        <v>-533.78645833333337</v>
      </c>
      <c r="I16" s="5">
        <f t="shared" si="5"/>
        <v>-343.1484375</v>
      </c>
      <c r="J16" s="5">
        <f t="shared" si="6"/>
        <v>-762.55208333333337</v>
      </c>
      <c r="K16">
        <f t="shared" si="7"/>
        <v>-0.14189705460416396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792.98214285714289</v>
      </c>
      <c r="Z16">
        <f t="shared" si="9"/>
        <v>241.0546875</v>
      </c>
      <c r="AA16">
        <f t="shared" si="10"/>
        <v>0.15132749341320062</v>
      </c>
      <c r="AB16">
        <f t="shared" si="11"/>
        <v>-0.49781234807972774</v>
      </c>
      <c r="AC16">
        <f t="shared" si="12"/>
        <v>-1.5906342269832896E-2</v>
      </c>
    </row>
    <row r="17" spans="1:29" x14ac:dyDescent="0.25">
      <c r="A17">
        <v>5</v>
      </c>
      <c r="B17" s="17">
        <f>'Rigid Bearing Plate Analysis'!B17</f>
        <v>11</v>
      </c>
      <c r="C17" s="17">
        <f>'Rigid Bearing Plate Analysis'!C17</f>
        <v>11</v>
      </c>
      <c r="D17" s="5">
        <f t="shared" si="0"/>
        <v>30.25</v>
      </c>
      <c r="E17" s="5">
        <f t="shared" si="1"/>
        <v>221.83333333333331</v>
      </c>
      <c r="F17" s="5">
        <f t="shared" si="2"/>
        <v>166.375</v>
      </c>
      <c r="G17" s="5">
        <f t="shared" si="3"/>
        <v>1067.5729166666667</v>
      </c>
      <c r="H17" s="5">
        <f t="shared" si="4"/>
        <v>1830.125</v>
      </c>
      <c r="I17" s="5">
        <f t="shared" si="5"/>
        <v>1372.59375</v>
      </c>
      <c r="J17" s="5">
        <f t="shared" si="6"/>
        <v>2897.697916666667</v>
      </c>
      <c r="K17">
        <f t="shared" si="7"/>
        <v>0.62024948598282137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-1387.71875</v>
      </c>
      <c r="Z17">
        <f t="shared" si="9"/>
        <v>241.0546875</v>
      </c>
      <c r="AA17">
        <f t="shared" si="10"/>
        <v>-8.6472853378971787E-2</v>
      </c>
      <c r="AB17">
        <f t="shared" si="11"/>
        <v>-0.49781234807972774</v>
      </c>
      <c r="AC17">
        <f t="shared" si="12"/>
        <v>-0.25370668906200533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11</v>
      </c>
      <c r="D18" s="5">
        <f t="shared" si="0"/>
        <v>60.5</v>
      </c>
      <c r="E18" s="5">
        <f t="shared" si="1"/>
        <v>221.83333333333331</v>
      </c>
      <c r="F18" s="5">
        <f t="shared" si="2"/>
        <v>443.66666666666663</v>
      </c>
      <c r="G18" s="5">
        <f t="shared" si="3"/>
        <v>3660.25</v>
      </c>
      <c r="H18" s="5">
        <f t="shared" si="4"/>
        <v>1220.0833333333333</v>
      </c>
      <c r="I18" s="5">
        <f t="shared" si="5"/>
        <v>1830.125</v>
      </c>
      <c r="J18" s="5">
        <f t="shared" si="6"/>
        <v>4880.333333333333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-1387.71875</v>
      </c>
      <c r="Z18">
        <f t="shared" si="9"/>
        <v>-642.8125</v>
      </c>
      <c r="AA18">
        <f t="shared" si="10"/>
        <v>-8.6472853378971787E-2</v>
      </c>
      <c r="AB18">
        <f t="shared" si="11"/>
        <v>0.18667963052989792</v>
      </c>
      <c r="AC18">
        <f t="shared" si="12"/>
        <v>0.43078528954762035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5.1956268251174764</v>
      </c>
      <c r="O19">
        <f>F22+(O16*SIN(O17))</f>
        <v>2.1306122241776615</v>
      </c>
      <c r="Q19">
        <f>E22+(R16*COS(R17))</f>
        <v>10.593740973418985</v>
      </c>
      <c r="R19">
        <f>F22+(R16*SIN(R17))</f>
        <v>0.40625902658101154</v>
      </c>
      <c r="Y19" s="1">
        <f t="shared" si="8"/>
        <v>308.38194444444446</v>
      </c>
      <c r="Z19">
        <f t="shared" si="9"/>
        <v>-642.8125</v>
      </c>
      <c r="AA19">
        <f t="shared" si="10"/>
        <v>0.389127840205373</v>
      </c>
      <c r="AB19">
        <f t="shared" si="11"/>
        <v>0.18667963052989792</v>
      </c>
      <c r="AC19">
        <f t="shared" si="12"/>
        <v>0.90638598313196517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308.38194444444446</v>
      </c>
      <c r="Z20">
        <f t="shared" si="9"/>
        <v>-642.8125</v>
      </c>
      <c r="AA20">
        <f t="shared" si="10"/>
        <v>0.389127840205373</v>
      </c>
      <c r="AB20">
        <f t="shared" si="11"/>
        <v>0.18667963052989792</v>
      </c>
      <c r="AC20">
        <f t="shared" si="12"/>
        <v>0.90638598313196517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-642.8125</v>
      </c>
      <c r="AB21">
        <f t="shared" si="11"/>
        <v>0.18667963052989792</v>
      </c>
    </row>
    <row r="22" spans="1:29" x14ac:dyDescent="0.25">
      <c r="D22" s="5">
        <f>SUM(D13:D21)</f>
        <v>90.75</v>
      </c>
      <c r="E22" s="5">
        <f>SUM(E14:E21)/D22</f>
        <v>4.583333333333333</v>
      </c>
      <c r="F22" s="5">
        <f>SUM(F14:F21)/D22</f>
        <v>6.416666666666667</v>
      </c>
      <c r="G22" s="5">
        <f>SUM(G14:G21)</f>
        <v>4575.3125</v>
      </c>
      <c r="H22" s="5">
        <f>SUM(H14:H21)</f>
        <v>2745.1875</v>
      </c>
      <c r="I22" s="5">
        <f>SUM(I14:I21)</f>
        <v>2973.953125</v>
      </c>
      <c r="J22" s="5">
        <f>SUM(J14:J21)</f>
        <v>7320.5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11</v>
      </c>
      <c r="U37" s="1">
        <f>T37</f>
        <v>11</v>
      </c>
    </row>
    <row r="38" spans="1:21" x14ac:dyDescent="0.25">
      <c r="A38">
        <v>2</v>
      </c>
      <c r="B38" s="17">
        <f>'Rigid Bearing Plate Analysis'!B38</f>
        <v>4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</v>
      </c>
      <c r="C39" s="17">
        <f>'Rigid Bearing Plate Analysis'!C39</f>
        <v>7</v>
      </c>
      <c r="D39" s="17" t="str">
        <f>'Rigid Bearing Plate Analysis'!D39</f>
        <v>y</v>
      </c>
      <c r="Q39" s="12">
        <f t="shared" si="14"/>
        <v>10</v>
      </c>
      <c r="R39" s="12">
        <f t="shared" si="14"/>
        <v>7</v>
      </c>
    </row>
    <row r="40" spans="1:21" x14ac:dyDescent="0.25">
      <c r="A40">
        <v>4</v>
      </c>
      <c r="B40" s="17">
        <f>'Rigid Bearing Plate Analysis'!B40</f>
        <v>10</v>
      </c>
      <c r="C40" s="17">
        <f>'Rigid Bearing Plate Analysis'!C40</f>
        <v>10</v>
      </c>
      <c r="D40" s="17" t="str">
        <f>'Rigid Bearing Plate Analysis'!D40</f>
        <v>y</v>
      </c>
      <c r="Q40" s="12">
        <f t="shared" si="14"/>
        <v>10</v>
      </c>
      <c r="R40" s="12">
        <f t="shared" si="14"/>
        <v>10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3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3155.9242505167954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9.1890671948958005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y</v>
      </c>
    </row>
    <row r="61" spans="1:9" ht="18" x14ac:dyDescent="0.35">
      <c r="A61" s="10" t="s">
        <v>18</v>
      </c>
      <c r="B61" s="4">
        <f>0.65*0.85*B51*MIN(SQRT(B58),2)</f>
        <v>3.3149999999999999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-4.7431934471005999</v>
      </c>
      <c r="C64" t="s">
        <v>19</v>
      </c>
      <c r="D64" t="s">
        <v>34</v>
      </c>
      <c r="H64" s="17">
        <f>DEGREES(B64)</f>
        <v>-271.76496593297287</v>
      </c>
      <c r="I64" t="s">
        <v>41</v>
      </c>
    </row>
    <row r="65" spans="1:18" x14ac:dyDescent="0.25">
      <c r="A65" s="1" t="s">
        <v>40</v>
      </c>
      <c r="B65" s="17">
        <f>'Rigid Bearing Plate Analysis'!B65</f>
        <v>3.9696196087411275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1.9064021371029234</v>
      </c>
      <c r="C66" t="s">
        <v>11</v>
      </c>
      <c r="D66">
        <f>B66/B53</f>
        <v>6.0407094270109379E-4</v>
      </c>
      <c r="I66" s="20"/>
    </row>
    <row r="67" spans="1:18" ht="15.75" thickBot="1" x14ac:dyDescent="0.3">
      <c r="A67" s="34" t="s">
        <v>37</v>
      </c>
      <c r="B67" s="33">
        <f>'Rigid Bearing Plate Analysis'!B67-'Rigid Bearing Plate Analysis'!E175</f>
        <v>3.8922411407154147</v>
      </c>
      <c r="C67" t="s">
        <v>36</v>
      </c>
      <c r="D67" t="s">
        <v>122</v>
      </c>
      <c r="G67" s="20">
        <f ca="1">($B$56*$B$66*$B$55*$E$122)/$B$65</f>
        <v>3.850424904714183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2.5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2.5</v>
      </c>
      <c r="C75" s="4">
        <f t="shared" si="17"/>
        <v>-3.5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8</v>
      </c>
      <c r="C76" s="4">
        <f t="shared" si="17"/>
        <v>-3.5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-10.088129004819162</v>
      </c>
      <c r="R76">
        <f>Q76</f>
        <v>-10.088129004819162</v>
      </c>
    </row>
    <row r="77" spans="1:18" x14ac:dyDescent="0.25">
      <c r="A77" s="1">
        <f t="shared" si="15"/>
        <v>5</v>
      </c>
      <c r="B77" s="4">
        <f t="shared" si="16"/>
        <v>8</v>
      </c>
      <c r="C77" s="4">
        <f t="shared" si="17"/>
        <v>2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10.088129004819162</v>
      </c>
      <c r="R77">
        <f>Q77</f>
        <v>10.088129004819162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2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-9.0881290048191623</v>
      </c>
      <c r="C84" s="1">
        <f t="shared" ref="C84:C92" si="23">(-1*B73*SIN($B$64))+(C73*COS($B$64))</f>
        <v>2.7213803835121406</v>
      </c>
      <c r="H84" s="1">
        <f t="shared" ref="H84:H92" si="24">H73</f>
        <v>1</v>
      </c>
      <c r="I84" s="4">
        <f>(I73*COS($B$64))+(J73*SIN($B$64))</f>
        <v>-9.0881290048191623</v>
      </c>
      <c r="J84" s="1">
        <f>(-1*I73*SIN($B$64))+(J73*COS($B$64))</f>
        <v>2.7213803835121406</v>
      </c>
    </row>
    <row r="85" spans="1:10" x14ac:dyDescent="0.25">
      <c r="A85" s="1">
        <f t="shared" si="21"/>
        <v>2</v>
      </c>
      <c r="B85" s="4">
        <f t="shared" si="22"/>
        <v>-8.9187312315339931</v>
      </c>
      <c r="C85" s="1">
        <f t="shared" si="23"/>
        <v>-2.7760103061156238</v>
      </c>
      <c r="H85" s="1">
        <f t="shared" si="24"/>
        <v>2</v>
      </c>
      <c r="I85" s="4">
        <f t="shared" ref="I85:I92" si="25">(I74*COS($B$64))+(J74*SIN($B$64))</f>
        <v>-9.0881290048191623</v>
      </c>
      <c r="J85" s="1">
        <f t="shared" ref="J85:J92" si="26">(-1*I74*SIN($B$64))+(J74*COS($B$64))</f>
        <v>2.7213803835121406</v>
      </c>
    </row>
    <row r="86" spans="1:10" x14ac:dyDescent="0.25">
      <c r="A86" s="1">
        <f t="shared" si="21"/>
        <v>3</v>
      </c>
      <c r="B86" s="4">
        <f t="shared" si="22"/>
        <v>-3.4213405419062277</v>
      </c>
      <c r="C86" s="1">
        <f t="shared" si="23"/>
        <v>-2.606612532830455</v>
      </c>
      <c r="H86" s="1">
        <f t="shared" si="24"/>
        <v>3</v>
      </c>
      <c r="I86" s="4">
        <f t="shared" si="25"/>
        <v>-9.0881290048191623</v>
      </c>
      <c r="J86" s="1">
        <f t="shared" si="26"/>
        <v>2.7213803835121406</v>
      </c>
    </row>
    <row r="87" spans="1:10" x14ac:dyDescent="0.25">
      <c r="A87" s="1">
        <f t="shared" si="21"/>
        <v>4</v>
      </c>
      <c r="B87" s="4">
        <f t="shared" si="22"/>
        <v>-3.2519427686210594</v>
      </c>
      <c r="C87" s="1">
        <f t="shared" si="23"/>
        <v>-8.1040032224582195</v>
      </c>
      <c r="H87" s="1">
        <f t="shared" si="24"/>
        <v>4</v>
      </c>
      <c r="I87" s="4">
        <f t="shared" si="25"/>
        <v>-9.0881290048191623</v>
      </c>
      <c r="J87" s="1">
        <f t="shared" si="26"/>
        <v>2.7213803835121406</v>
      </c>
    </row>
    <row r="88" spans="1:10" x14ac:dyDescent="0.25">
      <c r="A88" s="1">
        <f t="shared" si="21"/>
        <v>5</v>
      </c>
      <c r="B88" s="4">
        <f t="shared" si="22"/>
        <v>2.2454479210067051</v>
      </c>
      <c r="C88" s="1">
        <f t="shared" si="23"/>
        <v>-7.9346054491730511</v>
      </c>
      <c r="H88" s="1">
        <f t="shared" si="24"/>
        <v>5</v>
      </c>
      <c r="I88" s="4">
        <f t="shared" si="25"/>
        <v>-9.0881290048191623</v>
      </c>
      <c r="J88" s="1">
        <f t="shared" si="26"/>
        <v>2.7213803835121406</v>
      </c>
    </row>
    <row r="89" spans="1:10" x14ac:dyDescent="0.25">
      <c r="A89" s="1">
        <f t="shared" si="21"/>
        <v>6</v>
      </c>
      <c r="B89" s="4">
        <f t="shared" si="22"/>
        <v>1.9066523744363679</v>
      </c>
      <c r="C89" s="1">
        <f t="shared" si="23"/>
        <v>3.0601759300824782</v>
      </c>
      <c r="H89" s="1">
        <f t="shared" si="24"/>
        <v>6</v>
      </c>
      <c r="I89" s="4">
        <f t="shared" si="25"/>
        <v>-9.0881290048191623</v>
      </c>
      <c r="J89" s="1">
        <f t="shared" si="26"/>
        <v>2.7213803835121406</v>
      </c>
    </row>
    <row r="90" spans="1:10" x14ac:dyDescent="0.25">
      <c r="A90" s="1">
        <f t="shared" si="21"/>
        <v>7</v>
      </c>
      <c r="B90" s="4">
        <f t="shared" si="22"/>
        <v>-9.0881290048191623</v>
      </c>
      <c r="C90" s="1">
        <f t="shared" si="23"/>
        <v>2.7213803835121406</v>
      </c>
      <c r="H90" s="1">
        <f t="shared" si="24"/>
        <v>7</v>
      </c>
      <c r="I90" s="4">
        <f t="shared" si="25"/>
        <v>-9.0881290048191623</v>
      </c>
      <c r="J90" s="1">
        <f t="shared" si="26"/>
        <v>2.7213803835121406</v>
      </c>
    </row>
    <row r="91" spans="1:10" x14ac:dyDescent="0.25">
      <c r="A91" s="1">
        <f t="shared" si="21"/>
        <v>8</v>
      </c>
      <c r="B91" s="4">
        <f t="shared" si="22"/>
        <v>-9.0881290048191623</v>
      </c>
      <c r="C91" s="1">
        <f t="shared" si="23"/>
        <v>2.7213803835121406</v>
      </c>
      <c r="H91" s="1">
        <f t="shared" si="24"/>
        <v>8</v>
      </c>
      <c r="I91" s="4">
        <f t="shared" si="25"/>
        <v>-9.0881290048191623</v>
      </c>
      <c r="J91" s="1">
        <f t="shared" si="26"/>
        <v>2.7213803835121406</v>
      </c>
    </row>
    <row r="92" spans="1:10" x14ac:dyDescent="0.25">
      <c r="A92" s="1">
        <f t="shared" si="21"/>
        <v>9</v>
      </c>
      <c r="B92" s="4">
        <f t="shared" si="22"/>
        <v>-9.0881290048191623</v>
      </c>
      <c r="C92" s="1">
        <f t="shared" si="23"/>
        <v>2.7213803835121406</v>
      </c>
      <c r="H92" s="1">
        <f t="shared" si="24"/>
        <v>9</v>
      </c>
      <c r="I92" s="4">
        <f t="shared" si="25"/>
        <v>-9.0881290048191623</v>
      </c>
      <c r="J92" s="1">
        <f t="shared" si="26"/>
        <v>2.7213803835121406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</v>
      </c>
      <c r="C97" s="4">
        <f t="shared" si="29"/>
        <v>-2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</v>
      </c>
      <c r="C98" s="4">
        <f t="shared" si="29"/>
        <v>1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-7.5426412422065434</v>
      </c>
      <c r="C110" s="1">
        <f>(-1*B95*SIN($B$64))+(C95*COS($B$64))</f>
        <v>1.2682914063277966</v>
      </c>
      <c r="D110" t="str">
        <f t="shared" ref="D110" si="31">D95</f>
        <v>y</v>
      </c>
      <c r="E110" s="4">
        <f t="shared" ref="E110:E121" si="32">IF($D110="y",$B$125-C110,0)</f>
        <v>-2.1777350849864456</v>
      </c>
      <c r="F110" s="1">
        <f>IF($D110="y",B110,NA())</f>
        <v>-7.5426412422065434</v>
      </c>
      <c r="G110" s="1">
        <f>IF($D110="y",C110,NA())</f>
        <v>1.2682914063277966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3.3139358815244036E-4</v>
      </c>
      <c r="N110">
        <f>IF(AND(M110&gt;0,D110="y",$E$60="y"),$B$53*M110*$E$59,0)</f>
        <v>0.25989959748765601</v>
      </c>
      <c r="O110">
        <f>N110*C110</f>
        <v>0.32962842600164749</v>
      </c>
      <c r="P110">
        <f>N110*B110*-1</f>
        <v>1.9603294228432744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-7.4656422543496479</v>
      </c>
      <c r="C111" s="1">
        <f t="shared" ref="C111:C121" si="37">(-1*B96*SIN($B$64))+(C96*COS($B$64))</f>
        <v>-1.2305225435030054</v>
      </c>
      <c r="D111" t="str">
        <f t="shared" si="35"/>
        <v>y</v>
      </c>
      <c r="E111" s="4">
        <f t="shared" si="32"/>
        <v>0.3210788648443561</v>
      </c>
      <c r="F111" s="1">
        <f t="shared" ref="F111:G121" si="38">IF($D111="y",B111,NA())</f>
        <v>-7.4656422543496479</v>
      </c>
      <c r="G111" s="1">
        <f t="shared" si="38"/>
        <v>-1.2305225435030054</v>
      </c>
      <c r="H111">
        <f t="shared" si="33"/>
        <v>-0.20324442830587383</v>
      </c>
      <c r="I111">
        <f t="shared" ref="I111:I121" si="39">H111*C111</f>
        <v>0.25009685087175809</v>
      </c>
      <c r="J111">
        <f t="shared" ref="J111:J121" si="40">H111*B111*-1</f>
        <v>-1.5173501919214694</v>
      </c>
      <c r="K111">
        <f ca="1">H111/$B$55</f>
        <v>-1.4323193241438343</v>
      </c>
      <c r="L111">
        <f t="shared" ref="L111:L121" ca="1" si="41">K111/$B$54</f>
        <v>-4.9390321522201183E-5</v>
      </c>
      <c r="M111">
        <f t="shared" si="34"/>
        <v>-4.8859697322342529E-5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-1.783453993865336</v>
      </c>
      <c r="C112" s="1">
        <f t="shared" si="37"/>
        <v>-7.0582782498117611</v>
      </c>
      <c r="D112" t="str">
        <f t="shared" si="35"/>
        <v>y</v>
      </c>
      <c r="E112" s="4">
        <f t="shared" si="32"/>
        <v>6.1488345711531114</v>
      </c>
      <c r="F112" s="1">
        <f t="shared" si="38"/>
        <v>-1.783453993865336</v>
      </c>
      <c r="G112" s="1">
        <f t="shared" si="38"/>
        <v>-7.0582782498117611</v>
      </c>
      <c r="H112">
        <f t="shared" si="33"/>
        <v>-3.8922411407154143</v>
      </c>
      <c r="I112">
        <f t="shared" si="39"/>
        <v>27.472520986534128</v>
      </c>
      <c r="J112">
        <f t="shared" si="40"/>
        <v>-6.9416330074958772</v>
      </c>
      <c r="K112">
        <f t="shared" ref="K112:K121" ca="1" si="45">H112/$B$55</f>
        <v>-27.429692644190492</v>
      </c>
      <c r="L112">
        <f t="shared" ca="1" si="41"/>
        <v>-9.4585147048932734E-4</v>
      </c>
      <c r="M112">
        <f t="shared" si="34"/>
        <v>-9.3568972899331522E-4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1.2151227459316265</v>
      </c>
      <c r="C113" s="1">
        <f t="shared" si="37"/>
        <v>-6.9658794643834874</v>
      </c>
      <c r="D113" t="str">
        <f t="shared" si="35"/>
        <v>y</v>
      </c>
      <c r="E113" s="4">
        <f t="shared" si="32"/>
        <v>6.0564357857248385</v>
      </c>
      <c r="F113" s="1">
        <f t="shared" si="38"/>
        <v>1.2151227459316265</v>
      </c>
      <c r="G113" s="1">
        <f t="shared" si="38"/>
        <v>-6.9658794643834874</v>
      </c>
      <c r="H113">
        <f t="shared" si="33"/>
        <v>-3.833752275901376</v>
      </c>
      <c r="I113">
        <f t="shared" si="39"/>
        <v>26.705456250234853</v>
      </c>
      <c r="J113">
        <f t="shared" si="40"/>
        <v>4.6584795927149028</v>
      </c>
      <c r="K113">
        <f t="shared" ca="1" si="45"/>
        <v>-27.017505545047452</v>
      </c>
      <c r="L113">
        <f t="shared" ca="1" si="41"/>
        <v>-9.3163812224301556E-4</v>
      </c>
      <c r="M113">
        <f t="shared" si="34"/>
        <v>-9.2162908164685733E-4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-9.0881290048191623</v>
      </c>
      <c r="C114" s="1">
        <f t="shared" si="37"/>
        <v>2.7213803835121406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-9.0881290048191623</v>
      </c>
      <c r="C115" s="1">
        <f t="shared" si="37"/>
        <v>2.7213803835121406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-9.0881290048191623</v>
      </c>
      <c r="C116" s="1">
        <f t="shared" si="37"/>
        <v>2.7213803835121406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-9.0881290048191623</v>
      </c>
      <c r="C117" s="1">
        <f t="shared" si="37"/>
        <v>2.7213803835121406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-9.0881290048191623</v>
      </c>
      <c r="C118" s="1">
        <f t="shared" si="37"/>
        <v>2.7213803835121406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-9.0881290048191623</v>
      </c>
      <c r="C119" s="1">
        <f t="shared" si="37"/>
        <v>2.7213803835121406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-9.0881290048191623</v>
      </c>
      <c r="C120" s="1">
        <f t="shared" si="37"/>
        <v>2.7213803835121406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-9.0881290048191623</v>
      </c>
      <c r="C121" s="1">
        <f t="shared" si="37"/>
        <v>2.7213803835121406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6.1488345711531114</v>
      </c>
      <c r="H122">
        <f>SUM(H110:H121)</f>
        <v>-7.9292378449226639</v>
      </c>
      <c r="I122">
        <f t="shared" ref="I122:J122" si="46">SUM(I110:I121)</f>
        <v>54.428074087640738</v>
      </c>
      <c r="J122">
        <f t="shared" si="46"/>
        <v>-3.8005036067024438</v>
      </c>
      <c r="L122">
        <f ca="1">MIN(L110:L121)</f>
        <v>-9.4585147048932734E-4</v>
      </c>
      <c r="M122">
        <f>MIN(M110:M121)</f>
        <v>-9.3568972899331522E-4</v>
      </c>
      <c r="N122">
        <f>SUM(N110:N121)</f>
        <v>0.25989959748765601</v>
      </c>
      <c r="O122">
        <f>SUM(O110:O121)</f>
        <v>0.32962842600164749</v>
      </c>
      <c r="P122">
        <f>SUM(P110:P121)</f>
        <v>1.9603294228432744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-0.90944367865864928</v>
      </c>
      <c r="F125" s="1" t="s">
        <v>27</v>
      </c>
      <c r="G125" s="1" t="s">
        <v>28</v>
      </c>
    </row>
    <row r="126" spans="1:16" x14ac:dyDescent="0.25">
      <c r="F126" s="4">
        <f>MIN(B84:B90)-1</f>
        <v>-10.088129004819162</v>
      </c>
      <c r="G126" s="4">
        <f>B125</f>
        <v>-0.90944367865864928</v>
      </c>
    </row>
    <row r="127" spans="1:16" x14ac:dyDescent="0.25">
      <c r="F127" s="4">
        <f>MAX(B84:B90)+1</f>
        <v>3.2454479210067051</v>
      </c>
      <c r="G127" s="4">
        <f>G126</f>
        <v>-0.90944367865864928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-9.0881290048191623</v>
      </c>
      <c r="C132" s="4">
        <f>C84</f>
        <v>2.7213803835121406</v>
      </c>
      <c r="D132" s="4">
        <f t="shared" ref="D132:E139" si="47">B85</f>
        <v>-8.9187312315339931</v>
      </c>
      <c r="E132" s="4">
        <f t="shared" si="47"/>
        <v>-2.7760103061156238</v>
      </c>
      <c r="F132" s="4">
        <f t="shared" ref="F132:F139" si="48">($B$66/$B$65)*(C132-$B$125)</f>
        <v>1.7436962313278683</v>
      </c>
      <c r="G132" s="4">
        <f t="shared" ref="G132:G139" si="49">($B$66/$B$65)*(E132-$B$125)</f>
        <v>-0.89641501160294923</v>
      </c>
      <c r="H132" s="4">
        <f>IF(B132=D132,"V",(C132-E132)/(B132-D132))</f>
        <v>-32.452555798199853</v>
      </c>
      <c r="I132" s="4">
        <f>IF(H132="V",0,(-1*B132*H132)+C132)</f>
        <v>-292.21163324662024</v>
      </c>
      <c r="J132" s="4">
        <f>IF($F132&gt;=0,B132,IF(AND($F132&lt;0,$G132&gt;=0),IF(H132="V",B132,($B$125-I132)/H132),0))</f>
        <v>-9.0881290048191623</v>
      </c>
      <c r="K132" s="4">
        <f>IF($F132&gt;=0,C132,IF(AND($F132&lt;0,$G132&gt;=0),$B$125,0))</f>
        <v>2.7213803835121406</v>
      </c>
      <c r="L132" s="4">
        <f>IF($G132&gt;=0,D132,IF(AND($G132&lt;0,$F132&gt;=0),IF(H132="V",D132,($B$125-I132)/H132),0))</f>
        <v>-8.9762480150829962</v>
      </c>
      <c r="M132" s="4">
        <f>IF($G132&gt;=0,E132,IF(AND($G132&lt;0,$F132&gt;=0),$B$125,0))</f>
        <v>-0.90944367865864928</v>
      </c>
      <c r="N132" s="4">
        <f>IF(F132&lt;0,0,F132)</f>
        <v>1.7436962313278683</v>
      </c>
      <c r="O132" s="4">
        <f>IF(G132&lt;0,0,G132)</f>
        <v>0</v>
      </c>
      <c r="P132" s="4">
        <f>(1/6)*(M132-K132)*((N132*((2*J132)+L132))+(O132*(J132+(2*L132))))</f>
        <v>28.65066470444707</v>
      </c>
      <c r="Q132" s="4">
        <f>((1/12)*(M132-K132)*(N132*J132*((3*K132)+M132)+N132*L132*(K132+M132)+O132*J132*(K132+M132)+O132*L132*(K132+(3*M132))))</f>
        <v>43.365621578441427</v>
      </c>
      <c r="R132" s="4">
        <f>((-1/24)*(M132-K132)*(J132*J132*((3*N132)+O132)+2*J132*L132*(N132+O132)+L132*L132*(N132+(3*O132))))</f>
        <v>129.65732500077883</v>
      </c>
    </row>
    <row r="133" spans="1:18" x14ac:dyDescent="0.25">
      <c r="A133" t="s">
        <v>70</v>
      </c>
      <c r="B133" s="4">
        <f t="shared" ref="B133:C138" si="50">D132</f>
        <v>-8.9187312315339931</v>
      </c>
      <c r="C133" s="4">
        <f t="shared" si="50"/>
        <v>-2.7760103061156238</v>
      </c>
      <c r="D133" s="4">
        <f t="shared" si="47"/>
        <v>-3.4213405419062277</v>
      </c>
      <c r="E133" s="4">
        <f t="shared" si="47"/>
        <v>-2.606612532830455</v>
      </c>
      <c r="F133" s="4">
        <f t="shared" si="48"/>
        <v>-0.89641501160294923</v>
      </c>
      <c r="G133" s="4">
        <f t="shared" si="49"/>
        <v>-0.8150620587154217</v>
      </c>
      <c r="H133" s="4">
        <f t="shared" ref="H133:H139" si="51">IF(B133=D133,"V",(C133-E133)/(B133-D133))</f>
        <v>3.0814214024260829E-2</v>
      </c>
      <c r="I133" s="4">
        <f t="shared" ref="I133:I139" si="52">IF(H133="V",0,(-1*B133*H133)+C133)</f>
        <v>-2.5011866131222762</v>
      </c>
      <c r="J133" s="4">
        <f t="shared" ref="J133:J139" si="53">IF($F133&gt;=0,B133,IF(AND($F133&lt;0,$G133&gt;=0),IF(H133="V",B133,($B$125-I133)/H133),0))</f>
        <v>0</v>
      </c>
      <c r="K133" s="4">
        <f t="shared" ref="K133:K139" si="54">IF($F133&gt;=0,C133,IF(AND($F133&lt;0,$G133&gt;=0),$B$125,0))</f>
        <v>0</v>
      </c>
      <c r="L133" s="4">
        <f t="shared" ref="L133:L139" si="55">IF($G133&gt;=0,D133,IF(AND($G133&lt;0,$F133&gt;=0),IF(H133="V",D133,($B$125-I133)/H133),0))</f>
        <v>0</v>
      </c>
      <c r="M133" s="4">
        <f t="shared" ref="M133:M139" si="56">IF($G133&gt;=0,E133,IF(AND($G133&lt;0,$F133&gt;=0),$B$125,0))</f>
        <v>0</v>
      </c>
      <c r="N133" s="4">
        <f t="shared" ref="N133:O139" si="57">IF(F133&lt;0,0,F133)</f>
        <v>0</v>
      </c>
      <c r="O133" s="4">
        <f t="shared" si="57"/>
        <v>0</v>
      </c>
      <c r="P133" s="4">
        <f t="shared" ref="P133:P139" si="58">(1/6)*(M133-K133)*((N133*((2*J133)+L133))+(O133*(J133+(2*L133))))</f>
        <v>0</v>
      </c>
      <c r="Q133" s="4">
        <f t="shared" ref="Q133:Q139" si="59">((1/12)*(M133-K133)*(N133*J133*((3*K133)+M133)+N133*L133*(K133+M133)+O133*J133*(K133+M133)+O133*L133*(K133+(3*M133))))</f>
        <v>0</v>
      </c>
      <c r="R133" s="4">
        <f t="shared" ref="R133:R139" si="60">((-1/24)*(M133-K133)*(J133*J133*((3*N133)+O133)+2*J133*L133*(N133+O133)+L133*L133*(N133+(3*O133))))</f>
        <v>0</v>
      </c>
    </row>
    <row r="134" spans="1:18" x14ac:dyDescent="0.25">
      <c r="A134" t="s">
        <v>71</v>
      </c>
      <c r="B134" s="4">
        <f t="shared" si="50"/>
        <v>-3.4213405419062277</v>
      </c>
      <c r="C134" s="4">
        <f t="shared" si="50"/>
        <v>-2.606612532830455</v>
      </c>
      <c r="D134" s="4">
        <f t="shared" si="47"/>
        <v>-3.2519427686210594</v>
      </c>
      <c r="E134" s="4">
        <f t="shared" si="47"/>
        <v>-8.1040032224582195</v>
      </c>
      <c r="F134" s="4">
        <f t="shared" si="48"/>
        <v>-0.8150620587154217</v>
      </c>
      <c r="G134" s="4">
        <f t="shared" si="49"/>
        <v>-3.4551733016462394</v>
      </c>
      <c r="H134" s="4">
        <f t="shared" si="51"/>
        <v>-32.452555798200024</v>
      </c>
      <c r="I134" s="4">
        <f t="shared" si="52"/>
        <v>-113.63785737368622</v>
      </c>
      <c r="J134" s="4">
        <f t="shared" si="53"/>
        <v>0</v>
      </c>
      <c r="K134" s="4">
        <f t="shared" si="54"/>
        <v>0</v>
      </c>
      <c r="L134" s="4">
        <f t="shared" si="55"/>
        <v>0</v>
      </c>
      <c r="M134" s="4">
        <f t="shared" si="56"/>
        <v>0</v>
      </c>
      <c r="N134" s="4">
        <f t="shared" si="57"/>
        <v>0</v>
      </c>
      <c r="O134" s="4">
        <f t="shared" si="57"/>
        <v>0</v>
      </c>
      <c r="P134" s="4">
        <f t="shared" si="58"/>
        <v>0</v>
      </c>
      <c r="Q134" s="4">
        <f t="shared" si="59"/>
        <v>0</v>
      </c>
      <c r="R134" s="4">
        <f t="shared" si="60"/>
        <v>0</v>
      </c>
    </row>
    <row r="135" spans="1:18" x14ac:dyDescent="0.25">
      <c r="A135" t="s">
        <v>72</v>
      </c>
      <c r="B135" s="4">
        <f t="shared" si="50"/>
        <v>-3.2519427686210594</v>
      </c>
      <c r="C135" s="4">
        <f t="shared" si="50"/>
        <v>-8.1040032224582195</v>
      </c>
      <c r="D135" s="4">
        <f t="shared" si="47"/>
        <v>2.2454479210067051</v>
      </c>
      <c r="E135" s="4">
        <f t="shared" si="47"/>
        <v>-7.9346054491730511</v>
      </c>
      <c r="F135" s="4">
        <f t="shared" si="48"/>
        <v>-3.4551733016462394</v>
      </c>
      <c r="G135" s="4">
        <f t="shared" si="49"/>
        <v>-3.373820348758712</v>
      </c>
      <c r="H135" s="4">
        <f t="shared" si="51"/>
        <v>3.0814214024260756E-2</v>
      </c>
      <c r="I135" s="4">
        <f t="shared" si="52"/>
        <v>-8.0037971619912831</v>
      </c>
      <c r="J135" s="4">
        <f t="shared" si="53"/>
        <v>0</v>
      </c>
      <c r="K135" s="4">
        <f t="shared" si="54"/>
        <v>0</v>
      </c>
      <c r="L135" s="4">
        <f t="shared" si="55"/>
        <v>0</v>
      </c>
      <c r="M135" s="4">
        <f t="shared" si="56"/>
        <v>0</v>
      </c>
      <c r="N135" s="4">
        <f t="shared" si="57"/>
        <v>0</v>
      </c>
      <c r="O135" s="4">
        <f t="shared" si="57"/>
        <v>0</v>
      </c>
      <c r="P135" s="4">
        <f t="shared" si="58"/>
        <v>0</v>
      </c>
      <c r="Q135" s="4">
        <f t="shared" si="59"/>
        <v>0</v>
      </c>
      <c r="R135" s="4">
        <f t="shared" si="60"/>
        <v>0</v>
      </c>
    </row>
    <row r="136" spans="1:18" x14ac:dyDescent="0.25">
      <c r="A136" t="s">
        <v>73</v>
      </c>
      <c r="B136" s="4">
        <f t="shared" si="50"/>
        <v>2.2454479210067051</v>
      </c>
      <c r="C136" s="4">
        <f t="shared" si="50"/>
        <v>-7.9346054491730511</v>
      </c>
      <c r="D136" s="4">
        <f t="shared" si="47"/>
        <v>1.9066523744363679</v>
      </c>
      <c r="E136" s="4">
        <f t="shared" si="47"/>
        <v>3.0601759300824782</v>
      </c>
      <c r="F136" s="4">
        <f t="shared" si="48"/>
        <v>-3.373820348758712</v>
      </c>
      <c r="G136" s="4">
        <f t="shared" si="49"/>
        <v>1.9064021371029234</v>
      </c>
      <c r="H136" s="4">
        <f t="shared" si="51"/>
        <v>-32.452555798199988</v>
      </c>
      <c r="I136" s="4">
        <f t="shared" si="52"/>
        <v>64.935918499249212</v>
      </c>
      <c r="J136" s="4">
        <f t="shared" si="53"/>
        <v>2.0289730826550194</v>
      </c>
      <c r="K136" s="4">
        <f t="shared" si="54"/>
        <v>-0.90944367865864928</v>
      </c>
      <c r="L136" s="4">
        <f t="shared" si="55"/>
        <v>1.9066523744363679</v>
      </c>
      <c r="M136" s="4">
        <f t="shared" si="56"/>
        <v>3.0601759300824782</v>
      </c>
      <c r="N136" s="4">
        <f t="shared" si="57"/>
        <v>0</v>
      </c>
      <c r="O136" s="4">
        <f t="shared" si="57"/>
        <v>1.9064021371029234</v>
      </c>
      <c r="P136" s="4">
        <f t="shared" si="58"/>
        <v>7.3687591917487278</v>
      </c>
      <c r="Q136" s="4">
        <f t="shared" si="59"/>
        <v>12.697236443363925</v>
      </c>
      <c r="R136" s="4">
        <f t="shared" si="60"/>
        <v>-7.176629057648225</v>
      </c>
    </row>
    <row r="137" spans="1:18" x14ac:dyDescent="0.25">
      <c r="A137" t="s">
        <v>74</v>
      </c>
      <c r="B137" s="4">
        <f t="shared" si="50"/>
        <v>1.9066523744363679</v>
      </c>
      <c r="C137" s="4">
        <f t="shared" si="50"/>
        <v>3.0601759300824782</v>
      </c>
      <c r="D137" s="4">
        <f t="shared" si="47"/>
        <v>-9.0881290048191623</v>
      </c>
      <c r="E137" s="4">
        <f t="shared" si="47"/>
        <v>2.7213803835121406</v>
      </c>
      <c r="F137" s="4">
        <f t="shared" si="48"/>
        <v>1.9064021371029234</v>
      </c>
      <c r="G137" s="4">
        <f t="shared" si="49"/>
        <v>1.7436962313278683</v>
      </c>
      <c r="H137" s="4">
        <f t="shared" si="51"/>
        <v>3.0814214024260832E-2</v>
      </c>
      <c r="I137" s="4">
        <f t="shared" si="52"/>
        <v>3.0014239357467307</v>
      </c>
      <c r="J137" s="4">
        <f t="shared" si="53"/>
        <v>1.9066523744363679</v>
      </c>
      <c r="K137" s="4">
        <f t="shared" si="54"/>
        <v>3.0601759300824782</v>
      </c>
      <c r="L137" s="4">
        <f t="shared" si="55"/>
        <v>-9.0881290048191623</v>
      </c>
      <c r="M137" s="4">
        <f t="shared" si="56"/>
        <v>2.7213803835121406</v>
      </c>
      <c r="N137" s="4">
        <f t="shared" si="57"/>
        <v>1.9064021371029234</v>
      </c>
      <c r="O137" s="4">
        <f t="shared" si="57"/>
        <v>1.7436962313278683</v>
      </c>
      <c r="P137" s="4">
        <f t="shared" si="58"/>
        <v>2.1697136638241674</v>
      </c>
      <c r="Q137" s="4">
        <f t="shared" si="59"/>
        <v>6.0858136840043242</v>
      </c>
      <c r="R137" s="4">
        <f t="shared" si="60"/>
        <v>6.9191581517954424</v>
      </c>
    </row>
    <row r="138" spans="1:18" x14ac:dyDescent="0.25">
      <c r="A138" t="s">
        <v>75</v>
      </c>
      <c r="B138" s="4">
        <f t="shared" si="50"/>
        <v>-9.0881290048191623</v>
      </c>
      <c r="C138" s="4">
        <f t="shared" si="50"/>
        <v>2.7213803835121406</v>
      </c>
      <c r="D138" s="4">
        <f t="shared" si="47"/>
        <v>-9.0881290048191623</v>
      </c>
      <c r="E138" s="4">
        <f t="shared" si="47"/>
        <v>2.7213803835121406</v>
      </c>
      <c r="F138" s="4">
        <f t="shared" si="48"/>
        <v>1.7436962313278683</v>
      </c>
      <c r="G138" s="4">
        <f t="shared" si="49"/>
        <v>1.7436962313278683</v>
      </c>
      <c r="H138" s="4" t="str">
        <f t="shared" si="51"/>
        <v>V</v>
      </c>
      <c r="I138" s="4">
        <f t="shared" si="52"/>
        <v>0</v>
      </c>
      <c r="J138" s="4">
        <f t="shared" si="53"/>
        <v>-9.0881290048191623</v>
      </c>
      <c r="K138" s="4">
        <f t="shared" si="54"/>
        <v>2.7213803835121406</v>
      </c>
      <c r="L138" s="4">
        <f t="shared" si="55"/>
        <v>-9.0881290048191623</v>
      </c>
      <c r="M138" s="4">
        <f t="shared" si="56"/>
        <v>2.7213803835121406</v>
      </c>
      <c r="N138" s="4">
        <f t="shared" si="57"/>
        <v>1.7436962313278683</v>
      </c>
      <c r="O138" s="4">
        <f t="shared" si="57"/>
        <v>1.7436962313278683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-9.0881290048191623</v>
      </c>
      <c r="C139" s="4">
        <f>E138</f>
        <v>2.7213803835121406</v>
      </c>
      <c r="D139" s="4">
        <f t="shared" si="47"/>
        <v>-9.0881290048191623</v>
      </c>
      <c r="E139" s="4">
        <f t="shared" si="47"/>
        <v>2.7213803835121406</v>
      </c>
      <c r="F139" s="4">
        <f t="shared" si="48"/>
        <v>1.7436962313278683</v>
      </c>
      <c r="G139" s="4">
        <f t="shared" si="49"/>
        <v>1.7436962313278683</v>
      </c>
      <c r="H139" s="4" t="str">
        <f t="shared" si="51"/>
        <v>V</v>
      </c>
      <c r="I139" s="4">
        <f t="shared" si="52"/>
        <v>0</v>
      </c>
      <c r="J139" s="4">
        <f t="shared" si="53"/>
        <v>-9.0881290048191623</v>
      </c>
      <c r="K139" s="4">
        <f t="shared" si="54"/>
        <v>2.7213803835121406</v>
      </c>
      <c r="L139" s="4">
        <f t="shared" si="55"/>
        <v>-9.0881290048191623</v>
      </c>
      <c r="M139" s="4">
        <f t="shared" si="56"/>
        <v>2.7213803835121406</v>
      </c>
      <c r="N139" s="4">
        <f t="shared" si="57"/>
        <v>1.7436962313278683</v>
      </c>
      <c r="O139" s="4">
        <f t="shared" si="57"/>
        <v>1.7436962313278683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38.189137560019965</v>
      </c>
      <c r="Q140" s="4">
        <f>SUM(Q132:Q139)</f>
        <v>62.148671705809676</v>
      </c>
      <c r="R140" s="4">
        <f>SUM(R132:R139)</f>
        <v>129.39985409492604</v>
      </c>
    </row>
    <row r="142" spans="1:18" x14ac:dyDescent="0.25">
      <c r="O142" t="s">
        <v>96</v>
      </c>
      <c r="P142" s="1">
        <f>-1*R140/P140</f>
        <v>-3.3883942493216752</v>
      </c>
    </row>
    <row r="143" spans="1:18" x14ac:dyDescent="0.25">
      <c r="O143" t="s">
        <v>97</v>
      </c>
      <c r="P143" s="1">
        <f>Q140/P140</f>
        <v>1.6273913389149912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-9.0881290048191623</v>
      </c>
      <c r="C146" s="9">
        <f>J84</f>
        <v>2.7213803835121406</v>
      </c>
      <c r="D146" s="9">
        <f t="shared" ref="D146:E153" si="61">I85</f>
        <v>-9.0881290048191623</v>
      </c>
      <c r="E146">
        <f t="shared" si="61"/>
        <v>2.7213803835121406</v>
      </c>
      <c r="F146" s="4">
        <f>($B$66/$B$65)*(C146-$B$125)</f>
        <v>1.7436962313278683</v>
      </c>
      <c r="G146" s="4">
        <f>($B$66/$B$65)*(E146-$B$125)</f>
        <v>1.7436962313278683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-9.0881290048191623</v>
      </c>
      <c r="K146" s="4">
        <f>IF($F146&gt;=0,C146,IF(AND($F146&lt;0,$G146&gt;=0),$B$125,0))</f>
        <v>2.7213803835121406</v>
      </c>
      <c r="L146" s="4">
        <f>IF($G146&gt;=0,D146,IF(AND($G146&lt;0,$F146&gt;=0),IF(H146="V",D146,($B$125-I146)/H146),0))</f>
        <v>-9.0881290048191623</v>
      </c>
      <c r="M146" s="4">
        <f>IF($G146&gt;=0,E146,IF(AND($G146&lt;0,$F146&gt;=0),$B$125,0))</f>
        <v>2.7213803835121406</v>
      </c>
      <c r="N146" s="4">
        <f>IF(F146&lt;0,0,F146)</f>
        <v>1.7436962313278683</v>
      </c>
      <c r="O146" s="4">
        <f>IF(G146&lt;0,0,G146)</f>
        <v>1.7436962313278683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-9.0881290048191623</v>
      </c>
      <c r="C147">
        <f t="shared" si="62"/>
        <v>2.7213803835121406</v>
      </c>
      <c r="D147" s="9">
        <f t="shared" si="61"/>
        <v>-9.0881290048191623</v>
      </c>
      <c r="E147">
        <f t="shared" si="61"/>
        <v>2.7213803835121406</v>
      </c>
      <c r="F147" s="4">
        <f t="shared" ref="F147:F153" si="63">($B$66/$B$65)*(C147-$B$125)</f>
        <v>1.7436962313278683</v>
      </c>
      <c r="G147" s="4">
        <f t="shared" ref="G147:G153" si="64">($B$66/$B$65)*(E147-$B$125)</f>
        <v>1.7436962313278683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-9.0881290048191623</v>
      </c>
      <c r="K147" s="4">
        <f t="shared" ref="K147:K153" si="68">IF($F147&gt;=0,C147,IF(AND($F147&lt;0,$G147&gt;=0),$B$125,0))</f>
        <v>2.7213803835121406</v>
      </c>
      <c r="L147" s="4">
        <f t="shared" ref="L147:L153" si="69">IF($G147&gt;=0,D147,IF(AND($G147&lt;0,$F147&gt;=0),IF(H147="V",D147,($B$125-I147)/H147),0))</f>
        <v>-9.0881290048191623</v>
      </c>
      <c r="M147" s="4">
        <f t="shared" ref="M147:M153" si="70">IF($G147&gt;=0,E147,IF(AND($G147&lt;0,$F147&gt;=0),$B$125,0))</f>
        <v>2.7213803835121406</v>
      </c>
      <c r="N147" s="4">
        <f t="shared" ref="N147:O153" si="71">IF(F147&lt;0,0,F147)</f>
        <v>1.7436962313278683</v>
      </c>
      <c r="O147" s="4">
        <f t="shared" si="71"/>
        <v>1.7436962313278683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-9.0881290048191623</v>
      </c>
      <c r="C148">
        <f t="shared" si="62"/>
        <v>2.7213803835121406</v>
      </c>
      <c r="D148" s="9">
        <f t="shared" si="61"/>
        <v>-9.0881290048191623</v>
      </c>
      <c r="E148">
        <f t="shared" si="61"/>
        <v>2.7213803835121406</v>
      </c>
      <c r="F148" s="4">
        <f t="shared" si="63"/>
        <v>1.7436962313278683</v>
      </c>
      <c r="G148" s="4">
        <f t="shared" si="64"/>
        <v>1.7436962313278683</v>
      </c>
      <c r="H148" s="4" t="str">
        <f t="shared" si="65"/>
        <v>V</v>
      </c>
      <c r="I148" s="4">
        <f t="shared" si="66"/>
        <v>0</v>
      </c>
      <c r="J148" s="4">
        <f t="shared" si="67"/>
        <v>-9.0881290048191623</v>
      </c>
      <c r="K148" s="4">
        <f t="shared" si="68"/>
        <v>2.7213803835121406</v>
      </c>
      <c r="L148" s="4">
        <f t="shared" si="69"/>
        <v>-9.0881290048191623</v>
      </c>
      <c r="M148" s="4">
        <f t="shared" si="70"/>
        <v>2.7213803835121406</v>
      </c>
      <c r="N148" s="4">
        <f t="shared" si="71"/>
        <v>1.7436962313278683</v>
      </c>
      <c r="O148" s="4">
        <f t="shared" si="71"/>
        <v>1.7436962313278683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-9.0881290048191623</v>
      </c>
      <c r="C149">
        <f t="shared" si="62"/>
        <v>2.7213803835121406</v>
      </c>
      <c r="D149" s="9">
        <f t="shared" si="61"/>
        <v>-9.0881290048191623</v>
      </c>
      <c r="E149">
        <f t="shared" si="61"/>
        <v>2.7213803835121406</v>
      </c>
      <c r="F149" s="4">
        <f t="shared" si="63"/>
        <v>1.7436962313278683</v>
      </c>
      <c r="G149" s="4">
        <f t="shared" si="64"/>
        <v>1.7436962313278683</v>
      </c>
      <c r="H149" s="4" t="str">
        <f t="shared" si="65"/>
        <v>V</v>
      </c>
      <c r="I149" s="4">
        <f t="shared" si="66"/>
        <v>0</v>
      </c>
      <c r="J149" s="4">
        <f t="shared" si="67"/>
        <v>-9.0881290048191623</v>
      </c>
      <c r="K149" s="4">
        <f t="shared" si="68"/>
        <v>2.7213803835121406</v>
      </c>
      <c r="L149" s="4">
        <f t="shared" si="69"/>
        <v>-9.0881290048191623</v>
      </c>
      <c r="M149" s="4">
        <f t="shared" si="70"/>
        <v>2.7213803835121406</v>
      </c>
      <c r="N149" s="4">
        <f t="shared" si="71"/>
        <v>1.7436962313278683</v>
      </c>
      <c r="O149" s="4">
        <f t="shared" si="71"/>
        <v>1.7436962313278683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-9.0881290048191623</v>
      </c>
      <c r="C150">
        <f t="shared" si="62"/>
        <v>2.7213803835121406</v>
      </c>
      <c r="D150" s="9">
        <f t="shared" si="61"/>
        <v>-9.0881290048191623</v>
      </c>
      <c r="E150">
        <f t="shared" si="61"/>
        <v>2.7213803835121406</v>
      </c>
      <c r="F150" s="4">
        <f t="shared" si="63"/>
        <v>1.7436962313278683</v>
      </c>
      <c r="G150" s="4">
        <f t="shared" si="64"/>
        <v>1.7436962313278683</v>
      </c>
      <c r="H150" s="4" t="str">
        <f t="shared" si="65"/>
        <v>V</v>
      </c>
      <c r="I150" s="4">
        <f t="shared" si="66"/>
        <v>0</v>
      </c>
      <c r="J150" s="4">
        <f t="shared" si="67"/>
        <v>-9.0881290048191623</v>
      </c>
      <c r="K150" s="4">
        <f t="shared" si="68"/>
        <v>2.7213803835121406</v>
      </c>
      <c r="L150" s="4">
        <f t="shared" si="69"/>
        <v>-9.0881290048191623</v>
      </c>
      <c r="M150" s="4">
        <f t="shared" si="70"/>
        <v>2.7213803835121406</v>
      </c>
      <c r="N150" s="4">
        <f t="shared" si="71"/>
        <v>1.7436962313278683</v>
      </c>
      <c r="O150" s="4">
        <f t="shared" si="71"/>
        <v>1.7436962313278683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-9.0881290048191623</v>
      </c>
      <c r="C151">
        <f t="shared" si="62"/>
        <v>2.7213803835121406</v>
      </c>
      <c r="D151" s="9">
        <f t="shared" si="61"/>
        <v>-9.0881290048191623</v>
      </c>
      <c r="E151">
        <f t="shared" si="61"/>
        <v>2.7213803835121406</v>
      </c>
      <c r="F151" s="4">
        <f t="shared" si="63"/>
        <v>1.7436962313278683</v>
      </c>
      <c r="G151" s="4">
        <f t="shared" si="64"/>
        <v>1.7436962313278683</v>
      </c>
      <c r="H151" s="4" t="str">
        <f t="shared" si="65"/>
        <v>V</v>
      </c>
      <c r="I151" s="4">
        <f t="shared" si="66"/>
        <v>0</v>
      </c>
      <c r="J151" s="4">
        <f t="shared" si="67"/>
        <v>-9.0881290048191623</v>
      </c>
      <c r="K151" s="4">
        <f t="shared" si="68"/>
        <v>2.7213803835121406</v>
      </c>
      <c r="L151" s="4">
        <f t="shared" si="69"/>
        <v>-9.0881290048191623</v>
      </c>
      <c r="M151" s="4">
        <f t="shared" si="70"/>
        <v>2.7213803835121406</v>
      </c>
      <c r="N151" s="4">
        <f t="shared" si="71"/>
        <v>1.7436962313278683</v>
      </c>
      <c r="O151" s="4">
        <f t="shared" si="71"/>
        <v>1.7436962313278683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-9.0881290048191623</v>
      </c>
      <c r="C152">
        <f t="shared" si="62"/>
        <v>2.7213803835121406</v>
      </c>
      <c r="D152" s="9">
        <f t="shared" si="61"/>
        <v>-9.0881290048191623</v>
      </c>
      <c r="E152">
        <f t="shared" si="61"/>
        <v>2.7213803835121406</v>
      </c>
      <c r="F152" s="4">
        <f t="shared" si="63"/>
        <v>1.7436962313278683</v>
      </c>
      <c r="G152" s="4">
        <f t="shared" si="64"/>
        <v>1.7436962313278683</v>
      </c>
      <c r="H152" s="4" t="str">
        <f t="shared" si="65"/>
        <v>V</v>
      </c>
      <c r="I152" s="4">
        <f t="shared" si="66"/>
        <v>0</v>
      </c>
      <c r="J152" s="4">
        <f t="shared" si="67"/>
        <v>-9.0881290048191623</v>
      </c>
      <c r="K152" s="4">
        <f t="shared" si="68"/>
        <v>2.7213803835121406</v>
      </c>
      <c r="L152" s="4">
        <f t="shared" si="69"/>
        <v>-9.0881290048191623</v>
      </c>
      <c r="M152" s="4">
        <f t="shared" si="70"/>
        <v>2.7213803835121406</v>
      </c>
      <c r="N152" s="4">
        <f t="shared" si="71"/>
        <v>1.7436962313278683</v>
      </c>
      <c r="O152" s="4">
        <f t="shared" si="71"/>
        <v>1.7436962313278683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-9.0881290048191623</v>
      </c>
      <c r="C153">
        <f t="shared" si="62"/>
        <v>2.7213803835121406</v>
      </c>
      <c r="D153" s="9">
        <f t="shared" si="61"/>
        <v>-9.0881290048191623</v>
      </c>
      <c r="E153">
        <f t="shared" si="61"/>
        <v>2.7213803835121406</v>
      </c>
      <c r="F153" s="4">
        <f t="shared" si="63"/>
        <v>1.7436962313278683</v>
      </c>
      <c r="G153" s="4">
        <f t="shared" si="64"/>
        <v>1.7436962313278683</v>
      </c>
      <c r="H153" s="4" t="str">
        <f t="shared" si="65"/>
        <v>V</v>
      </c>
      <c r="I153" s="4">
        <f t="shared" si="66"/>
        <v>0</v>
      </c>
      <c r="J153" s="4">
        <f t="shared" si="67"/>
        <v>-9.0881290048191623</v>
      </c>
      <c r="K153" s="4">
        <f t="shared" si="68"/>
        <v>2.7213803835121406</v>
      </c>
      <c r="L153" s="4">
        <f t="shared" si="69"/>
        <v>-9.0881290048191623</v>
      </c>
      <c r="M153" s="4">
        <f t="shared" si="70"/>
        <v>2.7213803835121406</v>
      </c>
      <c r="N153" s="4">
        <f t="shared" si="71"/>
        <v>1.7436962313278683</v>
      </c>
      <c r="O153" s="4">
        <f t="shared" si="71"/>
        <v>1.7436962313278683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30.000000117609645</v>
      </c>
      <c r="C159" t="s">
        <v>36</v>
      </c>
    </row>
    <row r="160" spans="1:18" x14ac:dyDescent="0.25">
      <c r="A160" s="1" t="s">
        <v>106</v>
      </c>
      <c r="B160" s="4">
        <f>Q140+I122+Q154-O122</f>
        <v>116.24711736744877</v>
      </c>
      <c r="C160" t="s">
        <v>102</v>
      </c>
    </row>
    <row r="161" spans="1:9" x14ac:dyDescent="0.25">
      <c r="A161" s="1" t="s">
        <v>107</v>
      </c>
      <c r="B161" s="4">
        <f>R140+J122+R154-P122</f>
        <v>123.63902106538032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30.000000117609645</v>
      </c>
      <c r="C164" t="s">
        <v>36</v>
      </c>
      <c r="E164" s="8">
        <f>B2-B164</f>
        <v>-1.1760964468976454E-7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-120.00000008120861</v>
      </c>
      <c r="C165" t="s">
        <v>102</v>
      </c>
      <c r="E165" s="8">
        <f>B3+B165</f>
        <v>-8.120861139104818E-8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119.99999919482042</v>
      </c>
      <c r="C166" t="s">
        <v>102</v>
      </c>
      <c r="E166" s="8">
        <f>B4+B166</f>
        <v>-8.0517958167547476E-7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1.9064021371029234</v>
      </c>
      <c r="B169" s="1">
        <f ca="1">IF(E122=0,0,(MIN(H110:H121)*B65)/(B55*B56*E122))</f>
        <v>-1.9271059720435153</v>
      </c>
      <c r="C169" s="3">
        <f ca="1">A169+B169</f>
        <v>-2.0703834940591914E-2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-7.0352928132779057E-8</v>
      </c>
      <c r="C175" s="27">
        <f>B65*SQRT(I175)</f>
        <v>5.887897387338245E-8</v>
      </c>
      <c r="D175" s="27">
        <f>B66*SQRT(I175)</f>
        <v>2.8276513289957277E-8</v>
      </c>
      <c r="E175" s="27">
        <f>B67*SQRT(I175)</f>
        <v>5.7731265718370308E-8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-4.7431935174535278</v>
      </c>
      <c r="C176" s="3">
        <f>B65+C175</f>
        <v>3.9696196676201012</v>
      </c>
      <c r="D176" s="3">
        <f>D175+B66</f>
        <v>1.9064021653794367</v>
      </c>
      <c r="E176" s="3">
        <f>B67+E175</f>
        <v>3.8922411984466803</v>
      </c>
      <c r="F176" s="16" t="s">
        <v>125</v>
      </c>
    </row>
    <row r="177" spans="1:13" x14ac:dyDescent="0.25">
      <c r="B177" s="27">
        <f>B176-B64</f>
        <v>-7.0352927927785913E-8</v>
      </c>
      <c r="C177" s="27">
        <f>C176-B65</f>
        <v>5.8878973696607773E-8</v>
      </c>
      <c r="D177" s="27">
        <f>D176-B66</f>
        <v>2.8276513353020505E-8</v>
      </c>
      <c r="E177" s="27">
        <f>E176-B67</f>
        <v>5.7731265545868382E-8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-19.895717226350758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-2.2454479215501557</v>
      </c>
      <c r="B181" s="25">
        <f>(d_alpha_p!E136-d_alpha_m!E136)/(2*B177)</f>
        <v>-1.9066523783411904</v>
      </c>
      <c r="C181" s="25">
        <f>(d_alpha_p!E137-d_alpha_m!E137)/(2*B177)</f>
        <v>9.0881290047241929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>(d_T_p!E135-d_T_m!E135)/(2*E177)</f>
        <v>0</v>
      </c>
      <c r="B183" s="25">
        <f>(d_T_p!E136-d_T_m!E136)/(2*E177)</f>
        <v>0</v>
      </c>
      <c r="C183" s="25">
        <f>(d_T_p!E137-d_T_m!E137)/(2*E177)</f>
        <v>0</v>
      </c>
      <c r="D183" s="25">
        <f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ref="A185:D188">MINVERSE(A180:D183)</f>
        <v>#NUM!</v>
      </c>
      <c r="B185" s="25" t="e">
        <v>#NUM!</v>
      </c>
      <c r="C185" s="25" t="e">
        <v>#NUM!</v>
      </c>
      <c r="D185" s="25" t="e">
        <v>#NUM!</v>
      </c>
      <c r="F185" s="8">
        <f>-1*E164</f>
        <v>1.1760964468976454E-7</v>
      </c>
      <c r="H185" t="e">
        <f t="array" ref="H185:H188">MMULT(A185:D188,F185:F188)</f>
        <v>#NUM!</v>
      </c>
      <c r="J185" s="8" t="e">
        <f>$B$66+H185</f>
        <v>#NUM!</v>
      </c>
      <c r="K185" s="11" t="s">
        <v>115</v>
      </c>
      <c r="L185" s="8" t="e">
        <f>J186</f>
        <v>#NUM!</v>
      </c>
      <c r="M185" s="11" t="s">
        <v>116</v>
      </c>
    </row>
    <row r="186" spans="1:13" x14ac:dyDescent="0.25">
      <c r="A186" s="25" t="e">
        <v>#NUM!</v>
      </c>
      <c r="B186" s="25" t="e">
        <v>#NUM!</v>
      </c>
      <c r="C186" s="25" t="e">
        <v>#NUM!</v>
      </c>
      <c r="D186" s="25" t="e">
        <v>#NUM!</v>
      </c>
      <c r="F186" s="8">
        <f>-1*E165</f>
        <v>8.120861139104818E-8</v>
      </c>
      <c r="H186" t="e">
        <v>#NUM!</v>
      </c>
      <c r="J186" s="8" t="e">
        <f>$B$64+H186</f>
        <v>#NUM!</v>
      </c>
      <c r="K186" s="11" t="s">
        <v>116</v>
      </c>
      <c r="L186" s="8" t="e">
        <f>J187</f>
        <v>#NUM!</v>
      </c>
      <c r="M186" s="1" t="s">
        <v>117</v>
      </c>
    </row>
    <row r="187" spans="1:13" x14ac:dyDescent="0.25">
      <c r="A187" s="25" t="e">
        <v>#NUM!</v>
      </c>
      <c r="B187" s="25" t="e">
        <v>#NUM!</v>
      </c>
      <c r="C187" s="25" t="e">
        <v>#NUM!</v>
      </c>
      <c r="D187" s="25" t="e">
        <v>#NUM!</v>
      </c>
      <c r="F187" s="8">
        <f>-1*E166</f>
        <v>8.0517958167547476E-7</v>
      </c>
      <c r="H187" t="e">
        <v>#NUM!</v>
      </c>
      <c r="J187" s="8" t="e">
        <f>$B$65+H187</f>
        <v>#NUM!</v>
      </c>
      <c r="K187" s="1" t="s">
        <v>117</v>
      </c>
      <c r="L187" s="8" t="e">
        <f>J185</f>
        <v>#NUM!</v>
      </c>
      <c r="M187" s="11" t="s">
        <v>115</v>
      </c>
    </row>
    <row r="188" spans="1:13" x14ac:dyDescent="0.25">
      <c r="A188" s="25" t="e">
        <v>#NUM!</v>
      </c>
      <c r="B188" s="25" t="e">
        <v>#NUM!</v>
      </c>
      <c r="C188" s="25" t="e">
        <v>#NUM!</v>
      </c>
      <c r="D188" s="25" t="e">
        <v>#NUM!</v>
      </c>
      <c r="F188">
        <f ca="1">-1*C169</f>
        <v>2.0703834940591914E-2</v>
      </c>
      <c r="H188" t="e">
        <v>#NUM!</v>
      </c>
      <c r="J188" s="8" t="e">
        <f>$B$67+H188</f>
        <v>#NUM!</v>
      </c>
      <c r="K188" s="1" t="s">
        <v>118</v>
      </c>
      <c r="L188" s="8" t="e">
        <f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-19.895717226350758</v>
      </c>
      <c r="B190" s="25">
        <f>A181</f>
        <v>-2.2454479215501557</v>
      </c>
      <c r="C190" s="25">
        <f>A182</f>
        <v>0</v>
      </c>
      <c r="D190" s="25">
        <f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-1.9066523783411904</v>
      </c>
      <c r="C191" s="25">
        <f>B182</f>
        <v>0</v>
      </c>
      <c r="D191" s="25">
        <f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9.0881290047241929</v>
      </c>
      <c r="C192" s="25">
        <f>C182</f>
        <v>0</v>
      </c>
      <c r="D192" s="25">
        <f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ref="A195:D198">MINVERSE(A190:D193)</f>
        <v>#NUM!</v>
      </c>
      <c r="B195" s="25" t="e">
        <v>#NUM!</v>
      </c>
      <c r="C195" s="25" t="e">
        <v>#NUM!</v>
      </c>
      <c r="D195" s="25" t="e">
        <v>#NUM!</v>
      </c>
      <c r="H195" t="e">
        <f t="array" ref="H195:H198">MMULT(A195:D198,F185:F188)</f>
        <v>#NUM!</v>
      </c>
      <c r="J195" s="8" t="e">
        <f>$B$66+H195</f>
        <v>#NUM!</v>
      </c>
      <c r="K195" s="11" t="s">
        <v>115</v>
      </c>
      <c r="L195" s="8" t="e">
        <f>J196</f>
        <v>#NUM!</v>
      </c>
      <c r="M195" s="11" t="s">
        <v>116</v>
      </c>
    </row>
    <row r="196" spans="1:13" x14ac:dyDescent="0.25">
      <c r="A196" s="25" t="e">
        <v>#NUM!</v>
      </c>
      <c r="B196" s="25" t="e">
        <v>#NUM!</v>
      </c>
      <c r="C196" s="25" t="e">
        <v>#NUM!</v>
      </c>
      <c r="D196" s="25" t="e">
        <v>#NUM!</v>
      </c>
      <c r="H196" t="e">
        <v>#NUM!</v>
      </c>
      <c r="J196" s="8" t="e">
        <f>$B$64+H196</f>
        <v>#NUM!</v>
      </c>
      <c r="K196" s="11" t="s">
        <v>116</v>
      </c>
      <c r="L196" s="8" t="e">
        <f>J197</f>
        <v>#NUM!</v>
      </c>
      <c r="M196" s="1" t="s">
        <v>117</v>
      </c>
    </row>
    <row r="197" spans="1:13" x14ac:dyDescent="0.25">
      <c r="A197" s="25" t="e">
        <v>#NUM!</v>
      </c>
      <c r="B197" s="25" t="e">
        <v>#NUM!</v>
      </c>
      <c r="C197" s="25" t="e">
        <v>#NUM!</v>
      </c>
      <c r="D197" s="25" t="e">
        <v>#NUM!</v>
      </c>
      <c r="H197" t="e">
        <v>#NUM!</v>
      </c>
      <c r="J197" s="8" t="e">
        <f>$B$65+H197</f>
        <v>#NUM!</v>
      </c>
      <c r="K197" s="1" t="s">
        <v>117</v>
      </c>
      <c r="L197" s="8" t="e">
        <f>J195</f>
        <v>#NUM!</v>
      </c>
      <c r="M197" s="11" t="s">
        <v>115</v>
      </c>
    </row>
    <row r="198" spans="1:13" x14ac:dyDescent="0.25">
      <c r="A198" s="25" t="e">
        <v>#NUM!</v>
      </c>
      <c r="B198" s="25" t="e">
        <v>#NUM!</v>
      </c>
      <c r="C198" s="25" t="e">
        <v>#NUM!</v>
      </c>
      <c r="D198" s="25" t="e">
        <v>#NUM!</v>
      </c>
      <c r="H198" t="e">
        <v>#NUM!</v>
      </c>
      <c r="J198" s="8" t="e">
        <f>$B$67+H198</f>
        <v>#NUM!</v>
      </c>
      <c r="K198" s="1" t="s">
        <v>118</v>
      </c>
      <c r="L198" s="8" t="e">
        <f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-19.895717226350758</v>
      </c>
      <c r="B201" s="25">
        <f t="shared" ref="B201:C201" si="77">B190</f>
        <v>-2.2454479215501557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-1.9066523783411904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9.0881290047241929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2020-11-01T02:45:46Z</dcterms:modified>
</cp:coreProperties>
</file>